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omments1.xml" ContentType="application/vnd.openxmlformats-officedocument.spreadsheetml.comment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2.xml" ContentType="application/vnd.openxmlformats-officedocument.spreadsheetml.comments+xml"/>
  <Override PartName="/xl/worksheets/sheet37.xml" ContentType="application/vnd.openxmlformats-officedocument.spreadsheetml.worksheet+xml"/>
  <Override PartName="/xl/tables/table3.xml" ContentType="application/vnd.openxmlformats-officedocument.spreadsheetml.table+xml"/>
  <Override PartName="/xl/worksheets/sheet38.xml" ContentType="application/vnd.openxmlformats-officedocument.spreadsheetml.worksheet+xml"/>
  <Override PartName="/xl/tables/table4.xml" ContentType="application/vnd.openxmlformats-officedocument.spreadsheetml.table+xml"/>
  <Override PartName="/xl/worksheets/sheet39.xml" ContentType="application/vnd.openxmlformats-officedocument.spreadsheetml.worksheet+xml"/>
  <Override PartName="/xl/tables/table5.xml" ContentType="application/vnd.openxmlformats-officedocument.spreadsheetml.table+xml"/>
  <Override PartName="/xl/worksheets/sheet40.xml" ContentType="application/vnd.openxmlformats-officedocument.spreadsheetml.worksheet+xml"/>
  <Override PartName="/xl/tables/table6.xml" ContentType="application/vnd.openxmlformats-officedocument.spreadsheetml.table+xml"/>
  <Override PartName="/xl/worksheets/sheet41.xml" ContentType="application/vnd.openxmlformats-officedocument.spreadsheetml.worksheet+xml"/>
  <Override PartName="/xl/tables/table7.xml" ContentType="application/vnd.openxmlformats-officedocument.spreadsheetml.table+xml"/>
  <Override PartName="/xl/worksheets/sheet42.xml" ContentType="application/vnd.openxmlformats-officedocument.spreadsheetml.worksheet+xml"/>
  <Override PartName="/xl/tables/table8.xml" ContentType="application/vnd.openxmlformats-officedocument.spreadsheetml.table+xml"/>
  <Override PartName="/xl/worksheets/sheet43.xml" ContentType="application/vnd.openxmlformats-officedocument.spreadsheetml.worksheet+xml"/>
  <Override PartName="/xl/tables/table9.xml" ContentType="application/vnd.openxmlformats-officedocument.spreadsheetml.table+xml"/>
  <Override PartName="/xl/worksheets/sheet44.xml" ContentType="application/vnd.openxmlformats-officedocument.spreadsheetml.worksheet+xml"/>
  <Override PartName="/xl/tables/table10.xml" ContentType="application/vnd.openxmlformats-officedocument.spreadsheetml.table+xml"/>
  <Override PartName="/xl/worksheets/sheet45.xml" ContentType="application/vnd.openxmlformats-officedocument.spreadsheetml.worksheet+xml"/>
  <Override PartName="/xl/tables/table11.xml" ContentType="application/vnd.openxmlformats-officedocument.spreadsheetml.table+xml"/>
  <Override PartName="/xl/worksheets/sheet46.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69565c976134e61" /></Relationships>
</file>

<file path=xl/workbook.xml><?xml version="1.0" encoding="utf-8"?>
<x:workbook xmlns:x="http://schemas.openxmlformats.org/spreadsheetml/2006/main">
  <x:sheets>
    <x:sheet xmlns:r="http://schemas.openxmlformats.org/officeDocument/2006/relationships" name="Dashboard" sheetId="1" r:id="Rb6e9f414bba14844"/>
    <x:sheet xmlns:r="http://schemas.openxmlformats.org/officeDocument/2006/relationships" name="Benchmark_Comparison" sheetId="2" r:id="Rb59296c04c99468c"/>
    <x:sheet xmlns:r="http://schemas.openxmlformats.org/officeDocument/2006/relationships" name="Coding_Agent_Results" sheetId="3" r:id="R1eec70bb7f564abd"/>
    <x:sheet xmlns:r="http://schemas.openxmlformats.org/officeDocument/2006/relationships" name="Coding_Agent_Lookups" sheetId="4" r:id="R2006cfc0b2f74e39"/>
    <x:sheet xmlns:r="http://schemas.openxmlformats.org/officeDocument/2006/relationships" name="Coding_Agent_Coverage" sheetId="5" r:id="R0551bd8ccc874611"/>
    <x:sheet xmlns:r="http://schemas.openxmlformats.org/officeDocument/2006/relationships" name="Contenders" sheetId="6" r:id="R34178e70b05e4c0b"/>
    <x:sheet xmlns:r="http://schemas.openxmlformats.org/officeDocument/2006/relationships" name="Rankings" sheetId="7" r:id="R13d583b87e7f4011"/>
    <x:sheet xmlns:r="http://schemas.openxmlformats.org/officeDocument/2006/relationships" name="Plan_Winners" sheetId="8" r:id="R90673e38c641472d"/>
    <x:sheet xmlns:r="http://schemas.openxmlformats.org/officeDocument/2006/relationships" name="Winner_Boards" sheetId="9" r:id="R4d0403209c5443cf"/>
    <x:sheet xmlns:r="http://schemas.openxmlformats.org/officeDocument/2006/relationships" name="Controls" sheetId="10" r:id="R1f6ec9a4f2d34b98"/>
    <x:sheet xmlns:r="http://schemas.openxmlformats.org/officeDocument/2006/relationships" name="_Control_Profiles" sheetId="11" r:id="Rea8e40f273df4ec4"/>
    <x:sheet xmlns:r="http://schemas.openxmlformats.org/officeDocument/2006/relationships" name="Model_Catalog" sheetId="12" r:id="R4dcb135cccc74651"/>
    <x:sheet xmlns:r="http://schemas.openxmlformats.org/officeDocument/2006/relationships" name="Model_Variants" sheetId="13" r:id="Reea4c49a6ba0458f"/>
    <x:sheet xmlns:r="http://schemas.openxmlformats.org/officeDocument/2006/relationships" name="Qualitative_Assessments" sheetId="14" r:id="R9460c229b0774c6d"/>
    <x:sheet xmlns:r="http://schemas.openxmlformats.org/officeDocument/2006/relationships" name="Benchmark_Definitions" sheetId="15" r:id="R806e7f7f80204f2c"/>
    <x:sheet xmlns:r="http://schemas.openxmlformats.org/officeDocument/2006/relationships" name="Benchmark_Versions" sheetId="16" r:id="R3875e8c1b9a2448a"/>
    <x:sheet xmlns:r="http://schemas.openxmlformats.org/officeDocument/2006/relationships" name="Version_Crosswalk" sheetId="17" r:id="R5dcfae1cb5374e51"/>
    <x:sheet xmlns:r="http://schemas.openxmlformats.org/officeDocument/2006/relationships" name="Version_Pair_Summary" sheetId="18" r:id="R434b43af63fc415e"/>
    <x:sheet xmlns:r="http://schemas.openxmlformats.org/officeDocument/2006/relationships" name="Test_Runs" sheetId="19" r:id="Rb49ba53b24e8433f"/>
    <x:sheet xmlns:r="http://schemas.openxmlformats.org/officeDocument/2006/relationships" name="Model_TestVersion_Stats" sheetId="20" r:id="R70ad03e5223e4cc0"/>
    <x:sheet xmlns:r="http://schemas.openxmlformats.org/officeDocument/2006/relationships" name="Baselines" sheetId="21" r:id="Rbcec7f079fae425b"/>
    <x:sheet xmlns:r="http://schemas.openxmlformats.org/officeDocument/2006/relationships" name="Run_Metrics" sheetId="22" r:id="R6611ce6fa4f241fd"/>
    <x:sheet xmlns:r="http://schemas.openxmlformats.org/officeDocument/2006/relationships" name="Threshold_Metrics" sheetId="23" r:id="R8bf3f0cb848540ad"/>
    <x:sheet xmlns:r="http://schemas.openxmlformats.org/officeDocument/2006/relationships" name="Threshold_TestVersion" sheetId="24" r:id="R3be4e70a0ae34364"/>
    <x:sheet xmlns:r="http://schemas.openxmlformats.org/officeDocument/2006/relationships" name="Subscription_Plans" sheetId="25" r:id="R273967777fc94514"/>
    <x:sheet xmlns:r="http://schemas.openxmlformats.org/officeDocument/2006/relationships" name="Subscription_Access" sheetId="26" r:id="R1d86871cdc504359"/>
    <x:sheet xmlns:r="http://schemas.openxmlformats.org/officeDocument/2006/relationships" name="Subscription_Value" sheetId="27" r:id="R08c41fe118eb453f"/>
    <x:sheet xmlns:r="http://schemas.openxmlformats.org/officeDocument/2006/relationships" name="Config_History" sheetId="28" r:id="R9b716aeda9f445ad"/>
    <x:sheet xmlns:r="http://schemas.openxmlformats.org/officeDocument/2006/relationships" name="Sources" sheetId="29" r:id="Rce6e8fa38b084133"/>
    <x:sheet xmlns:r="http://schemas.openxmlformats.org/officeDocument/2006/relationships" name="Data_Dictionary" sheetId="30" r:id="Rbb3d0f90d38a4c69"/>
    <x:sheet xmlns:r="http://schemas.openxmlformats.org/officeDocument/2006/relationships" name="Maintenance_Log" sheetId="31" r:id="R559ea5bc7773463b"/>
    <x:sheet xmlns:r="http://schemas.openxmlformats.org/officeDocument/2006/relationships" name="ModelsDev_Raw_Selected" sheetId="32" r:id="R5037a9c37a344981"/>
    <x:sheet xmlns:r="http://schemas.openxmlformats.org/officeDocument/2006/relationships" name="README" sheetId="33" r:id="Rd90d35cd650b445f"/>
    <x:sheet xmlns:r="http://schemas.openxmlformats.org/officeDocument/2006/relationships" name="Benchmark_Followups" sheetId="34" r:id="R293264308a884edf"/>
    <x:sheet xmlns:r="http://schemas.openxmlformats.org/officeDocument/2006/relationships" name="Release_Review" sheetId="35" r:id="R70f69327f9f248a4"/>
    <x:sheet xmlns:r="http://schemas.openxmlformats.org/officeDocument/2006/relationships" name="Chart_Data_Reviewed" sheetId="36" r:id="R6de9e0d9e3f84da3"/>
    <x:sheet xmlns:r="http://schemas.openxmlformats.org/officeDocument/2006/relationships" name="SaaS_Plan_Catalog" sheetId="37" r:id="R57b780b6460f4a28"/>
    <x:sheet xmlns:r="http://schemas.openxmlformats.org/officeDocument/2006/relationships" name="Plan_Events" sheetId="38" r:id="Rfbd5cb1396d845fe"/>
    <x:sheet xmlns:r="http://schemas.openxmlformats.org/officeDocument/2006/relationships" name="Usage_Reports" sheetId="39" r:id="Rf152971f0e2f4a48"/>
    <x:sheet xmlns:r="http://schemas.openxmlformats.org/officeDocument/2006/relationships" name="Watch_Sources" sheetId="40" r:id="Ra583f48f25184c04"/>
    <x:sheet xmlns:r="http://schemas.openxmlformats.org/officeDocument/2006/relationships" name="Coding_Task_Budgets" sheetId="41" r:id="R5aa21dd68f234012"/>
    <x:sheet xmlns:r="http://schemas.openxmlformats.org/officeDocument/2006/relationships" name="General_Task_Budgets" sheetId="42" r:id="R67546f1cefa24883"/>
    <x:sheet xmlns:r="http://schemas.openxmlformats.org/officeDocument/2006/relationships" name="OpenCode_Quotas_Today" sheetId="43" r:id="Ra5196052ef1a4c29"/>
    <x:sheet xmlns:r="http://schemas.openxmlformats.org/officeDocument/2006/relationships" name="Go_General_Task_Capacity" sheetId="44" r:id="Ra93b975b27bf4d63"/>
    <x:sheet xmlns:r="http://schemas.openxmlformats.org/officeDocument/2006/relationships" name="Subscription_Task_Capacity" sheetId="45" r:id="R006659b7bde149f5"/>
    <x:sheet xmlns:r="http://schemas.openxmlformats.org/officeDocument/2006/relationships" name="Task_Capacity_Report" sheetId="46" r:id="R68e80ad4bd524bbb"/>
  </x:sheets>
</x:workbook>
</file>

<file path=xl/comments1.xml><?xml version="1.0" encoding="utf-8"?>
<x:comments xmlns:x="http://schemas.openxmlformats.org/spreadsheetml/2006/main">
  <x:authors>
    <x:author>AInventory source review</x:author>
  </x:authors>
  <x:commentList>
    <x:comment ref="J140" authorId="0">
      <x:text>
        <x:r>
          <x:t>Checked the current AA Low page and comparison on 2026-10-17; AA publishes no Low task cost. Blank is intentionally preserved.</x:t>
        </x:r>
      </x:text>
    </x:comment>
    <x:comment ref="O140" authorId="0">
      <x:text>
        <x:r>
          <x:t>Checked the current AA Low page and comparison on 2026-10-17; AA publishes no Low output speed. Blank is intentionally preserved.</x:t>
        </x:r>
      </x:text>
    </x:comment>
    <x:comment ref="N142" authorId="0">
      <x:text>
        <x:r>
          <x:t>Cross-page difference: current standalone model page reports 170M; both current comparison pages report 172M. Preserve the direct-page 170M value and track the mismatch; AA gives no explanation.</x:t>
        </x:r>
      </x:text>
    </x:comment>
    <x:comment ref="P142" authorId="0">
      <x:text>
        <x:r>
          <x:t>Rechecked live 2026-10-17. Current AA model page and both comparisons report 22.59s for first answer token. Previous 24.43s observation was stale.</x:t>
        </x:r>
      </x:text>
    </x:comment>
    <x:comment ref="S142" authorId="0">
      <x:text>
        <x:r>
          <x:t>Current AA model page raw value 473.982089s; both current comparison pages display 473.98s. This is weighted decode time/task and excludes TTFT/overhead.</x:t>
        </x:r>
      </x:text>
    </x:comment>
  </x:commentList>
</x:comments>
</file>

<file path=xl/comments2.xml><?xml version="1.0" encoding="utf-8"?>
<x:comments xmlns:x="http://schemas.openxmlformats.org/spreadsheetml/2006/main">
  <x:authors>
    <x:author>AInventory</x:author>
    <x:author>AInventory source review</x:author>
  </x:authors>
  <x:commentList>
    <x:comment ref="F13" authorId="0">
      <x:text>
        <x:r>
          <x:t>Not published on the AA page as of 2026-10-16. Score56, context1M, index output tokens140M are available. Do not substitute Muse Wonder API pricing/speed.</x:t>
        </x:r>
      </x:text>
    </x:comment>
    <x:comment ref="G13" authorId="0">
      <x:text>
        <x:r>
          <x:t>Not published on the AA page as of 2026-10-16. Score56, context1M, index output tokens140M are available. Do not substitute Muse Wonder API pricing/speed.</x:t>
        </x:r>
      </x:text>
    </x:comment>
    <x:comment ref="H13" authorId="0">
      <x:text>
        <x:r>
          <x:t>Not published on the AA page as of 2026-10-16. Score56, context1M, index output tokens140M are available. Do not substitute Muse Wonder API pricing/speed.</x:t>
        </x:r>
      </x:text>
    </x:comment>
    <x:comment ref="E55" authorId="1">
      <x:text>
        <x:r>
          <x:t>AA has a Gemini 4 Argon High page, but no separate Low effort score/cost result as of 2026-10-17. Google documents low thinking support; do not plot a fabricated point.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8">
    <x:numFmt numFmtId="164" formatCode="$0.000"/>
    <x:numFmt numFmtId="165" formatCode="0.000"/>
    <x:numFmt numFmtId="166" formatCode="$0.00"/>
    <x:numFmt numFmtId="167" formatCode="0.00x"/>
    <x:numFmt numFmtId="168" formatCode="0.0"/>
    <x:numFmt numFmtId="169" formatCode="$0.0000"/>
    <x:numFmt numFmtId="170" formatCode="#,##0.0"/>
    <x:numFmt numFmtId="200" formatCode="0.00"/>
  </x:numFmts>
  <x:fonts count="22">
    <x:font>
      <x:sz val="11"/>
      <x:name val="Carlito"/>
    </x:font>
    <x:font>
      <x:b/>
      <x:sz val="11"/>
      <x:color rgb="FFFFFFFF"/>
      <x:name val="Carlito"/>
    </x:font>
    <x:font>
      <x:b/>
      <x:sz val="16"/>
      <x:color rgb="FFFFFFFF"/>
      <x:name val="Carlito"/>
    </x:font>
    <x:font>
      <x:b/>
      <x:sz val="11"/>
      <x:color rgb="FF17365D"/>
      <x:name val="Carlito"/>
    </x:font>
    <x:font>
      <x:i/>
      <x:sz val="11"/>
      <x:name val="Carlito"/>
    </x:font>
    <x:font>
      <x:b/>
      <x:sz val="11"/>
      <x:name val="Carlito"/>
    </x:font>
    <x:font>
      <x:b/>
      <x:color rgb="FFFFFFFF"/>
    </x:font>
    <x:font>
      <x:b/>
      <x:sz val="16"/>
      <x:color rgb="FFFFFFFF"/>
      <x:name val="Aptos Display"/>
    </x:font>
    <x:font>
      <x:sz val="12"/>
      <x:color theme="10"/>
      <x:name val="Calibri"/>
      <x:family val="2"/>
      <x:scheme val="minor"/>
    </x:font>
    <x:font>
      <x:i/>
      <x:color rgb="FF5B6573"/>
    </x:font>
    <x:font>
      <x:b/>
      <x:color rgb="FF1F2937"/>
    </x:font>
    <x:font>
      <x:color rgb="FF1F2937"/>
    </x:font>
    <x:font>
      <x:b/>
      <x:color rgb="FF7F6000"/>
    </x:font>
    <x:font>
      <x:color rgb="FF5B6573"/>
    </x:font>
    <x:font>
      <x:b/>
      <x:sz val="15"/>
      <x:color rgb="FFFFFFFF"/>
      <x:name val="Aptos Display"/>
    </x:font>
    <x:font>
      <x:i/>
      <x:sz val="10"/>
      <x:color rgb="FF17365D"/>
      <x:name val="Aptos"/>
    </x:font>
    <x:font>
      <x:b/>
      <x:sz val="10"/>
      <x:color rgb="FFFFFFFF"/>
      <x:name val="Aptos"/>
    </x:font>
    <x:font>
      <x:sz val="9"/>
      <x:color rgb="FF000000"/>
      <x:name val="Aptos"/>
    </x:font>
    <x:font>
      <x:sz val="10"/>
      <x:color rgb="FF1F1F1F"/>
      <x:name val="Carlito"/>
    </x:font>
    <x:font>
      <x:sz val="10"/>
      <x:color rgb="FF203345"/>
      <x:name val="Carlito"/>
    </x:font>
    <x:font>
      <x:b/>
      <x:sz val="21"/>
      <x:color rgb="FFFFFFFF"/>
      <x:name val="Carlito"/>
    </x:font>
    <x:font>
      <x:sz val="11"/>
      <x:color rgb="FF203345"/>
      <x:name val="Carlito"/>
    </x:font>
  </x:fonts>
  <x:fills count="24">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rgb="FFE7E6E6"/>
      </x:patternFill>
    </x:fill>
    <x:fill>
      <x:patternFill patternType="solid">
        <x:fgColor rgb="FF24476B"/>
      </x:patternFill>
    </x:fill>
    <x:fill>
      <x:patternFill patternType="solid">
        <x:fgColor rgb="FF17354A"/>
      </x:patternFill>
    </x:fill>
    <x:fill>
      <x:patternFill patternType="solid">
        <x:fgColor rgb="FFEEF5F8"/>
      </x:patternFill>
    </x:fill>
    <x:fill>
      <x:patternFill patternType="solid">
        <x:fgColor rgb="FFFFFFFF"/>
      </x:patternFill>
    </x:fill>
    <x:fill>
      <x:patternFill patternType="solid">
        <x:fgColor rgb="FF17365D"/>
      </x:patternFill>
    </x:fill>
    <x:fill>
      <x:patternFill patternType="solid">
        <x:fgColor rgb="FF315B82"/>
      </x:patternFill>
    </x:fill>
    <x:fill>
      <x:patternFill patternType="solid">
        <x:fgColor rgb="FFD9EAF7"/>
      </x:patternFill>
    </x:fill>
    <x:fill>
      <x:patternFill patternType="solid">
        <x:fgColor rgb="FFFFF2CC"/>
      </x:patternFill>
    </x:fill>
    <x:fill>
      <x:patternFill patternType="solid">
        <x:fgColor rgb="FFEAF2F8"/>
      </x:patternFill>
    </x:fill>
    <x:fill>
      <x:patternFill patternType="solid">
        <x:fgColor rgb="FFFFF8E1"/>
      </x:patternFill>
    </x:fill>
    <x:fill>
      <x:patternFill patternType="solid">
        <x:fgColor rgb="FFF7F9FB"/>
      </x:patternFill>
    </x:fill>
    <x:fill>
      <x:patternFill patternType="solid">
        <x:fgColor rgb="FF1F4E78"/>
      </x:patternFill>
    </x:fill>
    <x:fill>
      <x:patternFill patternType="solid">
        <x:fgColor rgb="FFF3F6FA"/>
      </x:patternFill>
    </x:fill>
    <x:fill>
      <x:patternFill patternType="solid">
        <x:fgColor rgb="FF1F4E78"/>
      </x:patternFill>
    </x:fill>
    <x:fill>
      <x:patternFill patternType="solid">
        <x:fgColor rgb="FF1F4E78"/>
      </x:patternFill>
    </x:fill>
    <x:fill>
      <x:patternFill patternType="solid">
        <x:fgColor rgb="FF173D55"/>
      </x:patternFill>
    </x:fill>
  </x:fills>
  <x:borders count="6">
    <x:border/>
    <x:border/>
    <x:border>
      <x:bottom style="thin">
        <x:color rgb="FFD0D7DE"/>
      </x:bottom>
    </x:border>
    <x:border>
      <x:left/>
      <x:right/>
      <x:top/>
      <x:bottom/>
      <x:diagonal/>
    </x:border>
    <x:border>
      <x:left style="thin">
        <x:color rgb="FFD0D7DE"/>
      </x:left>
      <x:right style="thin">
        <x:color rgb="FFD0D7DE"/>
      </x:right>
      <x:top style="thin">
        <x:color rgb="FFD0D7DE"/>
      </x:top>
      <x:bottom style="thin">
        <x:color rgb="FFD0D7DE"/>
      </x:bottom>
    </x:border>
    <x:border>
      <x:bottom style="hair">
        <x:color rgb="FFD9E1F2"/>
      </x:bottom>
    </x:border>
  </x:borders>
  <x:cellStyleXfs count="2">
    <x:xf numFmtId="0" fontId="0" fillId="0" borderId="1"/>
    <x:xf numFmtId="0" fontId="8" fillId="0" borderId="3"/>
  </x:cellStyleXfs>
  <x:cellXfs count="139">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0" fillId="0" borderId="0" xfId="0"/>
    <x:xf numFmtId="0" fontId="0" fillId="0" borderId="1" xfId="0"/>
    <x:xf numFmtId="0" fontId="0" fillId="3" borderId="0" xfId="0"/>
    <x:xf numFmtId="0" fontId="0" fillId="3" borderId="1" xfId="0"/>
    <x:xf numFmtId="0" fontId="0" fillId="4" borderId="0" xfId="0"/>
    <x:xf numFmtId="0" fontId="2" fillId="4" borderId="0" xfId="0"/>
    <x:xf numFmtId="0" fontId="2" fillId="4" borderId="0" xfId="0" applyAlignment="1">
      <x:alignment vertical="center"/>
    </x:xf>
    <x:xf numFmtId="0" fontId="0" fillId="4" borderId="1" xfId="0"/>
    <x:xf numFmtId="0" fontId="2" fillId="4" borderId="1" xfId="0"/>
    <x:xf numFmtId="0" fontId="2" fillId="4" borderId="1" xfId="0" applyAlignment="1">
      <x:alignment vertical="center"/>
    </x:xf>
    <x:xf numFmtId="0" fontId="0" fillId="5" borderId="0" xfId="0"/>
    <x:xf numFmtId="0" fontId="3" fillId="5" borderId="0" xfId="0"/>
    <x:xf numFmtId="0" fontId="3" fillId="5" borderId="0" xfId="0" applyAlignment="1">
      <x:alignment wrapText="1"/>
    </x:xf>
    <x:xf numFmtId="0" fontId="0" fillId="5" borderId="1" xfId="0"/>
    <x:xf numFmtId="0" fontId="3" fillId="5" borderId="1" xfId="0"/>
    <x:xf numFmtId="0" fontId="3" fillId="5" borderId="1" xfId="0" applyAlignment="1">
      <x:alignment wrapText="1"/>
    </x:xf>
    <x:xf numFmtId="164" fontId="0" fillId="0" borderId="0" xfId="0"/>
    <x:xf numFmtId="164" fontId="0" fillId="0" borderId="1" xfId="0"/>
    <x:xf numFmtId="165" fontId="0" fillId="0" borderId="0" xfId="0"/>
    <x:xf numFmtId="165" fontId="0" fillId="0" borderId="1" xfId="0"/>
    <x:xf numFmtId="166" fontId="0" fillId="0" borderId="0" xfId="0"/>
    <x:xf numFmtId="166" fontId="0" fillId="0" borderId="1" xfId="0"/>
    <x:xf numFmtId="167" fontId="0" fillId="0" borderId="0" xfId="0"/>
    <x:xf numFmtId="167" fontId="0" fillId="0" borderId="1" xfId="0"/>
    <x:xf numFmtId="166" fontId="0" fillId="0" borderId="0" xfId="0" applyAlignment="1">
      <x:alignment wrapText="1"/>
    </x:xf>
    <x:xf numFmtId="167" fontId="0" fillId="0" borderId="0" xfId="0" applyAlignment="1">
      <x:alignment wrapText="1"/>
    </x:xf>
    <x:xf numFmtId="166" fontId="0" fillId="0" borderId="1" xfId="0" applyAlignment="1">
      <x:alignment wrapText="1"/>
    </x:xf>
    <x:xf numFmtId="167" fontId="0" fillId="0" borderId="1" xfId="0" applyAlignment="1">
      <x:alignment wrapText="1"/>
    </x:xf>
    <x:xf numFmtId="0" fontId="0" fillId="6" borderId="0" xfId="0"/>
    <x:xf numFmtId="0" fontId="1" fillId="6" borderId="0" xfId="0"/>
    <x:xf numFmtId="0" fontId="1" fillId="6" borderId="0" xfId="0" applyAlignment="1">
      <x:alignment vertical="center"/>
    </x:xf>
    <x:xf numFmtId="0" fontId="0" fillId="6" borderId="1" xfId="0"/>
    <x:xf numFmtId="0" fontId="1" fillId="6" borderId="1" xfId="0"/>
    <x:xf numFmtId="0" fontId="1" fillId="6" borderId="1" xfId="0" applyAlignment="1">
      <x:alignment vertical="center"/>
    </x:xf>
    <x:xf numFmtId="0" fontId="2" fillId="4" borderId="0" xfId="0" applyAlignment="1">
      <x:alignment vertical="center" wrapText="1"/>
    </x:xf>
    <x:xf numFmtId="0" fontId="2" fillId="4" borderId="1" xfId="0" applyAlignment="1">
      <x:alignment vertical="center" wrapText="1"/>
    </x:xf>
    <x:xf numFmtId="0" fontId="0" fillId="7" borderId="0" xfId="0"/>
    <x:xf numFmtId="0" fontId="4" fillId="7" borderId="0" xfId="0"/>
    <x:xf numFmtId="0" fontId="4" fillId="7" borderId="0" xfId="0" applyAlignment="1">
      <x:alignment wrapText="1"/>
    </x:xf>
    <x:xf numFmtId="0" fontId="4" fillId="7" borderId="0" xfId="0" applyAlignment="1">
      <x:alignment vertical="center" wrapText="1"/>
    </x:xf>
    <x:xf numFmtId="0" fontId="0" fillId="7" borderId="1" xfId="0"/>
    <x:xf numFmtId="0" fontId="4" fillId="7" borderId="1" xfId="0"/>
    <x:xf numFmtId="0" fontId="4" fillId="7" borderId="1" xfId="0" applyAlignment="1">
      <x:alignment wrapText="1"/>
    </x:xf>
    <x:xf numFmtId="0" fontId="4" fillId="7" borderId="1" xfId="0" applyAlignment="1">
      <x:alignment vertical="center" wrapText="1"/>
    </x:xf>
    <x:xf numFmtId="168" fontId="0" fillId="0" borderId="0" xfId="0"/>
    <x:xf numFmtId="168" fontId="0" fillId="0" borderId="1" xfId="0"/>
    <x:xf numFmtId="0" fontId="5" fillId="0" borderId="0" xfId="0"/>
    <x:xf numFmtId="0" fontId="1" fillId="0" borderId="0" xfId="0"/>
    <x:xf numFmtId="0" fontId="1" fillId="8" borderId="0" xfId="0"/>
    <x:xf numFmtId="0" fontId="1" fillId="8" borderId="0" xfId="0" applyAlignment="1">
      <x:alignment wrapText="1"/>
    </x:xf>
    <x:xf numFmtId="0" fontId="1" fillId="8" borderId="0" xfId="0" applyAlignment="1">
      <x:alignment vertical="center" wrapText="1"/>
    </x:xf>
    <x:xf numFmtId="0" fontId="0" fillId="0" borderId="0" xfId="0" applyAlignment="1">
      <x:alignment vertical="top" wrapText="1"/>
    </x:xf>
    <x:xf numFmtId="0" fontId="5" fillId="0" borderId="0" xfId="0" applyAlignment="1">
      <x:alignment wrapText="1"/>
    </x:xf>
    <x:xf numFmtId="165" fontId="0" fillId="0" borderId="0" xfId="0"/>
    <x:xf numFmtId="168" fontId="0" fillId="0" borderId="0" xfId="0"/>
    <x:xf numFmtId="164" fontId="0" fillId="0" borderId="0" xfId="0"/>
    <x:xf numFmtId="166" fontId="0" fillId="0" borderId="0" xfId="0" applyAlignment="1">
      <x:alignment wrapText="1"/>
    </x:xf>
    <x:xf numFmtId="167" fontId="0" fillId="0" borderId="0" xfId="0" applyAlignment="1">
      <x:alignment wrapText="1"/>
    </x:xf>
    <x:xf numFmtId="0" fontId="6" fillId="9" borderId="0" xfId="0"/>
    <x:xf numFmtId="0" fontId="0" fillId="10" borderId="0" xfId="0"/>
    <x:xf numFmtId="169" fontId="0" fillId="10" borderId="0" xfId="0"/>
    <x:xf numFmtId="2" fontId="0" fillId="10" borderId="0" xfId="0"/>
    <x:xf numFmtId="0" fontId="0" fillId="11" borderId="0" xfId="0"/>
    <x:xf numFmtId="169" fontId="0" fillId="11" borderId="0" xfId="0"/>
    <x:xf numFmtId="2" fontId="0" fillId="11" borderId="0" xfId="0"/>
    <x:xf numFmtId="0" fontId="7" fillId="12" borderId="1" xfId="0"/>
    <x:xf numFmtId="0" fontId="9" fillId="0" borderId="1" xfId="0" applyAlignment="1">
      <x:alignment vertical="top" wrapText="1"/>
    </x:xf>
    <x:xf numFmtId="0" fontId="10" fillId="14" borderId="0" xfId="0" applyAlignment="1">
      <x:alignment vertical="center" wrapText="1"/>
    </x:xf>
    <x:xf numFmtId="0" fontId="12" fillId="15" borderId="4" xfId="0" applyAlignment="1">
      <x:alignment vertical="center" wrapText="1"/>
    </x:xf>
    <x:xf numFmtId="0" fontId="13" fillId="0" borderId="1" xfId="0" applyAlignment="1">
      <x:alignment vertical="top" wrapText="1"/>
    </x:xf>
    <x:xf numFmtId="0" fontId="6" fillId="13" borderId="1" xfId="0"/>
    <x:xf numFmtId="0" fontId="10" fillId="16" borderId="0" xfId="0"/>
    <x:xf numFmtId="0" fontId="0" fillId="16" borderId="1" xfId="0" applyAlignment="1">
      <x:alignment vertical="top" wrapText="1"/>
    </x:xf>
    <x:xf numFmtId="0" fontId="0" fillId="16" borderId="1" xfId="0"/>
    <x:xf numFmtId="0" fontId="10" fillId="0" borderId="0" xfId="0"/>
    <x:xf numFmtId="0" fontId="0" fillId="0" borderId="1" xfId="0" applyAlignment="1">
      <x:alignment vertical="top" wrapText="1"/>
    </x:xf>
    <x:xf numFmtId="0" fontId="6" fillId="13" borderId="0" xfId="0"/>
    <x:xf numFmtId="0" fontId="11" fillId="17" borderId="1" xfId="0" applyAlignment="1">
      <x:alignment vertical="top" wrapText="1"/>
    </x:xf>
    <x:xf numFmtId="0" fontId="9" fillId="0" borderId="1" xfId="0" applyAlignment="1">
      <x:alignment wrapText="1"/>
    </x:xf>
    <x:xf numFmtId="0" fontId="6" fillId="13" borderId="0" xfId="0" applyAlignment="1">
      <x:alignment vertical="center" wrapText="1"/>
    </x:xf>
    <x:xf numFmtId="0" fontId="0" fillId="11" borderId="0" xfId="0" applyAlignment="1">
      <x:alignment vertical="top" wrapText="1"/>
    </x:xf>
    <x:xf numFmtId="168" fontId="0" fillId="11" borderId="0" xfId="0" applyAlignment="1">
      <x:alignment vertical="top" wrapText="1"/>
    </x:xf>
    <x:xf numFmtId="168" fontId="0" fillId="0" borderId="0" xfId="0" applyAlignment="1">
      <x:alignment vertical="top" wrapText="1"/>
    </x:xf>
    <x:xf numFmtId="169" fontId="0" fillId="11" borderId="0" xfId="0" applyAlignment="1">
      <x:alignment vertical="top" wrapText="1"/>
    </x:xf>
    <x:xf numFmtId="169" fontId="0" fillId="0" borderId="0" xfId="0" applyAlignment="1">
      <x:alignment vertical="top" wrapText="1"/>
    </x:xf>
    <x:xf numFmtId="9" fontId="0" fillId="11" borderId="0" xfId="0" applyAlignment="1">
      <x:alignment vertical="top" wrapText="1"/>
    </x:xf>
    <x:xf numFmtId="170" fontId="0" fillId="11" borderId="0" xfId="0" applyAlignment="1">
      <x:alignment vertical="top" wrapText="1"/>
    </x:xf>
    <x:xf numFmtId="0" fontId="8" fillId="11" borderId="3" xfId="1" applyAlignment="1">
      <x:alignment vertical="top" wrapText="1"/>
    </x:xf>
    <x:xf numFmtId="0" fontId="0" fillId="18" borderId="0" xfId="0" applyAlignment="1">
      <x:alignment vertical="top" wrapText="1"/>
    </x:xf>
    <x:xf numFmtId="168" fontId="0" fillId="18" borderId="0" xfId="0" applyAlignment="1">
      <x:alignment vertical="top" wrapText="1"/>
    </x:xf>
    <x:xf numFmtId="169" fontId="0" fillId="18" borderId="0" xfId="0" applyAlignment="1">
      <x:alignment vertical="top" wrapText="1"/>
    </x:xf>
    <x:xf numFmtId="9" fontId="0" fillId="18" borderId="0" xfId="0" applyAlignment="1">
      <x:alignment vertical="top" wrapText="1"/>
    </x:xf>
    <x:xf numFmtId="170" fontId="0" fillId="18" borderId="0" xfId="0" applyAlignment="1">
      <x:alignment vertical="top" wrapText="1"/>
    </x:xf>
    <x:xf numFmtId="0" fontId="8" fillId="18" borderId="3" xfId="1" applyAlignment="1">
      <x:alignment vertical="top" wrapText="1"/>
    </x:xf>
    <x:xf numFmtId="0" fontId="7" fillId="12" borderId="1" xfId="0" applyAlignment="1">
      <x:alignment vertical="center"/>
    </x:xf>
    <x:xf numFmtId="0" fontId="6" fillId="13" borderId="2" xfId="0" applyAlignment="1">
      <x:alignment vertical="center" wrapText="1"/>
    </x:xf>
    <x:xf numFmtId="9" fontId="0" fillId="0" borderId="0" xfId="0" applyAlignment="1">
      <x:alignment vertical="top" wrapText="1"/>
    </x:xf>
    <x:xf numFmtId="4" fontId="0" fillId="0" borderId="0" xfId="0" applyAlignment="1">
      <x:alignment vertical="top" wrapText="1"/>
    </x:xf>
    <x:xf numFmtId="0" fontId="8" fillId="0" borderId="3" xfId="1"/>
    <x:xf numFmtId="0" fontId="14" fillId="12" borderId="1" xfId="0" applyAlignment="1">
      <x:alignment vertical="center"/>
    </x:xf>
    <x:xf numFmtId="0" fontId="15" fillId="14" borderId="1" xfId="0" applyAlignment="1">
      <x:alignment vertical="center" wrapText="1"/>
    </x:xf>
    <x:xf numFmtId="0" fontId="16" fillId="19" borderId="0" xfId="0" applyAlignment="1">
      <x:alignment vertical="center" wrapText="1"/>
    </x:xf>
    <x:xf numFmtId="0" fontId="17" fillId="20" borderId="5" xfId="0" applyAlignment="1">
      <x:alignment vertical="top" wrapText="1"/>
    </x:xf>
    <x:xf numFmtId="0" fontId="17" fillId="11" borderId="5" xfId="0" applyAlignment="1">
      <x:alignment vertical="top" wrapText="1"/>
    </x:xf>
    <x:xf numFmtId="0" fontId="0" fillId="21" borderId="0" xfId="0" applyNumberFormat="1" applyFont="1" applyFill="1" applyBorder="1"/>
    <x:xf numFmtId="0" fontId="1" fillId="21" borderId="0" xfId="0" applyNumberFormat="1" applyFont="1" applyFill="1" applyBorder="1"/>
    <x:xf numFmtId="0" fontId="1" fillId="21" borderId="0" xfId="0" applyNumberFormat="1" applyFont="1" applyFill="1" applyBorder="1" applyAlignment="1">
      <x:alignment wrapText="1"/>
    </x:xf>
    <x:xf numFmtId="0" fontId="1" fillId="21" borderId="0" xfId="0" applyNumberFormat="1" applyFont="1" applyFill="1" applyBorder="1" applyAlignment="1">
      <x:alignment horizontal="center" wrapText="1"/>
    </x:xf>
    <x:xf numFmtId="0" fontId="1" fillId="21" borderId="0" xfId="0" applyNumberFormat="1" applyFont="1" applyFill="1" applyBorder="1" applyAlignment="1">
      <x:alignment horizontal="center" vertical="center" wrapText="1"/>
    </x:xf>
    <x:xf numFmtId="0" fontId="18" fillId="0" borderId="0" xfId="0" applyNumberFormat="1" applyFont="1" applyFill="1" applyBorder="1"/>
    <x:xf numFmtId="0" fontId="18" fillId="0" borderId="0" xfId="0" applyNumberFormat="1" applyFont="1" applyFill="1" applyBorder="1" applyAlignment="1">
      <x:alignment wrapText="1"/>
    </x:xf>
    <x:xf numFmtId="0" fontId="18" fillId="0" borderId="0" xfId="0" applyNumberFormat="1" applyFont="1" applyFill="1" applyBorder="1" applyAlignment="1">
      <x:alignment vertical="center"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9" fillId="0"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0" fillId="23" borderId="0" xfId="0" applyNumberFormat="1" applyFont="1" applyFill="1" applyBorder="1"/>
    <x:xf numFmtId="0" fontId="20" fillId="23" borderId="0" xfId="0" applyNumberFormat="1" applyFont="1" applyFill="1" applyBorder="1"/>
    <x:xf numFmtId="0" fontId="21" fillId="0" borderId="0" xfId="0" applyNumberFormat="1" applyFont="1" applyFill="1" applyBorder="1"/>
    <x:xf numFmtId="0" fontId="21" fillId="0" borderId="0"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cellXfs>
  <x:cellStyles count="2">
    <x:cellStyle name="Normal" xfId="0"/>
    <x:cellStyle name="Hyperlink" xfId="1"/>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fa1d928e9f4a80" /><Relationship Type="http://schemas.openxmlformats.org/officeDocument/2006/relationships/theme" Target="/xl/theme/theme1.xml" Id="Rf8d8cd9561de4010" /><Relationship Type="http://schemas.openxmlformats.org/officeDocument/2006/relationships/sharedStrings" Target="/xl/sharedStrings.xml" Id="Re4ddd5d85c4c43b3" /><Relationship Type="http://schemas.openxmlformats.org/officeDocument/2006/relationships/worksheet" Target="/xl/worksheets/sheet1.xml" Id="Rb6e9f414bba14844" /><Relationship Type="http://schemas.openxmlformats.org/officeDocument/2006/relationships/worksheet" Target="/xl/worksheets/sheet2.xml" Id="Rb59296c04c99468c" /><Relationship Type="http://schemas.openxmlformats.org/officeDocument/2006/relationships/worksheet" Target="/xl/worksheets/sheet3.xml" Id="R1eec70bb7f564abd" /><Relationship Type="http://schemas.openxmlformats.org/officeDocument/2006/relationships/worksheet" Target="/xl/worksheets/sheet4.xml" Id="R2006cfc0b2f74e39" /><Relationship Type="http://schemas.openxmlformats.org/officeDocument/2006/relationships/worksheet" Target="/xl/worksheets/sheet5.xml" Id="R0551bd8ccc874611" /><Relationship Type="http://schemas.openxmlformats.org/officeDocument/2006/relationships/worksheet" Target="/xl/worksheets/sheet6.xml" Id="R34178e70b05e4c0b" /><Relationship Type="http://schemas.openxmlformats.org/officeDocument/2006/relationships/worksheet" Target="/xl/worksheets/sheet7.xml" Id="R13d583b87e7f4011" /><Relationship Type="http://schemas.openxmlformats.org/officeDocument/2006/relationships/worksheet" Target="/xl/worksheets/sheet8.xml" Id="R90673e38c641472d" /><Relationship Type="http://schemas.openxmlformats.org/officeDocument/2006/relationships/worksheet" Target="/xl/worksheets/sheet9.xml" Id="R4d0403209c5443cf" /><Relationship Type="http://schemas.openxmlformats.org/officeDocument/2006/relationships/worksheet" Target="/xl/worksheets/sheet10.xml" Id="R1f6ec9a4f2d34b98" /><Relationship Type="http://schemas.openxmlformats.org/officeDocument/2006/relationships/worksheet" Target="/xl/worksheets/sheet11.xml" Id="Rea8e40f273df4ec4" /><Relationship Type="http://schemas.openxmlformats.org/officeDocument/2006/relationships/worksheet" Target="/xl/worksheets/sheet12.xml" Id="R4dcb135cccc74651" /><Relationship Type="http://schemas.openxmlformats.org/officeDocument/2006/relationships/worksheet" Target="/xl/worksheets/sheet13.xml" Id="Reea4c49a6ba0458f" /><Relationship Type="http://schemas.openxmlformats.org/officeDocument/2006/relationships/worksheet" Target="/xl/worksheets/sheet14.xml" Id="R9460c229b0774c6d" /><Relationship Type="http://schemas.openxmlformats.org/officeDocument/2006/relationships/worksheet" Target="/xl/worksheets/sheet15.xml" Id="R806e7f7f80204f2c" /><Relationship Type="http://schemas.openxmlformats.org/officeDocument/2006/relationships/worksheet" Target="/xl/worksheets/sheet16.xml" Id="R3875e8c1b9a2448a" /><Relationship Type="http://schemas.openxmlformats.org/officeDocument/2006/relationships/worksheet" Target="/xl/worksheets/sheet17.xml" Id="R5dcfae1cb5374e51" /><Relationship Type="http://schemas.openxmlformats.org/officeDocument/2006/relationships/worksheet" Target="/xl/worksheets/sheet18.xml" Id="R434b43af63fc415e" /><Relationship Type="http://schemas.openxmlformats.org/officeDocument/2006/relationships/worksheet" Target="/xl/worksheets/sheet19.xml" Id="Rb49ba53b24e8433f" /><Relationship Type="http://schemas.openxmlformats.org/officeDocument/2006/relationships/worksheet" Target="/xl/worksheets/sheet20.xml" Id="R70ad03e5223e4cc0" /><Relationship Type="http://schemas.openxmlformats.org/officeDocument/2006/relationships/worksheet" Target="/xl/worksheets/sheet21.xml" Id="Rbcec7f079fae425b" /><Relationship Type="http://schemas.openxmlformats.org/officeDocument/2006/relationships/worksheet" Target="/xl/worksheets/sheet22.xml" Id="R6611ce6fa4f241fd" /><Relationship Type="http://schemas.openxmlformats.org/officeDocument/2006/relationships/worksheet" Target="/xl/worksheets/sheet23.xml" Id="R8bf3f0cb848540ad" /><Relationship Type="http://schemas.openxmlformats.org/officeDocument/2006/relationships/worksheet" Target="/xl/worksheets/sheet24.xml" Id="R3be4e70a0ae34364" /><Relationship Type="http://schemas.openxmlformats.org/officeDocument/2006/relationships/worksheet" Target="/xl/worksheets/sheet25.xml" Id="R273967777fc94514" /><Relationship Type="http://schemas.openxmlformats.org/officeDocument/2006/relationships/worksheet" Target="/xl/worksheets/sheet26.xml" Id="R1d86871cdc504359" /><Relationship Type="http://schemas.openxmlformats.org/officeDocument/2006/relationships/worksheet" Target="/xl/worksheets/sheet27.xml" Id="R08c41fe118eb453f" /><Relationship Type="http://schemas.openxmlformats.org/officeDocument/2006/relationships/worksheet" Target="/xl/worksheets/sheet28.xml" Id="R9b716aeda9f445ad" /><Relationship Type="http://schemas.openxmlformats.org/officeDocument/2006/relationships/worksheet" Target="/xl/worksheets/sheet29.xml" Id="Rce6e8fa38b084133" /><Relationship Type="http://schemas.openxmlformats.org/officeDocument/2006/relationships/worksheet" Target="/xl/worksheets/sheet30.xml" Id="Rbb3d0f90d38a4c69" /><Relationship Type="http://schemas.openxmlformats.org/officeDocument/2006/relationships/worksheet" Target="/xl/worksheets/sheet31.xml" Id="R559ea5bc7773463b" /><Relationship Type="http://schemas.openxmlformats.org/officeDocument/2006/relationships/worksheet" Target="/xl/worksheets/sheet32.xml" Id="R5037a9c37a344981" /><Relationship Type="http://schemas.openxmlformats.org/officeDocument/2006/relationships/worksheet" Target="/xl/worksheets/sheet33.xml" Id="Rd90d35cd650b445f" /><Relationship Type="http://schemas.openxmlformats.org/officeDocument/2006/relationships/worksheet" Target="/xl/worksheets/sheet34.xml" Id="R293264308a884edf" /><Relationship Type="http://schemas.openxmlformats.org/officeDocument/2006/relationships/worksheet" Target="/xl/worksheets/sheet35.xml" Id="R70f69327f9f248a4" /><Relationship Type="http://schemas.openxmlformats.org/officeDocument/2006/relationships/worksheet" Target="/xl/worksheets/sheet36.xml" Id="R6de9e0d9e3f84da3" /><Relationship Type="http://schemas.openxmlformats.org/officeDocument/2006/relationships/worksheet" Target="/xl/worksheets/sheet37.xml" Id="R57b780b6460f4a28" /><Relationship Type="http://schemas.openxmlformats.org/officeDocument/2006/relationships/worksheet" Target="/xl/worksheets/sheet38.xml" Id="Rfbd5cb1396d845fe" /><Relationship Type="http://schemas.openxmlformats.org/officeDocument/2006/relationships/worksheet" Target="/xl/worksheets/sheet39.xml" Id="Rf152971f0e2f4a48" /><Relationship Type="http://schemas.openxmlformats.org/officeDocument/2006/relationships/worksheet" Target="/xl/worksheets/sheet40.xml" Id="Ra583f48f25184c04" /><Relationship Type="http://schemas.openxmlformats.org/officeDocument/2006/relationships/worksheet" Target="/xl/worksheets/sheet41.xml" Id="R5aa21dd68f234012" /><Relationship Type="http://schemas.openxmlformats.org/officeDocument/2006/relationships/worksheet" Target="/xl/worksheets/sheet42.xml" Id="R67546f1cefa24883" /><Relationship Type="http://schemas.openxmlformats.org/officeDocument/2006/relationships/worksheet" Target="/xl/worksheets/sheet43.xml" Id="Ra5196052ef1a4c29" /><Relationship Type="http://schemas.openxmlformats.org/officeDocument/2006/relationships/worksheet" Target="/xl/worksheets/sheet44.xml" Id="Ra93b975b27bf4d63" /><Relationship Type="http://schemas.openxmlformats.org/officeDocument/2006/relationships/worksheet" Target="/xl/worksheets/sheet45.xml" Id="R006659b7bde149f5" /><Relationship Type="http://schemas.openxmlformats.org/officeDocument/2006/relationships/worksheet" Target="/xl/worksheets/sheet46.xml" Id="R68e80ad4bd524bbb" /><Relationship Type="http://schemas.microsoft.com/office/2017/10/relationships/person" Target="/xl/persons/person.xml" Id="R903f6f91205d40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205b8936332448e" /></Relationships>
</file>

<file path=xl/drawings/_rels/drawing2.xml.rels>&#65279;<?xml version="1.0" encoding="utf-8"?><Relationships xmlns="http://schemas.openxmlformats.org/package/2006/relationships"><Relationship Type="http://schemas.openxmlformats.org/officeDocument/2006/relationships/chart" Target="/xl/drawings/charts/chart2.xml" Id="R8ee388d0d36a4698" /></Relationships>
</file>

<file path=xl/drawings/_rels/drawing3.xml.rels>&#65279;<?xml version="1.0" encoding="utf-8"?><Relationships xmlns="http://schemas.openxmlformats.org/package/2006/relationships"><Relationship Type="http://schemas.openxmlformats.org/officeDocument/2006/relationships/chart" Target="/xl/drawings/charts/chart3.xml" Id="Rdffcd695cfb44971" /><Relationship Type="http://schemas.openxmlformats.org/officeDocument/2006/relationships/chart" Target="/xl/drawings/charts/chart4.xml" Id="Rffd9eaa2ab884f9d"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Peak AA intelligence — selected contenders</a:t>
            </a:r>
          </a:p>
        </c:rich>
      </c:tx>
    </c:title>
    <c:plotArea>
      <c:barChart>
        <c:barDir val="col"/>
        <c:grouping val="clustered"/>
        <c:varyColors val="0"/>
        <c:ser>
          <c:idx val="0"/>
          <c:order val="0"/>
          <c:tx>
            <c:v>Peak AA score</c:v>
          </c:tx>
          <c:spPr>
            <a:ln xmlns:a="http://schemas.openxmlformats.org/drawingml/2006/main">
              <a:prstDash val="solid"/>
            </a:ln>
          </c:spPr>
          <c:cat>
            <c:strRef>
              <c:f>'Dashboard'!$A$37:$A$46</c:f>
              <c:strCache>
                <c:ptCount val="0"/>
              </c:strCache>
            </c:strRef>
          </c:cat>
          <c:val>
            <c:numRef>
              <c:f>'Dashboard'!$B$37:$B$46</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dispBlanksAs val="gap"/>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Selected benchmark score vs task cost</a:t>
            </a:r>
          </a:p>
        </c:rich>
      </c:tx>
    </c:title>
    <c:plotArea>
      <c:bubbleChart>
        <c:bubbleScale val="65"/>
        <c:varyColors val="1"/>
        <c:ser>
          <c:idx val="0"/>
          <c:order val="0"/>
          <c:tx>
            <c:v>Claude Haiku 5.5</c:v>
          </c:tx>
          <c:spPr>
            <a:ln xmlns:a="http://schemas.openxmlformats.org/drawingml/2006/main">
              <a:prstDash val="solid"/>
            </a:ln>
          </c:spPr>
          <c:xVal>
            <c:numRef>
              <c:f>'Benchmark_Comparison'!$N$41:$N$45</c:f>
              <c:numCache>
                <c:formatCode>General</c:formatCode>
                <c:ptCount val="0"/>
              </c:numCache>
            </c:numRef>
          </c:xVal>
          <c:yVal>
            <c:numRef>
              <c:f>'Benchmark_Comparison'!$G$41:$G$45</c:f>
              <c:numCache>
                <c:formatCode>General</c:formatCode>
                <c:ptCount val="0"/>
              </c:numCache>
            </c:numRef>
          </c:yVal>
          <c:bubbleSize>
            <c:numRef>
              <c:f>'Benchmark_Comparison'!$K$41:$K$45</c:f>
              <c:numCache>
                <c:formatCode>General</c:formatCode>
                <c:ptCount val="0"/>
              </c:numCache>
            </c:numRef>
          </c:bubbleSize>
        </c:ser>
        <c:ser>
          <c:idx val="1"/>
          <c:order val="1"/>
          <c:tx>
            <c:v>Claude Opus 5.5</c:v>
          </c:tx>
          <c:spPr>
            <a:ln xmlns:a="http://schemas.openxmlformats.org/drawingml/2006/main">
              <a:prstDash val="solid"/>
            </a:ln>
          </c:spPr>
          <c:xVal>
            <c:numRef>
              <c:f>'Benchmark_Comparison'!$N$46</c:f>
              <c:numCache>
                <c:formatCode>General</c:formatCode>
                <c:ptCount val="0"/>
              </c:numCache>
            </c:numRef>
          </c:xVal>
          <c:yVal>
            <c:numRef>
              <c:f>'Benchmark_Comparison'!$G$46</c:f>
              <c:numCache>
                <c:formatCode>General</c:formatCode>
                <c:ptCount val="0"/>
              </c:numCache>
            </c:numRef>
          </c:yVal>
          <c:bubbleSize>
            <c:numRef>
              <c:f>'Benchmark_Comparison'!$K$46</c:f>
              <c:numCache>
                <c:formatCode>General</c:formatCode>
                <c:ptCount val="0"/>
              </c:numCache>
            </c:numRef>
          </c:bubbleSize>
        </c:ser>
        <c:ser>
          <c:idx val="2"/>
          <c:order val="2"/>
          <c:tx>
            <c:v>Claude Sonnet 5.5</c:v>
          </c:tx>
          <c:spPr>
            <a:ln xmlns:a="http://schemas.openxmlformats.org/drawingml/2006/main">
              <a:prstDash val="solid"/>
            </a:ln>
          </c:spPr>
          <c:xVal>
            <c:numRef>
              <c:f>'Benchmark_Comparison'!$N$47:$N$51</c:f>
              <c:numCache>
                <c:formatCode>General</c:formatCode>
                <c:ptCount val="0"/>
              </c:numCache>
            </c:numRef>
          </c:xVal>
          <c:yVal>
            <c:numRef>
              <c:f>'Benchmark_Comparison'!$G$47:$G$51</c:f>
              <c:numCache>
                <c:formatCode>General</c:formatCode>
                <c:ptCount val="0"/>
              </c:numCache>
            </c:numRef>
          </c:yVal>
          <c:bubbleSize>
            <c:numRef>
              <c:f>'Benchmark_Comparison'!$K$47:$K$51</c:f>
              <c:numCache>
                <c:formatCode>General</c:formatCode>
                <c:ptCount val="0"/>
              </c:numCache>
            </c:numRef>
          </c:bubbleSize>
        </c:ser>
        <c:ser>
          <c:idx val="3"/>
          <c:order val="3"/>
          <c:tx>
            <c:v>DeepSeek V4 Flash 0731</c:v>
          </c:tx>
          <c:spPr>
            <a:ln xmlns:a="http://schemas.openxmlformats.org/drawingml/2006/main">
              <a:prstDash val="solid"/>
            </a:ln>
          </c:spPr>
          <c:xVal>
            <c:numRef>
              <c:f>'Benchmark_Comparison'!$N$52</c:f>
              <c:numCache>
                <c:formatCode>General</c:formatCode>
                <c:ptCount val="0"/>
              </c:numCache>
            </c:numRef>
          </c:xVal>
          <c:yVal>
            <c:numRef>
              <c:f>'Benchmark_Comparison'!$G$52</c:f>
              <c:numCache>
                <c:formatCode>General</c:formatCode>
                <c:ptCount val="0"/>
              </c:numCache>
            </c:numRef>
          </c:yVal>
          <c:bubbleSize>
            <c:numRef>
              <c:f>'Benchmark_Comparison'!$K$52</c:f>
              <c:numCache>
                <c:formatCode>General</c:formatCode>
                <c:ptCount val="0"/>
              </c:numCache>
            </c:numRef>
          </c:bubbleSize>
        </c:ser>
        <c:ser>
          <c:idx val="4"/>
          <c:order val="4"/>
          <c:tx>
            <c:v>DeepSeek V4 Pro 0813</c:v>
          </c:tx>
          <c:spPr>
            <a:ln xmlns:a="http://schemas.openxmlformats.org/drawingml/2006/main">
              <a:prstDash val="solid"/>
            </a:ln>
          </c:spPr>
          <c:xVal>
            <c:numRef>
              <c:f>'Benchmark_Comparison'!$N$53</c:f>
              <c:numCache>
                <c:formatCode>General</c:formatCode>
                <c:ptCount val="0"/>
              </c:numCache>
            </c:numRef>
          </c:xVal>
          <c:yVal>
            <c:numRef>
              <c:f>'Benchmark_Comparison'!$G$53</c:f>
              <c:numCache>
                <c:formatCode>General</c:formatCode>
                <c:ptCount val="0"/>
              </c:numCache>
            </c:numRef>
          </c:yVal>
          <c:bubbleSize>
            <c:numRef>
              <c:f>'Benchmark_Comparison'!$K$53</c:f>
              <c:numCache>
                <c:formatCode>General</c:formatCode>
                <c:ptCount val="0"/>
              </c:numCache>
            </c:numRef>
          </c:bubbleSize>
        </c:ser>
        <c:ser>
          <c:idx val="5"/>
          <c:order val="5"/>
          <c:tx>
            <c:v>Gemini 4 Argon</c:v>
          </c:tx>
          <c:spPr>
            <a:ln xmlns:a="http://schemas.openxmlformats.org/drawingml/2006/main">
              <a:prstDash val="solid"/>
            </a:ln>
          </c:spPr>
          <c:xVal>
            <c:numRef>
              <c:f>'Benchmark_Comparison'!$N$54</c:f>
              <c:numCache>
                <c:formatCode>General</c:formatCode>
                <c:ptCount val="0"/>
              </c:numCache>
            </c:numRef>
          </c:xVal>
          <c:yVal>
            <c:numRef>
              <c:f>'Benchmark_Comparison'!$G$54</c:f>
              <c:numCache>
                <c:formatCode>General</c:formatCode>
                <c:ptCount val="0"/>
              </c:numCache>
            </c:numRef>
          </c:yVal>
          <c:bubbleSize>
            <c:numRef>
              <c:f>'Benchmark_Comparison'!$K$54</c:f>
              <c:numCache>
                <c:formatCode>General</c:formatCode>
                <c:ptCount val="0"/>
              </c:numCache>
            </c:numRef>
          </c:bubbleSize>
        </c:ser>
        <c:ser>
          <c:idx val="6"/>
          <c:order val="6"/>
          <c:tx>
            <c:v>GLM-5.3</c:v>
          </c:tx>
          <c:spPr>
            <a:ln xmlns:a="http://schemas.openxmlformats.org/drawingml/2006/main">
              <a:prstDash val="solid"/>
            </a:ln>
          </c:spPr>
          <c:xVal>
            <c:numRef>
              <c:f>'Benchmark_Comparison'!$N$55</c:f>
              <c:numCache>
                <c:formatCode>General</c:formatCode>
                <c:ptCount val="0"/>
              </c:numCache>
            </c:numRef>
          </c:xVal>
          <c:yVal>
            <c:numRef>
              <c:f>'Benchmark_Comparison'!$G$55</c:f>
              <c:numCache>
                <c:formatCode>General</c:formatCode>
                <c:ptCount val="0"/>
              </c:numCache>
            </c:numRef>
          </c:yVal>
          <c:bubbleSize>
            <c:numRef>
              <c:f>'Benchmark_Comparison'!$K$55</c:f>
              <c:numCache>
                <c:formatCode>General</c:formatCode>
                <c:ptCount val="0"/>
              </c:numCache>
            </c:numRef>
          </c:bubbleSize>
        </c:ser>
        <c:ser>
          <c:idx val="7"/>
          <c:order val="7"/>
          <c:tx>
            <c:v>GPT-6 Astra</c:v>
          </c:tx>
          <c:spPr>
            <a:ln xmlns:a="http://schemas.openxmlformats.org/drawingml/2006/main">
              <a:prstDash val="solid"/>
            </a:ln>
          </c:spPr>
          <c:xVal>
            <c:numRef>
              <c:f>'Benchmark_Comparison'!$N$56</c:f>
              <c:numCache>
                <c:formatCode>General</c:formatCode>
                <c:ptCount val="0"/>
              </c:numCache>
            </c:numRef>
          </c:xVal>
          <c:yVal>
            <c:numRef>
              <c:f>'Benchmark_Comparison'!$G$56</c:f>
              <c:numCache>
                <c:formatCode>General</c:formatCode>
                <c:ptCount val="0"/>
              </c:numCache>
            </c:numRef>
          </c:yVal>
          <c:bubbleSize>
            <c:numRef>
              <c:f>'Benchmark_Comparison'!$K$56</c:f>
              <c:numCache>
                <c:formatCode>General</c:formatCode>
                <c:ptCount val="0"/>
              </c:numCache>
            </c:numRef>
          </c:bubbleSize>
        </c:ser>
        <c:ser>
          <c:idx val="8"/>
          <c:order val="8"/>
          <c:tx>
            <c:v>GPT-6 Luna</c:v>
          </c:tx>
          <c:spPr>
            <a:ln xmlns:a="http://schemas.openxmlformats.org/drawingml/2006/main">
              <a:prstDash val="solid"/>
            </a:ln>
          </c:spPr>
          <c:xVal>
            <c:numRef>
              <c:f>'Benchmark_Comparison'!$N$57</c:f>
              <c:numCache>
                <c:formatCode>General</c:formatCode>
                <c:ptCount val="0"/>
              </c:numCache>
            </c:numRef>
          </c:xVal>
          <c:yVal>
            <c:numRef>
              <c:f>'Benchmark_Comparison'!$G$57</c:f>
              <c:numCache>
                <c:formatCode>General</c:formatCode>
                <c:ptCount val="0"/>
              </c:numCache>
            </c:numRef>
          </c:yVal>
          <c:bubbleSize>
            <c:numRef>
              <c:f>'Benchmark_Comparison'!$K$57</c:f>
              <c:numCache>
                <c:formatCode>General</c:formatCode>
                <c:ptCount val="0"/>
              </c:numCache>
            </c:numRef>
          </c:bubbleSize>
        </c:ser>
        <c:ser>
          <c:idx val="9"/>
          <c:order val="9"/>
          <c:tx>
            <c:v>GPT-6 Sol</c:v>
          </c:tx>
          <c:spPr>
            <a:ln xmlns:a="http://schemas.openxmlformats.org/drawingml/2006/main">
              <a:prstDash val="solid"/>
            </a:ln>
          </c:spPr>
          <c:xVal>
            <c:numRef>
              <c:f>'Benchmark_Comparison'!$N$58</c:f>
              <c:numCache>
                <c:formatCode>General</c:formatCode>
                <c:ptCount val="0"/>
              </c:numCache>
            </c:numRef>
          </c:xVal>
          <c:yVal>
            <c:numRef>
              <c:f>'Benchmark_Comparison'!$G$58</c:f>
              <c:numCache>
                <c:formatCode>General</c:formatCode>
                <c:ptCount val="0"/>
              </c:numCache>
            </c:numRef>
          </c:yVal>
          <c:bubbleSize>
            <c:numRef>
              <c:f>'Benchmark_Comparison'!$K$58</c:f>
              <c:numCache>
                <c:formatCode>General</c:formatCode>
                <c:ptCount val="0"/>
              </c:numCache>
            </c:numRef>
          </c:bubbleSize>
        </c:ser>
        <c:ser>
          <c:idx val="10"/>
          <c:order val="10"/>
          <c:tx>
            <c:v>GPT-6.1 Sol</c:v>
          </c:tx>
          <c:spPr>
            <a:ln xmlns:a="http://schemas.openxmlformats.org/drawingml/2006/main">
              <a:prstDash val="solid"/>
            </a:ln>
          </c:spPr>
          <c:xVal>
            <c:numRef>
              <c:f>'Benchmark_Comparison'!$N$59:$N$63</c:f>
              <c:numCache>
                <c:formatCode>General</c:formatCode>
                <c:ptCount val="0"/>
              </c:numCache>
            </c:numRef>
          </c:xVal>
          <c:yVal>
            <c:numRef>
              <c:f>'Benchmark_Comparison'!$G$59:$G$63</c:f>
              <c:numCache>
                <c:formatCode>General</c:formatCode>
                <c:ptCount val="0"/>
              </c:numCache>
            </c:numRef>
          </c:yVal>
          <c:bubbleSize>
            <c:numRef>
              <c:f>'Benchmark_Comparison'!$K$59:$K$63</c:f>
              <c:numCache>
                <c:formatCode>General</c:formatCode>
                <c:ptCount val="0"/>
              </c:numCache>
            </c:numRef>
          </c:bubbleSize>
        </c:ser>
        <c:ser>
          <c:idx val="11"/>
          <c:order val="11"/>
          <c:tx>
            <c:v>Muse Wonder</c:v>
          </c:tx>
          <c:spPr>
            <a:ln xmlns:a="http://schemas.openxmlformats.org/drawingml/2006/main">
              <a:prstDash val="solid"/>
            </a:ln>
          </c:spPr>
          <c:xVal>
            <c:numRef>
              <c:f>'Benchmark_Comparison'!$N$64</c:f>
              <c:numCache>
                <c:formatCode>General</c:formatCode>
                <c:ptCount val="0"/>
              </c:numCache>
            </c:numRef>
          </c:xVal>
          <c:yVal>
            <c:numRef>
              <c:f>'Benchmark_Comparison'!$G$64</c:f>
              <c:numCache>
                <c:formatCode>General</c:formatCode>
                <c:ptCount val="0"/>
              </c:numCache>
            </c:numRef>
          </c:yVal>
          <c:bubbleSize>
            <c:numRef>
              <c:f>'Benchmark_Comparison'!$K$64</c:f>
              <c:numCache>
                <c:formatCode>General</c:formatCode>
                <c:ptCount val="0"/>
              </c:numCache>
            </c:numRef>
          </c:bubbleSize>
        </c:ser>
        <c:ser>
          <c:idx val="12"/>
          <c:order val="12"/>
          <c:tx>
            <c:v>Muse Wonder Full</c:v>
          </c:tx>
          <c:spPr>
            <a:ln xmlns:a="http://schemas.openxmlformats.org/drawingml/2006/main">
              <a:prstDash val="solid"/>
            </a:ln>
          </c:spPr>
          <c:xVal>
            <c:numRef>
              <c:f>'Benchmark_Comparison'!$N$65</c:f>
              <c:numCache>
                <c:formatCode>General</c:formatCode>
                <c:ptCount val="0"/>
              </c:numCache>
            </c:numRef>
          </c:xVal>
          <c:yVal>
            <c:numRef>
              <c:f>'Benchmark_Comparison'!$G$65</c:f>
              <c:numCache>
                <c:formatCode>General</c:formatCode>
                <c:ptCount val="0"/>
              </c:numCache>
            </c:numRef>
          </c:yVal>
          <c:bubbleSize>
            <c:numRef>
              <c:f>'Benchmark_Comparison'!$K$65</c:f>
              <c:numCache>
                <c:formatCode>General</c:formatCode>
                <c:ptCount val="0"/>
              </c:numCache>
            </c:numRef>
          </c:bubbleSize>
        </c:ser>
        <c:axId val="20"/>
        <c:axId val="10"/>
      </c:bubbleChart>
      <c:valAx>
        <c:axId val="10"/>
        <c:scaling>
          <c:logBase val="10"/>
          <c:orientation val="minMax"/>
          <c:min val="0.001"/>
        </c:scaling>
        <c:delete val="0"/>
        <c:axPos val="l"/>
        <c:title>
          <c:tx>
            <c:rich>
              <a:bodyPr xmlns:a="http://schemas.openxmlformats.org/drawingml/2006/main"/>
              <a:lstStyle xmlns:a="http://schemas.openxmlformats.org/drawingml/2006/main"/>
              <a:p xmlns:a="http://schemas.openxmlformats.org/drawingml/2006/main">
                <a:pPr>
                  <a:buNone/>
                </a:pPr>
                <a:r>
                  <a:t>Selected task cost (USD) · benchmark source shown above</a:t>
                </a:r>
              </a:p>
            </c:rich>
          </c:tx>
        </c:title>
        <c:numFmt formatCode="General"/>
        <c:majorTickMark val="none"/>
        <c:minorTickMark val="none"/>
        <c:crossAx val="20"/>
      </c:valAx>
      <c:valAx>
        <c:axId val="20"/>
        <c:scaling>
          <c:orientation val="minMax"/>
          <c:max val="100"/>
          <c:min val="0"/>
        </c:scaling>
        <c:delete val="0"/>
        <c:axPos val="l"/>
        <c:title>
          <c:tx>
            <c:rich>
              <a:bodyPr xmlns:a="http://schemas.openxmlformats.org/drawingml/2006/main"/>
              <a:lstStyle xmlns:a="http://schemas.openxmlformats.org/drawingml/2006/main"/>
              <a:p xmlns:a="http://schemas.openxmlformats.org/drawingml/2006/main">
                <a:pPr>
                  <a:buNone/>
                </a:pPr>
                <a:r>
                  <a:t>Selected benchmark score (points)</a:t>
                </a:r>
              </a:p>
            </c:rich>
          </c:tx>
        </c:title>
        <c:numFmt formatCode="General"/>
        <c:majorTickMark val="none"/>
        <c:minorTickMark val="none"/>
        <c:crossAx val="10"/>
      </c:valAx>
    </c:plotArea>
    <c:legend>
      <c:legendPos val="r"/>
      <c:overlay val="0"/>
    </c:legend>
    <c:plotVisOnly val="1"/>
    <c:dispBlanksAs val="gap"/>
  </c:chart>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API coding-task attempts at $120</a:t>
            </a:r>
          </a:p>
        </c:rich>
      </c:tx>
      <c:overlay val="0"/>
    </c:title>
    <c:plotArea>
      <c:barChart>
        <c:barDir val="col"/>
        <c:varyColors val="0"/>
        <c:ser>
          <c:idx val="0"/>
          <c:order val="0"/>
          <c:tx>
            <c:v>$120 tasks</c:v>
          </c:tx>
          <c:spPr>
            <a:solidFill xmlns:a="http://schemas.openxmlformats.org/drawingml/2006/main">
              <a:srgbClr val="207F91"/>
            </a:solidFill>
          </c:spPr>
          <c:invertIfNegative val="0"/>
          <c:cat>
            <c:strRef>
              <c:f>'Task_Capacity_Report'!$A$17:$A$23</c:f>
              <c:strCache>
                <c:ptCount val="0"/>
              </c:strCache>
            </c:strRef>
          </c:cat>
          <c:val>
            <c:numRef>
              <c:f>'Task_Capacity_Report'!$G$17:$G$23</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Average active agent minutes per task</a:t>
            </a:r>
          </a:p>
        </c:rich>
      </c:tx>
      <c:overlay val="0"/>
    </c:title>
    <c:plotArea>
      <c:barChart>
        <c:barDir val="col"/>
        <c:varyColors val="0"/>
        <c:ser>
          <c:idx val="0"/>
          <c:order val="0"/>
          <c:tx>
            <c:v>Min/task</c:v>
          </c:tx>
          <c:spPr>
            <a:solidFill xmlns:a="http://schemas.openxmlformats.org/drawingml/2006/main">
              <a:srgbClr val="9C6E32"/>
            </a:solidFill>
          </c:spPr>
          <c:invertIfNegative val="0"/>
          <c:cat>
            <c:strRef>
              <c:f>'Task_Capacity_Report'!$A$17:$A$24</c:f>
              <c:strCache>
                <c:ptCount val="0"/>
              </c:strCache>
            </c:strRef>
          </c:cat>
          <c:val>
            <c:numRef>
              <c:f>'Task_Capacity_Report'!$D$17:$D$24</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35</xdr:row>
      <xdr:rowOff>0</xdr:rowOff>
    </xdr:from>
    <xdr:to>
      <xdr:col>14</xdr:col>
      <xdr:colOff>0</xdr:colOff>
      <xdr:row>54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205b8936332448e"/>
        </a:graphicData>
      </a:graphic>
    </xdr:graphicFrame>
    <xdr:clientData/>
  </xdr:twoCellAnchor>
</xdr:wsDr>
</file>

<file path=xl/drawings/drawing2.xml><?xml version="1.0" encoding="utf-8"?>
<xdr:wsDr xmlns:xdr="http://schemas.openxmlformats.org/drawingml/2006/spreadsheetDrawing">
  <xdr:oneCellAnchor>
    <xdr:from>
      <xdr:col>0</xdr:col>
      <xdr:colOff>0</xdr:colOff>
      <xdr:row>18</xdr:row>
      <xdr:rowOff>0</xdr:rowOff>
    </xdr:from>
    <xdr:ext cx="8640000" cy="41400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e388d0d36a4698"/>
        </a:graphicData>
      </a:graphic>
    </xdr:graphicFrame>
    <xdr:clientData/>
  </xdr:oneCellAnchor>
</xdr:wsDr>
</file>

<file path=xl/drawings/drawing3.xml><?xml version="1.0" encoding="utf-8"?>
<xdr:wsDr xmlns:xdr="http://schemas.openxmlformats.org/drawingml/2006/spreadsheetDrawing">
  <xdr:twoCellAnchor>
    <xdr:from>
      <xdr:col>0</xdr:col>
      <xdr:colOff>0</xdr:colOff>
      <xdr:row>26</xdr:row>
      <xdr:rowOff>0</xdr:rowOff>
    </xdr:from>
    <xdr:to>
      <xdr:col>8</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ffcd695cfb44971"/>
        </a:graphicData>
      </a:graphic>
    </xdr:graphicFrame>
    <xdr:clientData/>
  </xdr:twoCellAnchor>
  <xdr:twoCellAnchor>
    <xdr:from>
      <xdr:col>8</xdr:col>
      <xdr:colOff>0</xdr:colOff>
      <xdr:row>26</xdr:row>
      <xdr:rowOff>0</xdr:rowOff>
    </xdr:from>
    <xdr:to>
      <xdr:col>16</xdr:col>
      <xdr:colOff>0</xdr:colOff>
      <xdr:row>44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fd9eaa2ab884f9d"/>
        </a:graphicData>
      </a:graphic>
    </xdr:graphicFrame>
    <xdr:clientData/>
  </xdr:twoCellAnchor>
</xdr:wsDr>
</file>

<file path=xl/persons/person.xml><?xml version="1.0" encoding="utf-8"?>
<xltc:personList xmlns:xltc="http://schemas.microsoft.com/office/spreadsheetml/2018/threadedcomments">
  <xltc:person displayName="AInventory source review" id="{0617DCFF-E8A8-C3C8-8F31-628E70A1FFA8}"/>
  <xltc:person displayName="AInventory" id="{17CE350D-E219-413A-4FA7-6C81E055B873}"/>
  <xltc:person displayName="AInventory source review" id="{32909D16-A5C5-5009-63A1-63C07DEB908C}"/>
</xltc:personList>
</file>

<file path=xl/tables/table1.xml><?xml version="1.0" encoding="utf-8"?>
<x:table xmlns:x="http://schemas.openxmlformats.org/spreadsheetml/2006/main" id="1" name="CodingAgentResults" displayName="CodingAgentResults" ref="A2:AK29" headerRowCount="1">
  <x:autoFilter ref="A2:AK29"/>
  <x:tableColumns count="37">
    <x:tableColumn id="1" name="observation_key"/>
    <x:tableColumn id="2" name="model_variant_key"/>
    <x:tableColumn id="3" name="model_as_reported"/>
    <x:tableColumn id="4" name="effort_as_reported"/>
    <x:tableColumn id="5" name="agent_harness"/>
    <x:tableColumn id="6" name="benchmark_name"/>
    <x:tableColumn id="7" name="benchmark_version"/>
    <x:tableColumn id="8" name="benchmark_version_key"/>
    <x:tableColumn id="9" name="cai_index_score"/>
    <x:tableColumn id="10" name="deep_swe_v1_1_pct"/>
    <x:tableColumn id="11" name="terminal_bench_4_0_pct"/>
    <x:tableColumn id="12" name="swe_atlas_qna_pct"/>
    <x:tableColumn id="13" name="cost_per_task_usd"/>
    <x:tableColumn id="14" name="reported_cost_display"/>
    <x:tableColumn id="15" name="cost_status"/>
    <x:tableColumn id="16" name="time_per_task_display"/>
    <x:tableColumn id="17" name="time_per_task_seconds"/>
    <x:tableColumn id="18" name="time_metric"/>
    <x:tableColumn id="19" name="token_usage_per_task_display"/>
    <x:tableColumn id="20" name="token_usage_per_task"/>
    <x:tableColumn id="21" name="token_metric"/>
    <x:tableColumn id="22" name="turns_per_task"/>
    <x:tableColumn id="23" name="cache_hit_rate_pct"/>
    <x:tableColumn id="24" name="test_run_date"/>
    <x:tableColumn id="25" name="snapshot_date"/>
    <x:tableColumn id="26" name="source_url"/>
    <x:tableColumn id="27" name="match_status"/>
    <x:tableColumn id="28" name="notes"/>
    <x:tableColumn id="29" name="component_1_name"/>
    <x:tableColumn id="30" name="component_1_version"/>
    <x:tableColumn id="31" name="component_1_score_pct"/>
    <x:tableColumn id="32" name="component_2_name"/>
    <x:tableColumn id="33" name="component_2_version"/>
    <x:tableColumn id="34" name="component_2_score_pct"/>
    <x:tableColumn id="35" name="component_3_name"/>
    <x:tableColumn id="36" name="component_3_version"/>
    <x:tableColumn id="37" name="component_3_score_pct"/>
  </x:tableColumns>
  <x:tableStyleInfo name="TableStyleMedium2" showFirstColumn="0" showLastColumn="0" showRowStripes="1" showColumnStripes="0"/>
</x:table>
</file>

<file path=xl/tables/table2.xml><?xml version="1.0" encoding="utf-8"?>
<x:table xmlns:x="http://schemas.openxmlformats.org/spreadsheetml/2006/main" id="2" name="CodingAgentLookups" displayName="CodingAgentLookups" ref="A2:G10" headerRowCount="1">
  <x:autoFilter ref="A2:G10"/>
  <x:tableColumns count="7">
    <x:tableColumn id="1" name="model_or_variant"/>
    <x:tableColumn id="2" name="lookup_date"/>
    <x:tableColumn id="3" name="benchmark_version_checked"/>
    <x:tableColumn id="4" name="direct_pages_checked"/>
    <x:tableColumn id="5" name="search_outcome"/>
    <x:tableColumn id="6" name="workbook_treatment"/>
    <x:tableColumn id="7" name="recheck_rule"/>
  </x:tableColumns>
  <x:tableStyleInfo name="TableStyleMedium2" showFirstColumn="0" showLastColumn="0" showRowStripes="1" showColumnStripes="0"/>
</x:table>
</file>

<file path=xl/tables/table3.xml><?xml version="1.0" encoding="utf-8"?>
<x:table xmlns:x="http://schemas.openxmlformats.org/spreadsheetml/2006/main" id="3" name="SaaSPlanCatalog" displayName="SaaSPlanCatalog" ref="A1:Q49" headerRowCount="1" totalsRowCount="0" totalsRowShown="0">
  <x:tableColumns count="17">
    <x:tableColumn id="1" name="catalog_id"/>
    <x:tableColumn id="2" name="provider"/>
    <x:tableColumn id="3" name="service"/>
    <x:tableColumn id="4" name="plan_or_tier"/>
    <x:tableColumn id="5" name="category"/>
    <x:tableColumn id="6" name="price_amount"/>
    <x:tableColumn id="7" name="price_unit"/>
    <x:tableColumn id="8" name="billing_model"/>
    <x:tableColumn id="9" name="included_quotas_or_value"/>
    <x:tableColumn id="10" name="other_benefits"/>
    <x:tableColumn id="11" name="account_team_restrictions"/>
    <x:tableColumn id="12" name="privacy_retention_terms"/>
    <x:tableColumn id="13" name="region_eligibility"/>
    <x:tableColumn id="14" name="verified_as_of"/>
    <x:tableColumn id="15" name="official_source_url"/>
    <x:tableColumn id="16" name="source_confidence"/>
    <x:tableColumn id="17" name="caveats"/>
  </x:tableColumns>
  <x:tableStyleInfo name="TableStyleMedium2" showFirstColumn="0" showLastColumn="0" showRowStripes="1" showColumnStripes="0"/>
</x:table>
</file>

<file path=xl/tables/table4.xml><?xml version="1.0" encoding="utf-8"?>
<x:table xmlns:x="http://schemas.openxmlformats.org/spreadsheetml/2006/main" id="4" name="SaaSPlanEvents" displayName="SaaSPlanEvents" ref="A1:T17" headerRowCount="1" totalsRowCount="0" totalsRowShown="0">
  <x:tableColumns count="20">
    <x:tableColumn id="1" name="event_id"/>
    <x:tableColumn id="2" name="announcement_date"/>
    <x:tableColumn id="3" name="effective_date"/>
    <x:tableColumn id="4" name="observed_date"/>
    <x:tableColumn id="5" name="provider"/>
    <x:tableColumn id="6" name="service"/>
    <x:tableColumn id="7" name="plan_or_surface"/>
    <x:tableColumn id="8" name="event_type"/>
    <x:tableColumn id="9" name="dimension"/>
    <x:tableColumn id="10" name="before_value"/>
    <x:tableColumn id="11" name="after_value"/>
    <x:tableColumn id="12" name="confirmed_scope"/>
    <x:tableColumn id="13" name="practical_implication"/>
    <x:tableColumn id="14" name="broader_impact"/>
    <x:tableColumn id="15" name="primary_official_source"/>
    <x:tableColumn id="16" name="evidence_class"/>
    <x:tableColumn id="17" name="former_value_basis"/>
    <x:tableColumn id="18" name="confidence"/>
    <x:tableColumn id="19" name="notification_state"/>
    <x:tableColumn id="20" name="notes"/>
  </x:tableColumns>
  <x:tableStyleInfo name="TableStyleMedium2" showFirstColumn="0" showLastColumn="0" showRowStripes="1" showColumnStripes="0"/>
</x:table>
</file>

<file path=xl/tables/table5.xml><?xml version="1.0" encoding="utf-8"?>
<x:table xmlns:x="http://schemas.openxmlformats.org/spreadsheetml/2006/main" id="5" name="UsageExperienceReports" displayName="UsageExperienceReports" ref="A1:N5" headerRowCount="1" totalsRowCount="0" totalsRowShown="0">
  <x:tableColumns count="14">
    <x:tableColumn id="1" name="report_id"/>
    <x:tableColumn id="2" name="provider"/>
    <x:tableColumn id="3" name="service"/>
    <x:tableColumn id="4" name="plan"/>
    <x:tableColumn id="5" name="report_date"/>
    <x:tableColumn id="6" name="sample_window"/>
    <x:tableColumn id="7" name="reported_observation"/>
    <x:tableColumn id="8" name="quantified_claim"/>
    <x:tableColumn id="9" name="source_url"/>
    <x:tableColumn id="10" name="evidence_type"/>
    <x:tableColumn id="11" name="confidence"/>
    <x:tableColumn id="12" name="caveats"/>
    <x:tableColumn id="13" name="how_to_use"/>
    <x:tableColumn id="14" name="captured_utc"/>
  </x:tableColumns>
  <x:tableStyleInfo name="TableStyleMedium2" showFirstColumn="0" showLastColumn="0" showRowStripes="1" showColumnStripes="0"/>
</x:table>
</file>

<file path=xl/tables/table6.xml><?xml version="1.0" encoding="utf-8"?>
<x:table xmlns:x="http://schemas.openxmlformats.org/spreadsheetml/2006/main" id="6" name="PlanWatchSources" displayName="PlanWatchSources" ref="A1:M20" headerRowCount="1" totalsRowCount="0" totalsRowShown="0">
  <x:tableColumns count="13">
    <x:tableColumn id="1" name="watch_id"/>
    <x:tableColumn id="2" name="provider"/>
    <x:tableColumn id="3" name="service_and_plan_scope"/>
    <x:tableColumn id="4" name="monitor_dimensions"/>
    <x:tableColumn id="5" name="official_source_1"/>
    <x:tableColumn id="6" name="official_source_2"/>
    <x:tableColumn id="7" name="official_source_3"/>
    <x:tableColumn id="8" name="third_party_leads"/>
    <x:tableColumn id="9" name="monthly_deep_review"/>
    <x:tableColumn id="10" name="geo_family_seat_checks"/>
    <x:tableColumn id="11" name="candidate_discovery_rule"/>
    <x:tableColumn id="12" name="status"/>
    <x:tableColumn id="13" name="notes"/>
  </x:tableColumns>
  <x:tableStyleInfo name="TableStyleMedium2" showFirstColumn="0" showLastColumn="0" showRowStripes="1" showColumnStripes="0"/>
</x:table>
</file>

<file path=xl/tables/table7.xml><?xml version="1.0" encoding="utf-8"?>
<x:table xmlns:x="http://schemas.openxmlformats.org/spreadsheetml/2006/main" id="7" name="CodingTaskBudgetsTable" displayName="CodingTaskBudgetsTable" ref="A1:N36" headerRowCount="1" totalsRowCount="0" totalsRowShown="0">
  <x:tableColumns count="14">
    <x:tableColumn id="1" name="Model / effort"/>
    <x:tableColumn id="2" name="Effort"/>
    <x:tableColumn id="3" name="Harness / benchmark"/>
    <x:tableColumn id="4" name="AA score"/>
    <x:tableColumn id="5" name="API USD / task"/>
    <x:tableColumn id="6" name="Minutes / task"/>
    <x:tableColumn id="7" name="Snapshot date"/>
    <x:tableColumn id="8" name="Source URL"/>
    <x:tableColumn id="9" name="Interpretation"/>
    <x:tableColumn id="10" name="$60 tasks"/>
    <x:tableColumn id="11" name="$90 tasks"/>
    <x:tableColumn id="12" name="$120 tasks"/>
    <x:tableColumn id="13" name="$180 tasks"/>
    <x:tableColumn id="14" name="160-hour capacity"/>
  </x:tableColumns>
  <x:tableStyleInfo name="TableStyleMedium2" showFirstColumn="0" showLastColumn="0" showRowStripes="1" showColumnStripes="0"/>
</x:table>
</file>

<file path=xl/tables/table8.xml><?xml version="1.0" encoding="utf-8"?>
<x:table xmlns:x="http://schemas.openxmlformats.org/spreadsheetml/2006/main" id="8" name="GeneralTaskBudgetsTable" displayName="GeneralTaskBudgetsTable" ref="A1:N115" headerRowCount="1" totalsRowCount="0" totalsRowShown="0">
  <x:tableColumns count="14">
    <x:tableColumn id="1" name="Model / effort"/>
    <x:tableColumn id="2" name="Effort"/>
    <x:tableColumn id="3" name="Harness / benchmark"/>
    <x:tableColumn id="4" name="AA score"/>
    <x:tableColumn id="5" name="API USD / task"/>
    <x:tableColumn id="6" name="Minutes / task"/>
    <x:tableColumn id="7" name="Snapshot date"/>
    <x:tableColumn id="8" name="Source URL"/>
    <x:tableColumn id="9" name="Interpretation"/>
    <x:tableColumn id="10" name="$60 tasks"/>
    <x:tableColumn id="11" name="$90 tasks"/>
    <x:tableColumn id="12" name="$120 tasks"/>
    <x:tableColumn id="13" name="$180 tasks"/>
    <x:tableColumn id="14" name="160-hour capacity"/>
  </x:tableColumns>
  <x:tableStyleInfo name="TableStyleMedium2" showFirstColumn="0" showLastColumn="0" showRowStripes="1" showColumnStripes="0"/>
</x:table>
</file>

<file path=xl/tables/table9.xml><?xml version="1.0" encoding="utf-8"?>
<x:table xmlns:x="http://schemas.openxmlformats.org/spreadsheetml/2006/main" id="9" name="OpenCodeQuotasTodayTable" displayName="OpenCodeQuotasTodayTable" ref="A1:N37" headerRowCount="1" totalsRowCount="0" totalsRowShown="0">
  <x:tableColumns count="14">
    <x:tableColumn id="1" name="Model / context / window"/>
    <x:tableColumn id="2" name="Input USD/M"/>
    <x:tableColumn id="3" name="Output USD/M"/>
    <x:tableColumn id="4" name="Cache read USD/M"/>
    <x:tableColumn id="5" name="Cache write USD/M"/>
    <x:tableColumn id="6" name="Go monthly USD"/>
    <x:tableColumn id="7" name="Plus monthly USD"/>
    <x:tableColumn id="8" name="Go 5h USD"/>
    <x:tableColumn id="9" name="Go weekly USD"/>
    <x:tableColumn id="10" name="Plus 5h USD"/>
    <x:tableColumn id="11" name="Plus weekly USD"/>
    <x:tableColumn id="12" name="Restrictions"/>
    <x:tableColumn id="13" name="Verified date"/>
    <x:tableColumn id="14" name="Official source"/>
  </x:tableColumns>
  <x:tableStyleInfo name="TableStyleMedium2" showFirstColumn="0" showLastColumn="0" showRowStripes="1" showColumnStripes="0"/>
</x:table>
</file>

<file path=xl/tables/table10.xml><?xml version="1.0" encoding="utf-8"?>
<x:table xmlns:x="http://schemas.openxmlformats.org/spreadsheetml/2006/main" id="10" name="GoGeneralTaskCapacityTable" displayName="GoGeneralTaskCapacityTable" ref="A1:U40" headerRowCount="1" totalsRowCount="0" totalsRowShown="0">
  <x:tableColumns count="21">
    <x:tableColumn id="1" name="Model"/>
    <x:tableColumn id="2" name="Effort"/>
    <x:tableColumn id="3" name="AAII score"/>
    <x:tableColumn id="4" name="AA USD/task"/>
    <x:tableColumn id="5" name="Go model/tier"/>
    <x:tableColumn id="6" name="Go monthly cap"/>
    <x:tableColumn id="7" name="Plus monthly cap"/>
    <x:tableColumn id="8" name="AA input/M"/>
    <x:tableColumn id="9" name="AA output/M"/>
    <x:tableColumn id="10" name="AA cached/M"/>
    <x:tableColumn id="11" name="Go input/M"/>
    <x:tableColumn id="12" name="Go output/M"/>
    <x:tableColumn id="13" name="Go cached/M"/>
    <x:tableColumn id="14" name="Repriced min USD/task"/>
    <x:tableColumn id="15" name="Repriced max USD/task"/>
    <x:tableColumn id="16" name="Go minimum tasks"/>
    <x:tableColumn id="17" name="Go maximum tasks"/>
    <x:tableColumn id="18" name="Plus minimum tasks"/>
    <x:tableColumn id="19" name="Plus maximum tasks"/>
    <x:tableColumn id="20" name="Interpretation"/>
    <x:tableColumn id="21" name="AA source"/>
  </x:tableColumns>
  <x:tableStyleInfo name="TableStyleMedium2" showFirstColumn="0" showLastColumn="0" showRowStripes="1" showColumnStripes="0"/>
</x:table>
</file>

<file path=xl/tables/table11.xml><?xml version="1.0" encoding="utf-8"?>
<x:table xmlns:x="http://schemas.openxmlformats.org/spreadsheetml/2006/main" id="11" name="SubscriptionTaskCapacityTable" displayName="SubscriptionTaskCapacityTable" ref="A1:N16" headerRowCount="1" totalsRowCount="0" totalsRowShown="0">
  <x:tableColumns count="14">
    <x:tableColumn id="1" name="Offer"/>
    <x:tableColumn id="2" name="Model / effort"/>
    <x:tableColumn id="3" name="Monthly fee USD"/>
    <x:tableColumn id="4" name="Model allowance USD equivalent"/>
    <x:tableColumn id="5" name="AA API cost/task proxy"/>
    <x:tableColumn id="6" name="CAI score"/>
    <x:tableColumn id="7" name="AA minutes/task"/>
    <x:tableColumn id="8" name="Evidence class"/>
    <x:tableColumn id="9" name="Caveats"/>
    <x:tableColumn id="10" name="Included task proxy"/>
    <x:tableColumn id="11" name="$60 budget tasks"/>
    <x:tableColumn id="12" name="$90 budget tasks"/>
    <x:tableColumn id="13" name="$120 budget tasks"/>
    <x:tableColumn id="14" name="$180 budget task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a25a98d5c246e2" /></Relationships>
</file>

<file path=xl/worksheets/_rels/sheet2.xml.rels>&#65279;<?xml version="1.0" encoding="utf-8"?><Relationships xmlns="http://schemas.openxmlformats.org/package/2006/relationships"><Relationship Type="http://schemas.openxmlformats.org/officeDocument/2006/relationships/hyperlink" Target="https://artificialanalysis.ai/models/claude-haiku-5-5-low" TargetMode="External" Id="Rf53d4227d4964a26" /><Relationship Type="http://schemas.openxmlformats.org/officeDocument/2006/relationships/hyperlink" Target="https://artificialanalysis.ai/agents/coding-agents/comparisons/claude-code-vs-muse-code" TargetMode="External" Id="Rb0e20ae249c0417e" /><Relationship Type="http://schemas.openxmlformats.org/officeDocument/2006/relationships/hyperlink" Target="https://artificialanalysis.ai/models/claude-haiku-5-5-medium" TargetMode="External" Id="R1c5a8f418de84d05" /><Relationship Type="http://schemas.openxmlformats.org/officeDocument/2006/relationships/hyperlink" Target="https://artificialanalysis.ai/agents/coding-agents/comparisons/claude-code-vs-muse-code" TargetMode="External" Id="R0f4c782b78e64bc5" /><Relationship Type="http://schemas.openxmlformats.org/officeDocument/2006/relationships/hyperlink" Target="https://artificialanalysis.ai/models/claude-haiku-5-5-high" TargetMode="External" Id="Rc80ae29a593c42cb" /><Relationship Type="http://schemas.openxmlformats.org/officeDocument/2006/relationships/hyperlink" Target="https://artificialanalysis.ai/agents/coding-agents/comparisons/claude-code-vs-muse-code" TargetMode="External" Id="R7486763e8e39463b" /><Relationship Type="http://schemas.openxmlformats.org/officeDocument/2006/relationships/hyperlink" Target="https://artificialanalysis.ai/models/claude-haiku-5-5-xhigh" TargetMode="External" Id="R324a4fa7526142d0" /><Relationship Type="http://schemas.openxmlformats.org/officeDocument/2006/relationships/hyperlink" Target="https://artificialanalysis.ai/agents/coding-agents/comparisons/claude-code-vs-muse-code" TargetMode="External" Id="R60a9b5256bf948bc" /><Relationship Type="http://schemas.openxmlformats.org/officeDocument/2006/relationships/hyperlink" Target="https://artificialanalysis.ai/models/claude-haiku-5-5" TargetMode="External" Id="R1ede06b823a9498c" /><Relationship Type="http://schemas.openxmlformats.org/officeDocument/2006/relationships/hyperlink" Target="https://artificialanalysis.ai/agents/coding-agents/comparisons/claude-code-vs-muse-code" TargetMode="External" Id="R98d91ade5ec2458b" /><Relationship Type="http://schemas.openxmlformats.org/officeDocument/2006/relationships/hyperlink" Target="https://artificialanalysis.ai/models/claude-opus-5-5" TargetMode="External" Id="Rb838f395e42d4af3" /><Relationship Type="http://schemas.openxmlformats.org/officeDocument/2006/relationships/hyperlink" Target="https://artificialanalysis.ai/agents/coding-agents/comparisons/claude-code-vs-muse-code" TargetMode="External" Id="R8dff624e3bc44ab4" /><Relationship Type="http://schemas.openxmlformats.org/officeDocument/2006/relationships/hyperlink" Target="https://artificialanalysis.ai/models/claude-sonnet-5-5-low" TargetMode="External" Id="R384600ed50a04c3b" /><Relationship Type="http://schemas.openxmlformats.org/officeDocument/2006/relationships/hyperlink" Target="https://artificialanalysis.ai/agents/coding-agents/comparisons/claude-code-vs-muse-code" TargetMode="External" Id="Ref161767622b4b46" /><Relationship Type="http://schemas.openxmlformats.org/officeDocument/2006/relationships/hyperlink" Target="https://artificialanalysis.ai/models/claude-sonnet-5-5-medium" TargetMode="External" Id="Race673a0c0bf4747" /><Relationship Type="http://schemas.openxmlformats.org/officeDocument/2006/relationships/hyperlink" Target="https://artificialanalysis.ai/agents/coding-agents/comparisons/claude-code-vs-muse-code" TargetMode="External" Id="Rdb675cc17f7b48c2" /><Relationship Type="http://schemas.openxmlformats.org/officeDocument/2006/relationships/hyperlink" Target="https://artificialanalysis.ai/models/claude-sonnet-5-5-high" TargetMode="External" Id="Re181e62e343c436d" /><Relationship Type="http://schemas.openxmlformats.org/officeDocument/2006/relationships/hyperlink" Target="https://artificialanalysis.ai/agents/coding-agents/comparisons/claude-code-vs-muse-code" TargetMode="External" Id="R8ccf5f82deaf48ac" /><Relationship Type="http://schemas.openxmlformats.org/officeDocument/2006/relationships/hyperlink" Target="https://artificialanalysis.ai/models/claude-sonnet-5-5-xhigh" TargetMode="External" Id="Rd08f39b66711438a" /><Relationship Type="http://schemas.openxmlformats.org/officeDocument/2006/relationships/hyperlink" Target="https://artificialanalysis.ai/agents/coding-agents/comparisons/claude-code-vs-muse-code" TargetMode="External" Id="R6bd0f7b58ed54a10" /><Relationship Type="http://schemas.openxmlformats.org/officeDocument/2006/relationships/hyperlink" Target="https://artificialanalysis.ai/models/claude-sonnet-5-5" TargetMode="External" Id="R1447767643134908" /><Relationship Type="http://schemas.openxmlformats.org/officeDocument/2006/relationships/hyperlink" Target="https://artificialanalysis.ai/agents/coding-agents/comparisons/claude-code-vs-muse-code" TargetMode="External" Id="Rdfc05c3a9913406e" /><Relationship Type="http://schemas.openxmlformats.org/officeDocument/2006/relationships/hyperlink" Target="https://artificialanalysis.ai/agents/coding-agents/comparisons/codex-vs-muse-code" TargetMode="External" Id="Rd436e5016bb4401b" /><Relationship Type="http://schemas.openxmlformats.org/officeDocument/2006/relationships/hyperlink" Target="https://artificialanalysis.ai/models/deepseek-v4-pro" TargetMode="External" Id="R4ae52d2429324fcb" /><Relationship Type="http://schemas.openxmlformats.org/officeDocument/2006/relationships/hyperlink" Target="https://artificialanalysis.ai/agents/coding-agents/comparisons/codex-vs-muse-code" TargetMode="External" Id="R1ccbee1163f94a9e" /><Relationship Type="http://schemas.openxmlformats.org/officeDocument/2006/relationships/hyperlink" Target="https://artificialanalysis.ai/agents/coding-agents/comparisons/antigravity-cli-vs-codex" TargetMode="External" Id="Rbf5cc4cd0dab458f" /><Relationship Type="http://schemas.openxmlformats.org/officeDocument/2006/relationships/hyperlink" Target="https://artificialanalysis.ai/agents/coding-agents/comparisons/opencode-vs-muse-code" TargetMode="External" Id="Ra2ec2c27163c4a1c" /><Relationship Type="http://schemas.openxmlformats.org/officeDocument/2006/relationships/hyperlink" Target="https://artificialanalysis.ai/models/gpt-6-astra" TargetMode="External" Id="Rf36f69fb2e604e4f" /><Relationship Type="http://schemas.openxmlformats.org/officeDocument/2006/relationships/hyperlink" Target="https://artificialanalysis.ai/agents/coding-agents/comparisons/codex-vs-muse-code" TargetMode="External" Id="R2a52cafb2a004353" /><Relationship Type="http://schemas.openxmlformats.org/officeDocument/2006/relationships/hyperlink" Target="https://artificialanalysis.ai/models/gpt-6-luna" TargetMode="External" Id="R082b3df0db0f4ed3" /><Relationship Type="http://schemas.openxmlformats.org/officeDocument/2006/relationships/hyperlink" Target="https://artificialanalysis.ai/agents/coding-agents/comparisons/codex-vs-muse-code" TargetMode="External" Id="R396dfc1467ca4e1f" /><Relationship Type="http://schemas.openxmlformats.org/officeDocument/2006/relationships/hyperlink" Target="https://artificialanalysis.ai/models/comparisons/gpt-6-sol-low-vs-gpt-6-sol" TargetMode="External" Id="Rf578813580a04b43" /><Relationship Type="http://schemas.openxmlformats.org/officeDocument/2006/relationships/hyperlink" Target="https://artificialanalysis.ai/agents/coding-agents/comparisons/codex-vs-muse-code" TargetMode="External" Id="Rf2cb20f65a5f44aa" /><Relationship Type="http://schemas.openxmlformats.org/officeDocument/2006/relationships/hyperlink" Target="https://artificialanalysis.ai/models/gpt-6-1-sol-low" TargetMode="External" Id="Rc5e929a3fe434b19" /><Relationship Type="http://schemas.openxmlformats.org/officeDocument/2006/relationships/hyperlink" Target="https://artificialanalysis.ai/agents/coding-agents/comparisons/codex-vs-muse-code" TargetMode="External" Id="Rf6684b1fced64ff6" /><Relationship Type="http://schemas.openxmlformats.org/officeDocument/2006/relationships/hyperlink" Target="https://artificialanalysis.ai/models/gpt-6-1-sol-medium" TargetMode="External" Id="Rcab63fbee4de406a" /><Relationship Type="http://schemas.openxmlformats.org/officeDocument/2006/relationships/hyperlink" Target="https://artificialanalysis.ai/agents/coding-agents/comparisons/codex-vs-muse-code" TargetMode="External" Id="R717acfaeb6314192" /><Relationship Type="http://schemas.openxmlformats.org/officeDocument/2006/relationships/hyperlink" Target="https://artificialanalysis.ai/models/gpt-6-1-sol-high" TargetMode="External" Id="R21cbd65d2e7941c5" /><Relationship Type="http://schemas.openxmlformats.org/officeDocument/2006/relationships/hyperlink" Target="https://artificialanalysis.ai/agents/coding-agents/comparisons/codex-vs-muse-code" TargetMode="External" Id="R8167d3d0b52543ed" /><Relationship Type="http://schemas.openxmlformats.org/officeDocument/2006/relationships/hyperlink" Target="https://artificialanalysis.ai/models/gpt-6-1-sol-xhigh" TargetMode="External" Id="Rc237d6a894fa4946" /><Relationship Type="http://schemas.openxmlformats.org/officeDocument/2006/relationships/hyperlink" Target="https://artificialanalysis.ai/agents/coding-agents/comparisons/codex-vs-muse-code" TargetMode="External" Id="Rb9dbd11e64ed439c" /><Relationship Type="http://schemas.openxmlformats.org/officeDocument/2006/relationships/hyperlink" Target="https://artificialanalysis.ai/models/gpt-6-1-sol" TargetMode="External" Id="R5a4109e78a76410b" /><Relationship Type="http://schemas.openxmlformats.org/officeDocument/2006/relationships/hyperlink" Target="https://artificialanalysis.ai/agents/coding-agents/comparisons/codex-vs-muse-code" TargetMode="External" Id="R70d0a68ceb514190" /><Relationship Type="http://schemas.openxmlformats.org/officeDocument/2006/relationships/hyperlink" Target="https://artificialanalysis.ai/models/muse-wonder" TargetMode="External" Id="Re0cbbf5a08ed4f28" /><Relationship Type="http://schemas.openxmlformats.org/officeDocument/2006/relationships/hyperlink" Target="https://artificialanalysis.ai/agents/coding-agents/comparisons/codex-vs-muse-code" TargetMode="External" Id="Refa69ae940524d88" /><Relationship Type="http://schemas.openxmlformats.org/officeDocument/2006/relationships/hyperlink" Target="https://artificialanalysis.ai/models/muse-wonder-full" TargetMode="External" Id="R50571bd10b3a48cc" /><Relationship Type="http://schemas.openxmlformats.org/officeDocument/2006/relationships/hyperlink" Target="https://artificialanalysis.ai/agents/coding-agents/comparisons/codex-vs-muse-code" TargetMode="External" Id="Rf48e0b5d80e1464a" /><Relationship Type="http://schemas.openxmlformats.org/officeDocument/2006/relationships/drawing" Target="/xl/drawings/drawing2.xml" Id="Rff3d205bdb5b44bb" /></Relationships>
</file>

<file path=xl/worksheets/_rels/sheet3.xml.rels>&#65279;<?xml version="1.0" encoding="utf-8"?><Relationships xmlns="http://schemas.openxmlformats.org/package/2006/relationships"><Relationship Type="http://schemas.openxmlformats.org/officeDocument/2006/relationships/hyperlink" Target="https://artificialanalysis.ai/agents/coding-agents/comparisons/codex-vs-muse-code" TargetMode="External" Id="R8e51ff0922cb483f" /><Relationship Type="http://schemas.openxmlformats.org/officeDocument/2006/relationships/hyperlink" Target="https://artificialanalysis.ai/agents/coding-agents/comparisons/codex-vs-muse-code" TargetMode="External" Id="R7a0747ce39934637" /><Relationship Type="http://schemas.openxmlformats.org/officeDocument/2006/relationships/hyperlink" Target="https://artificialanalysis.ai/agents/coding-agents/comparisons/codex-vs-muse-code" TargetMode="External" Id="Rf14d7d57503c4052" /><Relationship Type="http://schemas.openxmlformats.org/officeDocument/2006/relationships/hyperlink" Target="https://artificialanalysis.ai/agents/coding-agents/comparisons/codex-vs-muse-code" TargetMode="External" Id="R91f80b083c1b4c29" /><Relationship Type="http://schemas.openxmlformats.org/officeDocument/2006/relationships/hyperlink" Target="https://artificialanalysis.ai/agents/coding-agents/comparisons/codex-vs-muse-code" TargetMode="External" Id="R15198f48718b43ae" /><Relationship Type="http://schemas.openxmlformats.org/officeDocument/2006/relationships/hyperlink" Target="https://artificialanalysis.ai/agents/coding-agents/comparisons/codex-vs-muse-code" TargetMode="External" Id="R64b0dca5e0fd44ab" /><Relationship Type="http://schemas.openxmlformats.org/officeDocument/2006/relationships/hyperlink" Target="https://artificialanalysis.ai/agents/coding-agents/comparisons/codex-vs-muse-code" TargetMode="External" Id="R559868bb8a1341d3" /><Relationship Type="http://schemas.openxmlformats.org/officeDocument/2006/relationships/hyperlink" Target="https://artificialanalysis.ai/agents/coding-agents/comparisons/codex-vs-muse-code" TargetMode="External" Id="R11e1359f40cf44d1" /><Relationship Type="http://schemas.openxmlformats.org/officeDocument/2006/relationships/hyperlink" Target="https://artificialanalysis.ai/agents/coding-agents/comparisons/codex-vs-muse-code" TargetMode="External" Id="R739873a30f2b4cce" /><Relationship Type="http://schemas.openxmlformats.org/officeDocument/2006/relationships/hyperlink" Target="https://artificialanalysis.ai/agents/coding-agents/comparisons/codex-vs-muse-code" TargetMode="External" Id="R37f5ddba41d8483b" /><Relationship Type="http://schemas.openxmlformats.org/officeDocument/2006/relationships/hyperlink" Target="https://artificialanalysis.ai/agents/coding-agents/comparisons/codex-vs-muse-code" TargetMode="External" Id="Rfcc8bfcc41e04edf" /><Relationship Type="http://schemas.openxmlformats.org/officeDocument/2006/relationships/hyperlink" Target="https://artificialanalysis.ai/agents/coding-agents/comparisons/codex-vs-muse-code" TargetMode="External" Id="R81cb972e000049a5" /><Relationship Type="http://schemas.openxmlformats.org/officeDocument/2006/relationships/hyperlink" Target="https://artificialanalysis.ai/agents/coding-agents/comparisons/claude-code-vs-muse-code" TargetMode="External" Id="Rc4d7b11186df4aac" /><Relationship Type="http://schemas.openxmlformats.org/officeDocument/2006/relationships/hyperlink" Target="https://artificialanalysis.ai/agents/coding-agents/comparisons/claude-code-vs-muse-code" TargetMode="External" Id="Rb2024500be104d93" /><Relationship Type="http://schemas.openxmlformats.org/officeDocument/2006/relationships/hyperlink" Target="https://artificialanalysis.ai/agents/coding-agents/comparisons/claude-code-vs-muse-code" TargetMode="External" Id="Ra29bc279fd6f4239" /><Relationship Type="http://schemas.openxmlformats.org/officeDocument/2006/relationships/hyperlink" Target="https://artificialanalysis.ai/agents/coding-agents/comparisons/claude-code-vs-muse-code" TargetMode="External" Id="Ra6d50c88f0b342c4" /><Relationship Type="http://schemas.openxmlformats.org/officeDocument/2006/relationships/hyperlink" Target="https://artificialanalysis.ai/agents/coding-agents/comparisons/claude-code-vs-muse-code" TargetMode="External" Id="Rd37d3ed3b2d440d2" /><Relationship Type="http://schemas.openxmlformats.org/officeDocument/2006/relationships/hyperlink" Target="https://artificialanalysis.ai/agents/coding-agents/comparisons/claude-code-vs-muse-code" TargetMode="External" Id="Rf9b094f2079d4ca3" /><Relationship Type="http://schemas.openxmlformats.org/officeDocument/2006/relationships/hyperlink" Target="https://artificialanalysis.ai/agents/coding-agents/comparisons/claude-code-vs-muse-code" TargetMode="External" Id="R2ca7f4be761a46c2" /><Relationship Type="http://schemas.openxmlformats.org/officeDocument/2006/relationships/hyperlink" Target="https://artificialanalysis.ai/agents/coding-agents/comparisons/claude-code-vs-muse-code" TargetMode="External" Id="Reba106704c684baf" /><Relationship Type="http://schemas.openxmlformats.org/officeDocument/2006/relationships/hyperlink" Target="https://artificialanalysis.ai/agents/coding-agents/comparisons/claude-code-vs-muse-code" TargetMode="External" Id="R1cf488ee8e794eb8" /><Relationship Type="http://schemas.openxmlformats.org/officeDocument/2006/relationships/hyperlink" Target="https://artificialanalysis.ai/agents/coding-agents/comparisons/claude-code-vs-muse-code" TargetMode="External" Id="Rdee48beeb22f4781" /><Relationship Type="http://schemas.openxmlformats.org/officeDocument/2006/relationships/hyperlink" Target="https://artificialanalysis.ai/agents/coding-agents/comparisons/claude-code-vs-muse-code" TargetMode="External" Id="Rac0481e5d05e4f6d" /><Relationship Type="http://schemas.openxmlformats.org/officeDocument/2006/relationships/hyperlink" Target="https://artificialanalysis.ai/agents/coding-agents/comparisons/opencode-vs-muse-code" TargetMode="External" Id="R7c9c11efbf0e41ba" /><Relationship Type="http://schemas.openxmlformats.org/officeDocument/2006/relationships/hyperlink" Target="https://artificialanalysis.ai/agents/coding-agents/comparisons/antigravity-cli-vs-codex" TargetMode="External" Id="R4d36fe023c3f46bc" /><Relationship Type="http://schemas.openxmlformats.org/officeDocument/2006/relationships/table" Target="/xl/tables/table1.xml" Id="Raf42851086bc48b2" /></Relationships>
</file>

<file path=xl/worksheets/_rels/sheet4.xml.rels>&#65279;<?xml version="1.0" encoding="utf-8"?><Relationships xmlns="http://schemas.openxmlformats.org/package/2006/relationships"><Relationship Type="http://schemas.openxmlformats.org/officeDocument/2006/relationships/table" Target="/xl/tables/table2.xml" Id="Rcecfbbfab7c245f2" /></Relationships>
</file>

<file path=xl/worksheets/_rels/sheet19.xml.rels>&#65279;<?xml version="1.0" encoding="utf-8"?><Relationships xmlns="http://schemas.openxmlformats.org/package/2006/relationships"><Relationship Type="http://schemas.openxmlformats.org/officeDocument/2006/relationships/comments" Target="/xl/comments1.xml" Id="R2a913c1a5db64ee3" /><Relationship Type="http://schemas.openxmlformats.org/officeDocument/2006/relationships/vmlDrawing" Target="/xl/drawings/vmldrawing.vml" Id="Ra5aae8071e9844ac" /></Relationships>
</file>

<file path=xl/worksheets/_rels/sheet36.xml.rels>&#65279;<?xml version="1.0" encoding="utf-8"?><Relationships xmlns="http://schemas.openxmlformats.org/package/2006/relationships"><Relationship Type="http://schemas.openxmlformats.org/officeDocument/2006/relationships/comments" Target="/xl/comments2.xml" Id="R3f2b52d001f746c4" /><Relationship Type="http://schemas.openxmlformats.org/officeDocument/2006/relationships/vmlDrawing" Target="/xl/drawings/vmldrawing2.vml" Id="R31cb30e7bbed4bf5" /></Relationships>
</file>

<file path=xl/worksheets/_rels/sheet37.xml.rels>&#65279;<?xml version="1.0" encoding="utf-8"?><Relationships xmlns="http://schemas.openxmlformats.org/package/2006/relationships"><Relationship Type="http://schemas.openxmlformats.org/officeDocument/2006/relationships/table" Target="/xl/tables/table3.xml" Id="R1792e3099ab549e0" /></Relationships>
</file>

<file path=xl/worksheets/_rels/sheet38.xml.rels>&#65279;<?xml version="1.0" encoding="utf-8"?><Relationships xmlns="http://schemas.openxmlformats.org/package/2006/relationships"><Relationship Type="http://schemas.openxmlformats.org/officeDocument/2006/relationships/table" Target="/xl/tables/table4.xml" Id="R780de7914bf94a42" /></Relationships>
</file>

<file path=xl/worksheets/_rels/sheet39.xml.rels>&#65279;<?xml version="1.0" encoding="utf-8"?><Relationships xmlns="http://schemas.openxmlformats.org/package/2006/relationships"><Relationship Type="http://schemas.openxmlformats.org/officeDocument/2006/relationships/table" Target="/xl/tables/table5.xml" Id="Rebf6c6340d264641" /></Relationships>
</file>

<file path=xl/worksheets/_rels/sheet40.xml.rels>&#65279;<?xml version="1.0" encoding="utf-8"?><Relationships xmlns="http://schemas.openxmlformats.org/package/2006/relationships"><Relationship Type="http://schemas.openxmlformats.org/officeDocument/2006/relationships/table" Target="/xl/tables/table6.xml" Id="R991d0524ab374598" /></Relationships>
</file>

<file path=xl/worksheets/_rels/sheet41.xml.rels>&#65279;<?xml version="1.0" encoding="utf-8"?><Relationships xmlns="http://schemas.openxmlformats.org/package/2006/relationships"><Relationship Type="http://schemas.openxmlformats.org/officeDocument/2006/relationships/table" Target="/xl/tables/table7.xml" Id="R18e2f5d507df4d7a" /></Relationships>
</file>

<file path=xl/worksheets/_rels/sheet42.xml.rels>&#65279;<?xml version="1.0" encoding="utf-8"?><Relationships xmlns="http://schemas.openxmlformats.org/package/2006/relationships"><Relationship Type="http://schemas.openxmlformats.org/officeDocument/2006/relationships/table" Target="/xl/tables/table8.xml" Id="R41be568eb9aa4fec" /></Relationships>
</file>

<file path=xl/worksheets/_rels/sheet43.xml.rels>&#65279;<?xml version="1.0" encoding="utf-8"?><Relationships xmlns="http://schemas.openxmlformats.org/package/2006/relationships"><Relationship Type="http://schemas.openxmlformats.org/officeDocument/2006/relationships/table" Target="/xl/tables/table9.xml" Id="R5a376692422641dc" /></Relationships>
</file>

<file path=xl/worksheets/_rels/sheet44.xml.rels>&#65279;<?xml version="1.0" encoding="utf-8"?><Relationships xmlns="http://schemas.openxmlformats.org/package/2006/relationships"><Relationship Type="http://schemas.openxmlformats.org/officeDocument/2006/relationships/table" Target="/xl/tables/table10.xml" Id="Rd94ca5feb7424fb5" /></Relationships>
</file>

<file path=xl/worksheets/_rels/sheet45.xml.rels>&#65279;<?xml version="1.0" encoding="utf-8"?><Relationships xmlns="http://schemas.openxmlformats.org/package/2006/relationships"><Relationship Type="http://schemas.openxmlformats.org/officeDocument/2006/relationships/table" Target="/xl/tables/table11.xml" Id="Rc356db81c7844757" /></Relationships>
</file>

<file path=xl/worksheets/_rels/sheet46.xml.rels>&#65279;<?xml version="1.0" encoding="utf-8"?><Relationships xmlns="http://schemas.openxmlformats.org/package/2006/relationships"><Relationship Type="http://schemas.openxmlformats.org/officeDocument/2006/relationships/drawing" Target="/xl/drawings/drawing3.xml" Id="R7ad769382c7c4f9d" /></Relationships>
</file>

<file path=xl/worksheets/sheet1.xml><?xml version="1.0" encoding="utf-8"?>
<x:worksheet xmlns:x="http://schemas.openxmlformats.org/spreadsheetml/2006/main">
  <x:sheetFormatPr baseColWidth="8" defaultRowHeight="15"/>
  <x:cols>
    <x:col min="1" max="1" width="28" style="14" customWidth="1"/>
    <x:col min="2" max="2" width="24" style="14" customWidth="1"/>
    <x:col min="4" max="4" width="18" style="14" customWidth="1"/>
    <x:col min="5" max="5" width="18" style="14" customWidth="1"/>
    <x:col min="6" max="6" width="18" style="14" customWidth="1"/>
    <x:col min="7" max="7" width="18" style="14" customWidth="1"/>
    <x:col min="8" max="8" width="18" style="14" customWidth="1"/>
    <x:col min="9" max="9" width="18" style="14" customWidth="1"/>
    <x:col min="10" max="10" width="18" style="14" customWidth="1"/>
    <x:col min="11" max="11" width="18" style="14" customWidth="1"/>
    <x:col min="12" max="12" width="18" style="14" customWidth="1"/>
    <x:col min="13" max="13" width="18" style="14" customWidth="1"/>
    <x:col min="14" max="14" width="18" style="14" customWidth="1"/>
  </x:cols>
  <x:sheetData>
    <x:row r="1">
      <x:c r="A1" s="23" t="inlineStr">
        <x:is>
          <x:t xml:space="preserve">AI Coding Model Decision Dashboard</x:t>
        </x:is>
      </x:c>
      <x:c r="B1" s="15" t="n"/>
      <x:c r="C1" s="15" t="n"/>
      <x:c r="D1" s="15" t="n"/>
      <x:c r="E1" s="15" t="n"/>
      <x:c r="F1" s="15" t="n"/>
      <x:c r="G1" s="15" t="n"/>
      <x:c r="H1" s="15" t="n"/>
      <x:c r="I1" s="15" t="n"/>
      <x:c r="J1" s="15" t="n"/>
      <x:c r="K1" s="15" t="n"/>
      <x:c r="L1" s="15" t="n"/>
      <x:c r="M1" s="15" t="n"/>
      <x:c r="N1" s="15" t="n"/>
    </x:row>
    <x:row r="3">
      <x:c r="A3" s="26" t="inlineStr">
        <x:is>
          <x:t xml:space="preserve">Active profile</x:t>
        </x:is>
      </x:c>
      <x:c r="B3" t="str">
        <x:f>Controls!C4</x:f>
        <x:v>Default</x:v>
      </x:c>
      <x:c r="D3" s="47" t="inlineStr">
        <x:is>
          <x:t xml:space="preserve">Best balanced value</x:t>
        </x:is>
      </x:c>
      <x:c r="E3" s="15" t="n"/>
      <x:c r="F3" s="15" t="n"/>
      <x:c r="H3" s="47" t="inlineStr">
        <x:is>
          <x:t xml:space="preserve">Smart-favored value</x:t>
        </x:is>
      </x:c>
      <x:c r="I3" s="15" t="n"/>
      <x:c r="J3" s="15" t="n"/>
      <x:c r="L3" s="47" t="inlineStr">
        <x:is>
          <x:t xml:space="preserve">Speed-favored value</x:t>
        </x:is>
      </x:c>
      <x:c r="M3" s="15" t="n"/>
      <x:c r="N3" s="15" t="n"/>
    </x:row>
    <x:row r="4">
      <x:c r="A4" s="26" t="inlineStr">
        <x:is>
          <x:t xml:space="preserve">Usability target</x:t>
        </x:is>
      </x:c>
      <x:c r="B4" t="n">
        <x:f>Controls!C7</x:f>
        <x:v>40</x:v>
      </x:c>
      <x:c r="D4" s="6" t="inlineStr">
        <x:is>
          <x:t xml:space="preserve">Model</x:t>
        </x:is>
      </x:c>
      <x:c r="E4" s="6" t="inlineStr">
        <x:is>
          <x:t xml:space="preserve">Effort</x:t>
        </x:is>
      </x:c>
      <x:c r="F4" s="6" t="inlineStr">
        <x:is>
          <x:t xml:space="preserve">Metric</x:t>
        </x:is>
      </x:c>
      <x:c r="H4" s="6" t="inlineStr">
        <x:is>
          <x:t xml:space="preserve">Model</x:t>
        </x:is>
      </x:c>
      <x:c r="I4" s="6" t="inlineStr">
        <x:is>
          <x:t xml:space="preserve">Effort</x:t>
        </x:is>
      </x:c>
      <x:c r="J4" s="6" t="inlineStr">
        <x:is>
          <x:t xml:space="preserve">Metric</x:t>
        </x:is>
      </x:c>
      <x:c r="L4" s="6" t="inlineStr">
        <x:is>
          <x:t xml:space="preserve">Model</x:t>
        </x:is>
      </x:c>
      <x:c r="M4" s="6" t="inlineStr">
        <x:is>
          <x:t xml:space="preserve">Effort</x:t>
        </x:is>
      </x:c>
      <x:c r="N4" s="6" t="inlineStr">
        <x:is>
          <x:t xml:space="preserve">Metric</x:t>
        </x:is>
      </x:c>
    </x:row>
    <x:row r="5">
      <x:c r="A5" s="26" t="inlineStr">
        <x:is>
          <x:t xml:space="preserve">Intelligence weight</x:t>
        </x:is>
      </x:c>
      <x:c r="B5" t="n">
        <x:f>Controls!C8</x:f>
        <x:v>0.5</x:v>
      </x:c>
      <x:c r="D5" t="str">
        <x:f>IF(1&gt;Controls!$C$5,"",IFERROR(INDEX(Rankings!$C:$C,MATCH(1,Rankings!$AF:$AF,0)),""))</x:f>
        <x:v>GPT-6 Sol</x:v>
      </x:c>
      <x:c r="E5" t="str">
        <x:f>IF(D5="","",INDEX(Rankings!$E:$E,MATCH(1,Rankings!$AF:$AF,0)))</x:f>
        <x:v>high</x:v>
      </x:c>
      <x:c r="F5" s="67" t="n">
        <x:f>IF(D5="","",INDEX(Rankings!$Z:$Z,MATCH(1,Rankings!$AF:$AF,0)))</x:f>
        <x:v>0.8770080679317951</x:v>
      </x:c>
      <x:c r="H5" t="str">
        <x:f>IF(1&gt;Controls!$C$5,"",IFERROR(INDEX(Rankings!$C:$C,MATCH(1,Rankings!$AG:$AG,0)),""))</x:f>
        <x:v>GPT-6 Sol</x:v>
      </x:c>
      <x:c r="I5" t="str">
        <x:f>IF(H5="","",INDEX(Rankings!$E:$E,MATCH(1,Rankings!$AG:$AG,0)))</x:f>
        <x:v>high</x:v>
      </x:c>
      <x:c r="J5" s="67" t="n">
        <x:f>IF(H5="","",INDEX(Rankings!$AA:$AA,MATCH(1,Rankings!$AG:$AG,0)))</x:f>
        <x:v>0.8770080679317951</x:v>
      </x:c>
      <x:c r="L5" t="str">
        <x:f>IF(1&gt;Controls!$C$5,"",IFERROR(INDEX(Rankings!$C:$C,MATCH(1,Rankings!$AH:$AH,0)),""))</x:f>
        <x:v>GPT-6 Sol</x:v>
      </x:c>
      <x:c r="M5" t="str">
        <x:f>IF(L5="","",INDEX(Rankings!$E:$E,MATCH(1,Rankings!$AH:$AH,0)))</x:f>
        <x:v>high</x:v>
      </x:c>
      <x:c r="N5" s="67" t="n">
        <x:f>IF(L5="","",INDEX(Rankings!$AB:$AB,MATCH(1,Rankings!$AH:$AH,0)))</x:f>
        <x:v>0.8770080679317951</x:v>
      </x:c>
    </x:row>
    <x:row r="6">
      <x:c r="A6" s="26" t="inlineStr">
        <x:is>
          <x:t xml:space="preserve">Speed weight</x:t>
        </x:is>
      </x:c>
      <x:c r="B6" t="n">
        <x:f>Controls!C9</x:f>
        <x:v>0.5</x:v>
      </x:c>
      <x:c r="D6" t="str">
        <x:f>IF(2&gt;Controls!$C$5,"",IFERROR(INDEX(Rankings!$C:$C,MATCH(2,Rankings!$AF:$AF,0)),""))</x:f>
        <x:v>GPT-6 Astra</x:v>
      </x:c>
      <x:c r="E6" t="str">
        <x:f>IF(D6="","",INDEX(Rankings!$E:$E,MATCH(2,Rankings!$AF:$AF,0)))</x:f>
        <x:v>low</x:v>
      </x:c>
      <x:c r="F6" s="67" t="n">
        <x:f>IF(D6="","",INDEX(Rankings!$Z:$Z,MATCH(2,Rankings!$AF:$AF,0)))</x:f>
        <x:v>0.8434347122457898</x:v>
      </x:c>
      <x:c r="H6" t="str">
        <x:f>IF(2&gt;Controls!$C$5,"",IFERROR(INDEX(Rankings!$C:$C,MATCH(2,Rankings!$AG:$AG,0)),""))</x:f>
        <x:v>GPT-6 Astra</x:v>
      </x:c>
      <x:c r="I6" t="str">
        <x:f>IF(H6="","",INDEX(Rankings!$E:$E,MATCH(2,Rankings!$AG:$AG,0)))</x:f>
        <x:v>low</x:v>
      </x:c>
      <x:c r="J6" s="67" t="n">
        <x:f>IF(H6="","",INDEX(Rankings!$AA:$AA,MATCH(2,Rankings!$AG:$AG,0)))</x:f>
        <x:v>0.8434347122457898</x:v>
      </x:c>
      <x:c r="L6" t="str">
        <x:f>IF(2&gt;Controls!$C$5,"",IFERROR(INDEX(Rankings!$C:$C,MATCH(2,Rankings!$AH:$AH,0)),""))</x:f>
        <x:v>GPT-6 Astra</x:v>
      </x:c>
      <x:c r="M6" t="str">
        <x:f>IF(L6="","",INDEX(Rankings!$E:$E,MATCH(2,Rankings!$AH:$AH,0)))</x:f>
        <x:v>low</x:v>
      </x:c>
      <x:c r="N6" s="67" t="n">
        <x:f>IF(L6="","",INDEX(Rankings!$AB:$AB,MATCH(2,Rankings!$AH:$AH,0)))</x:f>
        <x:v>0.8434347122457898</x:v>
      </x:c>
    </x:row>
    <x:row r="7">
      <x:c r="A7" s="26" t="inlineStr">
        <x:is>
          <x:t xml:space="preserve">Status filter</x:t>
        </x:is>
      </x:c>
      <x:c r="B7" t="str">
        <x:f>Controls!C10</x:f>
        <x:v>Contender+Close</x:v>
      </x:c>
      <x:c r="D7" t="str">
        <x:f>IF(3&gt;Controls!$C$5,"",IFERROR(INDEX(Rankings!$C:$C,MATCH(3,Rankings!$AF:$AF,0)),""))</x:f>
        <x:v>GPT-6 Sol</x:v>
      </x:c>
      <x:c r="E7" t="str">
        <x:f>IF(D7="","",INDEX(Rankings!$E:$E,MATCH(3,Rankings!$AF:$AF,0)))</x:f>
        <x:v>xhigh</x:v>
      </x:c>
      <x:c r="F7" s="67" t="n">
        <x:f>IF(D7="","",INDEX(Rankings!$Z:$Z,MATCH(3,Rankings!$AF:$AF,0)))</x:f>
        <x:v>0.6089434811675887</x:v>
      </x:c>
      <x:c r="H7" t="str">
        <x:f>IF(3&gt;Controls!$C$5,"",IFERROR(INDEX(Rankings!$C:$C,MATCH(3,Rankings!$AG:$AG,0)),""))</x:f>
        <x:v>GPT-6 Sol</x:v>
      </x:c>
      <x:c r="I7" t="str">
        <x:f>IF(H7="","",INDEX(Rankings!$E:$E,MATCH(3,Rankings!$AG:$AG,0)))</x:f>
        <x:v>xhigh</x:v>
      </x:c>
      <x:c r="J7" s="67" t="n">
        <x:f>IF(H7="","",INDEX(Rankings!$AA:$AA,MATCH(3,Rankings!$AG:$AG,0)))</x:f>
        <x:v>0.6089434811675888</x:v>
      </x:c>
      <x:c r="L7" t="str">
        <x:f>IF(3&gt;Controls!$C$5,"",IFERROR(INDEX(Rankings!$C:$C,MATCH(3,Rankings!$AH:$AH,0)),""))</x:f>
        <x:v>GPT-6 Sol</x:v>
      </x:c>
      <x:c r="M7" t="str">
        <x:f>IF(L7="","",INDEX(Rankings!$E:$E,MATCH(3,Rankings!$AH:$AH,0)))</x:f>
        <x:v>xhigh</x:v>
      </x:c>
      <x:c r="N7" s="67" t="n">
        <x:f>IF(L7="","",INDEX(Rankings!$AB:$AB,MATCH(3,Rankings!$AH:$AH,0)))</x:f>
        <x:v>0.6089434811675888</x:v>
      </x:c>
    </x:row>
    <x:row r="8">
      <x:c r="A8" s="26" t="inlineStr">
        <x:is>
          <x:t xml:space="preserve">Availability</x:t>
        </x:is>
      </x:c>
      <x:c r="B8" t="str">
        <x:f>Controls!C11</x:f>
        <x:v>Current</x:v>
      </x:c>
      <x:c r="D8" t="str">
        <x:f>IF(4&gt;Controls!$C$5,"",IFERROR(INDEX(Rankings!$C:$C,MATCH(4,Rankings!$AF:$AF,0)),""))</x:f>
        <x:v>GPT-6 Astra</x:v>
      </x:c>
      <x:c r="E8" t="str">
        <x:f>IF(D8="","",INDEX(Rankings!$E:$E,MATCH(4,Rankings!$AF:$AF,0)))</x:f>
        <x:v>medium</x:v>
      </x:c>
      <x:c r="F8" s="67" t="n">
        <x:f>IF(D8="","",INDEX(Rankings!$Z:$Z,MATCH(4,Rankings!$AF:$AF,0)))</x:f>
        <x:v>0.48047507358139113</x:v>
      </x:c>
      <x:c r="H8" t="str">
        <x:f>IF(4&gt;Controls!$C$5,"",IFERROR(INDEX(Rankings!$C:$C,MATCH(4,Rankings!$AG:$AG,0)),""))</x:f>
        <x:v>GPT-6 Astra</x:v>
      </x:c>
      <x:c r="I8" t="str">
        <x:f>IF(H8="","",INDEX(Rankings!$E:$E,MATCH(4,Rankings!$AG:$AG,0)))</x:f>
        <x:v>medium</x:v>
      </x:c>
      <x:c r="J8" s="67" t="n">
        <x:f>IF(H8="","",INDEX(Rankings!$AA:$AA,MATCH(4,Rankings!$AG:$AG,0)))</x:f>
        <x:v>0.4804750735813912</x:v>
      </x:c>
      <x:c r="L8" t="str">
        <x:f>IF(4&gt;Controls!$C$5,"",IFERROR(INDEX(Rankings!$C:$C,MATCH(4,Rankings!$AH:$AH,0)),""))</x:f>
        <x:v>GPT-6 Astra</x:v>
      </x:c>
      <x:c r="M8" t="str">
        <x:f>IF(L8="","",INDEX(Rankings!$E:$E,MATCH(4,Rankings!$AH:$AH,0)))</x:f>
        <x:v>medium</x:v>
      </x:c>
      <x:c r="N8" s="67" t="n">
        <x:f>IF(L8="","",INDEX(Rankings!$AB:$AB,MATCH(4,Rankings!$AH:$AH,0)))</x:f>
        <x:v>0.4804750735813912</x:v>
      </x:c>
    </x:row>
    <x:row r="9">
      <x:c r="A9" s="26" t="inlineStr">
        <x:is>
          <x:t xml:space="preserve">Benchmark version</x:t>
        </x:is>
      </x:c>
      <x:c r="B9" t="str">
        <x:f>Controls!C12</x:f>
        <x:v>AA|v4.3.2</x:v>
      </x:c>
      <x:c r="D9" t="str">
        <x:f>IF(5&gt;Controls!$C$5,"",IFERROR(INDEX(Rankings!$C:$C,MATCH(5,Rankings!$AF:$AF,0)),""))</x:f>
        <x:v>GPT-6 Sol</x:v>
      </x:c>
      <x:c r="E9" t="str">
        <x:f>IF(D9="","",INDEX(Rankings!$E:$E,MATCH(5,Rankings!$AF:$AF,0)))</x:f>
        <x:v>max</x:v>
      </x:c>
      <x:c r="F9" s="67" t="n">
        <x:f>IF(D9="","",INDEX(Rankings!$Z:$Z,MATCH(5,Rankings!$AF:$AF,0)))</x:f>
        <x:v>0.45986153149398634</x:v>
      </x:c>
      <x:c r="H9" t="str">
        <x:f>IF(5&gt;Controls!$C$5,"",IFERROR(INDEX(Rankings!$C:$C,MATCH(5,Rankings!$AG:$AG,0)),""))</x:f>
        <x:v>GPT-6 Sol</x:v>
      </x:c>
      <x:c r="I9" t="str">
        <x:f>IF(H9="","",INDEX(Rankings!$E:$E,MATCH(5,Rankings!$AG:$AG,0)))</x:f>
        <x:v>max</x:v>
      </x:c>
      <x:c r="J9" s="67" t="n">
        <x:f>IF(H9="","",INDEX(Rankings!$AA:$AA,MATCH(5,Rankings!$AG:$AG,0)))</x:f>
        <x:v>0.45986153149398634</x:v>
      </x:c>
      <x:c r="L9" t="str">
        <x:f>IF(5&gt;Controls!$C$5,"",IFERROR(INDEX(Rankings!$C:$C,MATCH(5,Rankings!$AH:$AH,0)),""))</x:f>
        <x:v>GPT-6 Sol</x:v>
      </x:c>
      <x:c r="M9" t="str">
        <x:f>IF(L9="","",INDEX(Rankings!$E:$E,MATCH(5,Rankings!$AH:$AH,0)))</x:f>
        <x:v>max</x:v>
      </x:c>
      <x:c r="N9" s="67" t="n">
        <x:f>IF(L9="","",INDEX(Rankings!$AB:$AB,MATCH(5,Rankings!$AH:$AH,0)))</x:f>
        <x:v>0.45986153149398634</x:v>
      </x:c>
    </x:row>
    <x:row r="10">
      <x:c r="D10" t="str">
        <x:f>IF(6&gt;Controls!$C$5,"",IFERROR(INDEX(Rankings!$C:$C,MATCH(6,Rankings!$AF:$AF,0)),""))</x:f>
        <x:v>GPT-6 Astra</x:v>
      </x:c>
      <x:c r="E10" t="str">
        <x:f>IF(D10="","",INDEX(Rankings!$E:$E,MATCH(6,Rankings!$AF:$AF,0)))</x:f>
        <x:v>high</x:v>
      </x:c>
      <x:c r="F10" s="67" t="n">
        <x:f>IF(D10="","",INDEX(Rankings!$Z:$Z,MATCH(6,Rankings!$AF:$AF,0)))</x:f>
        <x:v>0.4188121710372843</x:v>
      </x:c>
      <x:c r="H10" t="str">
        <x:f>IF(6&gt;Controls!$C$5,"",IFERROR(INDEX(Rankings!$C:$C,MATCH(6,Rankings!$AG:$AG,0)),""))</x:f>
        <x:v>GPT-6 Astra</x:v>
      </x:c>
      <x:c r="I10" t="str">
        <x:f>IF(H10="","",INDEX(Rankings!$E:$E,MATCH(6,Rankings!$AG:$AG,0)))</x:f>
        <x:v>high</x:v>
      </x:c>
      <x:c r="J10" s="67" t="n">
        <x:f>IF(H10="","",INDEX(Rankings!$AA:$AA,MATCH(6,Rankings!$AG:$AG,0)))</x:f>
        <x:v>0.41881217103728424</x:v>
      </x:c>
      <x:c r="L10" t="str">
        <x:f>IF(6&gt;Controls!$C$5,"",IFERROR(INDEX(Rankings!$C:$C,MATCH(6,Rankings!$AH:$AH,0)),""))</x:f>
        <x:v>GPT-6 Astra</x:v>
      </x:c>
      <x:c r="M10" t="str">
        <x:f>IF(L10="","",INDEX(Rankings!$E:$E,MATCH(6,Rankings!$AH:$AH,0)))</x:f>
        <x:v>high</x:v>
      </x:c>
      <x:c r="N10" s="67" t="n">
        <x:f>IF(L10="","",INDEX(Rankings!$AB:$AB,MATCH(6,Rankings!$AH:$AH,0)))</x:f>
        <x:v>0.41881217103728424</x:v>
      </x:c>
    </x:row>
    <x:row r="11">
      <x:c r="D11" t="str">
        <x:f>IF(7&gt;Controls!$C$5,"",IFERROR(INDEX(Rankings!$C:$C,MATCH(7,Rankings!$AF:$AF,0)),""))</x:f>
        <x:v>GPT-6 Sol</x:v>
      </x:c>
      <x:c r="E11" t="str">
        <x:f>IF(D11="","",INDEX(Rankings!$E:$E,MATCH(7,Rankings!$AF:$AF,0)))</x:f>
        <x:v>max</x:v>
      </x:c>
      <x:c r="F11" s="67" t="n">
        <x:f>IF(D11="","",INDEX(Rankings!$Z:$Z,MATCH(7,Rankings!$AF:$AF,0)))</x:f>
        <x:v>0.41436201327161293</x:v>
      </x:c>
      <x:c r="H11" t="str">
        <x:f>IF(7&gt;Controls!$C$5,"",IFERROR(INDEX(Rankings!$C:$C,MATCH(7,Rankings!$AG:$AG,0)),""))</x:f>
        <x:v>GPT-6 Sol</x:v>
      </x:c>
      <x:c r="I11" t="str">
        <x:f>IF(H11="","",INDEX(Rankings!$E:$E,MATCH(7,Rankings!$AG:$AG,0)))</x:f>
        <x:v>max</x:v>
      </x:c>
      <x:c r="J11" s="67" t="n">
        <x:f>IF(H11="","",INDEX(Rankings!$AA:$AA,MATCH(7,Rankings!$AG:$AG,0)))</x:f>
        <x:v>0.4143620132716129</x:v>
      </x:c>
      <x:c r="L11" t="str">
        <x:f>IF(7&gt;Controls!$C$5,"",IFERROR(INDEX(Rankings!$C:$C,MATCH(7,Rankings!$AH:$AH,0)),""))</x:f>
        <x:v>GPT-6 Sol</x:v>
      </x:c>
      <x:c r="M11" t="str">
        <x:f>IF(L11="","",INDEX(Rankings!$E:$E,MATCH(7,Rankings!$AH:$AH,0)))</x:f>
        <x:v>max</x:v>
      </x:c>
      <x:c r="N11" s="67" t="n">
        <x:f>IF(L11="","",INDEX(Rankings!$AB:$AB,MATCH(7,Rankings!$AH:$AH,0)))</x:f>
        <x:v>0.4143620132716129</x:v>
      </x:c>
    </x:row>
    <x:row r="12">
      <x:c r="D12" t="str">
        <x:f>IF(8&gt;Controls!$C$5,"",IFERROR(INDEX(Rankings!$C:$C,MATCH(8,Rankings!$AF:$AF,0)),""))</x:f>
        <x:v>GLM-5.3 Flash</x:v>
      </x:c>
      <x:c r="E12" t="str">
        <x:f>IF(D12="","",INDEX(Rankings!$E:$E,MATCH(8,Rankings!$AF:$AF,0)))</x:f>
        <x:v>reasoning</x:v>
      </x:c>
      <x:c r="F12" s="67" t="n">
        <x:f>IF(D12="","",INDEX(Rankings!$Z:$Z,MATCH(8,Rankings!$AF:$AF,0)))</x:f>
        <x:v>0.34842074246725124</x:v>
      </x:c>
      <x:c r="H12" t="str">
        <x:f>IF(8&gt;Controls!$C$5,"",IFERROR(INDEX(Rankings!$C:$C,MATCH(8,Rankings!$AG:$AG,0)),""))</x:f>
        <x:v>GLM-5.3 Flash</x:v>
      </x:c>
      <x:c r="I12" t="str">
        <x:f>IF(H12="","",INDEX(Rankings!$E:$E,MATCH(8,Rankings!$AG:$AG,0)))</x:f>
        <x:v>reasoning</x:v>
      </x:c>
      <x:c r="J12" s="67" t="n">
        <x:f>IF(H12="","",INDEX(Rankings!$AA:$AA,MATCH(8,Rankings!$AG:$AG,0)))</x:f>
        <x:v>0.34842074246725124</x:v>
      </x:c>
      <x:c r="L12" t="str">
        <x:f>IF(8&gt;Controls!$C$5,"",IFERROR(INDEX(Rankings!$C:$C,MATCH(8,Rankings!$AH:$AH,0)),""))</x:f>
        <x:v>GLM-5.3 Flash</x:v>
      </x:c>
      <x:c r="M12" t="str">
        <x:f>IF(L12="","",INDEX(Rankings!$E:$E,MATCH(8,Rankings!$AH:$AH,0)))</x:f>
        <x:v>reasoning</x:v>
      </x:c>
      <x:c r="N12" s="67" t="n">
        <x:f>IF(L12="","",INDEX(Rankings!$AB:$AB,MATCH(8,Rankings!$AH:$AH,0)))</x:f>
        <x:v>0.34842074246725124</x:v>
      </x:c>
    </x:row>
    <x:row r="13">
      <x:c r="D13" t="str">
        <x:f>IF(9&gt;Controls!$C$5,"",IFERROR(INDEX(Rankings!$C:$C,MATCH(9,Rankings!$AF:$AF,0)),""))</x:f>
        <x:v>GPT-6 Astra</x:v>
      </x:c>
      <x:c r="E13" t="str">
        <x:f>IF(D13="","",INDEX(Rankings!$E:$E,MATCH(9,Rankings!$AF:$AF,0)))</x:f>
        <x:v>xhigh</x:v>
      </x:c>
      <x:c r="F13" s="67" t="n">
        <x:f>IF(D13="","",INDEX(Rankings!$Z:$Z,MATCH(9,Rankings!$AF:$AF,0)))</x:f>
        <x:v>0.290727543386224</x:v>
      </x:c>
      <x:c r="H13" t="str">
        <x:f>IF(9&gt;Controls!$C$5,"",IFERROR(INDEX(Rankings!$C:$C,MATCH(9,Rankings!$AG:$AG,0)),""))</x:f>
        <x:v>GPT-6 Astra</x:v>
      </x:c>
      <x:c r="I13" t="str">
        <x:f>IF(H13="","",INDEX(Rankings!$E:$E,MATCH(9,Rankings!$AG:$AG,0)))</x:f>
        <x:v>xhigh</x:v>
      </x:c>
      <x:c r="J13" s="67" t="n">
        <x:f>IF(H13="","",INDEX(Rankings!$AA:$AA,MATCH(9,Rankings!$AG:$AG,0)))</x:f>
        <x:v>0.29072754338622403</x:v>
      </x:c>
      <x:c r="L13" t="str">
        <x:f>IF(9&gt;Controls!$C$5,"",IFERROR(INDEX(Rankings!$C:$C,MATCH(9,Rankings!$AH:$AH,0)),""))</x:f>
        <x:v>GPT-6 Astra</x:v>
      </x:c>
      <x:c r="M13" t="str">
        <x:f>IF(L13="","",INDEX(Rankings!$E:$E,MATCH(9,Rankings!$AH:$AH,0)))</x:f>
        <x:v>xhigh</x:v>
      </x:c>
      <x:c r="N13" s="67" t="n">
        <x:f>IF(L13="","",INDEX(Rankings!$AB:$AB,MATCH(9,Rankings!$AH:$AH,0)))</x:f>
        <x:v>0.29072754338622403</x:v>
      </x:c>
    </x:row>
    <x:row r="14">
      <x:c r="D14" t="str">
        <x:f>IF(10&gt;Controls!$C$5,"",IFERROR(INDEX(Rankings!$C:$C,MATCH(10,Rankings!$AF:$AF,0)),""))</x:f>
        <x:v>Muse Spark 1.3</x:v>
      </x:c>
      <x:c r="E14" t="str">
        <x:f>IF(D14="","",INDEX(Rankings!$E:$E,MATCH(10,Rankings!$AF:$AF,0)))</x:f>
        <x:v>max</x:v>
      </x:c>
      <x:c r="F14" s="67" t="n">
        <x:f>IF(D14="","",INDEX(Rankings!$Z:$Z,MATCH(10,Rankings!$AF:$AF,0)))</x:f>
        <x:v>0.28970846130378614</x:v>
      </x:c>
      <x:c r="H14" t="str">
        <x:f>IF(10&gt;Controls!$C$5,"",IFERROR(INDEX(Rankings!$C:$C,MATCH(10,Rankings!$AG:$AG,0)),""))</x:f>
        <x:v>Muse Spark 1.3</x:v>
      </x:c>
      <x:c r="I14" t="str">
        <x:f>IF(H14="","",INDEX(Rankings!$E:$E,MATCH(10,Rankings!$AG:$AG,0)))</x:f>
        <x:v>max</x:v>
      </x:c>
      <x:c r="J14" s="67" t="n">
        <x:f>IF(H14="","",INDEX(Rankings!$AA:$AA,MATCH(10,Rankings!$AG:$AG,0)))</x:f>
        <x:v>0.28970846130378614</x:v>
      </x:c>
      <x:c r="L14" t="str">
        <x:f>IF(10&gt;Controls!$C$5,"",IFERROR(INDEX(Rankings!$C:$C,MATCH(10,Rankings!$AH:$AH,0)),""))</x:f>
        <x:v>Muse Spark 1.3</x:v>
      </x:c>
      <x:c r="M14" t="str">
        <x:f>IF(L14="","",INDEX(Rankings!$E:$E,MATCH(10,Rankings!$AH:$AH,0)))</x:f>
        <x:v>max</x:v>
      </x:c>
      <x:c r="N14" s="67" t="n">
        <x:f>IF(L14="","",INDEX(Rankings!$AB:$AB,MATCH(10,Rankings!$AH:$AH,0)))</x:f>
        <x:v>0.28970846130378614</x:v>
      </x:c>
    </x:row>
    <x:row r="17">
      <x:c r="D17" s="47" t="inlineStr">
        <x:is>
          <x:t xml:space="preserve">Absolute intelligence</x:t>
        </x:is>
      </x:c>
      <x:c r="E17" s="15" t="n"/>
      <x:c r="F17" s="15" t="n"/>
      <x:c r="H17" s="47" t="inlineStr">
        <x:is>
          <x:t xml:space="preserve">Absolute output speed</x:t>
        </x:is>
      </x:c>
      <x:c r="I17" s="15" t="n"/>
      <x:c r="J17" s="15" t="n"/>
      <x:c r="L17" s="47" t="inlineStr">
        <x:is>
          <x:t xml:space="preserve">Lowest AA cost/task</x:t>
        </x:is>
      </x:c>
      <x:c r="M17" s="15" t="n"/>
      <x:c r="N17" s="15" t="n"/>
    </x:row>
    <x:row r="18">
      <x:c r="D18" s="6" t="inlineStr">
        <x:is>
          <x:t xml:space="preserve">Model</x:t>
        </x:is>
      </x:c>
      <x:c r="E18" s="6" t="inlineStr">
        <x:is>
          <x:t xml:space="preserve">Effort</x:t>
        </x:is>
      </x:c>
      <x:c r="F18" s="6" t="inlineStr">
        <x:is>
          <x:t xml:space="preserve">Metric</x:t>
        </x:is>
      </x:c>
      <x:c r="H18" s="6" t="inlineStr">
        <x:is>
          <x:t xml:space="preserve">Model</x:t>
        </x:is>
      </x:c>
      <x:c r="I18" s="6" t="inlineStr">
        <x:is>
          <x:t xml:space="preserve">Effort</x:t>
        </x:is>
      </x:c>
      <x:c r="J18" s="6" t="inlineStr">
        <x:is>
          <x:t xml:space="preserve">Metric</x:t>
        </x:is>
      </x:c>
      <x:c r="L18" s="6" t="inlineStr">
        <x:is>
          <x:t xml:space="preserve">Model</x:t>
        </x:is>
      </x:c>
      <x:c r="M18" s="6" t="inlineStr">
        <x:is>
          <x:t xml:space="preserve">Effort</x:t>
        </x:is>
      </x:c>
      <x:c r="N18" s="6" t="inlineStr">
        <x:is>
          <x:t xml:space="preserve">Metric</x:t>
        </x:is>
      </x:c>
    </x:row>
    <x:row r="19">
      <x:c r="D19" t="inlineStr">
        <x:is>
          <x:t xml:space="preserve">Claude Opus 5.5</x:t>
        </x:is>
      </x:c>
      <x:c r="E19" t="inlineStr">
        <x:is>
          <x:t xml:space="preserve">max</x:t>
        </x:is>
      </x:c>
      <x:c r="F19" s="68" t="n">
        <x:v>58</x:v>
      </x:c>
      <x:c r="H19" t="str">
        <x:f>IF(1&gt;Controls!$C$5,"",IFERROR(INDEX(Rankings!$C:$C,MATCH(1,Rankings!$AJ:$AJ,0)),""))</x:f>
        <x:v>Gemini 3.8 Flash</x:v>
      </x:c>
      <x:c r="I19" t="str">
        <x:f>IF(H19="","",INDEX(Rankings!$E:$E,MATCH(1,Rankings!$AJ:$AJ,0)))</x:f>
        <x:v>high</x:v>
      </x:c>
      <x:c r="J19" s="68" t="n">
        <x:f>IF(H19="","",INDEX(Rankings!$L:$L,MATCH(1,Rankings!$AJ:$AJ,0)))</x:f>
        <x:v>311</x:v>
      </x:c>
      <x:c r="L19" t="str">
        <x:f>IF(1&gt;Controls!$C$5,"",IFERROR(INDEX(Rankings!$C:$C,MATCH(1,Rankings!$AK:$AK,0)),""))</x:f>
        <x:v>GPT-6 Luna</x:v>
      </x:c>
      <x:c r="M19" t="str">
        <x:f>IF(L19="","",INDEX(Rankings!$E:$E,MATCH(1,Rankings!$AK:$AK,0)))</x:f>
        <x:v>low</x:v>
      </x:c>
      <x:c r="N19" s="69" t="n">
        <x:f>IF(L19="","",INDEX(Rankings!$J:$J,MATCH(1,Rankings!$AK:$AK,0)))</x:f>
        <x:v>0.0045</x:v>
      </x:c>
    </x:row>
    <x:row r="20">
      <x:c r="D20" t="inlineStr">
        <x:is>
          <x:t xml:space="preserve">Claude Sonnet 5.5</x:t>
        </x:is>
      </x:c>
      <x:c r="E20" t="inlineStr">
        <x:is>
          <x:t xml:space="preserve">max</x:t>
        </x:is>
      </x:c>
      <x:c r="F20" s="68" t="n">
        <x:v>56</x:v>
      </x:c>
      <x:c r="H20" t="str">
        <x:f>IF(2&gt;Controls!$C$5,"",IFERROR(INDEX(Rankings!$C:$C,MATCH(2,Rankings!$AJ:$AJ,0)),""))</x:f>
        <x:v>DeepSeek V4.1 Flash</x:v>
      </x:c>
      <x:c r="I20" t="str">
        <x:f>IF(H20="","",INDEX(Rankings!$E:$E,MATCH(2,Rankings!$AJ:$AJ,0)))</x:f>
        <x:v>non-reasoning</x:v>
      </x:c>
      <x:c r="J20" s="68" t="n">
        <x:f>IF(H20="","",INDEX(Rankings!$L:$L,MATCH(2,Rankings!$AJ:$AJ,0)))</x:f>
        <x:v>239</x:v>
      </x:c>
      <x:c r="L20" t="str">
        <x:f>IF(2&gt;Controls!$C$5,"",IFERROR(INDEX(Rankings!$C:$C,MATCH(2,Rankings!$AK:$AK,0)),""))</x:f>
        <x:v>GPT-6 Luna</x:v>
      </x:c>
      <x:c r="M20" t="str">
        <x:f>IF(L20="","",INDEX(Rankings!$E:$E,MATCH(2,Rankings!$AK:$AK,0)))</x:f>
        <x:v>non-reasoning</x:v>
      </x:c>
      <x:c r="N20" s="69" t="n">
        <x:f>IF(L20="","",INDEX(Rankings!$J:$J,MATCH(2,Rankings!$AK:$AK,0)))</x:f>
        <x:v>0.01</x:v>
      </x:c>
    </x:row>
    <x:row r="21">
      <x:c r="D21" t="inlineStr">
        <x:is>
          <x:t xml:space="preserve">Claude Opus 5.5</x:t>
        </x:is>
      </x:c>
      <x:c r="E21" t="inlineStr">
        <x:is>
          <x:t xml:space="preserve">xhigh</x:t>
        </x:is>
      </x:c>
      <x:c r="F21" s="68" t="n">
        <x:v>56</x:v>
      </x:c>
      <x:c r="H21" t="str">
        <x:f>IF(3&gt;Controls!$C$5,"",IFERROR(INDEX(Rankings!$C:$C,MATCH(3,Rankings!$AJ:$AJ,0)),""))</x:f>
        <x:v>DeepSeek V4.1 Flash</x:v>
      </x:c>
      <x:c r="I21" t="str">
        <x:f>IF(H21="","",INDEX(Rankings!$E:$E,MATCH(3,Rankings!$AJ:$AJ,0)))</x:f>
        <x:v>max</x:v>
      </x:c>
      <x:c r="J21" s="68" t="n">
        <x:f>IF(H21="","",INDEX(Rankings!$L:$L,MATCH(3,Rankings!$AJ:$AJ,0)))</x:f>
        <x:v>219.5</x:v>
      </x:c>
      <x:c r="L21" t="str">
        <x:f>IF(3&gt;Controls!$C$5,"",IFERROR(INDEX(Rankings!$C:$C,MATCH(3,Rankings!$AK:$AK,0)),""))</x:f>
        <x:v>GPT-6 Luna</x:v>
      </x:c>
      <x:c r="M21" t="str">
        <x:f>IF(L21="","",INDEX(Rankings!$E:$E,MATCH(3,Rankings!$AK:$AK,0)))</x:f>
        <x:v>medium</x:v>
      </x:c>
      <x:c r="N21" s="69" t="n">
        <x:f>IF(L21="","",INDEX(Rankings!$J:$J,MATCH(3,Rankings!$AK:$AK,0)))</x:f>
        <x:v>0.02</x:v>
      </x:c>
    </x:row>
    <x:row r="22">
      <x:c r="D22" t="inlineStr">
        <x:is>
          <x:t xml:space="preserve">Claude Opus 5.5</x:t>
        </x:is>
      </x:c>
      <x:c r="E22" t="inlineStr">
        <x:is>
          <x:t xml:space="preserve">high</x:t>
        </x:is>
      </x:c>
      <x:c r="F22" s="68" t="n">
        <x:v>54</x:v>
      </x:c>
      <x:c r="H22" t="str">
        <x:f>IF(4&gt;Controls!$C$5,"",IFERROR(INDEX(Rankings!$C:$C,MATCH(4,Rankings!$AJ:$AJ,0)),""))</x:f>
        <x:v>Muse Spark 1.3</x:v>
      </x:c>
      <x:c r="I22" t="str">
        <x:f>IF(H22="","",INDEX(Rankings!$E:$E,MATCH(4,Rankings!$AJ:$AJ,0)))</x:f>
        <x:v>max</x:v>
      </x:c>
      <x:c r="J22" s="68" t="n">
        <x:f>IF(H22="","",INDEX(Rankings!$L:$L,MATCH(4,Rankings!$AJ:$AJ,0)))</x:f>
        <x:v>210</x:v>
      </x:c>
      <x:c r="L22" t="str">
        <x:f>IF(4&gt;Controls!$C$5,"",IFERROR(INDEX(Rankings!$C:$C,MATCH(4,Rankings!$AK:$AK,0)),""))</x:f>
        <x:v>GPT-6 Luna</x:v>
      </x:c>
      <x:c r="M22" t="str">
        <x:f>IF(L22="","",INDEX(Rankings!$E:$E,MATCH(4,Rankings!$AK:$AK,0)))</x:f>
        <x:v>high</x:v>
      </x:c>
      <x:c r="N22" s="69" t="n">
        <x:f>IF(L22="","",INDEX(Rankings!$J:$J,MATCH(4,Rankings!$AK:$AK,0)))</x:f>
        <x:v>0.03</x:v>
      </x:c>
    </x:row>
    <x:row r="23">
      <x:c r="D23" t="inlineStr">
        <x:is>
          <x:t xml:space="preserve">GPT-6 Astra</x:t>
        </x:is>
      </x:c>
      <x:c r="E23" t="inlineStr">
        <x:is>
          <x:t xml:space="preserve">max</x:t>
        </x:is>
      </x:c>
      <x:c r="F23" s="68" t="n">
        <x:v>53</x:v>
      </x:c>
      <x:c r="H23" t="str">
        <x:f>IF(5&gt;Controls!$C$5,"",IFERROR(INDEX(Rankings!$C:$C,MATCH(5,Rankings!$AJ:$AJ,0)),""))</x:f>
        <x:v>Muse Spark 1.3</x:v>
      </x:c>
      <x:c r="I23" t="str">
        <x:f>IF(H23="","",INDEX(Rankings!$E:$E,MATCH(5,Rankings!$AJ:$AJ,0)))</x:f>
        <x:v>xhigh</x:v>
      </x:c>
      <x:c r="J23" s="68" t="n">
        <x:f>IF(H23="","",INDEX(Rankings!$L:$L,MATCH(5,Rankings!$AJ:$AJ,0)))</x:f>
        <x:v>196</x:v>
      </x:c>
      <x:c r="L23" t="str">
        <x:f>IF(5&gt;Controls!$C$5,"",IFERROR(INDEX(Rankings!$C:$C,MATCH(5,Rankings!$AK:$AK,0)),""))</x:f>
        <x:v>GPT-6 Luna</x:v>
      </x:c>
      <x:c r="M23" t="str">
        <x:f>IF(L23="","",INDEX(Rankings!$E:$E,MATCH(5,Rankings!$AK:$AK,0)))</x:f>
        <x:v>xhigh</x:v>
      </x:c>
      <x:c r="N23" s="69" t="n">
        <x:f>IF(L23="","",INDEX(Rankings!$J:$J,MATCH(5,Rankings!$AK:$AK,0)))</x:f>
        <x:v>0.04</x:v>
      </x:c>
    </x:row>
    <x:row r="24">
      <x:c r="D24" t="inlineStr">
        <x:is>
          <x:t xml:space="preserve">Gemini 4 Argon</x:t>
        </x:is>
      </x:c>
      <x:c r="E24" t="inlineStr">
        <x:is>
          <x:t xml:space="preserve">high</x:t>
        </x:is>
      </x:c>
      <x:c r="F24" s="68" t="n">
        <x:v>53</x:v>
      </x:c>
      <x:c r="H24" t="str">
        <x:f>IF(6&gt;Controls!$C$5,"",IFERROR(INDEX(Rankings!$C:$C,MATCH(6,Rankings!$AJ:$AJ,0)),""))</x:f>
        <x:v>MiniMax-M3</x:v>
      </x:c>
      <x:c r="I24" t="str">
        <x:f>IF(H24="","",INDEX(Rankings!$E:$E,MATCH(6,Rankings!$AJ:$AJ,0)))</x:f>
        <x:v>reasoning</x:v>
      </x:c>
      <x:c r="J24" s="68" t="n">
        <x:f>IF(H24="","",INDEX(Rankings!$L:$L,MATCH(6,Rankings!$AJ:$AJ,0)))</x:f>
        <x:v>174</x:v>
      </x:c>
      <x:c r="L24" t="str">
        <x:f>IF(6&gt;Controls!$C$5,"",IFERROR(INDEX(Rankings!$C:$C,MATCH(6,Rankings!$AK:$AK,0)),""))</x:f>
        <x:v>MiMo-V2.6-Flash</x:v>
      </x:c>
      <x:c r="M24" t="str">
        <x:f>IF(L24="","",INDEX(Rankings!$E:$E,MATCH(6,Rankings!$AK:$AK,0)))</x:f>
        <x:v>reasoning</x:v>
      </x:c>
      <x:c r="N24" s="69" t="n">
        <x:f>IF(L24="","",INDEX(Rankings!$J:$J,MATCH(6,Rankings!$AK:$AK,0)))</x:f>
        <x:v>0.06</x:v>
      </x:c>
    </x:row>
    <x:row r="25">
      <x:c r="D25" t="inlineStr">
        <x:is>
          <x:t xml:space="preserve">GPT-6 Astra</x:t>
        </x:is>
      </x:c>
      <x:c r="E25" t="inlineStr">
        <x:is>
          <x:t xml:space="preserve">xhigh</x:t>
        </x:is>
      </x:c>
      <x:c r="F25" s="68" t="n">
        <x:v>52</x:v>
      </x:c>
      <x:c r="H25" t="str">
        <x:f>IF(7&gt;Controls!$C$5,"",IFERROR(INDEX(Rankings!$C:$C,MATCH(7,Rankings!$AJ:$AJ,0)),""))</x:f>
        <x:v>GPT-6 Luna</x:v>
      </x:c>
      <x:c r="I25" t="str">
        <x:f>IF(H25="","",INDEX(Rankings!$E:$E,MATCH(7,Rankings!$AJ:$AJ,0)))</x:f>
        <x:v>max</x:v>
      </x:c>
      <x:c r="J25" s="68" t="n">
        <x:f>IF(H25="","",INDEX(Rankings!$L:$L,MATCH(7,Rankings!$AJ:$AJ,0)))</x:f>
        <x:v>163</x:v>
      </x:c>
      <x:c r="L25" t="str">
        <x:f>IF(7&gt;Controls!$C$5,"",IFERROR(INDEX(Rankings!$C:$C,MATCH(7,Rankings!$AK:$AK,0)),""))</x:f>
        <x:v>GPT-6 Luna</x:v>
      </x:c>
      <x:c r="M25" t="str">
        <x:f>IF(L25="","",INDEX(Rankings!$E:$E,MATCH(7,Rankings!$AK:$AK,0)))</x:f>
        <x:v>max</x:v>
      </x:c>
      <x:c r="N25" s="69" t="n">
        <x:f>IF(L25="","",INDEX(Rankings!$J:$J,MATCH(7,Rankings!$AK:$AK,0)))</x:f>
        <x:v>0.07</x:v>
      </x:c>
    </x:row>
    <x:row r="26">
      <x:c r="D26" t="inlineStr">
        <x:is>
          <x:t xml:space="preserve">Claude Sonnet 5.5</x:t>
        </x:is>
      </x:c>
      <x:c r="E26" t="inlineStr">
        <x:is>
          <x:t xml:space="preserve">xhigh</x:t>
        </x:is>
      </x:c>
      <x:c r="F26" s="68" t="n">
        <x:v>52</x:v>
      </x:c>
      <x:c r="H26" t="str">
        <x:f>IF(8&gt;Controls!$C$5,"",IFERROR(INDEX(Rankings!$C:$C,MATCH(8,Rankings!$AJ:$AJ,0)),""))</x:f>
        <x:v>GPT-6 Luna</x:v>
      </x:c>
      <x:c r="I26" t="str">
        <x:f>IF(H26="","",INDEX(Rankings!$E:$E,MATCH(8,Rankings!$AJ:$AJ,0)))</x:f>
        <x:v>xhigh</x:v>
      </x:c>
      <x:c r="J26" s="68" t="n">
        <x:f>IF(H26="","",INDEX(Rankings!$L:$L,MATCH(8,Rankings!$AJ:$AJ,0)))</x:f>
        <x:v>156</x:v>
      </x:c>
      <x:c r="L26" t="str">
        <x:f>IF(8&gt;Controls!$C$5,"",IFERROR(INDEX(Rankings!$C:$C,MATCH(8,Rankings!$AK:$AK,0)),""))</x:f>
        <x:v>GPT-6 Luna</x:v>
      </x:c>
      <x:c r="M26" t="str">
        <x:f>IF(L26="","",INDEX(Rankings!$E:$E,MATCH(8,Rankings!$AK:$AK,0)))</x:f>
        <x:v>max</x:v>
      </x:c>
      <x:c r="N26" s="69" t="n">
        <x:f>IF(L26="","",INDEX(Rankings!$J:$J,MATCH(8,Rankings!$AK:$AK,0)))</x:f>
        <x:v>0.07</x:v>
      </x:c>
    </x:row>
    <x:row r="27">
      <x:c r="D27" t="inlineStr">
        <x:is>
          <x:t xml:space="preserve">GPT-6 Astra</x:t>
        </x:is>
      </x:c>
      <x:c r="E27" t="inlineStr">
        <x:is>
          <x:t xml:space="preserve">high</x:t>
        </x:is>
      </x:c>
      <x:c r="F27" s="68" t="n">
        <x:v>51</x:v>
      </x:c>
      <x:c r="H27" t="str">
        <x:f>IF(9&gt;Controls!$C$5,"",IFERROR(INDEX(Rankings!$C:$C,MATCH(9,Rankings!$AJ:$AJ,0)),""))</x:f>
        <x:v>GPT-6 Luna</x:v>
      </x:c>
      <x:c r="I27" t="str">
        <x:f>IF(H27="","",INDEX(Rankings!$E:$E,MATCH(9,Rankings!$AJ:$AJ,0)))</x:f>
        <x:v>high</x:v>
      </x:c>
      <x:c r="J27" s="68" t="n">
        <x:f>IF(H27="","",INDEX(Rankings!$L:$L,MATCH(9,Rankings!$AJ:$AJ,0)))</x:f>
        <x:v>152</x:v>
      </x:c>
      <x:c r="L27" t="str">
        <x:f>IF(9&gt;Controls!$C$5,"",IFERROR(INDEX(Rankings!$C:$C,MATCH(9,Rankings!$AK:$AK,0)),""))</x:f>
        <x:v>GPT-6 Sol</x:v>
      </x:c>
      <x:c r="M27" t="str">
        <x:f>IF(L27="","",INDEX(Rankings!$E:$E,MATCH(9,Rankings!$AK:$AK,0)))</x:f>
        <x:v>low</x:v>
      </x:c>
      <x:c r="N27" s="69" t="n">
        <x:f>IF(L27="","",INDEX(Rankings!$J:$J,MATCH(9,Rankings!$AK:$AK,0)))</x:f>
        <x:v>0.13</x:v>
      </x:c>
    </x:row>
    <x:row r="28">
      <x:c r="D28" t="inlineStr">
        <x:is>
          <x:t xml:space="preserve">Claude Opus 5.5</x:t>
        </x:is>
      </x:c>
      <x:c r="E28" t="inlineStr">
        <x:is>
          <x:t xml:space="preserve">medium</x:t>
        </x:is>
      </x:c>
      <x:c r="F28" s="68" t="n">
        <x:v>51</x:v>
      </x:c>
      <x:c r="H28" t="str">
        <x:f>IF(10&gt;Controls!$C$5,"",IFERROR(INDEX(Rankings!$C:$C,MATCH(10,Rankings!$AJ:$AJ,0)),""))</x:f>
        <x:v>GPT-6 Luna</x:v>
      </x:c>
      <x:c r="I28" t="str">
        <x:f>IF(H28="","",INDEX(Rankings!$E:$E,MATCH(10,Rankings!$AJ:$AJ,0)))</x:f>
        <x:v>low</x:v>
      </x:c>
      <x:c r="J28" s="68" t="n">
        <x:f>IF(H28="","",INDEX(Rankings!$L:$L,MATCH(10,Rankings!$AJ:$AJ,0)))</x:f>
        <x:v>145</x:v>
      </x:c>
      <x:c r="L28" t="str">
        <x:f>IF(10&gt;Controls!$C$5,"",IFERROR(INDEX(Rankings!$C:$C,MATCH(10,Rankings!$AK:$AK,0)),""))</x:f>
        <x:v>DeepSeek V4.1 Flash</x:v>
      </x:c>
      <x:c r="M28" t="str">
        <x:f>IF(L28="","",INDEX(Rankings!$E:$E,MATCH(10,Rankings!$AK:$AK,0)))</x:f>
        <x:v>non-reasoning</x:v>
      </x:c>
      <x:c r="N28" s="69" t="n">
        <x:f>IF(L28="","",INDEX(Rankings!$J:$J,MATCH(10,Rankings!$AK:$AK,0)))</x:f>
        <x:v>0.15</x:v>
      </x:c>
    </x:row>
    <x:row r="31">
      <x:c r="A31" s="57" t="inlineStr">
        <x:is>
          <x:t xml:space="preserve">Interpretation: thresholded value boards deliberately punish models below the usability target. Raw $/point still exists in Rankings, but it is not used as the primary value metric because it rewards very cheap low-intelligence models.</x:t>
        </x:is>
      </x:c>
      <x:c r="B31" s="15" t="n"/>
      <x:c r="C31" s="15" t="n"/>
      <x:c r="D31" s="15" t="n"/>
      <x:c r="E31" s="15" t="n"/>
      <x:c r="F31" s="15" t="n"/>
      <x:c r="G31" s="15" t="n"/>
      <x:c r="H31" s="15" t="n"/>
      <x:c r="I31" s="15" t="n"/>
      <x:c r="J31" s="15" t="n"/>
      <x:c r="K31" s="15" t="n"/>
      <x:c r="L31" s="15" t="n"/>
      <x:c r="M31" s="15" t="n"/>
      <x:c r="N31" s="15" t="n"/>
    </x:row>
    <x:row r="32">
      <x:c r="A32" s="15" t="n"/>
      <x:c r="N32" s="15" t="n"/>
    </x:row>
    <x:row r="33">
      <x:c r="A33" s="15" t="n"/>
      <x:c r="B33" s="15" t="n"/>
      <x:c r="C33" s="15" t="n"/>
      <x:c r="D33" s="15" t="n"/>
      <x:c r="E33" s="15" t="n"/>
      <x:c r="F33" s="15" t="n"/>
      <x:c r="G33" s="15" t="n"/>
      <x:c r="H33" s="15" t="n"/>
      <x:c r="I33" s="15" t="n"/>
      <x:c r="J33" s="15" t="n"/>
      <x:c r="K33" s="15" t="n"/>
      <x:c r="L33" s="15" t="n"/>
      <x:c r="M33" s="15" t="n"/>
      <x:c r="N33" s="15" t="n"/>
    </x:row>
    <x:row r="36">
      <x:c r="A36" s="6" t="inlineStr">
        <x:is>
          <x:t xml:space="preserve">Family</x:t>
        </x:is>
      </x:c>
      <x:c r="B36" s="6" t="inlineStr">
        <x:is>
          <x:t xml:space="preserve">Peak AA score</x:t>
        </x:is>
      </x:c>
      <x:c r="C36" s="6" t="inlineStr">
        <x:is>
          <x:t xml:space="preserve">Peak speed t/s</x:t>
        </x:is>
      </x:c>
    </x:row>
    <x:row r="37">
      <x:c r="A37" t="inlineStr">
        <x:is>
          <x:t xml:space="preserve">Claude Opus 5.5</x:t>
        </x:is>
      </x:c>
      <x:c r="B37" t="n">
        <x:f>_xlfn.MAXIFS(Rankings!$I:$I,Rankings!$C:$C,A37)</x:f>
        <x:v>58</x:v>
      </x:c>
      <x:c r="C37" t="n">
        <x:f>_xlfn.MAXIFS(Rankings!$L:$L,Rankings!$C:$C,A37)</x:f>
        <x:v>96.8</x:v>
      </x:c>
    </x:row>
    <x:row r="38">
      <x:c r="A38" t="inlineStr">
        <x:is>
          <x:t xml:space="preserve">Claude Sonnet 5.5</x:t>
        </x:is>
      </x:c>
      <x:c r="B38" t="n">
        <x:f>_xlfn.MAXIFS(Rankings!$I:$I,Rankings!$C:$C,A38)</x:f>
        <x:v>56</x:v>
      </x:c>
      <x:c r="C38" t="n">
        <x:f>_xlfn.MAXIFS(Rankings!$L:$L,Rankings!$C:$C,A38)</x:f>
        <x:v>143</x:v>
      </x:c>
    </x:row>
    <x:row r="39">
      <x:c r="A39" t="inlineStr">
        <x:is>
          <x:t xml:space="preserve">GPT-6 Astra</x:t>
        </x:is>
      </x:c>
      <x:c r="B39" t="n">
        <x:f>_xlfn.MAXIFS(Rankings!$I:$I,Rankings!$C:$C,A39)</x:f>
        <x:v>53</x:v>
      </x:c>
      <x:c r="C39" t="n">
        <x:f>_xlfn.MAXIFS(Rankings!$L:$L,Rankings!$C:$C,A39)</x:f>
        <x:v>64</x:v>
      </x:c>
    </x:row>
    <x:row r="40">
      <x:c r="A40" t="inlineStr">
        <x:is>
          <x:t xml:space="preserve">GPT-6 Sol</x:t>
        </x:is>
      </x:c>
      <x:c r="B40" t="n">
        <x:f>_xlfn.MAXIFS(Rankings!$I:$I,Rankings!$C:$C,A40)</x:f>
        <x:v>48</x:v>
      </x:c>
      <x:c r="C40" t="n">
        <x:f>_xlfn.MAXIFS(Rankings!$L:$L,Rankings!$C:$C,A40)</x:f>
        <x:v>103</x:v>
      </x:c>
    </x:row>
    <x:row r="41">
      <x:c r="A41" t="inlineStr">
        <x:is>
          <x:t xml:space="preserve">Muse Spark 1.3</x:t>
        </x:is>
      </x:c>
      <x:c r="B41" t="n">
        <x:f>_xlfn.MAXIFS(Rankings!$I:$I,Rankings!$C:$C,A41)</x:f>
        <x:v>48</x:v>
      </x:c>
      <x:c r="C41" t="n">
        <x:f>_xlfn.MAXIFS(Rankings!$L:$L,Rankings!$C:$C,A41)</x:f>
        <x:v>210</x:v>
      </x:c>
    </x:row>
    <x:row r="42">
      <x:c r="A42" t="inlineStr">
        <x:is>
          <x:t xml:space="preserve">Gemini 3.8 Flash</x:t>
        </x:is>
      </x:c>
      <x:c r="B42" t="n">
        <x:f>_xlfn.MAXIFS(Rankings!$I:$I,Rankings!$C:$C,A42)</x:f>
        <x:v>41</x:v>
      </x:c>
      <x:c r="C42" t="n">
        <x:f>_xlfn.MAXIFS(Rankings!$L:$L,Rankings!$C:$C,A42)</x:f>
        <x:v>311</x:v>
      </x:c>
    </x:row>
    <x:row r="43">
      <x:c r="A43" t="inlineStr">
        <x:is>
          <x:t xml:space="preserve">GLM-5.3 Flash</x:t>
        </x:is>
      </x:c>
      <x:c r="B43" t="n">
        <x:f>_xlfn.MAXIFS(Rankings!$I:$I,Rankings!$C:$C,A43)</x:f>
        <x:v>42</x:v>
      </x:c>
      <x:c r="C43" t="n">
        <x:f>_xlfn.MAXIFS(Rankings!$L:$L,Rankings!$C:$C,A43)</x:f>
        <x:v>61</x:v>
      </x:c>
    </x:row>
    <x:row r="44">
      <x:c r="A44" t="inlineStr">
        <x:is>
          <x:t xml:space="preserve">DeepSeek V4.1 Flash</x:t>
        </x:is>
      </x:c>
      <x:c r="B44" t="n">
        <x:f>_xlfn.MAXIFS(Rankings!$I:$I,Rankings!$C:$C,A44)</x:f>
        <x:v>39</x:v>
      </x:c>
      <x:c r="C44" t="n">
        <x:f>_xlfn.MAXIFS(Rankings!$L:$L,Rankings!$C:$C,A44)</x:f>
        <x:v>239</x:v>
      </x:c>
    </x:row>
    <x:row r="45">
      <x:c r="A45" t="inlineStr">
        <x:is>
          <x:t xml:space="preserve">MiMo-V2.6-Flash</x:t>
        </x:is>
      </x:c>
      <x:c r="B45" t="n">
        <x:f>_xlfn.MAXIFS(Rankings!$I:$I,Rankings!$C:$C,A45)</x:f>
        <x:v>38</x:v>
      </x:c>
      <x:c r="C45" t="n">
        <x:f>_xlfn.MAXIFS(Rankings!$L:$L,Rankings!$C:$C,A45)</x:f>
        <x:v>62</x:v>
      </x:c>
    </x:row>
    <x:row r="46">
      <x:c r="A46" t="inlineStr">
        <x:is>
          <x:t xml:space="preserve">GPT-6 Luna</x:t>
        </x:is>
      </x:c>
      <x:c r="B46" t="n">
        <x:f>_xlfn.MAXIFS(Rankings!$I:$I,Rankings!$C:$C,A46)</x:f>
        <x:v>38</x:v>
      </x:c>
      <x:c r="C46" t="n">
        <x:f>_xlfn.MAXIFS(Rankings!$L:$L,Rankings!$C:$C,A46)</x:f>
        <x:v>163</x:v>
      </x:c>
    </x:row>
    <x:row r="48">
      <x:c r="A48" s="66" t="inlineStr">
        <x:is>
          <x:t xml:space="preserve">Open evidence follow-ups</x:t>
        </x:is>
      </x:c>
      <x:c r="B48" s="66" t="n">
        <x:f>COUNTIF(Benchmark_Followups!$F:$F,"OPEN")</x:f>
        <x:v>36</x:v>
      </x:c>
    </x:row>
  </x:sheetData>
  <x:mergeCells>
    <x:mergeCell ref="L3:N3"/>
    <x:mergeCell ref="A31:N33"/>
    <x:mergeCell ref="D3:F3"/>
    <x:mergeCell ref="D17:F17"/>
    <x:mergeCell ref="H3:J3"/>
    <x:mergeCell ref="H17:J17"/>
    <x:mergeCell ref="L17:N17"/>
    <x:mergeCell ref="A1:N1"/>
  </x:mergeCells>
  <x:pageMargins left="0.7" right="0.7" top="0.75" bottom="0.75" header="0.3" footer="0.3"/>
  <x:drawing xmlns:r="http://schemas.openxmlformats.org/officeDocument/2006/relationships" r:id="Ra7a25a98d5c246e2"/>
</x:worksheet>
</file>

<file path=xl/worksheets/sheet2.xml><?xml version="1.0" encoding="utf-8"?>
<x:worksheet xmlns:x="http://schemas.openxmlformats.org/spreadsheetml/2006/main">
  <x:sheetPr>
    <x:tabColor rgb="FF2F75B5"/>
  </x:sheetPr>
  <x:sheetViews>
    <x:sheetView showGridLines="0" workbookViewId="0">
      <x:pane ySplit="40" topLeftCell="A41" activePane="bottomLeft" state="frozen"/>
    </x:sheetView>
  </x:sheetViews>
  <x:sheetFormatPr baseColWidth="8" defaultRowHeight="15"/>
  <x:cols>
    <x:col min="1" max="1" width="34" style="14" customWidth="1"/>
    <x:col min="2" max="2" width="57" style="14" customWidth="1"/>
    <x:col min="3" max="3" width="18" style="14" customWidth="1"/>
    <x:col min="4" max="4" width="18" style="14" customWidth="1"/>
    <x:col min="5" max="5" width="16" style="14" customWidth="1"/>
    <x:col min="6" max="6" width="16" style="14" customWidth="1"/>
    <x:col min="7" max="7" width="16" style="14" customWidth="1"/>
    <x:col min="8" max="8" width="23" style="14" customWidth="1"/>
    <x:col min="9" max="9" width="27" style="14" customWidth="1"/>
    <x:col min="10" max="10" width="20" style="14" customWidth="1"/>
    <x:col min="11" max="11" width="19" style="14" customWidth="1"/>
    <x:col min="12" max="12" width="22" style="14" customWidth="1"/>
    <x:col min="13" max="13" width="25" style="14" customWidth="1"/>
    <x:col min="14" max="14" width="23" style="14" customWidth="1"/>
    <x:col min="15" max="15" width="20" style="14" customWidth="1"/>
    <x:col min="16" max="16" width="25" style="14" customWidth="1"/>
    <x:col min="17" max="17" width="22" style="14" customWidth="1"/>
    <x:col min="18" max="18" width="18" style="14" customWidth="1"/>
    <x:col min="19" max="19" width="23" style="14" customWidth="1"/>
    <x:col min="20" max="20" width="18" style="14" customWidth="1"/>
    <x:col min="21" max="21" width="74" style="14" customWidth="1"/>
    <x:col min="22" max="22" width="78" style="14" customWidth="1"/>
    <x:col min="23" max="23" width="62" style="14" customWidth="1"/>
  </x:cols>
  <x:sheetData>
    <x:row r="1" s="14" customFormat="1" ht="29" customHeight="1">
      <x:c r="A1" s="79" t="inlineStr">
        <x:is>
          <x:t xml:space="preserve">AA Intelligence vs Coding Agent Index</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row>
    <x:row r="2" s="14" customFormat="1" ht="31" customHeight="1">
      <x:c r="A2" s="80" t="inlineStr">
        <x:is>
          <x:t xml:space="preserve">Independent score, timing, and task-cost selectors. Use this sheet to inspect paired configurations; the two indexes measure different tasks and do not share a calibration scale.</x:t>
        </x:is>
      </x:c>
      <x:c r="B2" s="15" t="n"/>
      <x:c r="C2" s="15" t="n"/>
      <x:c r="D2" s="15" t="n"/>
      <x:c r="E2" s="15" t="n"/>
      <x:c r="F2" s="15" t="n"/>
      <x:c r="G2" s="15" t="n"/>
      <x:c r="H2" s="15" t="n"/>
      <x:c r="I2" s="15" t="n"/>
      <x:c r="J2" s="15" t="n"/>
      <x:c r="K2" s="15" t="n"/>
      <x:c r="L2" s="15" t="n"/>
      <x:c r="M2" s="15" t="n"/>
      <x:c r="N2" s="15" t="n"/>
      <x:c r="O2" s="15" t="n"/>
      <x:c r="P2" s="15" t="n"/>
      <x:c r="Q2" s="15" t="n"/>
      <x:c r="R2" s="15" t="n"/>
      <x:c r="S2" s="15" t="n"/>
      <x:c r="T2" s="15" t="n"/>
      <x:c r="U2" s="15" t="n"/>
      <x:c r="V2" s="15" t="n"/>
    </x:row>
    <x:row r="4" s="14" customFormat="1" ht="34" customHeight="1">
      <x:c r="A4" s="81" t="inlineStr">
        <x:is>
          <x:t xml:space="preserve">Intelligence score</x:t>
        </x:is>
      </x:c>
      <x:c r="B4" s="82" t="inlineStr">
        <x:is>
          <x:t xml:space="preserve">AA Intelligence Index v4.3.2</x:t>
        </x:is>
      </x:c>
      <x:c r="C4" s="81" t="inlineStr">
        <x:is>
          <x:t xml:space="preserve">Timing / speed</x:t>
        </x:is>
      </x:c>
      <x:c r="D4" s="82" t="inlineStr">
        <x:is>
          <x:t xml:space="preserve">AA weighted decode time per task</x:t>
        </x:is>
      </x:c>
      <x:c r="E4" s="81" t="inlineStr">
        <x:is>
          <x:t xml:space="preserve">Task cost</x:t>
        </x:is>
      </x:c>
      <x:c r="F4" s="82" t="inlineStr">
        <x:is>
          <x:t xml:space="preserve">AA cost per Index task</x:t>
        </x:is>
      </x:c>
    </x:row>
    <x:row r="5" s="14" customFormat="1" ht="31" customHeight="1">
      <x:c r="A5" s="83" t="inlineStr">
        <x:is>
          <x:t xml:space="preserve">AA time is weighted decode time per Intelligence Index task; it excludes TTFT and overhead. CAI time is active agent wall time per coding-agent task across tool-use work. Lower is faster; task scopes differ.</x:t>
        </x:is>
      </x:c>
      <x:c r="B5" s="15" t="n"/>
      <x:c r="C5" s="15" t="n"/>
      <x:c r="D5" s="15" t="n"/>
      <x:c r="E5" s="15" t="n"/>
      <x:c r="F5" s="15" t="n"/>
      <x:c r="G5" s="15" t="n"/>
      <x:c r="H5" s="15" t="n"/>
      <x:c r="I5" s="15" t="n"/>
      <x:c r="J5" s="15" t="n"/>
      <x:c r="K5" s="15" t="n"/>
      <x:c r="L5" s="15" t="n"/>
      <x:c r="M5" s="15" t="n"/>
      <x:c r="N5" s="15" t="n"/>
      <x:c r="O5" s="15" t="n"/>
      <x:c r="P5" s="15" t="n"/>
      <x:c r="Q5" s="15" t="n"/>
      <x:c r="R5" s="15" t="n"/>
      <x:c r="S5" s="15" t="n"/>
      <x:c r="T5" s="15" t="n"/>
      <x:c r="U5" s="15" t="n"/>
      <x:c r="V5" s="15" t="n"/>
    </x:row>
    <x:row r="7">
      <x:c r="A7" s="84" t="inlineStr">
        <x:is>
          <x:t xml:space="preserve">Paired cross-benchmark snapshot analysis · 2026-10-16</x:t>
        </x:is>
      </x:c>
      <x:c r="B7" s="15" t="n"/>
      <x:c r="C7" s="15" t="n"/>
      <x:c r="D7" s="15" t="n"/>
      <x:c r="E7" s="15" t="n"/>
      <x:c r="F7" s="15" t="n"/>
    </x:row>
    <x:row r="8">
      <x:c r="A8" s="85" t="inlineStr">
        <x:is>
          <x:t xml:space="preserve">Score pairs / distinct families</x:t>
        </x:is>
      </x:c>
      <x:c r="B8" s="86" t="inlineStr">
        <x:is>
          <x:t xml:space="preserve">22 / 10</x:t>
        </x:is>
      </x:c>
      <x:c r="C8" s="15" t="n"/>
      <x:c r="D8" s="15" t="n"/>
      <x:c r="E8" s="15" t="n"/>
      <x:c r="F8" s="15" t="n"/>
    </x:row>
    <x:row r="9">
      <x:c r="A9" s="88" t="inlineStr">
        <x:is>
          <x:t xml:space="preserve">AA score ↔ CAI score correlation</x:t>
        </x:is>
      </x:c>
      <x:c r="B9" s="89" t="inlineStr">
        <x:is>
          <x:t xml:space="preserve">Pearson r = 0.935; Spearman ρ = 0.924</x:t>
        </x:is>
      </x:c>
      <x:c r="C9" s="15" t="n"/>
      <x:c r="D9" s="15" t="n"/>
      <x:c r="E9" s="15" t="n"/>
      <x:c r="F9" s="15" t="n"/>
    </x:row>
    <x:row r="10">
      <x:c r="A10" s="85" t="inlineStr">
        <x:is>
          <x:t xml:space="preserve">Exploratory score fit</x:t>
        </x:is>
      </x:c>
      <x:c r="B10" s="86" t="inlineStr">
        <x:is>
          <x:t xml:space="preserve">CAI ≈ -13.96 + 1.455 × AA; AA 45 → CAI 51.5</x:t>
        </x:is>
      </x:c>
      <x:c r="C10" s="15" t="n"/>
      <x:c r="D10" s="15" t="n"/>
      <x:c r="E10" s="15" t="n"/>
      <x:c r="F10" s="15" t="n"/>
    </x:row>
    <x:row r="11">
      <x:c r="A11" s="88" t="inlineStr">
        <x:is>
          <x:t xml:space="preserve">Leave-one-family-out score error</x:t>
        </x:is>
      </x:c>
      <x:c r="B11" s="89" t="inlineStr">
        <x:is>
          <x:t xml:space="preserve">MAE 4.2; RMSE 5.8 CAI points</x:t>
        </x:is>
      </x:c>
      <x:c r="C11" s="15" t="n"/>
      <x:c r="D11" s="15" t="n"/>
      <x:c r="E11" s="15" t="n"/>
      <x:c r="F11" s="15" t="n"/>
    </x:row>
    <x:row r="12">
      <x:c r="A12" s="85" t="inlineStr">
        <x:is>
          <x:t xml:space="preserve">Timing pairs / distinct families</x:t>
        </x:is>
      </x:c>
      <x:c r="B12" s="86" t="inlineStr">
        <x:is>
          <x:t xml:space="preserve">20 / 8</x:t>
        </x:is>
      </x:c>
      <x:c r="C12" s="15" t="n"/>
      <x:c r="D12" s="15" t="n"/>
      <x:c r="E12" s="15" t="n"/>
      <x:c r="F12" s="15" t="n"/>
    </x:row>
    <x:row r="13">
      <x:c r="A13" s="88" t="inlineStr">
        <x:is>
          <x:t xml:space="preserve">AA decode time ↔ CAI agent time</x:t>
        </x:is>
      </x:c>
      <x:c r="B13" s="89" t="inlineStr">
        <x:is>
          <x:t xml:space="preserve">Pearson r = 0.779; Spearman ρ = 0.894</x:t>
        </x:is>
      </x:c>
      <x:c r="C13" s="15" t="n"/>
      <x:c r="D13" s="15" t="n"/>
      <x:c r="E13" s="15" t="n"/>
      <x:c r="F13" s="15" t="n"/>
    </x:row>
    <x:row r="14">
      <x:c r="A14" s="85" t="inlineStr">
        <x:is>
          <x:t xml:space="preserve">Median observed CAI / AA timing ratio</x:t>
        </x:is>
      </x:c>
      <x:c r="B14" s="86" t="inlineStr">
        <x:is>
          <x:t xml:space="preserve">4.52× (range 2.19×–12.66×)</x:t>
        </x:is>
      </x:c>
      <x:c r="C14" s="15" t="n"/>
      <x:c r="D14" s="15" t="n"/>
      <x:c r="E14" s="15" t="n"/>
      <x:c r="F14" s="15" t="n"/>
    </x:row>
    <x:row r="16">
      <x:c r="A16" s="90" t="inlineStr">
        <x:is>
          <x:t xml:space="preserve">Interpretation</x:t>
        </x:is>
      </x:c>
      <x:c r="B16" s="91" t="inlineStr">
        <x:is>
          <x:t xml:space="preserve">The score relationship is promising for rough ranking in this snapshot, but repeated effort variants are clustered within families and leave-one-family-out error is about 5.8 CAI points. A 45→47 conversion is not supported by the fitted line (45→about 51.5 here). Timing ranks track more closely than a universal minute multiplier: the median ratio is 4.5× with wide variation. Do not treat either regression or ratio as a benchmark conversion.</x:t>
        </x:is>
      </x:c>
      <x:c r="C16" s="15" t="n"/>
      <x:c r="D16" s="15" t="n"/>
      <x:c r="E16" s="15" t="n"/>
      <x:c r="F16" s="15" t="n"/>
      <x:c r="G16" s="15" t="n"/>
      <x:c r="H16" s="15" t="n"/>
      <x:c r="I16" s="15" t="n"/>
      <x:c r="J16" s="15" t="n"/>
      <x:c r="K16" s="15" t="n"/>
      <x:c r="L16" s="15" t="n"/>
      <x:c r="M16" s="15" t="n"/>
      <x:c r="N16" s="15" t="n"/>
      <x:c r="O16" s="15" t="n"/>
      <x:c r="P16" s="15" t="n"/>
      <x:c r="Q16" s="15" t="n"/>
      <x:c r="R16" s="15" t="n"/>
      <x:c r="S16" s="15" t="n"/>
      <x:c r="T16" s="15" t="n"/>
      <x:c r="U16" s="15" t="n"/>
      <x:c r="V16" s="15" t="n"/>
    </x:row>
    <x:row r="17">
      <x:c r="B17" s="15" t="n"/>
      <x:c r="C17" s="15" t="n"/>
      <x:c r="D17" s="15" t="n"/>
      <x:c r="E17" s="15" t="n"/>
      <x:c r="F17" s="15" t="n"/>
      <x:c r="G17" s="15" t="n"/>
      <x:c r="H17" s="15" t="n"/>
      <x:c r="I17" s="15" t="n"/>
      <x:c r="J17" s="15" t="n"/>
      <x:c r="K17" s="15" t="n"/>
      <x:c r="L17" s="15" t="n"/>
      <x:c r="M17" s="15" t="n"/>
      <x:c r="N17" s="15" t="n"/>
      <x:c r="O17" s="15" t="n"/>
      <x:c r="P17" s="15" t="n"/>
      <x:c r="Q17" s="15" t="n"/>
      <x:c r="R17" s="15" t="n"/>
      <x:c r="S17" s="15" t="n"/>
      <x:c r="T17" s="15" t="n"/>
      <x:c r="U17" s="15" t="n"/>
      <x:c r="V17" s="15" t="n"/>
    </x:row>
    <x:row r="18">
      <x:c r="A18" s="92" t="inlineStr">
        <x:is>
          <x:t xml:space="preserve">Chart bubbles: x = selected task cost, y = selected score, larger bubble = faster selected timing metric. Each selector is independent; use the source labels above to read units.</x:t>
        </x:is>
      </x:c>
      <x:c r="B18" s="15" t="n"/>
      <x:c r="C18" s="15" t="n"/>
      <x:c r="D18" s="15" t="n"/>
      <x:c r="E18" s="15" t="n"/>
      <x:c r="F18" s="15" t="n"/>
      <x:c r="G18" s="15" t="n"/>
      <x:c r="H18" s="15" t="n"/>
      <x:c r="I18" s="15" t="n"/>
      <x:c r="J18" s="15" t="n"/>
      <x:c r="K18" s="15" t="n"/>
      <x:c r="L18" s="15" t="n"/>
      <x:c r="M18" s="15" t="n"/>
      <x:c r="N18" s="15" t="n"/>
      <x:c r="O18" s="15" t="n"/>
      <x:c r="P18" s="15" t="n"/>
      <x:c r="Q18" s="15" t="n"/>
      <x:c r="R18" s="15" t="n"/>
      <x:c r="S18" s="15" t="n"/>
      <x:c r="T18" s="15" t="n"/>
      <x:c r="U18" s="15" t="n"/>
      <x:c r="V18" s="15" t="n"/>
    </x:row>
    <x:row r="40" s="14" customFormat="1" ht="40" customHeight="1">
      <x:c r="A40" s="93" t="inlineStr">
        <x:is>
          <x:t xml:space="preserve">model_as_reported</x:t>
        </x:is>
      </x:c>
      <x:c r="B40" s="93" t="inlineStr">
        <x:is>
          <x:t xml:space="preserve">model_variant_key</x:t>
        </x:is>
      </x:c>
      <x:c r="C40" s="93" t="inlineStr">
        <x:is>
          <x:t xml:space="preserve">agent_harness</x:t>
        </x:is>
      </x:c>
      <x:c r="D40" s="93" t="inlineStr">
        <x:is>
          <x:t xml:space="preserve">effort_as_reported</x:t>
        </x:is>
      </x:c>
      <x:c r="E40" s="93" t="inlineStr">
        <x:is>
          <x:t xml:space="preserve">AA_score_v4_3_2</x:t>
        </x:is>
      </x:c>
      <x:c r="F40" s="93" t="inlineStr">
        <x:is>
          <x:t xml:space="preserve">CAI_score_v1_5</x:t>
        </x:is>
      </x:c>
      <x:c r="G40" s="93" t="inlineStr">
        <x:is>
          <x:t xml:space="preserve">selected_score</x:t>
        </x:is>
      </x:c>
      <x:c r="H40" s="93" t="inlineStr">
        <x:is>
          <x:t xml:space="preserve">AA_decode_seconds_per_task</x:t>
        </x:is>
      </x:c>
      <x:c r="I40" s="93" t="inlineStr">
        <x:is>
          <x:t xml:space="preserve">CAI_agent_wall_seconds_per_task</x:t>
        </x:is>
      </x:c>
      <x:c r="J40" s="93" t="inlineStr">
        <x:is>
          <x:t xml:space="preserve">selected_time_seconds</x:t>
        </x:is>
      </x:c>
      <x:c r="K40" s="93" t="inlineStr">
        <x:is>
          <x:t xml:space="preserve">selected_bubble_size</x:t>
        </x:is>
      </x:c>
      <x:c r="L40" s="93" t="inlineStr">
        <x:is>
          <x:t xml:space="preserve">AA_cost_per_Index_task_USD</x:t>
        </x:is>
      </x:c>
      <x:c r="M40" s="93" t="inlineStr">
        <x:is>
          <x:t xml:space="preserve">CAI_cost_per_agent_task_USD</x:t>
        </x:is>
      </x:c>
      <x:c r="N40" s="93" t="inlineStr">
        <x:is>
          <x:t xml:space="preserve">selected_task_cost_USD</x:t>
        </x:is>
      </x:c>
      <x:c r="O40" s="93" t="inlineStr">
        <x:is>
          <x:t xml:space="preserve">DeepSWE_v1_1_pct</x:t>
        </x:is>
      </x:c>
      <x:c r="P40" s="93" t="inlineStr">
        <x:is>
          <x:t xml:space="preserve">Terminal_Bench_4_0_pct</x:t>
        </x:is>
      </x:c>
      <x:c r="Q40" s="93" t="inlineStr">
        <x:is>
          <x:t xml:space="preserve">SWE_Atlas_QnA_pct</x:t>
        </x:is>
      </x:c>
      <x:c r="R40" s="93" t="inlineStr">
        <x:is>
          <x:t xml:space="preserve">CAI_tokens_per_task</x:t>
        </x:is>
      </x:c>
      <x:c r="S40" s="93" t="inlineStr">
        <x:is>
          <x:t xml:space="preserve">AA_output_tokens_per_second</x:t>
        </x:is>
      </x:c>
      <x:c r="T40" s="93" t="inlineStr">
        <x:is>
          <x:t xml:space="preserve">AA_source_snapshot</x:t>
        </x:is>
      </x:c>
      <x:c r="U40" s="93" t="inlineStr">
        <x:is>
          <x:t xml:space="preserve">AA_source_url</x:t>
        </x:is>
      </x:c>
      <x:c r="V40" s="93" t="inlineStr">
        <x:is>
          <x:t xml:space="preserve">CAI_source_url</x:t>
        </x:is>
      </x:c>
      <x:c r="W40" s="93" t="inlineStr">
        <x:is>
          <x:t xml:space="preserve">match_status</x:t>
        </x:is>
      </x:c>
    </x:row>
    <x:row r="41">
      <x:c r="A41" s="94" t="inlineStr">
        <x:is>
          <x:t xml:space="preserve">Claude Haiku 5.5 (low)</x:t>
        </x:is>
      </x:c>
      <x:c r="B41" s="94" t="inlineStr">
        <x:is>
          <x:t xml:space="preserve">anthropic|claude-haiku-5-5|low|yes|fallback-na</x:t>
        </x:is>
      </x:c>
      <x:c r="C41" s="94" t="inlineStr">
        <x:is>
          <x:t xml:space="preserve">Claude Code</x:t>
        </x:is>
      </x:c>
      <x:c r="D41" s="94" t="inlineStr">
        <x:is>
          <x:t xml:space="preserve">low</x:t>
        </x:is>
      </x:c>
      <x:c r="E41" s="94" t="n">
        <x:v>29</x:v>
      </x:c>
      <x:c r="F41" s="94" t="n">
        <x:v>28</x:v>
      </x:c>
      <x:c r="G41" s="65" t="n">
        <x:f>IF($B$4="AA Intelligence Index v4.3.2",E41,F41)</x:f>
        <x:v>29</x:v>
      </x:c>
      <x:c r="H41" s="95" t="n">
        <x:v>61.60030840980652</x:v>
      </x:c>
      <x:c r="I41" s="95" t="n">
        <x:v>696</x:v>
      </x:c>
      <x:c r="J41" s="96" t="n">
        <x:f>IF($D$4="AA weighted decode time per task",H41,I41)</x:f>
        <x:v>61.60030840980652</x:v>
      </x:c>
      <x:c r="K41" s="65" t="n">
        <x:f>IF(J41="","",IFERROR(5+15*(MAX($J$41:$J$65)-J41)/(MAX($J$41:$J$65)-MIN($J$41:$J$65)),10))</x:f>
        <x:v>10</x:v>
      </x:c>
      <x:c r="L41" s="97" t="n">
        <x:v>0.02445936101890973</x:v>
      </x:c>
      <x:c r="M41" s="97" t="n">
        <x:v>0.14</x:v>
      </x:c>
      <x:c r="N41" s="98" t="n">
        <x:f>IF($F$4="AA cost per Index task",L41,M41)</x:f>
        <x:v>0.02445936101890973</x:v>
      </x:c>
      <x:c r="O41" s="99" t="n">
        <x:v>0.45</x:v>
      </x:c>
      <x:c r="P41" s="99" t="n">
        <x:v>0.06</x:v>
      </x:c>
      <x:c r="Q41" s="99" t="n">
        <x:v>0.33</x:v>
      </x:c>
      <x:c r="R41" s="100" t="n">
        <x:v>2400000</x:v>
      </x:c>
      <x:c r="S41" s="100" t="n">
        <x:v>186.540186953751</x:v>
      </x:c>
      <x:c r="T41" s="94" t="inlineStr">
        <x:is>
          <x:t xml:space="preserve">2026-10-16</x:t>
        </x:is>
      </x:c>
      <x:c r="U41" s="101" t="inlineStr">
        <x:is>
          <x:t xml:space="preserve">https://artificialanalysis.ai/models/claude-haiku-5-5-low</x:t>
        </x:is>
      </x:c>
      <x:c r="V41" s="101" t="inlineStr">
        <x:is>
          <x:t xml:space="preserve">https://artificialanalysis.ai/agents/coding-agents/comparisons/claude-code-vs-muse-code</x:t>
        </x:is>
      </x:c>
      <x:c r="W41" s="94" t="inlineStr">
        <x:is>
          <x:t xml:space="preserve">Model and effort name match; Claude Code harness; fallback status is not specified on the CAI table</x:t>
        </x:is>
      </x:c>
    </x:row>
    <x:row r="42">
      <x:c r="A42" s="102" t="inlineStr">
        <x:is>
          <x:t xml:space="preserve">Claude Haiku 5.5 (medium)</x:t>
        </x:is>
      </x:c>
      <x:c r="B42" s="102" t="inlineStr">
        <x:is>
          <x:t xml:space="preserve">anthropic|claude-haiku-5-5|medium|yes|fallback-na</x:t>
        </x:is>
      </x:c>
      <x:c r="C42" s="102" t="inlineStr">
        <x:is>
          <x:t xml:space="preserve">Claude Code</x:t>
        </x:is>
      </x:c>
      <x:c r="D42" s="102" t="inlineStr">
        <x:is>
          <x:t xml:space="preserve">medium</x:t>
        </x:is>
      </x:c>
      <x:c r="E42" s="102" t="n">
        <x:v>34</x:v>
      </x:c>
      <x:c r="F42" s="102" t="n">
        <x:v>34</x:v>
      </x:c>
      <x:c r="G42" s="65" t="n">
        <x:f>IF($B$4="AA Intelligence Index v4.3.2",E42,F42)</x:f>
        <x:v>34</x:v>
      </x:c>
      <x:c r="H42" s="103" t="n">
        <x:v>117.5603579796124</x:v>
      </x:c>
      <x:c r="I42" s="103" t="n">
        <x:v>840</x:v>
      </x:c>
      <x:c r="J42" s="96" t="n">
        <x:f>IF($D$4="AA weighted decode time per task",H42,I42)</x:f>
        <x:v>117.5603579796124</x:v>
      </x:c>
      <x:c r="K42" s="65" t="n">
        <x:f>IF(J42="","",IFERROR(5+15*(MAX($J$41:$J$65)-J42)/(MAX($J$41:$J$65)-MIN($J$41:$J$65)),10))</x:f>
        <x:v>10</x:v>
      </x:c>
      <x:c r="L42" s="104" t="n">
        <x:v>0.04703084793955566</x:v>
      </x:c>
      <x:c r="M42" s="104" t="n">
        <x:v>0.23</x:v>
      </x:c>
      <x:c r="N42" s="98" t="n">
        <x:f>IF($F$4="AA cost per Index task",L42,M42)</x:f>
        <x:v>0.04703084793955566</x:v>
      </x:c>
      <x:c r="O42" s="105" t="n">
        <x:v>0.47</x:v>
      </x:c>
      <x:c r="P42" s="105" t="n">
        <x:v>0.12</x:v>
      </x:c>
      <x:c r="Q42" s="105" t="n">
        <x:v>0.42</x:v>
      </x:c>
      <x:c r="R42" s="106" t="n">
        <x:v>3500000</x:v>
      </x:c>
      <x:c r="S42" s="106" t="n">
        <x:v>186.845690676975</x:v>
      </x:c>
      <x:c r="T42" s="102" t="inlineStr">
        <x:is>
          <x:t xml:space="preserve">2026-10-16</x:t>
        </x:is>
      </x:c>
      <x:c r="U42" s="107" t="inlineStr">
        <x:is>
          <x:t xml:space="preserve">https://artificialanalysis.ai/models/claude-haiku-5-5-medium</x:t>
        </x:is>
      </x:c>
      <x:c r="V42" s="107" t="inlineStr">
        <x:is>
          <x:t xml:space="preserve">https://artificialanalysis.ai/agents/coding-agents/comparisons/claude-code-vs-muse-code</x:t>
        </x:is>
      </x:c>
      <x:c r="W42" s="102" t="inlineStr">
        <x:is>
          <x:t xml:space="preserve">Model and effort name match; Claude Code harness; fallback status is not specified on the CAI table</x:t>
        </x:is>
      </x:c>
    </x:row>
    <x:row r="43">
      <x:c r="A43" s="94" t="inlineStr">
        <x:is>
          <x:t xml:space="preserve">Claude Haiku 5.5 (high)</x:t>
        </x:is>
      </x:c>
      <x:c r="B43" s="94" t="inlineStr">
        <x:is>
          <x:t xml:space="preserve">anthropic|claude-haiku-5-5|high|yes|fallback-na</x:t>
        </x:is>
      </x:c>
      <x:c r="C43" s="94" t="inlineStr">
        <x:is>
          <x:t xml:space="preserve">Claude Code</x:t>
        </x:is>
      </x:c>
      <x:c r="D43" s="94" t="inlineStr">
        <x:is>
          <x:t xml:space="preserve">high</x:t>
        </x:is>
      </x:c>
      <x:c r="E43" s="94" t="n">
        <x:v>38</x:v>
      </x:c>
      <x:c r="F43" s="94" t="n">
        <x:v>35</x:v>
      </x:c>
      <x:c r="G43" s="65" t="n">
        <x:f>IF($B$4="AA Intelligence Index v4.3.2",E43,F43)</x:f>
        <x:v>38</x:v>
      </x:c>
      <x:c r="H43" s="95" t="n">
        <x:v>191.5884589052944</x:v>
      </x:c>
      <x:c r="I43" s="95" t="n">
        <x:v>1104</x:v>
      </x:c>
      <x:c r="J43" s="96" t="n">
        <x:f>IF($D$4="AA weighted decode time per task",H43,I43)</x:f>
        <x:v>191.5884589052944</x:v>
      </x:c>
      <x:c r="K43" s="65" t="n">
        <x:f>IF(J43="","",IFERROR(5+15*(MAX($J$41:$J$65)-J43)/(MAX($J$41:$J$65)-MIN($J$41:$J$65)),10))</x:f>
        <x:v>10</x:v>
      </x:c>
      <x:c r="L43" s="97" t="n">
        <x:v>0.07942671568737021</x:v>
      </x:c>
      <x:c r="M43" s="97" t="n">
        <x:v>0.36</x:v>
      </x:c>
      <x:c r="N43" s="98" t="n">
        <x:f>IF($F$4="AA cost per Index task",L43,M43)</x:f>
        <x:v>0.07942671568737021</x:v>
      </x:c>
      <x:c r="O43" s="99" t="n">
        <x:v>0.46</x:v>
      </x:c>
      <x:c r="P43" s="99" t="n">
        <x:v>0.13</x:v>
      </x:c>
      <x:c r="Q43" s="99" t="n">
        <x:v>0.46</x:v>
      </x:c>
      <x:c r="R43" s="100" t="n">
        <x:v>5100000</x:v>
      </x:c>
      <x:c r="S43" s="100" t="n">
        <x:v>182.22641493483</x:v>
      </x:c>
      <x:c r="T43" s="94" t="inlineStr">
        <x:is>
          <x:t xml:space="preserve">2026-10-16</x:t>
        </x:is>
      </x:c>
      <x:c r="U43" s="101" t="inlineStr">
        <x:is>
          <x:t xml:space="preserve">https://artificialanalysis.ai/models/claude-haiku-5-5-high</x:t>
        </x:is>
      </x:c>
      <x:c r="V43" s="101" t="inlineStr">
        <x:is>
          <x:t xml:space="preserve">https://artificialanalysis.ai/agents/coding-agents/comparisons/claude-code-vs-muse-code</x:t>
        </x:is>
      </x:c>
      <x:c r="W43" s="94" t="inlineStr">
        <x:is>
          <x:t xml:space="preserve">Model and effort name match; Claude Code harness; fallback status is not specified on the CAI table</x:t>
        </x:is>
      </x:c>
    </x:row>
    <x:row r="44">
      <x:c r="A44" s="102" t="inlineStr">
        <x:is>
          <x:t xml:space="preserve">Claude Haiku 5.5 (xhigh)</x:t>
        </x:is>
      </x:c>
      <x:c r="B44" s="102" t="inlineStr">
        <x:is>
          <x:t xml:space="preserve">anthropic|claude-haiku-5-5|xhigh|yes|fallback-na</x:t>
        </x:is>
      </x:c>
      <x:c r="C44" s="102" t="inlineStr">
        <x:is>
          <x:t xml:space="preserve">Claude Code</x:t>
        </x:is>
      </x:c>
      <x:c r="D44" s="102" t="inlineStr">
        <x:is>
          <x:t xml:space="preserve">xhigh</x:t>
        </x:is>
      </x:c>
      <x:c r="E44" s="102" t="n">
        <x:v>41</x:v>
      </x:c>
      <x:c r="F44" s="102" t="n">
        <x:v>41</x:v>
      </x:c>
      <x:c r="G44" s="65" t="n">
        <x:f>IF($B$4="AA Intelligence Index v4.3.2",E44,F44)</x:f>
        <x:v>41</x:v>
      </x:c>
      <x:c r="H44" s="103" t="n">
        <x:v>293.6203047405431</x:v>
      </x:c>
      <x:c r="I44" s="103" t="n">
        <x:v>1554</x:v>
      </x:c>
      <x:c r="J44" s="96" t="n">
        <x:f>IF($D$4="AA weighted decode time per task",H44,I44)</x:f>
        <x:v>293.6203047405431</x:v>
      </x:c>
      <x:c r="K44" s="65" t="n">
        <x:f>IF(J44="","",IFERROR(5+15*(MAX($J$41:$J$65)-J44)/(MAX($J$41:$J$65)-MIN($J$41:$J$65)),10))</x:f>
        <x:v>10</x:v>
      </x:c>
      <x:c r="L44" s="104" t="n">
        <x:v>0.123785610920961</x:v>
      </x:c>
      <x:c r="M44" s="104" t="n">
        <x:v>0.61</x:v>
      </x:c>
      <x:c r="N44" s="98" t="n">
        <x:f>IF($F$4="AA cost per Index task",L44,M44)</x:f>
        <x:v>0.123785610920961</x:v>
      </x:c>
      <x:c r="O44" s="105" t="n">
        <x:v>0.49</x:v>
      </x:c>
      <x:c r="P44" s="105" t="n">
        <x:v>0.24</x:v>
      </x:c>
      <x:c r="Q44" s="105" t="n">
        <x:v>0.52</x:v>
      </x:c>
      <x:c r="R44" s="106" t="n">
        <x:v>7100000</x:v>
      </x:c>
      <x:c r="S44" s="106" t="n">
        <x:v>190.190528722297</x:v>
      </x:c>
      <x:c r="T44" s="102" t="inlineStr">
        <x:is>
          <x:t xml:space="preserve">2026-10-16</x:t>
        </x:is>
      </x:c>
      <x:c r="U44" s="107" t="inlineStr">
        <x:is>
          <x:t xml:space="preserve">https://artificialanalysis.ai/models/claude-haiku-5-5-xhigh</x:t>
        </x:is>
      </x:c>
      <x:c r="V44" s="107" t="inlineStr">
        <x:is>
          <x:t xml:space="preserve">https://artificialanalysis.ai/agents/coding-agents/comparisons/claude-code-vs-muse-code</x:t>
        </x:is>
      </x:c>
      <x:c r="W44" s="102" t="inlineStr">
        <x:is>
          <x:t xml:space="preserve">Model and effort name match; Claude Code harness; fallback status is not specified on the CAI table</x:t>
        </x:is>
      </x:c>
    </x:row>
    <x:row r="45">
      <x:c r="A45" s="94" t="inlineStr">
        <x:is>
          <x:t xml:space="preserve">Claude Haiku 5.5 (max)</x:t>
        </x:is>
      </x:c>
      <x:c r="B45" s="94" t="inlineStr">
        <x:is>
          <x:t xml:space="preserve">anthropic|claude-haiku-5-5|max|yes|fallback-na</x:t>
        </x:is>
      </x:c>
      <x:c r="C45" s="94" t="inlineStr">
        <x:is>
          <x:t xml:space="preserve">Claude Code</x:t>
        </x:is>
      </x:c>
      <x:c r="D45" s="94" t="inlineStr">
        <x:is>
          <x:t xml:space="preserve">max</x:t>
        </x:is>
      </x:c>
      <x:c r="E45" s="94" t="n">
        <x:v>43</x:v>
      </x:c>
      <x:c r="F45" s="94" t="n">
        <x:v>36</x:v>
      </x:c>
      <x:c r="G45" s="65" t="n">
        <x:f>IF($B$4="AA Intelligence Index v4.3.2",E45,F45)</x:f>
        <x:v>43</x:v>
      </x:c>
      <x:c r="H45" s="95" t="n">
        <x:v>426.6431587863871</x:v>
      </x:c>
      <x:c r="I45" s="95" t="n">
        <x:v>5400</x:v>
      </x:c>
      <x:c r="J45" s="96" t="n">
        <x:f>IF($D$4="AA weighted decode time per task",H45,I45)</x:f>
        <x:v>426.6431587863871</x:v>
      </x:c>
      <x:c r="K45" s="65" t="n">
        <x:f>IF(J45="","",IFERROR(5+15*(MAX($J$41:$J$65)-J45)/(MAX($J$41:$J$65)-MIN($J$41:$J$65)),10))</x:f>
        <x:v>10</x:v>
      </x:c>
      <x:c r="L45" s="97" t="n">
        <x:v>0.2127697121699202</x:v>
      </x:c>
      <x:c r="M45" s="97" t="n">
        <x:v>2.58</x:v>
      </x:c>
      <x:c r="N45" s="98" t="n">
        <x:f>IF($F$4="AA cost per Index task",L45,M45)</x:f>
        <x:v>0.2127697121699202</x:v>
      </x:c>
      <x:c r="O45" s="99" t="n">
        <x:v>0.46</x:v>
      </x:c>
      <x:c r="P45" s="99" t="n">
        <x:v>0.3</x:v>
      </x:c>
      <x:c r="Q45" s="99" t="n">
        <x:v>0.34</x:v>
      </x:c>
      <x:c r="R45" s="100" t="n">
        <x:v>13800000</x:v>
      </x:c>
      <x:c r="S45" s="100" t="n">
        <x:v>238.432175511751</x:v>
      </x:c>
      <x:c r="T45" s="94" t="inlineStr">
        <x:is>
          <x:t xml:space="preserve">2026-10-16</x:t>
        </x:is>
      </x:c>
      <x:c r="U45" s="101" t="inlineStr">
        <x:is>
          <x:t xml:space="preserve">https://artificialanalysis.ai/models/claude-haiku-5-5</x:t>
        </x:is>
      </x:c>
      <x:c r="V45" s="101" t="inlineStr">
        <x:is>
          <x:t xml:space="preserve">https://artificialanalysis.ai/agents/coding-agents/comparisons/claude-code-vs-muse-code</x:t>
        </x:is>
      </x:c>
      <x:c r="W45" s="94" t="inlineStr">
        <x:is>
          <x:t xml:space="preserve">Model and effort name match; Claude Code harness; fallback status is not specified on the CAI table</x:t>
        </x:is>
      </x:c>
    </x:row>
    <x:row r="46">
      <x:c r="A46" s="102" t="inlineStr">
        <x:is>
          <x:t xml:space="preserve">Claude Opus 5.5 (max)</x:t>
        </x:is>
      </x:c>
      <x:c r="B46" s="102" t="inlineStr">
        <x:is>
          <x:t xml:space="preserve">anthropic|claude-opus-5.5|max|reasoning|fallback-true</x:t>
        </x:is>
      </x:c>
      <x:c r="C46" s="102" t="inlineStr">
        <x:is>
          <x:t xml:space="preserve">Claude Code</x:t>
        </x:is>
      </x:c>
      <x:c r="D46" s="102" t="inlineStr">
        <x:is>
          <x:t xml:space="preserve">max</x:t>
        </x:is>
      </x:c>
      <x:c r="E46" s="102" t="n">
        <x:v>58</x:v>
      </x:c>
      <x:c r="F46" s="102" t="n">
        <x:v>66</x:v>
      </x:c>
      <x:c r="G46" s="65" t="n">
        <x:f>IF($B$4="AA Intelligence Index v4.3.2",E46,F46)</x:f>
        <x:v>58</x:v>
      </x:c>
      <x:c r="H46" s="103" t="n">
        <x:v>784.7325609928813</x:v>
      </x:c>
      <x:c r="I46" s="103" t="n">
        <x:v>3960</x:v>
      </x:c>
      <x:c r="J46" s="96" t="n">
        <x:f>IF($D$4="AA weighted decode time per task",H46,I46)</x:f>
        <x:v>784.7325609928813</x:v>
      </x:c>
      <x:c r="K46" s="65" t="n">
        <x:f>IF(J46="","",IFERROR(5+15*(MAX($J$41:$J$65)-J46)/(MAX($J$41:$J$65)-MIN($J$41:$J$65)),10))</x:f>
        <x:v>10</x:v>
      </x:c>
      <x:c r="L46" s="104" t="n">
        <x:v>5.982012019521066</x:v>
      </x:c>
      <x:c r="M46" s="104" t="n">
        <x:v>13.04</x:v>
      </x:c>
      <x:c r="N46" s="98" t="n">
        <x:f>IF($F$4="AA cost per Index task",L46,M46)</x:f>
        <x:v>5.982012019521066</x:v>
      </x:c>
      <x:c r="O46" s="105" t="n">
        <x:v>0.68</x:v>
      </x:c>
      <x:c r="P46" s="105" t="n">
        <x:v>0.63</x:v>
      </x:c>
      <x:c r="Q46" s="105" t="n">
        <x:v>0.66</x:v>
      </x:c>
      <x:c r="R46" s="106" t="n">
        <x:v>15600000</x:v>
      </x:c>
      <x:c r="S46" s="106" t="n">
        <x:v>96.8304596499779</x:v>
      </x:c>
      <x:c r="T46" s="102" t="inlineStr">
        <x:is>
          <x:t xml:space="preserve">2026-10-16</x:t>
        </x:is>
      </x:c>
      <x:c r="U46" s="107" t="inlineStr">
        <x:is>
          <x:t xml:space="preserve">https://artificialanalysis.ai/models/claude-opus-5-5</x:t>
        </x:is>
      </x:c>
      <x:c r="V46" s="107" t="inlineStr">
        <x:is>
          <x:t xml:space="preserve">https://artificialanalysis.ai/agents/coding-agents/comparisons/claude-code-vs-muse-code</x:t>
        </x:is>
      </x:c>
      <x:c r="W46" s="102" t="inlineStr">
        <x:is>
          <x:t xml:space="preserve">Model and effort name match; Claude Code harness; fallback status is not specified on the CAI table</x:t>
        </x:is>
      </x:c>
    </x:row>
    <x:row r="47">
      <x:c r="A47" s="94" t="inlineStr">
        <x:is>
          <x:t xml:space="preserve">Claude Sonnet 5.5 (low)</x:t>
        </x:is>
      </x:c>
      <x:c r="B47" s="94" t="inlineStr">
        <x:is>
          <x:t xml:space="preserve">anthropic|claude-sonnet-5.5|low|reasoning|fallback-true</x:t>
        </x:is>
      </x:c>
      <x:c r="C47" s="94" t="inlineStr">
        <x:is>
          <x:t xml:space="preserve">Claude Code</x:t>
        </x:is>
      </x:c>
      <x:c r="D47" s="94" t="inlineStr">
        <x:is>
          <x:t xml:space="preserve">low</x:t>
        </x:is>
      </x:c>
      <x:c r="E47" s="94" t="n">
        <x:v>36</x:v>
      </x:c>
      <x:c r="F47" s="94" t="n">
        <x:v>42</x:v>
      </x:c>
      <x:c r="G47" s="65" t="n">
        <x:f>IF($B$4="AA Intelligence Index v4.3.2",E47,F47)</x:f>
        <x:v>36</x:v>
      </x:c>
      <x:c r="H47" s="95" t="n">
        <x:v>84.5794884636412</x:v>
      </x:c>
      <x:c r="I47" s="95" t="n">
        <x:v>378</x:v>
      </x:c>
      <x:c r="J47" s="96" t="n">
        <x:f>IF($D$4="AA weighted decode time per task",H47,I47)</x:f>
        <x:v>84.5794884636412</x:v>
      </x:c>
      <x:c r="K47" s="65" t="n">
        <x:f>IF(J47="","",IFERROR(5+15*(MAX($J$41:$J$65)-J47)/(MAX($J$41:$J$65)-MIN($J$41:$J$65)),10))</x:f>
        <x:v>10</x:v>
      </x:c>
      <x:c r="L47" s="97" t="n">
        <x:v>0.3451610270666562</x:v>
      </x:c>
      <x:c r="M47" s="97" t="n">
        <x:v>0.48</x:v>
      </x:c>
      <x:c r="N47" s="98" t="n">
        <x:f>IF($F$4="AA cost per Index task",L47,M47)</x:f>
        <x:v>0.3451610270666562</x:v>
      </x:c>
      <x:c r="O47" s="99" t="n">
        <x:v>0.62</x:v>
      </x:c>
      <x:c r="P47" s="99" t="n">
        <x:v>0.25</x:v>
      </x:c>
      <x:c r="Q47" s="99" t="n">
        <x:v>0.39</x:v>
      </x:c>
      <x:c r="R47" s="100" t="n">
        <x:v>977300</x:v>
      </x:c>
      <x:c r="S47" s="100" t="n">
        <x:v>112.322164865944</x:v>
      </x:c>
      <x:c r="T47" s="94" t="inlineStr">
        <x:is>
          <x:t xml:space="preserve">2026-10-16</x:t>
        </x:is>
      </x:c>
      <x:c r="U47" s="101" t="inlineStr">
        <x:is>
          <x:t xml:space="preserve">https://artificialanalysis.ai/models/claude-sonnet-5-5-low</x:t>
        </x:is>
      </x:c>
      <x:c r="V47" s="101" t="inlineStr">
        <x:is>
          <x:t xml:space="preserve">https://artificialanalysis.ai/agents/coding-agents/comparisons/claude-code-vs-muse-code</x:t>
        </x:is>
      </x:c>
      <x:c r="W47" s="94" t="inlineStr">
        <x:is>
          <x:t xml:space="preserve">Model and effort name match; Claude Code harness; fallback status is not specified on the CAI table</x:t>
        </x:is>
      </x:c>
    </x:row>
    <x:row r="48">
      <x:c r="A48" s="102" t="inlineStr">
        <x:is>
          <x:t xml:space="preserve">Claude Sonnet 5.5 (medium)</x:t>
        </x:is>
      </x:c>
      <x:c r="B48" s="102" t="inlineStr">
        <x:is>
          <x:t xml:space="preserve">anthropic|claude-sonnet-5.5|medium|reasoning|fallback-true</x:t>
        </x:is>
      </x:c>
      <x:c r="C48" s="102" t="inlineStr">
        <x:is>
          <x:t xml:space="preserve">Claude Code</x:t>
        </x:is>
      </x:c>
      <x:c r="D48" s="102" t="inlineStr">
        <x:is>
          <x:t xml:space="preserve">medium</x:t>
        </x:is>
      </x:c>
      <x:c r="E48" s="102" t="n">
        <x:v>41</x:v>
      </x:c>
      <x:c r="F48" s="102" t="n">
        <x:v>46</x:v>
      </x:c>
      <x:c r="G48" s="65" t="n">
        <x:f>IF($B$4="AA Intelligence Index v4.3.2",E48,F48)</x:f>
        <x:v>41</x:v>
      </x:c>
      <x:c r="H48" s="103" t="n">
        <x:v>118.066167902022</x:v>
      </x:c>
      <x:c r="I48" s="103" t="n">
        <x:v>510</x:v>
      </x:c>
      <x:c r="J48" s="96" t="n">
        <x:f>IF($D$4="AA weighted decode time per task",H48,I48)</x:f>
        <x:v>118.066167902022</x:v>
      </x:c>
      <x:c r="K48" s="65" t="n">
        <x:f>IF(J48="","",IFERROR(5+15*(MAX($J$41:$J$65)-J48)/(MAX($J$41:$J$65)-MIN($J$41:$J$65)),10))</x:f>
        <x:v>10</x:v>
      </x:c>
      <x:c r="L48" s="104" t="n">
        <x:v>0.483263782605431</x:v>
      </x:c>
      <x:c r="M48" s="104" t="n">
        <x:v>0.62</x:v>
      </x:c>
      <x:c r="N48" s="98" t="n">
        <x:f>IF($F$4="AA cost per Index task",L48,M48)</x:f>
        <x:v>0.483263782605431</x:v>
      </x:c>
      <x:c r="O48" s="105" t="n">
        <x:v>0.65</x:v>
      </x:c>
      <x:c r="P48" s="105" t="n">
        <x:v>0.27</x:v>
      </x:c>
      <x:c r="Q48" s="105" t="n">
        <x:v>0.45</x:v>
      </x:c>
      <x:c r="R48" s="106" t="n">
        <x:v>1300000</x:v>
      </x:c>
      <x:c r="S48" s="106" t="n">
        <x:v>118.333095930544</x:v>
      </x:c>
      <x:c r="T48" s="102" t="inlineStr">
        <x:is>
          <x:t xml:space="preserve">2026-10-16</x:t>
        </x:is>
      </x:c>
      <x:c r="U48" s="107" t="inlineStr">
        <x:is>
          <x:t xml:space="preserve">https://artificialanalysis.ai/models/claude-sonnet-5-5-medium</x:t>
        </x:is>
      </x:c>
      <x:c r="V48" s="107" t="inlineStr">
        <x:is>
          <x:t xml:space="preserve">https://artificialanalysis.ai/agents/coding-agents/comparisons/claude-code-vs-muse-code</x:t>
        </x:is>
      </x:c>
      <x:c r="W48" s="102" t="inlineStr">
        <x:is>
          <x:t xml:space="preserve">Model and effort name match; Claude Code harness; fallback status is not specified on the CAI table</x:t>
        </x:is>
      </x:c>
    </x:row>
    <x:row r="49">
      <x:c r="A49" s="94" t="inlineStr">
        <x:is>
          <x:t xml:space="preserve">Claude Sonnet 5.5 (high)</x:t>
        </x:is>
      </x:c>
      <x:c r="B49" s="94" t="inlineStr">
        <x:is>
          <x:t xml:space="preserve">anthropic|claude-sonnet-5.5|high|reasoning|fallback-true</x:t>
        </x:is>
      </x:c>
      <x:c r="C49" s="94" t="inlineStr">
        <x:is>
          <x:t xml:space="preserve">Claude Code</x:t>
        </x:is>
      </x:c>
      <x:c r="D49" s="94" t="inlineStr">
        <x:is>
          <x:t xml:space="preserve">high</x:t>
        </x:is>
      </x:c>
      <x:c r="E49" s="94" t="n">
        <x:v>47</x:v>
      </x:c>
      <x:c r="F49" s="94" t="n">
        <x:v>55</x:v>
      </x:c>
      <x:c r="G49" s="65" t="n">
        <x:f>IF($B$4="AA Intelligence Index v4.3.2",E49,F49)</x:f>
        <x:v>47</x:v>
      </x:c>
      <x:c r="H49" s="95" t="n">
        <x:v>218.4908455816941</x:v>
      </x:c>
      <x:c r="I49" s="95" t="n">
        <x:v>738</x:v>
      </x:c>
      <x:c r="J49" s="96" t="n">
        <x:f>IF($D$4="AA weighted decode time per task",H49,I49)</x:f>
        <x:v>218.4908455816941</x:v>
      </x:c>
      <x:c r="K49" s="65" t="n">
        <x:f>IF(J49="","",IFERROR(5+15*(MAX($J$41:$J$65)-J49)/(MAX($J$41:$J$65)-MIN($J$41:$J$65)),10))</x:f>
        <x:v>10</x:v>
      </x:c>
      <x:c r="L49" s="97" t="n">
        <x:v>0.8844498581005511</x:v>
      </x:c>
      <x:c r="M49" s="97" t="n">
        <x:v>1.24</x:v>
      </x:c>
      <x:c r="N49" s="98" t="n">
        <x:f>IF($F$4="AA cost per Index task",L49,M49)</x:f>
        <x:v>0.8844498581005511</x:v>
      </x:c>
      <x:c r="O49" s="99" t="n">
        <x:v>0.67</x:v>
      </x:c>
      <x:c r="P49" s="99" t="n">
        <x:v>0.42</x:v>
      </x:c>
      <x:c r="Q49" s="99" t="n">
        <x:v>0.5600000000000001</x:v>
      </x:c>
      <x:c r="R49" s="100" t="n">
        <x:v>2700000</x:v>
      </x:c>
      <x:c r="S49" s="100" t="n">
        <x:v>112.933146889948</x:v>
      </x:c>
      <x:c r="T49" s="94" t="inlineStr">
        <x:is>
          <x:t xml:space="preserve">2026-10-16</x:t>
        </x:is>
      </x:c>
      <x:c r="U49" s="101" t="inlineStr">
        <x:is>
          <x:t xml:space="preserve">https://artificialanalysis.ai/models/claude-sonnet-5-5-high</x:t>
        </x:is>
      </x:c>
      <x:c r="V49" s="101" t="inlineStr">
        <x:is>
          <x:t xml:space="preserve">https://artificialanalysis.ai/agents/coding-agents/comparisons/claude-code-vs-muse-code</x:t>
        </x:is>
      </x:c>
      <x:c r="W49" s="94" t="inlineStr">
        <x:is>
          <x:t xml:space="preserve">Model and effort name match; Claude Code harness; fallback status is not specified on the CAI table</x:t>
        </x:is>
      </x:c>
    </x:row>
    <x:row r="50">
      <x:c r="A50" s="102" t="inlineStr">
        <x:is>
          <x:t xml:space="preserve">Claude Sonnet 5.5 (xhigh)</x:t>
        </x:is>
      </x:c>
      <x:c r="B50" s="102" t="inlineStr">
        <x:is>
          <x:t xml:space="preserve">anthropic|claude-sonnet-5.5|xhigh|reasoning|fallback-true</x:t>
        </x:is>
      </x:c>
      <x:c r="C50" s="102" t="inlineStr">
        <x:is>
          <x:t xml:space="preserve">Claude Code</x:t>
        </x:is>
      </x:c>
      <x:c r="D50" s="102" t="inlineStr">
        <x:is>
          <x:t xml:space="preserve">xhigh</x:t>
        </x:is>
      </x:c>
      <x:c r="E50" s="102" t="n">
        <x:v>52</x:v>
      </x:c>
      <x:c r="F50" s="102" t="n">
        <x:v>63</x:v>
      </x:c>
      <x:c r="G50" s="65" t="n">
        <x:f>IF($B$4="AA Intelligence Index v4.3.2",E50,F50)</x:f>
        <x:v>52</x:v>
      </x:c>
      <x:c r="H50" s="103" t="n">
        <x:v>424.3016657547427</x:v>
      </x:c>
      <x:c r="I50" s="103" t="n">
        <x:v>1620</x:v>
      </x:c>
      <x:c r="J50" s="96" t="n">
        <x:f>IF($D$4="AA weighted decode time per task",H50,I50)</x:f>
        <x:v>424.3016657547427</x:v>
      </x:c>
      <x:c r="K50" s="65" t="n">
        <x:f>IF(J50="","",IFERROR(5+15*(MAX($J$41:$J$65)-J50)/(MAX($J$41:$J$65)-MIN($J$41:$J$65)),10))</x:f>
        <x:v>10</x:v>
      </x:c>
      <x:c r="L50" s="104" t="n">
        <x:v>2.012034580154578</x:v>
      </x:c>
      <x:c r="M50" s="104" t="n">
        <x:v>3.33</x:v>
      </x:c>
      <x:c r="N50" s="98" t="n">
        <x:f>IF($F$4="AA cost per Index task",L50,M50)</x:f>
        <x:v>2.012034580154578</x:v>
      </x:c>
      <x:c r="O50" s="105" t="n">
        <x:v>0.68</x:v>
      </x:c>
      <x:c r="P50" s="105" t="n">
        <x:v>0.58</x:v>
      </x:c>
      <x:c r="Q50" s="105" t="n">
        <x:v>0.62</x:v>
      </x:c>
      <x:c r="R50" s="106" t="n">
        <x:v>7100000</x:v>
      </x:c>
      <x:c r="S50" s="106" t="n">
        <x:v>114.316667737417</x:v>
      </x:c>
      <x:c r="T50" s="102" t="inlineStr">
        <x:is>
          <x:t xml:space="preserve">2026-10-16</x:t>
        </x:is>
      </x:c>
      <x:c r="U50" s="107" t="inlineStr">
        <x:is>
          <x:t xml:space="preserve">https://artificialanalysis.ai/models/claude-sonnet-5-5-xhigh</x:t>
        </x:is>
      </x:c>
      <x:c r="V50" s="107" t="inlineStr">
        <x:is>
          <x:t xml:space="preserve">https://artificialanalysis.ai/agents/coding-agents/comparisons/claude-code-vs-muse-code</x:t>
        </x:is>
      </x:c>
      <x:c r="W50" s="102" t="inlineStr">
        <x:is>
          <x:t xml:space="preserve">Model and effort name match; Claude Code harness; fallback status is not specified on the CAI table</x:t>
        </x:is>
      </x:c>
    </x:row>
    <x:row r="51">
      <x:c r="A51" s="94" t="inlineStr">
        <x:is>
          <x:t xml:space="preserve">Claude Sonnet 5.5 (max)</x:t>
        </x:is>
      </x:c>
      <x:c r="B51" s="94" t="inlineStr">
        <x:is>
          <x:t xml:space="preserve">anthropic|claude-sonnet-5.5|max|reasoning|fallback-true</x:t>
        </x:is>
      </x:c>
      <x:c r="C51" s="94" t="inlineStr">
        <x:is>
          <x:t xml:space="preserve">Claude Code</x:t>
        </x:is>
      </x:c>
      <x:c r="D51" s="94" t="inlineStr">
        <x:is>
          <x:t xml:space="preserve">max</x:t>
        </x:is>
      </x:c>
      <x:c r="E51" s="94" t="n">
        <x:v>56</x:v>
      </x:c>
      <x:c r="F51" s="94" t="n">
        <x:v>68</x:v>
      </x:c>
      <x:c r="G51" s="65" t="n">
        <x:f>IF($B$4="AA Intelligence Index v4.3.2",E51,F51)</x:f>
        <x:v>56</x:v>
      </x:c>
      <x:c r="H51" s="95" t="n">
        <x:v>918.1456498325008</x:v>
      </x:c>
      <x:c r="I51" s="95" t="n">
        <x:v>5400</x:v>
      </x:c>
      <x:c r="J51" s="96" t="n">
        <x:f>IF($D$4="AA weighted decode time per task",H51,I51)</x:f>
        <x:v>918.1456498325008</x:v>
      </x:c>
      <x:c r="K51" s="65" t="n">
        <x:f>IF(J51="","",IFERROR(5+15*(MAX($J$41:$J$65)-J51)/(MAX($J$41:$J$65)-MIN($J$41:$J$65)),10))</x:f>
        <x:v>10</x:v>
      </x:c>
      <x:c r="L51" s="97" t="n">
        <x:v>5.460852594809833</x:v>
      </x:c>
      <x:c r="M51" s="97" t="n">
        <x:v>14.19</x:v>
      </x:c>
      <x:c r="N51" s="98" t="n">
        <x:f>IF($F$4="AA cost per Index task",L51,M51)</x:f>
        <x:v>5.460852594809833</x:v>
      </x:c>
      <x:c r="O51" s="99" t="n">
        <x:v>0.72</x:v>
      </x:c>
      <x:c r="P51" s="99" t="n">
        <x:v>0.66</x:v>
      </x:c>
      <x:c r="Q51" s="99" t="n">
        <x:v>0.67</x:v>
      </x:c>
      <x:c r="R51" s="100" t="n">
        <x:v>27700000</x:v>
      </x:c>
      <x:c r="S51" s="100" t="n">
        <x:v>137.685268124164</x:v>
      </x:c>
      <x:c r="T51" s="94" t="inlineStr">
        <x:is>
          <x:t xml:space="preserve">2026-10-16</x:t>
        </x:is>
      </x:c>
      <x:c r="U51" s="101" t="inlineStr">
        <x:is>
          <x:t xml:space="preserve">https://artificialanalysis.ai/models/claude-sonnet-5-5</x:t>
        </x:is>
      </x:c>
      <x:c r="V51" s="101" t="inlineStr">
        <x:is>
          <x:t xml:space="preserve">https://artificialanalysis.ai/agents/coding-agents/comparisons/claude-code-vs-muse-code</x:t>
        </x:is>
      </x:c>
      <x:c r="W51" s="94" t="inlineStr">
        <x:is>
          <x:t xml:space="preserve">Model and effort name match; Claude Code harness; fallback status is not specified on the CAI table</x:t>
        </x:is>
      </x:c>
    </x:row>
    <x:row r="52">
      <x:c r="A52" s="102" t="inlineStr">
        <x:is>
          <x:t xml:space="preserve">DeepSeek V4 Flash 0731 (max)</x:t>
        </x:is>
      </x:c>
      <x:c r="B52" s="102" t="inlineStr">
        <x:is>
          <x:t xml:space="preserve">deepseek|deepseek-v4-flash-0731|max|reasoning|fallback-na</x:t>
        </x:is>
      </x:c>
      <x:c r="C52" s="102" t="inlineStr">
        <x:is>
          <x:t xml:space="preserve">Codex</x:t>
        </x:is>
      </x:c>
      <x:c r="D52" s="102" t="inlineStr">
        <x:is>
          <x:t xml:space="preserve">max</x:t>
        </x:is>
      </x:c>
      <x:c r="E52" s="102" t="n"/>
      <x:c r="F52" s="102" t="n">
        <x:v>39</x:v>
      </x:c>
      <x:c r="G52" s="65" t="e">
        <x:f>IF($B$4="AA Intelligence Index v4.3.2",E52,F52)</x:f>
        <x:v>#VALUE!</x:v>
      </x:c>
      <x:c r="H52" s="103" t="n"/>
      <x:c r="I52" s="103" t="n">
        <x:v>1098</x:v>
      </x:c>
      <x:c r="J52" s="96" t="e">
        <x:f>IF($D$4="AA weighted decode time per task",H52,I52)</x:f>
        <x:v>#VALUE!</x:v>
      </x:c>
      <x:c r="K52" s="65" t="e">
        <x:f>IF(J52="","",IFERROR(5+15*(MAX($J$41:$J$65)-J52)/(MAX($J$41:$J$65)-MIN($J$41:$J$65)),10))</x:f>
        <x:v>#VALUE!</x:v>
      </x:c>
      <x:c r="L52" s="104" t="n"/>
      <x:c r="M52" s="104" t="n">
        <x:v>0.09</x:v>
      </x:c>
      <x:c r="N52" s="98" t="e">
        <x:f>IF($F$4="AA cost per Index task",L52,M52)</x:f>
        <x:v>#VALUE!</x:v>
      </x:c>
      <x:c r="O52" s="105" t="n">
        <x:v>0.54</x:v>
      </x:c>
      <x:c r="P52" s="105" t="n">
        <x:v>0.11</x:v>
      </x:c>
      <x:c r="Q52" s="105" t="n">
        <x:v>0.51</x:v>
      </x:c>
      <x:c r="R52" s="106" t="n">
        <x:v>15400000</x:v>
      </x:c>
      <x:c r="S52" s="106" t="n"/>
      <x:c r="T52" s="102" t="n"/>
      <x:c r="U52" s="102" t="n"/>
      <x:c r="V52" s="107" t="inlineStr">
        <x:is>
          <x:t xml:space="preserve">https://artificialanalysis.ai/agents/coding-agents/comparisons/codex-vs-muse-code</x:t>
        </x:is>
      </x:c>
      <x:c r="W52" s="102" t="inlineStr">
        <x:is>
          <x:t xml:space="preserve">Older named release; not merged with current workbook DeepSeek V4.1 Flash</x:t>
        </x:is>
      </x:c>
    </x:row>
    <x:row r="53">
      <x:c r="A53" s="94" t="inlineStr">
        <x:is>
          <x:t xml:space="preserve">DeepSeek V4 Pro 0813 (max)</x:t>
        </x:is>
      </x:c>
      <x:c r="B53" s="94" t="inlineStr">
        <x:is>
          <x:t xml:space="preserve">deepseek|deepseek-v4-pro-0813|max|reasoning|fallback-na</x:t>
        </x:is>
      </x:c>
      <x:c r="C53" s="94" t="inlineStr">
        <x:is>
          <x:t xml:space="preserve">Codex</x:t>
        </x:is>
      </x:c>
      <x:c r="D53" s="94" t="inlineStr">
        <x:is>
          <x:t xml:space="preserve">max</x:t>
        </x:is>
      </x:c>
      <x:c r="E53" s="94" t="n">
        <x:v>36</x:v>
      </x:c>
      <x:c r="F53" s="94" t="n">
        <x:v>43</x:v>
      </x:c>
      <x:c r="G53" s="65" t="n">
        <x:f>IF($B$4="AA Intelligence Index v4.3.2",E53,F53)</x:f>
        <x:v>36</x:v>
      </x:c>
      <x:c r="H53" s="95" t="n">
        <x:v>529.5817893731589</x:v>
      </x:c>
      <x:c r="I53" s="95" t="n">
        <x:v>2418</x:v>
      </x:c>
      <x:c r="J53" s="96" t="n">
        <x:f>IF($D$4="AA weighted decode time per task",H53,I53)</x:f>
        <x:v>529.5817893731589</x:v>
      </x:c>
      <x:c r="K53" s="65" t="n">
        <x:f>IF(J53="","",IFERROR(5+15*(MAX($J$41:$J$65)-J53)/(MAX($J$41:$J$65)-MIN($J$41:$J$65)),10))</x:f>
        <x:v>10</x:v>
      </x:c>
      <x:c r="L53" s="97" t="n">
        <x:v>0.6740219040435134</x:v>
      </x:c>
      <x:c r="M53" s="97" t="n">
        <x:v>0.24</x:v>
      </x:c>
      <x:c r="N53" s="98" t="n">
        <x:f>IF($F$4="AA cost per Index task",L53,M53)</x:f>
        <x:v>0.6740219040435134</x:v>
      </x:c>
      <x:c r="O53" s="99" t="n">
        <x:v>0.57</x:v>
      </x:c>
      <x:c r="P53" s="99" t="n">
        <x:v>0.1</x:v>
      </x:c>
      <x:c r="Q53" s="99" t="n">
        <x:v>0.62</x:v>
      </x:c>
      <x:c r="R53" s="100" t="n">
        <x:v>24200000</x:v>
      </x:c>
      <x:c r="S53" s="100" t="n">
        <x:v>89.03461695862789</x:v>
      </x:c>
      <x:c r="T53" s="94" t="inlineStr">
        <x:is>
          <x:t xml:space="preserve">2026-10-16</x:t>
        </x:is>
      </x:c>
      <x:c r="U53" s="101" t="inlineStr">
        <x:is>
          <x:t xml:space="preserve">https://artificialanalysis.ai/models/deepseek-v4-pro</x:t>
        </x:is>
      </x:c>
      <x:c r="V53" s="101" t="inlineStr">
        <x:is>
          <x:t xml:space="preserve">https://artificialanalysis.ai/agents/coding-agents/comparisons/codex-vs-muse-code</x:t>
        </x:is>
      </x:c>
      <x:c r="W53" s="94" t="inlineStr">
        <x:is>
          <x:t xml:space="preserve">Model and effort name match; Codex harness; AA source uses direct model evaluation</x:t>
        </x:is>
      </x:c>
    </x:row>
    <x:row r="54">
      <x:c r="A54" s="102" t="inlineStr">
        <x:is>
          <x:t xml:space="preserve">Gemini 4 Argon</x:t>
        </x:is>
      </x:c>
      <x:c r="B54" s="102" t="inlineStr">
        <x:is>
          <x:t xml:space="preserve">google|gemini-4-argon|not-stated|reasoning-unknown|fallback-na</x:t>
        </x:is>
      </x:c>
      <x:c r="C54" s="102" t="inlineStr">
        <x:is>
          <x:t xml:space="preserve">Antigravity CLI</x:t>
        </x:is>
      </x:c>
      <x:c r="D54" s="102" t="inlineStr">
        <x:is>
          <x:t xml:space="preserve">not stated</x:t>
        </x:is>
      </x:c>
      <x:c r="E54" s="102" t="n"/>
      <x:c r="F54" s="102" t="n">
        <x:v>64</x:v>
      </x:c>
      <x:c r="G54" s="65" t="e">
        <x:f>IF($B$4="AA Intelligence Index v4.3.2",E54,F54)</x:f>
        <x:v>#VALUE!</x:v>
      </x:c>
      <x:c r="H54" s="103" t="n"/>
      <x:c r="I54" s="103" t="n">
        <x:v>2070</x:v>
      </x:c>
      <x:c r="J54" s="96" t="e">
        <x:f>IF($D$4="AA weighted decode time per task",H54,I54)</x:f>
        <x:v>#VALUE!</x:v>
      </x:c>
      <x:c r="K54" s="65" t="e">
        <x:f>IF(J54="","",IFERROR(5+15*(MAX($J$41:$J$65)-J54)/(MAX($J$41:$J$65)-MIN($J$41:$J$65)),10))</x:f>
        <x:v>#VALUE!</x:v>
      </x:c>
      <x:c r="L54" s="104" t="n"/>
      <x:c r="M54" s="104" t="n">
        <x:v>5.84</x:v>
      </x:c>
      <x:c r="N54" s="98" t="e">
        <x:f>IF($F$4="AA cost per Index task",L54,M54)</x:f>
        <x:v>#VALUE!</x:v>
      </x:c>
      <x:c r="O54" s="105" t="n">
        <x:v>0.79</x:v>
      </x:c>
      <x:c r="P54" s="105" t="n">
        <x:v>0.5600000000000001</x:v>
      </x:c>
      <x:c r="Q54" s="105" t="n">
        <x:v>0.5600000000000001</x:v>
      </x:c>
      <x:c r="R54" s="106" t="n">
        <x:v>13700000</x:v>
      </x:c>
      <x:c r="S54" s="106" t="n"/>
      <x:c r="T54" s="102" t="n"/>
      <x:c r="U54" s="102" t="n"/>
      <x:c r="V54" s="107" t="inlineStr">
        <x:is>
          <x:t xml:space="preserve">https://artificialanalysis.ai/agents/coding-agents/comparisons/antigravity-cli-vs-codex</x:t>
        </x:is>
      </x:c>
      <x:c r="W54" s="102" t="inlineStr">
        <x:is>
          <x:t xml:space="preserve">CAI table does not state an effort level; do not map to AA High</x:t>
        </x:is>
      </x:c>
    </x:row>
    <x:row r="55">
      <x:c r="A55" s="94" t="inlineStr">
        <x:is>
          <x:t xml:space="preserve">GLM-5.3</x:t>
        </x:is>
      </x:c>
      <x:c r="B55" s="94" t="inlineStr">
        <x:is>
          <x:t xml:space="preserve">z-ai|glm-5-3|not-stated|reasoning-unknown|fallback-na</x:t>
        </x:is>
      </x:c>
      <x:c r="C55" s="94" t="inlineStr">
        <x:is>
          <x:t xml:space="preserve">OpenCode</x:t>
        </x:is>
      </x:c>
      <x:c r="D55" s="94" t="inlineStr">
        <x:is>
          <x:t xml:space="preserve">not stated</x:t>
        </x:is>
      </x:c>
      <x:c r="E55" s="94" t="n"/>
      <x:c r="F55" s="94" t="n">
        <x:v>54</x:v>
      </x:c>
      <x:c r="G55" s="65" t="e">
        <x:f>IF($B$4="AA Intelligence Index v4.3.2",E55,F55)</x:f>
        <x:v>#VALUE!</x:v>
      </x:c>
      <x:c r="H55" s="95" t="n"/>
      <x:c r="I55" s="95" t="n">
        <x:v>2886</x:v>
      </x:c>
      <x:c r="J55" s="96" t="e">
        <x:f>IF($D$4="AA weighted decode time per task",H55,I55)</x:f>
        <x:v>#VALUE!</x:v>
      </x:c>
      <x:c r="K55" s="65" t="e">
        <x:f>IF(J55="","",IFERROR(5+15*(MAX($J$41:$J$65)-J55)/(MAX($J$41:$J$65)-MIN($J$41:$J$65)),10))</x:f>
        <x:v>#VALUE!</x:v>
      </x:c>
      <x:c r="L55" s="97" t="n"/>
      <x:c r="M55" s="97" t="n">
        <x:v>4.24</x:v>
      </x:c>
      <x:c r="N55" s="98" t="e">
        <x:f>IF($F$4="AA cost per Index task",L55,M55)</x:f>
        <x:v>#VALUE!</x:v>
      </x:c>
      <x:c r="O55" s="99" t="n">
        <x:v>0.61</x:v>
      </x:c>
      <x:c r="P55" s="99" t="n">
        <x:v>0.4</x:v>
      </x:c>
      <x:c r="Q55" s="99" t="n">
        <x:v>0.59</x:v>
      </x:c>
      <x:c r="R55" s="100" t="n">
        <x:v>14300000</x:v>
      </x:c>
      <x:c r="S55" s="100" t="n"/>
      <x:c r="T55" s="94" t="n"/>
      <x:c r="U55" s="94" t="n"/>
      <x:c r="V55" s="101" t="inlineStr">
        <x:is>
          <x:t xml:space="preserve">https://artificialanalysis.ai/agents/coding-agents/comparisons/opencode-vs-muse-code</x:t>
        </x:is>
      </x:c>
      <x:c r="W55" s="94" t="inlineStr">
        <x:is>
          <x:t xml:space="preserve">CAI table does not state an effort level; do not map to AA low or max</x:t>
        </x:is>
      </x:c>
    </x:row>
    <x:row r="56">
      <x:c r="A56" s="102" t="inlineStr">
        <x:is>
          <x:t xml:space="preserve">GPT-6 Astra (max)</x:t>
        </x:is>
      </x:c>
      <x:c r="B56" s="102" t="inlineStr">
        <x:is>
          <x:t xml:space="preserve">openai|gpt-6-astra|max|reasoning|fallback-na</x:t>
        </x:is>
      </x:c>
      <x:c r="C56" s="102" t="inlineStr">
        <x:is>
          <x:t xml:space="preserve">Codex</x:t>
        </x:is>
      </x:c>
      <x:c r="D56" s="102" t="inlineStr">
        <x:is>
          <x:t xml:space="preserve">max</x:t>
        </x:is>
      </x:c>
      <x:c r="E56" s="102" t="n">
        <x:v>53</x:v>
      </x:c>
      <x:c r="F56" s="102" t="n">
        <x:v>62</x:v>
      </x:c>
      <x:c r="G56" s="65" t="n">
        <x:f>IF($B$4="AA Intelligence Index v4.3.2",E56,F56)</x:f>
        <x:v>53</x:v>
      </x:c>
      <x:c r="H56" s="103" t="n">
        <x:v>494.8545072582697</x:v>
      </x:c>
      <x:c r="I56" s="103" t="n">
        <x:v>1764</x:v>
      </x:c>
      <x:c r="J56" s="96" t="n">
        <x:f>IF($D$4="AA weighted decode time per task",H56,I56)</x:f>
        <x:v>494.8545072582697</x:v>
      </x:c>
      <x:c r="K56" s="65" t="n">
        <x:f>IF(J56="","",IFERROR(5+15*(MAX($J$41:$J$65)-J56)/(MAX($J$41:$J$65)-MIN($J$41:$J$65)),10))</x:f>
        <x:v>10</x:v>
      </x:c>
      <x:c r="L56" s="104" t="n">
        <x:v>3.257500313483416</x:v>
      </x:c>
      <x:c r="M56" s="104" t="n">
        <x:v>7.47</x:v>
      </x:c>
      <x:c r="N56" s="98" t="n">
        <x:f>IF($F$4="AA cost per Index task",L56,M56)</x:f>
        <x:v>3.257500313483416</x:v>
      </x:c>
      <x:c r="O56" s="105" t="n">
        <x:v>0.68</x:v>
      </x:c>
      <x:c r="P56" s="105" t="n">
        <x:v>0.5600000000000001</x:v>
      </x:c>
      <x:c r="Q56" s="105" t="n">
        <x:v>0.62</x:v>
      </x:c>
      <x:c r="R56" s="106" t="n">
        <x:v>3300000</x:v>
      </x:c>
      <x:c r="S56" s="106" t="n">
        <x:v>53.692273416665</x:v>
      </x:c>
      <x:c r="T56" s="102" t="inlineStr">
        <x:is>
          <x:t xml:space="preserve">2026-10-16</x:t>
        </x:is>
      </x:c>
      <x:c r="U56" s="107" t="inlineStr">
        <x:is>
          <x:t xml:space="preserve">https://artificialanalysis.ai/models/gpt-6-astra</x:t>
        </x:is>
      </x:c>
      <x:c r="V56" s="107" t="inlineStr">
        <x:is>
          <x:t xml:space="preserve">https://artificialanalysis.ai/agents/coding-agents/comparisons/codex-vs-muse-code</x:t>
        </x:is>
      </x:c>
      <x:c r="W56" s="102" t="inlineStr">
        <x:is>
          <x:t xml:space="preserve">Model and effort name match; Codex harness; AA source uses direct model evaluation</x:t>
        </x:is>
      </x:c>
    </x:row>
    <x:row r="57">
      <x:c r="A57" s="94" t="inlineStr">
        <x:is>
          <x:t xml:space="preserve">GPT-6 Luna (max)</x:t>
        </x:is>
      </x:c>
      <x:c r="B57" s="94" t="inlineStr">
        <x:is>
          <x:t xml:space="preserve">openai|gpt-6-luna|max|reasoning|fallback-na</x:t>
        </x:is>
      </x:c>
      <x:c r="C57" s="94" t="inlineStr">
        <x:is>
          <x:t xml:space="preserve">Codex</x:t>
        </x:is>
      </x:c>
      <x:c r="D57" s="94" t="inlineStr">
        <x:is>
          <x:t xml:space="preserve">max</x:t>
        </x:is>
      </x:c>
      <x:c r="E57" s="94" t="n">
        <x:v>38</x:v>
      </x:c>
      <x:c r="F57" s="94" t="n">
        <x:v>41</x:v>
      </x:c>
      <x:c r="G57" s="65" t="n">
        <x:f>IF($B$4="AA Intelligence Index v4.3.2",E57,F57)</x:f>
        <x:v>38</x:v>
      </x:c>
      <x:c r="H57" s="95" t="n">
        <x:v>407.2882445745238</x:v>
      </x:c>
      <x:c r="I57" s="95" t="n">
        <x:v>1284</x:v>
      </x:c>
      <x:c r="J57" s="96" t="n">
        <x:f>IF($D$4="AA weighted decode time per task",H57,I57)</x:f>
        <x:v>407.2882445745238</x:v>
      </x:c>
      <x:c r="K57" s="65" t="n">
        <x:f>IF(J57="","",IFERROR(5+15*(MAX($J$41:$J$65)-J57)/(MAX($J$41:$J$65)-MIN($J$41:$J$65)),10))</x:f>
        <x:v>10</x:v>
      </x:c>
      <x:c r="L57" s="97" t="n">
        <x:v>0.06782295669812205</x:v>
      </x:c>
      <x:c r="M57" s="97" t="n">
        <x:v>0.18</x:v>
      </x:c>
      <x:c r="N57" s="98" t="n">
        <x:f>IF($F$4="AA cost per Index task",L57,M57)</x:f>
        <x:v>0.06782295669812205</x:v>
      </x:c>
      <x:c r="O57" s="99" t="n">
        <x:v>0.64</x:v>
      </x:c>
      <x:c r="P57" s="99" t="n">
        <x:v>0.15</x:v>
      </x:c>
      <x:c r="Q57" s="99" t="n">
        <x:v>0.44</x:v>
      </x:c>
      <x:c r="R57" s="100" t="n">
        <x:v>10200000</x:v>
      </x:c>
      <x:c r="S57" s="100" t="n">
        <x:v>122.095443752871</x:v>
      </x:c>
      <x:c r="T57" s="94" t="inlineStr">
        <x:is>
          <x:t xml:space="preserve">2026-10-16</x:t>
        </x:is>
      </x:c>
      <x:c r="U57" s="101" t="inlineStr">
        <x:is>
          <x:t xml:space="preserve">https://artificialanalysis.ai/models/gpt-6-luna</x:t>
        </x:is>
      </x:c>
      <x:c r="V57" s="101" t="inlineStr">
        <x:is>
          <x:t xml:space="preserve">https://artificialanalysis.ai/agents/coding-agents/comparisons/codex-vs-muse-code</x:t>
        </x:is>
      </x:c>
      <x:c r="W57" s="94" t="inlineStr">
        <x:is>
          <x:t xml:space="preserve">Model and effort name match; Codex harness; AA source uses direct model evaluation</x:t>
        </x:is>
      </x:c>
    </x:row>
    <x:row r="58">
      <x:c r="A58" s="102" t="inlineStr">
        <x:is>
          <x:t xml:space="preserve">GPT-6 Sol (max)</x:t>
        </x:is>
      </x:c>
      <x:c r="B58" s="102" t="inlineStr">
        <x:is>
          <x:t xml:space="preserve">openai|gpt-6-sol|max|reasoning|fallback-na</x:t>
        </x:is>
      </x:c>
      <x:c r="C58" s="102" t="inlineStr">
        <x:is>
          <x:t xml:space="preserve">Codex</x:t>
        </x:is>
      </x:c>
      <x:c r="D58" s="102" t="inlineStr">
        <x:is>
          <x:t xml:space="preserve">max</x:t>
        </x:is>
      </x:c>
      <x:c r="E58" s="102" t="n">
        <x:v>48</x:v>
      </x:c>
      <x:c r="F58" s="102" t="n">
        <x:v>57</x:v>
      </x:c>
      <x:c r="G58" s="65" t="n">
        <x:f>IF($B$4="AA Intelligence Index v4.3.2",E58,F58)</x:f>
        <x:v>48</x:v>
      </x:c>
      <x:c r="H58" s="103" t="n">
        <x:v>293.81</x:v>
      </x:c>
      <x:c r="I58" s="103" t="n">
        <x:v>1338</x:v>
      </x:c>
      <x:c r="J58" s="96" t="n">
        <x:f>IF($D$4="AA weighted decode time per task",H58,I58)</x:f>
        <x:v>293.81</x:v>
      </x:c>
      <x:c r="K58" s="65" t="n">
        <x:f>IF(J58="","",IFERROR(5+15*(MAX($J$41:$J$65)-J58)/(MAX($J$41:$J$65)-MIN($J$41:$J$65)),10))</x:f>
        <x:v>10</x:v>
      </x:c>
      <x:c r="L58" s="104" t="n">
        <x:v>1.04</x:v>
      </x:c>
      <x:c r="M58" s="104" t="n">
        <x:v>2.99</x:v>
      </x:c>
      <x:c r="N58" s="98" t="n">
        <x:f>IF($F$4="AA cost per Index task",L58,M58)</x:f>
        <x:v>1.04</x:v>
      </x:c>
      <x:c r="O58" s="105" t="n">
        <x:v>0.6899999999999999</x:v>
      </x:c>
      <x:c r="P58" s="105" t="n">
        <x:v>0.43</x:v>
      </x:c>
      <x:c r="Q58" s="105" t="n">
        <x:v>0.58</x:v>
      </x:c>
      <x:c r="R58" s="106" t="n">
        <x:v>9800000</x:v>
      </x:c>
      <x:c r="S58" s="106" t="n">
        <x:v>103</x:v>
      </x:c>
      <x:c r="T58" s="102" t="inlineStr">
        <x:is>
          <x:t xml:space="preserve">2026-10-16</x:t>
        </x:is>
      </x:c>
      <x:c r="U58" s="107" t="inlineStr">
        <x:is>
          <x:t xml:space="preserve">https://artificialanalysis.ai/models/comparisons/gpt-6-sol-low-vs-gpt-6-sol</x:t>
        </x:is>
      </x:c>
      <x:c r="V58" s="107" t="inlineStr">
        <x:is>
          <x:t xml:space="preserve">https://artificialanalysis.ai/agents/coding-agents/comparisons/codex-vs-muse-code</x:t>
        </x:is>
      </x:c>
      <x:c r="W58" s="102" t="inlineStr">
        <x:is>
          <x:t xml:space="preserve">Model and effort name match; older sibling to GPT-6.1 Sol</x:t>
        </x:is>
      </x:c>
    </x:row>
    <x:row r="59">
      <x:c r="A59" s="94" t="inlineStr">
        <x:is>
          <x:t xml:space="preserve">GPT-6.1 Sol (low)</x:t>
        </x:is>
      </x:c>
      <x:c r="B59" s="94" t="inlineStr">
        <x:is>
          <x:t xml:space="preserve">openai|gpt-6-1-sol|low|yes|fallback-na</x:t>
        </x:is>
      </x:c>
      <x:c r="C59" s="94" t="inlineStr">
        <x:is>
          <x:t xml:space="preserve">Codex</x:t>
        </x:is>
      </x:c>
      <x:c r="D59" s="94" t="inlineStr">
        <x:is>
          <x:t xml:space="preserve">low</x:t>
        </x:is>
      </x:c>
      <x:c r="E59" s="94" t="n">
        <x:v>42</x:v>
      </x:c>
      <x:c r="F59" s="94" t="n">
        <x:v>57</x:v>
      </x:c>
      <x:c r="G59" s="65" t="n">
        <x:f>IF($B$4="AA Intelligence Index v4.3.2",E59,F59)</x:f>
        <x:v>42</x:v>
      </x:c>
      <x:c r="H59" s="95" t="n">
        <x:v>78.85212761725926</x:v>
      </x:c>
      <x:c r="I59" s="95" t="n">
        <x:v>516</x:v>
      </x:c>
      <x:c r="J59" s="96" t="n">
        <x:f>IF($D$4="AA weighted decode time per task",H59,I59)</x:f>
        <x:v>78.85212761725926</x:v>
      </x:c>
      <x:c r="K59" s="65" t="n">
        <x:f>IF(J59="","",IFERROR(5+15*(MAX($J$41:$J$65)-J59)/(MAX($J$41:$J$65)-MIN($J$41:$J$65)),10))</x:f>
        <x:v>10</x:v>
      </x:c>
      <x:c r="L59" s="97" t="n">
        <x:v>0.1307519086985938</x:v>
      </x:c>
      <x:c r="M59" s="97" t="n">
        <x:v>0.5</x:v>
      </x:c>
      <x:c r="N59" s="98" t="n">
        <x:f>IF($F$4="AA cost per Index task",L59,M59)</x:f>
        <x:v>0.1307519086985938</x:v>
      </x:c>
      <x:c r="O59" s="99" t="n">
        <x:v>0.68</x:v>
      </x:c>
      <x:c r="P59" s="99" t="n">
        <x:v>0.49</x:v>
      </x:c>
      <x:c r="Q59" s="99" t="n">
        <x:v>0.55</x:v>
      </x:c>
      <x:c r="R59" s="100" t="n">
        <x:v>1700000</x:v>
      </x:c>
      <x:c r="S59" s="100" t="n">
        <x:v>50.8173947705008</x:v>
      </x:c>
      <x:c r="T59" s="94" t="inlineStr">
        <x:is>
          <x:t xml:space="preserve">2026-10-16</x:t>
        </x:is>
      </x:c>
      <x:c r="U59" s="101" t="inlineStr">
        <x:is>
          <x:t xml:space="preserve">https://artificialanalysis.ai/models/gpt-6-1-sol-low</x:t>
        </x:is>
      </x:c>
      <x:c r="V59" s="101" t="inlineStr">
        <x:is>
          <x:t xml:space="preserve">https://artificialanalysis.ai/agents/coding-agents/comparisons/codex-vs-muse-code</x:t>
        </x:is>
      </x:c>
      <x:c r="W59" s="94" t="inlineStr">
        <x:is>
          <x:t xml:space="preserve">Model and effort name match; Codex harness; AA source uses direct model evaluation</x:t>
        </x:is>
      </x:c>
    </x:row>
    <x:row r="60">
      <x:c r="A60" s="102" t="inlineStr">
        <x:is>
          <x:t xml:space="preserve">GPT-6.1 Sol (medium)</x:t>
        </x:is>
      </x:c>
      <x:c r="B60" s="102" t="inlineStr">
        <x:is>
          <x:t xml:space="preserve">openai|gpt-6-1-sol|medium|yes|fallback-na</x:t>
        </x:is>
      </x:c>
      <x:c r="C60" s="102" t="inlineStr">
        <x:is>
          <x:t xml:space="preserve">Codex</x:t>
        </x:is>
      </x:c>
      <x:c r="D60" s="102" t="inlineStr">
        <x:is>
          <x:t xml:space="preserve">medium</x:t>
        </x:is>
      </x:c>
      <x:c r="E60" s="102" t="n">
        <x:v>48</x:v>
      </x:c>
      <x:c r="F60" s="102" t="n">
        <x:v>61</x:v>
      </x:c>
      <x:c r="G60" s="65" t="n">
        <x:f>IF($B$4="AA Intelligence Index v4.3.2",E60,F60)</x:f>
        <x:v>48</x:v>
      </x:c>
      <x:c r="H60" s="103" t="n">
        <x:v>159.2210978902292</x:v>
      </x:c>
      <x:c r="I60" s="103" t="n">
        <x:v>654</x:v>
      </x:c>
      <x:c r="J60" s="96" t="n">
        <x:f>IF($D$4="AA weighted decode time per task",H60,I60)</x:f>
        <x:v>159.2210978902292</x:v>
      </x:c>
      <x:c r="K60" s="65" t="n">
        <x:f>IF(J60="","",IFERROR(5+15*(MAX($J$41:$J$65)-J60)/(MAX($J$41:$J$65)-MIN($J$41:$J$65)),10))</x:f>
        <x:v>10</x:v>
      </x:c>
      <x:c r="L60" s="104" t="n">
        <x:v>0.2137008826787554</x:v>
      </x:c>
      <x:c r="M60" s="104" t="n">
        <x:v>0.7</x:v>
      </x:c>
      <x:c r="N60" s="98" t="n">
        <x:f>IF($F$4="AA cost per Index task",L60,M60)</x:f>
        <x:v>0.2137008826787554</x:v>
      </x:c>
      <x:c r="O60" s="105" t="n">
        <x:v>0.72</x:v>
      </x:c>
      <x:c r="P60" s="105" t="n">
        <x:v>0.52</x:v>
      </x:c>
      <x:c r="Q60" s="105" t="n">
        <x:v>0.61</x:v>
      </x:c>
      <x:c r="R60" s="106" t="n">
        <x:v>2300000</x:v>
      </x:c>
      <x:c r="S60" s="106" t="n">
        <x:v>50.7384865438122</x:v>
      </x:c>
      <x:c r="T60" s="102" t="inlineStr">
        <x:is>
          <x:t xml:space="preserve">2026-10-16</x:t>
        </x:is>
      </x:c>
      <x:c r="U60" s="107" t="inlineStr">
        <x:is>
          <x:t xml:space="preserve">https://artificialanalysis.ai/models/gpt-6-1-sol-medium</x:t>
        </x:is>
      </x:c>
      <x:c r="V60" s="107" t="inlineStr">
        <x:is>
          <x:t xml:space="preserve">https://artificialanalysis.ai/agents/coding-agents/comparisons/codex-vs-muse-code</x:t>
        </x:is>
      </x:c>
      <x:c r="W60" s="102" t="inlineStr">
        <x:is>
          <x:t xml:space="preserve">Model and effort name match; Codex harness; AA source uses direct model evaluation</x:t>
        </x:is>
      </x:c>
    </x:row>
    <x:row r="61">
      <x:c r="A61" s="94" t="inlineStr">
        <x:is>
          <x:t xml:space="preserve">GPT-6.1 Sol (high)</x:t>
        </x:is>
      </x:c>
      <x:c r="B61" s="94" t="inlineStr">
        <x:is>
          <x:t xml:space="preserve">openai|gpt-6-1-sol|high|yes|fallback-na</x:t>
        </x:is>
      </x:c>
      <x:c r="C61" s="94" t="inlineStr">
        <x:is>
          <x:t xml:space="preserve">Codex</x:t>
        </x:is>
      </x:c>
      <x:c r="D61" s="94" t="inlineStr">
        <x:is>
          <x:t xml:space="preserve">high</x:t>
        </x:is>
      </x:c>
      <x:c r="E61" s="94" t="n">
        <x:v>50</x:v>
      </x:c>
      <x:c r="F61" s="94" t="n">
        <x:v>60</x:v>
      </x:c>
      <x:c r="G61" s="65" t="n">
        <x:f>IF($B$4="AA Intelligence Index v4.3.2",E61,F61)</x:f>
        <x:v>50</x:v>
      </x:c>
      <x:c r="H61" s="95" t="n">
        <x:v>223.7156453275744</x:v>
      </x:c>
      <x:c r="I61" s="95" t="n">
        <x:v>798</x:v>
      </x:c>
      <x:c r="J61" s="96" t="n">
        <x:f>IF($D$4="AA weighted decode time per task",H61,I61)</x:f>
        <x:v>223.7156453275744</x:v>
      </x:c>
      <x:c r="K61" s="65" t="n">
        <x:f>IF(J61="","",IFERROR(5+15*(MAX($J$41:$J$65)-J61)/(MAX($J$41:$J$65)-MIN($J$41:$J$65)),10))</x:f>
        <x:v>10</x:v>
      </x:c>
      <x:c r="L61" s="97" t="n">
        <x:v>0.319144423756647</x:v>
      </x:c>
      <x:c r="M61" s="97" t="n">
        <x:v>0.89</x:v>
      </x:c>
      <x:c r="N61" s="98" t="n">
        <x:f>IF($F$4="AA cost per Index task",L61,M61)</x:f>
        <x:v>0.319144423756647</x:v>
      </x:c>
      <x:c r="O61" s="99" t="n">
        <x:v>0.71</x:v>
      </x:c>
      <x:c r="P61" s="99" t="n">
        <x:v>0.5</x:v>
      </x:c>
      <x:c r="Q61" s="99" t="n">
        <x:v>0.6</x:v>
      </x:c>
      <x:c r="R61" s="100" t="n">
        <x:v>2800000</x:v>
      </x:c>
      <x:c r="S61" s="100" t="n">
        <x:v>58.1580674715174</x:v>
      </x:c>
      <x:c r="T61" s="94" t="inlineStr">
        <x:is>
          <x:t xml:space="preserve">2026-10-16</x:t>
        </x:is>
      </x:c>
      <x:c r="U61" s="101" t="inlineStr">
        <x:is>
          <x:t xml:space="preserve">https://artificialanalysis.ai/models/gpt-6-1-sol-high</x:t>
        </x:is>
      </x:c>
      <x:c r="V61" s="101" t="inlineStr">
        <x:is>
          <x:t xml:space="preserve">https://artificialanalysis.ai/agents/coding-agents/comparisons/codex-vs-muse-code</x:t>
        </x:is>
      </x:c>
      <x:c r="W61" s="94" t="inlineStr">
        <x:is>
          <x:t xml:space="preserve">Model and effort name match; Codex harness; AA source uses direct model evaluation</x:t>
        </x:is>
      </x:c>
    </x:row>
    <x:row r="62">
      <x:c r="A62" s="102" t="inlineStr">
        <x:is>
          <x:t xml:space="preserve">GPT-6.1 Sol (xhigh)</x:t>
        </x:is>
      </x:c>
      <x:c r="B62" s="102" t="inlineStr">
        <x:is>
          <x:t xml:space="preserve">openai|gpt-6-1-sol|xhigh|yes|fallback-na</x:t>
        </x:is>
      </x:c>
      <x:c r="C62" s="102" t="inlineStr">
        <x:is>
          <x:t xml:space="preserve">Codex</x:t>
        </x:is>
      </x:c>
      <x:c r="D62" s="102" t="inlineStr">
        <x:is>
          <x:t xml:space="preserve">xhigh</x:t>
        </x:is>
      </x:c>
      <x:c r="E62" s="102" t="n">
        <x:v>51</x:v>
      </x:c>
      <x:c r="F62" s="102" t="n">
        <x:v>63</x:v>
      </x:c>
      <x:c r="G62" s="65" t="n">
        <x:f>IF($B$4="AA Intelligence Index v4.3.2",E62,F62)</x:f>
        <x:v>51</x:v>
      </x:c>
      <x:c r="H62" s="103" t="n">
        <x:v>310.4890223643157</x:v>
      </x:c>
      <x:c r="I62" s="103" t="n">
        <x:v>930</x:v>
      </x:c>
      <x:c r="J62" s="96" t="n">
        <x:f>IF($D$4="AA weighted decode time per task",H62,I62)</x:f>
        <x:v>310.4890223643157</x:v>
      </x:c>
      <x:c r="K62" s="65" t="n">
        <x:f>IF(J62="","",IFERROR(5+15*(MAX($J$41:$J$65)-J62)/(MAX($J$41:$J$65)-MIN($J$41:$J$65)),10))</x:f>
        <x:v>10</x:v>
      </x:c>
      <x:c r="L62" s="104" t="n">
        <x:v>0.3928611715885065</x:v>
      </x:c>
      <x:c r="M62" s="104" t="n">
        <x:v>1.04</x:v>
      </x:c>
      <x:c r="N62" s="98" t="n">
        <x:f>IF($F$4="AA cost per Index task",L62,M62)</x:f>
        <x:v>0.3928611715885065</x:v>
      </x:c>
      <x:c r="O62" s="105" t="n">
        <x:v>0.73</x:v>
      </x:c>
      <x:c r="P62" s="105" t="n">
        <x:v>0.55</x:v>
      </x:c>
      <x:c r="Q62" s="105" t="n">
        <x:v>0.61</x:v>
      </x:c>
      <x:c r="R62" s="106" t="n">
        <x:v>3200000</x:v>
      </x:c>
      <x:c r="S62" s="106" t="n">
        <x:v>56.6800188791366</x:v>
      </x:c>
      <x:c r="T62" s="102" t="inlineStr">
        <x:is>
          <x:t xml:space="preserve">2026-10-16</x:t>
        </x:is>
      </x:c>
      <x:c r="U62" s="107" t="inlineStr">
        <x:is>
          <x:t xml:space="preserve">https://artificialanalysis.ai/models/gpt-6-1-sol-xhigh</x:t>
        </x:is>
      </x:c>
      <x:c r="V62" s="107" t="inlineStr">
        <x:is>
          <x:t xml:space="preserve">https://artificialanalysis.ai/agents/coding-agents/comparisons/codex-vs-muse-code</x:t>
        </x:is>
      </x:c>
      <x:c r="W62" s="102" t="inlineStr">
        <x:is>
          <x:t xml:space="preserve">Model and effort name match; Codex harness; AA source uses direct model evaluation</x:t>
        </x:is>
      </x:c>
    </x:row>
    <x:row r="63">
      <x:c r="A63" s="94" t="inlineStr">
        <x:is>
          <x:t xml:space="preserve">GPT-6.1 Sol (max)</x:t>
        </x:is>
      </x:c>
      <x:c r="B63" s="94" t="inlineStr">
        <x:is>
          <x:t xml:space="preserve">openai|gpt-6-1-sol|max|yes|fallback-na</x:t>
        </x:is>
      </x:c>
      <x:c r="C63" s="94" t="inlineStr">
        <x:is>
          <x:t xml:space="preserve">Codex</x:t>
        </x:is>
      </x:c>
      <x:c r="D63" s="94" t="inlineStr">
        <x:is>
          <x:t xml:space="preserve">max</x:t>
        </x:is>
      </x:c>
      <x:c r="E63" s="94" t="n">
        <x:v>52</x:v>
      </x:c>
      <x:c r="F63" s="94" t="n">
        <x:v>60</x:v>
      </x:c>
      <x:c r="G63" s="65" t="n">
        <x:f>IF($B$4="AA Intelligence Index v4.3.2",E63,F63)</x:f>
        <x:v>52</x:v>
      </x:c>
      <x:c r="H63" s="95" t="n">
        <x:v>668.0270321118797</x:v>
      </x:c>
      <x:c r="I63" s="95" t="n">
        <x:v>1464</x:v>
      </x:c>
      <x:c r="J63" s="96" t="n">
        <x:f>IF($D$4="AA weighted decode time per task",H63,I63)</x:f>
        <x:v>668.0270321118797</x:v>
      </x:c>
      <x:c r="K63" s="65" t="n">
        <x:f>IF(J63="","",IFERROR(5+15*(MAX($J$41:$J$65)-J63)/(MAX($J$41:$J$65)-MIN($J$41:$J$65)),10))</x:f>
        <x:v>10</x:v>
      </x:c>
      <x:c r="L63" s="97" t="n">
        <x:v>0.7241670655535033</x:v>
      </x:c>
      <x:c r="M63" s="97" t="n">
        <x:v>1.55</x:v>
      </x:c>
      <x:c r="N63" s="98" t="n">
        <x:f>IF($F$4="AA cost per Index task",L63,M63)</x:f>
        <x:v>0.7241670655535033</x:v>
      </x:c>
      <x:c r="O63" s="99" t="n">
        <x:v>0.7</x:v>
      </x:c>
      <x:c r="P63" s="99" t="n">
        <x:v>0.53</x:v>
      </x:c>
      <x:c r="Q63" s="99" t="n">
        <x:v>0.58</x:v>
      </x:c>
      <x:c r="R63" s="100" t="n">
        <x:v>4000000</x:v>
      </x:c>
      <x:c r="S63" s="100" t="n">
        <x:v>57.062303433362</x:v>
      </x:c>
      <x:c r="T63" s="94" t="inlineStr">
        <x:is>
          <x:t xml:space="preserve">2026-10-16</x:t>
        </x:is>
      </x:c>
      <x:c r="U63" s="101" t="inlineStr">
        <x:is>
          <x:t xml:space="preserve">https://artificialanalysis.ai/models/gpt-6-1-sol</x:t>
        </x:is>
      </x:c>
      <x:c r="V63" s="101" t="inlineStr">
        <x:is>
          <x:t xml:space="preserve">https://artificialanalysis.ai/agents/coding-agents/comparisons/codex-vs-muse-code</x:t>
        </x:is>
      </x:c>
      <x:c r="W63" s="94" t="inlineStr">
        <x:is>
          <x:t xml:space="preserve">Model and effort name match; Codex harness; AA source uses direct model evaluation</x:t>
        </x:is>
      </x:c>
    </x:row>
    <x:row r="64">
      <x:c r="A64" s="102" t="inlineStr">
        <x:is>
          <x:t xml:space="preserve">Muse Wonder (max)</x:t>
        </x:is>
      </x:c>
      <x:c r="B64" s="102" t="inlineStr">
        <x:is>
          <x:t xml:space="preserve">meta|muse-wonder|max|reasoning|fallback-na</x:t>
        </x:is>
      </x:c>
      <x:c r="C64" s="102" t="inlineStr">
        <x:is>
          <x:t xml:space="preserve">Muse Code</x:t>
        </x:is>
      </x:c>
      <x:c r="D64" s="102" t="inlineStr">
        <x:is>
          <x:t xml:space="preserve">max</x:t>
        </x:is>
      </x:c>
      <x:c r="E64" s="102" t="n">
        <x:v>52</x:v>
      </x:c>
      <x:c r="F64" s="102" t="n">
        <x:v>63</x:v>
      </x:c>
      <x:c r="G64" s="65" t="n">
        <x:f>IF($B$4="AA Intelligence Index v4.3.2",E64,F64)</x:f>
        <x:v>52</x:v>
      </x:c>
      <x:c r="H64" s="103" t="n">
        <x:v>285.5340888692668</x:v>
      </x:c>
      <x:c r="I64" s="103" t="n">
        <x:v>1344</x:v>
      </x:c>
      <x:c r="J64" s="96" t="n">
        <x:f>IF($D$4="AA weighted decode time per task",H64,I64)</x:f>
        <x:v>285.5340888692668</x:v>
      </x:c>
      <x:c r="K64" s="65" t="n">
        <x:f>IF(J64="","",IFERROR(5+15*(MAX($J$41:$J$65)-J64)/(MAX($J$41:$J$65)-MIN($J$41:$J$65)),10))</x:f>
        <x:v>10</x:v>
      </x:c>
      <x:c r="L64" s="104" t="n">
        <x:v>4.515677444063016</x:v>
      </x:c>
      <x:c r="M64" s="104" t="n">
        <x:v>8.050000000000001</x:v>
      </x:c>
      <x:c r="N64" s="98" t="n">
        <x:f>IF($F$4="AA cost per Index task",L64,M64)</x:f>
        <x:v>4.515677444063016</x:v>
      </x:c>
      <x:c r="O64" s="105" t="n">
        <x:v>0.76</x:v>
      </x:c>
      <x:c r="P64" s="105" t="n">
        <x:v>0.47</x:v>
      </x:c>
      <x:c r="Q64" s="105" t="n">
        <x:v>0.67</x:v>
      </x:c>
      <x:c r="R64" s="106" t="n">
        <x:v>15000000</x:v>
      </x:c>
      <x:c r="S64" s="106" t="n">
        <x:v>183.949289327988</x:v>
      </x:c>
      <x:c r="T64" s="102" t="inlineStr">
        <x:is>
          <x:t xml:space="preserve">2026-10-16</x:t>
        </x:is>
      </x:c>
      <x:c r="U64" s="107" t="inlineStr">
        <x:is>
          <x:t xml:space="preserve">https://artificialanalysis.ai/models/muse-wonder</x:t>
        </x:is>
      </x:c>
      <x:c r="V64" s="107" t="inlineStr">
        <x:is>
          <x:t xml:space="preserve">https://artificialanalysis.ai/agents/coding-agents/comparisons/codex-vs-muse-code</x:t>
        </x:is>
      </x:c>
      <x:c r="W64" s="102" t="inlineStr">
        <x:is>
          <x:t xml:space="preserve">Model and effort name match; Muse Code harness</x:t>
        </x:is>
      </x:c>
    </x:row>
    <x:row r="65">
      <x:c r="A65" s="94" t="inlineStr">
        <x:is>
          <x:t xml:space="preserve">Muse Wonder Full (max)</x:t>
        </x:is>
      </x:c>
      <x:c r="B65" s="94" t="inlineStr">
        <x:is>
          <x:t xml:space="preserve">meta|muse-wonder-full|max|reasoning|fallback-na</x:t>
        </x:is>
      </x:c>
      <x:c r="C65" s="94" t="inlineStr">
        <x:is>
          <x:t xml:space="preserve">Muse Code</x:t>
        </x:is>
      </x:c>
      <x:c r="D65" s="94" t="inlineStr">
        <x:is>
          <x:t xml:space="preserve">max</x:t>
        </x:is>
      </x:c>
      <x:c r="E65" s="94" t="n">
        <x:v>56</x:v>
      </x:c>
      <x:c r="F65" s="94" t="n">
        <x:v>68</x:v>
      </x:c>
      <x:c r="G65" s="65" t="n">
        <x:f>IF($B$4="AA Intelligence Index v4.3.2",E65,F65)</x:f>
        <x:v>56</x:v>
      </x:c>
      <x:c r="H65" s="95" t="n"/>
      <x:c r="I65" s="95" t="n">
        <x:v>1728</x:v>
      </x:c>
      <x:c r="J65" s="96" t="e">
        <x:f>IF($D$4="AA weighted decode time per task",H65,I65)</x:f>
        <x:v>#VALUE!</x:v>
      </x:c>
      <x:c r="K65" s="65" t="e">
        <x:f>IF(J65="","",IFERROR(5+15*(MAX($J$41:$J$65)-J65)/(MAX($J$41:$J$65)-MIN($J$41:$J$65)),10))</x:f>
        <x:v>#VALUE!</x:v>
      </x:c>
      <x:c r="L65" s="97" t="n"/>
      <x:c r="M65" s="97" t="n"/>
      <x:c r="N65" s="98" t="e">
        <x:f>IF($F$4="AA cost per Index task",L65,M65)</x:f>
        <x:v>#VALUE!</x:v>
      </x:c>
      <x:c r="O65" s="99" t="n">
        <x:v>0.77</x:v>
      </x:c>
      <x:c r="P65" s="99" t="n">
        <x:v>0.59</x:v>
      </x:c>
      <x:c r="Q65" s="99" t="n">
        <x:v>0.68</x:v>
      </x:c>
      <x:c r="R65" s="100" t="n">
        <x:v>15000000</x:v>
      </x:c>
      <x:c r="S65" s="100" t="n"/>
      <x:c r="T65" s="94" t="inlineStr">
        <x:is>
          <x:t xml:space="preserve">2026-10-16</x:t>
        </x:is>
      </x:c>
      <x:c r="U65" s="101" t="inlineStr">
        <x:is>
          <x:t xml:space="preserve">https://artificialanalysis.ai/models/muse-wonder-full</x:t>
        </x:is>
      </x:c>
      <x:c r="V65" s="101" t="inlineStr">
        <x:is>
          <x:t xml:space="preserve">https://artificialanalysis.ai/agents/coding-agents/comparisons/codex-vs-muse-code</x:t>
        </x:is>
      </x:c>
      <x:c r="W65" s="94" t="inlineStr">
        <x:is>
          <x:t xml:space="preserve">Model and effort name match; cost unavailable despite UI displaying $0.00</x:t>
        </x:is>
      </x:c>
    </x:row>
  </x:sheetData>
  <x:mergeCells>
    <x:mergeCell ref="A2:V2"/>
    <x:mergeCell ref="B12:F12"/>
    <x:mergeCell ref="B16:V17"/>
    <x:mergeCell ref="A5:V5"/>
    <x:mergeCell ref="A1:V1"/>
    <x:mergeCell ref="B10:F10"/>
    <x:mergeCell ref="B11:F11"/>
    <x:mergeCell ref="A18:V18"/>
    <x:mergeCell ref="B14:F14"/>
    <x:mergeCell ref="B8:F8"/>
    <x:mergeCell ref="B13:F13"/>
    <x:mergeCell ref="B9:F9"/>
    <x:mergeCell ref="A7:F7"/>
  </x:mergeCells>
  <x:dataValidations count="3">
    <x:dataValidation type="list" allowBlank="0" showDropDown="0" showInputMessage="0" showErrorMessage="0" sqref="B4">
      <x:formula1>"AA Intelligence Index v4.3.2,Coding Agent Index v1.5"</x:formula1>
    </x:dataValidation>
    <x:dataValidation type="list" allowBlank="0" showDropDown="0" showInputMessage="0" showErrorMessage="0" sqref="D4">
      <x:formula1>"AA weighted decode time per task,CAI active agent wall time per task"</x:formula1>
    </x:dataValidation>
    <x:dataValidation type="list" allowBlank="0" showDropDown="0" showInputMessage="0" showErrorMessage="0" sqref="F4">
      <x:formula1>"AA cost per Index task,CAI API cost per coding-agent task"</x:formula1>
    </x:dataValidation>
  </x:dataValidations>
  <x:hyperlinks>
    <x:hyperlink xmlns:r="http://schemas.openxmlformats.org/officeDocument/2006/relationships" ref="U41" r:id="Rf53d4227d4964a26"/>
    <x:hyperlink xmlns:r="http://schemas.openxmlformats.org/officeDocument/2006/relationships" ref="V41" r:id="Rb0e20ae249c0417e"/>
    <x:hyperlink xmlns:r="http://schemas.openxmlformats.org/officeDocument/2006/relationships" ref="U42" r:id="R1c5a8f418de84d05"/>
    <x:hyperlink xmlns:r="http://schemas.openxmlformats.org/officeDocument/2006/relationships" ref="V42" r:id="R0f4c782b78e64bc5"/>
    <x:hyperlink xmlns:r="http://schemas.openxmlformats.org/officeDocument/2006/relationships" ref="U43" r:id="Rc80ae29a593c42cb"/>
    <x:hyperlink xmlns:r="http://schemas.openxmlformats.org/officeDocument/2006/relationships" ref="V43" r:id="R7486763e8e39463b"/>
    <x:hyperlink xmlns:r="http://schemas.openxmlformats.org/officeDocument/2006/relationships" ref="U44" r:id="R324a4fa7526142d0"/>
    <x:hyperlink xmlns:r="http://schemas.openxmlformats.org/officeDocument/2006/relationships" ref="V44" r:id="R60a9b5256bf948bc"/>
    <x:hyperlink xmlns:r="http://schemas.openxmlformats.org/officeDocument/2006/relationships" ref="U45" r:id="R1ede06b823a9498c"/>
    <x:hyperlink xmlns:r="http://schemas.openxmlformats.org/officeDocument/2006/relationships" ref="V45" r:id="R98d91ade5ec2458b"/>
    <x:hyperlink xmlns:r="http://schemas.openxmlformats.org/officeDocument/2006/relationships" ref="U46" r:id="Rb838f395e42d4af3"/>
    <x:hyperlink xmlns:r="http://schemas.openxmlformats.org/officeDocument/2006/relationships" ref="V46" r:id="R8dff624e3bc44ab4"/>
    <x:hyperlink xmlns:r="http://schemas.openxmlformats.org/officeDocument/2006/relationships" ref="U47" r:id="R384600ed50a04c3b"/>
    <x:hyperlink xmlns:r="http://schemas.openxmlformats.org/officeDocument/2006/relationships" ref="V47" r:id="Ref161767622b4b46"/>
    <x:hyperlink xmlns:r="http://schemas.openxmlformats.org/officeDocument/2006/relationships" ref="U48" r:id="Race673a0c0bf4747"/>
    <x:hyperlink xmlns:r="http://schemas.openxmlformats.org/officeDocument/2006/relationships" ref="V48" r:id="Rdb675cc17f7b48c2"/>
    <x:hyperlink xmlns:r="http://schemas.openxmlformats.org/officeDocument/2006/relationships" ref="U49" r:id="Re181e62e343c436d"/>
    <x:hyperlink xmlns:r="http://schemas.openxmlformats.org/officeDocument/2006/relationships" ref="V49" r:id="R8ccf5f82deaf48ac"/>
    <x:hyperlink xmlns:r="http://schemas.openxmlformats.org/officeDocument/2006/relationships" ref="U50" r:id="Rd08f39b66711438a"/>
    <x:hyperlink xmlns:r="http://schemas.openxmlformats.org/officeDocument/2006/relationships" ref="V50" r:id="R6bd0f7b58ed54a10"/>
    <x:hyperlink xmlns:r="http://schemas.openxmlformats.org/officeDocument/2006/relationships" ref="U51" r:id="R1447767643134908"/>
    <x:hyperlink xmlns:r="http://schemas.openxmlformats.org/officeDocument/2006/relationships" ref="V51" r:id="Rdfc05c3a9913406e"/>
    <x:hyperlink xmlns:r="http://schemas.openxmlformats.org/officeDocument/2006/relationships" ref="V52" r:id="Rd436e5016bb4401b"/>
    <x:hyperlink xmlns:r="http://schemas.openxmlformats.org/officeDocument/2006/relationships" ref="U53" r:id="R4ae52d2429324fcb"/>
    <x:hyperlink xmlns:r="http://schemas.openxmlformats.org/officeDocument/2006/relationships" ref="V53" r:id="R1ccbee1163f94a9e"/>
    <x:hyperlink xmlns:r="http://schemas.openxmlformats.org/officeDocument/2006/relationships" ref="V54" r:id="Rbf5cc4cd0dab458f"/>
    <x:hyperlink xmlns:r="http://schemas.openxmlformats.org/officeDocument/2006/relationships" ref="V55" r:id="Ra2ec2c27163c4a1c"/>
    <x:hyperlink xmlns:r="http://schemas.openxmlformats.org/officeDocument/2006/relationships" ref="U56" r:id="Rf36f69fb2e604e4f"/>
    <x:hyperlink xmlns:r="http://schemas.openxmlformats.org/officeDocument/2006/relationships" ref="V56" r:id="R2a52cafb2a004353"/>
    <x:hyperlink xmlns:r="http://schemas.openxmlformats.org/officeDocument/2006/relationships" ref="U57" r:id="R082b3df0db0f4ed3"/>
    <x:hyperlink xmlns:r="http://schemas.openxmlformats.org/officeDocument/2006/relationships" ref="V57" r:id="R396dfc1467ca4e1f"/>
    <x:hyperlink xmlns:r="http://schemas.openxmlformats.org/officeDocument/2006/relationships" ref="U58" r:id="Rf578813580a04b43"/>
    <x:hyperlink xmlns:r="http://schemas.openxmlformats.org/officeDocument/2006/relationships" ref="V58" r:id="Rf2cb20f65a5f44aa"/>
    <x:hyperlink xmlns:r="http://schemas.openxmlformats.org/officeDocument/2006/relationships" ref="U59" r:id="Rc5e929a3fe434b19"/>
    <x:hyperlink xmlns:r="http://schemas.openxmlformats.org/officeDocument/2006/relationships" ref="V59" r:id="Rf6684b1fced64ff6"/>
    <x:hyperlink xmlns:r="http://schemas.openxmlformats.org/officeDocument/2006/relationships" ref="U60" r:id="Rcab63fbee4de406a"/>
    <x:hyperlink xmlns:r="http://schemas.openxmlformats.org/officeDocument/2006/relationships" ref="V60" r:id="R717acfaeb6314192"/>
    <x:hyperlink xmlns:r="http://schemas.openxmlformats.org/officeDocument/2006/relationships" ref="U61" r:id="R21cbd65d2e7941c5"/>
    <x:hyperlink xmlns:r="http://schemas.openxmlformats.org/officeDocument/2006/relationships" ref="V61" r:id="R8167d3d0b52543ed"/>
    <x:hyperlink xmlns:r="http://schemas.openxmlformats.org/officeDocument/2006/relationships" ref="U62" r:id="Rc237d6a894fa4946"/>
    <x:hyperlink xmlns:r="http://schemas.openxmlformats.org/officeDocument/2006/relationships" ref="V62" r:id="Rb9dbd11e64ed439c"/>
    <x:hyperlink xmlns:r="http://schemas.openxmlformats.org/officeDocument/2006/relationships" ref="U63" r:id="R5a4109e78a76410b"/>
    <x:hyperlink xmlns:r="http://schemas.openxmlformats.org/officeDocument/2006/relationships" ref="V63" r:id="R70d0a68ceb514190"/>
    <x:hyperlink xmlns:r="http://schemas.openxmlformats.org/officeDocument/2006/relationships" ref="U64" r:id="Re0cbbf5a08ed4f28"/>
    <x:hyperlink xmlns:r="http://schemas.openxmlformats.org/officeDocument/2006/relationships" ref="V64" r:id="Refa69ae940524d88"/>
    <x:hyperlink xmlns:r="http://schemas.openxmlformats.org/officeDocument/2006/relationships" ref="U65" r:id="R50571bd10b3a48cc"/>
    <x:hyperlink xmlns:r="http://schemas.openxmlformats.org/officeDocument/2006/relationships" ref="V65" r:id="Rf48e0b5d80e1464a"/>
  </x:hyperlinks>
  <x:pageMargins left="0.7" right="0.7" top="0.75" bottom="0.75" header="0.3" footer="0.3"/>
  <x:drawing xmlns:r="http://schemas.openxmlformats.org/officeDocument/2006/relationships" r:id="Rff3d205bdb5b44bb"/>
</x:worksheet>
</file>

<file path=xl/worksheets/sheet3.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58" style="14" customWidth="1"/>
    <x:col min="2" max="2" width="56" style="14" customWidth="1"/>
    <x:col min="3" max="3" width="30" style="14" customWidth="1"/>
    <x:col min="4" max="4" width="19" style="14" customWidth="1"/>
    <x:col min="5" max="5" width="19" style="14" customWidth="1"/>
    <x:col min="6" max="6" width="40" style="14" customWidth="1"/>
    <x:col min="7" max="7" width="16" style="14" customWidth="1"/>
    <x:col min="8" max="8" width="20" style="14" customWidth="1"/>
    <x:col min="9" max="9" width="15" style="14" customWidth="1"/>
    <x:col min="10" max="10" width="18" style="14" customWidth="1"/>
    <x:col min="11" max="11" width="22" style="14" customWidth="1"/>
    <x:col min="12" max="12" width="20" style="14" customWidth="1"/>
    <x:col min="13" max="13" width="18" style="14" customWidth="1"/>
    <x:col min="14" max="14" width="32" style="14" customWidth="1"/>
    <x:col min="15" max="15" width="42" style="14" customWidth="1"/>
    <x:col min="16" max="16" width="18" style="14" customWidth="1"/>
    <x:col min="17" max="17" width="20" style="14" customWidth="1"/>
    <x:col min="18" max="18" width="52" style="14" customWidth="1"/>
    <x:col min="19" max="19" width="22" style="14" customWidth="1"/>
    <x:col min="20" max="20" width="22" style="14" customWidth="1"/>
    <x:col min="21" max="21" width="54" style="14" customWidth="1"/>
    <x:col min="22" max="22" width="16" style="14" customWidth="1"/>
    <x:col min="23" max="23" width="16" style="14" customWidth="1"/>
    <x:col min="24" max="24" width="16" style="14" customWidth="1"/>
    <x:col min="25" max="25" width="15" style="14" customWidth="1"/>
    <x:col min="26" max="26" width="80" style="14" customWidth="1"/>
    <x:col min="27" max="27" width="65" style="14" customWidth="1"/>
    <x:col min="28" max="28" width="65" style="14" customWidth="1"/>
  </x:cols>
  <x:sheetData>
    <x:row r="1" s="14" customFormat="1" ht="28" customHeight="1">
      <x:c r="A1" s="108" t="inlineStr">
        <x:is>
          <x:t xml:space="preserve">Artificial Analysis Coding Agent Index · sourced, versioned model-variant observations</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c r="W1" s="15" t="n"/>
      <x:c r="X1" s="15" t="n"/>
      <x:c r="Y1" s="15" t="n"/>
      <x:c r="Z1" s="15" t="n"/>
      <x:c r="AA1" s="15" t="n"/>
      <x:c r="AB1" s="15" t="n"/>
      <x:c r="AC1" s="15" t="n"/>
      <x:c r="AD1" s="15" t="n"/>
      <x:c r="AE1" s="15" t="n"/>
      <x:c r="AF1" s="15" t="n"/>
      <x:c r="AG1" s="15" t="n"/>
      <x:c r="AH1" s="15" t="n"/>
      <x:c r="AI1" s="15" t="n"/>
      <x:c r="AJ1" s="15" t="n"/>
      <x:c r="AK1" s="15" t="n"/>
    </x:row>
    <x:row r="2" s="14" customFormat="1" ht="34" customHeight="1">
      <x:c r="A2" s="109" t="inlineStr">
        <x:is>
          <x:t xml:space="preserve">observation_key</x:t>
        </x:is>
      </x:c>
      <x:c r="B2" s="109" t="inlineStr">
        <x:is>
          <x:t xml:space="preserve">model_variant_key</x:t>
        </x:is>
      </x:c>
      <x:c r="C2" s="109" t="inlineStr">
        <x:is>
          <x:t xml:space="preserve">model_as_reported</x:t>
        </x:is>
      </x:c>
      <x:c r="D2" s="109" t="inlineStr">
        <x:is>
          <x:t xml:space="preserve">effort_as_reported</x:t>
        </x:is>
      </x:c>
      <x:c r="E2" s="109" t="inlineStr">
        <x:is>
          <x:t xml:space="preserve">agent_harness</x:t>
        </x:is>
      </x:c>
      <x:c r="F2" s="109" t="inlineStr">
        <x:is>
          <x:t xml:space="preserve">benchmark_name</x:t>
        </x:is>
      </x:c>
      <x:c r="G2" s="109" t="inlineStr">
        <x:is>
          <x:t xml:space="preserve">benchmark_version</x:t>
        </x:is>
      </x:c>
      <x:c r="H2" s="109" t="inlineStr">
        <x:is>
          <x:t xml:space="preserve">benchmark_version_key</x:t>
        </x:is>
      </x:c>
      <x:c r="I2" s="109" t="inlineStr">
        <x:is>
          <x:t xml:space="preserve">cai_index_score</x:t>
        </x:is>
      </x:c>
      <x:c r="J2" s="109" t="inlineStr">
        <x:is>
          <x:t xml:space="preserve">deep_swe_v1_1_pct</x:t>
        </x:is>
      </x:c>
      <x:c r="K2" s="109" t="inlineStr">
        <x:is>
          <x:t xml:space="preserve">terminal_bench_4_0_pct</x:t>
        </x:is>
      </x:c>
      <x:c r="L2" s="109" t="inlineStr">
        <x:is>
          <x:t xml:space="preserve">swe_atlas_qna_pct</x:t>
        </x:is>
      </x:c>
      <x:c r="M2" s="109" t="inlineStr">
        <x:is>
          <x:t xml:space="preserve">cost_per_task_usd</x:t>
        </x:is>
      </x:c>
      <x:c r="N2" s="109" t="inlineStr">
        <x:is>
          <x:t xml:space="preserve">reported_cost_display</x:t>
        </x:is>
      </x:c>
      <x:c r="O2" s="109" t="inlineStr">
        <x:is>
          <x:t xml:space="preserve">cost_status</x:t>
        </x:is>
      </x:c>
      <x:c r="P2" s="109" t="inlineStr">
        <x:is>
          <x:t xml:space="preserve">time_per_task_display</x:t>
        </x:is>
      </x:c>
      <x:c r="Q2" s="109" t="inlineStr">
        <x:is>
          <x:t xml:space="preserve">time_per_task_seconds</x:t>
        </x:is>
      </x:c>
      <x:c r="R2" s="109" t="inlineStr">
        <x:is>
          <x:t xml:space="preserve">time_metric</x:t>
        </x:is>
      </x:c>
      <x:c r="S2" s="109" t="inlineStr">
        <x:is>
          <x:t xml:space="preserve">token_usage_per_task_display</x:t>
        </x:is>
      </x:c>
      <x:c r="T2" s="109" t="inlineStr">
        <x:is>
          <x:t xml:space="preserve">token_usage_per_task</x:t>
        </x:is>
      </x:c>
      <x:c r="U2" s="109" t="inlineStr">
        <x:is>
          <x:t xml:space="preserve">token_metric</x:t>
        </x:is>
      </x:c>
      <x:c r="V2" s="109" t="inlineStr">
        <x:is>
          <x:t xml:space="preserve">turns_per_task</x:t>
        </x:is>
      </x:c>
      <x:c r="W2" s="109" t="inlineStr">
        <x:is>
          <x:t xml:space="preserve">cache_hit_rate_pct</x:t>
        </x:is>
      </x:c>
      <x:c r="X2" s="109" t="inlineStr">
        <x:is>
          <x:t xml:space="preserve">test_run_date</x:t>
        </x:is>
      </x:c>
      <x:c r="Y2" s="109" t="inlineStr">
        <x:is>
          <x:t xml:space="preserve">snapshot_date</x:t>
        </x:is>
      </x:c>
      <x:c r="Z2" s="109" t="inlineStr">
        <x:is>
          <x:t xml:space="preserve">source_url</x:t>
        </x:is>
      </x:c>
      <x:c r="AA2" s="109" t="inlineStr">
        <x:is>
          <x:t xml:space="preserve">match_status</x:t>
        </x:is>
      </x:c>
      <x:c r="AB2" s="109" t="inlineStr">
        <x:is>
          <x:t xml:space="preserve">notes</x:t>
        </x:is>
      </x:c>
      <x:c r="AC2" s="109" t="inlineStr">
        <x:is>
          <x:t xml:space="preserve">component_1_name</x:t>
        </x:is>
      </x:c>
      <x:c r="AD2" s="109" t="inlineStr">
        <x:is>
          <x:t xml:space="preserve">component_1_version</x:t>
        </x:is>
      </x:c>
      <x:c r="AE2" s="109" t="inlineStr">
        <x:is>
          <x:t xml:space="preserve">component_1_score_pct</x:t>
        </x:is>
      </x:c>
      <x:c r="AF2" s="109" t="inlineStr">
        <x:is>
          <x:t xml:space="preserve">component_2_name</x:t>
        </x:is>
      </x:c>
      <x:c r="AG2" s="109" t="inlineStr">
        <x:is>
          <x:t xml:space="preserve">component_2_version</x:t>
        </x:is>
      </x:c>
      <x:c r="AH2" s="109" t="inlineStr">
        <x:is>
          <x:t xml:space="preserve">component_2_score_pct</x:t>
        </x:is>
      </x:c>
      <x:c r="AI2" s="109" t="inlineStr">
        <x:is>
          <x:t xml:space="preserve">component_3_name</x:t>
        </x:is>
      </x:c>
      <x:c r="AJ2" s="109" t="inlineStr">
        <x:is>
          <x:t xml:space="preserve">component_3_version</x:t>
        </x:is>
      </x:c>
      <x:c r="AK2" s="109" t="inlineStr">
        <x:is>
          <x:t xml:space="preserve">component_3_score_pct</x:t>
        </x:is>
      </x:c>
    </x:row>
    <x:row r="3">
      <x:c r="A3" s="65" t="inlineStr">
        <x:is>
          <x:t xml:space="preserve">CAI-v1.5|codex|openai|gpt-6-1-sol|xhigh|2026-10-16</x:t>
        </x:is>
      </x:c>
      <x:c r="B3" s="65" t="inlineStr">
        <x:is>
          <x:t xml:space="preserve">openai|gpt-6-1-sol|xhigh|yes|fallback-na</x:t>
        </x:is>
      </x:c>
      <x:c r="C3" s="65" t="inlineStr">
        <x:is>
          <x:t xml:space="preserve">GPT-6.1 Sol (xhigh)</x:t>
        </x:is>
      </x:c>
      <x:c r="D3" s="65" t="inlineStr">
        <x:is>
          <x:t xml:space="preserve">xhigh</x:t>
        </x:is>
      </x:c>
      <x:c r="E3" s="65" t="inlineStr">
        <x:is>
          <x:t xml:space="preserve">Codex</x:t>
        </x:is>
      </x:c>
      <x:c r="F3" s="65" t="inlineStr">
        <x:is>
          <x:t xml:space="preserve">Artificial Analysis Coding Agent Index</x:t>
        </x:is>
      </x:c>
      <x:c r="G3" s="65" t="inlineStr">
        <x:is>
          <x:t xml:space="preserve">v1.5</x:t>
        </x:is>
      </x:c>
      <x:c r="H3" s="65" t="inlineStr">
        <x:is>
          <x:t xml:space="preserve">CAI|v1.5</x:t>
        </x:is>
      </x:c>
      <x:c r="I3" s="65" t="n">
        <x:v>63</x:v>
      </x:c>
      <x:c r="J3" s="110" t="n">
        <x:v>0.73</x:v>
      </x:c>
      <x:c r="K3" s="110" t="n">
        <x:v>0.55</x:v>
      </x:c>
      <x:c r="L3" s="110" t="n">
        <x:v>0.61</x:v>
      </x:c>
      <x:c r="M3" s="111" t="n">
        <x:v>1.04</x:v>
      </x:c>
      <x:c r="N3" s="65" t="inlineStr">
        <x:is>
          <x:t xml:space="preserve">$1.04</x:t>
        </x:is>
      </x:c>
      <x:c r="O3" s="65" t="inlineStr">
        <x:is>
          <x:t xml:space="preserve">AA reported average pay-per-token API cost per coding-agent task</x:t>
        </x:is>
      </x:c>
      <x:c r="P3" s="65" t="inlineStr">
        <x:is>
          <x:t xml:space="preserve">15.5m</x:t>
        </x:is>
      </x:c>
      <x:c r="Q3" s="111" t="n">
        <x:v>930</x:v>
      </x:c>
      <x:c r="R3" s="65" t="inlineStr">
        <x:is>
          <x:t xml:space="preserve">Average agent wall time per task (public comparison label); Coding Agent Index v1.5 efficiency methodology</x:t>
        </x:is>
      </x:c>
      <x:c r="S3" s="65" t="inlineStr">
        <x:is>
          <x:t xml:space="preserve">3.2M</x:t>
        </x:is>
      </x:c>
      <x:c r="T3" s="111" t="n">
        <x:v>3200000</x:v>
      </x:c>
      <x:c r="U3" s="65" t="inlineStr">
        <x:is>
          <x:t xml:space="preserve">Total token usage per coding-agent task as displayed in public variant table</x:t>
        </x:is>
      </x:c>
      <x:c r="V3" s="65" t="n"/>
      <x:c r="W3" s="65" t="n"/>
      <x:c r="X3" s="65" t="n"/>
      <x:c r="Y3" s="65" t="inlineStr">
        <x:is>
          <x:t xml:space="preserve">2026-10-16</x:t>
        </x:is>
      </x:c>
      <x:c r="Z3" s="112" t="inlineStr">
        <x:is>
          <x:t xml:space="preserve">https://artificialanalysis.ai/agents/coding-agents/comparisons/codex-vs-muse-code</x:t>
        </x:is>
      </x:c>
      <x:c r="AA3" s="65" t="inlineStr">
        <x:is>
          <x:t xml:space="preserve">Model and effort name match; Codex harness; AA source uses direct model evaluation</x:t>
        </x:is>
      </x:c>
      <x:c r="AB3" s="65" t="inlineStr">
        <x:is>
          <x:t xml:space="preserve">Agent harness result; test execution date is not disclosed. Score components are retained as published. Model and effort name match; Codex harness; AA source uses direct model evaluation</x:t>
        </x:is>
      </x:c>
      <x:c r="AC3" t="inlineStr">
        <x:is>
          <x:t xml:space="preserve">DeepSWE</x:t>
        </x:is>
      </x:c>
      <x:c r="AD3" t="inlineStr">
        <x:is>
          <x:t xml:space="preserve">v1.1</x:t>
        </x:is>
      </x:c>
      <x:c r="AE3" t="n">
        <x:v>0.73</x:v>
      </x:c>
      <x:c r="AF3" t="inlineStr">
        <x:is>
          <x:t xml:space="preserve">Terminal-Bench</x:t>
        </x:is>
      </x:c>
      <x:c r="AG3" t="inlineStr">
        <x:is>
          <x:t xml:space="preserve">4.0</x:t>
        </x:is>
      </x:c>
      <x:c r="AH3" t="n">
        <x:v>0.55</x:v>
      </x:c>
      <x:c r="AI3" t="inlineStr">
        <x:is>
          <x:t xml:space="preserve">SWE-Atlas-QnA</x:t>
        </x:is>
      </x:c>
      <x:c r="AK3" t="n">
        <x:v>0.61</x:v>
      </x:c>
    </x:row>
    <x:row r="4">
      <x:c r="A4" s="65" t="inlineStr">
        <x:is>
          <x:t xml:space="preserve">CAI-v1.5|codex|openai|gpt-6-astra|max|2026-10-16</x:t>
        </x:is>
      </x:c>
      <x:c r="B4" s="65" t="inlineStr">
        <x:is>
          <x:t xml:space="preserve">openai|gpt-6-astra|max|reasoning|fallback-na</x:t>
        </x:is>
      </x:c>
      <x:c r="C4" s="65" t="inlineStr">
        <x:is>
          <x:t xml:space="preserve">GPT-6 Astra (max)</x:t>
        </x:is>
      </x:c>
      <x:c r="D4" s="65" t="inlineStr">
        <x:is>
          <x:t xml:space="preserve">max</x:t>
        </x:is>
      </x:c>
      <x:c r="E4" s="65" t="inlineStr">
        <x:is>
          <x:t xml:space="preserve">Codex</x:t>
        </x:is>
      </x:c>
      <x:c r="F4" s="65" t="inlineStr">
        <x:is>
          <x:t xml:space="preserve">Artificial Analysis Coding Agent Index</x:t>
        </x:is>
      </x:c>
      <x:c r="G4" s="65" t="inlineStr">
        <x:is>
          <x:t xml:space="preserve">v1.5</x:t>
        </x:is>
      </x:c>
      <x:c r="H4" s="65" t="inlineStr">
        <x:is>
          <x:t xml:space="preserve">CAI|v1.5</x:t>
        </x:is>
      </x:c>
      <x:c r="I4" s="65" t="n">
        <x:v>62</x:v>
      </x:c>
      <x:c r="J4" s="110" t="n">
        <x:v>0.68</x:v>
      </x:c>
      <x:c r="K4" s="110" t="n">
        <x:v>0.5600000000000001</x:v>
      </x:c>
      <x:c r="L4" s="110" t="n">
        <x:v>0.62</x:v>
      </x:c>
      <x:c r="M4" s="111" t="n">
        <x:v>7.47</x:v>
      </x:c>
      <x:c r="N4" s="65" t="inlineStr">
        <x:is>
          <x:t xml:space="preserve">$7.47</x:t>
        </x:is>
      </x:c>
      <x:c r="O4" s="65" t="inlineStr">
        <x:is>
          <x:t xml:space="preserve">AA reported average pay-per-token API cost per coding-agent task</x:t>
        </x:is>
      </x:c>
      <x:c r="P4" s="65" t="inlineStr">
        <x:is>
          <x:t xml:space="preserve">29.4m</x:t>
        </x:is>
      </x:c>
      <x:c r="Q4" s="111" t="n">
        <x:v>1764</x:v>
      </x:c>
      <x:c r="R4" s="65" t="inlineStr">
        <x:is>
          <x:t xml:space="preserve">Average agent wall time per task (public comparison label); Coding Agent Index v1.5 efficiency methodology</x:t>
        </x:is>
      </x:c>
      <x:c r="S4" s="65" t="inlineStr">
        <x:is>
          <x:t xml:space="preserve">3.3M</x:t>
        </x:is>
      </x:c>
      <x:c r="T4" s="111" t="n">
        <x:v>3300000</x:v>
      </x:c>
      <x:c r="U4" s="65" t="inlineStr">
        <x:is>
          <x:t xml:space="preserve">Total token usage per coding-agent task as displayed in public variant table</x:t>
        </x:is>
      </x:c>
      <x:c r="V4" s="65" t="n"/>
      <x:c r="W4" s="65" t="n"/>
      <x:c r="X4" s="65" t="n"/>
      <x:c r="Y4" s="65" t="inlineStr">
        <x:is>
          <x:t xml:space="preserve">2026-10-16</x:t>
        </x:is>
      </x:c>
      <x:c r="Z4" s="112" t="inlineStr">
        <x:is>
          <x:t xml:space="preserve">https://artificialanalysis.ai/agents/coding-agents/comparisons/codex-vs-muse-code</x:t>
        </x:is>
      </x:c>
      <x:c r="AA4" s="65" t="inlineStr">
        <x:is>
          <x:t xml:space="preserve">Model and effort name match; Codex harness; AA source uses direct model evaluation</x:t>
        </x:is>
      </x:c>
      <x:c r="AB4" s="65" t="inlineStr">
        <x:is>
          <x:t xml:space="preserve">Agent harness result; test execution date is not disclosed. Score components are retained as published. Model and effort name match; Codex harness; AA source uses direct model evaluation</x:t>
        </x:is>
      </x:c>
      <x:c r="AC4" t="inlineStr">
        <x:is>
          <x:t xml:space="preserve">DeepSWE</x:t>
        </x:is>
      </x:c>
      <x:c r="AD4" t="inlineStr">
        <x:is>
          <x:t xml:space="preserve">v1.1</x:t>
        </x:is>
      </x:c>
      <x:c r="AE4" t="n">
        <x:v>0.68</x:v>
      </x:c>
      <x:c r="AF4" t="inlineStr">
        <x:is>
          <x:t xml:space="preserve">Terminal-Bench</x:t>
        </x:is>
      </x:c>
      <x:c r="AG4" t="inlineStr">
        <x:is>
          <x:t xml:space="preserve">4.0</x:t>
        </x:is>
      </x:c>
      <x:c r="AH4" t="n">
        <x:v>0.5600000000000001</x:v>
      </x:c>
      <x:c r="AI4" t="inlineStr">
        <x:is>
          <x:t xml:space="preserve">SWE-Atlas-QnA</x:t>
        </x:is>
      </x:c>
      <x:c r="AK4" t="n">
        <x:v>0.62</x:v>
      </x:c>
    </x:row>
    <x:row r="5">
      <x:c r="A5" s="65" t="inlineStr">
        <x:is>
          <x:t xml:space="preserve">CAI-v1.5|codex|openai|gpt-6-1-sol|medium|2026-10-16</x:t>
        </x:is>
      </x:c>
      <x:c r="B5" s="65" t="inlineStr">
        <x:is>
          <x:t xml:space="preserve">openai|gpt-6-1-sol|medium|yes|fallback-na</x:t>
        </x:is>
      </x:c>
      <x:c r="C5" s="65" t="inlineStr">
        <x:is>
          <x:t xml:space="preserve">GPT-6.1 Sol (medium)</x:t>
        </x:is>
      </x:c>
      <x:c r="D5" s="65" t="inlineStr">
        <x:is>
          <x:t xml:space="preserve">medium</x:t>
        </x:is>
      </x:c>
      <x:c r="E5" s="65" t="inlineStr">
        <x:is>
          <x:t xml:space="preserve">Codex</x:t>
        </x:is>
      </x:c>
      <x:c r="F5" s="65" t="inlineStr">
        <x:is>
          <x:t xml:space="preserve">Artificial Analysis Coding Agent Index</x:t>
        </x:is>
      </x:c>
      <x:c r="G5" s="65" t="inlineStr">
        <x:is>
          <x:t xml:space="preserve">v1.5</x:t>
        </x:is>
      </x:c>
      <x:c r="H5" s="65" t="inlineStr">
        <x:is>
          <x:t xml:space="preserve">CAI|v1.5</x:t>
        </x:is>
      </x:c>
      <x:c r="I5" s="65" t="n">
        <x:v>61</x:v>
      </x:c>
      <x:c r="J5" s="110" t="n">
        <x:v>0.72</x:v>
      </x:c>
      <x:c r="K5" s="110" t="n">
        <x:v>0.52</x:v>
      </x:c>
      <x:c r="L5" s="110" t="n">
        <x:v>0.61</x:v>
      </x:c>
      <x:c r="M5" s="111" t="n">
        <x:v>0.7</x:v>
      </x:c>
      <x:c r="N5" s="65" t="inlineStr">
        <x:is>
          <x:t xml:space="preserve">$0.70</x:t>
        </x:is>
      </x:c>
      <x:c r="O5" s="65" t="inlineStr">
        <x:is>
          <x:t xml:space="preserve">AA reported average pay-per-token API cost per coding-agent task</x:t>
        </x:is>
      </x:c>
      <x:c r="P5" s="65" t="inlineStr">
        <x:is>
          <x:t xml:space="preserve">10.9m</x:t>
        </x:is>
      </x:c>
      <x:c r="Q5" s="111" t="n">
        <x:v>654</x:v>
      </x:c>
      <x:c r="R5" s="65" t="inlineStr">
        <x:is>
          <x:t xml:space="preserve">Average agent wall time per task (public comparison label); Coding Agent Index v1.5 efficiency methodology</x:t>
        </x:is>
      </x:c>
      <x:c r="S5" s="65" t="inlineStr">
        <x:is>
          <x:t xml:space="preserve">2.3M</x:t>
        </x:is>
      </x:c>
      <x:c r="T5" s="111" t="n">
        <x:v>2300000</x:v>
      </x:c>
      <x:c r="U5" s="65" t="inlineStr">
        <x:is>
          <x:t xml:space="preserve">Total token usage per coding-agent task as displayed in public variant table</x:t>
        </x:is>
      </x:c>
      <x:c r="V5" s="65" t="n"/>
      <x:c r="W5" s="65" t="n"/>
      <x:c r="X5" s="65" t="n"/>
      <x:c r="Y5" s="65" t="inlineStr">
        <x:is>
          <x:t xml:space="preserve">2026-10-16</x:t>
        </x:is>
      </x:c>
      <x:c r="Z5" s="112" t="inlineStr">
        <x:is>
          <x:t xml:space="preserve">https://artificialanalysis.ai/agents/coding-agents/comparisons/codex-vs-muse-code</x:t>
        </x:is>
      </x:c>
      <x:c r="AA5" s="65" t="inlineStr">
        <x:is>
          <x:t xml:space="preserve">Model and effort name match; Codex harness; AA source uses direct model evaluation</x:t>
        </x:is>
      </x:c>
      <x:c r="AB5" s="65" t="inlineStr">
        <x:is>
          <x:t xml:space="preserve">Agent harness result; test execution date is not disclosed. Score components are retained as published. Model and effort name match; Codex harness; AA source uses direct model evaluation</x:t>
        </x:is>
      </x:c>
      <x:c r="AC5" t="inlineStr">
        <x:is>
          <x:t xml:space="preserve">DeepSWE</x:t>
        </x:is>
      </x:c>
      <x:c r="AD5" t="inlineStr">
        <x:is>
          <x:t xml:space="preserve">v1.1</x:t>
        </x:is>
      </x:c>
      <x:c r="AE5" t="n">
        <x:v>0.72</x:v>
      </x:c>
      <x:c r="AF5" t="inlineStr">
        <x:is>
          <x:t xml:space="preserve">Terminal-Bench</x:t>
        </x:is>
      </x:c>
      <x:c r="AG5" t="inlineStr">
        <x:is>
          <x:t xml:space="preserve">4.0</x:t>
        </x:is>
      </x:c>
      <x:c r="AH5" t="n">
        <x:v>0.52</x:v>
      </x:c>
      <x:c r="AI5" t="inlineStr">
        <x:is>
          <x:t xml:space="preserve">SWE-Atlas-QnA</x:t>
        </x:is>
      </x:c>
      <x:c r="AK5" t="n">
        <x:v>0.61</x:v>
      </x:c>
    </x:row>
    <x:row r="6">
      <x:c r="A6" s="65" t="inlineStr">
        <x:is>
          <x:t xml:space="preserve">CAI-v1.5|codex|openai|gpt-6-1-sol|high|2026-10-16</x:t>
        </x:is>
      </x:c>
      <x:c r="B6" s="65" t="inlineStr">
        <x:is>
          <x:t xml:space="preserve">openai|gpt-6-1-sol|high|yes|fallback-na</x:t>
        </x:is>
      </x:c>
      <x:c r="C6" s="65" t="inlineStr">
        <x:is>
          <x:t xml:space="preserve">GPT-6.1 Sol (high)</x:t>
        </x:is>
      </x:c>
      <x:c r="D6" s="65" t="inlineStr">
        <x:is>
          <x:t xml:space="preserve">high</x:t>
        </x:is>
      </x:c>
      <x:c r="E6" s="65" t="inlineStr">
        <x:is>
          <x:t xml:space="preserve">Codex</x:t>
        </x:is>
      </x:c>
      <x:c r="F6" s="65" t="inlineStr">
        <x:is>
          <x:t xml:space="preserve">Artificial Analysis Coding Agent Index</x:t>
        </x:is>
      </x:c>
      <x:c r="G6" s="65" t="inlineStr">
        <x:is>
          <x:t xml:space="preserve">v1.5</x:t>
        </x:is>
      </x:c>
      <x:c r="H6" s="65" t="inlineStr">
        <x:is>
          <x:t xml:space="preserve">CAI|v1.5</x:t>
        </x:is>
      </x:c>
      <x:c r="I6" s="65" t="n">
        <x:v>60</x:v>
      </x:c>
      <x:c r="J6" s="110" t="n">
        <x:v>0.71</x:v>
      </x:c>
      <x:c r="K6" s="110" t="n">
        <x:v>0.5</x:v>
      </x:c>
      <x:c r="L6" s="110" t="n">
        <x:v>0.6</x:v>
      </x:c>
      <x:c r="M6" s="111" t="n">
        <x:v>0.89</x:v>
      </x:c>
      <x:c r="N6" s="65" t="inlineStr">
        <x:is>
          <x:t xml:space="preserve">$0.89</x:t>
        </x:is>
      </x:c>
      <x:c r="O6" s="65" t="inlineStr">
        <x:is>
          <x:t xml:space="preserve">AA reported average pay-per-token API cost per coding-agent task</x:t>
        </x:is>
      </x:c>
      <x:c r="P6" s="65" t="inlineStr">
        <x:is>
          <x:t xml:space="preserve">13.3m</x:t>
        </x:is>
      </x:c>
      <x:c r="Q6" s="111" t="n">
        <x:v>798</x:v>
      </x:c>
      <x:c r="R6" s="65" t="inlineStr">
        <x:is>
          <x:t xml:space="preserve">Average agent wall time per task (public comparison label); Coding Agent Index v1.5 efficiency methodology</x:t>
        </x:is>
      </x:c>
      <x:c r="S6" s="65" t="inlineStr">
        <x:is>
          <x:t xml:space="preserve">2.8M</x:t>
        </x:is>
      </x:c>
      <x:c r="T6" s="111" t="n">
        <x:v>2800000</x:v>
      </x:c>
      <x:c r="U6" s="65" t="inlineStr">
        <x:is>
          <x:t xml:space="preserve">Total token usage per coding-agent task as displayed in public variant table</x:t>
        </x:is>
      </x:c>
      <x:c r="V6" s="65" t="n"/>
      <x:c r="W6" s="65" t="n"/>
      <x:c r="X6" s="65" t="n"/>
      <x:c r="Y6" s="65" t="inlineStr">
        <x:is>
          <x:t xml:space="preserve">2026-10-16</x:t>
        </x:is>
      </x:c>
      <x:c r="Z6" s="112" t="inlineStr">
        <x:is>
          <x:t xml:space="preserve">https://artificialanalysis.ai/agents/coding-agents/comparisons/codex-vs-muse-code</x:t>
        </x:is>
      </x:c>
      <x:c r="AA6" s="65" t="inlineStr">
        <x:is>
          <x:t xml:space="preserve">Model and effort name match; Codex harness; AA source uses direct model evaluation</x:t>
        </x:is>
      </x:c>
      <x:c r="AB6" s="65" t="inlineStr">
        <x:is>
          <x:t xml:space="preserve">Agent harness result; test execution date is not disclosed. Score components are retained as published. Model and effort name match; Codex harness; AA source uses direct model evaluation</x:t>
        </x:is>
      </x:c>
      <x:c r="AC6" t="inlineStr">
        <x:is>
          <x:t xml:space="preserve">DeepSWE</x:t>
        </x:is>
      </x:c>
      <x:c r="AD6" t="inlineStr">
        <x:is>
          <x:t xml:space="preserve">v1.1</x:t>
        </x:is>
      </x:c>
      <x:c r="AE6" t="n">
        <x:v>0.71</x:v>
      </x:c>
      <x:c r="AF6" t="inlineStr">
        <x:is>
          <x:t xml:space="preserve">Terminal-Bench</x:t>
        </x:is>
      </x:c>
      <x:c r="AG6" t="inlineStr">
        <x:is>
          <x:t xml:space="preserve">4.0</x:t>
        </x:is>
      </x:c>
      <x:c r="AH6" t="n">
        <x:v>0.5</x:v>
      </x:c>
      <x:c r="AI6" t="inlineStr">
        <x:is>
          <x:t xml:space="preserve">SWE-Atlas-QnA</x:t>
        </x:is>
      </x:c>
      <x:c r="AK6" t="n">
        <x:v>0.6</x:v>
      </x:c>
    </x:row>
    <x:row r="7">
      <x:c r="A7" s="65" t="inlineStr">
        <x:is>
          <x:t xml:space="preserve">CAI-v1.5|codex|openai|gpt-6-1-sol|max|2026-10-16</x:t>
        </x:is>
      </x:c>
      <x:c r="B7" s="65" t="inlineStr">
        <x:is>
          <x:t xml:space="preserve">openai|gpt-6-1-sol|max|yes|fallback-na</x:t>
        </x:is>
      </x:c>
      <x:c r="C7" s="65" t="inlineStr">
        <x:is>
          <x:t xml:space="preserve">GPT-6.1 Sol (max)</x:t>
        </x:is>
      </x:c>
      <x:c r="D7" s="65" t="inlineStr">
        <x:is>
          <x:t xml:space="preserve">max</x:t>
        </x:is>
      </x:c>
      <x:c r="E7" s="65" t="inlineStr">
        <x:is>
          <x:t xml:space="preserve">Codex</x:t>
        </x:is>
      </x:c>
      <x:c r="F7" s="65" t="inlineStr">
        <x:is>
          <x:t xml:space="preserve">Artificial Analysis Coding Agent Index</x:t>
        </x:is>
      </x:c>
      <x:c r="G7" s="65" t="inlineStr">
        <x:is>
          <x:t xml:space="preserve">v1.5</x:t>
        </x:is>
      </x:c>
      <x:c r="H7" s="65" t="inlineStr">
        <x:is>
          <x:t xml:space="preserve">CAI|v1.5</x:t>
        </x:is>
      </x:c>
      <x:c r="I7" s="65" t="n">
        <x:v>60</x:v>
      </x:c>
      <x:c r="J7" s="110" t="n">
        <x:v>0.7</x:v>
      </x:c>
      <x:c r="K7" s="110" t="n">
        <x:v>0.53</x:v>
      </x:c>
      <x:c r="L7" s="110" t="n">
        <x:v>0.58</x:v>
      </x:c>
      <x:c r="M7" s="111" t="n">
        <x:v>1.55</x:v>
      </x:c>
      <x:c r="N7" s="65" t="inlineStr">
        <x:is>
          <x:t xml:space="preserve">$1.55</x:t>
        </x:is>
      </x:c>
      <x:c r="O7" s="65" t="inlineStr">
        <x:is>
          <x:t xml:space="preserve">AA reported average pay-per-token API cost per coding-agent task</x:t>
        </x:is>
      </x:c>
      <x:c r="P7" s="65" t="inlineStr">
        <x:is>
          <x:t xml:space="preserve">24.4m</x:t>
        </x:is>
      </x:c>
      <x:c r="Q7" s="111" t="n">
        <x:v>1464</x:v>
      </x:c>
      <x:c r="R7" s="65" t="inlineStr">
        <x:is>
          <x:t xml:space="preserve">Average agent wall time per task (public comparison label); Coding Agent Index v1.5 efficiency methodology</x:t>
        </x:is>
      </x:c>
      <x:c r="S7" s="65" t="inlineStr">
        <x:is>
          <x:t xml:space="preserve">4M</x:t>
        </x:is>
      </x:c>
      <x:c r="T7" s="111" t="n">
        <x:v>4000000</x:v>
      </x:c>
      <x:c r="U7" s="65" t="inlineStr">
        <x:is>
          <x:t xml:space="preserve">Total token usage per coding-agent task as displayed in public variant table</x:t>
        </x:is>
      </x:c>
      <x:c r="V7" s="65" t="n"/>
      <x:c r="W7" s="65" t="n"/>
      <x:c r="X7" s="65" t="n"/>
      <x:c r="Y7" s="65" t="inlineStr">
        <x:is>
          <x:t xml:space="preserve">2026-10-16</x:t>
        </x:is>
      </x:c>
      <x:c r="Z7" s="112" t="inlineStr">
        <x:is>
          <x:t xml:space="preserve">https://artificialanalysis.ai/agents/coding-agents/comparisons/codex-vs-muse-code</x:t>
        </x:is>
      </x:c>
      <x:c r="AA7" s="65" t="inlineStr">
        <x:is>
          <x:t xml:space="preserve">Model and effort name match; Codex harness; AA source uses direct model evaluation</x:t>
        </x:is>
      </x:c>
      <x:c r="AB7" s="65" t="inlineStr">
        <x:is>
          <x:t xml:space="preserve">Agent harness result; test execution date is not disclosed. Score components are retained as published. Model and effort name match; Codex harness; AA source uses direct model evaluation</x:t>
        </x:is>
      </x:c>
      <x:c r="AC7" t="inlineStr">
        <x:is>
          <x:t xml:space="preserve">DeepSWE</x:t>
        </x:is>
      </x:c>
      <x:c r="AD7" t="inlineStr">
        <x:is>
          <x:t xml:space="preserve">v1.1</x:t>
        </x:is>
      </x:c>
      <x:c r="AE7" t="n">
        <x:v>0.7</x:v>
      </x:c>
      <x:c r="AF7" t="inlineStr">
        <x:is>
          <x:t xml:space="preserve">Terminal-Bench</x:t>
        </x:is>
      </x:c>
      <x:c r="AG7" t="inlineStr">
        <x:is>
          <x:t xml:space="preserve">4.0</x:t>
        </x:is>
      </x:c>
      <x:c r="AH7" t="n">
        <x:v>0.53</x:v>
      </x:c>
      <x:c r="AI7" t="inlineStr">
        <x:is>
          <x:t xml:space="preserve">SWE-Atlas-QnA</x:t>
        </x:is>
      </x:c>
      <x:c r="AK7" t="n">
        <x:v>0.58</x:v>
      </x:c>
    </x:row>
    <x:row r="8">
      <x:c r="A8" s="65" t="inlineStr">
        <x:is>
          <x:t xml:space="preserve">CAI-v1.5|codex|openai|gpt-6-1-sol|low|2026-10-16</x:t>
        </x:is>
      </x:c>
      <x:c r="B8" s="65" t="inlineStr">
        <x:is>
          <x:t xml:space="preserve">openai|gpt-6-1-sol|low|yes|fallback-na</x:t>
        </x:is>
      </x:c>
      <x:c r="C8" s="65" t="inlineStr">
        <x:is>
          <x:t xml:space="preserve">GPT-6.1 Sol (low)</x:t>
        </x:is>
      </x:c>
      <x:c r="D8" s="65" t="inlineStr">
        <x:is>
          <x:t xml:space="preserve">low</x:t>
        </x:is>
      </x:c>
      <x:c r="E8" s="65" t="inlineStr">
        <x:is>
          <x:t xml:space="preserve">Codex</x:t>
        </x:is>
      </x:c>
      <x:c r="F8" s="65" t="inlineStr">
        <x:is>
          <x:t xml:space="preserve">Artificial Analysis Coding Agent Index</x:t>
        </x:is>
      </x:c>
      <x:c r="G8" s="65" t="inlineStr">
        <x:is>
          <x:t xml:space="preserve">v1.5</x:t>
        </x:is>
      </x:c>
      <x:c r="H8" s="65" t="inlineStr">
        <x:is>
          <x:t xml:space="preserve">CAI|v1.5</x:t>
        </x:is>
      </x:c>
      <x:c r="I8" s="65" t="n">
        <x:v>57</x:v>
      </x:c>
      <x:c r="J8" s="110" t="n">
        <x:v>0.68</x:v>
      </x:c>
      <x:c r="K8" s="110" t="n">
        <x:v>0.49</x:v>
      </x:c>
      <x:c r="L8" s="110" t="n">
        <x:v>0.55</x:v>
      </x:c>
      <x:c r="M8" s="111" t="n">
        <x:v>0.5</x:v>
      </x:c>
      <x:c r="N8" s="65" t="inlineStr">
        <x:is>
          <x:t xml:space="preserve">$0.50</x:t>
        </x:is>
      </x:c>
      <x:c r="O8" s="65" t="inlineStr">
        <x:is>
          <x:t xml:space="preserve">AA reported average pay-per-token API cost per coding-agent task</x:t>
        </x:is>
      </x:c>
      <x:c r="P8" s="65" t="inlineStr">
        <x:is>
          <x:t xml:space="preserve">8.6m</x:t>
        </x:is>
      </x:c>
      <x:c r="Q8" s="111" t="n">
        <x:v>516</x:v>
      </x:c>
      <x:c r="R8" s="65" t="inlineStr">
        <x:is>
          <x:t xml:space="preserve">Average agent wall time per task (public comparison label); Coding Agent Index v1.5 efficiency methodology</x:t>
        </x:is>
      </x:c>
      <x:c r="S8" s="65" t="inlineStr">
        <x:is>
          <x:t xml:space="preserve">1.7M</x:t>
        </x:is>
      </x:c>
      <x:c r="T8" s="111" t="n">
        <x:v>1700000</x:v>
      </x:c>
      <x:c r="U8" s="65" t="inlineStr">
        <x:is>
          <x:t xml:space="preserve">Total token usage per coding-agent task as displayed in public variant table</x:t>
        </x:is>
      </x:c>
      <x:c r="V8" s="65" t="n"/>
      <x:c r="W8" s="65" t="n"/>
      <x:c r="X8" s="65" t="n"/>
      <x:c r="Y8" s="65" t="inlineStr">
        <x:is>
          <x:t xml:space="preserve">2026-10-16</x:t>
        </x:is>
      </x:c>
      <x:c r="Z8" s="112" t="inlineStr">
        <x:is>
          <x:t xml:space="preserve">https://artificialanalysis.ai/agents/coding-agents/comparisons/codex-vs-muse-code</x:t>
        </x:is>
      </x:c>
      <x:c r="AA8" s="65" t="inlineStr">
        <x:is>
          <x:t xml:space="preserve">Model and effort name match; Codex harness; AA source uses direct model evaluation</x:t>
        </x:is>
      </x:c>
      <x:c r="AB8" s="65" t="inlineStr">
        <x:is>
          <x:t xml:space="preserve">Agent harness result; test execution date is not disclosed. Score components are retained as published. Model and effort name match; Codex harness; AA source uses direct model evaluation</x:t>
        </x:is>
      </x:c>
      <x:c r="AC8" t="inlineStr">
        <x:is>
          <x:t xml:space="preserve">DeepSWE</x:t>
        </x:is>
      </x:c>
      <x:c r="AD8" t="inlineStr">
        <x:is>
          <x:t xml:space="preserve">v1.1</x:t>
        </x:is>
      </x:c>
      <x:c r="AE8" t="n">
        <x:v>0.68</x:v>
      </x:c>
      <x:c r="AF8" t="inlineStr">
        <x:is>
          <x:t xml:space="preserve">Terminal-Bench</x:t>
        </x:is>
      </x:c>
      <x:c r="AG8" t="inlineStr">
        <x:is>
          <x:t xml:space="preserve">4.0</x:t>
        </x:is>
      </x:c>
      <x:c r="AH8" t="n">
        <x:v>0.49</x:v>
      </x:c>
      <x:c r="AI8" t="inlineStr">
        <x:is>
          <x:t xml:space="preserve">SWE-Atlas-QnA</x:t>
        </x:is>
      </x:c>
      <x:c r="AK8" t="n">
        <x:v>0.55</x:v>
      </x:c>
    </x:row>
    <x:row r="9">
      <x:c r="A9" s="65" t="inlineStr">
        <x:is>
          <x:t xml:space="preserve">CAI-v1.5|codex|openai|gpt-6-sol|max|2026-10-16</x:t>
        </x:is>
      </x:c>
      <x:c r="B9" s="65" t="inlineStr">
        <x:is>
          <x:t xml:space="preserve">openai|gpt-6-sol|max|reasoning|fallback-na</x:t>
        </x:is>
      </x:c>
      <x:c r="C9" s="65" t="inlineStr">
        <x:is>
          <x:t xml:space="preserve">GPT-6 Sol (max)</x:t>
        </x:is>
      </x:c>
      <x:c r="D9" s="65" t="inlineStr">
        <x:is>
          <x:t xml:space="preserve">max</x:t>
        </x:is>
      </x:c>
      <x:c r="E9" s="65" t="inlineStr">
        <x:is>
          <x:t xml:space="preserve">Codex</x:t>
        </x:is>
      </x:c>
      <x:c r="F9" s="65" t="inlineStr">
        <x:is>
          <x:t xml:space="preserve">Artificial Analysis Coding Agent Index</x:t>
        </x:is>
      </x:c>
      <x:c r="G9" s="65" t="inlineStr">
        <x:is>
          <x:t xml:space="preserve">v1.5</x:t>
        </x:is>
      </x:c>
      <x:c r="H9" s="65" t="inlineStr">
        <x:is>
          <x:t xml:space="preserve">CAI|v1.5</x:t>
        </x:is>
      </x:c>
      <x:c r="I9" s="65" t="n">
        <x:v>57</x:v>
      </x:c>
      <x:c r="J9" s="110" t="n">
        <x:v>0.6899999999999999</x:v>
      </x:c>
      <x:c r="K9" s="110" t="n">
        <x:v>0.43</x:v>
      </x:c>
      <x:c r="L9" s="110" t="n">
        <x:v>0.58</x:v>
      </x:c>
      <x:c r="M9" s="111" t="n">
        <x:v>2.99</x:v>
      </x:c>
      <x:c r="N9" s="65" t="inlineStr">
        <x:is>
          <x:t xml:space="preserve">$2.99</x:t>
        </x:is>
      </x:c>
      <x:c r="O9" s="65" t="inlineStr">
        <x:is>
          <x:t xml:space="preserve">AA reported average pay-per-token API cost per coding-agent task</x:t>
        </x:is>
      </x:c>
      <x:c r="P9" s="65" t="inlineStr">
        <x:is>
          <x:t xml:space="preserve">22.3m</x:t>
        </x:is>
      </x:c>
      <x:c r="Q9" s="111" t="n">
        <x:v>1338</x:v>
      </x:c>
      <x:c r="R9" s="65" t="inlineStr">
        <x:is>
          <x:t xml:space="preserve">Average agent wall time per task (public comparison label); Coding Agent Index v1.5 efficiency methodology</x:t>
        </x:is>
      </x:c>
      <x:c r="S9" s="65" t="inlineStr">
        <x:is>
          <x:t xml:space="preserve">9.8M</x:t>
        </x:is>
      </x:c>
      <x:c r="T9" s="111" t="n">
        <x:v>9800000</x:v>
      </x:c>
      <x:c r="U9" s="65" t="inlineStr">
        <x:is>
          <x:t xml:space="preserve">Total token usage per coding-agent task as displayed in public variant table</x:t>
        </x:is>
      </x:c>
      <x:c r="V9" s="65" t="n"/>
      <x:c r="W9" s="65" t="n"/>
      <x:c r="X9" s="65" t="n"/>
      <x:c r="Y9" s="65" t="inlineStr">
        <x:is>
          <x:t xml:space="preserve">2026-10-16</x:t>
        </x:is>
      </x:c>
      <x:c r="Z9" s="112" t="inlineStr">
        <x:is>
          <x:t xml:space="preserve">https://artificialanalysis.ai/agents/coding-agents/comparisons/codex-vs-muse-code</x:t>
        </x:is>
      </x:c>
      <x:c r="AA9" s="65" t="inlineStr">
        <x:is>
          <x:t xml:space="preserve">Model and effort name match; older sibling to GPT-6.1 Sol</x:t>
        </x:is>
      </x:c>
      <x:c r="AB9" s="65" t="inlineStr">
        <x:is>
          <x:t xml:space="preserve">Agent harness result; test execution date is not disclosed. Score components are retained as published. Model and effort name match; older sibling to GPT-6.1 Sol</x:t>
        </x:is>
      </x:c>
      <x:c r="AC9" t="inlineStr">
        <x:is>
          <x:t xml:space="preserve">DeepSWE</x:t>
        </x:is>
      </x:c>
      <x:c r="AD9" t="inlineStr">
        <x:is>
          <x:t xml:space="preserve">v1.1</x:t>
        </x:is>
      </x:c>
      <x:c r="AE9" t="n">
        <x:v>0.6899999999999999</x:v>
      </x:c>
      <x:c r="AF9" t="inlineStr">
        <x:is>
          <x:t xml:space="preserve">Terminal-Bench</x:t>
        </x:is>
      </x:c>
      <x:c r="AG9" t="inlineStr">
        <x:is>
          <x:t xml:space="preserve">4.0</x:t>
        </x:is>
      </x:c>
      <x:c r="AH9" t="n">
        <x:v>0.43</x:v>
      </x:c>
      <x:c r="AI9" t="inlineStr">
        <x:is>
          <x:t xml:space="preserve">SWE-Atlas-QnA</x:t>
        </x:is>
      </x:c>
      <x:c r="AK9" t="n">
        <x:v>0.58</x:v>
      </x:c>
    </x:row>
    <x:row r="10">
      <x:c r="A10" s="65" t="inlineStr">
        <x:is>
          <x:t xml:space="preserve">CAI-v1.5|codex|deepseek|deepseek-v4-pro-0813|max|2026-10-16</x:t>
        </x:is>
      </x:c>
      <x:c r="B10" s="65" t="inlineStr">
        <x:is>
          <x:t xml:space="preserve">deepseek|deepseek-v4-pro-0813|max|reasoning|fallback-na</x:t>
        </x:is>
      </x:c>
      <x:c r="C10" s="65" t="inlineStr">
        <x:is>
          <x:t xml:space="preserve">DeepSeek V4 Pro 0813 (max)</x:t>
        </x:is>
      </x:c>
      <x:c r="D10" s="65" t="inlineStr">
        <x:is>
          <x:t xml:space="preserve">max</x:t>
        </x:is>
      </x:c>
      <x:c r="E10" s="65" t="inlineStr">
        <x:is>
          <x:t xml:space="preserve">Codex</x:t>
        </x:is>
      </x:c>
      <x:c r="F10" s="65" t="inlineStr">
        <x:is>
          <x:t xml:space="preserve">Artificial Analysis Coding Agent Index</x:t>
        </x:is>
      </x:c>
      <x:c r="G10" s="65" t="inlineStr">
        <x:is>
          <x:t xml:space="preserve">v1.5</x:t>
        </x:is>
      </x:c>
      <x:c r="H10" s="65" t="inlineStr">
        <x:is>
          <x:t xml:space="preserve">CAI|v1.5</x:t>
        </x:is>
      </x:c>
      <x:c r="I10" s="65" t="n">
        <x:v>43</x:v>
      </x:c>
      <x:c r="J10" s="110" t="n">
        <x:v>0.57</x:v>
      </x:c>
      <x:c r="K10" s="110" t="n">
        <x:v>0.1</x:v>
      </x:c>
      <x:c r="L10" s="110" t="n">
        <x:v>0.62</x:v>
      </x:c>
      <x:c r="M10" s="111" t="n">
        <x:v>0.24</x:v>
      </x:c>
      <x:c r="N10" s="65" t="inlineStr">
        <x:is>
          <x:t xml:space="preserve">$0.24</x:t>
        </x:is>
      </x:c>
      <x:c r="O10" s="65" t="inlineStr">
        <x:is>
          <x:t xml:space="preserve">AA reported average pay-per-token API cost per coding-agent task</x:t>
        </x:is>
      </x:c>
      <x:c r="P10" s="65" t="inlineStr">
        <x:is>
          <x:t xml:space="preserve">40.3m</x:t>
        </x:is>
      </x:c>
      <x:c r="Q10" s="111" t="n">
        <x:v>2418</x:v>
      </x:c>
      <x:c r="R10" s="65" t="inlineStr">
        <x:is>
          <x:t xml:space="preserve">Average agent wall time per task (public comparison label); Coding Agent Index v1.5 efficiency methodology</x:t>
        </x:is>
      </x:c>
      <x:c r="S10" s="65" t="inlineStr">
        <x:is>
          <x:t xml:space="preserve">24.2M</x:t>
        </x:is>
      </x:c>
      <x:c r="T10" s="111" t="n">
        <x:v>24200000</x:v>
      </x:c>
      <x:c r="U10" s="65" t="inlineStr">
        <x:is>
          <x:t xml:space="preserve">Total token usage per coding-agent task as displayed in public variant table</x:t>
        </x:is>
      </x:c>
      <x:c r="V10" s="65" t="n"/>
      <x:c r="W10" s="65" t="n"/>
      <x:c r="X10" s="65" t="n"/>
      <x:c r="Y10" s="65" t="inlineStr">
        <x:is>
          <x:t xml:space="preserve">2026-10-16</x:t>
        </x:is>
      </x:c>
      <x:c r="Z10" s="112" t="inlineStr">
        <x:is>
          <x:t xml:space="preserve">https://artificialanalysis.ai/agents/coding-agents/comparisons/codex-vs-muse-code</x:t>
        </x:is>
      </x:c>
      <x:c r="AA10" s="65" t="inlineStr">
        <x:is>
          <x:t xml:space="preserve">Model and effort name match; Codex harness; AA source uses direct model evaluation</x:t>
        </x:is>
      </x:c>
      <x:c r="AB10" s="65" t="inlineStr">
        <x:is>
          <x:t xml:space="preserve">Agent harness result; test execution date is not disclosed. Score components are retained as published. Model and effort name match; Codex harness; AA source uses direct model evaluation</x:t>
        </x:is>
      </x:c>
      <x:c r="AC10" t="inlineStr">
        <x:is>
          <x:t xml:space="preserve">DeepSWE</x:t>
        </x:is>
      </x:c>
      <x:c r="AD10" t="inlineStr">
        <x:is>
          <x:t xml:space="preserve">v1.1</x:t>
        </x:is>
      </x:c>
      <x:c r="AE10" t="n">
        <x:v>0.57</x:v>
      </x:c>
      <x:c r="AF10" t="inlineStr">
        <x:is>
          <x:t xml:space="preserve">Terminal-Bench</x:t>
        </x:is>
      </x:c>
      <x:c r="AG10" t="inlineStr">
        <x:is>
          <x:t xml:space="preserve">4.0</x:t>
        </x:is>
      </x:c>
      <x:c r="AH10" t="n">
        <x:v>0.1</x:v>
      </x:c>
      <x:c r="AI10" t="inlineStr">
        <x:is>
          <x:t xml:space="preserve">SWE-Atlas-QnA</x:t>
        </x:is>
      </x:c>
      <x:c r="AK10" t="n">
        <x:v>0.62</x:v>
      </x:c>
    </x:row>
    <x:row r="11">
      <x:c r="A11" s="65" t="inlineStr">
        <x:is>
          <x:t xml:space="preserve">CAI-v1.5|codex|openai|gpt-6-luna|max|2026-10-16</x:t>
        </x:is>
      </x:c>
      <x:c r="B11" s="65" t="inlineStr">
        <x:is>
          <x:t xml:space="preserve">openai|gpt-6-luna|max|reasoning|fallback-na</x:t>
        </x:is>
      </x:c>
      <x:c r="C11" s="65" t="inlineStr">
        <x:is>
          <x:t xml:space="preserve">GPT-6 Luna (max)</x:t>
        </x:is>
      </x:c>
      <x:c r="D11" s="65" t="inlineStr">
        <x:is>
          <x:t xml:space="preserve">max</x:t>
        </x:is>
      </x:c>
      <x:c r="E11" s="65" t="inlineStr">
        <x:is>
          <x:t xml:space="preserve">Codex</x:t>
        </x:is>
      </x:c>
      <x:c r="F11" s="65" t="inlineStr">
        <x:is>
          <x:t xml:space="preserve">Artificial Analysis Coding Agent Index</x:t>
        </x:is>
      </x:c>
      <x:c r="G11" s="65" t="inlineStr">
        <x:is>
          <x:t xml:space="preserve">v1.5</x:t>
        </x:is>
      </x:c>
      <x:c r="H11" s="65" t="inlineStr">
        <x:is>
          <x:t xml:space="preserve">CAI|v1.5</x:t>
        </x:is>
      </x:c>
      <x:c r="I11" s="65" t="n">
        <x:v>41</x:v>
      </x:c>
      <x:c r="J11" s="110" t="n">
        <x:v>0.64</x:v>
      </x:c>
      <x:c r="K11" s="110" t="n">
        <x:v>0.15</x:v>
      </x:c>
      <x:c r="L11" s="110" t="n">
        <x:v>0.44</x:v>
      </x:c>
      <x:c r="M11" s="111" t="n">
        <x:v>0.18</x:v>
      </x:c>
      <x:c r="N11" s="65" t="inlineStr">
        <x:is>
          <x:t xml:space="preserve">$0.18</x:t>
        </x:is>
      </x:c>
      <x:c r="O11" s="65" t="inlineStr">
        <x:is>
          <x:t xml:space="preserve">AA reported average pay-per-token API cost per coding-agent task</x:t>
        </x:is>
      </x:c>
      <x:c r="P11" s="65" t="inlineStr">
        <x:is>
          <x:t xml:space="preserve">21.4m</x:t>
        </x:is>
      </x:c>
      <x:c r="Q11" s="111" t="n">
        <x:v>1284</x:v>
      </x:c>
      <x:c r="R11" s="65" t="inlineStr">
        <x:is>
          <x:t xml:space="preserve">Average agent wall time per task (public comparison label); Coding Agent Index v1.5 efficiency methodology</x:t>
        </x:is>
      </x:c>
      <x:c r="S11" s="65" t="inlineStr">
        <x:is>
          <x:t xml:space="preserve">10.2M</x:t>
        </x:is>
      </x:c>
      <x:c r="T11" s="111" t="n">
        <x:v>10200000</x:v>
      </x:c>
      <x:c r="U11" s="65" t="inlineStr">
        <x:is>
          <x:t xml:space="preserve">Total token usage per coding-agent task as displayed in public variant table</x:t>
        </x:is>
      </x:c>
      <x:c r="V11" s="65" t="n"/>
      <x:c r="W11" s="65" t="n"/>
      <x:c r="X11" s="65" t="n"/>
      <x:c r="Y11" s="65" t="inlineStr">
        <x:is>
          <x:t xml:space="preserve">2026-10-16</x:t>
        </x:is>
      </x:c>
      <x:c r="Z11" s="112" t="inlineStr">
        <x:is>
          <x:t xml:space="preserve">https://artificialanalysis.ai/agents/coding-agents/comparisons/codex-vs-muse-code</x:t>
        </x:is>
      </x:c>
      <x:c r="AA11" s="65" t="inlineStr">
        <x:is>
          <x:t xml:space="preserve">Model and effort name match; Codex harness; AA source uses direct model evaluation</x:t>
        </x:is>
      </x:c>
      <x:c r="AB11" s="65" t="inlineStr">
        <x:is>
          <x:t xml:space="preserve">Agent harness result; test execution date is not disclosed. Score components are retained as published. Model and effort name match; Codex harness; AA source uses direct model evaluation</x:t>
        </x:is>
      </x:c>
      <x:c r="AC11" t="inlineStr">
        <x:is>
          <x:t xml:space="preserve">DeepSWE</x:t>
        </x:is>
      </x:c>
      <x:c r="AD11" t="inlineStr">
        <x:is>
          <x:t xml:space="preserve">v1.1</x:t>
        </x:is>
      </x:c>
      <x:c r="AE11" t="n">
        <x:v>0.64</x:v>
      </x:c>
      <x:c r="AF11" t="inlineStr">
        <x:is>
          <x:t xml:space="preserve">Terminal-Bench</x:t>
        </x:is>
      </x:c>
      <x:c r="AG11" t="inlineStr">
        <x:is>
          <x:t xml:space="preserve">4.0</x:t>
        </x:is>
      </x:c>
      <x:c r="AH11" t="n">
        <x:v>0.15</x:v>
      </x:c>
      <x:c r="AI11" t="inlineStr">
        <x:is>
          <x:t xml:space="preserve">SWE-Atlas-QnA</x:t>
        </x:is>
      </x:c>
      <x:c r="AK11" t="n">
        <x:v>0.44</x:v>
      </x:c>
    </x:row>
    <x:row r="12">
      <x:c r="A12" s="65" t="inlineStr">
        <x:is>
          <x:t xml:space="preserve">CAI-v1.5|codex|deepseek|deepseek-v4-flash-0731|max|2026-10-16</x:t>
        </x:is>
      </x:c>
      <x:c r="B12" s="65" t="inlineStr">
        <x:is>
          <x:t xml:space="preserve">deepseek|deepseek-v4-flash-0731|max|reasoning|fallback-na</x:t>
        </x:is>
      </x:c>
      <x:c r="C12" s="65" t="inlineStr">
        <x:is>
          <x:t xml:space="preserve">DeepSeek V4 Flash 0731 (max)</x:t>
        </x:is>
      </x:c>
      <x:c r="D12" s="65" t="inlineStr">
        <x:is>
          <x:t xml:space="preserve">max</x:t>
        </x:is>
      </x:c>
      <x:c r="E12" s="65" t="inlineStr">
        <x:is>
          <x:t xml:space="preserve">Codex</x:t>
        </x:is>
      </x:c>
      <x:c r="F12" s="65" t="inlineStr">
        <x:is>
          <x:t xml:space="preserve">Artificial Analysis Coding Agent Index</x:t>
        </x:is>
      </x:c>
      <x:c r="G12" s="65" t="inlineStr">
        <x:is>
          <x:t xml:space="preserve">v1.5</x:t>
        </x:is>
      </x:c>
      <x:c r="H12" s="65" t="inlineStr">
        <x:is>
          <x:t xml:space="preserve">CAI|v1.5</x:t>
        </x:is>
      </x:c>
      <x:c r="I12" s="65" t="n">
        <x:v>39</x:v>
      </x:c>
      <x:c r="J12" s="110" t="n">
        <x:v>0.54</x:v>
      </x:c>
      <x:c r="K12" s="110" t="n">
        <x:v>0.11</x:v>
      </x:c>
      <x:c r="L12" s="110" t="n">
        <x:v>0.51</x:v>
      </x:c>
      <x:c r="M12" s="111" t="n">
        <x:v>0.09</x:v>
      </x:c>
      <x:c r="N12" s="65" t="inlineStr">
        <x:is>
          <x:t xml:space="preserve">$0.09</x:t>
        </x:is>
      </x:c>
      <x:c r="O12" s="65" t="inlineStr">
        <x:is>
          <x:t xml:space="preserve">AA reported average pay-per-token API cost per coding-agent task</x:t>
        </x:is>
      </x:c>
      <x:c r="P12" s="65" t="inlineStr">
        <x:is>
          <x:t xml:space="preserve">18.3m</x:t>
        </x:is>
      </x:c>
      <x:c r="Q12" s="111" t="n">
        <x:v>1098</x:v>
      </x:c>
      <x:c r="R12" s="65" t="inlineStr">
        <x:is>
          <x:t xml:space="preserve">Average agent wall time per task (public comparison label); Coding Agent Index v1.5 efficiency methodology</x:t>
        </x:is>
      </x:c>
      <x:c r="S12" s="65" t="inlineStr">
        <x:is>
          <x:t xml:space="preserve">15.4M</x:t>
        </x:is>
      </x:c>
      <x:c r="T12" s="111" t="n">
        <x:v>15400000</x:v>
      </x:c>
      <x:c r="U12" s="65" t="inlineStr">
        <x:is>
          <x:t xml:space="preserve">Total token usage per coding-agent task as displayed in public variant table</x:t>
        </x:is>
      </x:c>
      <x:c r="V12" s="65" t="n"/>
      <x:c r="W12" s="65" t="n"/>
      <x:c r="X12" s="65" t="n"/>
      <x:c r="Y12" s="65" t="inlineStr">
        <x:is>
          <x:t xml:space="preserve">2026-10-16</x:t>
        </x:is>
      </x:c>
      <x:c r="Z12" s="112" t="inlineStr">
        <x:is>
          <x:t xml:space="preserve">https://artificialanalysis.ai/agents/coding-agents/comparisons/codex-vs-muse-code</x:t>
        </x:is>
      </x:c>
      <x:c r="AA12" s="65" t="inlineStr">
        <x:is>
          <x:t xml:space="preserve">Older named release; not merged with current workbook DeepSeek V4.1 Flash</x:t>
        </x:is>
      </x:c>
      <x:c r="AB12" s="65" t="inlineStr">
        <x:is>
          <x:t xml:space="preserve">Agent harness result; test execution date is not disclosed. Score components are retained as published. Older named release; not merged with current workbook DeepSeek V4.1 Flash</x:t>
        </x:is>
      </x:c>
      <x:c r="AC12" t="inlineStr">
        <x:is>
          <x:t xml:space="preserve">DeepSWE</x:t>
        </x:is>
      </x:c>
      <x:c r="AD12" t="inlineStr">
        <x:is>
          <x:t xml:space="preserve">v1.1</x:t>
        </x:is>
      </x:c>
      <x:c r="AE12" t="n">
        <x:v>0.54</x:v>
      </x:c>
      <x:c r="AF12" t="inlineStr">
        <x:is>
          <x:t xml:space="preserve">Terminal-Bench</x:t>
        </x:is>
      </x:c>
      <x:c r="AG12" t="inlineStr">
        <x:is>
          <x:t xml:space="preserve">4.0</x:t>
        </x:is>
      </x:c>
      <x:c r="AH12" t="n">
        <x:v>0.11</x:v>
      </x:c>
      <x:c r="AI12" t="inlineStr">
        <x:is>
          <x:t xml:space="preserve">SWE-Atlas-QnA</x:t>
        </x:is>
      </x:c>
      <x:c r="AK12" t="n">
        <x:v>0.51</x:v>
      </x:c>
    </x:row>
    <x:row r="13">
      <x:c r="A13" s="65" t="inlineStr">
        <x:is>
          <x:t xml:space="preserve">CAI-v1.5|muse-code|meta|muse-wonder-full|max|2026-10-16</x:t>
        </x:is>
      </x:c>
      <x:c r="B13" s="65" t="inlineStr">
        <x:is>
          <x:t xml:space="preserve">meta|muse-wonder-full|max|reasoning|fallback-na</x:t>
        </x:is>
      </x:c>
      <x:c r="C13" s="65" t="inlineStr">
        <x:is>
          <x:t xml:space="preserve">Muse Wonder Full (max)</x:t>
        </x:is>
      </x:c>
      <x:c r="D13" s="65" t="inlineStr">
        <x:is>
          <x:t xml:space="preserve">max</x:t>
        </x:is>
      </x:c>
      <x:c r="E13" s="65" t="inlineStr">
        <x:is>
          <x:t xml:space="preserve">Muse Code</x:t>
        </x:is>
      </x:c>
      <x:c r="F13" s="65" t="inlineStr">
        <x:is>
          <x:t xml:space="preserve">Artificial Analysis Coding Agent Index</x:t>
        </x:is>
      </x:c>
      <x:c r="G13" s="65" t="inlineStr">
        <x:is>
          <x:t xml:space="preserve">v1.5</x:t>
        </x:is>
      </x:c>
      <x:c r="H13" s="65" t="inlineStr">
        <x:is>
          <x:t xml:space="preserve">CAI|v1.5</x:t>
        </x:is>
      </x:c>
      <x:c r="I13" s="65" t="n">
        <x:v>68</x:v>
      </x:c>
      <x:c r="J13" s="110" t="n">
        <x:v>0.77</x:v>
      </x:c>
      <x:c r="K13" s="110" t="n">
        <x:v>0.59</x:v>
      </x:c>
      <x:c r="L13" s="110" t="n">
        <x:v>0.68</x:v>
      </x:c>
      <x:c r="M13" s="111" t="n"/>
      <x:c r="N13" s="65" t="inlineStr">
        <x:is>
          <x:t xml:space="preserve">$0.00 (comparison not available)</x:t>
        </x:is>
      </x:c>
      <x:c r="O13" s="65" t="inlineStr">
        <x:is>
          <x:t xml:space="preserve">Not comparable: source says comparison unavailable</x:t>
        </x:is>
      </x:c>
      <x:c r="P13" s="65" t="inlineStr">
        <x:is>
          <x:t xml:space="preserve">28.8m</x:t>
        </x:is>
      </x:c>
      <x:c r="Q13" s="111" t="n">
        <x:v>1728</x:v>
      </x:c>
      <x:c r="R13" s="65" t="inlineStr">
        <x:is>
          <x:t xml:space="preserve">Average agent wall time per task (public comparison label); Coding Agent Index v1.5 efficiency methodology</x:t>
        </x:is>
      </x:c>
      <x:c r="S13" s="65" t="inlineStr">
        <x:is>
          <x:t xml:space="preserve">15M</x:t>
        </x:is>
      </x:c>
      <x:c r="T13" s="111" t="n">
        <x:v>15000000</x:v>
      </x:c>
      <x:c r="U13" s="65" t="inlineStr">
        <x:is>
          <x:t xml:space="preserve">Total token usage per coding-agent task as displayed in public variant table</x:t>
        </x:is>
      </x:c>
      <x:c r="V13" s="65" t="n"/>
      <x:c r="W13" s="65" t="n"/>
      <x:c r="X13" s="65" t="n"/>
      <x:c r="Y13" s="65" t="inlineStr">
        <x:is>
          <x:t xml:space="preserve">2026-10-16</x:t>
        </x:is>
      </x:c>
      <x:c r="Z13" s="112" t="inlineStr">
        <x:is>
          <x:t xml:space="preserve">https://artificialanalysis.ai/agents/coding-agents/comparisons/codex-vs-muse-code</x:t>
        </x:is>
      </x:c>
      <x:c r="AA13" s="65" t="inlineStr">
        <x:is>
          <x:t xml:space="preserve">Model and effort name match; cost unavailable despite UI displaying $0.00</x:t>
        </x:is>
      </x:c>
      <x:c r="AB13" s="65" t="inlineStr">
        <x:is>
          <x:t xml:space="preserve">Agent harness result; test execution date is not disclosed. Score components are retained as published. Model and effort name match; cost unavailable despite UI displaying $0.00 Source displays $0.00 but says comparison is not available; blank cost is not interpreted as free.</x:t>
        </x:is>
      </x:c>
      <x:c r="AC13" t="inlineStr">
        <x:is>
          <x:t xml:space="preserve">DeepSWE</x:t>
        </x:is>
      </x:c>
      <x:c r="AD13" t="inlineStr">
        <x:is>
          <x:t xml:space="preserve">v1.1</x:t>
        </x:is>
      </x:c>
      <x:c r="AE13" t="n">
        <x:v>0.77</x:v>
      </x:c>
      <x:c r="AF13" t="inlineStr">
        <x:is>
          <x:t xml:space="preserve">Terminal-Bench</x:t>
        </x:is>
      </x:c>
      <x:c r="AG13" t="inlineStr">
        <x:is>
          <x:t xml:space="preserve">4.0</x:t>
        </x:is>
      </x:c>
      <x:c r="AH13" t="n">
        <x:v>0.59</x:v>
      </x:c>
      <x:c r="AI13" t="inlineStr">
        <x:is>
          <x:t xml:space="preserve">SWE-Atlas-QnA</x:t>
        </x:is>
      </x:c>
      <x:c r="AK13" t="n">
        <x:v>0.68</x:v>
      </x:c>
    </x:row>
    <x:row r="14">
      <x:c r="A14" s="65" t="inlineStr">
        <x:is>
          <x:t xml:space="preserve">CAI-v1.5|muse-code|meta|muse-wonder|max|2026-10-16</x:t>
        </x:is>
      </x:c>
      <x:c r="B14" s="65" t="inlineStr">
        <x:is>
          <x:t xml:space="preserve">meta|muse-wonder|max|reasoning|fallback-na</x:t>
        </x:is>
      </x:c>
      <x:c r="C14" s="65" t="inlineStr">
        <x:is>
          <x:t xml:space="preserve">Muse Wonder (max)</x:t>
        </x:is>
      </x:c>
      <x:c r="D14" s="65" t="inlineStr">
        <x:is>
          <x:t xml:space="preserve">max</x:t>
        </x:is>
      </x:c>
      <x:c r="E14" s="65" t="inlineStr">
        <x:is>
          <x:t xml:space="preserve">Muse Code</x:t>
        </x:is>
      </x:c>
      <x:c r="F14" s="65" t="inlineStr">
        <x:is>
          <x:t xml:space="preserve">Artificial Analysis Coding Agent Index</x:t>
        </x:is>
      </x:c>
      <x:c r="G14" s="65" t="inlineStr">
        <x:is>
          <x:t xml:space="preserve">v1.5</x:t>
        </x:is>
      </x:c>
      <x:c r="H14" s="65" t="inlineStr">
        <x:is>
          <x:t xml:space="preserve">CAI|v1.5</x:t>
        </x:is>
      </x:c>
      <x:c r="I14" s="65" t="n">
        <x:v>63</x:v>
      </x:c>
      <x:c r="J14" s="110" t="n">
        <x:v>0.76</x:v>
      </x:c>
      <x:c r="K14" s="110" t="n">
        <x:v>0.47</x:v>
      </x:c>
      <x:c r="L14" s="110" t="n">
        <x:v>0.67</x:v>
      </x:c>
      <x:c r="M14" s="111" t="n">
        <x:v>8.050000000000001</x:v>
      </x:c>
      <x:c r="N14" s="65" t="inlineStr">
        <x:is>
          <x:t xml:space="preserve">$8.05</x:t>
        </x:is>
      </x:c>
      <x:c r="O14" s="65" t="inlineStr">
        <x:is>
          <x:t xml:space="preserve">AA reported average pay-per-token API cost per coding-agent task</x:t>
        </x:is>
      </x:c>
      <x:c r="P14" s="65" t="inlineStr">
        <x:is>
          <x:t xml:space="preserve">22.4m</x:t>
        </x:is>
      </x:c>
      <x:c r="Q14" s="111" t="n">
        <x:v>1344</x:v>
      </x:c>
      <x:c r="R14" s="65" t="inlineStr">
        <x:is>
          <x:t xml:space="preserve">Average agent wall time per task (public comparison label); Coding Agent Index v1.5 efficiency methodology</x:t>
        </x:is>
      </x:c>
      <x:c r="S14" s="65" t="inlineStr">
        <x:is>
          <x:t xml:space="preserve">15M</x:t>
        </x:is>
      </x:c>
      <x:c r="T14" s="111" t="n">
        <x:v>15000000</x:v>
      </x:c>
      <x:c r="U14" s="65" t="inlineStr">
        <x:is>
          <x:t xml:space="preserve">Total token usage per coding-agent task as displayed in public variant table</x:t>
        </x:is>
      </x:c>
      <x:c r="V14" s="65" t="n"/>
      <x:c r="W14" s="65" t="n"/>
      <x:c r="X14" s="65" t="n"/>
      <x:c r="Y14" s="65" t="inlineStr">
        <x:is>
          <x:t xml:space="preserve">2026-10-16</x:t>
        </x:is>
      </x:c>
      <x:c r="Z14" s="112" t="inlineStr">
        <x:is>
          <x:t xml:space="preserve">https://artificialanalysis.ai/agents/coding-agents/comparisons/codex-vs-muse-code</x:t>
        </x:is>
      </x:c>
      <x:c r="AA14" s="65" t="inlineStr">
        <x:is>
          <x:t xml:space="preserve">Model and effort name match; Muse Code harness</x:t>
        </x:is>
      </x:c>
      <x:c r="AB14" s="65" t="inlineStr">
        <x:is>
          <x:t xml:space="preserve">Agent harness result; test execution date is not disclosed. Score components are retained as published. Model and effort name match; Muse Code harness</x:t>
        </x:is>
      </x:c>
      <x:c r="AC14" t="inlineStr">
        <x:is>
          <x:t xml:space="preserve">DeepSWE</x:t>
        </x:is>
      </x:c>
      <x:c r="AD14" t="inlineStr">
        <x:is>
          <x:t xml:space="preserve">v1.1</x:t>
        </x:is>
      </x:c>
      <x:c r="AE14" t="n">
        <x:v>0.76</x:v>
      </x:c>
      <x:c r="AF14" t="inlineStr">
        <x:is>
          <x:t xml:space="preserve">Terminal-Bench</x:t>
        </x:is>
      </x:c>
      <x:c r="AG14" t="inlineStr">
        <x:is>
          <x:t xml:space="preserve">4.0</x:t>
        </x:is>
      </x:c>
      <x:c r="AH14" t="n">
        <x:v>0.47</x:v>
      </x:c>
      <x:c r="AI14" t="inlineStr">
        <x:is>
          <x:t xml:space="preserve">SWE-Atlas-QnA</x:t>
        </x:is>
      </x:c>
      <x:c r="AK14" t="n">
        <x:v>0.67</x:v>
      </x:c>
    </x:row>
    <x:row r="15">
      <x:c r="A15" s="65" t="inlineStr">
        <x:is>
          <x:t xml:space="preserve">CAI-v1.5|claude-code|anthropic|claude-sonnet-5.5|max|2026-10-16</x:t>
        </x:is>
      </x:c>
      <x:c r="B15" s="65" t="inlineStr">
        <x:is>
          <x:t xml:space="preserve">anthropic|claude-sonnet-5.5|max|reasoning|fallback-true</x:t>
        </x:is>
      </x:c>
      <x:c r="C15" s="65" t="inlineStr">
        <x:is>
          <x:t xml:space="preserve">Claude Sonnet 5.5 (max)</x:t>
        </x:is>
      </x:c>
      <x:c r="D15" s="65" t="inlineStr">
        <x:is>
          <x:t xml:space="preserve">max</x:t>
        </x:is>
      </x:c>
      <x:c r="E15" s="65" t="inlineStr">
        <x:is>
          <x:t xml:space="preserve">Claude Code</x:t>
        </x:is>
      </x:c>
      <x:c r="F15" s="65" t="inlineStr">
        <x:is>
          <x:t xml:space="preserve">Artificial Analysis Coding Agent Index</x:t>
        </x:is>
      </x:c>
      <x:c r="G15" s="65" t="inlineStr">
        <x:is>
          <x:t xml:space="preserve">v1.5</x:t>
        </x:is>
      </x:c>
      <x:c r="H15" s="65" t="inlineStr">
        <x:is>
          <x:t xml:space="preserve">CAI|v1.5</x:t>
        </x:is>
      </x:c>
      <x:c r="I15" s="65" t="n">
        <x:v>68</x:v>
      </x:c>
      <x:c r="J15" s="110" t="n">
        <x:v>0.72</x:v>
      </x:c>
      <x:c r="K15" s="110" t="n">
        <x:v>0.66</x:v>
      </x:c>
      <x:c r="L15" s="110" t="n">
        <x:v>0.67</x:v>
      </x:c>
      <x:c r="M15" s="111" t="n">
        <x:v>14.19</x:v>
      </x:c>
      <x:c r="N15" s="65" t="inlineStr">
        <x:is>
          <x:t xml:space="preserve">$14.19</x:t>
        </x:is>
      </x:c>
      <x:c r="O15" s="65" t="inlineStr">
        <x:is>
          <x:t xml:space="preserve">AA reported average pay-per-token API cost per coding-agent task</x:t>
        </x:is>
      </x:c>
      <x:c r="P15" s="65" t="inlineStr">
        <x:is>
          <x:t xml:space="preserve">1.5h</x:t>
        </x:is>
      </x:c>
      <x:c r="Q15" s="111" t="n">
        <x:v>5400</x:v>
      </x:c>
      <x:c r="R15" s="65" t="inlineStr">
        <x:is>
          <x:t xml:space="preserve">Average agent wall time per task (public comparison label); Coding Agent Index v1.5 efficiency methodology</x:t>
        </x:is>
      </x:c>
      <x:c r="S15" s="65" t="inlineStr">
        <x:is>
          <x:t xml:space="preserve">27.7M</x:t>
        </x:is>
      </x:c>
      <x:c r="T15" s="111" t="n">
        <x:v>27700000</x:v>
      </x:c>
      <x:c r="U15" s="65" t="inlineStr">
        <x:is>
          <x:t xml:space="preserve">Total token usage per coding-agent task as displayed in public variant table</x:t>
        </x:is>
      </x:c>
      <x:c r="V15" s="65" t="n"/>
      <x:c r="W15" s="65" t="n"/>
      <x:c r="X15" s="65" t="n"/>
      <x:c r="Y15" s="65" t="inlineStr">
        <x:is>
          <x:t xml:space="preserve">2026-10-16</x:t>
        </x:is>
      </x:c>
      <x:c r="Z15" s="112" t="inlineStr">
        <x:is>
          <x:t xml:space="preserve">https://artificialanalysis.ai/agents/coding-agents/comparisons/claude-code-vs-muse-code</x:t>
        </x:is>
      </x:c>
      <x:c r="AA15" s="65" t="inlineStr">
        <x:is>
          <x:t xml:space="preserve">Model and effort name match; Claude Code harness; fallback status is not specified on the CAI table</x:t>
        </x:is>
      </x:c>
      <x:c r="AB15" s="65" t="inlineStr">
        <x:is>
          <x:t xml:space="preserve">Agent harness result; test execution date is not disclosed. Score components are retained as published. Model and effort name match; Claude Code harness; fallback status is not specified on the CAI table</x:t>
        </x:is>
      </x:c>
      <x:c r="AC15" t="inlineStr">
        <x:is>
          <x:t xml:space="preserve">DeepSWE</x:t>
        </x:is>
      </x:c>
      <x:c r="AD15" t="inlineStr">
        <x:is>
          <x:t xml:space="preserve">v1.1</x:t>
        </x:is>
      </x:c>
      <x:c r="AE15" t="n">
        <x:v>0.72</x:v>
      </x:c>
      <x:c r="AF15" t="inlineStr">
        <x:is>
          <x:t xml:space="preserve">Terminal-Bench</x:t>
        </x:is>
      </x:c>
      <x:c r="AG15" t="inlineStr">
        <x:is>
          <x:t xml:space="preserve">4.0</x:t>
        </x:is>
      </x:c>
      <x:c r="AH15" t="n">
        <x:v>0.66</x:v>
      </x:c>
      <x:c r="AI15" t="inlineStr">
        <x:is>
          <x:t xml:space="preserve">SWE-Atlas-QnA</x:t>
        </x:is>
      </x:c>
      <x:c r="AK15" t="n">
        <x:v>0.67</x:v>
      </x:c>
    </x:row>
    <x:row r="16">
      <x:c r="A16" s="65" t="inlineStr">
        <x:is>
          <x:t xml:space="preserve">CAI-v1.5|claude-code|anthropic|claude-opus-5.5|max|2026-10-16</x:t>
        </x:is>
      </x:c>
      <x:c r="B16" s="65" t="inlineStr">
        <x:is>
          <x:t xml:space="preserve">anthropic|claude-opus-5.5|max|reasoning|fallback-true</x:t>
        </x:is>
      </x:c>
      <x:c r="C16" s="65" t="inlineStr">
        <x:is>
          <x:t xml:space="preserve">Claude Opus 5.5 (max)</x:t>
        </x:is>
      </x:c>
      <x:c r="D16" s="65" t="inlineStr">
        <x:is>
          <x:t xml:space="preserve">max</x:t>
        </x:is>
      </x:c>
      <x:c r="E16" s="65" t="inlineStr">
        <x:is>
          <x:t xml:space="preserve">Claude Code</x:t>
        </x:is>
      </x:c>
      <x:c r="F16" s="65" t="inlineStr">
        <x:is>
          <x:t xml:space="preserve">Artificial Analysis Coding Agent Index</x:t>
        </x:is>
      </x:c>
      <x:c r="G16" s="65" t="inlineStr">
        <x:is>
          <x:t xml:space="preserve">v1.5</x:t>
        </x:is>
      </x:c>
      <x:c r="H16" s="65" t="inlineStr">
        <x:is>
          <x:t xml:space="preserve">CAI|v1.5</x:t>
        </x:is>
      </x:c>
      <x:c r="I16" s="65" t="n">
        <x:v>66</x:v>
      </x:c>
      <x:c r="J16" s="110" t="n">
        <x:v>0.68</x:v>
      </x:c>
      <x:c r="K16" s="110" t="n">
        <x:v>0.63</x:v>
      </x:c>
      <x:c r="L16" s="110" t="n">
        <x:v>0.66</x:v>
      </x:c>
      <x:c r="M16" s="111" t="n">
        <x:v>13.04</x:v>
      </x:c>
      <x:c r="N16" s="65" t="inlineStr">
        <x:is>
          <x:t xml:space="preserve">$13.04</x:t>
        </x:is>
      </x:c>
      <x:c r="O16" s="65" t="inlineStr">
        <x:is>
          <x:t xml:space="preserve">AA reported average pay-per-token API cost per coding-agent task</x:t>
        </x:is>
      </x:c>
      <x:c r="P16" s="65" t="inlineStr">
        <x:is>
          <x:t xml:space="preserve">1.1h</x:t>
        </x:is>
      </x:c>
      <x:c r="Q16" s="111" t="n">
        <x:v>3960</x:v>
      </x:c>
      <x:c r="R16" s="65" t="inlineStr">
        <x:is>
          <x:t xml:space="preserve">Average agent wall time per task (public comparison label); Coding Agent Index v1.5 efficiency methodology</x:t>
        </x:is>
      </x:c>
      <x:c r="S16" s="65" t="inlineStr">
        <x:is>
          <x:t xml:space="preserve">15.6M</x:t>
        </x:is>
      </x:c>
      <x:c r="T16" s="111" t="n">
        <x:v>15600000</x:v>
      </x:c>
      <x:c r="U16" s="65" t="inlineStr">
        <x:is>
          <x:t xml:space="preserve">Total token usage per coding-agent task as displayed in public variant table</x:t>
        </x:is>
      </x:c>
      <x:c r="V16" s="65" t="n"/>
      <x:c r="W16" s="65" t="n"/>
      <x:c r="X16" s="65" t="n"/>
      <x:c r="Y16" s="65" t="inlineStr">
        <x:is>
          <x:t xml:space="preserve">2026-10-16</x:t>
        </x:is>
      </x:c>
      <x:c r="Z16" s="112" t="inlineStr">
        <x:is>
          <x:t xml:space="preserve">https://artificialanalysis.ai/agents/coding-agents/comparisons/claude-code-vs-muse-code</x:t>
        </x:is>
      </x:c>
      <x:c r="AA16" s="65" t="inlineStr">
        <x:is>
          <x:t xml:space="preserve">Model and effort name match; Claude Code harness; fallback status is not specified on the CAI table</x:t>
        </x:is>
      </x:c>
      <x:c r="AB16" s="65" t="inlineStr">
        <x:is>
          <x:t xml:space="preserve">Agent harness result; test execution date is not disclosed. Score components are retained as published. Model and effort name match; Claude Code harness; fallback status is not specified on the CAI table</x:t>
        </x:is>
      </x:c>
      <x:c r="AC16" t="inlineStr">
        <x:is>
          <x:t xml:space="preserve">DeepSWE</x:t>
        </x:is>
      </x:c>
      <x:c r="AD16" t="inlineStr">
        <x:is>
          <x:t xml:space="preserve">v1.1</x:t>
        </x:is>
      </x:c>
      <x:c r="AE16" t="n">
        <x:v>0.68</x:v>
      </x:c>
      <x:c r="AF16" t="inlineStr">
        <x:is>
          <x:t xml:space="preserve">Terminal-Bench</x:t>
        </x:is>
      </x:c>
      <x:c r="AG16" t="inlineStr">
        <x:is>
          <x:t xml:space="preserve">4.0</x:t>
        </x:is>
      </x:c>
      <x:c r="AH16" t="n">
        <x:v>0.63</x:v>
      </x:c>
      <x:c r="AI16" t="inlineStr">
        <x:is>
          <x:t xml:space="preserve">SWE-Atlas-QnA</x:t>
        </x:is>
      </x:c>
      <x:c r="AK16" t="n">
        <x:v>0.66</x:v>
      </x:c>
    </x:row>
    <x:row r="17">
      <x:c r="A17" s="65" t="inlineStr">
        <x:is>
          <x:t xml:space="preserve">CAI-v1.5|claude-code|anthropic|claude-sonnet-5.5|xhigh|2026-10-16</x:t>
        </x:is>
      </x:c>
      <x:c r="B17" s="65" t="inlineStr">
        <x:is>
          <x:t xml:space="preserve">anthropic|claude-sonnet-5.5|xhigh|reasoning|fallback-true</x:t>
        </x:is>
      </x:c>
      <x:c r="C17" s="65" t="inlineStr">
        <x:is>
          <x:t xml:space="preserve">Claude Sonnet 5.5 (xhigh)</x:t>
        </x:is>
      </x:c>
      <x:c r="D17" s="65" t="inlineStr">
        <x:is>
          <x:t xml:space="preserve">xhigh</x:t>
        </x:is>
      </x:c>
      <x:c r="E17" s="65" t="inlineStr">
        <x:is>
          <x:t xml:space="preserve">Claude Code</x:t>
        </x:is>
      </x:c>
      <x:c r="F17" s="65" t="inlineStr">
        <x:is>
          <x:t xml:space="preserve">Artificial Analysis Coding Agent Index</x:t>
        </x:is>
      </x:c>
      <x:c r="G17" s="65" t="inlineStr">
        <x:is>
          <x:t xml:space="preserve">v1.5</x:t>
        </x:is>
      </x:c>
      <x:c r="H17" s="65" t="inlineStr">
        <x:is>
          <x:t xml:space="preserve">CAI|v1.5</x:t>
        </x:is>
      </x:c>
      <x:c r="I17" s="65" t="n">
        <x:v>63</x:v>
      </x:c>
      <x:c r="J17" s="110" t="n">
        <x:v>0.68</x:v>
      </x:c>
      <x:c r="K17" s="110" t="n">
        <x:v>0.58</x:v>
      </x:c>
      <x:c r="L17" s="110" t="n">
        <x:v>0.62</x:v>
      </x:c>
      <x:c r="M17" s="111" t="n">
        <x:v>3.33</x:v>
      </x:c>
      <x:c r="N17" s="65" t="inlineStr">
        <x:is>
          <x:t xml:space="preserve">$3.33</x:t>
        </x:is>
      </x:c>
      <x:c r="O17" s="65" t="inlineStr">
        <x:is>
          <x:t xml:space="preserve">AA reported average pay-per-token API cost per coding-agent task</x:t>
        </x:is>
      </x:c>
      <x:c r="P17" s="65" t="inlineStr">
        <x:is>
          <x:t xml:space="preserve">27.0m</x:t>
        </x:is>
      </x:c>
      <x:c r="Q17" s="111" t="n">
        <x:v>1620</x:v>
      </x:c>
      <x:c r="R17" s="65" t="inlineStr">
        <x:is>
          <x:t xml:space="preserve">Average agent wall time per task (public comparison label); Coding Agent Index v1.5 efficiency methodology</x:t>
        </x:is>
      </x:c>
      <x:c r="S17" s="65" t="inlineStr">
        <x:is>
          <x:t xml:space="preserve">7.1M</x:t>
        </x:is>
      </x:c>
      <x:c r="T17" s="111" t="n">
        <x:v>7100000</x:v>
      </x:c>
      <x:c r="U17" s="65" t="inlineStr">
        <x:is>
          <x:t xml:space="preserve">Total token usage per coding-agent task as displayed in public variant table</x:t>
        </x:is>
      </x:c>
      <x:c r="V17" s="65" t="n"/>
      <x:c r="W17" s="65" t="n"/>
      <x:c r="X17" s="65" t="n"/>
      <x:c r="Y17" s="65" t="inlineStr">
        <x:is>
          <x:t xml:space="preserve">2026-10-16</x:t>
        </x:is>
      </x:c>
      <x:c r="Z17" s="112" t="inlineStr">
        <x:is>
          <x:t xml:space="preserve">https://artificialanalysis.ai/agents/coding-agents/comparisons/claude-code-vs-muse-code</x:t>
        </x:is>
      </x:c>
      <x:c r="AA17" s="65" t="inlineStr">
        <x:is>
          <x:t xml:space="preserve">Model and effort name match; Claude Code harness; fallback status is not specified on the CAI table</x:t>
        </x:is>
      </x:c>
      <x:c r="AB17" s="65" t="inlineStr">
        <x:is>
          <x:t xml:space="preserve">Agent harness result; test execution date is not disclosed. Score components are retained as published. Model and effort name match; Claude Code harness; fallback status is not specified on the CAI table</x:t>
        </x:is>
      </x:c>
      <x:c r="AC17" t="inlineStr">
        <x:is>
          <x:t xml:space="preserve">DeepSWE</x:t>
        </x:is>
      </x:c>
      <x:c r="AD17" t="inlineStr">
        <x:is>
          <x:t xml:space="preserve">v1.1</x:t>
        </x:is>
      </x:c>
      <x:c r="AE17" t="n">
        <x:v>0.68</x:v>
      </x:c>
      <x:c r="AF17" t="inlineStr">
        <x:is>
          <x:t xml:space="preserve">Terminal-Bench</x:t>
        </x:is>
      </x:c>
      <x:c r="AG17" t="inlineStr">
        <x:is>
          <x:t xml:space="preserve">4.0</x:t>
        </x:is>
      </x:c>
      <x:c r="AH17" t="n">
        <x:v>0.58</x:v>
      </x:c>
      <x:c r="AI17" t="inlineStr">
        <x:is>
          <x:t xml:space="preserve">SWE-Atlas-QnA</x:t>
        </x:is>
      </x:c>
      <x:c r="AK17" t="n">
        <x:v>0.62</x:v>
      </x:c>
    </x:row>
    <x:row r="18">
      <x:c r="A18" s="65" t="inlineStr">
        <x:is>
          <x:t xml:space="preserve">CAI-v1.5|claude-code|anthropic|claude-sonnet-5.5|high|2026-10-16</x:t>
        </x:is>
      </x:c>
      <x:c r="B18" s="65" t="inlineStr">
        <x:is>
          <x:t xml:space="preserve">anthropic|claude-sonnet-5.5|high|reasoning|fallback-true</x:t>
        </x:is>
      </x:c>
      <x:c r="C18" s="65" t="inlineStr">
        <x:is>
          <x:t xml:space="preserve">Claude Sonnet 5.5 (high)</x:t>
        </x:is>
      </x:c>
      <x:c r="D18" s="65" t="inlineStr">
        <x:is>
          <x:t xml:space="preserve">high</x:t>
        </x:is>
      </x:c>
      <x:c r="E18" s="65" t="inlineStr">
        <x:is>
          <x:t xml:space="preserve">Claude Code</x:t>
        </x:is>
      </x:c>
      <x:c r="F18" s="65" t="inlineStr">
        <x:is>
          <x:t xml:space="preserve">Artificial Analysis Coding Agent Index</x:t>
        </x:is>
      </x:c>
      <x:c r="G18" s="65" t="inlineStr">
        <x:is>
          <x:t xml:space="preserve">v1.5</x:t>
        </x:is>
      </x:c>
      <x:c r="H18" s="65" t="inlineStr">
        <x:is>
          <x:t xml:space="preserve">CAI|v1.5</x:t>
        </x:is>
      </x:c>
      <x:c r="I18" s="65" t="n">
        <x:v>55</x:v>
      </x:c>
      <x:c r="J18" s="110" t="n">
        <x:v>0.67</x:v>
      </x:c>
      <x:c r="K18" s="110" t="n">
        <x:v>0.42</x:v>
      </x:c>
      <x:c r="L18" s="110" t="n">
        <x:v>0.5600000000000001</x:v>
      </x:c>
      <x:c r="M18" s="111" t="n">
        <x:v>1.24</x:v>
      </x:c>
      <x:c r="N18" s="65" t="inlineStr">
        <x:is>
          <x:t xml:space="preserve">$1.24</x:t>
        </x:is>
      </x:c>
      <x:c r="O18" s="65" t="inlineStr">
        <x:is>
          <x:t xml:space="preserve">AA reported average pay-per-token API cost per coding-agent task</x:t>
        </x:is>
      </x:c>
      <x:c r="P18" s="65" t="inlineStr">
        <x:is>
          <x:t xml:space="preserve">12.3m</x:t>
        </x:is>
      </x:c>
      <x:c r="Q18" s="111" t="n">
        <x:v>738</x:v>
      </x:c>
      <x:c r="R18" s="65" t="inlineStr">
        <x:is>
          <x:t xml:space="preserve">Average agent wall time per task (public comparison label); Coding Agent Index v1.5 efficiency methodology</x:t>
        </x:is>
      </x:c>
      <x:c r="S18" s="65" t="inlineStr">
        <x:is>
          <x:t xml:space="preserve">2.7M</x:t>
        </x:is>
      </x:c>
      <x:c r="T18" s="111" t="n">
        <x:v>2700000</x:v>
      </x:c>
      <x:c r="U18" s="65" t="inlineStr">
        <x:is>
          <x:t xml:space="preserve">Total token usage per coding-agent task as displayed in public variant table</x:t>
        </x:is>
      </x:c>
      <x:c r="V18" s="65" t="n"/>
      <x:c r="W18" s="65" t="n"/>
      <x:c r="X18" s="65" t="n"/>
      <x:c r="Y18" s="65" t="inlineStr">
        <x:is>
          <x:t xml:space="preserve">2026-10-16</x:t>
        </x:is>
      </x:c>
      <x:c r="Z18" s="112" t="inlineStr">
        <x:is>
          <x:t xml:space="preserve">https://artificialanalysis.ai/agents/coding-agents/comparisons/claude-code-vs-muse-code</x:t>
        </x:is>
      </x:c>
      <x:c r="AA18" s="65" t="inlineStr">
        <x:is>
          <x:t xml:space="preserve">Model and effort name match; Claude Code harness; fallback status is not specified on the CAI table</x:t>
        </x:is>
      </x:c>
      <x:c r="AB18" s="65" t="inlineStr">
        <x:is>
          <x:t xml:space="preserve">Agent harness result; test execution date is not disclosed. Score components are retained as published. Model and effort name match; Claude Code harness; fallback status is not specified on the CAI table</x:t>
        </x:is>
      </x:c>
      <x:c r="AC18" t="inlineStr">
        <x:is>
          <x:t xml:space="preserve">DeepSWE</x:t>
        </x:is>
      </x:c>
      <x:c r="AD18" t="inlineStr">
        <x:is>
          <x:t xml:space="preserve">v1.1</x:t>
        </x:is>
      </x:c>
      <x:c r="AE18" t="n">
        <x:v>0.67</x:v>
      </x:c>
      <x:c r="AF18" t="inlineStr">
        <x:is>
          <x:t xml:space="preserve">Terminal-Bench</x:t>
        </x:is>
      </x:c>
      <x:c r="AG18" t="inlineStr">
        <x:is>
          <x:t xml:space="preserve">4.0</x:t>
        </x:is>
      </x:c>
      <x:c r="AH18" t="n">
        <x:v>0.42</x:v>
      </x:c>
      <x:c r="AI18" t="inlineStr">
        <x:is>
          <x:t xml:space="preserve">SWE-Atlas-QnA</x:t>
        </x:is>
      </x:c>
      <x:c r="AK18" t="n">
        <x:v>0.5600000000000001</x:v>
      </x:c>
    </x:row>
    <x:row r="19">
      <x:c r="A19" s="65" t="inlineStr">
        <x:is>
          <x:t xml:space="preserve">CAI-v1.5|claude-code|anthropic|claude-sonnet-5.5|medium|2026-10-16</x:t>
        </x:is>
      </x:c>
      <x:c r="B19" s="65" t="inlineStr">
        <x:is>
          <x:t xml:space="preserve">anthropic|claude-sonnet-5.5|medium|reasoning|fallback-true</x:t>
        </x:is>
      </x:c>
      <x:c r="C19" s="65" t="inlineStr">
        <x:is>
          <x:t xml:space="preserve">Claude Sonnet 5.5 (medium)</x:t>
        </x:is>
      </x:c>
      <x:c r="D19" s="65" t="inlineStr">
        <x:is>
          <x:t xml:space="preserve">medium</x:t>
        </x:is>
      </x:c>
      <x:c r="E19" s="65" t="inlineStr">
        <x:is>
          <x:t xml:space="preserve">Claude Code</x:t>
        </x:is>
      </x:c>
      <x:c r="F19" s="65" t="inlineStr">
        <x:is>
          <x:t xml:space="preserve">Artificial Analysis Coding Agent Index</x:t>
        </x:is>
      </x:c>
      <x:c r="G19" s="65" t="inlineStr">
        <x:is>
          <x:t xml:space="preserve">v1.5</x:t>
        </x:is>
      </x:c>
      <x:c r="H19" s="65" t="inlineStr">
        <x:is>
          <x:t xml:space="preserve">CAI|v1.5</x:t>
        </x:is>
      </x:c>
      <x:c r="I19" s="65" t="n">
        <x:v>46</x:v>
      </x:c>
      <x:c r="J19" s="110" t="n">
        <x:v>0.65</x:v>
      </x:c>
      <x:c r="K19" s="110" t="n">
        <x:v>0.27</x:v>
      </x:c>
      <x:c r="L19" s="110" t="n">
        <x:v>0.45</x:v>
      </x:c>
      <x:c r="M19" s="111" t="n">
        <x:v>0.62</x:v>
      </x:c>
      <x:c r="N19" s="65" t="inlineStr">
        <x:is>
          <x:t xml:space="preserve">$0.62</x:t>
        </x:is>
      </x:c>
      <x:c r="O19" s="65" t="inlineStr">
        <x:is>
          <x:t xml:space="preserve">AA reported average pay-per-token API cost per coding-agent task</x:t>
        </x:is>
      </x:c>
      <x:c r="P19" s="65" t="inlineStr">
        <x:is>
          <x:t xml:space="preserve">8.5m</x:t>
        </x:is>
      </x:c>
      <x:c r="Q19" s="111" t="n">
        <x:v>510</x:v>
      </x:c>
      <x:c r="R19" s="65" t="inlineStr">
        <x:is>
          <x:t xml:space="preserve">Average agent wall time per task (public comparison label); Coding Agent Index v1.5 efficiency methodology</x:t>
        </x:is>
      </x:c>
      <x:c r="S19" s="65" t="inlineStr">
        <x:is>
          <x:t xml:space="preserve">1.3M</x:t>
        </x:is>
      </x:c>
      <x:c r="T19" s="111" t="n">
        <x:v>1300000</x:v>
      </x:c>
      <x:c r="U19" s="65" t="inlineStr">
        <x:is>
          <x:t xml:space="preserve">Total token usage per coding-agent task as displayed in public variant table</x:t>
        </x:is>
      </x:c>
      <x:c r="V19" s="65" t="n"/>
      <x:c r="W19" s="65" t="n"/>
      <x:c r="X19" s="65" t="n"/>
      <x:c r="Y19" s="65" t="inlineStr">
        <x:is>
          <x:t xml:space="preserve">2026-10-16</x:t>
        </x:is>
      </x:c>
      <x:c r="Z19" s="112" t="inlineStr">
        <x:is>
          <x:t xml:space="preserve">https://artificialanalysis.ai/agents/coding-agents/comparisons/claude-code-vs-muse-code</x:t>
        </x:is>
      </x:c>
      <x:c r="AA19" s="65" t="inlineStr">
        <x:is>
          <x:t xml:space="preserve">Model and effort name match; Claude Code harness; fallback status is not specified on the CAI table</x:t>
        </x:is>
      </x:c>
      <x:c r="AB19" s="65" t="inlineStr">
        <x:is>
          <x:t xml:space="preserve">Agent harness result; test execution date is not disclosed. Score components are retained as published. Model and effort name match; Claude Code harness; fallback status is not specified on the CAI table</x:t>
        </x:is>
      </x:c>
      <x:c r="AC19" t="inlineStr">
        <x:is>
          <x:t xml:space="preserve">DeepSWE</x:t>
        </x:is>
      </x:c>
      <x:c r="AD19" t="inlineStr">
        <x:is>
          <x:t xml:space="preserve">v1.1</x:t>
        </x:is>
      </x:c>
      <x:c r="AE19" t="n">
        <x:v>0.65</x:v>
      </x:c>
      <x:c r="AF19" t="inlineStr">
        <x:is>
          <x:t xml:space="preserve">Terminal-Bench</x:t>
        </x:is>
      </x:c>
      <x:c r="AG19" t="inlineStr">
        <x:is>
          <x:t xml:space="preserve">4.0</x:t>
        </x:is>
      </x:c>
      <x:c r="AH19" t="n">
        <x:v>0.27</x:v>
      </x:c>
      <x:c r="AI19" t="inlineStr">
        <x:is>
          <x:t xml:space="preserve">SWE-Atlas-QnA</x:t>
        </x:is>
      </x:c>
      <x:c r="AK19" t="n">
        <x:v>0.45</x:v>
      </x:c>
    </x:row>
    <x:row r="20">
      <x:c r="A20" s="65" t="inlineStr">
        <x:is>
          <x:t xml:space="preserve">CAI-v1.5|claude-code|anthropic|claude-sonnet-5.5|low|2026-10-16</x:t>
        </x:is>
      </x:c>
      <x:c r="B20" s="65" t="inlineStr">
        <x:is>
          <x:t xml:space="preserve">anthropic|claude-sonnet-5.5|low|reasoning|fallback-true</x:t>
        </x:is>
      </x:c>
      <x:c r="C20" s="65" t="inlineStr">
        <x:is>
          <x:t xml:space="preserve">Claude Sonnet 5.5 (low)</x:t>
        </x:is>
      </x:c>
      <x:c r="D20" s="65" t="inlineStr">
        <x:is>
          <x:t xml:space="preserve">low</x:t>
        </x:is>
      </x:c>
      <x:c r="E20" s="65" t="inlineStr">
        <x:is>
          <x:t xml:space="preserve">Claude Code</x:t>
        </x:is>
      </x:c>
      <x:c r="F20" s="65" t="inlineStr">
        <x:is>
          <x:t xml:space="preserve">Artificial Analysis Coding Agent Index</x:t>
        </x:is>
      </x:c>
      <x:c r="G20" s="65" t="inlineStr">
        <x:is>
          <x:t xml:space="preserve">v1.5</x:t>
        </x:is>
      </x:c>
      <x:c r="H20" s="65" t="inlineStr">
        <x:is>
          <x:t xml:space="preserve">CAI|v1.5</x:t>
        </x:is>
      </x:c>
      <x:c r="I20" s="65" t="n">
        <x:v>42</x:v>
      </x:c>
      <x:c r="J20" s="110" t="n">
        <x:v>0.62</x:v>
      </x:c>
      <x:c r="K20" s="110" t="n">
        <x:v>0.25</x:v>
      </x:c>
      <x:c r="L20" s="110" t="n">
        <x:v>0.39</x:v>
      </x:c>
      <x:c r="M20" s="111" t="n">
        <x:v>0.48</x:v>
      </x:c>
      <x:c r="N20" s="65" t="inlineStr">
        <x:is>
          <x:t xml:space="preserve">$0.48</x:t>
        </x:is>
      </x:c>
      <x:c r="O20" s="65" t="inlineStr">
        <x:is>
          <x:t xml:space="preserve">AA reported average pay-per-token API cost per coding-agent task</x:t>
        </x:is>
      </x:c>
      <x:c r="P20" s="65" t="inlineStr">
        <x:is>
          <x:t xml:space="preserve">6.3m</x:t>
        </x:is>
      </x:c>
      <x:c r="Q20" s="111" t="n">
        <x:v>378</x:v>
      </x:c>
      <x:c r="R20" s="65" t="inlineStr">
        <x:is>
          <x:t xml:space="preserve">Average agent wall time per task (public comparison label); Coding Agent Index v1.5 efficiency methodology</x:t>
        </x:is>
      </x:c>
      <x:c r="S20" s="65" t="inlineStr">
        <x:is>
          <x:t xml:space="preserve">977.3K</x:t>
        </x:is>
      </x:c>
      <x:c r="T20" s="111" t="n">
        <x:v>977300</x:v>
      </x:c>
      <x:c r="U20" s="65" t="inlineStr">
        <x:is>
          <x:t xml:space="preserve">Total token usage per coding-agent task as displayed in public variant table</x:t>
        </x:is>
      </x:c>
      <x:c r="V20" s="65" t="n"/>
      <x:c r="W20" s="65" t="n"/>
      <x:c r="X20" s="65" t="n"/>
      <x:c r="Y20" s="65" t="inlineStr">
        <x:is>
          <x:t xml:space="preserve">2026-10-16</x:t>
        </x:is>
      </x:c>
      <x:c r="Z20" s="112" t="inlineStr">
        <x:is>
          <x:t xml:space="preserve">https://artificialanalysis.ai/agents/coding-agents/comparisons/claude-code-vs-muse-code</x:t>
        </x:is>
      </x:c>
      <x:c r="AA20" s="65" t="inlineStr">
        <x:is>
          <x:t xml:space="preserve">Model and effort name match; Claude Code harness; fallback status is not specified on the CAI table</x:t>
        </x:is>
      </x:c>
      <x:c r="AB20" s="65" t="inlineStr">
        <x:is>
          <x:t xml:space="preserve">Agent harness result; test execution date is not disclosed. Score components are retained as published. Model and effort name match; Claude Code harness; fallback status is not specified on the CAI table</x:t>
        </x:is>
      </x:c>
      <x:c r="AC20" t="inlineStr">
        <x:is>
          <x:t xml:space="preserve">DeepSWE</x:t>
        </x:is>
      </x:c>
      <x:c r="AD20" t="inlineStr">
        <x:is>
          <x:t xml:space="preserve">v1.1</x:t>
        </x:is>
      </x:c>
      <x:c r="AE20" t="n">
        <x:v>0.62</x:v>
      </x:c>
      <x:c r="AF20" t="inlineStr">
        <x:is>
          <x:t xml:space="preserve">Terminal-Bench</x:t>
        </x:is>
      </x:c>
      <x:c r="AG20" t="inlineStr">
        <x:is>
          <x:t xml:space="preserve">4.0</x:t>
        </x:is>
      </x:c>
      <x:c r="AH20" t="n">
        <x:v>0.25</x:v>
      </x:c>
      <x:c r="AI20" t="inlineStr">
        <x:is>
          <x:t xml:space="preserve">SWE-Atlas-QnA</x:t>
        </x:is>
      </x:c>
      <x:c r="AK20" t="n">
        <x:v>0.39</x:v>
      </x:c>
    </x:row>
    <x:row r="21">
      <x:c r="A21" s="65" t="inlineStr">
        <x:is>
          <x:t xml:space="preserve">CAI-v1.5|claude-code|anthropic|claude-haiku-5-5|xhigh|2026-10-16</x:t>
        </x:is>
      </x:c>
      <x:c r="B21" s="65" t="inlineStr">
        <x:is>
          <x:t xml:space="preserve">anthropic|claude-haiku-5-5|xhigh|yes|fallback-na</x:t>
        </x:is>
      </x:c>
      <x:c r="C21" s="65" t="inlineStr">
        <x:is>
          <x:t xml:space="preserve">Claude Haiku 5.5 (xhigh)</x:t>
        </x:is>
      </x:c>
      <x:c r="D21" s="65" t="inlineStr">
        <x:is>
          <x:t xml:space="preserve">xhigh</x:t>
        </x:is>
      </x:c>
      <x:c r="E21" s="65" t="inlineStr">
        <x:is>
          <x:t xml:space="preserve">Claude Code</x:t>
        </x:is>
      </x:c>
      <x:c r="F21" s="65" t="inlineStr">
        <x:is>
          <x:t xml:space="preserve">Artificial Analysis Coding Agent Index</x:t>
        </x:is>
      </x:c>
      <x:c r="G21" s="65" t="inlineStr">
        <x:is>
          <x:t xml:space="preserve">v1.5</x:t>
        </x:is>
      </x:c>
      <x:c r="H21" s="65" t="inlineStr">
        <x:is>
          <x:t xml:space="preserve">CAI|v1.5</x:t>
        </x:is>
      </x:c>
      <x:c r="I21" s="65" t="n">
        <x:v>41</x:v>
      </x:c>
      <x:c r="J21" s="110" t="n">
        <x:v>0.49</x:v>
      </x:c>
      <x:c r="K21" s="110" t="n">
        <x:v>0.24</x:v>
      </x:c>
      <x:c r="L21" s="110" t="n">
        <x:v>0.52</x:v>
      </x:c>
      <x:c r="M21" s="111" t="n">
        <x:v>0.61</x:v>
      </x:c>
      <x:c r="N21" s="65" t="inlineStr">
        <x:is>
          <x:t xml:space="preserve">$0.61</x:t>
        </x:is>
      </x:c>
      <x:c r="O21" s="65" t="inlineStr">
        <x:is>
          <x:t xml:space="preserve">AA reported average pay-per-token API cost per coding-agent task</x:t>
        </x:is>
      </x:c>
      <x:c r="P21" s="65" t="inlineStr">
        <x:is>
          <x:t xml:space="preserve">25.9m</x:t>
        </x:is>
      </x:c>
      <x:c r="Q21" s="111" t="n">
        <x:v>1554</x:v>
      </x:c>
      <x:c r="R21" s="65" t="inlineStr">
        <x:is>
          <x:t xml:space="preserve">Average agent wall time per task (public comparison label); Coding Agent Index v1.5 efficiency methodology</x:t>
        </x:is>
      </x:c>
      <x:c r="S21" s="65" t="inlineStr">
        <x:is>
          <x:t xml:space="preserve">7.1M</x:t>
        </x:is>
      </x:c>
      <x:c r="T21" s="111" t="n">
        <x:v>7100000</x:v>
      </x:c>
      <x:c r="U21" s="65" t="inlineStr">
        <x:is>
          <x:t xml:space="preserve">Total token usage per coding-agent task as displayed in public variant table</x:t>
        </x:is>
      </x:c>
      <x:c r="V21" s="65" t="n"/>
      <x:c r="W21" s="65" t="n"/>
      <x:c r="X21" s="65" t="n"/>
      <x:c r="Y21" s="65" t="inlineStr">
        <x:is>
          <x:t xml:space="preserve">2026-10-16</x:t>
        </x:is>
      </x:c>
      <x:c r="Z21" s="112" t="inlineStr">
        <x:is>
          <x:t xml:space="preserve">https://artificialanalysis.ai/agents/coding-agents/comparisons/claude-code-vs-muse-code</x:t>
        </x:is>
      </x:c>
      <x:c r="AA21" s="65" t="inlineStr">
        <x:is>
          <x:t xml:space="preserve">Model and effort name match; Claude Code harness; fallback status is not specified on the CAI table</x:t>
        </x:is>
      </x:c>
      <x:c r="AB21" s="65" t="inlineStr">
        <x:is>
          <x:t xml:space="preserve">Agent harness result; test execution date is not disclosed. Score components are retained as published. Model and effort name match; Claude Code harness; fallback status is not specified on the CAI table</x:t>
        </x:is>
      </x:c>
      <x:c r="AC21" t="inlineStr">
        <x:is>
          <x:t xml:space="preserve">DeepSWE</x:t>
        </x:is>
      </x:c>
      <x:c r="AD21" t="inlineStr">
        <x:is>
          <x:t xml:space="preserve">v1.1</x:t>
        </x:is>
      </x:c>
      <x:c r="AE21" t="n">
        <x:v>0.49</x:v>
      </x:c>
      <x:c r="AF21" t="inlineStr">
        <x:is>
          <x:t xml:space="preserve">Terminal-Bench</x:t>
        </x:is>
      </x:c>
      <x:c r="AG21" t="inlineStr">
        <x:is>
          <x:t xml:space="preserve">4.0</x:t>
        </x:is>
      </x:c>
      <x:c r="AH21" t="n">
        <x:v>0.24</x:v>
      </x:c>
      <x:c r="AI21" t="inlineStr">
        <x:is>
          <x:t xml:space="preserve">SWE-Atlas-QnA</x:t>
        </x:is>
      </x:c>
      <x:c r="AK21" t="n">
        <x:v>0.52</x:v>
      </x:c>
    </x:row>
    <x:row r="22">
      <x:c r="A22" s="65" t="inlineStr">
        <x:is>
          <x:t xml:space="preserve">CAI-v1.5|claude-code|anthropic|claude-haiku-5-5|max|2026-10-16</x:t>
        </x:is>
      </x:c>
      <x:c r="B22" s="65" t="inlineStr">
        <x:is>
          <x:t xml:space="preserve">anthropic|claude-haiku-5-5|max|yes|fallback-na</x:t>
        </x:is>
      </x:c>
      <x:c r="C22" s="65" t="inlineStr">
        <x:is>
          <x:t xml:space="preserve">Claude Haiku 5.5 (max)</x:t>
        </x:is>
      </x:c>
      <x:c r="D22" s="65" t="inlineStr">
        <x:is>
          <x:t xml:space="preserve">max</x:t>
        </x:is>
      </x:c>
      <x:c r="E22" s="65" t="inlineStr">
        <x:is>
          <x:t xml:space="preserve">Claude Code</x:t>
        </x:is>
      </x:c>
      <x:c r="F22" s="65" t="inlineStr">
        <x:is>
          <x:t xml:space="preserve">Artificial Analysis Coding Agent Index</x:t>
        </x:is>
      </x:c>
      <x:c r="G22" s="65" t="inlineStr">
        <x:is>
          <x:t xml:space="preserve">v1.5</x:t>
        </x:is>
      </x:c>
      <x:c r="H22" s="65" t="inlineStr">
        <x:is>
          <x:t xml:space="preserve">CAI|v1.5</x:t>
        </x:is>
      </x:c>
      <x:c r="I22" s="65" t="n">
        <x:v>36</x:v>
      </x:c>
      <x:c r="J22" s="110" t="n">
        <x:v>0.46</x:v>
      </x:c>
      <x:c r="K22" s="110" t="n">
        <x:v>0.3</x:v>
      </x:c>
      <x:c r="L22" s="110" t="n">
        <x:v>0.34</x:v>
      </x:c>
      <x:c r="M22" s="111" t="n">
        <x:v>2.58</x:v>
      </x:c>
      <x:c r="N22" s="65" t="inlineStr">
        <x:is>
          <x:t xml:space="preserve">$2.58</x:t>
        </x:is>
      </x:c>
      <x:c r="O22" s="65" t="inlineStr">
        <x:is>
          <x:t xml:space="preserve">AA reported average pay-per-token API cost per coding-agent task</x:t>
        </x:is>
      </x:c>
      <x:c r="P22" s="65" t="inlineStr">
        <x:is>
          <x:t xml:space="preserve">1.5h</x:t>
        </x:is>
      </x:c>
      <x:c r="Q22" s="111" t="n">
        <x:v>5400</x:v>
      </x:c>
      <x:c r="R22" s="65" t="inlineStr">
        <x:is>
          <x:t xml:space="preserve">Average agent wall time per task (public comparison label); Coding Agent Index v1.5 efficiency methodology</x:t>
        </x:is>
      </x:c>
      <x:c r="S22" s="65" t="inlineStr">
        <x:is>
          <x:t xml:space="preserve">13.8M</x:t>
        </x:is>
      </x:c>
      <x:c r="T22" s="111" t="n">
        <x:v>13800000</x:v>
      </x:c>
      <x:c r="U22" s="65" t="inlineStr">
        <x:is>
          <x:t xml:space="preserve">Total token usage per coding-agent task as displayed in public variant table</x:t>
        </x:is>
      </x:c>
      <x:c r="V22" s="65" t="n"/>
      <x:c r="W22" s="65" t="n"/>
      <x:c r="X22" s="65" t="n"/>
      <x:c r="Y22" s="65" t="inlineStr">
        <x:is>
          <x:t xml:space="preserve">2026-10-16</x:t>
        </x:is>
      </x:c>
      <x:c r="Z22" s="112" t="inlineStr">
        <x:is>
          <x:t xml:space="preserve">https://artificialanalysis.ai/agents/coding-agents/comparisons/claude-code-vs-muse-code</x:t>
        </x:is>
      </x:c>
      <x:c r="AA22" s="65" t="inlineStr">
        <x:is>
          <x:t xml:space="preserve">Model and effort name match; Claude Code harness; fallback status is not specified on the CAI table</x:t>
        </x:is>
      </x:c>
      <x:c r="AB22" s="65" t="inlineStr">
        <x:is>
          <x:t xml:space="preserve">Agent harness result; test execution date is not disclosed. Score components are retained as published. Model and effort name match; Claude Code harness; fallback status is not specified on the CAI table</x:t>
        </x:is>
      </x:c>
      <x:c r="AC22" t="inlineStr">
        <x:is>
          <x:t xml:space="preserve">DeepSWE</x:t>
        </x:is>
      </x:c>
      <x:c r="AD22" t="inlineStr">
        <x:is>
          <x:t xml:space="preserve">v1.1</x:t>
        </x:is>
      </x:c>
      <x:c r="AE22" t="n">
        <x:v>0.46</x:v>
      </x:c>
      <x:c r="AF22" t="inlineStr">
        <x:is>
          <x:t xml:space="preserve">Terminal-Bench</x:t>
        </x:is>
      </x:c>
      <x:c r="AG22" t="inlineStr">
        <x:is>
          <x:t xml:space="preserve">4.0</x:t>
        </x:is>
      </x:c>
      <x:c r="AH22" t="n">
        <x:v>0.3</x:v>
      </x:c>
      <x:c r="AI22" t="inlineStr">
        <x:is>
          <x:t xml:space="preserve">SWE-Atlas-QnA</x:t>
        </x:is>
      </x:c>
      <x:c r="AK22" t="n">
        <x:v>0.34</x:v>
      </x:c>
    </x:row>
    <x:row r="23">
      <x:c r="A23" s="65" t="inlineStr">
        <x:is>
          <x:t xml:space="preserve">CAI-v1.5|claude-code|anthropic|claude-haiku-5-5|high|2026-10-16</x:t>
        </x:is>
      </x:c>
      <x:c r="B23" s="65" t="inlineStr">
        <x:is>
          <x:t xml:space="preserve">anthropic|claude-haiku-5-5|high|yes|fallback-na</x:t>
        </x:is>
      </x:c>
      <x:c r="C23" s="65" t="inlineStr">
        <x:is>
          <x:t xml:space="preserve">Claude Haiku 5.5 (high)</x:t>
        </x:is>
      </x:c>
      <x:c r="D23" s="65" t="inlineStr">
        <x:is>
          <x:t xml:space="preserve">high</x:t>
        </x:is>
      </x:c>
      <x:c r="E23" s="65" t="inlineStr">
        <x:is>
          <x:t xml:space="preserve">Claude Code</x:t>
        </x:is>
      </x:c>
      <x:c r="F23" s="65" t="inlineStr">
        <x:is>
          <x:t xml:space="preserve">Artificial Analysis Coding Agent Index</x:t>
        </x:is>
      </x:c>
      <x:c r="G23" s="65" t="inlineStr">
        <x:is>
          <x:t xml:space="preserve">v1.5</x:t>
        </x:is>
      </x:c>
      <x:c r="H23" s="65" t="inlineStr">
        <x:is>
          <x:t xml:space="preserve">CAI|v1.5</x:t>
        </x:is>
      </x:c>
      <x:c r="I23" s="65" t="n">
        <x:v>35</x:v>
      </x:c>
      <x:c r="J23" s="110" t="n">
        <x:v>0.46</x:v>
      </x:c>
      <x:c r="K23" s="110" t="n">
        <x:v>0.13</x:v>
      </x:c>
      <x:c r="L23" s="110" t="n">
        <x:v>0.46</x:v>
      </x:c>
      <x:c r="M23" s="111" t="n">
        <x:v>0.36</x:v>
      </x:c>
      <x:c r="N23" s="65" t="inlineStr">
        <x:is>
          <x:t xml:space="preserve">$0.36</x:t>
        </x:is>
      </x:c>
      <x:c r="O23" s="65" t="inlineStr">
        <x:is>
          <x:t xml:space="preserve">AA reported average pay-per-token API cost per coding-agent task</x:t>
        </x:is>
      </x:c>
      <x:c r="P23" s="65" t="inlineStr">
        <x:is>
          <x:t xml:space="preserve">18.4m</x:t>
        </x:is>
      </x:c>
      <x:c r="Q23" s="111" t="n">
        <x:v>1104</x:v>
      </x:c>
      <x:c r="R23" s="65" t="inlineStr">
        <x:is>
          <x:t xml:space="preserve">Average agent wall time per task (public comparison label); Coding Agent Index v1.5 efficiency methodology</x:t>
        </x:is>
      </x:c>
      <x:c r="S23" s="65" t="inlineStr">
        <x:is>
          <x:t xml:space="preserve">5.1M</x:t>
        </x:is>
      </x:c>
      <x:c r="T23" s="111" t="n">
        <x:v>5100000</x:v>
      </x:c>
      <x:c r="U23" s="65" t="inlineStr">
        <x:is>
          <x:t xml:space="preserve">Total token usage per coding-agent task as displayed in public variant table</x:t>
        </x:is>
      </x:c>
      <x:c r="V23" s="65" t="n"/>
      <x:c r="W23" s="65" t="n"/>
      <x:c r="X23" s="65" t="n"/>
      <x:c r="Y23" s="65" t="inlineStr">
        <x:is>
          <x:t xml:space="preserve">2026-10-16</x:t>
        </x:is>
      </x:c>
      <x:c r="Z23" s="112" t="inlineStr">
        <x:is>
          <x:t xml:space="preserve">https://artificialanalysis.ai/agents/coding-agents/comparisons/claude-code-vs-muse-code</x:t>
        </x:is>
      </x:c>
      <x:c r="AA23" s="65" t="inlineStr">
        <x:is>
          <x:t xml:space="preserve">Model and effort name match; Claude Code harness; fallback status is not specified on the CAI table</x:t>
        </x:is>
      </x:c>
      <x:c r="AB23" s="65" t="inlineStr">
        <x:is>
          <x:t xml:space="preserve">Agent harness result; test execution date is not disclosed. Score components are retained as published. Model and effort name match; Claude Code harness; fallback status is not specified on the CAI table</x:t>
        </x:is>
      </x:c>
      <x:c r="AC23" t="inlineStr">
        <x:is>
          <x:t xml:space="preserve">DeepSWE</x:t>
        </x:is>
      </x:c>
      <x:c r="AD23" t="inlineStr">
        <x:is>
          <x:t xml:space="preserve">v1.1</x:t>
        </x:is>
      </x:c>
      <x:c r="AE23" t="n">
        <x:v>0.46</x:v>
      </x:c>
      <x:c r="AF23" t="inlineStr">
        <x:is>
          <x:t xml:space="preserve">Terminal-Bench</x:t>
        </x:is>
      </x:c>
      <x:c r="AG23" t="inlineStr">
        <x:is>
          <x:t xml:space="preserve">4.0</x:t>
        </x:is>
      </x:c>
      <x:c r="AH23" t="n">
        <x:v>0.13</x:v>
      </x:c>
      <x:c r="AI23" t="inlineStr">
        <x:is>
          <x:t xml:space="preserve">SWE-Atlas-QnA</x:t>
        </x:is>
      </x:c>
      <x:c r="AK23" t="n">
        <x:v>0.46</x:v>
      </x:c>
    </x:row>
    <x:row r="24">
      <x:c r="A24" s="65" t="inlineStr">
        <x:is>
          <x:t xml:space="preserve">CAI-v1.5|claude-code|anthropic|claude-haiku-5-5|medium|2026-10-16</x:t>
        </x:is>
      </x:c>
      <x:c r="B24" s="65" t="inlineStr">
        <x:is>
          <x:t xml:space="preserve">anthropic|claude-haiku-5-5|medium|yes|fallback-na</x:t>
        </x:is>
      </x:c>
      <x:c r="C24" s="65" t="inlineStr">
        <x:is>
          <x:t xml:space="preserve">Claude Haiku 5.5 (medium)</x:t>
        </x:is>
      </x:c>
      <x:c r="D24" s="65" t="inlineStr">
        <x:is>
          <x:t xml:space="preserve">medium</x:t>
        </x:is>
      </x:c>
      <x:c r="E24" s="65" t="inlineStr">
        <x:is>
          <x:t xml:space="preserve">Claude Code</x:t>
        </x:is>
      </x:c>
      <x:c r="F24" s="65" t="inlineStr">
        <x:is>
          <x:t xml:space="preserve">Artificial Analysis Coding Agent Index</x:t>
        </x:is>
      </x:c>
      <x:c r="G24" s="65" t="inlineStr">
        <x:is>
          <x:t xml:space="preserve">v1.5</x:t>
        </x:is>
      </x:c>
      <x:c r="H24" s="65" t="inlineStr">
        <x:is>
          <x:t xml:space="preserve">CAI|v1.5</x:t>
        </x:is>
      </x:c>
      <x:c r="I24" s="65" t="n">
        <x:v>34</x:v>
      </x:c>
      <x:c r="J24" s="110" t="n">
        <x:v>0.47</x:v>
      </x:c>
      <x:c r="K24" s="110" t="n">
        <x:v>0.12</x:v>
      </x:c>
      <x:c r="L24" s="110" t="n">
        <x:v>0.42</x:v>
      </x:c>
      <x:c r="M24" s="111" t="n">
        <x:v>0.23</x:v>
      </x:c>
      <x:c r="N24" s="65" t="inlineStr">
        <x:is>
          <x:t xml:space="preserve">$0.23</x:t>
        </x:is>
      </x:c>
      <x:c r="O24" s="65" t="inlineStr">
        <x:is>
          <x:t xml:space="preserve">AA reported average pay-per-token API cost per coding-agent task</x:t>
        </x:is>
      </x:c>
      <x:c r="P24" s="65" t="inlineStr">
        <x:is>
          <x:t xml:space="preserve">14.0m</x:t>
        </x:is>
      </x:c>
      <x:c r="Q24" s="111" t="n">
        <x:v>840</x:v>
      </x:c>
      <x:c r="R24" s="65" t="inlineStr">
        <x:is>
          <x:t xml:space="preserve">Average agent wall time per task (public comparison label); Coding Agent Index v1.5 efficiency methodology</x:t>
        </x:is>
      </x:c>
      <x:c r="S24" s="65" t="inlineStr">
        <x:is>
          <x:t xml:space="preserve">3.5M</x:t>
        </x:is>
      </x:c>
      <x:c r="T24" s="111" t="n">
        <x:v>3500000</x:v>
      </x:c>
      <x:c r="U24" s="65" t="inlineStr">
        <x:is>
          <x:t xml:space="preserve">Total token usage per coding-agent task as displayed in public variant table</x:t>
        </x:is>
      </x:c>
      <x:c r="V24" s="65" t="n"/>
      <x:c r="W24" s="65" t="n"/>
      <x:c r="X24" s="65" t="n"/>
      <x:c r="Y24" s="65" t="inlineStr">
        <x:is>
          <x:t xml:space="preserve">2026-10-16</x:t>
        </x:is>
      </x:c>
      <x:c r="Z24" s="112" t="inlineStr">
        <x:is>
          <x:t xml:space="preserve">https://artificialanalysis.ai/agents/coding-agents/comparisons/claude-code-vs-muse-code</x:t>
        </x:is>
      </x:c>
      <x:c r="AA24" s="65" t="inlineStr">
        <x:is>
          <x:t xml:space="preserve">Model and effort name match; Claude Code harness; fallback status is not specified on the CAI table</x:t>
        </x:is>
      </x:c>
      <x:c r="AB24" s="65" t="inlineStr">
        <x:is>
          <x:t xml:space="preserve">Agent harness result; test execution date is not disclosed. Score components are retained as published. Model and effort name match; Claude Code harness; fallback status is not specified on the CAI table</x:t>
        </x:is>
      </x:c>
      <x:c r="AC24" t="inlineStr">
        <x:is>
          <x:t xml:space="preserve">DeepSWE</x:t>
        </x:is>
      </x:c>
      <x:c r="AD24" t="inlineStr">
        <x:is>
          <x:t xml:space="preserve">v1.1</x:t>
        </x:is>
      </x:c>
      <x:c r="AE24" t="n">
        <x:v>0.47</x:v>
      </x:c>
      <x:c r="AF24" t="inlineStr">
        <x:is>
          <x:t xml:space="preserve">Terminal-Bench</x:t>
        </x:is>
      </x:c>
      <x:c r="AG24" t="inlineStr">
        <x:is>
          <x:t xml:space="preserve">4.0</x:t>
        </x:is>
      </x:c>
      <x:c r="AH24" t="n">
        <x:v>0.12</x:v>
      </x:c>
      <x:c r="AI24" t="inlineStr">
        <x:is>
          <x:t xml:space="preserve">SWE-Atlas-QnA</x:t>
        </x:is>
      </x:c>
      <x:c r="AK24" t="n">
        <x:v>0.42</x:v>
      </x:c>
    </x:row>
    <x:row r="25">
      <x:c r="A25" s="65" t="inlineStr">
        <x:is>
          <x:t xml:space="preserve">CAI-v1.5|claude-code|anthropic|claude-haiku-5-5|low|2026-10-16</x:t>
        </x:is>
      </x:c>
      <x:c r="B25" s="65" t="inlineStr">
        <x:is>
          <x:t xml:space="preserve">anthropic|claude-haiku-5-5|low|yes|fallback-na</x:t>
        </x:is>
      </x:c>
      <x:c r="C25" s="65" t="inlineStr">
        <x:is>
          <x:t xml:space="preserve">Claude Haiku 5.5 (low)</x:t>
        </x:is>
      </x:c>
      <x:c r="D25" s="65" t="inlineStr">
        <x:is>
          <x:t xml:space="preserve">low</x:t>
        </x:is>
      </x:c>
      <x:c r="E25" s="65" t="inlineStr">
        <x:is>
          <x:t xml:space="preserve">Claude Code</x:t>
        </x:is>
      </x:c>
      <x:c r="F25" s="65" t="inlineStr">
        <x:is>
          <x:t xml:space="preserve">Artificial Analysis Coding Agent Index</x:t>
        </x:is>
      </x:c>
      <x:c r="G25" s="65" t="inlineStr">
        <x:is>
          <x:t xml:space="preserve">v1.5</x:t>
        </x:is>
      </x:c>
      <x:c r="H25" s="65" t="inlineStr">
        <x:is>
          <x:t xml:space="preserve">CAI|v1.5</x:t>
        </x:is>
      </x:c>
      <x:c r="I25" s="65" t="n">
        <x:v>28</x:v>
      </x:c>
      <x:c r="J25" s="110" t="n">
        <x:v>0.45</x:v>
      </x:c>
      <x:c r="K25" s="110" t="n">
        <x:v>0.06</x:v>
      </x:c>
      <x:c r="L25" s="110" t="n">
        <x:v>0.33</x:v>
      </x:c>
      <x:c r="M25" s="111" t="n">
        <x:v>0.14</x:v>
      </x:c>
      <x:c r="N25" s="65" t="inlineStr">
        <x:is>
          <x:t xml:space="preserve">$0.14</x:t>
        </x:is>
      </x:c>
      <x:c r="O25" s="65" t="inlineStr">
        <x:is>
          <x:t xml:space="preserve">AA reported average pay-per-token API cost per coding-agent task</x:t>
        </x:is>
      </x:c>
      <x:c r="P25" s="65" t="inlineStr">
        <x:is>
          <x:t xml:space="preserve">11.6m</x:t>
        </x:is>
      </x:c>
      <x:c r="Q25" s="111" t="n">
        <x:v>696</x:v>
      </x:c>
      <x:c r="R25" s="65" t="inlineStr">
        <x:is>
          <x:t xml:space="preserve">Average agent wall time per task (public comparison label); Coding Agent Index v1.5 efficiency methodology</x:t>
        </x:is>
      </x:c>
      <x:c r="S25" s="65" t="inlineStr">
        <x:is>
          <x:t xml:space="preserve">2.4M</x:t>
        </x:is>
      </x:c>
      <x:c r="T25" s="111" t="n">
        <x:v>2400000</x:v>
      </x:c>
      <x:c r="U25" s="65" t="inlineStr">
        <x:is>
          <x:t xml:space="preserve">Total token usage per coding-agent task as displayed in public variant table</x:t>
        </x:is>
      </x:c>
      <x:c r="V25" s="65" t="n"/>
      <x:c r="W25" s="65" t="n"/>
      <x:c r="X25" s="65" t="n"/>
      <x:c r="Y25" s="65" t="inlineStr">
        <x:is>
          <x:t xml:space="preserve">2026-10-16</x:t>
        </x:is>
      </x:c>
      <x:c r="Z25" s="112" t="inlineStr">
        <x:is>
          <x:t xml:space="preserve">https://artificialanalysis.ai/agents/coding-agents/comparisons/claude-code-vs-muse-code</x:t>
        </x:is>
      </x:c>
      <x:c r="AA25" s="65" t="inlineStr">
        <x:is>
          <x:t xml:space="preserve">Model and effort name match; Claude Code harness; fallback status is not specified on the CAI table</x:t>
        </x:is>
      </x:c>
      <x:c r="AB25" s="65" t="inlineStr">
        <x:is>
          <x:t xml:space="preserve">Agent harness result; test execution date is not disclosed. Score components are retained as published. Model and effort name match; Claude Code harness; fallback status is not specified on the CAI table</x:t>
        </x:is>
      </x:c>
      <x:c r="AC25" t="inlineStr">
        <x:is>
          <x:t xml:space="preserve">DeepSWE</x:t>
        </x:is>
      </x:c>
      <x:c r="AD25" t="inlineStr">
        <x:is>
          <x:t xml:space="preserve">v1.1</x:t>
        </x:is>
      </x:c>
      <x:c r="AE25" t="n">
        <x:v>0.45</x:v>
      </x:c>
      <x:c r="AF25" t="inlineStr">
        <x:is>
          <x:t xml:space="preserve">Terminal-Bench</x:t>
        </x:is>
      </x:c>
      <x:c r="AG25" t="inlineStr">
        <x:is>
          <x:t xml:space="preserve">4.0</x:t>
        </x:is>
      </x:c>
      <x:c r="AH25" t="n">
        <x:v>0.06</x:v>
      </x:c>
      <x:c r="AI25" t="inlineStr">
        <x:is>
          <x:t xml:space="preserve">SWE-Atlas-QnA</x:t>
        </x:is>
      </x:c>
      <x:c r="AK25" t="n">
        <x:v>0.33</x:v>
      </x:c>
    </x:row>
    <x:row r="26">
      <x:c r="A26" s="65" t="inlineStr">
        <x:is>
          <x:t xml:space="preserve">CAI-v1.5|opencode|z-ai|glm-5-3|not stated|2026-10-16</x:t>
        </x:is>
      </x:c>
      <x:c r="B26" s="65" t="inlineStr">
        <x:is>
          <x:t xml:space="preserve">z-ai|glm-5-3|not-stated|reasoning-unknown|fallback-na</x:t>
        </x:is>
      </x:c>
      <x:c r="C26" s="65" t="inlineStr">
        <x:is>
          <x:t xml:space="preserve">GLM-5.3</x:t>
        </x:is>
      </x:c>
      <x:c r="D26" s="65" t="inlineStr">
        <x:is>
          <x:t xml:space="preserve">not stated</x:t>
        </x:is>
      </x:c>
      <x:c r="E26" s="65" t="inlineStr">
        <x:is>
          <x:t xml:space="preserve">OpenCode</x:t>
        </x:is>
      </x:c>
      <x:c r="F26" s="65" t="inlineStr">
        <x:is>
          <x:t xml:space="preserve">Artificial Analysis Coding Agent Index</x:t>
        </x:is>
      </x:c>
      <x:c r="G26" s="65" t="inlineStr">
        <x:is>
          <x:t xml:space="preserve">v1.5</x:t>
        </x:is>
      </x:c>
      <x:c r="H26" s="65" t="inlineStr">
        <x:is>
          <x:t xml:space="preserve">CAI|v1.5</x:t>
        </x:is>
      </x:c>
      <x:c r="I26" s="65" t="n">
        <x:v>54</x:v>
      </x:c>
      <x:c r="J26" s="110" t="n">
        <x:v>0.61</x:v>
      </x:c>
      <x:c r="K26" s="110" t="n">
        <x:v>0.4</x:v>
      </x:c>
      <x:c r="L26" s="110" t="n">
        <x:v>0.59</x:v>
      </x:c>
      <x:c r="M26" s="111" t="n">
        <x:v>4.24</x:v>
      </x:c>
      <x:c r="N26" s="65" t="inlineStr">
        <x:is>
          <x:t xml:space="preserve">$4.24</x:t>
        </x:is>
      </x:c>
      <x:c r="O26" s="65" t="inlineStr">
        <x:is>
          <x:t xml:space="preserve">AA reported average pay-per-token API cost per coding-agent task</x:t>
        </x:is>
      </x:c>
      <x:c r="P26" s="65" t="inlineStr">
        <x:is>
          <x:t xml:space="preserve">48.1m</x:t>
        </x:is>
      </x:c>
      <x:c r="Q26" s="111" t="n">
        <x:v>2886</x:v>
      </x:c>
      <x:c r="R26" s="65" t="inlineStr">
        <x:is>
          <x:t xml:space="preserve">Average agent wall time per task (public comparison label); Coding Agent Index v1.5 efficiency methodology</x:t>
        </x:is>
      </x:c>
      <x:c r="S26" s="65" t="inlineStr">
        <x:is>
          <x:t xml:space="preserve">14.3M</x:t>
        </x:is>
      </x:c>
      <x:c r="T26" s="111" t="n">
        <x:v>14300000</x:v>
      </x:c>
      <x:c r="U26" s="65" t="inlineStr">
        <x:is>
          <x:t xml:space="preserve">Total token usage per coding-agent task as displayed in public variant table</x:t>
        </x:is>
      </x:c>
      <x:c r="V26" s="65" t="n"/>
      <x:c r="W26" s="65" t="n"/>
      <x:c r="X26" s="65" t="n"/>
      <x:c r="Y26" s="65" t="inlineStr">
        <x:is>
          <x:t xml:space="preserve">2026-10-16</x:t>
        </x:is>
      </x:c>
      <x:c r="Z26" s="112" t="inlineStr">
        <x:is>
          <x:t xml:space="preserve">https://artificialanalysis.ai/agents/coding-agents/comparisons/opencode-vs-muse-code</x:t>
        </x:is>
      </x:c>
      <x:c r="AA26" s="65" t="inlineStr">
        <x:is>
          <x:t xml:space="preserve">CAI table does not state an effort level; do not map to AA low or max</x:t>
        </x:is>
      </x:c>
      <x:c r="AB26" s="65" t="inlineStr">
        <x:is>
          <x:t xml:space="preserve">Agent harness result; test execution date is not disclosed. Score components are retained as published. CAI table does not state an effort level; do not map to AA low or max</x:t>
        </x:is>
      </x:c>
      <x:c r="AC26" t="inlineStr">
        <x:is>
          <x:t xml:space="preserve">DeepSWE</x:t>
        </x:is>
      </x:c>
      <x:c r="AD26" t="inlineStr">
        <x:is>
          <x:t xml:space="preserve">v1.1</x:t>
        </x:is>
      </x:c>
      <x:c r="AE26" t="n">
        <x:v>0.61</x:v>
      </x:c>
      <x:c r="AF26" t="inlineStr">
        <x:is>
          <x:t xml:space="preserve">Terminal-Bench</x:t>
        </x:is>
      </x:c>
      <x:c r="AG26" t="inlineStr">
        <x:is>
          <x:t xml:space="preserve">4.0</x:t>
        </x:is>
      </x:c>
      <x:c r="AH26" t="n">
        <x:v>0.4</x:v>
      </x:c>
      <x:c r="AI26" t="inlineStr">
        <x:is>
          <x:t xml:space="preserve">SWE-Atlas-QnA</x:t>
        </x:is>
      </x:c>
      <x:c r="AK26" t="n">
        <x:v>0.59</x:v>
      </x:c>
    </x:row>
    <x:row r="27" s="14" customFormat="1">
      <x:c r="A27" s="65" t="inlineStr">
        <x:is>
          <x:t xml:space="preserve">CAI-v1.5|antigravity-cli|google|gemini-4-argon|not stated|2026-10-16</x:t>
        </x:is>
      </x:c>
      <x:c r="B27" s="65" t="inlineStr">
        <x:is>
          <x:t xml:space="preserve">google|gemini-4-argon|not-stated|reasoning-unknown|fallback-na</x:t>
        </x:is>
      </x:c>
      <x:c r="C27" s="65" t="inlineStr">
        <x:is>
          <x:t xml:space="preserve">Gemini 4 Argon</x:t>
        </x:is>
      </x:c>
      <x:c r="D27" s="65" t="inlineStr">
        <x:is>
          <x:t xml:space="preserve">not stated</x:t>
        </x:is>
      </x:c>
      <x:c r="E27" s="65" t="inlineStr">
        <x:is>
          <x:t xml:space="preserve">Antigravity CLI</x:t>
        </x:is>
      </x:c>
      <x:c r="F27" s="65" t="inlineStr">
        <x:is>
          <x:t xml:space="preserve">Artificial Analysis Coding Agent Index</x:t>
        </x:is>
      </x:c>
      <x:c r="G27" s="65" t="inlineStr">
        <x:is>
          <x:t xml:space="preserve">v1.5</x:t>
        </x:is>
      </x:c>
      <x:c r="H27" s="65" t="inlineStr">
        <x:is>
          <x:t xml:space="preserve">CAI|v1.5</x:t>
        </x:is>
      </x:c>
      <x:c r="I27" s="65" t="n">
        <x:v>64</x:v>
      </x:c>
      <x:c r="J27" s="110" t="n">
        <x:v>0.79</x:v>
      </x:c>
      <x:c r="K27" s="110" t="n">
        <x:v>0.5600000000000001</x:v>
      </x:c>
      <x:c r="L27" s="110" t="n">
        <x:v>0.5600000000000001</x:v>
      </x:c>
      <x:c r="M27" s="111" t="n">
        <x:v>5.84</x:v>
      </x:c>
      <x:c r="N27" s="65" t="inlineStr">
        <x:is>
          <x:t xml:space="preserve">$5.84</x:t>
        </x:is>
      </x:c>
      <x:c r="O27" s="65" t="inlineStr">
        <x:is>
          <x:t xml:space="preserve">AA reported average pay-per-token API cost per coding-agent task</x:t>
        </x:is>
      </x:c>
      <x:c r="P27" s="65" t="inlineStr">
        <x:is>
          <x:t xml:space="preserve">34.5m</x:t>
        </x:is>
      </x:c>
      <x:c r="Q27" s="111" t="n">
        <x:v>2070</x:v>
      </x:c>
      <x:c r="R27" s="65" t="inlineStr">
        <x:is>
          <x:t xml:space="preserve">Average agent wall time per task (public comparison label); Coding Agent Index v1.5 efficiency methodology</x:t>
        </x:is>
      </x:c>
      <x:c r="S27" s="65" t="inlineStr">
        <x:is>
          <x:t xml:space="preserve">13.7M</x:t>
        </x:is>
      </x:c>
      <x:c r="T27" s="111" t="n">
        <x:v>13700000</x:v>
      </x:c>
      <x:c r="U27" s="65" t="inlineStr">
        <x:is>
          <x:t xml:space="preserve">Total token usage per coding-agent task as displayed in public variant table</x:t>
        </x:is>
      </x:c>
      <x:c r="V27" s="65" t="n"/>
      <x:c r="W27" s="65" t="n"/>
      <x:c r="X27" s="65" t="n"/>
      <x:c r="Y27" s="65" t="inlineStr">
        <x:is>
          <x:t xml:space="preserve">2026-10-16</x:t>
        </x:is>
      </x:c>
      <x:c r="Z27" s="112" t="inlineStr">
        <x:is>
          <x:t xml:space="preserve">https://artificialanalysis.ai/agents/coding-agents/comparisons/antigravity-cli-vs-codex</x:t>
        </x:is>
      </x:c>
      <x:c r="AA27" s="65" t="inlineStr">
        <x:is>
          <x:t xml:space="preserve">CAI table does not state an effort level; do not map to AA High</x:t>
        </x:is>
      </x:c>
      <x:c r="AB27" s="65" t="inlineStr">
        <x:is>
          <x:t xml:space="preserve">Agent harness result; test execution date is not disclosed. Score components are retained as published. CAI table does not state an effort level; do not map to AA High</x:t>
        </x:is>
      </x:c>
      <x:c r="AC27" t="inlineStr">
        <x:is>
          <x:t xml:space="preserve">DeepSWE</x:t>
        </x:is>
      </x:c>
      <x:c r="AD27" t="inlineStr">
        <x:is>
          <x:t xml:space="preserve">v1.1</x:t>
        </x:is>
      </x:c>
      <x:c r="AE27" t="n">
        <x:v>0.79</x:v>
      </x:c>
      <x:c r="AF27" t="inlineStr">
        <x:is>
          <x:t xml:space="preserve">Terminal-Bench</x:t>
        </x:is>
      </x:c>
      <x:c r="AG27" t="inlineStr">
        <x:is>
          <x:t xml:space="preserve">4.0</x:t>
        </x:is>
      </x:c>
      <x:c r="AH27" t="n">
        <x:v>0.5600000000000001</x:v>
      </x:c>
      <x:c r="AI27" t="inlineStr">
        <x:is>
          <x:t xml:space="preserve">SWE-Atlas-QnA</x:t>
        </x:is>
      </x:c>
      <x:c r="AK27" t="n">
        <x:v>0.5600000000000001</x:v>
      </x:c>
    </x:row>
    <x:row r="28" s="14" customFormat="1">
      <x:c r="A28" s="65" t="inlineStr">
        <x:is>
          <x:t xml:space="preserve">CAI-v1.5|antigravity-sdk|google|gemini-3-8-flash|high|2026-10-17</x:t>
        </x:is>
      </x:c>
      <x:c r="B28" s="65" t="inlineStr">
        <x:is>
          <x:t xml:space="preserve">google|gemini-3-8-flash|high|reasoning|fallback-na</x:t>
        </x:is>
      </x:c>
      <x:c r="C28" s="65" t="inlineStr">
        <x:is>
          <x:t xml:space="preserve">Gemini 3.8 Flash (high)</x:t>
        </x:is>
      </x:c>
      <x:c r="D28" s="65" t="inlineStr">
        <x:is>
          <x:t xml:space="preserve">high</x:t>
        </x:is>
      </x:c>
      <x:c r="E28" s="65" t="inlineStr">
        <x:is>
          <x:t xml:space="preserve">Antigravity SDK</x:t>
        </x:is>
      </x:c>
      <x:c r="F28" s="65" t="inlineStr">
        <x:is>
          <x:t xml:space="preserve">Artificial Analysis Coding Agent Index</x:t>
        </x:is>
      </x:c>
      <x:c r="G28" s="65" t="inlineStr">
        <x:is>
          <x:t xml:space="preserve">v1.5</x:t>
        </x:is>
      </x:c>
      <x:c r="H28" s="65" t="inlineStr">
        <x:is>
          <x:t xml:space="preserve">CAI|v1.5</x:t>
        </x:is>
      </x:c>
      <x:c r="I28" s="65" t="n">
        <x:v>42</x:v>
      </x:c>
      <x:c r="J28" s="110" t="n">
        <x:v>0.66</x:v>
      </x:c>
      <x:c r="K28" s="110" t="n">
        <x:v>0.15</x:v>
      </x:c>
      <x:c r="L28" s="110" t="n">
        <x:v>0.45</x:v>
      </x:c>
      <x:c r="M28" s="111" t="n">
        <x:v>2.47</x:v>
      </x:c>
      <x:c r="N28" s="65" t="inlineStr">
        <x:is>
          <x:t xml:space="preserve">$2.47</x:t>
        </x:is>
      </x:c>
      <x:c r="O28" s="65" t="inlineStr">
        <x:is>
          <x:t xml:space="preserve">AA reported average pay-per-token API cost per coding-agent task</x:t>
        </x:is>
      </x:c>
      <x:c r="P28" s="65" t="inlineStr">
        <x:is>
          <x:t xml:space="preserve">11.7m</x:t>
        </x:is>
      </x:c>
      <x:c r="Q28" s="111" t="n">
        <x:v>702</x:v>
      </x:c>
      <x:c r="R28" s="65" t="inlineStr">
        <x:is>
          <x:t xml:space="preserve">Average agent wall time per task (public comparison label); Coding Agent Index v1.5 efficiency methodology</x:t>
        </x:is>
      </x:c>
      <x:c r="S28" s="65" t="inlineStr">
        <x:is>
          <x:t xml:space="preserve">13.5M</x:t>
        </x:is>
      </x:c>
      <x:c r="T28" s="111" t="n">
        <x:v>13500000</x:v>
      </x:c>
      <x:c r="U28" s="65" t="inlineStr">
        <x:is>
          <x:t xml:space="preserve">Total token usage per coding-agent task as displayed in public variant table</x:t>
        </x:is>
      </x:c>
      <x:c r="V28" s="65" t="n"/>
      <x:c r="W28" s="65" t="n"/>
      <x:c r="X28" s="65" t="n"/>
      <x:c r="Y28" s="65" t="inlineStr">
        <x:is>
          <x:t xml:space="preserve">2026-10-17</x:t>
        </x:is>
      </x:c>
      <x:c r="Z28" s="112" t="inlineStr">
        <x:is>
          <x:t xml:space="preserve">https://artificialanalysis.ai/agents/coding-agents/comparisons/antigravity-cli-vs-antigravity-sdk</x:t>
        </x:is>
      </x:c>
      <x:c r="AA28" s="65" t="inlineStr">
        <x:is>
          <x:t xml:space="preserve">Exact model family and High effort label; Antigravity SDK harness; test date not published.</x:t>
        </x:is>
      </x:c>
      <x:c r="AB28" s="65" t="inlineStr">
        <x:is>
          <x:t xml:space="preserve">CAI v1.5: DeepSWE v1.1 66%; Terminal-Bench 4.0 15%; SWE-Atlas-QnA 45%.</x:t>
        </x:is>
      </x:c>
      <x:c r="AC28" t="inlineStr">
        <x:is>
          <x:t xml:space="preserve">DeepSWE</x:t>
        </x:is>
      </x:c>
      <x:c r="AD28" t="inlineStr">
        <x:is>
          <x:t xml:space="preserve">v1.1</x:t>
        </x:is>
      </x:c>
      <x:c r="AE28" t="n">
        <x:v>0.66</x:v>
      </x:c>
      <x:c r="AF28" t="inlineStr">
        <x:is>
          <x:t xml:space="preserve">Terminal-Bench</x:t>
        </x:is>
      </x:c>
      <x:c r="AG28" t="inlineStr">
        <x:is>
          <x:t xml:space="preserve">4.0</x:t>
        </x:is>
      </x:c>
      <x:c r="AH28" t="n">
        <x:v>0.15</x:v>
      </x:c>
      <x:c r="AI28" t="inlineStr">
        <x:is>
          <x:t xml:space="preserve">SWE-Atlas-QnA</x:t>
        </x:is>
      </x:c>
      <x:c r="AK28" t="n">
        <x:v>0.45</x:v>
      </x:c>
    </x:row>
    <x:row r="29">
      <x:c r="A29" s="65" t="inlineStr">
        <x:is>
          <x:t xml:space="preserve">CAI-v1.4|gemini-cli|google|gemini-3-1-pro|high|2026-10-17</x:t>
        </x:is>
      </x:c>
      <x:c r="B29" s="65" t="inlineStr">
        <x:is>
          <x:t xml:space="preserve">google|gemini-3-1-pro-preview|high|reasoning|fallback-na</x:t>
        </x:is>
      </x:c>
      <x:c r="C29" s="65" t="inlineStr">
        <x:is>
          <x:t xml:space="preserve">Gemini 3.1 Pro (high)</x:t>
        </x:is>
      </x:c>
      <x:c r="D29" s="65" t="inlineStr">
        <x:is>
          <x:t xml:space="preserve">high</x:t>
        </x:is>
      </x:c>
      <x:c r="E29" s="65" t="inlineStr">
        <x:is>
          <x:t xml:space="preserve">Gemini CLI</x:t>
        </x:is>
      </x:c>
      <x:c r="F29" s="65" t="inlineStr">
        <x:is>
          <x:t xml:space="preserve">Artificial Analysis Coding Agent Index</x:t>
        </x:is>
      </x:c>
      <x:c r="G29" s="65" t="inlineStr">
        <x:is>
          <x:t xml:space="preserve">v1.4</x:t>
        </x:is>
      </x:c>
      <x:c r="H29" s="65" t="inlineStr">
        <x:is>
          <x:t xml:space="preserve">CAI|v1.4</x:t>
        </x:is>
      </x:c>
      <x:c r="I29" s="65" t="n">
        <x:v>33</x:v>
      </x:c>
      <x:c r="J29" s="110" t="n"/>
      <x:c r="K29" s="110" t="n"/>
      <x:c r="L29" s="110" t="n">
        <x:v>0.09</x:v>
      </x:c>
      <x:c r="M29" s="111" t="n">
        <x:v>1.04</x:v>
      </x:c>
      <x:c r="N29" s="65" t="inlineStr">
        <x:is>
          <x:t xml:space="preserve">$1.04</x:t>
        </x:is>
      </x:c>
      <x:c r="O29" s="65" t="inlineStr">
        <x:is>
          <x:t xml:space="preserve">AA reported average pay-per-token API cost per coding-agent task</x:t>
        </x:is>
      </x:c>
      <x:c r="P29" s="65" t="inlineStr">
        <x:is>
          <x:t xml:space="preserve">11.1m</x:t>
        </x:is>
      </x:c>
      <x:c r="Q29" s="111" t="n">
        <x:v>666</x:v>
      </x:c>
      <x:c r="R29" s="65" t="inlineStr">
        <x:is>
          <x:t xml:space="preserve">Average agent wall time per task (public comparison label); Coding Agent Index v1.4 efficiency methodology</x:t>
        </x:is>
      </x:c>
      <x:c r="S29" s="65" t="inlineStr">
        <x:is>
          <x:t xml:space="preserve">4.7M</x:t>
        </x:is>
      </x:c>
      <x:c r="T29" s="111" t="n">
        <x:v>4700000</x:v>
      </x:c>
      <x:c r="U29" s="65" t="inlineStr">
        <x:is>
          <x:t xml:space="preserve">Total token usage per coding-agent task as displayed in public variant table</x:t>
        </x:is>
      </x:c>
      <x:c r="V29" s="65" t="n">
        <x:v>31</x:v>
      </x:c>
      <x:c r="W29" s="65" t="n">
        <x:v>0.87</x:v>
      </x:c>
      <x:c r="X29" s="65" t="n"/>
      <x:c r="Y29" s="65" t="inlineStr">
        <x:is>
          <x:t xml:space="preserve">2026-10-17</x:t>
        </x:is>
      </x:c>
      <x:c r="Z29" s="112" t="inlineStr">
        <x:is>
          <x:t xml:space="preserve">https://artificialanalysis.ai/agents/coding-agents/comparisons/gemini-cli-vs-muse-code</x:t>
        </x:is>
      </x:c>
      <x:c r="AA29" s="65" t="inlineStr">
        <x:is>
          <x:t xml:space="preserve">CAI v1.4 source labels Gemini 3.1 Pro (high); mapped to the Preview model family by name and effort. No v1.5 result found; retain this legacy version separately.</x:t>
        </x:is>
      </x:c>
      <x:c r="AB29" s="65" t="inlineStr">
        <x:is>
          <x:t xml:space="preserve">CAI v1.4 components: DeepSWE 14% (source does not state a sub-version), Terminal-Bench v2.1 76%, SWE-Atlas-QnA 9%. Do not compare directly with CAI v1.5 components.</x:t>
        </x:is>
      </x:c>
      <x:c r="AC29" t="inlineStr">
        <x:is>
          <x:t xml:space="preserve">DeepSWE</x:t>
        </x:is>
      </x:c>
      <x:c r="AD29" t="inlineStr">
        <x:is>
          <x:t xml:space="preserve">not stated</x:t>
        </x:is>
      </x:c>
      <x:c r="AE29" t="n">
        <x:v>0.14</x:v>
      </x:c>
      <x:c r="AF29" t="inlineStr">
        <x:is>
          <x:t xml:space="preserve">Terminal-Bench</x:t>
        </x:is>
      </x:c>
      <x:c r="AG29" t="inlineStr">
        <x:is>
          <x:t xml:space="preserve">v2.1</x:t>
        </x:is>
      </x:c>
      <x:c r="AH29" t="n">
        <x:v>0.76</x:v>
      </x:c>
      <x:c r="AI29" t="inlineStr">
        <x:is>
          <x:t xml:space="preserve">SWE-Atlas-QnA</x:t>
        </x:is>
      </x:c>
      <x:c r="AJ29" t="inlineStr">
        <x:is>
          <x:t xml:space="preserve">not stated</x:t>
        </x:is>
      </x:c>
      <x:c r="AK29" t="n">
        <x:v>0.09</x:v>
      </x:c>
    </x:row>
  </x:sheetData>
  <x:mergeCells>
    <x:mergeCell ref="A1:AK1"/>
  </x:mergeCells>
  <x:hyperlinks>
    <x:hyperlink xmlns:r="http://schemas.openxmlformats.org/officeDocument/2006/relationships" ref="Z3" r:id="R8e51ff0922cb483f"/>
    <x:hyperlink xmlns:r="http://schemas.openxmlformats.org/officeDocument/2006/relationships" ref="Z4" r:id="R7a0747ce39934637"/>
    <x:hyperlink xmlns:r="http://schemas.openxmlformats.org/officeDocument/2006/relationships" ref="Z5" r:id="Rf14d7d57503c4052"/>
    <x:hyperlink xmlns:r="http://schemas.openxmlformats.org/officeDocument/2006/relationships" ref="Z6" r:id="R91f80b083c1b4c29"/>
    <x:hyperlink xmlns:r="http://schemas.openxmlformats.org/officeDocument/2006/relationships" ref="Z7" r:id="R15198f48718b43ae"/>
    <x:hyperlink xmlns:r="http://schemas.openxmlformats.org/officeDocument/2006/relationships" ref="Z8" r:id="R64b0dca5e0fd44ab"/>
    <x:hyperlink xmlns:r="http://schemas.openxmlformats.org/officeDocument/2006/relationships" ref="Z9" r:id="R559868bb8a1341d3"/>
    <x:hyperlink xmlns:r="http://schemas.openxmlformats.org/officeDocument/2006/relationships" ref="Z10" r:id="R11e1359f40cf44d1"/>
    <x:hyperlink xmlns:r="http://schemas.openxmlformats.org/officeDocument/2006/relationships" ref="Z11" r:id="R739873a30f2b4cce"/>
    <x:hyperlink xmlns:r="http://schemas.openxmlformats.org/officeDocument/2006/relationships" ref="Z12" r:id="R37f5ddba41d8483b"/>
    <x:hyperlink xmlns:r="http://schemas.openxmlformats.org/officeDocument/2006/relationships" ref="Z13" r:id="Rfcc8bfcc41e04edf"/>
    <x:hyperlink xmlns:r="http://schemas.openxmlformats.org/officeDocument/2006/relationships" ref="Z14" r:id="R81cb972e000049a5"/>
    <x:hyperlink xmlns:r="http://schemas.openxmlformats.org/officeDocument/2006/relationships" ref="Z15" r:id="Rc4d7b11186df4aac"/>
    <x:hyperlink xmlns:r="http://schemas.openxmlformats.org/officeDocument/2006/relationships" ref="Z16" r:id="Rb2024500be104d93"/>
    <x:hyperlink xmlns:r="http://schemas.openxmlformats.org/officeDocument/2006/relationships" ref="Z17" r:id="Ra29bc279fd6f4239"/>
    <x:hyperlink xmlns:r="http://schemas.openxmlformats.org/officeDocument/2006/relationships" ref="Z18" r:id="Ra6d50c88f0b342c4"/>
    <x:hyperlink xmlns:r="http://schemas.openxmlformats.org/officeDocument/2006/relationships" ref="Z19" r:id="Rd37d3ed3b2d440d2"/>
    <x:hyperlink xmlns:r="http://schemas.openxmlformats.org/officeDocument/2006/relationships" ref="Z20" r:id="Rf9b094f2079d4ca3"/>
    <x:hyperlink xmlns:r="http://schemas.openxmlformats.org/officeDocument/2006/relationships" ref="Z21" r:id="R2ca7f4be761a46c2"/>
    <x:hyperlink xmlns:r="http://schemas.openxmlformats.org/officeDocument/2006/relationships" ref="Z22" r:id="Reba106704c684baf"/>
    <x:hyperlink xmlns:r="http://schemas.openxmlformats.org/officeDocument/2006/relationships" ref="Z23" r:id="R1cf488ee8e794eb8"/>
    <x:hyperlink xmlns:r="http://schemas.openxmlformats.org/officeDocument/2006/relationships" ref="Z24" r:id="Rdee48beeb22f4781"/>
    <x:hyperlink xmlns:r="http://schemas.openxmlformats.org/officeDocument/2006/relationships" ref="Z25" r:id="Rac0481e5d05e4f6d"/>
    <x:hyperlink xmlns:r="http://schemas.openxmlformats.org/officeDocument/2006/relationships" ref="Z26" r:id="R7c9c11efbf0e41ba"/>
    <x:hyperlink xmlns:r="http://schemas.openxmlformats.org/officeDocument/2006/relationships" ref="Z27" r:id="R4d36fe023c3f46bc"/>
  </x:hyperlinks>
  <x:pageMargins left="0.7" right="0.7" top="0.75" bottom="0.75" header="0.3" footer="0.3"/>
  <x:tableParts count="1">
    <x:tablePart xmlns:r="http://schemas.openxmlformats.org/officeDocument/2006/relationships" r:id="Raf42851086bc48b2"/>
  </x:tableParts>
</x:worksheet>
</file>

<file path=xl/worksheets/sheet4.xml><?xml version="1.0" encoding="utf-8"?>
<x:worksheet xmlns:x="http://schemas.openxmlformats.org/spreadsheetml/2006/main">
  <x:sheetViews>
    <x:sheetView showGridLines="0" workbookViewId="0">
      <x:pane ySplit="2" topLeftCell="A3" activePane="bottomLeft" state="frozen"/>
    </x:sheetView>
  </x:sheetViews>
  <x:sheetFormatPr baseColWidth="8" defaultRowHeight="15"/>
  <x:cols>
    <x:col min="1" max="1" width="34" style="14" customWidth="1"/>
    <x:col min="2" max="2" width="16" style="14" customWidth="1"/>
    <x:col min="3" max="3" width="25" style="14" customWidth="1"/>
    <x:col min="4" max="4" width="90" style="14" customWidth="1"/>
    <x:col min="5" max="5" width="60" style="14" customWidth="1"/>
    <x:col min="6" max="6" width="70" style="14" customWidth="1"/>
    <x:col min="7" max="7" width="55" style="14" customWidth="1"/>
  </x:cols>
  <x:sheetData>
    <x:row r="1" s="14" customFormat="1" ht="28" customHeight="1">
      <x:c r="A1" s="108" t="inlineStr">
        <x:is>
          <x:t xml:space="preserve">Coding Agent Index coverage checks · searched online 2026-10-16</x:t>
        </x:is>
      </x:c>
      <x:c r="B1" s="15" t="n"/>
      <x:c r="C1" s="15" t="n"/>
      <x:c r="D1" s="15" t="n"/>
      <x:c r="E1" s="15" t="n"/>
      <x:c r="F1" s="15" t="n"/>
      <x:c r="G1" s="15" t="n"/>
    </x:row>
    <x:row r="2" s="14" customFormat="1" ht="34" customHeight="1">
      <x:c r="A2" s="109" t="inlineStr">
        <x:is>
          <x:t xml:space="preserve">model_or_variant</x:t>
        </x:is>
      </x:c>
      <x:c r="B2" s="109" t="inlineStr">
        <x:is>
          <x:t xml:space="preserve">lookup_date</x:t>
        </x:is>
      </x:c>
      <x:c r="C2" s="109" t="inlineStr">
        <x:is>
          <x:t xml:space="preserve">benchmark_version_checked</x:t>
        </x:is>
      </x:c>
      <x:c r="D2" s="109" t="inlineStr">
        <x:is>
          <x:t xml:space="preserve">direct_pages_checked</x:t>
        </x:is>
      </x:c>
      <x:c r="E2" s="109" t="inlineStr">
        <x:is>
          <x:t xml:space="preserve">search_outcome</x:t>
        </x:is>
      </x:c>
      <x:c r="F2" s="109" t="inlineStr">
        <x:is>
          <x:t xml:space="preserve">workbook_treatment</x:t>
        </x:is>
      </x:c>
      <x:c r="G2" s="109" t="inlineStr">
        <x:is>
          <x:t xml:space="preserve">recheck_rule</x:t>
        </x:is>
      </x:c>
    </x:row>
    <x:row r="3">
      <x:c r="A3" s="65" t="inlineStr">
        <x:is>
          <x:t xml:space="preserve">MiMo-V2.6-Pro; MiMo-V2.6-Flash</x:t>
        </x:is>
      </x:c>
      <x:c r="B3" s="65" t="inlineStr">
        <x:is>
          <x:t xml:space="preserve">2026-10-16</x:t>
        </x:is>
      </x:c>
      <x:c r="C3" s="65" t="inlineStr">
        <x:is>
          <x:t xml:space="preserve">Coding Agent Index v1.5</x:t>
        </x:is>
      </x:c>
      <x:c r="D3" s="65" t="inlineStr">
        <x:is>
          <x:t xml:space="preserve">https://artificialanalysis.ai/agents/coding-agents; official CAI comparison-page search for MiMo returned no indexed results. Also checked public Codex/Muse, Claude/Muse, OpenCode/Muse, and Antigravity/Codex comparison tables.</x:t>
        </x:is>
      </x:c>
      <x:c r="E3" s="65" t="inlineStr">
        <x:is>
          <x:t xml:space="preserve">No public CAI result found in checked sources.</x:t>
        </x:is>
      </x:c>
      <x:c r="F3" s="65" t="inlineStr">
        <x:is>
          <x:t xml:space="preserve">Keep CAI score/time/cost blank; retain current AA Intelligence records independently.</x:t>
        </x:is>
      </x:c>
      <x:c r="G3" s="65" t="inlineStr">
        <x:is>
          <x:t xml:space="preserve">Recheck official index and comparisons on each AInventory refresh.</x:t>
        </x:is>
      </x:c>
    </x:row>
    <x:row r="4">
      <x:c r="A4" s="65" t="inlineStr">
        <x:is>
          <x:t xml:space="preserve">GLM-5.3-Flash</x:t>
        </x:is>
      </x:c>
      <x:c r="B4" s="65" t="inlineStr">
        <x:is>
          <x:t xml:space="preserve">2026-10-16</x:t>
        </x:is>
      </x:c>
      <x:c r="C4" s="65" t="inlineStr">
        <x:is>
          <x:t xml:space="preserve">Coding Agent Index v1.5</x:t>
        </x:is>
      </x:c>
      <x:c r="D4" s="65" t="inlineStr">
        <x:is>
          <x:t xml:space="preserve">https://artificialanalysis.ai/agents/coding-agents; official comparison-page search for GLM-5.3 Flash; Codex/Claude/OpenCode/Antigravity public tables.</x:t>
        </x:is>
      </x:c>
      <x:c r="E4" s="65" t="inlineStr">
        <x:is>
          <x:t xml:space="preserve">No exact Flash row found. OpenCode comparison reports GLM-5.3 with effort unstated.</x:t>
        </x:is>
      </x:c>
      <x:c r="F4" s="65" t="inlineStr">
        <x:is>
          <x:t xml:space="preserve">Record GLM-5.3 row as a separate effort-unstated configuration; do not map to Flash or AA low/max.</x:t>
        </x:is>
      </x:c>
      <x:c r="G4" s="65" t="inlineStr">
        <x:is>
          <x:t xml:space="preserve">Recheck official index and comparisons on each AInventory refresh.</x:t>
        </x:is>
      </x:c>
    </x:row>
    <x:row r="5">
      <x:c r="A5" s="65" t="inlineStr">
        <x:is>
          <x:t xml:space="preserve">GPT-6.1 Astra; GPT-6.1 Terra</x:t>
        </x:is>
      </x:c>
      <x:c r="B5" s="65" t="inlineStr">
        <x:is>
          <x:t xml:space="preserve">2026-10-16</x:t>
        </x:is>
      </x:c>
      <x:c r="C5" s="65" t="inlineStr">
        <x:is>
          <x:t xml:space="preserve">Coding Agent Index v1.5</x:t>
        </x:is>
      </x:c>
      <x:c r="D5" s="65" t="inlineStr">
        <x:is>
          <x:t xml:space="preserve">https://artificialanalysis.ai/agents/coding-agents; public Codex/Muse and Antigravity/Codex comparisons.</x:t>
        </x:is>
      </x:c>
      <x:c r="E5" s="65" t="inlineStr">
        <x:is>
          <x:t xml:space="preserve">No exact rows found. Public table has GPT-6 Astra (max), GPT-6.1 Sol levels, and GPT-6 Luna (max); no Terra result.</x:t>
        </x:is>
      </x:c>
      <x:c r="F5" s="65" t="inlineStr">
        <x:is>
          <x:t xml:space="preserve">Keep GPT-6 Astra max separate from GPT-6.1 Astra; no invented Terra row.</x:t>
        </x:is>
      </x:c>
      <x:c r="G5" s="65" t="inlineStr">
        <x:is>
          <x:t xml:space="preserve">Recheck official index and comparisons on each AInventory refresh.</x:t>
        </x:is>
      </x:c>
    </x:row>
    <x:row r="6">
      <x:c r="A6" s="65" t="inlineStr">
        <x:is>
          <x:t xml:space="preserve">DeepSeek V4.1 Flash</x:t>
        </x:is>
      </x:c>
      <x:c r="B6" s="65" t="inlineStr">
        <x:is>
          <x:t xml:space="preserve">2026-10-16</x:t>
        </x:is>
      </x:c>
      <x:c r="C6" s="65" t="inlineStr">
        <x:is>
          <x:t xml:space="preserve">Coding Agent Index v1.5</x:t>
        </x:is>
      </x:c>
      <x:c r="D6" s="65" t="inlineStr">
        <x:is>
          <x:t xml:space="preserve">https://artificialanalysis.ai/agents/coding-agents; public Codex/Muse comparison table.</x:t>
        </x:is>
      </x:c>
      <x:c r="E6" s="65" t="inlineStr">
        <x:is>
          <x:t xml:space="preserve">No exact V4.1 Flash row; older DeepSeek V4 Flash 0731 (max) is present.</x:t>
        </x:is>
      </x:c>
      <x:c r="F6" s="65" t="inlineStr">
        <x:is>
          <x:t xml:space="preserve">Added older release as separate catalog model and variant; no merge to V4.1 Flash.</x:t>
        </x:is>
      </x:c>
      <x:c r="G6" s="65" t="inlineStr">
        <x:is>
          <x:t xml:space="preserve">Recheck official index and comparisons on each AInventory refresh.</x:t>
        </x:is>
      </x:c>
    </x:row>
    <x:row r="7" s="14" customFormat="1">
      <x:c r="A7" s="65" t="inlineStr">
        <x:is>
          <x:t xml:space="preserve">Claude Opus 5.5 low/medium/high/xhigh</x:t>
        </x:is>
      </x:c>
      <x:c r="B7" s="65" t="inlineStr">
        <x:is>
          <x:t xml:space="preserve">2026-10-16</x:t>
        </x:is>
      </x:c>
      <x:c r="C7" s="65" t="inlineStr">
        <x:is>
          <x:t xml:space="preserve">Coding Agent Index v1.5</x:t>
        </x:is>
      </x:c>
      <x:c r="D7" s="65" t="inlineStr">
        <x:is>
          <x:t xml:space="preserve">https://artificialanalysis.ai/agents/coding-agents/comparisons/claude-code-vs-muse-code</x:t>
        </x:is>
      </x:c>
      <x:c r="E7" s="65" t="inlineStr">
        <x:is>
          <x:t xml:space="preserve">Only Opus 5.5 (max) is listed in the checked model-variant table.</x:t>
        </x:is>
      </x:c>
      <x:c r="F7" s="65" t="inlineStr">
        <x:is>
          <x:t xml:space="preserve">Record only the observed max row; leave other effort levels absent.</x:t>
        </x:is>
      </x:c>
      <x:c r="G7" s="65" t="inlineStr">
        <x:is>
          <x:t xml:space="preserve">Recheck the model-variant table on each AInventory refresh.</x:t>
        </x:is>
      </x:c>
    </x:row>
    <x:row r="8" s="14" customFormat="1">
      <x:c r="A8" s="65" t="inlineStr">
        <x:is>
          <x:t xml:space="preserve">Gemini 3.8 Flash Low / Medium</x:t>
        </x:is>
      </x:c>
      <x:c r="B8" s="65" t="inlineStr">
        <x:is>
          <x:t xml:space="preserve">2026-10-17</x:t>
        </x:is>
      </x:c>
      <x:c r="C8" s="65" t="inlineStr">
        <x:is>
          <x:t xml:space="preserve">Coding Agent Index v1.5</x:t>
        </x:is>
      </x:c>
      <x:c r="D8" s="65" t="inlineStr">
        <x:is>
          <x:t xml:space="preserve">https://artificialanalysis.ai/agents/coding-agents; https://artificialanalysis.ai/agents/coding-agents/comparisons/antigravity-cli-vs-antigravity-sdk; https://artificialanalysis.ai/agents/coding-agents/comparisons/antigravity-sdk-vs-opencode</x:t>
        </x:is>
      </x:c>
      <x:c r="E8" s="65" t="inlineStr">
        <x:is>
          <x:t xml:space="preserve">Official current v1.5 variant tables show Gemini 3.8 Flash (high) under Antigravity SDK; no exact Low or Medium row found.</x:t>
        </x:is>
      </x:c>
      <x:c r="F8" s="65" t="inlineStr">
        <x:is>
          <x:t xml:space="preserve">Keep the high Antigravity SDK observation only; do not infer coding-agent effort scores for Low/Medium.</x:t>
        </x:is>
      </x:c>
      <x:c r="G8" s="65" t="inlineStr">
        <x:is>
          <x:t xml:space="preserve">Recheck official index and comparisons on each AInventory refresh.</x:t>
        </x:is>
      </x:c>
    </x:row>
    <x:row r="9" s="14" customFormat="1">
      <x:c r="A9" s="65" t="inlineStr">
        <x:is>
          <x:t xml:space="preserve">Gemini 3.1 Pro High (v1.5 check)</x:t>
        </x:is>
      </x:c>
      <x:c r="B9" s="65" t="inlineStr">
        <x:is>
          <x:t xml:space="preserve">2026-10-17</x:t>
        </x:is>
      </x:c>
      <x:c r="C9" s="65" t="inlineStr">
        <x:is>
          <x:t xml:space="preserve">Coding Agent Index v1.5</x:t>
        </x:is>
      </x:c>
      <x:c r="D9" s="65" t="inlineStr">
        <x:is>
          <x:t xml:space="preserve">https://artificialanalysis.ai/agents/coding-agents; https://artificialanalysis.ai/agents/coding-agents/comparisons/gemini-cli-vs-muse-code; https://artificialanalysis.ai/agents/coding-agents/comparisons/gemini-cli-vs-codex</x:t>
        </x:is>
      </x:c>
      <x:c r="E9" s="65" t="inlineStr">
        <x:is>
          <x:t xml:space="preserve">No official Gemini 3.1 Pro row in v1.5 pages searched. Official Gemini CLI comparisons expose a separate v1.4 High result.</x:t>
        </x:is>
      </x:c>
      <x:c r="F9" s="65" t="inlineStr">
        <x:is>
          <x:t xml:space="preserve">Store the v1.4 row as historical only; do not map its components to v1.5 or assume the preview suffix.</x:t>
        </x:is>
      </x:c>
      <x:c r="G9" s="65" t="inlineStr">
        <x:is>
          <x:t xml:space="preserve">Recheck official index and comparisons on each AInventory refresh.</x:t>
        </x:is>
      </x:c>
    </x:row>
    <x:row r="10">
      <x:c r="A10" s="65" t="inlineStr">
        <x:is>
          <x:t xml:space="preserve">Gemini 3.5 Flash High</x:t>
        </x:is>
      </x:c>
      <x:c r="B10" s="65" t="inlineStr">
        <x:is>
          <x:t xml:space="preserve">2026-10-17</x:t>
        </x:is>
      </x:c>
      <x:c r="C10" s="65" t="inlineStr">
        <x:is>
          <x:t xml:space="preserve">Coding Agent Index v1.5</x:t>
        </x:is>
      </x:c>
      <x:c r="D10" s="65" t="inlineStr">
        <x:is>
          <x:t xml:space="preserve">https://artificialanalysis.ai/agents/coding-agents; official CAI comparison-page searches for Gemini 3.5 Flash</x:t>
        </x:is>
      </x:c>
      <x:c r="E10" s="65" t="inlineStr">
        <x:is>
          <x:t xml:space="preserve">No exact official public CAI model-variant result found; general model Coding Index results are not CAI.</x:t>
        </x:is>
      </x:c>
      <x:c r="F10" s="65" t="inlineStr">
        <x:is>
          <x:t xml:space="preserve">Leave CAI score/cost/time/tokens blank; retain the historical AA row in workbook only.</x:t>
        </x:is>
      </x:c>
      <x:c r="G10" s="65" t="inlineStr">
        <x:is>
          <x:t xml:space="preserve">Recheck official index and comparisons on each AInventory refresh.</x:t>
        </x:is>
      </x:c>
    </x:row>
  </x:sheetData>
  <x:mergeCells>
    <x:mergeCell ref="A1:G1"/>
  </x:mergeCells>
  <x:pageMargins left="0.7" right="0.7" top="0.75" bottom="0.75" header="0.3" footer="0.3"/>
  <x:tableParts count="1">
    <x:tablePart xmlns:r="http://schemas.openxmlformats.org/officeDocument/2006/relationships" r:id="Rcecfbbfab7c245f2"/>
  </x:tableParts>
</x:worksheet>
</file>

<file path=xl/worksheets/sheet5.xml><?xml version="1.0" encoding="utf-8"?>
<x:worksheet xmlns:x="http://schemas.openxmlformats.org/spreadsheetml/2006/main">
  <x:sheetPr>
    <x:tabColor rgb="FF1F4E78"/>
  </x:sheetPr>
  <x:sheetViews>
    <x:sheetView showGridLines="0" workbookViewId="0">
      <x:pane ySplit="4" topLeftCell="A5" activePane="bottomLeft" state="frozen"/>
    </x:sheetView>
  </x:sheetViews>
  <x:sheetFormatPr baseColWidth="8" defaultRowHeight="15"/>
  <x:cols>
    <x:col min="1" max="1" width="29" style="14" customWidth="1"/>
    <x:col min="2" max="2" width="27" style="14" customWidth="1"/>
    <x:col min="3" max="3" width="32" style="14" customWidth="1"/>
    <x:col min="4" max="4" width="39" style="14" customWidth="1"/>
    <x:col min="5" max="5" width="40" style="14" customWidth="1"/>
    <x:col min="6" max="6" width="55" style="14" customWidth="1"/>
    <x:col min="7" max="7" width="72" style="14" customWidth="1"/>
    <x:col min="8" max="8" width="82" style="14" customWidth="1"/>
    <x:col min="9" max="9" width="15" style="14" customWidth="1"/>
  </x:cols>
  <x:sheetData>
    <x:row r="1" s="14" customFormat="1" ht="28" customHeight="1">
      <x:c r="A1" s="113" t="inlineStr">
        <x:is>
          <x:t xml:space="preserve">Coding Agent Index coverage audit · checked 2026-10-17</x:t>
        </x:is>
      </x:c>
      <x:c r="B1" s="15" t="n"/>
      <x:c r="C1" s="15" t="n"/>
      <x:c r="D1" s="15" t="n"/>
      <x:c r="E1" s="15" t="n"/>
      <x:c r="F1" s="15" t="n"/>
      <x:c r="G1" s="15" t="n"/>
      <x:c r="H1" s="15" t="n"/>
      <x:c r="I1" s="15" t="n"/>
    </x:row>
    <x:row r="2" s="14" customFormat="1" ht="42" customHeight="1">
      <x:c r="A2" s="114" t="inlineStr">
        <x:is>
          <x:t xml:space="preserve">Full live-index coverage audit: 18 Explorer model families plus workbook-only Gemini 3.5 Flash; 42 unique current index rows scanned. All 26 current v1.5 observations and their published scores, components, costs, times, and token means matched. One Gemini 3.1 Pro High result is historical v1.4 and remains separate. Hybrid agent rows are not assigned to single-model results.</x:t>
        </x:is>
      </x:c>
      <x:c r="B2" s="15" t="n"/>
      <x:c r="C2" s="15" t="n"/>
      <x:c r="D2" s="15" t="n"/>
      <x:c r="E2" s="15" t="n"/>
      <x:c r="F2" s="15" t="n"/>
      <x:c r="G2" s="15" t="n"/>
      <x:c r="H2" s="15" t="n"/>
      <x:c r="I2" s="15" t="n"/>
    </x:row>
    <x:row r="4" s="14" customFormat="1" ht="34" customHeight="1">
      <x:c r="A4" s="115" t="inlineStr">
        <x:is>
          <x:t xml:space="preserve">Model family</x:t>
        </x:is>
      </x:c>
      <x:c r="B4" s="115" t="inlineStr">
        <x:is>
          <x:t xml:space="preserve">Scope</x:t>
        </x:is>
      </x:c>
      <x:c r="C4" s="115" t="inlineStr">
        <x:is>
          <x:t xml:space="preserve">AA effort levels in list</x:t>
        </x:is>
      </x:c>
      <x:c r="D4" s="115" t="inlineStr">
        <x:is>
          <x:t xml:space="preserve">CAI v1.5 finding(s)</x:t>
        </x:is>
      </x:c>
      <x:c r="E4" s="115" t="inlineStr">
        <x:is>
          <x:t xml:space="preserve">CAI v1.5 exact effort levels not found / unresolved</x:t>
        </x:is>
      </x:c>
      <x:c r="F4" s="115" t="inlineStr">
        <x:is>
          <x:t xml:space="preserve">Historical or hybrid findings kept separate</x:t>
        </x:is>
      </x:c>
      <x:c r="G4" s="115" t="inlineStr">
        <x:is>
          <x:t xml:space="preserve">Outcome / workbook treatment</x:t>
        </x:is>
      </x:c>
      <x:c r="H4" s="115" t="inlineStr">
        <x:is>
          <x:t xml:space="preserve">Official sources checked</x:t>
        </x:is>
      </x:c>
      <x:c r="I4" s="115" t="inlineStr">
        <x:is>
          <x:t xml:space="preserve">Checked on</x:t>
        </x:is>
      </x:c>
    </x:row>
    <x:row r="5" s="14" customFormat="1" ht="78" customHeight="1">
      <x:c r="A5" s="116" t="inlineStr">
        <x:is>
          <x:t xml:space="preserve">DeepSeek V4.1 Flash</x:t>
        </x:is>
      </x:c>
      <x:c r="B5" s="116" t="inlineStr">
        <x:is>
          <x:t xml:space="preserve">Explorer</x:t>
        </x:is>
      </x:c>
      <x:c r="C5" s="116" t="inlineStr">
        <x:is>
          <x:t xml:space="preserve">non-reasoning, max</x:t>
        </x:is>
      </x:c>
      <x:c r="D5" s="116" t="inlineStr">
        <x:is>
          <x:t xml:space="preserve">None</x:t>
        </x:is>
      </x:c>
      <x:c r="E5" s="116" t="inlineStr">
        <x:is>
          <x:t xml:space="preserve">non-reasoning, max</x:t>
        </x:is>
      </x:c>
      <x:c r="F5" s="116" t="inlineStr">
        <x:is>
          <x:t xml:space="preserve">None</x:t>
        </x:is>
      </x:c>
      <x:c r="G5" s="116" t="inlineStr">
        <x:is>
          <x:t xml:space="preserve">No exact current-release CAI row in the full index. DeepSeek V4 Flash 0731 (max) is a different, older release.
Keep current V4.1 Flash CAI fields blank; retain older V4 Flash 0731 as a separate finding.</x:t>
        </x:is>
      </x:c>
      <x:c r="H5" s="116" t="inlineStr">
        <x:is>
          <x:t xml:space="preserve">https://artificialanalysis.ai/agents/coding-agents
https://artificialanalysis.ai/agents/coding-agents/comparisons/codex-vs-muse-code</x:t>
        </x:is>
      </x:c>
      <x:c r="I5" s="116" t="inlineStr">
        <x:is>
          <x:t xml:space="preserve">2026-10-17</x:t>
        </x:is>
      </x:c>
    </x:row>
    <x:row r="6" s="14" customFormat="1" ht="78" customHeight="1">
      <x:c r="A6" s="117" t="inlineStr">
        <x:is>
          <x:t xml:space="preserve">DeepSeek V4 Pro 0813</x:t>
        </x:is>
      </x:c>
      <x:c r="B6" s="117" t="inlineStr">
        <x:is>
          <x:t xml:space="preserve">Explorer</x:t>
        </x:is>
      </x:c>
      <x:c r="C6" s="117" t="inlineStr">
        <x:is>
          <x:t xml:space="preserve">non-reasoning, max</x:t>
        </x:is>
      </x:c>
      <x:c r="D6" s="117" t="inlineStr">
        <x:is>
          <x:t xml:space="preserve">max</x:t>
        </x:is>
      </x:c>
      <x:c r="E6" s="117" t="inlineStr">
        <x:is>
          <x:t xml:space="preserve">non-reasoning</x:t>
        </x:is>
      </x:c>
      <x:c r="F6" s="117" t="inlineStr">
        <x:is>
          <x:t xml:space="preserve">None</x:t>
        </x:is>
      </x:c>
      <x:c r="G6" s="117" t="inlineStr">
        <x:is>
          <x:t xml:space="preserve">Exact CAI v1.5 Codex row found for DeepSeek V4 Pro 0813 (max).
Keep max as its exact finding; do not infer non-reasoning.</x:t>
        </x:is>
      </x:c>
      <x:c r="H6" s="117" t="inlineStr">
        <x:is>
          <x:t xml:space="preserve">https://artificialanalysis.ai/agents/coding-agents
https://artificialanalysis.ai/agents/coding-agents/comparisons/codex-vs-muse-code</x:t>
        </x:is>
      </x:c>
      <x:c r="I6" s="117" t="inlineStr">
        <x:is>
          <x:t xml:space="preserve">2026-10-17</x:t>
        </x:is>
      </x:c>
    </x:row>
    <x:row r="7" s="14" customFormat="1" ht="78" customHeight="1">
      <x:c r="A7" s="116" t="inlineStr">
        <x:is>
          <x:t xml:space="preserve">GLM-5.3-Flash</x:t>
        </x:is>
      </x:c>
      <x:c r="B7" s="116" t="inlineStr">
        <x:is>
          <x:t xml:space="preserve">Explorer</x:t>
        </x:is>
      </x:c>
      <x:c r="C7" s="116" t="inlineStr">
        <x:is>
          <x:t xml:space="preserve">reasoning</x:t>
        </x:is>
      </x:c>
      <x:c r="D7" s="116" t="inlineStr">
        <x:is>
          <x:t xml:space="preserve">None</x:t>
        </x:is>
      </x:c>
      <x:c r="E7" s="116" t="inlineStr">
        <x:is>
          <x:t xml:space="preserve">reasoning</x:t>
        </x:is>
      </x:c>
      <x:c r="F7" s="116" t="inlineStr">
        <x:is>
          <x:t xml:space="preserve">None</x:t>
        </x:is>
      </x:c>
      <x:c r="G7" s="116" t="inlineStr">
        <x:is>
          <x:t xml:space="preserve">No exact GLM-5.3-Flash row. GLM-5.3 (effort not stated) is a distinct model.
Do not map the GLM-5.3 row to Flash or to the AA reasoning variant.</x:t>
        </x:is>
      </x:c>
      <x:c r="H7" s="116" t="inlineStr">
        <x:is>
          <x:t xml:space="preserve">https://artificialanalysis.ai/agents/coding-agents
https://artificialanalysis.ai/agents/coding-agents/comparisons/opencode-vs-muse-code</x:t>
        </x:is>
      </x:c>
      <x:c r="I7" s="116" t="inlineStr">
        <x:is>
          <x:t xml:space="preserve">2026-10-17</x:t>
        </x:is>
      </x:c>
    </x:row>
    <x:row r="8" s="14" customFormat="1" ht="78" customHeight="1">
      <x:c r="A8" s="117" t="inlineStr">
        <x:is>
          <x:t xml:space="preserve">GLM-5.3</x:t>
        </x:is>
      </x:c>
      <x:c r="B8" s="117" t="inlineStr">
        <x:is>
          <x:t xml:space="preserve">Explorer</x:t>
        </x:is>
      </x:c>
      <x:c r="C8" s="117" t="inlineStr">
        <x:is>
          <x:t xml:space="preserve">low, max</x:t>
        </x:is>
      </x:c>
      <x:c r="D8" s="117" t="inlineStr">
        <x:is>
          <x:t xml:space="preserve">not stated</x:t>
        </x:is>
      </x:c>
      <x:c r="E8" s="117" t="inlineStr">
        <x:is>
          <x:t xml:space="preserve">low, max</x:t>
        </x:is>
      </x:c>
      <x:c r="F8" s="117" t="inlineStr">
        <x:is>
          <x:t xml:space="preserve">None</x:t>
        </x:is>
      </x:c>
      <x:c r="G8" s="117" t="inlineStr">
        <x:is>
          <x:t xml:space="preserve">Exact model row found under OpenCode, but the public CAI model field does not state effort.
Retain an effort-not-stated result separately; do not assign it to Low or Max.</x:t>
        </x:is>
      </x:c>
      <x:c r="H8" s="117" t="inlineStr">
        <x:is>
          <x:t xml:space="preserve">https://artificialanalysis.ai/agents/coding-agents
https://artificialanalysis.ai/agents/coding-agents/comparisons/opencode-vs-muse-code</x:t>
        </x:is>
      </x:c>
      <x:c r="I8" s="117" t="inlineStr">
        <x:is>
          <x:t xml:space="preserve">2026-10-17</x:t>
        </x:is>
      </x:c>
    </x:row>
    <x:row r="9" s="14" customFormat="1" ht="78" customHeight="1">
      <x:c r="A9" s="116" t="inlineStr">
        <x:is>
          <x:t xml:space="preserve">GPT-6 Luna</x:t>
        </x:is>
      </x:c>
      <x:c r="B9" s="116" t="inlineStr">
        <x:is>
          <x:t xml:space="preserve">Explorer</x:t>
        </x:is>
      </x:c>
      <x:c r="C9" s="116" t="inlineStr">
        <x:is>
          <x:t xml:space="preserve">non-reasoning, low, medium, high, xhigh, max</x:t>
        </x:is>
      </x:c>
      <x:c r="D9" s="116" t="inlineStr">
        <x:is>
          <x:t xml:space="preserve">max</x:t>
        </x:is>
      </x:c>
      <x:c r="E9" s="116" t="inlineStr">
        <x:is>
          <x:t xml:space="preserve">non-reasoning, low, medium, high, xhigh</x:t>
        </x:is>
      </x:c>
      <x:c r="F9" s="116" t="inlineStr">
        <x:is>
          <x:t xml:space="preserve">None</x:t>
        </x:is>
      </x:c>
      <x:c r="G9" s="116" t="inlineStr">
        <x:is>
          <x:t xml:space="preserve">Exact CAI v1.5 Codex row found for GPT-6 Luna (max).
Keep the max-only result; other listed efforts remain missing.</x:t>
        </x:is>
      </x:c>
      <x:c r="H9" s="116" t="inlineStr">
        <x:is>
          <x:t xml:space="preserve">https://artificialanalysis.ai/agents/coding-agents
https://artificialanalysis.ai/agents/coding-agents/comparisons/codex-vs-muse-code</x:t>
        </x:is>
      </x:c>
      <x:c r="I9" s="116" t="inlineStr">
        <x:is>
          <x:t xml:space="preserve">2026-10-17</x:t>
        </x:is>
      </x:c>
    </x:row>
    <x:row r="10" s="14" customFormat="1" ht="78" customHeight="1">
      <x:c r="A10" s="117" t="inlineStr">
        <x:is>
          <x:t xml:space="preserve">Claude Haiku 5.5</x:t>
        </x:is>
      </x:c>
      <x:c r="B10" s="117" t="inlineStr">
        <x:is>
          <x:t xml:space="preserve">Explorer</x:t>
        </x:is>
      </x:c>
      <x:c r="C10" s="117" t="inlineStr">
        <x:is>
          <x:t xml:space="preserve">low, medium, high, xhigh, max</x:t>
        </x:is>
      </x:c>
      <x:c r="D10" s="117" t="inlineStr">
        <x:is>
          <x:t xml:space="preserve">low, medium, high, xhigh, max</x:t>
        </x:is>
      </x:c>
      <x:c r="E10" s="117" t="inlineStr">
        <x:is>
          <x:t xml:space="preserve">None</x:t>
        </x:is>
      </x:c>
      <x:c r="F10" s="117" t="inlineStr">
        <x:is>
          <x:t xml:space="preserve">None</x:t>
        </x:is>
      </x:c>
      <x:c r="G10" s="117" t="inlineStr">
        <x:is>
          <x:t xml:space="preserve">Exact Claude Code v1.5 rows found at all five listed reasoning efforts.
Retain all five exact effort matches.</x:t>
        </x:is>
      </x:c>
      <x:c r="H10" s="117" t="inlineStr">
        <x:is>
          <x:t xml:space="preserve">https://artificialanalysis.ai/agents/coding-agents
https://artificialanalysis.ai/agents/coding-agents/comparisons/claude-code-vs-muse-code</x:t>
        </x:is>
      </x:c>
      <x:c r="I10" s="117" t="inlineStr">
        <x:is>
          <x:t xml:space="preserve">2026-10-17</x:t>
        </x:is>
      </x:c>
    </x:row>
    <x:row r="11" s="14" customFormat="1" ht="78" customHeight="1">
      <x:c r="A11" s="116" t="inlineStr">
        <x:is>
          <x:t xml:space="preserve">MiMo-V2.6-Pro</x:t>
        </x:is>
      </x:c>
      <x:c r="B11" s="116" t="inlineStr">
        <x:is>
          <x:t xml:space="preserve">Explorer</x:t>
        </x:is>
      </x:c>
      <x:c r="C11" s="116" t="inlineStr">
        <x:is>
          <x:t xml:space="preserve">reasoning</x:t>
        </x:is>
      </x:c>
      <x:c r="D11" s="116" t="inlineStr">
        <x:is>
          <x:t xml:space="preserve">None</x:t>
        </x:is>
      </x:c>
      <x:c r="E11" s="116" t="inlineStr">
        <x:is>
          <x:t xml:space="preserve">reasoning</x:t>
        </x:is>
      </x:c>
      <x:c r="F11" s="116" t="inlineStr">
        <x:is>
          <x:t xml:space="preserve">None</x:t>
        </x:is>
      </x:c>
      <x:c r="G11" s="116" t="inlineStr">
        <x:is>
          <x:t xml:space="preserve">No exact model row in the full current index or checked official comparison tables.
Leave CAI fields blank; do not substitute another MiMo release.</x:t>
        </x:is>
      </x:c>
      <x:c r="H11" s="116"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11" s="116" t="inlineStr">
        <x:is>
          <x:t xml:space="preserve">2026-10-17</x:t>
        </x:is>
      </x:c>
    </x:row>
    <x:row r="12" s="14" customFormat="1" ht="78" customHeight="1">
      <x:c r="A12" s="117" t="inlineStr">
        <x:is>
          <x:t xml:space="preserve">MiMo-V2.6-Flash</x:t>
        </x:is>
      </x:c>
      <x:c r="B12" s="117" t="inlineStr">
        <x:is>
          <x:t xml:space="preserve">Explorer</x:t>
        </x:is>
      </x:c>
      <x:c r="C12" s="117" t="inlineStr">
        <x:is>
          <x:t xml:space="preserve">reasoning</x:t>
        </x:is>
      </x:c>
      <x:c r="D12" s="117" t="inlineStr">
        <x:is>
          <x:t xml:space="preserve">None</x:t>
        </x:is>
      </x:c>
      <x:c r="E12" s="117" t="inlineStr">
        <x:is>
          <x:t xml:space="preserve">reasoning</x:t>
        </x:is>
      </x:c>
      <x:c r="F12" s="117" t="inlineStr">
        <x:is>
          <x:t xml:space="preserve">None</x:t>
        </x:is>
      </x:c>
      <x:c r="G12" s="117" t="inlineStr">
        <x:is>
          <x:t xml:space="preserve">No exact model row in the full current index or checked official comparison tables.
Leave CAI fields blank; do not substitute another MiMo release.</x:t>
        </x:is>
      </x:c>
      <x:c r="H12" s="117"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12" s="117" t="inlineStr">
        <x:is>
          <x:t xml:space="preserve">2026-10-17</x:t>
        </x:is>
      </x:c>
    </x:row>
    <x:row r="13" s="14" customFormat="1" ht="78" customHeight="1">
      <x:c r="A13" s="116" t="inlineStr">
        <x:is>
          <x:t xml:space="preserve">Gemini 4 Argon</x:t>
        </x:is>
      </x:c>
      <x:c r="B13" s="116" t="inlineStr">
        <x:is>
          <x:t xml:space="preserve">Explorer</x:t>
        </x:is>
      </x:c>
      <x:c r="C13" s="116" t="inlineStr">
        <x:is>
          <x:t xml:space="preserve">low, high</x:t>
        </x:is>
      </x:c>
      <x:c r="D13" s="116" t="inlineStr">
        <x:is>
          <x:t xml:space="preserve">effort not stated in model field</x:t>
        </x:is>
      </x:c>
      <x:c r="E13" s="116" t="inlineStr">
        <x:is>
          <x:t xml:space="preserve">low, high (unresolved)</x:t>
        </x:is>
      </x:c>
      <x:c r="F13" s="116" t="inlineStr">
        <x:is>
          <x:t xml:space="preserve">Current index displayLabel says “Gemini 4 Argon (high)”; display.model says “Gemini 4 Argon”; official comparison tables also omit effort.</x:t>
        </x:is>
      </x:c>
      <x:c r="G13" s="116" t="inlineStr">
        <x:is>
          <x:t xml:space="preserve">One Antigravity CLI model row exists. Its current index display label appends “(high)” while the model field and official comparison tables omit effort.
Keep the workbook row effort-not-stated and flag the display-label conflict; do not assign the result to Low or High until AA labels agree.</x:t>
        </x:is>
      </x:c>
      <x:c r="H13" s="116" t="inlineStr">
        <x:is>
          <x:t xml:space="preserve">https://artificialanalysis.ai/agents/coding-agents
https://artificialanalysis.ai/agents/coding-agents/comparisons/antigravity-cli-vs-codex
https://artificialanalysis.ai/agents/coding-agents/comparisons/antigravity-cli-vs-antigravity-sdk</x:t>
        </x:is>
      </x:c>
      <x:c r="I13" s="116" t="inlineStr">
        <x:is>
          <x:t xml:space="preserve">2026-10-17</x:t>
        </x:is>
      </x:c>
    </x:row>
    <x:row r="14" s="14" customFormat="1" ht="78" customHeight="1">
      <x:c r="A14" s="117" t="inlineStr">
        <x:is>
          <x:t xml:space="preserve">Gemini 3.1 Pro Preview</x:t>
        </x:is>
      </x:c>
      <x:c r="B14" s="117" t="inlineStr">
        <x:is>
          <x:t xml:space="preserve">Explorer</x:t>
        </x:is>
      </x:c>
      <x:c r="C14" s="117" t="inlineStr">
        <x:is>
          <x:t xml:space="preserve">not stated</x:t>
        </x:is>
      </x:c>
      <x:c r="D14" s="117" t="inlineStr">
        <x:is>
          <x:t xml:space="preserve">None</x:t>
        </x:is>
      </x:c>
      <x:c r="E14" s="117" t="inlineStr">
        <x:is>
          <x:t xml:space="preserve">current v1.5: no exact row</x:t>
        </x:is>
      </x:c>
      <x:c r="F14" s="117" t="inlineStr">
        <x:is>
          <x:t xml:space="preserve">Gemini 3.1 Pro (high) · Gemini CLI · CAI v1.4</x:t>
        </x:is>
      </x:c>
      <x:c r="G14" s="117" t="inlineStr">
        <x:is>
          <x:t xml:space="preserve">No current v1.5 row. The official Gemini CLI comparison has a historical CAI v1.4 result explicitly labeled Gemini 3.1 Pro (high).
Keep Gemini 3.1 Pro in the list: its historical CAI finding has an explicit High effort label. Keep v1.4 separate from v1.5 and from the AA effort-not-stated observation.</x:t>
        </x:is>
      </x:c>
      <x:c r="H14" s="117" t="inlineStr">
        <x:is>
          <x:t xml:space="preserve">https://artificialanalysis.ai/agents/coding-agents
https://artificialanalysis.ai/agents/coding-agents/comparisons/gemini-cli-vs-muse-code
https://artificialanalysis.ai/agents/coding-agents/comparisons/gemini-cli-vs-codex</x:t>
        </x:is>
      </x:c>
      <x:c r="I14" s="117" t="inlineStr">
        <x:is>
          <x:t xml:space="preserve">2026-10-17</x:t>
        </x:is>
      </x:c>
    </x:row>
    <x:row r="15" s="14" customFormat="1" ht="78" customHeight="1">
      <x:c r="A15" s="116" t="inlineStr">
        <x:is>
          <x:t xml:space="preserve">Gemini 3.8 Flash</x:t>
        </x:is>
      </x:c>
      <x:c r="B15" s="116" t="inlineStr">
        <x:is>
          <x:t xml:space="preserve">Explorer</x:t>
        </x:is>
      </x:c>
      <x:c r="C15" s="116" t="inlineStr">
        <x:is>
          <x:t xml:space="preserve">low, medium, high</x:t>
        </x:is>
      </x:c>
      <x:c r="D15" s="116" t="inlineStr">
        <x:is>
          <x:t xml:space="preserve">high</x:t>
        </x:is>
      </x:c>
      <x:c r="E15" s="116" t="inlineStr">
        <x:is>
          <x:t xml:space="preserve">low, medium</x:t>
        </x:is>
      </x:c>
      <x:c r="F15" s="116" t="inlineStr">
        <x:is>
          <x:t xml:space="preserve">None</x:t>
        </x:is>
      </x:c>
      <x:c r="G15" s="116" t="inlineStr">
        <x:is>
          <x:t xml:space="preserve">Exact Antigravity SDK v1.5 row found for High; no exact Low or Medium rows.
Keep High as the only CAI match; leave Low and Medium blank.</x:t>
        </x:is>
      </x:c>
      <x:c r="H15" s="116" t="inlineStr">
        <x:is>
          <x:t xml:space="preserve">https://artificialanalysis.ai/agents/coding-agents
https://artificialanalysis.ai/agents/coding-agents/comparisons/antigravity-cli-vs-antigravity-sdk</x:t>
        </x:is>
      </x:c>
      <x:c r="I15" s="116" t="inlineStr">
        <x:is>
          <x:t xml:space="preserve">2026-10-17</x:t>
        </x:is>
      </x:c>
    </x:row>
    <x:row r="16" s="14" customFormat="1" ht="78" customHeight="1">
      <x:c r="A16" s="117" t="inlineStr">
        <x:is>
          <x:t xml:space="preserve">Muse Wonder</x:t>
        </x:is>
      </x:c>
      <x:c r="B16" s="117" t="inlineStr">
        <x:is>
          <x:t xml:space="preserve">Explorer</x:t>
        </x:is>
      </x:c>
      <x:c r="C16" s="117" t="inlineStr">
        <x:is>
          <x:t xml:space="preserve">max</x:t>
        </x:is>
      </x:c>
      <x:c r="D16" s="117" t="inlineStr">
        <x:is>
          <x:t xml:space="preserve">max</x:t>
        </x:is>
      </x:c>
      <x:c r="E16" s="117" t="inlineStr">
        <x:is>
          <x:t xml:space="preserve">None</x:t>
        </x:is>
      </x:c>
      <x:c r="F16" s="117" t="inlineStr">
        <x:is>
          <x:t xml:space="preserve">None</x:t>
        </x:is>
      </x:c>
      <x:c r="G16" s="117" t="inlineStr">
        <x:is>
          <x:t xml:space="preserve">Exact Muse Code v1.5 row found at Max.
Retain Max; reported task cost is $8.05.</x:t>
        </x:is>
      </x:c>
      <x:c r="H16" s="117" t="inlineStr">
        <x:is>
          <x:t xml:space="preserve">https://artificialanalysis.ai/agents/coding-agents
https://artificialanalysis.ai/agents/coding-agents/comparisons/codex-vs-muse-code</x:t>
        </x:is>
      </x:c>
      <x:c r="I16" s="117" t="inlineStr">
        <x:is>
          <x:t xml:space="preserve">2026-10-17</x:t>
        </x:is>
      </x:c>
    </x:row>
    <x:row r="17" s="14" customFormat="1" ht="78" customHeight="1">
      <x:c r="A17" s="116" t="inlineStr">
        <x:is>
          <x:t xml:space="preserve">Muse Wonder Full</x:t>
        </x:is>
      </x:c>
      <x:c r="B17" s="116" t="inlineStr">
        <x:is>
          <x:t xml:space="preserve">Explorer</x:t>
        </x:is>
      </x:c>
      <x:c r="C17" s="116" t="inlineStr">
        <x:is>
          <x:t xml:space="preserve">max</x:t>
        </x:is>
      </x:c>
      <x:c r="D17" s="116" t="inlineStr">
        <x:is>
          <x:t xml:space="preserve">max</x:t>
        </x:is>
      </x:c>
      <x:c r="E17" s="116" t="inlineStr">
        <x:is>
          <x:t xml:space="preserve">None</x:t>
        </x:is>
      </x:c>
      <x:c r="F17" s="116" t="inlineStr">
        <x:is>
          <x:t xml:space="preserve">None</x:t>
        </x:is>
      </x:c>
      <x:c r="G17" s="116" t="inlineStr">
        <x:is>
          <x:t xml:space="preserve">Exact Muse Code v1.5 row found at Max.
Retain Max; task cost is unavailable and must not be treated as free.</x:t>
        </x:is>
      </x:c>
      <x:c r="H17" s="116" t="inlineStr">
        <x:is>
          <x:t xml:space="preserve">https://artificialanalysis.ai/agents/coding-agents
https://artificialanalysis.ai/agents/coding-agents/comparisons/codex-vs-muse-code</x:t>
        </x:is>
      </x:c>
      <x:c r="I17" s="116" t="inlineStr">
        <x:is>
          <x:t xml:space="preserve">2026-10-17</x:t>
        </x:is>
      </x:c>
    </x:row>
    <x:row r="18" s="14" customFormat="1" ht="78" customHeight="1">
      <x:c r="A18" s="116" t="inlineStr">
        <x:is>
          <x:t xml:space="preserve">GPT-6.1 Sol</x:t>
        </x:is>
      </x:c>
      <x:c r="B18" s="116" t="inlineStr">
        <x:is>
          <x:t xml:space="preserve">Explorer</x:t>
        </x:is>
      </x:c>
      <x:c r="C18" s="116" t="inlineStr">
        <x:is>
          <x:t xml:space="preserve">low, medium, high, xhigh, max</x:t>
        </x:is>
      </x:c>
      <x:c r="D18" s="116" t="inlineStr">
        <x:is>
          <x:t xml:space="preserve">low, medium, high, xhigh, max</x:t>
        </x:is>
      </x:c>
      <x:c r="E18" s="116" t="inlineStr">
        <x:is>
          <x:t xml:space="preserve">None</x:t>
        </x:is>
      </x:c>
      <x:c r="F18" s="116" t="inlineStr">
        <x:is>
          <x:t xml:space="preserve">None</x:t>
        </x:is>
      </x:c>
      <x:c r="G18" s="116" t="inlineStr">
        <x:is>
          <x:t xml:space="preserve">Exact Codex v1.5 rows found at all five listed reasoning efforts.
Retain all five exact effort matches.</x:t>
        </x:is>
      </x:c>
      <x:c r="H18" s="116" t="inlineStr">
        <x:is>
          <x:t xml:space="preserve">https://artificialanalysis.ai/agents/coding-agents
https://artificialanalysis.ai/agents/coding-agents/comparisons/codex-vs-muse-code</x:t>
        </x:is>
      </x:c>
      <x:c r="I18" s="116" t="inlineStr">
        <x:is>
          <x:t xml:space="preserve">2026-10-17</x:t>
        </x:is>
      </x:c>
    </x:row>
    <x:row r="19" s="14" customFormat="1" ht="78" customHeight="1">
      <x:c r="A19" s="117" t="inlineStr">
        <x:is>
          <x:t xml:space="preserve">GPT-6 Astra</x:t>
        </x:is>
      </x:c>
      <x:c r="B19" s="117" t="inlineStr">
        <x:is>
          <x:t xml:space="preserve">Explorer</x:t>
        </x:is>
      </x:c>
      <x:c r="C19" s="117" t="inlineStr">
        <x:is>
          <x:t xml:space="preserve">low, medium, high, xhigh, max</x:t>
        </x:is>
      </x:c>
      <x:c r="D19" s="117" t="inlineStr">
        <x:is>
          <x:t xml:space="preserve">max</x:t>
        </x:is>
      </x:c>
      <x:c r="E19" s="117" t="inlineStr">
        <x:is>
          <x:t xml:space="preserve">low, medium, high, xhigh</x:t>
        </x:is>
      </x:c>
      <x:c r="F19" s="117" t="inlineStr">
        <x:is>
          <x:t xml:space="preserve">Hybrid Devin Fusion CLI row: GPT-6 Astra XHigh + SWE-2 Medium; not assigned to GPT-6 Astra.</x:t>
        </x:is>
      </x:c>
      <x:c r="G19" s="117" t="inlineStr">
        <x:is>
          <x:t xml:space="preserve">Exact Codex v1.5 row found at Max. A Devin Fusion CLI row combines GPT-6 Astra XHigh with SWE-2 Medium and is not a single-model finding.
Retain only the direct GPT-6 Astra (max) row; keep mixed-agent results separate.</x:t>
        </x:is>
      </x:c>
      <x:c r="H19" s="117" t="inlineStr">
        <x:is>
          <x:t xml:space="preserve">https://artificialanalysis.ai/agents/coding-agents
https://artificialanalysis.ai/agents/coding-agents/comparisons/codex-vs-muse-code</x:t>
        </x:is>
      </x:c>
      <x:c r="I19" s="117" t="inlineStr">
        <x:is>
          <x:t xml:space="preserve">2026-10-17</x:t>
        </x:is>
      </x:c>
    </x:row>
    <x:row r="20" s="14" customFormat="1" ht="78" customHeight="1">
      <x:c r="A20" s="116" t="inlineStr">
        <x:is>
          <x:t xml:space="preserve">GPT-5.6 Terra</x:t>
        </x:is>
      </x:c>
      <x:c r="B20" s="116" t="inlineStr">
        <x:is>
          <x:t xml:space="preserve">Explorer</x:t>
        </x:is>
      </x:c>
      <x:c r="C20" s="116" t="inlineStr">
        <x:is>
          <x:t xml:space="preserve">non-reasoning, low, medium, high, xhigh, max</x:t>
        </x:is>
      </x:c>
      <x:c r="D20" s="116" t="inlineStr">
        <x:is>
          <x:t xml:space="preserve">None</x:t>
        </x:is>
      </x:c>
      <x:c r="E20" s="116" t="inlineStr">
        <x:is>
          <x:t xml:space="preserve">non-reasoning, low, medium, high, xhigh, max</x:t>
        </x:is>
      </x:c>
      <x:c r="F20" s="116" t="inlineStr">
        <x:is>
          <x:t xml:space="preserve">None</x:t>
        </x:is>
      </x:c>
      <x:c r="G20" s="116" t="inlineStr">
        <x:is>
          <x:t xml:space="preserve">No exact GPT-5.6 Terra row in the current full index or checked official comparison tables. GPT-5.6 Sol and GPT-5.6 Luna rows are different models.
Leave CAI fields blank; do not map GPT-5.6 Sol/Luna results to Terra.</x:t>
        </x:is>
      </x:c>
      <x:c r="H20" s="116" t="inlineStr">
        <x:is>
          <x:t xml:space="preserve">https://artificialanalysis.ai/agents/coding-agents
https://artificialanalysis.ai/agents/coding-agents/comparisons/codex-vs-muse-code</x:t>
        </x:is>
      </x:c>
      <x:c r="I20" s="116" t="inlineStr">
        <x:is>
          <x:t xml:space="preserve">2026-10-17</x:t>
        </x:is>
      </x:c>
    </x:row>
    <x:row r="21" s="14" customFormat="1" ht="78" customHeight="1">
      <x:c r="A21" s="117" t="inlineStr">
        <x:is>
          <x:t xml:space="preserve">Claude Opus 5.5</x:t>
        </x:is>
      </x:c>
      <x:c r="B21" s="117" t="inlineStr">
        <x:is>
          <x:t xml:space="preserve">Explorer</x:t>
        </x:is>
      </x:c>
      <x:c r="C21" s="117" t="inlineStr">
        <x:is>
          <x:t xml:space="preserve">low, medium, high, xhigh, max</x:t>
        </x:is>
      </x:c>
      <x:c r="D21" s="117" t="inlineStr">
        <x:is>
          <x:t xml:space="preserve">max</x:t>
        </x:is>
      </x:c>
      <x:c r="E21" s="117" t="inlineStr">
        <x:is>
          <x:t xml:space="preserve">low, medium, high, xhigh</x:t>
        </x:is>
      </x:c>
      <x:c r="F21" s="117" t="inlineStr">
        <x:is>
          <x:t xml:space="preserve">Hybrid Devin Fusion CLI row combines Claude Opus 5.5 Max + GPT-6 Luna High; not assigned to Opus.</x:t>
        </x:is>
      </x:c>
      <x:c r="G21" s="117" t="inlineStr">
        <x:is>
          <x:t xml:space="preserve">Exact Claude Code v1.5 row found at Max. A Devin Fusion CLI row mixes Claude Opus 5.5 with GPT-6 Luna and is not assigned to Opus alone.
Retain the max-only direct result and exclude mixed-agent row from single-model coverage.</x:t>
        </x:is>
      </x:c>
      <x:c r="H21" s="117" t="inlineStr">
        <x:is>
          <x:t xml:space="preserve">https://artificialanalysis.ai/agents/coding-agents
https://artificialanalysis.ai/agents/coding-agents/comparisons/claude-code-vs-muse-code</x:t>
        </x:is>
      </x:c>
      <x:c r="I21" s="117" t="inlineStr">
        <x:is>
          <x:t xml:space="preserve">2026-10-17</x:t>
        </x:is>
      </x:c>
    </x:row>
    <x:row r="22" s="14" customFormat="1" ht="78" customHeight="1">
      <x:c r="A22" s="116" t="inlineStr">
        <x:is>
          <x:t xml:space="preserve">Claude Sonnet 5.5</x:t>
        </x:is>
      </x:c>
      <x:c r="B22" s="116" t="inlineStr">
        <x:is>
          <x:t xml:space="preserve">Explorer</x:t>
        </x:is>
      </x:c>
      <x:c r="C22" s="116" t="inlineStr">
        <x:is>
          <x:t xml:space="preserve">low, medium, high, xhigh, max</x:t>
        </x:is>
      </x:c>
      <x:c r="D22" s="116" t="inlineStr">
        <x:is>
          <x:t xml:space="preserve">low, medium, high, xhigh, max</x:t>
        </x:is>
      </x:c>
      <x:c r="E22" s="116" t="inlineStr">
        <x:is>
          <x:t xml:space="preserve">None</x:t>
        </x:is>
      </x:c>
      <x:c r="F22" s="116" t="inlineStr">
        <x:is>
          <x:t xml:space="preserve">None</x:t>
        </x:is>
      </x:c>
      <x:c r="G22" s="116" t="inlineStr">
        <x:is>
          <x:t xml:space="preserve">Exact Claude Code v1.5 rows found at all five listed reasoning efforts.
Retain all five exact effort matches.</x:t>
        </x:is>
      </x:c>
      <x:c r="H22" s="116" t="inlineStr">
        <x:is>
          <x:t xml:space="preserve">https://artificialanalysis.ai/agents/coding-agents
https://artificialanalysis.ai/agents/coding-agents/comparisons/claude-code-vs-muse-code</x:t>
        </x:is>
      </x:c>
      <x:c r="I22" s="116" t="inlineStr">
        <x:is>
          <x:t xml:space="preserve">2026-10-17</x:t>
        </x:is>
      </x:c>
    </x:row>
    <x:row r="23" s="14" customFormat="1" ht="78" customHeight="1">
      <x:c r="A23" s="117" t="inlineStr">
        <x:is>
          <x:t xml:space="preserve">Gemini 3.5 Flash</x:t>
        </x:is>
      </x:c>
      <x:c r="B23" s="117" t="inlineStr">
        <x:is>
          <x:t xml:space="preserve">Workbook only; excluded from Explorer</x:t>
        </x:is>
      </x:c>
      <x:c r="C23" s="117" t="inlineStr">
        <x:is>
          <x:t xml:space="preserve">high</x:t>
        </x:is>
      </x:c>
      <x:c r="D23" s="117" t="inlineStr">
        <x:is>
          <x:t xml:space="preserve">None</x:t>
        </x:is>
      </x:c>
      <x:c r="E23" s="117" t="inlineStr">
        <x:is>
          <x:t xml:space="preserve">high</x:t>
        </x:is>
      </x:c>
      <x:c r="F23" s="117" t="inlineStr">
        <x:is>
          <x:t xml:space="preserve">None</x:t>
        </x:is>
      </x:c>
      <x:c r="G23" s="117" t="inlineStr">
        <x:is>
          <x:t xml:space="preserve">No exact Gemini 3.5 Flash row in the full current index or checked official comparison tables; the model is deprecated and retained in AInventory as a workbook-only historical AA row.
Keep workbook-only; leave CAI score, cost, time, and token fields blank.</x:t>
        </x:is>
      </x:c>
      <x:c r="H23" s="117" t="inlineStr">
        <x:is>
          <x:t xml:space="preserve">https://artificialanalysis.ai/agents/coding-agents
https://artificialanalysis.ai/agents/coding-agents/comparisons/codex-vs-muse-code
https://artificialanalysis.ai/agents/coding-agents/comparisons/claude-code-vs-muse-code
https://artificialanalysis.ai/agents/coding-agents/comparisons/opencode-vs-muse-code
https://artificialanalysis.ai/agents/coding-agents/comparisons/antigravity-cli-vs-codex
https://artificialanalysis.ai/agents/coding-agents/comparisons/antigravity-cli-vs-antigravity-sdk
https://artificialanalysis.ai/agents/coding-agents/comparisons/gemini-cli-vs-muse-code
https://artificialanalysis.ai/agents/coding-agents/comparisons/gemini-cli-vs-codex</x:t>
        </x:is>
      </x:c>
      <x:c r="I23" s="117" t="inlineStr">
        <x:is>
          <x:t xml:space="preserve">2026-10-17</x:t>
        </x:is>
      </x:c>
    </x:row>
    <x:row r="24" s="14" customFormat="1" ht="78" customHeight="1"/>
  </x:sheetData>
  <x:mergeCells>
    <x:mergeCell ref="A1:I1"/>
    <x:mergeCell ref="A2:I2"/>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5" style="14" customWidth="1"/>
    <x:col min="2" max="2" width="20" style="14" customWidth="1"/>
    <x:col min="3" max="3" width="20" style="14" customWidth="1"/>
    <x:col min="4" max="4" width="16" style="14" customWidth="1"/>
    <x:col min="5" max="5" width="16" style="14" customWidth="1"/>
    <x:col min="6" max="6" width="16" style="14" customWidth="1"/>
    <x:col min="7" max="7" width="16" style="14" customWidth="1"/>
    <x:col min="8" max="8" width="46" style="14" customWidth="1"/>
    <x:col min="9" max="9" width="46" style="14" customWidth="1"/>
    <x:col min="10" max="10" width="12" style="14" customWidth="1"/>
    <x:col min="11" max="11" width="12" style="14" customWidth="1"/>
    <x:col min="12" max="12" width="12" style="14" customWidth="1"/>
    <x:col min="13" max="13" width="12" style="14" customWidth="1"/>
    <x:col min="14" max="14" width="12" style="14" customWidth="1"/>
    <x:col min="15" max="15" width="12" style="14" customWidth="1"/>
    <x:col min="16" max="16" width="12" style="14" customWidth="1"/>
    <x:col min="17" max="17" width="12" style="14" customWidth="1"/>
  </x:cols>
  <x:sheetData>
    <x:row r="1">
      <x:c r="A1" s="23" t="inlineStr">
        <x:is>
          <x:t xml:space="preserve">Curated Current Contenders &amp; Near-Misses</x:t>
        </x:is>
      </x:c>
      <x:c r="B1" s="15" t="n"/>
      <x:c r="C1" s="15" t="n"/>
      <x:c r="D1" s="15" t="n"/>
      <x:c r="E1" s="15" t="n"/>
      <x:c r="F1" s="15" t="n"/>
      <x:c r="G1" s="15" t="n"/>
      <x:c r="H1" s="15" t="n"/>
      <x:c r="I1" s="15" t="n"/>
      <x:c r="J1" s="15" t="n"/>
      <x:c r="K1" s="15" t="n"/>
      <x:c r="L1" s="15" t="n"/>
      <x:c r="M1" s="15" t="n"/>
      <x:c r="N1" s="15" t="n"/>
      <x:c r="O1" s="15" t="n"/>
      <x:c r="P1" s="15" t="n"/>
      <x:c r="Q1" s="15" t="n"/>
    </x:row>
    <x:row r="3">
      <x:c r="A3" s="6" t="inlineStr">
        <x:is>
          <x:t xml:space="preserve">Family</x:t>
        </x:is>
      </x:c>
      <x:c r="B3" s="6" t="inlineStr">
        <x:is>
          <x:t xml:space="preserve">Status</x:t>
        </x:is>
      </x:c>
      <x:c r="C3" s="6" t="inlineStr">
        <x:is>
          <x:t xml:space="preserve">Tier now</x:t>
        </x:is>
      </x:c>
      <x:c r="D3" s="6" t="inlineStr">
        <x:is>
          <x:t xml:space="preserve">Best observed AA</x:t>
        </x:is>
      </x:c>
      <x:c r="E3" s="6" t="inlineStr">
        <x:is>
          <x:t xml:space="preserve">Best speed t/s</x:t>
        </x:is>
      </x:c>
      <x:c r="F3" s="6" t="inlineStr">
        <x:is>
          <x:t xml:space="preserve">Best $/task</x:t>
        </x:is>
      </x:c>
      <x:c r="G3" s="6" t="inlineStr">
        <x:is>
          <x:t xml:space="preserve">Best measured sec/task</x:t>
        </x:is>
      </x:c>
      <x:c r="H3" s="6" t="inlineStr">
        <x:is>
          <x:t xml:space="preserve">Current/prime role</x:t>
        </x:is>
      </x:c>
      <x:c r="I3" s="6" t="inlineStr">
        <x:is>
          <x:t xml:space="preserve">Primary caveat</x:t>
        </x:is>
      </x:c>
      <x:c r="J3" s="6" t="inlineStr">
        <x:is>
          <x:t xml:space="preserve">Mechanical</x:t>
        </x:is>
      </x:c>
      <x:c r="K3" s="6" t="inlineStr">
        <x:is>
          <x:t xml:space="preserve">Explore</x:t>
        </x:is>
      </x:c>
      <x:c r="L3" s="6" t="inlineStr">
        <x:is>
          <x:t xml:space="preserve">Planning</x:t>
        </x:is>
      </x:c>
      <x:c r="M3" s="6" t="inlineStr">
        <x:is>
          <x:t xml:space="preserve">Architecture</x:t>
        </x:is>
      </x:c>
      <x:c r="N3" s="6" t="inlineStr">
        <x:is>
          <x:t xml:space="preserve">Complex impl</x:t>
        </x:is>
      </x:c>
      <x:c r="O3" s="6" t="inlineStr">
        <x:is>
          <x:t xml:space="preserve">Reviewer</x:t>
        </x:is>
      </x:c>
      <x:c r="P3" s="6" t="inlineStr">
        <x:is>
          <x:t xml:space="preserve">Hard troubleshoot</x:t>
        </x:is>
      </x:c>
      <x:c r="Q3" s="6" t="inlineStr">
        <x:is>
          <x:t xml:space="preserve">Confidence</x:t>
        </x:is>
      </x:c>
    </x:row>
    <x:row r="4">
      <x:c r="A4" s="12" t="inlineStr">
        <x:is>
          <x:t xml:space="preserve">GPT-6 Luna</x:t>
        </x:is>
      </x:c>
      <x:c r="B4" s="12" t="inlineStr">
        <x:is>
          <x:t xml:space="preserve">Contender</x:t>
        </x:is>
      </x:c>
      <x:c r="C4" s="12" t="inlineStr">
        <x:is>
          <x:t xml:space="preserve">fast-cheap / capable midtier</x:t>
        </x:is>
      </x:c>
      <x:c r="D4" s="12" t="n">
        <x:f>_xlfn.MAXIFS(Rankings!$I:$I,Rankings!$C:$C,A4)</x:f>
        <x:v>38</x:v>
      </x:c>
      <x:c r="E4" s="12" t="n">
        <x:f>_xlfn.MAXIFS(Rankings!$L:$L,Rankings!$C:$C,A4)</x:f>
        <x:v>163</x:v>
      </x:c>
      <x:c r="F4" s="12" t="n">
        <x:v>0.0045</x:v>
      </x:c>
      <x:c r="G4" s="12" t="n">
        <x:v>14.13</x:v>
      </x:c>
      <x:c r="H4" s="12" t="inlineStr">
        <x:is>
          <x:t xml:space="preserve">mechanical through moderate implementation</x:t>
        </x:is>
      </x:c>
      <x:c r="I4" s="12" t="inlineStr">
        <x:is>
          <x:t xml:space="preserve">Excellent throughput; can get confused or pursue a wrong side path on subtle long-horizon work.</x:t>
        </x:is>
      </x:c>
      <x:c r="J4" s="12" t="n">
        <x:v>5</x:v>
      </x:c>
      <x:c r="K4" s="12" t="n">
        <x:v>4</x:v>
      </x:c>
      <x:c r="L4" s="12" t="n">
        <x:v>3</x:v>
      </x:c>
      <x:c r="M4" s="12" t="n">
        <x:v>3</x:v>
      </x:c>
      <x:c r="N4" s="12" t="n">
        <x:v>3</x:v>
      </x:c>
      <x:c r="O4" s="12" t="n">
        <x:v>4</x:v>
      </x:c>
      <x:c r="P4" s="12" t="n">
        <x:v>3</x:v>
      </x:c>
      <x:c r="Q4" s="12" t="inlineStr">
        <x:is>
          <x:t xml:space="preserve">high</x:t>
        </x:is>
      </x:c>
    </x:row>
    <x:row r="5">
      <x:c r="A5" s="12" t="inlineStr">
        <x:is>
          <x:t xml:space="preserve">GPT-6 Sol</x:t>
        </x:is>
      </x:c>
      <x:c r="B5" s="12" t="inlineStr">
        <x:is>
          <x:t xml:space="preserve">Contender</x:t>
        </x:is>
      </x:c>
      <x:c r="C5" s="12" t="inlineStr">
        <x:is>
          <x:t xml:space="preserve">frontier-lite / strong generalist</x:t>
        </x:is>
      </x:c>
      <x:c r="D5" s="12" t="n">
        <x:f>_xlfn.MAXIFS(Rankings!$I:$I,Rankings!$C:$C,A5)</x:f>
        <x:v>48</x:v>
      </x:c>
      <x:c r="E5" s="12" t="n">
        <x:f>_xlfn.MAXIFS(Rankings!$L:$L,Rankings!$C:$C,A5)</x:f>
        <x:v>103</x:v>
      </x:c>
      <x:c r="F5" s="12" t="n">
        <x:v>0.13</x:v>
      </x:c>
      <x:c r="G5" s="12" t="n">
        <x:v>41.07</x:v>
      </x:c>
      <x:c r="H5" s="12" t="inlineStr">
        <x:is>
          <x:t xml:space="preserve">hard implementation / architecture / review</x:t>
        </x:is>
      </x:c>
      <x:c r="I5" s="12" t="inlineStr">
        <x:is>
          <x:t xml:space="preserve">Strong default when Luna-tier workers become unreliable.</x:t>
        </x:is>
      </x:c>
      <x:c r="J5" s="12" t="n">
        <x:v>4</x:v>
      </x:c>
      <x:c r="K5" s="12" t="n">
        <x:v>4</x:v>
      </x:c>
      <x:c r="L5" s="12" t="n">
        <x:v>5</x:v>
      </x:c>
      <x:c r="M5" s="12" t="n">
        <x:v>5</x:v>
      </x:c>
      <x:c r="N5" s="12" t="n">
        <x:v>5</x:v>
      </x:c>
      <x:c r="O5" s="12" t="n">
        <x:v>5</x:v>
      </x:c>
      <x:c r="P5" s="12" t="n">
        <x:v>5</x:v>
      </x:c>
      <x:c r="Q5" s="12" t="inlineStr">
        <x:is>
          <x:t xml:space="preserve">high</x:t>
        </x:is>
      </x:c>
    </x:row>
    <x:row r="6">
      <x:c r="A6" s="12" t="inlineStr">
        <x:is>
          <x:t xml:space="preserve">GPT-6 Astra</x:t>
        </x:is>
      </x:c>
      <x:c r="B6" s="12" t="inlineStr">
        <x:is>
          <x:t xml:space="preserve">Contender</x:t>
        </x:is>
      </x:c>
      <x:c r="C6" s="12" t="inlineStr">
        <x:is>
          <x:t xml:space="preserve">frontier / expensive / slow</x:t>
        </x:is>
      </x:c>
      <x:c r="D6" s="12" t="n">
        <x:f>_xlfn.MAXIFS(Rankings!$I:$I,Rankings!$C:$C,A6)</x:f>
        <x:v>53</x:v>
      </x:c>
      <x:c r="E6" s="12" t="n">
        <x:f>_xlfn.MAXIFS(Rankings!$L:$L,Rankings!$C:$C,A6)</x:f>
        <x:v>64</x:v>
      </x:c>
      <x:c r="F6" s="12" t="n">
        <x:v>0.82</x:v>
      </x:c>
      <x:c r="G6" s="12" t="n">
        <x:v>84.98999999999999</x:v>
      </x:c>
      <x:c r="H6" s="12" t="inlineStr">
        <x:is>
          <x:t xml:space="preserve">frontier knot-untangling / hardest debugging</x:t>
        </x:is>
      </x:c>
      <x:c r="I6" s="12" t="inlineStr">
        <x:is>
          <x:t xml:space="preserve">Can solve poorly specified subtle tasks; excessive for routine exploration.</x:t>
        </x:is>
      </x:c>
      <x:c r="J6" s="12" t="n">
        <x:v>3</x:v>
      </x:c>
      <x:c r="K6" s="12" t="n">
        <x:v>3</x:v>
      </x:c>
      <x:c r="L6" s="12" t="n">
        <x:v>5</x:v>
      </x:c>
      <x:c r="M6" s="12" t="n">
        <x:v>5</x:v>
      </x:c>
      <x:c r="N6" s="12" t="n">
        <x:v>5</x:v>
      </x:c>
      <x:c r="O6" s="12" t="n">
        <x:v>5</x:v>
      </x:c>
      <x:c r="P6" s="12" t="n">
        <x:v>5</x:v>
      </x:c>
      <x:c r="Q6" s="12" t="inlineStr">
        <x:is>
          <x:t xml:space="preserve">high</x:t>
        </x:is>
      </x:c>
    </x:row>
    <x:row r="7">
      <x:c r="A7" s="12" t="inlineStr">
        <x:is>
          <x:t xml:space="preserve">Claude Sonnet 5.5</x:t>
        </x:is>
      </x:c>
      <x:c r="B7" s="12" t="inlineStr">
        <x:is>
          <x:t xml:space="preserve">Contender</x:t>
        </x:is>
      </x:c>
      <x:c r="C7" s="12" t="inlineStr">
        <x:is>
          <x:t xml:space="preserve">smart-fast / premium mid-high</x:t>
        </x:is>
      </x:c>
      <x:c r="D7" s="12" t="n">
        <x:f>_xlfn.MAXIFS(Rankings!$I:$I,Rankings!$C:$C,A7)</x:f>
        <x:v>56</x:v>
      </x:c>
      <x:c r="E7" s="12" t="n">
        <x:f>_xlfn.MAXIFS(Rankings!$L:$L,Rankings!$C:$C,A7)</x:f>
        <x:v>143</x:v>
      </x:c>
      <x:c r="F7" s="12" t="n">
        <x:v>0.41</x:v>
      </x:c>
      <x:c r="G7" s="12" t="n"/>
      <x:c r="H7" s="12" t="inlineStr">
        <x:is>
          <x:t xml:space="preserve">daily-driver coding / reviewer / design</x:t>
        </x:is>
      </x:c>
      <x:c r="I7" s="12" t="inlineStr">
        <x:is>
          <x:t xml:space="preserve">One of the best general balances of intelligence, collaboration, and speed.</x:t>
        </x:is>
      </x:c>
      <x:c r="J7" s="12" t="n">
        <x:v>5</x:v>
      </x:c>
      <x:c r="K7" s="12" t="n">
        <x:v>5</x:v>
      </x:c>
      <x:c r="L7" s="12" t="n">
        <x:v>4</x:v>
      </x:c>
      <x:c r="M7" s="12" t="n">
        <x:v>4</x:v>
      </x:c>
      <x:c r="N7" s="12" t="n">
        <x:v>5</x:v>
      </x:c>
      <x:c r="O7" s="12" t="n">
        <x:v>5</x:v>
      </x:c>
      <x:c r="P7" s="12" t="n">
        <x:v>4</x:v>
      </x:c>
      <x:c r="Q7" s="12" t="inlineStr">
        <x:is>
          <x:t xml:space="preserve">high</x:t>
        </x:is>
      </x:c>
    </x:row>
    <x:row r="8">
      <x:c r="A8" s="12" t="inlineStr">
        <x:is>
          <x:t xml:space="preserve">Claude Opus 5.5</x:t>
        </x:is>
      </x:c>
      <x:c r="B8" s="12" t="inlineStr">
        <x:is>
          <x:t xml:space="preserve">Contender</x:t>
        </x:is>
      </x:c>
      <x:c r="C8" s="12" t="inlineStr">
        <x:is>
          <x:t xml:space="preserve">frontier / judgment-heavy</x:t>
        </x:is>
      </x:c>
      <x:c r="D8" s="12" t="n">
        <x:f>_xlfn.MAXIFS(Rankings!$I:$I,Rankings!$C:$C,A8)</x:f>
        <x:v>58</x:v>
      </x:c>
      <x:c r="E8" s="12" t="n">
        <x:f>_xlfn.MAXIFS(Rankings!$L:$L,Rankings!$C:$C,A8)</x:f>
        <x:v>96.8</x:v>
      </x:c>
      <x:c r="F8" s="12" t="n">
        <x:v>0.55</x:v>
      </x:c>
      <x:c r="G8" s="12" t="n"/>
      <x:c r="H8" s="12" t="inlineStr">
        <x:is>
          <x:t xml:space="preserve">ambiguous high-context architecture/review</x:t>
        </x:is>
      </x:c>
      <x:c r="I8" s="12" t="inlineStr">
        <x:is>
          <x:t xml:space="preserve">Sustained judgment is excellent; poor economics for trivial work.</x:t>
        </x:is>
      </x:c>
      <x:c r="J8" s="12" t="n">
        <x:v>3</x:v>
      </x:c>
      <x:c r="K8" s="12" t="n">
        <x:v>4</x:v>
      </x:c>
      <x:c r="L8" s="12" t="n">
        <x:v>5</x:v>
      </x:c>
      <x:c r="M8" s="12" t="n">
        <x:v>5</x:v>
      </x:c>
      <x:c r="N8" s="12" t="n">
        <x:v>5</x:v>
      </x:c>
      <x:c r="O8" s="12" t="n">
        <x:v>5</x:v>
      </x:c>
      <x:c r="P8" s="12" t="n">
        <x:v>5</x:v>
      </x:c>
      <x:c r="Q8" s="12" t="inlineStr">
        <x:is>
          <x:t xml:space="preserve">high</x:t>
        </x:is>
      </x:c>
    </x:row>
    <x:row r="9">
      <x:c r="A9" s="12" t="inlineStr">
        <x:is>
          <x:t xml:space="preserve">GLM-5.3 Flash</x:t>
        </x:is>
      </x:c>
      <x:c r="B9" s="12" t="inlineStr">
        <x:is>
          <x:t xml:space="preserve">Contender</x:t>
        </x:is>
      </x:c>
      <x:c r="C9" s="12" t="inlineStr">
        <x:is>
          <x:t xml:space="preserve">cheap / strong midtier / slower task</x:t>
        </x:is>
      </x:c>
      <x:c r="D9" s="12" t="n">
        <x:f>_xlfn.MAXIFS(Rankings!$I:$I,Rankings!$C:$C,A9)</x:f>
        <x:v>42</x:v>
      </x:c>
      <x:c r="E9" s="12" t="n">
        <x:f>_xlfn.MAXIFS(Rankings!$L:$L,Rankings!$C:$C,A9)</x:f>
        <x:v>61</x:v>
      </x:c>
      <x:c r="F9" s="12" t="n">
        <x:v>0.25</x:v>
      </x:c>
      <x:c r="G9" s="12" t="n">
        <x:v>984.14</x:v>
      </x:c>
      <x:c r="H9" s="12" t="inlineStr">
        <x:is>
          <x:t xml:space="preserve">cheap implementation / reviewer subagent</x:t>
        </x:is>
      </x:c>
      <x:c r="I9" s="12" t="inlineStr">
        <x:is>
          <x:t xml:space="preserve">Can spend too long following a plausible wrong branch.</x:t>
        </x:is>
      </x:c>
      <x:c r="J9" s="12" t="n">
        <x:v>5</x:v>
      </x:c>
      <x:c r="K9" s="12" t="n">
        <x:v>4</x:v>
      </x:c>
      <x:c r="L9" s="12" t="n">
        <x:v>4</x:v>
      </x:c>
      <x:c r="M9" s="12" t="n">
        <x:v>3</x:v>
      </x:c>
      <x:c r="N9" s="12" t="n">
        <x:v>4</x:v>
      </x:c>
      <x:c r="O9" s="12" t="n">
        <x:v>4</x:v>
      </x:c>
      <x:c r="P9" s="12" t="n">
        <x:v>3</x:v>
      </x:c>
      <x:c r="Q9" s="12" t="inlineStr">
        <x:is>
          <x:t xml:space="preserve">medium</x:t>
        </x:is>
      </x:c>
    </x:row>
    <x:row r="10">
      <x:c r="A10" s="12" t="inlineStr">
        <x:is>
          <x:t xml:space="preserve">Qwen3.8-Flash-Next</x:t>
        </x:is>
      </x:c>
      <x:c r="B10" s="12" t="inlineStr">
        <x:is>
          <x:t xml:space="preserve">Close</x:t>
        </x:is>
      </x:c>
      <x:c r="C10" s="12" t="inlineStr">
        <x:is>
          <x:t xml:space="preserve">cheap / smart / token-heavy</x:t>
        </x:is>
      </x:c>
      <x:c r="D10" s="12" t="n">
        <x:f>_xlfn.MAXIFS(Rankings!$I:$I,Rankings!$C:$C,A10)</x:f>
        <x:v>40</x:v>
      </x:c>
      <x:c r="E10" s="12" t="n">
        <x:f>_xlfn.MAXIFS(Rankings!$L:$L,Rankings!$C:$C,A10)</x:f>
        <x:v>57</x:v>
      </x:c>
      <x:c r="F10" s="12" t="n">
        <x:v>0.37</x:v>
      </x:c>
      <x:c r="G10" s="12" t="n">
        <x:v>1662.06</x:v>
      </x:c>
      <x:c r="H10" s="12" t="inlineStr">
        <x:is>
          <x:t xml:space="preserve">budget reasoning when latency is secondary</x:t>
        </x:is>
      </x:c>
      <x:c r="I10" s="12" t="inlineStr">
        <x:is>
          <x:t xml:space="preserve">Good score/cost but very token-heavy AA tasks.</x:t>
        </x:is>
      </x:c>
      <x:c r="J10" s="12" t="n">
        <x:v>4</x:v>
      </x:c>
      <x:c r="K10" s="12" t="n">
        <x:v>4</x:v>
      </x:c>
      <x:c r="L10" s="12" t="n">
        <x:v>4</x:v>
      </x:c>
      <x:c r="M10" s="12" t="n">
        <x:v>3</x:v>
      </x:c>
      <x:c r="N10" s="12" t="n">
        <x:v>4</x:v>
      </x:c>
      <x:c r="O10" s="12" t="n">
        <x:v>4</x:v>
      </x:c>
      <x:c r="P10" s="12" t="n">
        <x:v>3</x:v>
      </x:c>
      <x:c r="Q10" s="12" t="inlineStr">
        <x:is>
          <x:t xml:space="preserve">medium</x:t>
        </x:is>
      </x:c>
    </x:row>
    <x:row r="11">
      <x:c r="A11" s="12" t="inlineStr">
        <x:is>
          <x:t xml:space="preserve">MiMo-V2.6-Flash</x:t>
        </x:is>
      </x:c>
      <x:c r="B11" s="12" t="inlineStr">
        <x:is>
          <x:t xml:space="preserve">Contender</x:t>
        </x:is>
      </x:c>
      <x:c r="C11" s="12" t="inlineStr">
        <x:is>
          <x:t xml:space="preserve">ultra-cheap / long-running reasoner</x:t>
        </x:is>
      </x:c>
      <x:c r="D11" s="12" t="n">
        <x:f>_xlfn.MAXIFS(Rankings!$I:$I,Rankings!$C:$C,A11)</x:f>
        <x:v>38</x:v>
      </x:c>
      <x:c r="E11" s="12" t="n">
        <x:f>_xlfn.MAXIFS(Rankings!$L:$L,Rankings!$C:$C,A11)</x:f>
        <x:v>62</x:v>
      </x:c>
      <x:c r="F11" s="12" t="n">
        <x:v>0.06</x:v>
      </x:c>
      <x:c r="G11" s="12" t="n">
        <x:v>1253.14</x:v>
      </x:c>
      <x:c r="H11" s="12" t="inlineStr">
        <x:is>
          <x:t xml:space="preserve">high-volume implementation subagent</x:t>
        </x:is>
      </x:c>
      <x:c r="I11" s="12" t="inlineStr">
        <x:is>
          <x:t xml:space="preserve">Cheap dollars, not necessarily cheap wall time.</x:t>
        </x:is>
      </x:c>
      <x:c r="J11" s="12" t="n">
        <x:v>5</x:v>
      </x:c>
      <x:c r="K11" s="12" t="n">
        <x:v>4</x:v>
      </x:c>
      <x:c r="L11" s="12" t="n">
        <x:v>3</x:v>
      </x:c>
      <x:c r="M11" s="12" t="n">
        <x:v>3</x:v>
      </x:c>
      <x:c r="N11" s="12" t="n">
        <x:v>4</x:v>
      </x:c>
      <x:c r="O11" s="12" t="n">
        <x:v>3</x:v>
      </x:c>
      <x:c r="P11" s="12" t="n">
        <x:v>3</x:v>
      </x:c>
      <x:c r="Q11" s="12" t="inlineStr">
        <x:is>
          <x:t xml:space="preserve">medium</x:t>
        </x:is>
      </x:c>
    </x:row>
    <x:row r="12">
      <x:c r="A12" s="12" t="inlineStr">
        <x:is>
          <x:t xml:space="preserve">MiniMax-M3</x:t>
        </x:is>
      </x:c>
      <x:c r="B12" s="12" t="inlineStr">
        <x:is>
          <x:t xml:space="preserve">Close</x:t>
        </x:is>
      </x:c>
      <x:c r="C12" s="12" t="inlineStr">
        <x:is>
          <x:t xml:space="preserve">very fast / cheaper / lower intelligence</x:t>
        </x:is>
      </x:c>
      <x:c r="D12" s="12" t="n">
        <x:f>_xlfn.MAXIFS(Rankings!$I:$I,Rankings!$C:$C,A12)</x:f>
        <x:v>29</x:v>
      </x:c>
      <x:c r="E12" s="12" t="n">
        <x:f>_xlfn.MAXIFS(Rankings!$L:$L,Rankings!$C:$C,A12)</x:f>
        <x:v>174</x:v>
      </x:c>
      <x:c r="F12" s="12" t="n">
        <x:v>0.51</x:v>
      </x:c>
      <x:c r="G12" s="12" t="n">
        <x:v>295.4</x:v>
      </x:c>
      <x:c r="H12" s="12" t="inlineStr">
        <x:is>
          <x:t xml:space="preserve">fast simple/moderate implementation</x:t>
        </x:is>
      </x:c>
      <x:c r="I12" s="12" t="inlineStr">
        <x:is>
          <x:t xml:space="preserve">Intelligence ceiling makes subtle architecture/debugging risky.</x:t>
        </x:is>
      </x:c>
      <x:c r="J12" s="12" t="n">
        <x:v>5</x:v>
      </x:c>
      <x:c r="K12" s="12" t="n">
        <x:v>4</x:v>
      </x:c>
      <x:c r="L12" s="12" t="n">
        <x:v>2</x:v>
      </x:c>
      <x:c r="M12" s="12" t="n">
        <x:v>2</x:v>
      </x:c>
      <x:c r="N12" s="12" t="n">
        <x:v>3</x:v>
      </x:c>
      <x:c r="O12" s="12" t="n">
        <x:v>3</x:v>
      </x:c>
      <x:c r="P12" s="12" t="n">
        <x:v>2</x:v>
      </x:c>
      <x:c r="Q12" s="12" t="inlineStr">
        <x:is>
          <x:t xml:space="preserve">medium</x:t>
        </x:is>
      </x:c>
    </x:row>
    <x:row r="13">
      <x:c r="A13" s="12" t="inlineStr">
        <x:is>
          <x:t xml:space="preserve">Muse Spark 1.3</x:t>
        </x:is>
      </x:c>
      <x:c r="B13" s="12" t="inlineStr">
        <x:is>
          <x:t xml:space="preserve">Contender</x:t>
        </x:is>
      </x:c>
      <x:c r="C13" s="12" t="inlineStr">
        <x:is>
          <x:t xml:space="preserve">extremely fast / strong / cheap</x:t>
        </x:is>
      </x:c>
      <x:c r="D13" s="12" t="n">
        <x:f>_xlfn.MAXIFS(Rankings!$I:$I,Rankings!$C:$C,A13)</x:f>
        <x:v>48</x:v>
      </x:c>
      <x:c r="E13" s="12" t="n">
        <x:f>_xlfn.MAXIFS(Rankings!$L:$L,Rankings!$C:$C,A13)</x:f>
        <x:v>210</x:v>
      </x:c>
      <x:c r="F13" s="12" t="n">
        <x:v>1.37</x:v>
      </x:c>
      <x:c r="G13" s="12" t="n">
        <x:v>312.77</x:v>
      </x:c>
      <x:c r="H13" s="12" t="inlineStr">
        <x:is>
          <x:t xml:space="preserve">rapid implementation / exploration</x:t>
        </x:is>
      </x:c>
      <x:c r="I13" s="12" t="inlineStr">
        <x:is>
          <x:t xml:space="preserve">Excellent speed/intelligence mix; ecosystem maturity is the main caveat.</x:t>
        </x:is>
      </x:c>
      <x:c r="J13" s="12" t="n">
        <x:v>5</x:v>
      </x:c>
      <x:c r="K13" s="12" t="n">
        <x:v>5</x:v>
      </x:c>
      <x:c r="L13" s="12" t="n">
        <x:v>4</x:v>
      </x:c>
      <x:c r="M13" s="12" t="n">
        <x:v>4</x:v>
      </x:c>
      <x:c r="N13" s="12" t="n">
        <x:v>4</x:v>
      </x:c>
      <x:c r="O13" s="12" t="n">
        <x:v>4</x:v>
      </x:c>
      <x:c r="P13" s="12" t="n">
        <x:v>4</x:v>
      </x:c>
      <x:c r="Q13" s="12" t="inlineStr">
        <x:is>
          <x:t xml:space="preserve">medium</x:t>
        </x:is>
      </x:c>
    </x:row>
    <x:row r="14">
      <x:c r="A14" s="12" t="inlineStr">
        <x:is>
          <x:t xml:space="preserve">Gemini 3.8 Flash</x:t>
        </x:is>
      </x:c>
      <x:c r="B14" s="12" t="inlineStr">
        <x:is>
          <x:t xml:space="preserve">Contender</x:t>
        </x:is>
      </x:c>
      <x:c r="C14" s="12" t="inlineStr">
        <x:is>
          <x:t xml:space="preserve">fastest / strong / task-cost heavier</x:t>
        </x:is>
      </x:c>
      <x:c r="D14" s="12" t="n">
        <x:f>_xlfn.MAXIFS(Rankings!$I:$I,Rankings!$C:$C,A14)</x:f>
        <x:v>41</x:v>
      </x:c>
      <x:c r="E14" s="12" t="n">
        <x:f>_xlfn.MAXIFS(Rankings!$L:$L,Rankings!$C:$C,A14)</x:f>
        <x:v>311</x:v>
      </x:c>
      <x:c r="F14" s="12" t="n">
        <x:v>0.93</x:v>
      </x:c>
      <x:c r="G14" s="12" t="n">
        <x:v>231.29</x:v>
      </x:c>
      <x:c r="H14" s="12" t="inlineStr">
        <x:is>
          <x:t xml:space="preserve">fast multimodal exploration / implementation</x:t>
        </x:is>
      </x:c>
      <x:c r="I14" s="12" t="inlineStr">
        <x:is>
          <x:t xml:space="preserve">Very fast reasoning; can also waste tokens quickly when trajectory is wrong.</x:t>
        </x:is>
      </x:c>
      <x:c r="J14" s="12" t="n">
        <x:v>5</x:v>
      </x:c>
      <x:c r="K14" s="12" t="n">
        <x:v>5</x:v>
      </x:c>
      <x:c r="L14" s="12" t="n">
        <x:v>4</x:v>
      </x:c>
      <x:c r="M14" s="12" t="n">
        <x:v>4</x:v>
      </x:c>
      <x:c r="N14" s="12" t="n">
        <x:v>4</x:v>
      </x:c>
      <x:c r="O14" s="12" t="n">
        <x:v>4</x:v>
      </x:c>
      <x:c r="P14" s="12" t="n">
        <x:v>4</x:v>
      </x:c>
      <x:c r="Q14" s="12" t="inlineStr">
        <x:is>
          <x:t xml:space="preserve">medium</x:t>
        </x:is>
      </x:c>
    </x:row>
    <x:row r="15">
      <x:c r="A15" s="12" t="inlineStr">
        <x:is>
          <x:t xml:space="preserve">DeepSeek V4.1 Flash</x:t>
        </x:is>
      </x:c>
      <x:c r="B15" s="12" t="inlineStr">
        <x:is>
          <x:t xml:space="preserve">Contender</x:t>
        </x:is>
      </x:c>
      <x:c r="C15" s="12" t="inlineStr">
        <x:is>
          <x:t xml:space="preserve">ultra-cheap / fast reasoning</x:t>
        </x:is>
      </x:c>
      <x:c r="D15" s="12" t="n">
        <x:f>_xlfn.MAXIFS(Rankings!$I:$I,Rankings!$C:$C,A15)</x:f>
        <x:v>39</x:v>
      </x:c>
      <x:c r="E15" s="12" t="n">
        <x:f>_xlfn.MAXIFS(Rankings!$L:$L,Rankings!$C:$C,A15)</x:f>
        <x:v>239</x:v>
      </x:c>
      <x:c r="F15" s="12" t="n">
        <x:v>0.15</x:v>
      </x:c>
      <x:c r="G15" s="12" t="n"/>
      <x:c r="H15" s="12" t="inlineStr">
        <x:is>
          <x:t xml:space="preserve">parallel subagent / routine-moderate implementation</x:t>
        </x:is>
      </x:c>
      <x:c r="I15" s="12" t="inlineStr">
        <x:is>
          <x:t xml:space="preserve">Very strong economics; subtle ambiguous work benefits from reviewer escalation.</x:t>
        </x:is>
      </x:c>
      <x:c r="J15" s="12" t="n">
        <x:v>5</x:v>
      </x:c>
      <x:c r="K15" s="12" t="n">
        <x:v>4</x:v>
      </x:c>
      <x:c r="L15" s="12" t="n">
        <x:v>3</x:v>
      </x:c>
      <x:c r="M15" s="12" t="n">
        <x:v>3</x:v>
      </x:c>
      <x:c r="N15" s="12" t="n">
        <x:v>4</x:v>
      </x:c>
      <x:c r="O15" s="12" t="n">
        <x:v>4</x:v>
      </x:c>
      <x:c r="P15" s="12" t="n">
        <x:v>3</x:v>
      </x:c>
      <x:c r="Q15" s="12" t="inlineStr">
        <x:is>
          <x:t xml:space="preserve">medium</x:t>
        </x:is>
      </x:c>
    </x:row>
    <x:row r="16">
      <x:c r="A16" s="12" t="inlineStr">
        <x:is>
          <x:t xml:space="preserve">Kimi K3</x:t>
        </x:is>
      </x:c>
      <x:c r="B16" s="12" t="inlineStr">
        <x:is>
          <x:t xml:space="preserve">Contender</x:t>
        </x:is>
      </x:c>
      <x:c r="C16" s="12" t="inlineStr">
        <x:is>
          <x:t xml:space="preserve">smart / premium open-model</x:t>
        </x:is>
      </x:c>
      <x:c r="D16" s="12" t="n">
        <x:f>_xlfn.MAXIFS(Rankings!$I:$I,Rankings!$C:$C,A16)</x:f>
        <x:v>44</x:v>
      </x:c>
      <x:c r="E16" s="12" t="n">
        <x:f>_xlfn.MAXIFS(Rankings!$L:$L,Rankings!$C:$C,A16)</x:f>
        <x:v>0</x:v>
      </x:c>
      <x:c r="F16" s="12" t="n">
        <x:v>2</x:v>
      </x:c>
      <x:c r="G16" s="12" t="n"/>
      <x:c r="H16" s="12" t="inlineStr">
        <x:is>
          <x:t xml:space="preserve">strong open-model main/subagent</x:t>
        </x:is>
      </x:c>
      <x:c r="I16" s="12" t="inlineStr">
        <x:is>
          <x:t xml:space="preserve">High capability, but comparatively expensive to serve.</x:t>
        </x:is>
      </x:c>
      <x:c r="J16" s="12" t="n">
        <x:v>4</x:v>
      </x:c>
      <x:c r="K16" s="12" t="n">
        <x:v>5</x:v>
      </x:c>
      <x:c r="L16" s="12" t="n">
        <x:v>4</x:v>
      </x:c>
      <x:c r="M16" s="12" t="n">
        <x:v>4</x:v>
      </x:c>
      <x:c r="N16" s="12" t="n">
        <x:v>4</x:v>
      </x:c>
      <x:c r="O16" s="12" t="n">
        <x:v>4</x:v>
      </x:c>
      <x:c r="P16" s="12" t="n">
        <x:v>4</x:v>
      </x:c>
      <x:c r="Q16" s="12" t="inlineStr">
        <x:is>
          <x:t xml:space="preserve">medium</x:t>
        </x:is>
      </x:c>
    </x:row>
  </x:sheetData>
  <x:mergeCells>
    <x:mergeCell ref="A1:Q1"/>
  </x:mergeCells>
  <x:pageMargins left="0.7" right="0.7" top="0.75" bottom="0.75" header="0.3" footer="0.3"/>
</x:worksheet>
</file>

<file path=xl/worksheets/sheet7.xml><?xml version="1.0" encoding="utf-8"?>
<x:worksheet xmlns:x="http://schemas.openxmlformats.org/spreadsheetml/2006/main">
  <x:sheetFormatPr baseColWidth="8" defaultRowHeight="15"/>
  <x:cols>
    <x:col min="1" max="1" width="46" style="14" customWidth="1"/>
    <x:col min="2" max="2" width="46" style="14" customWidth="1"/>
    <x:col min="3" max="3" width="20" style="14" customWidth="1"/>
    <x:col min="4" max="4" width="20" style="14" customWidth="1"/>
    <x:col min="5" max="5" width="20" style="14" customWidth="1"/>
    <x:col min="6" max="6" width="20" style="14" customWidth="1"/>
    <x:col min="7" max="7" width="14"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14" style="14" customWidth="1"/>
    <x:col min="25" max="25" width="14" style="14" customWidth="1"/>
    <x:col min="26" max="26" width="14" style="14" customWidth="1"/>
    <x:col min="27" max="27" width="14" style="14" customWidth="1"/>
    <x:col min="28" max="28" width="14" style="14" customWidth="1"/>
    <x:col min="29" max="29" width="14" style="14" customWidth="1"/>
    <x:col min="30" max="30" width="14" style="14" customWidth="1"/>
    <x:col min="31" max="31" width="14" style="14" customWidth="1"/>
    <x:col min="32" max="32" width="14" style="14" customWidth="1"/>
    <x:col min="33" max="33" width="14" style="14" customWidth="1"/>
    <x:col min="34" max="34" width="14" style="14" customWidth="1"/>
    <x:col min="35" max="35" width="14" style="14" customWidth="1"/>
    <x:col min="36" max="36" width="14" style="14" customWidth="1"/>
    <x:col min="37" max="37" width="14" style="14" customWidth="1"/>
  </x:cols>
  <x:sheetData>
    <x:row r="1">
      <x:c r="A1" s="23" t="inlineStr">
        <x:is>
          <x:t xml:space="preserve">Formula-Driven Model / Effort Rankings</x:t>
        </x:is>
      </x:c>
      <x:c r="B1" s="15" t="n"/>
      <x:c r="C1" s="15" t="n"/>
      <x:c r="D1" s="15" t="n"/>
      <x:c r="E1" s="15" t="n"/>
      <x:c r="F1" s="15" t="n"/>
      <x:c r="G1" s="15" t="n"/>
      <x:c r="H1" s="15" t="n"/>
      <x:c r="I1" s="15" t="n"/>
      <x:c r="J1" s="15" t="n"/>
      <x:c r="K1" s="15" t="n"/>
      <x:c r="L1" s="15" t="n"/>
      <x:c r="M1" s="15" t="n"/>
      <x:c r="N1" s="15" t="n"/>
      <x:c r="O1" s="15" t="n"/>
      <x:c r="P1" s="15" t="n"/>
      <x:c r="Q1" s="15" t="n"/>
      <x:c r="R1" s="15" t="n"/>
      <x:c r="S1" s="15" t="n"/>
      <x:c r="T1" s="15" t="n"/>
      <x:c r="U1" s="15" t="n"/>
      <x:c r="V1" s="15" t="n"/>
      <x:c r="W1" s="15" t="n"/>
      <x:c r="X1" s="15" t="n"/>
      <x:c r="Y1" s="15" t="n"/>
      <x:c r="Z1" s="15" t="n"/>
      <x:c r="AA1" s="15" t="n"/>
      <x:c r="AB1" s="15" t="n"/>
      <x:c r="AC1" s="15" t="n"/>
      <x:c r="AD1" s="15" t="n"/>
      <x:c r="AE1" s="15" t="n"/>
      <x:c r="AF1" s="15" t="n"/>
      <x:c r="AG1" s="15" t="n"/>
      <x:c r="AH1" s="15" t="n"/>
      <x:c r="AI1" s="15" t="n"/>
      <x:c r="AJ1" s="15" t="n"/>
      <x:c r="AK1" s="15" t="n"/>
    </x:row>
    <x:row r="3">
      <x:c r="A3" s="6" t="inlineStr">
        <x:is>
          <x:t xml:space="preserve">test_run_key</x:t>
        </x:is>
      </x:c>
      <x:c r="B3" s="6" t="inlineStr">
        <x:is>
          <x:t xml:space="preserve">model_variant_key</x:t>
        </x:is>
      </x:c>
      <x:c r="C3" s="6" t="inlineStr">
        <x:is>
          <x:t xml:space="preserve">family</x:t>
        </x:is>
      </x:c>
      <x:c r="D3" s="6" t="inlineStr">
        <x:is>
          <x:t xml:space="preserve">creator</x:t>
        </x:is>
      </x:c>
      <x:c r="E3" s="6" t="inlineStr">
        <x:is>
          <x:t xml:space="preserve">effort</x:t>
        </x:is>
      </x:c>
      <x:c r="F3" s="6" t="inlineStr">
        <x:is>
          <x:t xml:space="preserve">benchmark_version_key</x:t>
        </x:is>
      </x:c>
      <x:c r="G3" s="6" t="inlineStr">
        <x:is>
          <x:t xml:space="preserve">raw_score</x:t>
        </x:is>
      </x:c>
      <x:c r="H3" s="6" t="inlineStr">
        <x:is>
          <x:t xml:space="preserve">version_level_factor</x:t>
        </x:is>
      </x:c>
      <x:c r="I3" s="6" t="inlineStr">
        <x:is>
          <x:t xml:space="preserve">adjusted_score</x:t>
        </x:is>
      </x:c>
      <x:c r="J3" s="6" t="inlineStr">
        <x:is>
          <x:t xml:space="preserve">cost_task</x:t>
        </x:is>
      </x:c>
      <x:c r="K3" s="6" t="inlineStr">
        <x:is>
          <x:t xml:space="preserve">time_task_sec</x:t>
        </x:is>
      </x:c>
      <x:c r="L3" s="6" t="inlineStr">
        <x:is>
          <x:t xml:space="preserve">speed_tps</x:t>
        </x:is>
      </x:c>
      <x:c r="M3" s="6" t="inlineStr">
        <x:is>
          <x:t xml:space="preserve">qual_status</x:t>
        </x:is>
      </x:c>
      <x:c r="N3" s="6" t="inlineStr">
        <x:is>
          <x:t xml:space="preserve">availability</x:t>
        </x:is>
      </x:c>
      <x:c r="O3" s="6" t="inlineStr">
        <x:is>
          <x:t xml:space="preserve">eligible</x:t>
        </x:is>
      </x:c>
      <x:c r="P3" s="6" t="inlineStr">
        <x:is>
          <x:t xml:space="preserve">target</x:t>
        </x:is>
      </x:c>
      <x:c r="Q3" s="6" t="inlineStr">
        <x:is>
          <x:t xml:space="preserve">usable_units</x:t>
        </x:is>
      </x:c>
      <x:c r="R3" s="6" t="inlineStr">
        <x:is>
          <x:t xml:space="preserve">intel_eff_per_$</x:t>
        </x:is>
      </x:c>
      <x:c r="S3" s="6" t="inlineStr">
        <x:is>
          <x:t xml:space="preserve">$/usable_unit</x:t>
        </x:is>
      </x:c>
      <x:c r="T3" s="6" t="inlineStr">
        <x:is>
          <x:t xml:space="preserve">speed_eff_per_$minute</x:t>
        </x:is>
      </x:c>
      <x:c r="U3" s="6" t="inlineStr">
        <x:is>
          <x:t xml:space="preserve">abs_intel_norm</x:t>
        </x:is>
      </x:c>
      <x:c r="V3" s="6" t="inlineStr">
        <x:is>
          <x:t xml:space="preserve">abs_speed_norm</x:t>
        </x:is>
      </x:c>
      <x:c r="W3" s="6" t="inlineStr">
        <x:is>
          <x:t xml:space="preserve">cost_norm</x:t>
        </x:is>
      </x:c>
      <x:c r="X3" s="6" t="inlineStr">
        <x:is>
          <x:t xml:space="preserve">intel_eff_norm</x:t>
        </x:is>
      </x:c>
      <x:c r="Y3" s="6" t="inlineStr">
        <x:is>
          <x:t xml:space="preserve">speed_eff_norm</x:t>
        </x:is>
      </x:c>
      <x:c r="Z3" s="6" t="inlineStr">
        <x:is>
          <x:t xml:space="preserve">balanced_value</x:t>
        </x:is>
      </x:c>
      <x:c r="AA3" s="6" t="inlineStr">
        <x:is>
          <x:t xml:space="preserve">smart_value</x:t>
        </x:is>
      </x:c>
      <x:c r="AB3" s="6" t="inlineStr">
        <x:is>
          <x:t xml:space="preserve">speed_value</x:t>
        </x:is>
      </x:c>
      <x:c r="AC3" s="6" t="inlineStr">
        <x:is>
          <x:t xml:space="preserve">speed_x_intel</x:t>
        </x:is>
      </x:c>
      <x:c r="AD3" s="6" t="inlineStr">
        <x:is>
          <x:t xml:space="preserve">points_per_dollar</x:t>
        </x:is>
      </x:c>
      <x:c r="AE3" s="6" t="inlineStr">
        <x:is>
          <x:t xml:space="preserve">points_per_second</x:t>
        </x:is>
      </x:c>
      <x:c r="AF3" s="6" t="inlineStr">
        <x:is>
          <x:t xml:space="preserve">rank_balanced</x:t>
        </x:is>
      </x:c>
      <x:c r="AG3" s="6" t="inlineStr">
        <x:is>
          <x:t xml:space="preserve">rank_smart</x:t>
        </x:is>
      </x:c>
      <x:c r="AH3" s="6" t="inlineStr">
        <x:is>
          <x:t xml:space="preserve">rank_speed</x:t>
        </x:is>
      </x:c>
      <x:c r="AI3" s="6" t="inlineStr">
        <x:is>
          <x:t xml:space="preserve">rank_intelligence</x:t>
        </x:is>
      </x:c>
      <x:c r="AJ3" s="6" t="inlineStr">
        <x:is>
          <x:t xml:space="preserve">rank_abs_speed</x:t>
        </x:is>
      </x:c>
      <x:c r="AK3" s="6" t="inlineStr">
        <x:is>
          <x:t xml:space="preserve">rank_low_cost</x:t>
        </x:is>
      </x:c>
    </x:row>
    <x:row r="4" s="14" customFormat="1">
      <x:c r="A4" t="inlineStr">
        <x:is>
          <x:t xml:space="preserve">openai|gpt-6-luna|non-reasoning|nonreasoning|fallback-na|aa-v4.3.2|snapshot-2026-09-28</x:t>
        </x:is>
      </x:c>
      <x:c r="B4" t="inlineStr">
        <x:is>
          <x:t xml:space="preserve">openai|gpt-6-luna|non-reasoning|nonreasoning|fallback-na</x:t>
        </x:is>
      </x:c>
      <x:c r="C4" t="inlineStr">
        <x:is>
          <x:t xml:space="preserve">GPT-6 Luna</x:t>
        </x:is>
      </x:c>
      <x:c r="D4" t="inlineStr">
        <x:is>
          <x:t xml:space="preserve">OpenAI</x:t>
        </x:is>
      </x:c>
      <x:c r="E4" t="inlineStr">
        <x:is>
          <x:t xml:space="preserve">non-reasoning</x:t>
        </x:is>
      </x:c>
      <x:c r="F4" t="inlineStr">
        <x:is>
          <x:t xml:space="preserve">AA|v4.3.2</x:t>
        </x:is>
      </x:c>
      <x:c r="G4" t="n">
        <x:v>18</x:v>
      </x:c>
      <x:c r="H4" t="n">
        <x:f>IFERROR(INDEX(Benchmark_Versions!$I:$I,MATCH(F4,Benchmark_Versions!$A:$A,0)),1)</x:f>
        <x:v>1</x:v>
      </x:c>
      <x:c r="I4" t="n">
        <x:f>IF(G4="","",G4*H4)</x:f>
        <x:v>18</x:v>
      </x:c>
      <x:c r="J4" s="69" t="n">
        <x:v>0.01</x:v>
      </x:c>
      <x:c r="K4" t="n">
        <x:v>25.35</x:v>
      </x:c>
      <x:c r="L4" t="n">
        <x:v>144</x:v>
      </x:c>
      <x:c r="M4" t="inlineStr">
        <x:is>
          <x:t xml:space="preserve">Contender</x:t>
        </x:is>
      </x:c>
      <x:c r="N4" t="inlineStr">
        <x:is>
          <x:t xml:space="preserve">yes</x:t>
        </x:is>
      </x:c>
      <x:c r="O4" t="n">
        <x:f>IF(F4&lt;&gt;Controls!$C$12,0,IF(AND(Controls!$C$10="Contender",M4&lt;&gt;"Contender"),0,IF(AND(Controls!$C$10="Contender+Close",NOT(OR(M4="Contender",M4="Close"))),0,IF(AND(Controls!$C$11="Current",NOT(OR(N4="yes",N4="limited"))),0,1))))</x:f>
        <x:v>1</x:v>
      </x:c>
      <x:c r="P4" t="n">
        <x:f>Controls!$C$7</x:f>
        <x:v>40</x:v>
      </x:c>
      <x:c r="Q4" t="n">
        <x:f>IF(I4="","",I4-(P4-1))</x:f>
        <x:v>-21</x:v>
      </x:c>
      <x:c r="R4" t="str">
        <x:f>IF(OR(O4=0,Q4&lt;=0,J4="",J4=0),"",Q4/J4)</x:f>
      </x:c>
      <x:c r="S4" t="str">
        <x:f>IF(OR(O4=0,Q4&lt;=0,J4="",Q4=0),"",J4/Q4)</x:f>
      </x:c>
      <x:c r="T4" t="str">
        <x:f>IF(OR(O4=0,Q4&lt;=0,J4="",K4="",J4=0,K4=0),"",Q4/(J4*(K4/60)))</x:f>
      </x:c>
      <x:c r="U4" t="n">
        <x:f>IF(OR(O4=0,I4=""),"",I4/_xlfn.MAXIFS($I$4:$I$141,$O$4:$O$141,1))</x:f>
        <x:v>0.3103448275862069</x:v>
      </x:c>
      <x:c r="V4" t="n">
        <x:f>IF(OR(O4=0,L4=""),"",L4/_xlfn.MAXIFS($L$4:$L$141,$O$4:$O$141,1))</x:f>
        <x:v>0.4630225080385852</x:v>
      </x:c>
      <x:c r="W4" t="n">
        <x:f>IF(OR(O4=0,J4=""),"",_xlfn.MINIFS($J$4:$J$141,$O$4:$O$141,1,$J$4:$J$141,"&gt;0")/J4)</x:f>
        <x:v>0.44999999999999996</x:v>
      </x:c>
      <x:c r="X4" t="str">
        <x:f>IF(R4="","",R4/_xlfn.MAXIFS($R$4:$R$141,$O$4:$O$141,1))</x:f>
      </x:c>
      <x:c r="Y4" t="str">
        <x:f>IF(T4="","",T4/_xlfn.MAXIFS($T$4:$T$141,$O$4:$O$141,1))</x:f>
      </x:c>
      <x:c r="Z4" s="67" t="str">
        <x:f>IF(OR(X4="",Y4=""),"",SQRT(X4*Y4))</x:f>
      </x:c>
      <x:c r="AA4" s="67" t="str">
        <x:f>IF(OR(X4="",Y4=""),"",X4^Controls!$C$8*Y4^Controls!$C$9)</x:f>
      </x:c>
      <x:c r="AB4" s="67" t="str">
        <x:f>IF(OR(X4="",Y4=""),"",X4^Controls!$C$9*Y4^Controls!$C$8)</x:f>
      </x:c>
      <x:c r="AC4" t="n">
        <x:f>IF(OR(U4="",V4=""),"",SQRT(U4*V4))</x:f>
        <x:v>0.3790733971485836</x:v>
      </x:c>
      <x:c r="AD4" t="n">
        <x:f>IF(OR(I4="",J4="",J4=0),"",I4/J4)</x:f>
        <x:v>1800</x:v>
      </x:c>
      <x:c r="AE4" t="n">
        <x:f>IF(OR(I4="",K4="",K4=0),"",I4/K4)</x:f>
        <x:v>0.7100591715976331</x:v>
      </x:c>
      <x:c r="AF4" t="str">
        <x:f>IF(Z4="","",1+COUNTIF($Z$4:$Z$141,"&gt;"&amp;Z4)+COUNTIFS($Z$4:Z4,Z4)-1)</x:f>
      </x:c>
      <x:c r="AG4" t="str">
        <x:f>IF(AA4="","",1+COUNTIF($AA$4:$AA$141,"&gt;"&amp;AA4)+COUNTIFS($AA$4:AA4,AA4)-1)</x:f>
      </x:c>
      <x:c r="AH4" t="str">
        <x:f>IF(AB4="","",1+COUNTIF($AB$4:$AB$141,"&gt;"&amp;AB4)+COUNTIFS($AB$4:AB4,AB4)-1)</x:f>
      </x:c>
      <x:c r="AI4" t="n">
        <x:f>IF(OR(O4=0,I4=""),"",1+COUNTIFS($O$4:$O$141,1,$I$4:$I$141,"&gt;"&amp;I4)+COUNTIFS($O$4:O4,1,$I$4:I4,I4)-1)</x:f>
        <x:v>43</x:v>
      </x:c>
      <x:c r="AJ4" t="n">
        <x:f>IF(OR(O4=0,L4=""),"",1+COUNTIFS($O$4:$O$141,1,$L$4:$L$141,"&gt;"&amp;L4)+COUNTIFS($O$4:O4,1,$L$4:L4,L4)-1)</x:f>
        <x:v>11</x:v>
      </x:c>
      <x:c r="AK4" t="n">
        <x:f>IF(OR(O4=0,J4="",J4=0),"",1+COUNTIFS($O$4:$O$141,1,$J$4:$J$141,"&lt;"&amp;J4,$J$4:$J$141,"&gt;0")+COUNTIFS($O$4:O4,1,$J$4:J4,J4)-1)</x:f>
        <x:v>2</x:v>
      </x:c>
    </x:row>
    <x:row r="5">
      <x:c r="A5" t="inlineStr">
        <x:is>
          <x:t xml:space="preserve">openai|gpt-6-luna|low|reasoning|fallback-na|aa-v4.3.2|snapshot-2026-09-28</x:t>
        </x:is>
      </x:c>
      <x:c r="B5" t="inlineStr">
        <x:is>
          <x:t xml:space="preserve">openai|gpt-6-luna|low|reasoning|fallback-na</x:t>
        </x:is>
      </x:c>
      <x:c r="C5" t="inlineStr">
        <x:is>
          <x:t xml:space="preserve">GPT-6 Luna</x:t>
        </x:is>
      </x:c>
      <x:c r="D5" t="inlineStr">
        <x:is>
          <x:t xml:space="preserve">OpenAI</x:t>
        </x:is>
      </x:c>
      <x:c r="E5" t="inlineStr">
        <x:is>
          <x:t xml:space="preserve">low</x:t>
        </x:is>
      </x:c>
      <x:c r="F5" t="inlineStr">
        <x:is>
          <x:t xml:space="preserve">AA|v4.3.2</x:t>
        </x:is>
      </x:c>
      <x:c r="G5" t="n">
        <x:v>21</x:v>
      </x:c>
      <x:c r="H5" t="n">
        <x:f>IFERROR(INDEX(Benchmark_Versions!$I:$I,MATCH(F5,Benchmark_Versions!$A:$A,0)),1)</x:f>
        <x:v>1</x:v>
      </x:c>
      <x:c r="I5" t="n">
        <x:f>IF(G5="","",G5*H5)</x:f>
        <x:v>21</x:v>
      </x:c>
      <x:c r="J5" s="69" t="n">
        <x:v>0.0045</x:v>
      </x:c>
      <x:c r="K5" t="n">
        <x:v>14.13</x:v>
      </x:c>
      <x:c r="L5" t="n">
        <x:v>145</x:v>
      </x:c>
      <x:c r="M5" t="inlineStr">
        <x:is>
          <x:t xml:space="preserve">Contender</x:t>
        </x:is>
      </x:c>
      <x:c r="N5" t="inlineStr">
        <x:is>
          <x:t xml:space="preserve">yes</x:t>
        </x:is>
      </x:c>
      <x:c r="O5" t="n">
        <x:f>IF(F5&lt;&gt;Controls!$C$12,0,IF(AND(Controls!$C$10="Contender",M5&lt;&gt;"Contender"),0,IF(AND(Controls!$C$10="Contender+Close",NOT(OR(M5="Contender",M5="Close"))),0,IF(AND(Controls!$C$11="Current",NOT(OR(N5="yes",N5="limited"))),0,1))))</x:f>
        <x:v>1</x:v>
      </x:c>
      <x:c r="P5" t="n">
        <x:f>Controls!$C$7</x:f>
        <x:v>40</x:v>
      </x:c>
      <x:c r="Q5" t="n">
        <x:f>IF(I5="","",I5-(P5-1))</x:f>
        <x:v>-18</x:v>
      </x:c>
      <x:c r="R5" t="str">
        <x:f>IF(OR(O5=0,Q5&lt;=0,J5="",J5=0),"",Q5/J5)</x:f>
      </x:c>
      <x:c r="S5" t="str">
        <x:f>IF(OR(O5=0,Q5&lt;=0,J5="",Q5=0),"",J5/Q5)</x:f>
      </x:c>
      <x:c r="T5" t="str">
        <x:f>IF(OR(O5=0,Q5&lt;=0,J5="",K5="",J5=0,K5=0),"",Q5/(J5*(K5/60)))</x:f>
      </x:c>
      <x:c r="U5" t="n">
        <x:f>IF(OR(O5=0,I5=""),"",I5/_xlfn.MAXIFS($I$4:$I$141,$O$4:$O$141,1))</x:f>
        <x:v>0.3620689655172414</x:v>
      </x:c>
      <x:c r="V5" t="n">
        <x:f>IF(OR(O5=0,L5=""),"",L5/_xlfn.MAXIFS($L$4:$L$141,$O$4:$O$141,1))</x:f>
        <x:v>0.4662379421221865</x:v>
      </x:c>
      <x:c r="W5" t="n">
        <x:f>IF(OR(O5=0,J5=""),"",_xlfn.MINIFS($J$4:$J$141,$O$4:$O$141,1,$J$4:$J$141,"&gt;0")/J5)</x:f>
        <x:v>1</x:v>
      </x:c>
      <x:c r="X5" t="str">
        <x:f>IF(R5="","",R5/_xlfn.MAXIFS($R$4:$R$141,$O$4:$O$141,1))</x:f>
      </x:c>
      <x:c r="Y5" t="str">
        <x:f>IF(T5="","",T5/_xlfn.MAXIFS($T$4:$T$141,$O$4:$O$141,1))</x:f>
      </x:c>
      <x:c r="Z5" s="67" t="str">
        <x:f>IF(OR(X5="",Y5=""),"",SQRT(X5*Y5))</x:f>
      </x:c>
      <x:c r="AA5" s="67" t="str">
        <x:f>IF(OR(X5="",Y5=""),"",X5^Controls!$C$8*Y5^Controls!$C$9)</x:f>
      </x:c>
      <x:c r="AB5" s="67" t="str">
        <x:f>IF(OR(X5="",Y5=""),"",X5^Controls!$C$9*Y5^Controls!$C$8)</x:f>
      </x:c>
      <x:c r="AC5" t="n">
        <x:f>IF(OR(U5="",V5=""),"",SQRT(U5*V5))</x:f>
        <x:v>0.4108652934832383</x:v>
      </x:c>
      <x:c r="AD5" t="n">
        <x:f>IF(OR(I5="",J5="",J5=0),"",I5/J5)</x:f>
        <x:v>4666.666666666667</x:v>
      </x:c>
      <x:c r="AE5" t="n">
        <x:f>IF(OR(I5="",K5="",K5=0),"",I5/K5)</x:f>
        <x:v>1.4861995753715498</x:v>
      </x:c>
      <x:c r="AF5" t="str">
        <x:f>IF(Z5="","",1+COUNTIF($Z$4:$Z$141,"&gt;"&amp;Z5)+COUNTIFS($Z$4:Z5,Z5)-1)</x:f>
      </x:c>
      <x:c r="AG5" t="str">
        <x:f>IF(AA5="","",1+COUNTIF($AA$4:$AA$141,"&gt;"&amp;AA5)+COUNTIFS($AA$4:AA5,AA5)-1)</x:f>
      </x:c>
      <x:c r="AH5" t="str">
        <x:f>IF(AB5="","",1+COUNTIF($AB$4:$AB$141,"&gt;"&amp;AB5)+COUNTIFS($AB$4:AB5,AB5)-1)</x:f>
      </x:c>
      <x:c r="AI5" t="n">
        <x:f>IF(OR(O5=0,I5=""),"",1+COUNTIFS($O$4:$O$141,1,$I$4:$I$141,"&gt;"&amp;I5)+COUNTIFS($O$4:O5,1,$I$4:I5,I5)-1)</x:f>
        <x:v>42</x:v>
      </x:c>
      <x:c r="AJ5" t="n">
        <x:f>IF(OR(O5=0,L5=""),"",1+COUNTIFS($O$4:$O$141,1,$L$4:$L$141,"&gt;"&amp;L5)+COUNTIFS($O$4:O5,1,$L$4:L5,L5)-1)</x:f>
        <x:v>10</x:v>
      </x:c>
      <x:c r="AK5" t="n">
        <x:f>IF(OR(O5=0,J5="",J5=0),"",1+COUNTIFS($O$4:$O$141,1,$J$4:$J$141,"&lt;"&amp;J5,$J$4:$J$141,"&gt;0")+COUNTIFS($O$4:O5,1,$J$4:J5,J5)-1)</x:f>
        <x:v>1</x:v>
      </x:c>
    </x:row>
    <x:row r="6">
      <x:c r="A6" t="inlineStr">
        <x:is>
          <x:t xml:space="preserve">openai|gpt-6-luna|medium|reasoning|fallback-na|aa-v4.3.2|snapshot-2026-09-28</x:t>
        </x:is>
      </x:c>
      <x:c r="B6" t="inlineStr">
        <x:is>
          <x:t xml:space="preserve">openai|gpt-6-luna|medium|reasoning|fallback-na</x:t>
        </x:is>
      </x:c>
      <x:c r="C6" t="inlineStr">
        <x:is>
          <x:t xml:space="preserve">GPT-6 Luna</x:t>
        </x:is>
      </x:c>
      <x:c r="D6" t="inlineStr">
        <x:is>
          <x:t xml:space="preserve">OpenAI</x:t>
        </x:is>
      </x:c>
      <x:c r="E6" t="inlineStr">
        <x:is>
          <x:t xml:space="preserve">medium</x:t>
        </x:is>
      </x:c>
      <x:c r="F6" t="inlineStr">
        <x:is>
          <x:t xml:space="preserve">AA|v4.3.2</x:t>
        </x:is>
      </x:c>
      <x:c r="G6" t="n">
        <x:v>29</x:v>
      </x:c>
      <x:c r="H6" t="n">
        <x:f>IFERROR(INDEX(Benchmark_Versions!$I:$I,MATCH(F6,Benchmark_Versions!$A:$A,0)),1)</x:f>
        <x:v>1</x:v>
      </x:c>
      <x:c r="I6" t="n">
        <x:f>IF(G6="","",G6*H6)</x:f>
        <x:v>29</x:v>
      </x:c>
      <x:c r="J6" s="69" t="n">
        <x:v>0.02</x:v>
      </x:c>
      <x:c r="M6" t="inlineStr">
        <x:is>
          <x:t xml:space="preserve">Contender</x:t>
        </x:is>
      </x:c>
      <x:c r="N6" t="inlineStr">
        <x:is>
          <x:t xml:space="preserve">yes</x:t>
        </x:is>
      </x:c>
      <x:c r="O6" t="n">
        <x:f>IF(F6&lt;&gt;Controls!$C$12,0,IF(AND(Controls!$C$10="Contender",M6&lt;&gt;"Contender"),0,IF(AND(Controls!$C$10="Contender+Close",NOT(OR(M6="Contender",M6="Close"))),0,IF(AND(Controls!$C$11="Current",NOT(OR(N6="yes",N6="limited"))),0,1))))</x:f>
        <x:v>1</x:v>
      </x:c>
      <x:c r="P6" t="n">
        <x:f>Controls!$C$7</x:f>
        <x:v>40</x:v>
      </x:c>
      <x:c r="Q6" t="n">
        <x:f>IF(I6="","",I6-(P6-1))</x:f>
        <x:v>-10</x:v>
      </x:c>
      <x:c r="R6" t="str">
        <x:f>IF(OR(O6=0,Q6&lt;=0,J6="",J6=0),"",Q6/J6)</x:f>
      </x:c>
      <x:c r="S6" t="str">
        <x:f>IF(OR(O6=0,Q6&lt;=0,J6="",Q6=0),"",J6/Q6)</x:f>
      </x:c>
      <x:c r="T6" t="str">
        <x:f>IF(OR(O6=0,Q6&lt;=0,J6="",K6="",J6=0,K6=0),"",Q6/(J6*(K6/60)))</x:f>
      </x:c>
      <x:c r="U6" t="n">
        <x:f>IF(OR(O6=0,I6=""),"",I6/_xlfn.MAXIFS($I$4:$I$141,$O$4:$O$141,1))</x:f>
        <x:v>0.5</x:v>
      </x:c>
      <x:c r="V6" t="str">
        <x:f>IF(OR(O6=0,L6=""),"",L6/_xlfn.MAXIFS($L$4:$L$141,$O$4:$O$141,1))</x:f>
      </x:c>
      <x:c r="W6" t="n">
        <x:f>IF(OR(O6=0,J6=""),"",_xlfn.MINIFS($J$4:$J$141,$O$4:$O$141,1,$J$4:$J$141,"&gt;0")/J6)</x:f>
        <x:v>0.22499999999999998</x:v>
      </x:c>
      <x:c r="X6" t="str">
        <x:f>IF(R6="","",R6/_xlfn.MAXIFS($R$4:$R$141,$O$4:$O$141,1))</x:f>
      </x:c>
      <x:c r="Y6" t="str">
        <x:f>IF(T6="","",T6/_xlfn.MAXIFS($T$4:$T$141,$O$4:$O$141,1))</x:f>
      </x:c>
      <x:c r="Z6" s="67" t="str">
        <x:f>IF(OR(X6="",Y6=""),"",SQRT(X6*Y6))</x:f>
      </x:c>
      <x:c r="AA6" s="67" t="str">
        <x:f>IF(OR(X6="",Y6=""),"",X6^Controls!$C$8*Y6^Controls!$C$9)</x:f>
      </x:c>
      <x:c r="AB6" s="67" t="str">
        <x:f>IF(OR(X6="",Y6=""),"",X6^Controls!$C$9*Y6^Controls!$C$8)</x:f>
      </x:c>
      <x:c r="AC6" t="str">
        <x:f>IF(OR(U6="",V6=""),"",SQRT(U6*V6))</x:f>
      </x:c>
      <x:c r="AD6" t="n">
        <x:f>IF(OR(I6="",J6="",J6=0),"",I6/J6)</x:f>
        <x:v>1450</x:v>
      </x:c>
      <x:c r="AE6" t="str">
        <x:f>IF(OR(I6="",K6="",K6=0),"",I6/K6)</x:f>
      </x:c>
      <x:c r="AF6" t="str">
        <x:f>IF(Z6="","",1+COUNTIF($Z$4:$Z$141,"&gt;"&amp;Z6)+COUNTIFS($Z$4:Z6,Z6)-1)</x:f>
      </x:c>
      <x:c r="AG6" t="str">
        <x:f>IF(AA6="","",1+COUNTIF($AA$4:$AA$141,"&gt;"&amp;AA6)+COUNTIFS($AA$4:AA6,AA6)-1)</x:f>
      </x:c>
      <x:c r="AH6" t="str">
        <x:f>IF(AB6="","",1+COUNTIF($AB$4:$AB$141,"&gt;"&amp;AB6)+COUNTIFS($AB$4:AB6,AB6)-1)</x:f>
      </x:c>
      <x:c r="AI6" t="n">
        <x:f>IF(OR(O6=0,I6=""),"",1+COUNTIFS($O$4:$O$141,1,$I$4:$I$141,"&gt;"&amp;I6)+COUNTIFS($O$4:O6,1,$I$4:I6,I6)-1)</x:f>
        <x:v>38</x:v>
      </x:c>
      <x:c r="AJ6" t="str">
        <x:f>IF(OR(O6=0,L6=""),"",1+COUNTIFS($O$4:$O$141,1,$L$4:$L$141,"&gt;"&amp;L6)+COUNTIFS($O$4:O6,1,$L$4:L6,L6)-1)</x:f>
      </x:c>
      <x:c r="AK6" t="n">
        <x:f>IF(OR(O6=0,J6="",J6=0),"",1+COUNTIFS($O$4:$O$141,1,$J$4:$J$141,"&lt;"&amp;J6,$J$4:$J$141,"&gt;0")+COUNTIFS($O$4:O6,1,$J$4:J6,J6)-1)</x:f>
        <x:v>3</x:v>
      </x:c>
    </x:row>
    <x:row r="7">
      <x:c r="A7" t="inlineStr">
        <x:is>
          <x:t xml:space="preserve">openai|gpt-6-luna|high|reasoning|fallback-na|aa-v4.3.2|snapshot-2026-09-28</x:t>
        </x:is>
      </x:c>
      <x:c r="B7" t="inlineStr">
        <x:is>
          <x:t xml:space="preserve">openai|gpt-6-luna|high|reasoning|fallback-na</x:t>
        </x:is>
      </x:c>
      <x:c r="C7" t="inlineStr">
        <x:is>
          <x:t xml:space="preserve">GPT-6 Luna</x:t>
        </x:is>
      </x:c>
      <x:c r="D7" t="inlineStr">
        <x:is>
          <x:t xml:space="preserve">OpenAI</x:t>
        </x:is>
      </x:c>
      <x:c r="E7" t="inlineStr">
        <x:is>
          <x:t xml:space="preserve">high</x:t>
        </x:is>
      </x:c>
      <x:c r="F7" t="inlineStr">
        <x:is>
          <x:t xml:space="preserve">AA|v4.3.2</x:t>
        </x:is>
      </x:c>
      <x:c r="G7" t="n">
        <x:v>32</x:v>
      </x:c>
      <x:c r="H7" t="n">
        <x:f>IFERROR(INDEX(Benchmark_Versions!$I:$I,MATCH(F7,Benchmark_Versions!$A:$A,0)),1)</x:f>
        <x:v>1</x:v>
      </x:c>
      <x:c r="I7" t="n">
        <x:f>IF(G7="","",G7*H7)</x:f>
        <x:v>32</x:v>
      </x:c>
      <x:c r="J7" s="69" t="n">
        <x:v>0.03</x:v>
      </x:c>
      <x:c r="K7" t="n">
        <x:v>130.19</x:v>
      </x:c>
      <x:c r="L7" t="n">
        <x:v>152</x:v>
      </x:c>
      <x:c r="M7" t="inlineStr">
        <x:is>
          <x:t xml:space="preserve">Contender</x:t>
        </x:is>
      </x:c>
      <x:c r="N7" t="inlineStr">
        <x:is>
          <x:t xml:space="preserve">yes</x:t>
        </x:is>
      </x:c>
      <x:c r="O7" t="n">
        <x:f>IF(F7&lt;&gt;Controls!$C$12,0,IF(AND(Controls!$C$10="Contender",M7&lt;&gt;"Contender"),0,IF(AND(Controls!$C$10="Contender+Close",NOT(OR(M7="Contender",M7="Close"))),0,IF(AND(Controls!$C$11="Current",NOT(OR(N7="yes",N7="limited"))),0,1))))</x:f>
        <x:v>1</x:v>
      </x:c>
      <x:c r="P7" t="n">
        <x:f>Controls!$C$7</x:f>
        <x:v>40</x:v>
      </x:c>
      <x:c r="Q7" t="n">
        <x:f>IF(I7="","",I7-(P7-1))</x:f>
        <x:v>-7</x:v>
      </x:c>
      <x:c r="R7" t="str">
        <x:f>IF(OR(O7=0,Q7&lt;=0,J7="",J7=0),"",Q7/J7)</x:f>
      </x:c>
      <x:c r="S7" t="str">
        <x:f>IF(OR(O7=0,Q7&lt;=0,J7="",Q7=0),"",J7/Q7)</x:f>
      </x:c>
      <x:c r="T7" t="str">
        <x:f>IF(OR(O7=0,Q7&lt;=0,J7="",K7="",J7=0,K7=0),"",Q7/(J7*(K7/60)))</x:f>
      </x:c>
      <x:c r="U7" t="n">
        <x:f>IF(OR(O7=0,I7=""),"",I7/_xlfn.MAXIFS($I$4:$I$141,$O$4:$O$141,1))</x:f>
        <x:v>0.5517241379310345</x:v>
      </x:c>
      <x:c r="V7" t="n">
        <x:f>IF(OR(O7=0,L7=""),"",L7/_xlfn.MAXIFS($L$4:$L$141,$O$4:$O$141,1))</x:f>
        <x:v>0.4887459807073955</x:v>
      </x:c>
      <x:c r="W7" t="n">
        <x:f>IF(OR(O7=0,J7=""),"",_xlfn.MINIFS($J$4:$J$141,$O$4:$O$141,1,$J$4:$J$141,"&gt;0")/J7)</x:f>
        <x:v>0.15</x:v>
      </x:c>
      <x:c r="X7" t="str">
        <x:f>IF(R7="","",R7/_xlfn.MAXIFS($R$4:$R$141,$O$4:$O$141,1))</x:f>
      </x:c>
      <x:c r="Y7" t="str">
        <x:f>IF(T7="","",T7/_xlfn.MAXIFS($T$4:$T$141,$O$4:$O$141,1))</x:f>
      </x:c>
      <x:c r="Z7" s="67" t="str">
        <x:f>IF(OR(X7="",Y7=""),"",SQRT(X7*Y7))</x:f>
      </x:c>
      <x:c r="AA7" s="67" t="str">
        <x:f>IF(OR(X7="",Y7=""),"",X7^Controls!$C$8*Y7^Controls!$C$9)</x:f>
      </x:c>
      <x:c r="AB7" s="67" t="str">
        <x:f>IF(OR(X7="",Y7=""),"",X7^Controls!$C$9*Y7^Controls!$C$8)</x:f>
      </x:c>
      <x:c r="AC7" t="n">
        <x:f>IF(OR(U7="",V7=""),"",SQRT(U7*V7))</x:f>
        <x:v>0.5192811905634999</x:v>
      </x:c>
      <x:c r="AD7" t="n">
        <x:f>IF(OR(I7="",J7="",J7=0),"",I7/J7)</x:f>
        <x:v>1066.6666666666667</x:v>
      </x:c>
      <x:c r="AE7" t="n">
        <x:f>IF(OR(I7="",K7="",K7=0),"",I7/K7)</x:f>
        <x:v>0.2457946078807896</x:v>
      </x:c>
      <x:c r="AF7" t="str">
        <x:f>IF(Z7="","",1+COUNTIF($Z$4:$Z$141,"&gt;"&amp;Z7)+COUNTIFS($Z$4:Z7,Z7)-1)</x:f>
      </x:c>
      <x:c r="AG7" t="str">
        <x:f>IF(AA7="","",1+COUNTIF($AA$4:$AA$141,"&gt;"&amp;AA7)+COUNTIFS($AA$4:AA7,AA7)-1)</x:f>
      </x:c>
      <x:c r="AH7" t="str">
        <x:f>IF(AB7="","",1+COUNTIF($AB$4:$AB$141,"&gt;"&amp;AB7)+COUNTIFS($AB$4:AB7,AB7)-1)</x:f>
      </x:c>
      <x:c r="AI7" t="n">
        <x:f>IF(OR(O7=0,I7=""),"",1+COUNTIFS($O$4:$O$141,1,$I$4:$I$141,"&gt;"&amp;I7)+COUNTIFS($O$4:O7,1,$I$4:I7,I7)-1)</x:f>
        <x:v>37</x:v>
      </x:c>
      <x:c r="AJ7" t="n">
        <x:f>IF(OR(O7=0,L7=""),"",1+COUNTIFS($O$4:$O$141,1,$L$4:$L$141,"&gt;"&amp;L7)+COUNTIFS($O$4:O7,1,$L$4:L7,L7)-1)</x:f>
        <x:v>9</x:v>
      </x:c>
      <x:c r="AK7" t="n">
        <x:f>IF(OR(O7=0,J7="",J7=0),"",1+COUNTIFS($O$4:$O$141,1,$J$4:$J$141,"&lt;"&amp;J7,$J$4:$J$141,"&gt;0")+COUNTIFS($O$4:O7,1,$J$4:J7,J7)-1)</x:f>
        <x:v>4</x:v>
      </x:c>
    </x:row>
    <x:row r="8">
      <x:c r="A8" t="inlineStr">
        <x:is>
          <x:t xml:space="preserve">openai|gpt-6-luna|xhigh|reasoning|fallback-na|aa-v4.3.2|snapshot-2026-09-28</x:t>
        </x:is>
      </x:c>
      <x:c r="B8" t="inlineStr">
        <x:is>
          <x:t xml:space="preserve">openai|gpt-6-luna|xhigh|reasoning|fallback-na</x:t>
        </x:is>
      </x:c>
      <x:c r="C8" t="inlineStr">
        <x:is>
          <x:t xml:space="preserve">GPT-6 Luna</x:t>
        </x:is>
      </x:c>
      <x:c r="D8" t="inlineStr">
        <x:is>
          <x:t xml:space="preserve">OpenAI</x:t>
        </x:is>
      </x:c>
      <x:c r="E8" t="inlineStr">
        <x:is>
          <x:t xml:space="preserve">xhigh</x:t>
        </x:is>
      </x:c>
      <x:c r="F8" t="inlineStr">
        <x:is>
          <x:t xml:space="preserve">AA|v4.3.2</x:t>
        </x:is>
      </x:c>
      <x:c r="G8" t="n">
        <x:v>34</x:v>
      </x:c>
      <x:c r="H8" t="n">
        <x:f>IFERROR(INDEX(Benchmark_Versions!$I:$I,MATCH(F8,Benchmark_Versions!$A:$A,0)),1)</x:f>
        <x:v>1</x:v>
      </x:c>
      <x:c r="I8" t="n">
        <x:f>IF(G8="","",G8*H8)</x:f>
        <x:v>34</x:v>
      </x:c>
      <x:c r="J8" s="69" t="n">
        <x:v>0.04</x:v>
      </x:c>
      <x:c r="K8" t="n">
        <x:v>174.23</x:v>
      </x:c>
      <x:c r="L8" t="n">
        <x:v>156</x:v>
      </x:c>
      <x:c r="M8" t="inlineStr">
        <x:is>
          <x:t xml:space="preserve">Contender</x:t>
        </x:is>
      </x:c>
      <x:c r="N8" t="inlineStr">
        <x:is>
          <x:t xml:space="preserve">yes</x:t>
        </x:is>
      </x:c>
      <x:c r="O8" t="n">
        <x:f>IF(F8&lt;&gt;Controls!$C$12,0,IF(AND(Controls!$C$10="Contender",M8&lt;&gt;"Contender"),0,IF(AND(Controls!$C$10="Contender+Close",NOT(OR(M8="Contender",M8="Close"))),0,IF(AND(Controls!$C$11="Current",NOT(OR(N8="yes",N8="limited"))),0,1))))</x:f>
        <x:v>1</x:v>
      </x:c>
      <x:c r="P8" t="n">
        <x:f>Controls!$C$7</x:f>
        <x:v>40</x:v>
      </x:c>
      <x:c r="Q8" t="n">
        <x:f>IF(I8="","",I8-(P8-1))</x:f>
        <x:v>-5</x:v>
      </x:c>
      <x:c r="R8" t="str">
        <x:f>IF(OR(O8=0,Q8&lt;=0,J8="",J8=0),"",Q8/J8)</x:f>
      </x:c>
      <x:c r="S8" t="str">
        <x:f>IF(OR(O8=0,Q8&lt;=0,J8="",Q8=0),"",J8/Q8)</x:f>
      </x:c>
      <x:c r="T8" t="str">
        <x:f>IF(OR(O8=0,Q8&lt;=0,J8="",K8="",J8=0,K8=0),"",Q8/(J8*(K8/60)))</x:f>
      </x:c>
      <x:c r="U8" t="n">
        <x:f>IF(OR(O8=0,I8=""),"",I8/_xlfn.MAXIFS($I$4:$I$141,$O$4:$O$141,1))</x:f>
        <x:v>0.5862068965517241</x:v>
      </x:c>
      <x:c r="V8" t="n">
        <x:f>IF(OR(O8=0,L8=""),"",L8/_xlfn.MAXIFS($L$4:$L$141,$O$4:$O$141,1))</x:f>
        <x:v>0.5016077170418006</x:v>
      </x:c>
      <x:c r="W8" t="n">
        <x:f>IF(OR(O8=0,J8=""),"",_xlfn.MINIFS($J$4:$J$141,$O$4:$O$141,1,$J$4:$J$141,"&gt;0")/J8)</x:f>
        <x:v>0.11249999999999999</x:v>
      </x:c>
      <x:c r="X8" t="str">
        <x:f>IF(R8="","",R8/_xlfn.MAXIFS($R$4:$R$141,$O$4:$O$141,1))</x:f>
      </x:c>
      <x:c r="Y8" t="str">
        <x:f>IF(T8="","",T8/_xlfn.MAXIFS($T$4:$T$141,$O$4:$O$141,1))</x:f>
      </x:c>
      <x:c r="Z8" s="67" t="str">
        <x:f>IF(OR(X8="",Y8=""),"",SQRT(X8*Y8))</x:f>
      </x:c>
      <x:c r="AA8" s="67" t="str">
        <x:f>IF(OR(X8="",Y8=""),"",X8^Controls!$C$8*Y8^Controls!$C$9)</x:f>
      </x:c>
      <x:c r="AB8" s="67" t="str">
        <x:f>IF(OR(X8="",Y8=""),"",X8^Controls!$C$9*Y8^Controls!$C$8)</x:f>
      </x:c>
      <x:c r="AC8" t="n">
        <x:f>IF(OR(U8="",V8=""),"",SQRT(U8*V8))</x:f>
        <x:v>0.5422599958446771</x:v>
      </x:c>
      <x:c r="AD8" t="n">
        <x:f>IF(OR(I8="",J8="",J8=0),"",I8/J8)</x:f>
        <x:v>850</x:v>
      </x:c>
      <x:c r="AE8" t="n">
        <x:f>IF(OR(I8="",K8="",K8=0),"",I8/K8)</x:f>
        <x:v>0.19514434942317627</x:v>
      </x:c>
      <x:c r="AF8" t="str">
        <x:f>IF(Z8="","",1+COUNTIF($Z$4:$Z$141,"&gt;"&amp;Z8)+COUNTIFS($Z$4:Z8,Z8)-1)</x:f>
      </x:c>
      <x:c r="AG8" t="str">
        <x:f>IF(AA8="","",1+COUNTIF($AA$4:$AA$141,"&gt;"&amp;AA8)+COUNTIFS($AA$4:AA8,AA8)-1)</x:f>
      </x:c>
      <x:c r="AH8" t="str">
        <x:f>IF(AB8="","",1+COUNTIF($AB$4:$AB$141,"&gt;"&amp;AB8)+COUNTIFS($AB$4:AB8,AB8)-1)</x:f>
      </x:c>
      <x:c r="AI8" t="n">
        <x:f>IF(OR(O8=0,I8=""),"",1+COUNTIFS($O$4:$O$141,1,$I$4:$I$141,"&gt;"&amp;I8)+COUNTIFS($O$4:O8,1,$I$4:I8,I8)-1)</x:f>
        <x:v>34</x:v>
      </x:c>
      <x:c r="AJ8" t="n">
        <x:f>IF(OR(O8=0,L8=""),"",1+COUNTIFS($O$4:$O$141,1,$L$4:$L$141,"&gt;"&amp;L8)+COUNTIFS($O$4:O8,1,$L$4:L8,L8)-1)</x:f>
        <x:v>8</x:v>
      </x:c>
      <x:c r="AK8" t="n">
        <x:f>IF(OR(O8=0,J8="",J8=0),"",1+COUNTIFS($O$4:$O$141,1,$J$4:$J$141,"&lt;"&amp;J8,$J$4:$J$141,"&gt;0")+COUNTIFS($O$4:O8,1,$J$4:J8,J8)-1)</x:f>
        <x:v>5</x:v>
      </x:c>
    </x:row>
    <x:row r="9">
      <x:c r="A9" t="inlineStr">
        <x:is>
          <x:t xml:space="preserve">openai|gpt-6-luna|max|reasoning|fallback-na|aa-v4.3.2|snapshot-2026-09-28</x:t>
        </x:is>
      </x:c>
      <x:c r="B9" t="inlineStr">
        <x:is>
          <x:t xml:space="preserve">openai|gpt-6-luna|max|reasoning|fallback-na</x:t>
        </x:is>
      </x:c>
      <x:c r="C9" t="inlineStr">
        <x:is>
          <x:t xml:space="preserve">GPT-6 Luna</x:t>
        </x:is>
      </x:c>
      <x:c r="D9" t="inlineStr">
        <x:is>
          <x:t xml:space="preserve">OpenAI</x:t>
        </x:is>
      </x:c>
      <x:c r="E9" t="inlineStr">
        <x:is>
          <x:t xml:space="preserve">max</x:t>
        </x:is>
      </x:c>
      <x:c r="F9" t="inlineStr">
        <x:is>
          <x:t xml:space="preserve">AA|v4.3.2</x:t>
        </x:is>
      </x:c>
      <x:c r="G9" t="n">
        <x:v>37</x:v>
      </x:c>
      <x:c r="H9" t="n">
        <x:f>IFERROR(INDEX(Benchmark_Versions!$I:$I,MATCH(F9,Benchmark_Versions!$A:$A,0)),1)</x:f>
        <x:v>1</x:v>
      </x:c>
      <x:c r="I9" t="n">
        <x:f>IF(G9="","",G9*H9)</x:f>
        <x:v>37</x:v>
      </x:c>
      <x:c r="J9" s="69" t="n">
        <x:v>0.07000000000000001</x:v>
      </x:c>
      <x:c r="K9" t="n">
        <x:v>313.32</x:v>
      </x:c>
      <x:c r="L9" t="n">
        <x:v>163</x:v>
      </x:c>
      <x:c r="M9" t="inlineStr">
        <x:is>
          <x:t xml:space="preserve">Contender</x:t>
        </x:is>
      </x:c>
      <x:c r="N9" t="inlineStr">
        <x:is>
          <x:t xml:space="preserve">yes</x:t>
        </x:is>
      </x:c>
      <x:c r="O9" t="n">
        <x:f>IF(F9&lt;&gt;Controls!$C$12,0,IF(AND(Controls!$C$10="Contender",M9&lt;&gt;"Contender"),0,IF(AND(Controls!$C$10="Contender+Close",NOT(OR(M9="Contender",M9="Close"))),0,IF(AND(Controls!$C$11="Current",NOT(OR(N9="yes",N9="limited"))),0,1))))</x:f>
        <x:v>1</x:v>
      </x:c>
      <x:c r="P9" t="n">
        <x:f>Controls!$C$7</x:f>
        <x:v>40</x:v>
      </x:c>
      <x:c r="Q9" t="n">
        <x:f>IF(I9="","",I9-(P9-1))</x:f>
        <x:v>-2</x:v>
      </x:c>
      <x:c r="R9" t="str">
        <x:f>IF(OR(O9=0,Q9&lt;=0,J9="",J9=0),"",Q9/J9)</x:f>
      </x:c>
      <x:c r="S9" t="str">
        <x:f>IF(OR(O9=0,Q9&lt;=0,J9="",Q9=0),"",J9/Q9)</x:f>
      </x:c>
      <x:c r="T9" t="str">
        <x:f>IF(OR(O9=0,Q9&lt;=0,J9="",K9="",J9=0,K9=0),"",Q9/(J9*(K9/60)))</x:f>
      </x:c>
      <x:c r="U9" t="n">
        <x:f>IF(OR(O9=0,I9=""),"",I9/_xlfn.MAXIFS($I$4:$I$141,$O$4:$O$141,1))</x:f>
        <x:v>0.6379310344827587</x:v>
      </x:c>
      <x:c r="V9" t="n">
        <x:f>IF(OR(O9=0,L9=""),"",L9/_xlfn.MAXIFS($L$4:$L$141,$O$4:$O$141,1))</x:f>
        <x:v>0.5241157556270096</x:v>
      </x:c>
      <x:c r="W9" t="n">
        <x:f>IF(OR(O9=0,J9=""),"",_xlfn.MINIFS($J$4:$J$141,$O$4:$O$141,1,$J$4:$J$141,"&gt;0")/J9)</x:f>
        <x:v>0.06428571428571428</x:v>
      </x:c>
      <x:c r="X9" t="str">
        <x:f>IF(R9="","",R9/_xlfn.MAXIFS($R$4:$R$141,$O$4:$O$141,1))</x:f>
      </x:c>
      <x:c r="Y9" t="str">
        <x:f>IF(T9="","",T9/_xlfn.MAXIFS($T$4:$T$141,$O$4:$O$141,1))</x:f>
      </x:c>
      <x:c r="Z9" s="67" t="str">
        <x:f>IF(OR(X9="",Y9=""),"",SQRT(X9*Y9))</x:f>
      </x:c>
      <x:c r="AA9" s="67" t="str">
        <x:f>IF(OR(X9="",Y9=""),"",X9^Controls!$C$8*Y9^Controls!$C$9)</x:f>
      </x:c>
      <x:c r="AB9" s="67" t="str">
        <x:f>IF(OR(X9="",Y9=""),"",X9^Controls!$C$9*Y9^Controls!$C$8)</x:f>
      </x:c>
      <x:c r="AC9" t="n">
        <x:f>IF(OR(U9="",V9=""),"",SQRT(U9*V9))</x:f>
        <x:v>0.5782298039498233</x:v>
      </x:c>
      <x:c r="AD9" t="n">
        <x:f>IF(OR(I9="",J9="",J9=0),"",I9/J9)</x:f>
        <x:v>528.5714285714286</x:v>
      </x:c>
      <x:c r="AE9" t="n">
        <x:f>IF(OR(I9="",K9="",K9=0),"",I9/K9)</x:f>
        <x:v>0.11809013149495723</x:v>
      </x:c>
      <x:c r="AF9" t="str">
        <x:f>IF(Z9="","",1+COUNTIF($Z$4:$Z$141,"&gt;"&amp;Z9)+COUNTIFS($Z$4:Z9,Z9)-1)</x:f>
      </x:c>
      <x:c r="AG9" t="str">
        <x:f>IF(AA9="","",1+COUNTIF($AA$4:$AA$141,"&gt;"&amp;AA9)+COUNTIFS($AA$4:AA9,AA9)-1)</x:f>
      </x:c>
      <x:c r="AH9" t="str">
        <x:f>IF(AB9="","",1+COUNTIF($AB$4:$AB$141,"&gt;"&amp;AB9)+COUNTIFS($AB$4:AB9,AB9)-1)</x:f>
      </x:c>
      <x:c r="AI9" t="n">
        <x:f>IF(OR(O9=0,I9=""),"",1+COUNTIFS($O$4:$O$141,1,$I$4:$I$141,"&gt;"&amp;I9)+COUNTIFS($O$4:O9,1,$I$4:I9,I9)-1)</x:f>
        <x:v>32</x:v>
      </x:c>
      <x:c r="AJ9" t="n">
        <x:f>IF(OR(O9=0,L9=""),"",1+COUNTIFS($O$4:$O$141,1,$L$4:$L$141,"&gt;"&amp;L9)+COUNTIFS($O$4:O9,1,$L$4:L9,L9)-1)</x:f>
        <x:v>7</x:v>
      </x:c>
      <x:c r="AK9" t="n">
        <x:f>IF(OR(O9=0,J9="",J9=0),"",1+COUNTIFS($O$4:$O$141,1,$J$4:$J$141,"&lt;"&amp;J9,$J$4:$J$141,"&gt;0")+COUNTIFS($O$4:O9,1,$J$4:J9,J9)-1)</x:f>
        <x:v>7</x:v>
      </x:c>
    </x:row>
    <x:row r="10">
      <x:c r="A10" t="inlineStr">
        <x:is>
          <x:t xml:space="preserve">openai|gpt-6-sol|non-reasoning|nonreasoning|fallback-na|aa-v4.3.2|snapshot-2026-09-28</x:t>
        </x:is>
      </x:c>
      <x:c r="B10" t="inlineStr">
        <x:is>
          <x:t xml:space="preserve">openai|gpt-6-sol|non-reasoning|nonreasoning|fallback-na</x:t>
        </x:is>
      </x:c>
      <x:c r="C10" t="inlineStr">
        <x:is>
          <x:t xml:space="preserve">GPT-6 Sol</x:t>
        </x:is>
      </x:c>
      <x:c r="D10" t="inlineStr">
        <x:is>
          <x:t xml:space="preserve">OpenAI</x:t>
        </x:is>
      </x:c>
      <x:c r="E10" t="inlineStr">
        <x:is>
          <x:t xml:space="preserve">non-reasoning</x:t>
        </x:is>
      </x:c>
      <x:c r="F10" t="inlineStr">
        <x:is>
          <x:t xml:space="preserve">AA|v4.3.2</x:t>
        </x:is>
      </x:c>
      <x:c r="G10" t="n">
        <x:v>28</x:v>
      </x:c>
      <x:c r="H10" t="n">
        <x:f>IFERROR(INDEX(Benchmark_Versions!$I:$I,MATCH(F10,Benchmark_Versions!$A:$A,0)),1)</x:f>
        <x:v>1</x:v>
      </x:c>
      <x:c r="I10" t="n">
        <x:f>IF(G10="","",G10*H10)</x:f>
        <x:v>28</x:v>
      </x:c>
      <x:c r="J10" s="69" t="n">
        <x:v>0.33</x:v>
      </x:c>
      <x:c r="K10" t="n">
        <x:v>61.89</x:v>
      </x:c>
      <x:c r="L10" t="n">
        <x:v>79</x:v>
      </x:c>
      <x:c r="M10" t="inlineStr">
        <x:is>
          <x:t xml:space="preserve">Contender</x:t>
        </x:is>
      </x:c>
      <x:c r="N10" t="inlineStr">
        <x:is>
          <x:t xml:space="preserve">yes</x:t>
        </x:is>
      </x:c>
      <x:c r="O10" t="n">
        <x:f>IF(F10&lt;&gt;Controls!$C$12,0,IF(AND(Controls!$C$10="Contender",M10&lt;&gt;"Contender"),0,IF(AND(Controls!$C$10="Contender+Close",NOT(OR(M10="Contender",M10="Close"))),0,IF(AND(Controls!$C$11="Current",NOT(OR(N10="yes",N10="limited"))),0,1))))</x:f>
        <x:v>1</x:v>
      </x:c>
      <x:c r="P10" t="n">
        <x:f>Controls!$C$7</x:f>
        <x:v>40</x:v>
      </x:c>
      <x:c r="Q10" t="n">
        <x:f>IF(I10="","",I10-(P10-1))</x:f>
        <x:v>-11</x:v>
      </x:c>
      <x:c r="R10" t="str">
        <x:f>IF(OR(O10=0,Q10&lt;=0,J10="",J10=0),"",Q10/J10)</x:f>
      </x:c>
      <x:c r="S10" t="str">
        <x:f>IF(OR(O10=0,Q10&lt;=0,J10="",Q10=0),"",J10/Q10)</x:f>
      </x:c>
      <x:c r="T10" t="str">
        <x:f>IF(OR(O10=0,Q10&lt;=0,J10="",K10="",J10=0,K10=0),"",Q10/(J10*(K10/60)))</x:f>
      </x:c>
      <x:c r="U10" t="n">
        <x:f>IF(OR(O10=0,I10=""),"",I10/_xlfn.MAXIFS($I$4:$I$141,$O$4:$O$141,1))</x:f>
        <x:v>0.4827586206896552</x:v>
      </x:c>
      <x:c r="V10" t="n">
        <x:f>IF(OR(O10=0,L10=""),"",L10/_xlfn.MAXIFS($L$4:$L$141,$O$4:$O$141,1))</x:f>
        <x:v>0.2540192926045016</x:v>
      </x:c>
      <x:c r="W10" t="n">
        <x:f>IF(OR(O10=0,J10=""),"",_xlfn.MINIFS($J$4:$J$141,$O$4:$O$141,1,$J$4:$J$141,"&gt;0")/J10)</x:f>
        <x:v>0.013636363636363634</x:v>
      </x:c>
      <x:c r="X10" t="str">
        <x:f>IF(R10="","",R10/_xlfn.MAXIFS($R$4:$R$141,$O$4:$O$141,1))</x:f>
      </x:c>
      <x:c r="Y10" t="str">
        <x:f>IF(T10="","",T10/_xlfn.MAXIFS($T$4:$T$141,$O$4:$O$141,1))</x:f>
      </x:c>
      <x:c r="Z10" s="67" t="str">
        <x:f>IF(OR(X10="",Y10=""),"",SQRT(X10*Y10))</x:f>
      </x:c>
      <x:c r="AA10" s="67" t="str">
        <x:f>IF(OR(X10="",Y10=""),"",X10^Controls!$C$8*Y10^Controls!$C$9)</x:f>
      </x:c>
      <x:c r="AB10" s="67" t="str">
        <x:f>IF(OR(X10="",Y10=""),"",X10^Controls!$C$9*Y10^Controls!$C$8)</x:f>
      </x:c>
      <x:c r="AC10" t="n">
        <x:f>IF(OR(U10="",V10=""),"",SQRT(U10*V10))</x:f>
        <x:v>0.35018566979005744</x:v>
      </x:c>
      <x:c r="AD10" t="n">
        <x:f>IF(OR(I10="",J10="",J10=0),"",I10/J10)</x:f>
        <x:v>84.84848484848484</x:v>
      </x:c>
      <x:c r="AE10" t="n">
        <x:f>IF(OR(I10="",K10="",K10=0),"",I10/K10)</x:f>
        <x:v>0.45241557602197446</x:v>
      </x:c>
      <x:c r="AF10" t="str">
        <x:f>IF(Z10="","",1+COUNTIF($Z$4:$Z$141,"&gt;"&amp;Z10)+COUNTIFS($Z$4:Z10,Z10)-1)</x:f>
      </x:c>
      <x:c r="AG10" t="str">
        <x:f>IF(AA10="","",1+COUNTIF($AA$4:$AA$141,"&gt;"&amp;AA10)+COUNTIFS($AA$4:AA10,AA10)-1)</x:f>
      </x:c>
      <x:c r="AH10" t="str">
        <x:f>IF(AB10="","",1+COUNTIF($AB$4:$AB$141,"&gt;"&amp;AB10)+COUNTIFS($AB$4:AB10,AB10)-1)</x:f>
      </x:c>
      <x:c r="AI10" t="n">
        <x:f>IF(OR(O10=0,I10=""),"",1+COUNTIFS($O$4:$O$141,1,$I$4:$I$141,"&gt;"&amp;I10)+COUNTIFS($O$4:O10,1,$I$4:I10,I10)-1)</x:f>
        <x:v>40</x:v>
      </x:c>
      <x:c r="AJ10" t="n">
        <x:f>IF(OR(O10=0,L10=""),"",1+COUNTIFS($O$4:$O$141,1,$L$4:$L$141,"&gt;"&amp;L10)+COUNTIFS($O$4:O10,1,$L$4:L10,L10)-1)</x:f>
        <x:v>26</x:v>
      </x:c>
      <x:c r="AK10" t="n">
        <x:f>IF(OR(O10=0,J10="",J10=0),"",1+COUNTIFS($O$4:$O$141,1,$J$4:$J$141,"&lt;"&amp;J10,$J$4:$J$141,"&gt;0")+COUNTIFS($O$4:O10,1,$J$4:J10,J10)-1)</x:f>
        <x:v>14</x:v>
      </x:c>
    </x:row>
    <x:row r="11">
      <x:c r="A11" t="inlineStr">
        <x:is>
          <x:t xml:space="preserve">openai|gpt-6-sol|low|reasoning|fallback-na|aa-v4.3.2|snapshot-2026-09-28</x:t>
        </x:is>
      </x:c>
      <x:c r="B11" t="inlineStr">
        <x:is>
          <x:t xml:space="preserve">openai|gpt-6-sol|low|reasoning|fallback-na</x:t>
        </x:is>
      </x:c>
      <x:c r="C11" t="inlineStr">
        <x:is>
          <x:t xml:space="preserve">GPT-6 Sol</x:t>
        </x:is>
      </x:c>
      <x:c r="D11" t="inlineStr">
        <x:is>
          <x:t xml:space="preserve">OpenAI</x:t>
        </x:is>
      </x:c>
      <x:c r="E11" t="inlineStr">
        <x:is>
          <x:t xml:space="preserve">low</x:t>
        </x:is>
      </x:c>
      <x:c r="F11" t="inlineStr">
        <x:is>
          <x:t xml:space="preserve">AA|v4.3.2</x:t>
        </x:is>
      </x:c>
      <x:c r="G11" t="n">
        <x:v>34</x:v>
      </x:c>
      <x:c r="H11" t="n">
        <x:f>IFERROR(INDEX(Benchmark_Versions!$I:$I,MATCH(F11,Benchmark_Versions!$A:$A,0)),1)</x:f>
        <x:v>1</x:v>
      </x:c>
      <x:c r="I11" t="n">
        <x:f>IF(G11="","",G11*H11)</x:f>
        <x:v>34</x:v>
      </x:c>
      <x:c r="J11" s="69" t="n">
        <x:v>0.13</x:v>
      </x:c>
      <x:c r="K11" t="n">
        <x:v>41.07</x:v>
      </x:c>
      <x:c r="L11" t="n">
        <x:v>82</x:v>
      </x:c>
      <x:c r="M11" t="inlineStr">
        <x:is>
          <x:t xml:space="preserve">Contender</x:t>
        </x:is>
      </x:c>
      <x:c r="N11" t="inlineStr">
        <x:is>
          <x:t xml:space="preserve">yes</x:t>
        </x:is>
      </x:c>
      <x:c r="O11" t="n">
        <x:f>IF(F11&lt;&gt;Controls!$C$12,0,IF(AND(Controls!$C$10="Contender",M11&lt;&gt;"Contender"),0,IF(AND(Controls!$C$10="Contender+Close",NOT(OR(M11="Contender",M11="Close"))),0,IF(AND(Controls!$C$11="Current",NOT(OR(N11="yes",N11="limited"))),0,1))))</x:f>
        <x:v>1</x:v>
      </x:c>
      <x:c r="P11" t="n">
        <x:f>Controls!$C$7</x:f>
        <x:v>40</x:v>
      </x:c>
      <x:c r="Q11" t="n">
        <x:f>IF(I11="","",I11-(P11-1))</x:f>
        <x:v>-5</x:v>
      </x:c>
      <x:c r="R11" t="str">
        <x:f>IF(OR(O11=0,Q11&lt;=0,J11="",J11=0),"",Q11/J11)</x:f>
      </x:c>
      <x:c r="S11" t="str">
        <x:f>IF(OR(O11=0,Q11&lt;=0,J11="",Q11=0),"",J11/Q11)</x:f>
      </x:c>
      <x:c r="T11" t="str">
        <x:f>IF(OR(O11=0,Q11&lt;=0,J11="",K11="",J11=0,K11=0),"",Q11/(J11*(K11/60)))</x:f>
      </x:c>
      <x:c r="U11" t="n">
        <x:f>IF(OR(O11=0,I11=""),"",I11/_xlfn.MAXIFS($I$4:$I$141,$O$4:$O$141,1))</x:f>
        <x:v>0.5862068965517241</x:v>
      </x:c>
      <x:c r="V11" t="n">
        <x:f>IF(OR(O11=0,L11=""),"",L11/_xlfn.MAXIFS($L$4:$L$141,$O$4:$O$141,1))</x:f>
        <x:v>0.26366559485530544</x:v>
      </x:c>
      <x:c r="W11" t="n">
        <x:f>IF(OR(O11=0,J11=""),"",_xlfn.MINIFS($J$4:$J$141,$O$4:$O$141,1,$J$4:$J$141,"&gt;0")/J11)</x:f>
        <x:v>0.03461538461538461</x:v>
      </x:c>
      <x:c r="X11" t="str">
        <x:f>IF(R11="","",R11/_xlfn.MAXIFS($R$4:$R$141,$O$4:$O$141,1))</x:f>
      </x:c>
      <x:c r="Y11" t="str">
        <x:f>IF(T11="","",T11/_xlfn.MAXIFS($T$4:$T$141,$O$4:$O$141,1))</x:f>
      </x:c>
      <x:c r="Z11" s="67" t="str">
        <x:f>IF(OR(X11="",Y11=""),"",SQRT(X11*Y11))</x:f>
      </x:c>
      <x:c r="AA11" s="67" t="str">
        <x:f>IF(OR(X11="",Y11=""),"",X11^Controls!$C$8*Y11^Controls!$C$9)</x:f>
      </x:c>
      <x:c r="AB11" s="67" t="str">
        <x:f>IF(OR(X11="",Y11=""),"",X11^Controls!$C$9*Y11^Controls!$C$8)</x:f>
      </x:c>
      <x:c r="AC11" t="n">
        <x:f>IF(OR(U11="",V11=""),"",SQRT(U11*V11))</x:f>
        <x:v>0.3931444900893218</x:v>
      </x:c>
      <x:c r="AD11" t="n">
        <x:f>IF(OR(I11="",J11="",J11=0),"",I11/J11)</x:f>
        <x:v>261.53846153846155</x:v>
      </x:c>
      <x:c r="AE11" t="n">
        <x:f>IF(OR(I11="",K11="",K11=0),"",I11/K11)</x:f>
        <x:v>0.827854881908936</x:v>
      </x:c>
      <x:c r="AF11" t="str">
        <x:f>IF(Z11="","",1+COUNTIF($Z$4:$Z$141,"&gt;"&amp;Z11)+COUNTIFS($Z$4:Z11,Z11)-1)</x:f>
      </x:c>
      <x:c r="AG11" t="str">
        <x:f>IF(AA11="","",1+COUNTIF($AA$4:$AA$141,"&gt;"&amp;AA11)+COUNTIFS($AA$4:AA11,AA11)-1)</x:f>
      </x:c>
      <x:c r="AH11" t="str">
        <x:f>IF(AB11="","",1+COUNTIF($AB$4:$AB$141,"&gt;"&amp;AB11)+COUNTIFS($AB$4:AB11,AB11)-1)</x:f>
      </x:c>
      <x:c r="AI11" t="n">
        <x:f>IF(OR(O11=0,I11=""),"",1+COUNTIFS($O$4:$O$141,1,$I$4:$I$141,"&gt;"&amp;I11)+COUNTIFS($O$4:O11,1,$I$4:I11,I11)-1)</x:f>
        <x:v>35</x:v>
      </x:c>
      <x:c r="AJ11" t="n">
        <x:f>IF(OR(O11=0,L11=""),"",1+COUNTIFS($O$4:$O$141,1,$L$4:$L$141,"&gt;"&amp;L11)+COUNTIFS($O$4:O11,1,$L$4:L11,L11)-1)</x:f>
        <x:v>22</x:v>
      </x:c>
      <x:c r="AK11" t="n">
        <x:f>IF(OR(O11=0,J11="",J11=0),"",1+COUNTIFS($O$4:$O$141,1,$J$4:$J$141,"&lt;"&amp;J11,$J$4:$J$141,"&gt;0")+COUNTIFS($O$4:O11,1,$J$4:J11,J11)-1)</x:f>
        <x:v>9</x:v>
      </x:c>
    </x:row>
    <x:row r="12">
      <x:c r="A12" t="inlineStr">
        <x:is>
          <x:t xml:space="preserve">openai|gpt-6-sol|medium|reasoning|fallback-na|aa-v4.3.2|snapshot-2026-09-28</x:t>
        </x:is>
      </x:c>
      <x:c r="B12" t="inlineStr">
        <x:is>
          <x:t xml:space="preserve">openai|gpt-6-sol|medium|reasoning|fallback-na</x:t>
        </x:is>
      </x:c>
      <x:c r="C12" t="inlineStr">
        <x:is>
          <x:t xml:space="preserve">GPT-6 Sol</x:t>
        </x:is>
      </x:c>
      <x:c r="D12" t="inlineStr">
        <x:is>
          <x:t xml:space="preserve">OpenAI</x:t>
        </x:is>
      </x:c>
      <x:c r="E12" t="inlineStr">
        <x:is>
          <x:t xml:space="preserve">medium</x:t>
        </x:is>
      </x:c>
      <x:c r="F12" t="inlineStr">
        <x:is>
          <x:t xml:space="preserve">AA|v4.3.2</x:t>
        </x:is>
      </x:c>
      <x:c r="G12" t="n">
        <x:v>40</x:v>
      </x:c>
      <x:c r="H12" t="n">
        <x:f>IFERROR(INDEX(Benchmark_Versions!$I:$I,MATCH(F12,Benchmark_Versions!$A:$A,0)),1)</x:f>
        <x:v>1</x:v>
      </x:c>
      <x:c r="I12" t="n">
        <x:f>IF(G12="","",G12*H12)</x:f>
        <x:v>40</x:v>
      </x:c>
      <x:c r="J12" s="69" t="n">
        <x:v>0.25</x:v>
      </x:c>
      <x:c r="M12" t="inlineStr">
        <x:is>
          <x:t xml:space="preserve">Contender</x:t>
        </x:is>
      </x:c>
      <x:c r="N12" t="inlineStr">
        <x:is>
          <x:t xml:space="preserve">yes</x:t>
        </x:is>
      </x:c>
      <x:c r="O12" t="n">
        <x:f>IF(F12&lt;&gt;Controls!$C$12,0,IF(AND(Controls!$C$10="Contender",M12&lt;&gt;"Contender"),0,IF(AND(Controls!$C$10="Contender+Close",NOT(OR(M12="Contender",M12="Close"))),0,IF(AND(Controls!$C$11="Current",NOT(OR(N12="yes",N12="limited"))),0,1))))</x:f>
        <x:v>1</x:v>
      </x:c>
      <x:c r="P12" t="n">
        <x:f>Controls!$C$7</x:f>
        <x:v>40</x:v>
      </x:c>
      <x:c r="Q12" t="n">
        <x:f>IF(I12="","",I12-(P12-1))</x:f>
        <x:v>1</x:v>
      </x:c>
      <x:c r="R12" t="n">
        <x:f>IF(OR(O12=0,Q12&lt;=0,J12="",J12=0),"",Q12/J12)</x:f>
        <x:v>4</x:v>
      </x:c>
      <x:c r="S12" t="n">
        <x:f>IF(OR(O12=0,Q12&lt;=0,J12="",Q12=0),"",J12/Q12)</x:f>
        <x:v>0.25</x:v>
      </x:c>
      <x:c r="T12" t="str">
        <x:f>IF(OR(O12=0,Q12&lt;=0,J12="",K12="",J12=0,K12=0),"",Q12/(J12*(K12/60)))</x:f>
      </x:c>
      <x:c r="U12" t="n">
        <x:f>IF(OR(O12=0,I12=""),"",I12/_xlfn.MAXIFS($I$4:$I$141,$O$4:$O$141,1))</x:f>
        <x:v>0.6896551724137931</x:v>
      </x:c>
      <x:c r="V12" t="str">
        <x:f>IF(OR(O12=0,L12=""),"",L12/_xlfn.MAXIFS($L$4:$L$141,$O$4:$O$141,1))</x:f>
      </x:c>
      <x:c r="W12" t="n">
        <x:f>IF(OR(O12=0,J12=""),"",_xlfn.MINIFS($J$4:$J$141,$O$4:$O$141,1,$J$4:$J$141,"&gt;0")/J12)</x:f>
        <x:v>0.018</x:v>
      </x:c>
      <x:c r="X12" t="n">
        <x:f>IF(R12="","",R12/_xlfn.MAXIFS($R$4:$R$141,$O$4:$O$141,1))</x:f>
        <x:v>0.3333333333333333</x:v>
      </x:c>
      <x:c r="Y12" t="str">
        <x:f>IF(T12="","",T12/_xlfn.MAXIFS($T$4:$T$141,$O$4:$O$141,1))</x:f>
      </x:c>
      <x:c r="Z12" s="67" t="str">
        <x:f>IF(OR(X12="",Y12=""),"",SQRT(X12*Y12))</x:f>
      </x:c>
      <x:c r="AA12" s="67" t="str">
        <x:f>IF(OR(X12="",Y12=""),"",X12^Controls!$C$8*Y12^Controls!$C$9)</x:f>
      </x:c>
      <x:c r="AB12" s="67" t="str">
        <x:f>IF(OR(X12="",Y12=""),"",X12^Controls!$C$9*Y12^Controls!$C$8)</x:f>
      </x:c>
      <x:c r="AC12" t="str">
        <x:f>IF(OR(U12="",V12=""),"",SQRT(U12*V12))</x:f>
      </x:c>
      <x:c r="AD12" t="n">
        <x:f>IF(OR(I12="",J12="",J12=0),"",I12/J12)</x:f>
        <x:v>160</x:v>
      </x:c>
      <x:c r="AE12" t="str">
        <x:f>IF(OR(I12="",K12="",K12=0),"",I12/K12)</x:f>
      </x:c>
      <x:c r="AF12" t="str">
        <x:f>IF(Z12="","",1+COUNTIF($Z$4:$Z$141,"&gt;"&amp;Z12)+COUNTIFS($Z$4:Z12,Z12)-1)</x:f>
      </x:c>
      <x:c r="AG12" t="str">
        <x:f>IF(AA12="","",1+COUNTIF($AA$4:$AA$141,"&gt;"&amp;AA12)+COUNTIFS($AA$4:AA12,AA12)-1)</x:f>
      </x:c>
      <x:c r="AH12" t="str">
        <x:f>IF(AB12="","",1+COUNTIF($AB$4:$AB$141,"&gt;"&amp;AB12)+COUNTIFS($AB$4:AB12,AB12)-1)</x:f>
      </x:c>
      <x:c r="AI12" t="n">
        <x:f>IF(OR(O12=0,I12=""),"",1+COUNTIFS($O$4:$O$141,1,$I$4:$I$141,"&gt;"&amp;I12)+COUNTIFS($O$4:O12,1,$I$4:I12,I12)-1)</x:f>
        <x:v>26</x:v>
      </x:c>
      <x:c r="AJ12" t="str">
        <x:f>IF(OR(O12=0,L12=""),"",1+COUNTIFS($O$4:$O$141,1,$L$4:$L$141,"&gt;"&amp;L12)+COUNTIFS($O$4:O12,1,$L$4:L12,L12)-1)</x:f>
      </x:c>
      <x:c r="AK12" t="n">
        <x:f>IF(OR(O12=0,J12="",J12=0),"",1+COUNTIFS($O$4:$O$141,1,$J$4:$J$141,"&lt;"&amp;J12,$J$4:$J$141,"&gt;0")+COUNTIFS($O$4:O12,1,$J$4:J12,J12)-1)</x:f>
        <x:v>11</x:v>
      </x:c>
    </x:row>
    <x:row r="13">
      <x:c r="A13" t="inlineStr">
        <x:is>
          <x:t xml:space="preserve">openai|gpt-6-sol|high|reasoning|fallback-na|aa-v4.3.2|snapshot-2026-09-28</x:t>
        </x:is>
      </x:c>
      <x:c r="B13" t="inlineStr">
        <x:is>
          <x:t xml:space="preserve">openai|gpt-6-sol|high|reasoning|fallback-na</x:t>
        </x:is>
      </x:c>
      <x:c r="C13" t="inlineStr">
        <x:is>
          <x:t xml:space="preserve">GPT-6 Sol</x:t>
        </x:is>
      </x:c>
      <x:c r="D13" t="inlineStr">
        <x:is>
          <x:t xml:space="preserve">OpenAI</x:t>
        </x:is>
      </x:c>
      <x:c r="E13" t="inlineStr">
        <x:is>
          <x:t xml:space="preserve">high</x:t>
        </x:is>
      </x:c>
      <x:c r="F13" t="inlineStr">
        <x:is>
          <x:t xml:space="preserve">AA|v4.3.2</x:t>
        </x:is>
      </x:c>
      <x:c r="G13" t="n">
        <x:v>43</x:v>
      </x:c>
      <x:c r="H13" t="n">
        <x:f>IFERROR(INDEX(Benchmark_Versions!$I:$I,MATCH(F13,Benchmark_Versions!$A:$A,0)),1)</x:f>
        <x:v>1</x:v>
      </x:c>
      <x:c r="I13" t="n">
        <x:f>IF(G13="","",G13*H13)</x:f>
        <x:v>43</x:v>
      </x:c>
      <x:c r="J13" s="69" t="n">
        <x:v>0.37</x:v>
      </x:c>
      <x:c r="K13" t="n">
        <x:v>126.07</x:v>
      </x:c>
      <x:c r="L13" t="n">
        <x:v>81</x:v>
      </x:c>
      <x:c r="M13" t="inlineStr">
        <x:is>
          <x:t xml:space="preserve">Contender</x:t>
        </x:is>
      </x:c>
      <x:c r="N13" t="inlineStr">
        <x:is>
          <x:t xml:space="preserve">yes</x:t>
        </x:is>
      </x:c>
      <x:c r="O13" t="n">
        <x:f>IF(F13&lt;&gt;Controls!$C$12,0,IF(AND(Controls!$C$10="Contender",M13&lt;&gt;"Contender"),0,IF(AND(Controls!$C$10="Contender+Close",NOT(OR(M13="Contender",M13="Close"))),0,IF(AND(Controls!$C$11="Current",NOT(OR(N13="yes",N13="limited"))),0,1))))</x:f>
        <x:v>1</x:v>
      </x:c>
      <x:c r="P13" t="n">
        <x:f>Controls!$C$7</x:f>
        <x:v>40</x:v>
      </x:c>
      <x:c r="Q13" t="n">
        <x:f>IF(I13="","",I13-(P13-1))</x:f>
        <x:v>4</x:v>
      </x:c>
      <x:c r="R13" t="n">
        <x:f>IF(OR(O13=0,Q13&lt;=0,J13="",J13=0),"",Q13/J13)</x:f>
        <x:v>10.81081081081081</x:v>
      </x:c>
      <x:c r="S13" t="n">
        <x:f>IF(OR(O13=0,Q13&lt;=0,J13="",Q13=0),"",J13/Q13)</x:f>
        <x:v>0.0925</x:v>
      </x:c>
      <x:c r="T13" t="n">
        <x:f>IF(OR(O13=0,Q13&lt;=0,J13="",K13="",J13=0,K13=0),"",Q13/(J13*(K13/60)))</x:f>
        <x:v>5.145146733153397</x:v>
      </x:c>
      <x:c r="U13" t="n">
        <x:f>IF(OR(O13=0,I13=""),"",I13/_xlfn.MAXIFS($I$4:$I$141,$O$4:$O$141,1))</x:f>
        <x:v>0.7413793103448276</x:v>
      </x:c>
      <x:c r="V13" t="n">
        <x:f>IF(OR(O13=0,L13=""),"",L13/_xlfn.MAXIFS($L$4:$L$141,$O$4:$O$141,1))</x:f>
        <x:v>0.2604501607717042</x:v>
      </x:c>
      <x:c r="W13" t="n">
        <x:f>IF(OR(O13=0,J13=""),"",_xlfn.MINIFS($J$4:$J$141,$O$4:$O$141,1,$J$4:$J$141,"&gt;0")/J13)</x:f>
        <x:v>0.012162162162162161</x:v>
      </x:c>
      <x:c r="X13" t="n">
        <x:f>IF(R13="","",R13/_xlfn.MAXIFS($R$4:$R$141,$O$4:$O$141,1))</x:f>
        <x:v>0.9009009009009009</x:v>
      </x:c>
      <x:c r="Y13" t="n">
        <x:f>IF(T13="","",T13/_xlfn.MAXIFS($T$4:$T$141,$O$4:$O$141,1))</x:f>
        <x:v>0.8537488978513806</x:v>
      </x:c>
      <x:c r="Z13" s="67" t="n">
        <x:f>IF(OR(X13="",Y13=""),"",SQRT(X13*Y13))</x:f>
        <x:v>0.8770080679317951</x:v>
      </x:c>
      <x:c r="AA13" s="67" t="n">
        <x:f>IF(OR(X13="",Y13=""),"",X13^Controls!$C$8*Y13^Controls!$C$9)</x:f>
        <x:v>0.8770080679317951</x:v>
      </x:c>
      <x:c r="AB13" s="67" t="n">
        <x:f>IF(OR(X13="",Y13=""),"",X13^Controls!$C$9*Y13^Controls!$C$8)</x:f>
        <x:v>0.8770080679317951</x:v>
      </x:c>
      <x:c r="AC13" t="n">
        <x:f>IF(OR(U13="",V13=""),"",SQRT(U13*V13))</x:f>
        <x:v>0.43942275836843675</x:v>
      </x:c>
      <x:c r="AD13" t="n">
        <x:f>IF(OR(I13="",J13="",J13=0),"",I13/J13)</x:f>
        <x:v>116.21621621621622</x:v>
      </x:c>
      <x:c r="AE13" t="n">
        <x:f>IF(OR(I13="",K13="",K13=0),"",I13/K13)</x:f>
        <x:v>0.3410803521852939</x:v>
      </x:c>
      <x:c r="AF13" t="n">
        <x:f>IF(Z13="","",1+COUNTIF($Z$4:$Z$141,"&gt;"&amp;Z13)+COUNTIFS($Z$4:Z13,Z13)-1)</x:f>
        <x:v>1</x:v>
      </x:c>
      <x:c r="AG13" t="n">
        <x:f>IF(AA13="","",1+COUNTIF($AA$4:$AA$141,"&gt;"&amp;AA13)+COUNTIFS($AA$4:AA13,AA13)-1)</x:f>
        <x:v>1</x:v>
      </x:c>
      <x:c r="AH13" t="n">
        <x:f>IF(AB13="","",1+COUNTIF($AB$4:$AB$141,"&gt;"&amp;AB13)+COUNTIFS($AB$4:AB13,AB13)-1)</x:f>
        <x:v>1</x:v>
      </x:c>
      <x:c r="AI13" t="n">
        <x:f>IF(OR(O13=0,I13=""),"",1+COUNTIFS($O$4:$O$141,1,$I$4:$I$141,"&gt;"&amp;I13)+COUNTIFS($O$4:O13,1,$I$4:I13,I13)-1)</x:f>
        <x:v>21</x:v>
      </x:c>
      <x:c r="AJ13" t="n">
        <x:f>IF(OR(O13=0,L13=""),"",1+COUNTIFS($O$4:$O$141,1,$L$4:$L$141,"&gt;"&amp;L13)+COUNTIFS($O$4:O13,1,$L$4:L13,L13)-1)</x:f>
        <x:v>24</x:v>
      </x:c>
      <x:c r="AK13" t="n">
        <x:f>IF(OR(O13=0,J13="",J13=0),"",1+COUNTIFS($O$4:$O$141,1,$J$4:$J$141,"&lt;"&amp;J13,$J$4:$J$141,"&gt;0")+COUNTIFS($O$4:O13,1,$J$4:J13,J13)-1)</x:f>
        <x:v>15</x:v>
      </x:c>
    </x:row>
    <x:row r="14">
      <x:c r="A14" t="inlineStr">
        <x:is>
          <x:t xml:space="preserve">openai|gpt-6-sol|xhigh|reasoning|fallback-na|aa-v4.3.2|snapshot-2026-09-28</x:t>
        </x:is>
      </x:c>
      <x:c r="B14" t="inlineStr">
        <x:is>
          <x:t xml:space="preserve">openai|gpt-6-sol|xhigh|reasoning|fallback-na</x:t>
        </x:is>
      </x:c>
      <x:c r="C14" t="inlineStr">
        <x:is>
          <x:t xml:space="preserve">GPT-6 Sol</x:t>
        </x:is>
      </x:c>
      <x:c r="D14" t="inlineStr">
        <x:is>
          <x:t xml:space="preserve">OpenAI</x:t>
        </x:is>
      </x:c>
      <x:c r="E14" t="inlineStr">
        <x:is>
          <x:t xml:space="preserve">xhigh</x:t>
        </x:is>
      </x:c>
      <x:c r="F14" t="inlineStr">
        <x:is>
          <x:t xml:space="preserve">AA|v4.3.2</x:t>
        </x:is>
      </x:c>
      <x:c r="G14" t="n">
        <x:v>44</x:v>
      </x:c>
      <x:c r="H14" t="n">
        <x:f>IFERROR(INDEX(Benchmark_Versions!$I:$I,MATCH(F14,Benchmark_Versions!$A:$A,0)),1)</x:f>
        <x:v>1</x:v>
      </x:c>
      <x:c r="I14" t="n">
        <x:f>IF(G14="","",G14*H14)</x:f>
        <x:v>44</x:v>
      </x:c>
      <x:c r="J14" s="69" t="n">
        <x:v>0.53</x:v>
      </x:c>
      <x:c r="K14" t="n">
        <x:v>199.13</x:v>
      </x:c>
      <x:c r="L14" t="n">
        <x:v>80</x:v>
      </x:c>
      <x:c r="M14" t="inlineStr">
        <x:is>
          <x:t xml:space="preserve">Contender</x:t>
        </x:is>
      </x:c>
      <x:c r="N14" t="inlineStr">
        <x:is>
          <x:t xml:space="preserve">yes</x:t>
        </x:is>
      </x:c>
      <x:c r="O14" t="n">
        <x:f>IF(F14&lt;&gt;Controls!$C$12,0,IF(AND(Controls!$C$10="Contender",M14&lt;&gt;"Contender"),0,IF(AND(Controls!$C$10="Contender+Close",NOT(OR(M14="Contender",M14="Close"))),0,IF(AND(Controls!$C$11="Current",NOT(OR(N14="yes",N14="limited"))),0,1))))</x:f>
        <x:v>1</x:v>
      </x:c>
      <x:c r="P14" t="n">
        <x:f>Controls!$C$7</x:f>
        <x:v>40</x:v>
      </x:c>
      <x:c r="Q14" t="n">
        <x:f>IF(I14="","",I14-(P14-1))</x:f>
        <x:v>5</x:v>
      </x:c>
      <x:c r="R14" t="n">
        <x:f>IF(OR(O14=0,Q14&lt;=0,J14="",J14=0),"",Q14/J14)</x:f>
        <x:v>9.433962264150942</x:v>
      </x:c>
      <x:c r="S14" t="n">
        <x:f>IF(OR(O14=0,Q14&lt;=0,J14="",Q14=0),"",J14/Q14)</x:f>
        <x:v>0.10600000000000001</x:v>
      </x:c>
      <x:c r="T14" t="n">
        <x:f>IF(OR(O14=0,Q14&lt;=0,J14="",K14="",J14=0,K14=0),"",Q14/(J14*(K14/60)))</x:f>
        <x:v>2.8425537882240577</x:v>
      </x:c>
      <x:c r="U14" t="n">
        <x:f>IF(OR(O14=0,I14=""),"",I14/_xlfn.MAXIFS($I$4:$I$141,$O$4:$O$141,1))</x:f>
        <x:v>0.7586206896551724</x:v>
      </x:c>
      <x:c r="V14" t="n">
        <x:f>IF(OR(O14=0,L14=""),"",L14/_xlfn.MAXIFS($L$4:$L$141,$O$4:$O$141,1))</x:f>
        <x:v>0.2572347266881029</x:v>
      </x:c>
      <x:c r="W14" t="n">
        <x:f>IF(OR(O14=0,J14=""),"",_xlfn.MINIFS($J$4:$J$141,$O$4:$O$141,1,$J$4:$J$141,"&gt;0")/J14)</x:f>
        <x:v>0.008490566037735847</x:v>
      </x:c>
      <x:c r="X14" t="n">
        <x:f>IF(R14="","",R14/_xlfn.MAXIFS($R$4:$R$141,$O$4:$O$141,1))</x:f>
        <x:v>0.7861635220125786</x:v>
      </x:c>
      <x:c r="Y14" t="n">
        <x:f>IF(T14="","",T14/_xlfn.MAXIFS($T$4:$T$141,$O$4:$O$141,1))</x:f>
        <x:v>0.4716730716622699</x:v>
      </x:c>
      <x:c r="Z14" s="67" t="n">
        <x:f>IF(OR(X14="",Y14=""),"",SQRT(X14*Y14))</x:f>
        <x:v>0.6089434811675887</x:v>
      </x:c>
      <x:c r="AA14" s="67" t="n">
        <x:f>IF(OR(X14="",Y14=""),"",X14^Controls!$C$8*Y14^Controls!$C$9)</x:f>
        <x:v>0.6089434811675888</x:v>
      </x:c>
      <x:c r="AB14" s="67" t="n">
        <x:f>IF(OR(X14="",Y14=""),"",X14^Controls!$C$9*Y14^Controls!$C$8)</x:f>
        <x:v>0.6089434811675888</x:v>
      </x:c>
      <x:c r="AC14" t="n">
        <x:f>IF(OR(U14="",V14=""),"",SQRT(U14*V14))</x:f>
        <x:v>0.44175059226150265</x:v>
      </x:c>
      <x:c r="AD14" t="n">
        <x:f>IF(OR(I14="",J14="",J14=0),"",I14/J14)</x:f>
        <x:v>83.0188679245283</x:v>
      </x:c>
      <x:c r="AE14" t="n">
        <x:f>IF(OR(I14="",K14="",K14=0),"",I14/K14)</x:f>
        <x:v>0.22096118113795007</x:v>
      </x:c>
      <x:c r="AF14" t="n">
        <x:f>IF(Z14="","",1+COUNTIF($Z$4:$Z$141,"&gt;"&amp;Z14)+COUNTIFS($Z$4:Z14,Z14)-1)</x:f>
        <x:v>3</x:v>
      </x:c>
      <x:c r="AG14" t="n">
        <x:f>IF(AA14="","",1+COUNTIF($AA$4:$AA$141,"&gt;"&amp;AA14)+COUNTIFS($AA$4:AA14,AA14)-1)</x:f>
        <x:v>3</x:v>
      </x:c>
      <x:c r="AH14" t="n">
        <x:f>IF(AB14="","",1+COUNTIF($AB$4:$AB$141,"&gt;"&amp;AB14)+COUNTIFS($AB$4:AB14,AB14)-1)</x:f>
        <x:v>3</x:v>
      </x:c>
      <x:c r="AI14" t="n">
        <x:f>IF(OR(O14=0,I14=""),"",1+COUNTIFS($O$4:$O$141,1,$I$4:$I$141,"&gt;"&amp;I14)+COUNTIFS($O$4:O14,1,$I$4:I14,I14)-1)</x:f>
        <x:v>19</x:v>
      </x:c>
      <x:c r="AJ14" t="n">
        <x:f>IF(OR(O14=0,L14=""),"",1+COUNTIFS($O$4:$O$141,1,$L$4:$L$141,"&gt;"&amp;L14)+COUNTIFS($O$4:O14,1,$L$4:L14,L14)-1)</x:f>
        <x:v>25</x:v>
      </x:c>
      <x:c r="AK14" t="n">
        <x:f>IF(OR(O14=0,J14="",J14=0),"",1+COUNTIFS($O$4:$O$141,1,$J$4:$J$141,"&lt;"&amp;J14,$J$4:$J$141,"&gt;0")+COUNTIFS($O$4:O14,1,$J$4:J14,J14)-1)</x:f>
        <x:v>19</x:v>
      </x:c>
    </x:row>
    <x:row r="15">
      <x:c r="A15" t="inlineStr">
        <x:is>
          <x:t xml:space="preserve">openai|gpt-6-sol|max|reasoning|fallback-na|aa-v4.3.2|snapshot-2026-09-28</x:t>
        </x:is>
      </x:c>
      <x:c r="B15" t="inlineStr">
        <x:is>
          <x:t xml:space="preserve">openai|gpt-6-sol|max|reasoning|fallback-na</x:t>
        </x:is>
      </x:c>
      <x:c r="C15" t="inlineStr">
        <x:is>
          <x:t xml:space="preserve">GPT-6 Sol</x:t>
        </x:is>
      </x:c>
      <x:c r="D15" t="inlineStr">
        <x:is>
          <x:t xml:space="preserve">OpenAI</x:t>
        </x:is>
      </x:c>
      <x:c r="E15" t="inlineStr">
        <x:is>
          <x:t xml:space="preserve">max</x:t>
        </x:is>
      </x:c>
      <x:c r="F15" t="inlineStr">
        <x:is>
          <x:t xml:space="preserve">AA|v4.3.2</x:t>
        </x:is>
      </x:c>
      <x:c r="G15" t="n">
        <x:v>48</x:v>
      </x:c>
      <x:c r="H15" t="n">
        <x:f>IFERROR(INDEX(Benchmark_Versions!$I:$I,MATCH(F15,Benchmark_Versions!$A:$A,0)),1)</x:f>
        <x:v>1</x:v>
      </x:c>
      <x:c r="I15" t="n">
        <x:f>IF(G15="","",G15*H15)</x:f>
        <x:v>48</x:v>
      </x:c>
      <x:c r="J15" s="69" t="n">
        <x:v>1.06</x:v>
      </x:c>
      <x:c r="K15" t="n">
        <x:v>348.35</x:v>
      </x:c>
      <x:c r="L15" t="n">
        <x:v>90</x:v>
      </x:c>
      <x:c r="M15" t="inlineStr">
        <x:is>
          <x:t xml:space="preserve">Contender</x:t>
        </x:is>
      </x:c>
      <x:c r="N15" t="inlineStr">
        <x:is>
          <x:t xml:space="preserve">yes</x:t>
        </x:is>
      </x:c>
      <x:c r="O15" t="n">
        <x:f>IF(F15&lt;&gt;Controls!$C$12,0,IF(AND(Controls!$C$10="Contender",M15&lt;&gt;"Contender"),0,IF(AND(Controls!$C$10="Contender+Close",NOT(OR(M15="Contender",M15="Close"))),0,IF(AND(Controls!$C$11="Current",NOT(OR(N15="yes",N15="limited"))),0,1))))</x:f>
        <x:v>1</x:v>
      </x:c>
      <x:c r="P15" t="n">
        <x:f>Controls!$C$7</x:f>
        <x:v>40</x:v>
      </x:c>
      <x:c r="Q15" t="n">
        <x:f>IF(I15="","",I15-(P15-1))</x:f>
        <x:v>9</x:v>
      </x:c>
      <x:c r="R15" t="n">
        <x:f>IF(OR(O15=0,Q15&lt;=0,J15="",J15=0),"",Q15/J15)</x:f>
        <x:v>8.49056603773585</x:v>
      </x:c>
      <x:c r="S15" t="n">
        <x:f>IF(OR(O15=0,Q15&lt;=0,J15="",Q15=0),"",J15/Q15)</x:f>
        <x:v>0.11777777777777779</x:v>
      </x:c>
      <x:c r="T15" t="n">
        <x:f>IF(OR(O15=0,Q15&lt;=0,J15="",K15="",J15=0,K15=0),"",Q15/(J15*(K15/60)))</x:f>
        <x:v>1.4624198715778696</x:v>
      </x:c>
      <x:c r="U15" t="n">
        <x:f>IF(OR(O15=0,I15=""),"",I15/_xlfn.MAXIFS($I$4:$I$141,$O$4:$O$141,1))</x:f>
        <x:v>0.8275862068965517</x:v>
      </x:c>
      <x:c r="V15" t="n">
        <x:f>IF(OR(O15=0,L15=""),"",L15/_xlfn.MAXIFS($L$4:$L$141,$O$4:$O$141,1))</x:f>
        <x:v>0.28938906752411575</x:v>
      </x:c>
      <x:c r="W15" t="n">
        <x:f>IF(OR(O15=0,J15=""),"",_xlfn.MINIFS($J$4:$J$141,$O$4:$O$141,1,$J$4:$J$141,"&gt;0")/J15)</x:f>
        <x:v>0.004245283018867924</x:v>
      </x:c>
      <x:c r="X15" t="n">
        <x:f>IF(R15="","",R15/_xlfn.MAXIFS($R$4:$R$141,$O$4:$O$141,1))</x:f>
        <x:v>0.7075471698113208</x:v>
      </x:c>
      <x:c r="Y15" t="n">
        <x:f>IF(T15="","",T15/_xlfn.MAXIFS($T$4:$T$141,$O$4:$O$141,1))</x:f>
        <x:v>0.24266350763340608</x:v>
      </x:c>
      <x:c r="Z15" s="67" t="n">
        <x:f>IF(OR(X15="",Y15=""),"",SQRT(X15*Y15))</x:f>
        <x:v>0.41436201327161293</x:v>
      </x:c>
      <x:c r="AA15" s="67" t="n">
        <x:f>IF(OR(X15="",Y15=""),"",X15^Controls!$C$8*Y15^Controls!$C$9)</x:f>
        <x:v>0.4143620132716129</x:v>
      </x:c>
      <x:c r="AB15" s="67" t="n">
        <x:f>IF(OR(X15="",Y15=""),"",X15^Controls!$C$9*Y15^Controls!$C$8)</x:f>
        <x:v>0.4143620132716129</x:v>
      </x:c>
      <x:c r="AC15" t="n">
        <x:f>IF(OR(U15="",V15=""),"",SQRT(U15*V15))</x:f>
        <x:v>0.4893816513822449</x:v>
      </x:c>
      <x:c r="AD15" t="n">
        <x:f>IF(OR(I15="",J15="",J15=0),"",I15/J15)</x:f>
        <x:v>45.283018867924525</x:v>
      </x:c>
      <x:c r="AE15" t="n">
        <x:f>IF(OR(I15="",K15="",K15=0),"",I15/K15)</x:f>
        <x:v>0.13779245012200372</x:v>
      </x:c>
      <x:c r="AF15" t="n">
        <x:f>IF(Z15="","",1+COUNTIF($Z$4:$Z$141,"&gt;"&amp;Z15)+COUNTIFS($Z$4:Z15,Z15)-1)</x:f>
        <x:v>7</x:v>
      </x:c>
      <x:c r="AG15" t="n">
        <x:f>IF(AA15="","",1+COUNTIF($AA$4:$AA$141,"&gt;"&amp;AA15)+COUNTIFS($AA$4:AA15,AA15)-1)</x:f>
        <x:v>7</x:v>
      </x:c>
      <x:c r="AH15" t="n">
        <x:f>IF(AB15="","",1+COUNTIF($AB$4:$AB$141,"&gt;"&amp;AB15)+COUNTIFS($AB$4:AB15,AB15)-1)</x:f>
        <x:v>7</x:v>
      </x:c>
      <x:c r="AI15" t="n">
        <x:f>IF(OR(O15=0,I15=""),"",1+COUNTIFS($O$4:$O$141,1,$I$4:$I$141,"&gt;"&amp;I15)+COUNTIFS($O$4:O15,1,$I$4:I15,I15)-1)</x:f>
        <x:v>13</x:v>
      </x:c>
      <x:c r="AJ15" t="n">
        <x:f>IF(OR(O15=0,L15=""),"",1+COUNTIFS($O$4:$O$141,1,$L$4:$L$141,"&gt;"&amp;L15)+COUNTIFS($O$4:O15,1,$L$4:L15,L15)-1)</x:f>
        <x:v>20</x:v>
      </x:c>
      <x:c r="AK15" t="n">
        <x:f>IF(OR(O15=0,J15="",J15=0),"",1+COUNTIFS($O$4:$O$141,1,$J$4:$J$141,"&lt;"&amp;J15,$J$4:$J$141,"&gt;0")+COUNTIFS($O$4:O15,1,$J$4:J15,J15)-1)</x:f>
        <x:v>25</x:v>
      </x:c>
    </x:row>
    <x:row r="16">
      <x:c r="A16" t="inlineStr">
        <x:is>
          <x:t xml:space="preserve">openai|gpt-6-astra|low|reasoning|fallback-na|aa-v4.3.2|snapshot-2026-09-28</x:t>
        </x:is>
      </x:c>
      <x:c r="B16" t="inlineStr">
        <x:is>
          <x:t xml:space="preserve">openai|gpt-6-astra|low|reasoning|fallback-na</x:t>
        </x:is>
      </x:c>
      <x:c r="C16" t="inlineStr">
        <x:is>
          <x:t xml:space="preserve">GPT-6 Astra</x:t>
        </x:is>
      </x:c>
      <x:c r="D16" t="inlineStr">
        <x:is>
          <x:t xml:space="preserve">OpenAI</x:t>
        </x:is>
      </x:c>
      <x:c r="E16" t="inlineStr">
        <x:is>
          <x:t xml:space="preserve">low</x:t>
        </x:is>
      </x:c>
      <x:c r="F16" t="inlineStr">
        <x:is>
          <x:t xml:space="preserve">AA|v4.3.2</x:t>
        </x:is>
      </x:c>
      <x:c r="G16" t="n">
        <x:v>46</x:v>
      </x:c>
      <x:c r="H16" t="n">
        <x:f>IFERROR(INDEX(Benchmark_Versions!$I:$I,MATCH(F16,Benchmark_Versions!$A:$A,0)),1)</x:f>
        <x:v>1</x:v>
      </x:c>
      <x:c r="I16" t="n">
        <x:f>IF(G16="","",G16*H16)</x:f>
        <x:v>46</x:v>
      </x:c>
      <x:c r="J16" s="69" t="n">
        <x:v>0.82</x:v>
      </x:c>
      <x:c r="K16" t="n">
        <x:v>84.98999999999999</x:v>
      </x:c>
      <x:c r="L16" t="n">
        <x:v>52</x:v>
      </x:c>
      <x:c r="M16" t="inlineStr">
        <x:is>
          <x:t xml:space="preserve">Contender</x:t>
        </x:is>
      </x:c>
      <x:c r="N16" t="inlineStr">
        <x:is>
          <x:t xml:space="preserve">yes</x:t>
        </x:is>
      </x:c>
      <x:c r="O16" t="n">
        <x:f>IF(F16&lt;&gt;Controls!$C$12,0,IF(AND(Controls!$C$10="Contender",M16&lt;&gt;"Contender"),0,IF(AND(Controls!$C$10="Contender+Close",NOT(OR(M16="Contender",M16="Close"))),0,IF(AND(Controls!$C$11="Current",NOT(OR(N16="yes",N16="limited"))),0,1))))</x:f>
        <x:v>1</x:v>
      </x:c>
      <x:c r="P16" t="n">
        <x:f>Controls!$C$7</x:f>
        <x:v>40</x:v>
      </x:c>
      <x:c r="Q16" t="n">
        <x:f>IF(I16="","",I16-(P16-1))</x:f>
        <x:v>7</x:v>
      </x:c>
      <x:c r="R16" t="n">
        <x:f>IF(OR(O16=0,Q16&lt;=0,J16="",J16=0),"",Q16/J16)</x:f>
        <x:v>8.536585365853659</x:v>
      </x:c>
      <x:c r="S16" t="n">
        <x:f>IF(OR(O16=0,Q16&lt;=0,J16="",Q16=0),"",J16/Q16)</x:f>
        <x:v>0.11714285714285713</x:v>
      </x:c>
      <x:c r="T16" t="n">
        <x:f>IF(OR(O16=0,Q16&lt;=0,J16="",K16="",J16=0,K16=0),"",Q16/(J16*(K16/60)))</x:f>
        <x:v>6.026533968128246</x:v>
      </x:c>
      <x:c r="U16" t="n">
        <x:f>IF(OR(O16=0,I16=""),"",I16/_xlfn.MAXIFS($I$4:$I$141,$O$4:$O$141,1))</x:f>
        <x:v>0.7931034482758621</x:v>
      </x:c>
      <x:c r="V16" t="n">
        <x:f>IF(OR(O16=0,L16=""),"",L16/_xlfn.MAXIFS($L$4:$L$141,$O$4:$O$141,1))</x:f>
        <x:v>0.16720257234726688</x:v>
      </x:c>
      <x:c r="W16" t="n">
        <x:f>IF(OR(O16=0,J16=""),"",_xlfn.MINIFS($J$4:$J$141,$O$4:$O$141,1,$J$4:$J$141,"&gt;0")/J16)</x:f>
        <x:v>0.00548780487804878</x:v>
      </x:c>
      <x:c r="X16" t="n">
        <x:f>IF(R16="","",R16/_xlfn.MAXIFS($R$4:$R$141,$O$4:$O$141,1))</x:f>
        <x:v>0.7113821138211383</x:v>
      </x:c>
      <x:c r="Y16" t="n">
        <x:f>IF(T16="","",T16/_xlfn.MAXIFS($T$4:$T$141,$O$4:$O$141,1))</x:f>
        <x:v>1</x:v>
      </x:c>
      <x:c r="Z16" s="67" t="n">
        <x:f>IF(OR(X16="",Y16=""),"",SQRT(X16*Y16))</x:f>
        <x:v>0.8434347122457898</x:v>
      </x:c>
      <x:c r="AA16" s="67" t="n">
        <x:f>IF(OR(X16="",Y16=""),"",X16^Controls!$C$8*Y16^Controls!$C$9)</x:f>
        <x:v>0.8434347122457898</x:v>
      </x:c>
      <x:c r="AB16" s="67" t="n">
        <x:f>IF(OR(X16="",Y16=""),"",X16^Controls!$C$9*Y16^Controls!$C$8)</x:f>
        <x:v>0.8434347122457898</x:v>
      </x:c>
      <x:c r="AC16" t="n">
        <x:f>IF(OR(U16="",V16=""),"",SQRT(U16*V16))</x:f>
        <x:v>0.364155099770979</x:v>
      </x:c>
      <x:c r="AD16" t="n">
        <x:f>IF(OR(I16="",J16="",J16=0),"",I16/J16)</x:f>
        <x:v>56.09756097560976</x:v>
      </x:c>
      <x:c r="AE16" t="n">
        <x:f>IF(OR(I16="",K16="",K16=0),"",I16/K16)</x:f>
        <x:v>0.5412401458995176</x:v>
      </x:c>
      <x:c r="AF16" t="n">
        <x:f>IF(Z16="","",1+COUNTIF($Z$4:$Z$141,"&gt;"&amp;Z16)+COUNTIFS($Z$4:Z16,Z16)-1)</x:f>
        <x:v>2</x:v>
      </x:c>
      <x:c r="AG16" t="n">
        <x:f>IF(AA16="","",1+COUNTIF($AA$4:$AA$141,"&gt;"&amp;AA16)+COUNTIFS($AA$4:AA16,AA16)-1)</x:f>
        <x:v>2</x:v>
      </x:c>
      <x:c r="AH16" t="n">
        <x:f>IF(AB16="","",1+COUNTIF($AB$4:$AB$141,"&gt;"&amp;AB16)+COUNTIFS($AB$4:AB16,AB16)-1)</x:f>
        <x:v>2</x:v>
      </x:c>
      <x:c r="AI16" t="n">
        <x:f>IF(OR(O16=0,I16=""),"",1+COUNTIFS($O$4:$O$141,1,$I$4:$I$141,"&gt;"&amp;I16)+COUNTIFS($O$4:O16,1,$I$4:I16,I16)-1)</x:f>
        <x:v>17</x:v>
      </x:c>
      <x:c r="AJ16" t="n">
        <x:f>IF(OR(O16=0,L16=""),"",1+COUNTIFS($O$4:$O$141,1,$L$4:$L$141,"&gt;"&amp;L16)+COUNTIFS($O$4:O16,1,$L$4:L16,L16)-1)</x:f>
        <x:v>36</x:v>
      </x:c>
      <x:c r="AK16" t="n">
        <x:f>IF(OR(O16=0,J16="",J16=0),"",1+COUNTIFS($O$4:$O$141,1,$J$4:$J$141,"&lt;"&amp;J16,$J$4:$J$141,"&gt;0")+COUNTIFS($O$4:O16,1,$J$4:J16,J16)-1)</x:f>
        <x:v>22</x:v>
      </x:c>
    </x:row>
    <x:row r="17">
      <x:c r="A17" t="inlineStr">
        <x:is>
          <x:t xml:space="preserve">openai|gpt-6-astra|medium|reasoning|fallback-na|aa-v4.3.2|snapshot-2026-09-28</x:t>
        </x:is>
      </x:c>
      <x:c r="B17" t="inlineStr">
        <x:is>
          <x:t xml:space="preserve">openai|gpt-6-astra|medium|reasoning|fallback-na</x:t>
        </x:is>
      </x:c>
      <x:c r="C17" t="inlineStr">
        <x:is>
          <x:t xml:space="preserve">GPT-6 Astra</x:t>
        </x:is>
      </x:c>
      <x:c r="D17" t="inlineStr">
        <x:is>
          <x:t xml:space="preserve">OpenAI</x:t>
        </x:is>
      </x:c>
      <x:c r="E17" t="inlineStr">
        <x:is>
          <x:t xml:space="preserve">medium</x:t>
        </x:is>
      </x:c>
      <x:c r="F17" t="inlineStr">
        <x:is>
          <x:t xml:space="preserve">AA|v4.3.2</x:t>
        </x:is>
      </x:c>
      <x:c r="G17" t="n">
        <x:v>50</x:v>
      </x:c>
      <x:c r="H17" t="n">
        <x:f>IFERROR(INDEX(Benchmark_Versions!$I:$I,MATCH(F17,Benchmark_Versions!$A:$A,0)),1)</x:f>
        <x:v>1</x:v>
      </x:c>
      <x:c r="I17" t="n">
        <x:f>IF(G17="","",G17*H17)</x:f>
        <x:v>50</x:v>
      </x:c>
      <x:c r="J17" s="69" t="n">
        <x:v>1.54</x:v>
      </x:c>
      <x:c r="K17" t="n">
        <x:v>183.36</x:v>
      </x:c>
      <x:c r="L17" t="n">
        <x:v>52</x:v>
      </x:c>
      <x:c r="M17" t="inlineStr">
        <x:is>
          <x:t xml:space="preserve">Contender</x:t>
        </x:is>
      </x:c>
      <x:c r="N17" t="inlineStr">
        <x:is>
          <x:t xml:space="preserve">yes</x:t>
        </x:is>
      </x:c>
      <x:c r="O17" t="n">
        <x:f>IF(F17&lt;&gt;Controls!$C$12,0,IF(AND(Controls!$C$10="Contender",M17&lt;&gt;"Contender"),0,IF(AND(Controls!$C$10="Contender+Close",NOT(OR(M17="Contender",M17="Close"))),0,IF(AND(Controls!$C$11="Current",NOT(OR(N17="yes",N17="limited"))),0,1))))</x:f>
        <x:v>1</x:v>
      </x:c>
      <x:c r="P17" t="n">
        <x:f>Controls!$C$7</x:f>
        <x:v>40</x:v>
      </x:c>
      <x:c r="Q17" t="n">
        <x:f>IF(I17="","",I17-(P17-1))</x:f>
        <x:v>11</x:v>
      </x:c>
      <x:c r="R17" t="n">
        <x:f>IF(OR(O17=0,Q17&lt;=0,J17="",J17=0),"",Q17/J17)</x:f>
        <x:v>7.142857142857142</x:v>
      </x:c>
      <x:c r="S17" t="n">
        <x:f>IF(OR(O17=0,Q17&lt;=0,J17="",Q17=0),"",J17/Q17)</x:f>
        <x:v>0.14</x:v>
      </x:c>
      <x:c r="T17" t="n">
        <x:f>IF(OR(O17=0,Q17&lt;=0,J17="",K17="",J17=0,K17=0),"",Q17/(J17*(K17/60)))</x:f>
        <x:v>2.3373223635003737</x:v>
      </x:c>
      <x:c r="U17" t="n">
        <x:f>IF(OR(O17=0,I17=""),"",I17/_xlfn.MAXIFS($I$4:$I$141,$O$4:$O$141,1))</x:f>
        <x:v>0.8620689655172413</x:v>
      </x:c>
      <x:c r="V17" t="n">
        <x:f>IF(OR(O17=0,L17=""),"",L17/_xlfn.MAXIFS($L$4:$L$141,$O$4:$O$141,1))</x:f>
        <x:v>0.16720257234726688</x:v>
      </x:c>
      <x:c r="W17" t="n">
        <x:f>IF(OR(O17=0,J17=""),"",_xlfn.MINIFS($J$4:$J$141,$O$4:$O$141,1,$J$4:$J$141,"&gt;0")/J17)</x:f>
        <x:v>0.0029220779220779218</x:v>
      </x:c>
      <x:c r="X17" t="n">
        <x:f>IF(R17="","",R17/_xlfn.MAXIFS($R$4:$R$141,$O$4:$O$141,1))</x:f>
        <x:v>0.5952380952380952</x:v>
      </x:c>
      <x:c r="Y17" t="n">
        <x:f>IF(T17="","",T17/_xlfn.MAXIFS($T$4:$T$141,$O$4:$O$141,1))</x:f>
        <x:v>0.38783857783951264</x:v>
      </x:c>
      <x:c r="Z17" s="67" t="n">
        <x:f>IF(OR(X17="",Y17=""),"",SQRT(X17*Y17))</x:f>
        <x:v>0.48047507358139113</x:v>
      </x:c>
      <x:c r="AA17" s="67" t="n">
        <x:f>IF(OR(X17="",Y17=""),"",X17^Controls!$C$8*Y17^Controls!$C$9)</x:f>
        <x:v>0.4804750735813912</x:v>
      </x:c>
      <x:c r="AB17" s="67" t="n">
        <x:f>IF(OR(X17="",Y17=""),"",X17^Controls!$C$9*Y17^Controls!$C$8)</x:f>
        <x:v>0.4804750735813912</x:v>
      </x:c>
      <x:c r="AC17" t="n">
        <x:f>IF(OR(U17="",V17=""),"",SQRT(U17*V17))</x:f>
        <x:v>0.3796579362732064</x:v>
      </x:c>
      <x:c r="AD17" t="n">
        <x:f>IF(OR(I17="",J17="",J17=0),"",I17/J17)</x:f>
        <x:v>32.467532467532465</x:v>
      </x:c>
      <x:c r="AE17" t="n">
        <x:f>IF(OR(I17="",K17="",K17=0),"",I17/K17)</x:f>
        <x:v>0.27268760907504364</x:v>
      </x:c>
      <x:c r="AF17" t="n">
        <x:f>IF(Z17="","",1+COUNTIF($Z$4:$Z$141,"&gt;"&amp;Z17)+COUNTIFS($Z$4:Z17,Z17)-1)</x:f>
        <x:v>4</x:v>
      </x:c>
      <x:c r="AG17" t="n">
        <x:f>IF(AA17="","",1+COUNTIF($AA$4:$AA$141,"&gt;"&amp;AA17)+COUNTIFS($AA$4:AA17,AA17)-1)</x:f>
        <x:v>4</x:v>
      </x:c>
      <x:c r="AH17" t="n">
        <x:f>IF(AB17="","",1+COUNTIF($AB$4:$AB$141,"&gt;"&amp;AB17)+COUNTIFS($AB$4:AB17,AB17)-1)</x:f>
        <x:v>4</x:v>
      </x:c>
      <x:c r="AI17" t="n">
        <x:f>IF(OR(O17=0,I17=""),"",1+COUNTIFS($O$4:$O$141,1,$I$4:$I$141,"&gt;"&amp;I17)+COUNTIFS($O$4:O17,1,$I$4:I17,I17)-1)</x:f>
        <x:v>12</x:v>
      </x:c>
      <x:c r="AJ17" t="n">
        <x:f>IF(OR(O17=0,L17=""),"",1+COUNTIFS($O$4:$O$141,1,$L$4:$L$141,"&gt;"&amp;L17)+COUNTIFS($O$4:O17,1,$L$4:L17,L17)-1)</x:f>
        <x:v>37</x:v>
      </x:c>
      <x:c r="AK17" t="n">
        <x:f>IF(OR(O17=0,J17="",J17=0),"",1+COUNTIFS($O$4:$O$141,1,$J$4:$J$141,"&lt;"&amp;J17,$J$4:$J$141,"&gt;0")+COUNTIFS($O$4:O17,1,$J$4:J17,J17)-1)</x:f>
        <x:v>30</x:v>
      </x:c>
    </x:row>
    <x:row r="18">
      <x:c r="A18" t="inlineStr">
        <x:is>
          <x:t xml:space="preserve">openai|gpt-6-astra|high|reasoning|fallback-na|aa-v4.3.2|snapshot-2026-09-28</x:t>
        </x:is>
      </x:c>
      <x:c r="B18" t="inlineStr">
        <x:is>
          <x:t xml:space="preserve">openai|gpt-6-astra|high|reasoning|fallback-na</x:t>
        </x:is>
      </x:c>
      <x:c r="C18" t="inlineStr">
        <x:is>
          <x:t xml:space="preserve">GPT-6 Astra</x:t>
        </x:is>
      </x:c>
      <x:c r="D18" t="inlineStr">
        <x:is>
          <x:t xml:space="preserve">OpenAI</x:t>
        </x:is>
      </x:c>
      <x:c r="E18" t="inlineStr">
        <x:is>
          <x:t xml:space="preserve">high</x:t>
        </x:is>
      </x:c>
      <x:c r="F18" t="inlineStr">
        <x:is>
          <x:t xml:space="preserve">AA|v4.3.2</x:t>
        </x:is>
      </x:c>
      <x:c r="G18" t="n">
        <x:v>51</x:v>
      </x:c>
      <x:c r="H18" t="n">
        <x:f>IFERROR(INDEX(Benchmark_Versions!$I:$I,MATCH(F18,Benchmark_Versions!$A:$A,0)),1)</x:f>
        <x:v>1</x:v>
      </x:c>
      <x:c r="I18" t="n">
        <x:f>IF(G18="","",G18*H18)</x:f>
        <x:v>51</x:v>
      </x:c>
      <x:c r="J18" s="69" t="n">
        <x:v>1.73</x:v>
      </x:c>
      <x:c r="K18" t="n">
        <x:v>227.58</x:v>
      </x:c>
      <x:c r="L18" t="n">
        <x:v>52</x:v>
      </x:c>
      <x:c r="M18" t="inlineStr">
        <x:is>
          <x:t xml:space="preserve">Contender</x:t>
        </x:is>
      </x:c>
      <x:c r="N18" t="inlineStr">
        <x:is>
          <x:t xml:space="preserve">yes</x:t>
        </x:is>
      </x:c>
      <x:c r="O18" t="n">
        <x:f>IF(F18&lt;&gt;Controls!$C$12,0,IF(AND(Controls!$C$10="Contender",M18&lt;&gt;"Contender"),0,IF(AND(Controls!$C$10="Contender+Close",NOT(OR(M18="Contender",M18="Close"))),0,IF(AND(Controls!$C$11="Current",NOT(OR(N18="yes",N18="limited"))),0,1))))</x:f>
        <x:v>1</x:v>
      </x:c>
      <x:c r="P18" t="n">
        <x:f>Controls!$C$7</x:f>
        <x:v>40</x:v>
      </x:c>
      <x:c r="Q18" t="n">
        <x:f>IF(I18="","",I18-(P18-1))</x:f>
        <x:v>12</x:v>
      </x:c>
      <x:c r="R18" t="n">
        <x:f>IF(OR(O18=0,Q18&lt;=0,J18="",J18=0),"",Q18/J18)</x:f>
        <x:v>6.936416184971098</x:v>
      </x:c>
      <x:c r="S18" t="n">
        <x:f>IF(OR(O18=0,Q18&lt;=0,J18="",Q18=0),"",J18/Q18)</x:f>
        <x:v>0.14416666666666667</x:v>
      </x:c>
      <x:c r="T18" t="n">
        <x:f>IF(OR(O18=0,Q18&lt;=0,J18="",K18="",J18=0,K18=0),"",Q18/(J18*(K18/60)))</x:f>
        <x:v>1.828741414440047</x:v>
      </x:c>
      <x:c r="U18" t="n">
        <x:f>IF(OR(O18=0,I18=""),"",I18/_xlfn.MAXIFS($I$4:$I$141,$O$4:$O$141,1))</x:f>
        <x:v>0.8793103448275862</x:v>
      </x:c>
      <x:c r="V18" t="n">
        <x:f>IF(OR(O18=0,L18=""),"",L18/_xlfn.MAXIFS($L$4:$L$141,$O$4:$O$141,1))</x:f>
        <x:v>0.16720257234726688</x:v>
      </x:c>
      <x:c r="W18" t="n">
        <x:f>IF(OR(O18=0,J18=""),"",_xlfn.MINIFS($J$4:$J$141,$O$4:$O$141,1,$J$4:$J$141,"&gt;0")/J18)</x:f>
        <x:v>0.002601156069364162</x:v>
      </x:c>
      <x:c r="X18" t="n">
        <x:f>IF(R18="","",R18/_xlfn.MAXIFS($R$4:$R$141,$O$4:$O$141,1))</x:f>
        <x:v>0.5780346820809249</x:v>
      </x:c>
      <x:c r="Y18" t="n">
        <x:f>IF(T18="","",T18/_xlfn.MAXIFS($T$4:$T$141,$O$4:$O$141,1))</x:f>
        <x:v>0.30344828787350675</x:v>
      </x:c>
      <x:c r="Z18" s="67" t="n">
        <x:f>IF(OR(X18="",Y18=""),"",SQRT(X18*Y18))</x:f>
        <x:v>0.4188121710372843</x:v>
      </x:c>
      <x:c r="AA18" s="67" t="n">
        <x:f>IF(OR(X18="",Y18=""),"",X18^Controls!$C$8*Y18^Controls!$C$9)</x:f>
        <x:v>0.41881217103728424</x:v>
      </x:c>
      <x:c r="AB18" s="67" t="n">
        <x:f>IF(OR(X18="",Y18=""),"",X18^Controls!$C$9*Y18^Controls!$C$8)</x:f>
        <x:v>0.41881217103728424</x:v>
      </x:c>
      <x:c r="AC18" t="n">
        <x:f>IF(OR(U18="",V18=""),"",SQRT(U18*V18))</x:f>
        <x:v>0.38343572022796035</x:v>
      </x:c>
      <x:c r="AD18" t="n">
        <x:f>IF(OR(I18="",J18="",J18=0),"",I18/J18)</x:f>
        <x:v>29.479768786127167</x:v>
      </x:c>
      <x:c r="AE18" t="n">
        <x:f>IF(OR(I18="",K18="",K18=0),"",I18/K18)</x:f>
        <x:v>0.22409702082784075</x:v>
      </x:c>
      <x:c r="AF18" t="n">
        <x:f>IF(Z18="","",1+COUNTIF($Z$4:$Z$141,"&gt;"&amp;Z18)+COUNTIFS($Z$4:Z18,Z18)-1)</x:f>
        <x:v>6</x:v>
      </x:c>
      <x:c r="AG18" t="n">
        <x:f>IF(AA18="","",1+COUNTIF($AA$4:$AA$141,"&gt;"&amp;AA18)+COUNTIFS($AA$4:AA18,AA18)-1)</x:f>
        <x:v>6</x:v>
      </x:c>
      <x:c r="AH18" t="n">
        <x:f>IF(AB18="","",1+COUNTIF($AB$4:$AB$141,"&gt;"&amp;AB18)+COUNTIFS($AB$4:AB18,AB18)-1)</x:f>
        <x:v>6</x:v>
      </x:c>
      <x:c r="AI18" t="n">
        <x:f>IF(OR(O18=0,I18=""),"",1+COUNTIFS($O$4:$O$141,1,$I$4:$I$141,"&gt;"&amp;I18)+COUNTIFS($O$4:O18,1,$I$4:I18,I18)-1)</x:f>
        <x:v>10</x:v>
      </x:c>
      <x:c r="AJ18" t="n">
        <x:f>IF(OR(O18=0,L18=""),"",1+COUNTIFS($O$4:$O$141,1,$L$4:$L$141,"&gt;"&amp;L18)+COUNTIFS($O$4:O18,1,$L$4:L18,L18)-1)</x:f>
        <x:v>38</x:v>
      </x:c>
      <x:c r="AK18" t="n">
        <x:f>IF(OR(O18=0,J18="",J18=0),"",1+COUNTIFS($O$4:$O$141,1,$J$4:$J$141,"&lt;"&amp;J18,$J$4:$J$141,"&gt;0")+COUNTIFS($O$4:O18,1,$J$4:J18,J18)-1)</x:f>
        <x:v>32</x:v>
      </x:c>
    </x:row>
    <x:row r="19">
      <x:c r="A19" t="inlineStr">
        <x:is>
          <x:t xml:space="preserve">openai|gpt-6-astra|xhigh|reasoning|fallback-na|aa-v4.3.2|snapshot-2026-09-28</x:t>
        </x:is>
      </x:c>
      <x:c r="B19" t="inlineStr">
        <x:is>
          <x:t xml:space="preserve">openai|gpt-6-astra|xhigh|reasoning|fallback-na</x:t>
        </x:is>
      </x:c>
      <x:c r="C19" t="inlineStr">
        <x:is>
          <x:t xml:space="preserve">GPT-6 Astra</x:t>
        </x:is>
      </x:c>
      <x:c r="D19" t="inlineStr">
        <x:is>
          <x:t xml:space="preserve">OpenAI</x:t>
        </x:is>
      </x:c>
      <x:c r="E19" t="inlineStr">
        <x:is>
          <x:t xml:space="preserve">xhigh</x:t>
        </x:is>
      </x:c>
      <x:c r="F19" t="inlineStr">
        <x:is>
          <x:t xml:space="preserve">AA|v4.3.2</x:t>
        </x:is>
      </x:c>
      <x:c r="G19" t="n">
        <x:v>52</x:v>
      </x:c>
      <x:c r="H19" t="n">
        <x:f>IFERROR(INDEX(Benchmark_Versions!$I:$I,MATCH(F19,Benchmark_Versions!$A:$A,0)),1)</x:f>
        <x:v>1</x:v>
      </x:c>
      <x:c r="I19" t="n">
        <x:f>IF(G19="","",G19*H19)</x:f>
        <x:v>52</x:v>
      </x:c>
      <x:c r="J19" s="69" t="n">
        <x:v>2.31</x:v>
      </x:c>
      <x:c r="K19" t="n">
        <x:v>310.88</x:v>
      </x:c>
      <x:c r="L19" t="n">
        <x:v>54</x:v>
      </x:c>
      <x:c r="M19" t="inlineStr">
        <x:is>
          <x:t xml:space="preserve">Contender</x:t>
        </x:is>
      </x:c>
      <x:c r="N19" t="inlineStr">
        <x:is>
          <x:t xml:space="preserve">yes</x:t>
        </x:is>
      </x:c>
      <x:c r="O19" t="n">
        <x:f>IF(F19&lt;&gt;Controls!$C$12,0,IF(AND(Controls!$C$10="Contender",M19&lt;&gt;"Contender"),0,IF(AND(Controls!$C$10="Contender+Close",NOT(OR(M19="Contender",M19="Close"))),0,IF(AND(Controls!$C$11="Current",NOT(OR(N19="yes",N19="limited"))),0,1))))</x:f>
        <x:v>1</x:v>
      </x:c>
      <x:c r="P19" t="n">
        <x:f>Controls!$C$7</x:f>
        <x:v>40</x:v>
      </x:c>
      <x:c r="Q19" t="n">
        <x:f>IF(I19="","",I19-(P19-1))</x:f>
        <x:v>13</x:v>
      </x:c>
      <x:c r="R19" t="n">
        <x:f>IF(OR(O19=0,Q19&lt;=0,J19="",J19=0),"",Q19/J19)</x:f>
        <x:v>5.627705627705628</x:v>
      </x:c>
      <x:c r="S19" t="n">
        <x:f>IF(OR(O19=0,Q19&lt;=0,J19="",Q19=0),"",J19/Q19)</x:f>
        <x:v>0.1776923076923077</x:v>
      </x:c>
      <x:c r="T19" t="n">
        <x:f>IF(OR(O19=0,Q19&lt;=0,J19="",K19="",J19=0,K19=0),"",Q19/(J19*(K19/60)))</x:f>
        <x:v>1.0861500825474064</x:v>
      </x:c>
      <x:c r="U19" t="n">
        <x:f>IF(OR(O19=0,I19=""),"",I19/_xlfn.MAXIFS($I$4:$I$141,$O$4:$O$141,1))</x:f>
        <x:v>0.896551724137931</x:v>
      </x:c>
      <x:c r="V19" t="n">
        <x:f>IF(OR(O19=0,L19=""),"",L19/_xlfn.MAXIFS($L$4:$L$141,$O$4:$O$141,1))</x:f>
        <x:v>0.17363344051446947</x:v>
      </x:c>
      <x:c r="W19" t="n">
        <x:f>IF(OR(O19=0,J19=""),"",_xlfn.MINIFS($J$4:$J$141,$O$4:$O$141,1,$J$4:$J$141,"&gt;0")/J19)</x:f>
        <x:v>0.0019480519480519478</x:v>
      </x:c>
      <x:c r="X19" t="n">
        <x:f>IF(R19="","",R19/_xlfn.MAXIFS($R$4:$R$141,$O$4:$O$141,1))</x:f>
        <x:v>0.468975468975469</x:v>
      </x:c>
      <x:c r="Y19" t="n">
        <x:f>IF(T19="","",T19/_xlfn.MAXIFS($T$4:$T$141,$O$4:$O$141,1))</x:f>
        <x:v>0.18022798648304125</x:v>
      </x:c>
      <x:c r="Z19" s="67" t="n">
        <x:f>IF(OR(X19="",Y19=""),"",SQRT(X19*Y19))</x:f>
        <x:v>0.290727543386224</x:v>
      </x:c>
      <x:c r="AA19" s="67" t="n">
        <x:f>IF(OR(X19="",Y19=""),"",X19^Controls!$C$8*Y19^Controls!$C$9)</x:f>
        <x:v>0.29072754338622403</x:v>
      </x:c>
      <x:c r="AB19" s="67" t="n">
        <x:f>IF(OR(X19="",Y19=""),"",X19^Controls!$C$9*Y19^Controls!$C$8)</x:f>
        <x:v>0.29072754338622403</x:v>
      </x:c>
      <x:c r="AC19" t="n">
        <x:f>IF(OR(U19="",V19=""),"",SQRT(U19*V19))</x:f>
        <x:v>0.39455210107316435</x:v>
      </x:c>
      <x:c r="AD19" t="n">
        <x:f>IF(OR(I19="",J19="",J19=0),"",I19/J19)</x:f>
        <x:v>22.51082251082251</x:v>
      </x:c>
      <x:c r="AE19" t="n">
        <x:f>IF(OR(I19="",K19="",K19=0),"",I19/K19)</x:f>
        <x:v>0.16726711271230058</x:v>
      </x:c>
      <x:c r="AF19" t="n">
        <x:f>IF(Z19="","",1+COUNTIF($Z$4:$Z$141,"&gt;"&amp;Z19)+COUNTIFS($Z$4:Z19,Z19)-1)</x:f>
        <x:v>9</x:v>
      </x:c>
      <x:c r="AG19" t="n">
        <x:f>IF(AA19="","",1+COUNTIF($AA$4:$AA$141,"&gt;"&amp;AA19)+COUNTIFS($AA$4:AA19,AA19)-1)</x:f>
        <x:v>9</x:v>
      </x:c>
      <x:c r="AH19" t="n">
        <x:f>IF(AB19="","",1+COUNTIF($AB$4:$AB$141,"&gt;"&amp;AB19)+COUNTIFS($AB$4:AB19,AB19)-1)</x:f>
        <x:v>9</x:v>
      </x:c>
      <x:c r="AI19" t="n">
        <x:f>IF(OR(O19=0,I19=""),"",1+COUNTIFS($O$4:$O$141,1,$I$4:$I$141,"&gt;"&amp;I19)+COUNTIFS($O$4:O19,1,$I$4:I19,I19)-1)</x:f>
        <x:v>8</x:v>
      </x:c>
      <x:c r="AJ19" t="n">
        <x:f>IF(OR(O19=0,L19=""),"",1+COUNTIFS($O$4:$O$141,1,$L$4:$L$141,"&gt;"&amp;L19)+COUNTIFS($O$4:O19,1,$L$4:L19,L19)-1)</x:f>
        <x:v>34</x:v>
      </x:c>
      <x:c r="AK19" t="n">
        <x:f>IF(OR(O19=0,J19="",J19=0),"",1+COUNTIFS($O$4:$O$141,1,$J$4:$J$141,"&lt;"&amp;J19,$J$4:$J$141,"&gt;0")+COUNTIFS($O$4:O19,1,$J$4:J19,J19)-1)</x:f>
        <x:v>35</x:v>
      </x:c>
    </x:row>
    <x:row r="20">
      <x:c r="A20" t="inlineStr">
        <x:is>
          <x:t xml:space="preserve">openai|gpt-6-astra|max|reasoning|fallback-na|aa-v4.3.2|snapshot-2026-09-28</x:t>
        </x:is>
      </x:c>
      <x:c r="B20" t="inlineStr">
        <x:is>
          <x:t xml:space="preserve">openai|gpt-6-astra|max|reasoning|fallback-na</x:t>
        </x:is>
      </x:c>
      <x:c r="C20" t="inlineStr">
        <x:is>
          <x:t xml:space="preserve">GPT-6 Astra</x:t>
        </x:is>
      </x:c>
      <x:c r="D20" t="inlineStr">
        <x:is>
          <x:t xml:space="preserve">OpenAI</x:t>
        </x:is>
      </x:c>
      <x:c r="E20" t="inlineStr">
        <x:is>
          <x:t xml:space="preserve">max</x:t>
        </x:is>
      </x:c>
      <x:c r="F20" t="inlineStr">
        <x:is>
          <x:t xml:space="preserve">AA|v4.3.2</x:t>
        </x:is>
      </x:c>
      <x:c r="G20" t="n">
        <x:v>53</x:v>
      </x:c>
      <x:c r="H20" t="n">
        <x:f>IFERROR(INDEX(Benchmark_Versions!$I:$I,MATCH(F20,Benchmark_Versions!$A:$A,0)),1)</x:f>
        <x:v>1</x:v>
      </x:c>
      <x:c r="I20" t="n">
        <x:f>IF(G20="","",G20*H20)</x:f>
        <x:v>53</x:v>
      </x:c>
      <x:c r="J20" s="69" t="n">
        <x:v>3.26</x:v>
      </x:c>
      <x:c r="K20" t="n">
        <x:v>424.31</x:v>
      </x:c>
      <x:c r="L20" t="n">
        <x:v>64</x:v>
      </x:c>
      <x:c r="M20" t="inlineStr">
        <x:is>
          <x:t xml:space="preserve">Contender</x:t>
        </x:is>
      </x:c>
      <x:c r="N20" t="inlineStr">
        <x:is>
          <x:t xml:space="preserve">yes</x:t>
        </x:is>
      </x:c>
      <x:c r="O20" t="n">
        <x:f>IF(F20&lt;&gt;Controls!$C$12,0,IF(AND(Controls!$C$10="Contender",M20&lt;&gt;"Contender"),0,IF(AND(Controls!$C$10="Contender+Close",NOT(OR(M20="Contender",M20="Close"))),0,IF(AND(Controls!$C$11="Current",NOT(OR(N20="yes",N20="limited"))),0,1))))</x:f>
        <x:v>1</x:v>
      </x:c>
      <x:c r="P20" t="n">
        <x:f>Controls!$C$7</x:f>
        <x:v>40</x:v>
      </x:c>
      <x:c r="Q20" t="n">
        <x:f>IF(I20="","",I20-(P20-1))</x:f>
        <x:v>14</x:v>
      </x:c>
      <x:c r="R20" t="n">
        <x:f>IF(OR(O20=0,Q20&lt;=0,J20="",J20=0),"",Q20/J20)</x:f>
        <x:v>4.294478527607362</x:v>
      </x:c>
      <x:c r="S20" t="n">
        <x:f>IF(OR(O20=0,Q20&lt;=0,J20="",Q20=0),"",J20/Q20)</x:f>
        <x:v>0.23285714285714285</x:v>
      </x:c>
      <x:c r="T20" t="n">
        <x:f>IF(OR(O20=0,Q20&lt;=0,J20="",K20="",J20=0,K20=0),"",Q20/(J20*(K20/60)))</x:f>
        <x:v>0.6072652345135438</x:v>
      </x:c>
      <x:c r="U20" t="n">
        <x:f>IF(OR(O20=0,I20=""),"",I20/_xlfn.MAXIFS($I$4:$I$141,$O$4:$O$141,1))</x:f>
        <x:v>0.9137931034482759</x:v>
      </x:c>
      <x:c r="V20" t="n">
        <x:f>IF(OR(O20=0,L20=""),"",L20/_xlfn.MAXIFS($L$4:$L$141,$O$4:$O$141,1))</x:f>
        <x:v>0.2057877813504823</x:v>
      </x:c>
      <x:c r="W20" t="n">
        <x:f>IF(OR(O20=0,J20=""),"",_xlfn.MINIFS($J$4:$J$141,$O$4:$O$141,1,$J$4:$J$141,"&gt;0")/J20)</x:f>
        <x:v>0.0013803680981595093</x:v>
      </x:c>
      <x:c r="X20" t="n">
        <x:f>IF(R20="","",R20/_xlfn.MAXIFS($R$4:$R$141,$O$4:$O$141,1))</x:f>
        <x:v>0.35787321063394684</x:v>
      </x:c>
      <x:c r="Y20" t="n">
        <x:f>IF(T20="","",T20/_xlfn.MAXIFS($T$4:$T$141,$O$4:$O$141,1))</x:f>
        <x:v>0.10076525540635947</x:v>
      </x:c>
      <x:c r="Z20" s="67" t="n">
        <x:f>IF(OR(X20="",Y20=""),"",SQRT(X20*Y20))</x:f>
        <x:v>0.18989782903609914</x:v>
      </x:c>
      <x:c r="AA20" s="67" t="n">
        <x:f>IF(OR(X20="",Y20=""),"",X20^Controls!$C$8*Y20^Controls!$C$9)</x:f>
        <x:v>0.18989782903609914</x:v>
      </x:c>
      <x:c r="AB20" s="67" t="n">
        <x:f>IF(OR(X20="",Y20=""),"",X20^Controls!$C$9*Y20^Controls!$C$8)</x:f>
        <x:v>0.18989782903609914</x:v>
      </x:c>
      <x:c r="AC20" t="n">
        <x:f>IF(OR(U20="",V20=""),"",SQRT(U20*V20))</x:f>
        <x:v>0.4336443881476993</x:v>
      </x:c>
      <x:c r="AD20" t="n">
        <x:f>IF(OR(I20="",J20="",J20=0),"",I20/J20)</x:f>
        <x:v>16.257668711656443</x:v>
      </x:c>
      <x:c r="AE20" t="n">
        <x:f>IF(OR(I20="",K20="",K20=0),"",I20/K20)</x:f>
        <x:v>0.124908675261012</x:v>
      </x:c>
      <x:c r="AF20" t="n">
        <x:f>IF(Z20="","",1+COUNTIF($Z$4:$Z$141,"&gt;"&amp;Z20)+COUNTIFS($Z$4:Z20,Z20)-1)</x:f>
        <x:v>11</x:v>
      </x:c>
      <x:c r="AG20" t="n">
        <x:f>IF(AA20="","",1+COUNTIF($AA$4:$AA$141,"&gt;"&amp;AA20)+COUNTIFS($AA$4:AA20,AA20)-1)</x:f>
        <x:v>11</x:v>
      </x:c>
      <x:c r="AH20" t="n">
        <x:f>IF(AB20="","",1+COUNTIF($AB$4:$AB$141,"&gt;"&amp;AB20)+COUNTIFS($AB$4:AB20,AB20)-1)</x:f>
        <x:v>11</x:v>
      </x:c>
      <x:c r="AI20" t="n">
        <x:f>IF(OR(O20=0,I20=""),"",1+COUNTIFS($O$4:$O$141,1,$I$4:$I$141,"&gt;"&amp;I20)+COUNTIFS($O$4:O20,1,$I$4:I20,I20)-1)</x:f>
        <x:v>6</x:v>
      </x:c>
      <x:c r="AJ20" t="n">
        <x:f>IF(OR(O20=0,L20=""),"",1+COUNTIFS($O$4:$O$141,1,$L$4:$L$141,"&gt;"&amp;L20)+COUNTIFS($O$4:O20,1,$L$4:L20,L20)-1)</x:f>
        <x:v>30</x:v>
      </x:c>
      <x:c r="AK20" t="n">
        <x:f>IF(OR(O20=0,J20="",J20=0),"",1+COUNTIFS($O$4:$O$141,1,$J$4:$J$141,"&lt;"&amp;J20,$J$4:$J$141,"&gt;0")+COUNTIFS($O$4:O20,1,$J$4:J20,J20)-1)</x:f>
        <x:v>37</x:v>
      </x:c>
    </x:row>
    <x:row r="21">
      <x:c r="A21" t="inlineStr">
        <x:is>
          <x:t xml:space="preserve">openai|gpt-5.6-luna|non-reasoning|nonreasoning|fallback-na|aa-v4.3.2|snapshot-2026-09-28</x:t>
        </x:is>
      </x:c>
      <x:c r="B21" t="inlineStr">
        <x:is>
          <x:t xml:space="preserve">openai|gpt-5.6-luna|non-reasoning|nonreasoning|fallback-na</x:t>
        </x:is>
      </x:c>
      <x:c r="C21" t="inlineStr">
        <x:is>
          <x:t xml:space="preserve">GPT-5.6 Luna</x:t>
        </x:is>
      </x:c>
      <x:c r="D21" t="inlineStr">
        <x:is>
          <x:t xml:space="preserve">OpenAI</x:t>
        </x:is>
      </x:c>
      <x:c r="E21" t="inlineStr">
        <x:is>
          <x:t xml:space="preserve">non-reasoning</x:t>
        </x:is>
      </x:c>
      <x:c r="F21" t="inlineStr">
        <x:is>
          <x:t xml:space="preserve">AA|v4.3.2</x:t>
        </x:is>
      </x:c>
      <x:c r="G21" t="n">
        <x:v>16</x:v>
      </x:c>
      <x:c r="H21" t="n">
        <x:f>IFERROR(INDEX(Benchmark_Versions!$I:$I,MATCH(F21,Benchmark_Versions!$A:$A,0)),1)</x:f>
        <x:v>1</x:v>
      </x:c>
      <x:c r="I21" t="n">
        <x:f>IF(G21="","",G21*H21)</x:f>
        <x:v>16</x:v>
      </x:c>
      <x:c r="J21" s="69" t="n">
        <x:v>0.01</x:v>
      </x:c>
      <x:c r="L21" t="n">
        <x:v>122</x:v>
      </x:c>
      <x:c r="M21" t="inlineStr">
        <x:is>
          <x:t xml:space="preserve">Historical</x:t>
        </x:is>
      </x:c>
      <x:c r="N21" t="inlineStr">
        <x:is>
          <x:t xml:space="preserve">yes</x:t>
        </x:is>
      </x:c>
      <x:c r="O21" t="n">
        <x:f>IF(F21&lt;&gt;Controls!$C$12,0,IF(AND(Controls!$C$10="Contender",M21&lt;&gt;"Contender"),0,IF(AND(Controls!$C$10="Contender+Close",NOT(OR(M21="Contender",M21="Close"))),0,IF(AND(Controls!$C$11="Current",NOT(OR(N21="yes",N21="limited"))),0,1))))</x:f>
        <x:v>0</x:v>
      </x:c>
      <x:c r="P21" t="n">
        <x:f>Controls!$C$7</x:f>
        <x:v>40</x:v>
      </x:c>
      <x:c r="Q21" t="n">
        <x:f>IF(I21="","",I21-(P21-1))</x:f>
        <x:v>-23</x:v>
      </x:c>
      <x:c r="R21" t="str">
        <x:f>IF(OR(O21=0,Q21&lt;=0,J21="",J21=0),"",Q21/J21)</x:f>
      </x:c>
      <x:c r="S21" t="str">
        <x:f>IF(OR(O21=0,Q21&lt;=0,J21="",Q21=0),"",J21/Q21)</x:f>
      </x:c>
      <x:c r="T21" t="str">
        <x:f>IF(OR(O21=0,Q21&lt;=0,J21="",K21="",J21=0,K21=0),"",Q21/(J21*(K21/60)))</x:f>
      </x:c>
      <x:c r="U21" t="str">
        <x:f>IF(OR(O21=0,I21=""),"",I21/_xlfn.MAXIFS($I$4:$I$141,$O$4:$O$141,1))</x:f>
      </x:c>
      <x:c r="V21" t="str">
        <x:f>IF(OR(O21=0,L21=""),"",L21/_xlfn.MAXIFS($L$4:$L$141,$O$4:$O$141,1))</x:f>
      </x:c>
      <x:c r="W21" t="str">
        <x:f>IF(OR(O21=0,J21=""),"",_xlfn.MINIFS($J$4:$J$141,$O$4:$O$141,1,$J$4:$J$141,"&gt;0")/J21)</x:f>
      </x:c>
      <x:c r="X21" t="str">
        <x:f>IF(R21="","",R21/_xlfn.MAXIFS($R$4:$R$141,$O$4:$O$141,1))</x:f>
      </x:c>
      <x:c r="Y21" t="str">
        <x:f>IF(T21="","",T21/_xlfn.MAXIFS($T$4:$T$141,$O$4:$O$141,1))</x:f>
      </x:c>
      <x:c r="Z21" s="67" t="str">
        <x:f>IF(OR(X21="",Y21=""),"",SQRT(X21*Y21))</x:f>
      </x:c>
      <x:c r="AA21" s="67" t="str">
        <x:f>IF(OR(X21="",Y21=""),"",X21^Controls!$C$8*Y21^Controls!$C$9)</x:f>
      </x:c>
      <x:c r="AB21" s="67" t="str">
        <x:f>IF(OR(X21="",Y21=""),"",X21^Controls!$C$9*Y21^Controls!$C$8)</x:f>
      </x:c>
      <x:c r="AC21" t="str">
        <x:f>IF(OR(U21="",V21=""),"",SQRT(U21*V21))</x:f>
      </x:c>
      <x:c r="AD21" t="n">
        <x:f>IF(OR(I21="",J21="",J21=0),"",I21/J21)</x:f>
        <x:v>1600</x:v>
      </x:c>
      <x:c r="AE21" t="str">
        <x:f>IF(OR(I21="",K21="",K21=0),"",I21/K21)</x:f>
      </x:c>
      <x:c r="AF21" t="str">
        <x:f>IF(Z21="","",1+COUNTIF($Z$4:$Z$141,"&gt;"&amp;Z21)+COUNTIFS($Z$4:Z21,Z21)-1)</x:f>
      </x:c>
      <x:c r="AG21" t="str">
        <x:f>IF(AA21="","",1+COUNTIF($AA$4:$AA$141,"&gt;"&amp;AA21)+COUNTIFS($AA$4:AA21,AA21)-1)</x:f>
      </x:c>
      <x:c r="AH21" t="str">
        <x:f>IF(AB21="","",1+COUNTIF($AB$4:$AB$141,"&gt;"&amp;AB21)+COUNTIFS($AB$4:AB21,AB21)-1)</x:f>
      </x:c>
      <x:c r="AI21" t="str">
        <x:f>IF(OR(O21=0,I21=""),"",1+COUNTIFS($O$4:$O$141,1,$I$4:$I$141,"&gt;"&amp;I21)+COUNTIFS($O$4:O21,1,$I$4:I21,I21)-1)</x:f>
      </x:c>
      <x:c r="AJ21" t="str">
        <x:f>IF(OR(O21=0,L21=""),"",1+COUNTIFS($O$4:$O$141,1,$L$4:$L$141,"&gt;"&amp;L21)+COUNTIFS($O$4:O21,1,$L$4:L21,L21)-1)</x:f>
      </x:c>
      <x:c r="AK21" t="str">
        <x:f>IF(OR(O21=0,J21="",J21=0),"",1+COUNTIFS($O$4:$O$141,1,$J$4:$J$141,"&lt;"&amp;J21,$J$4:$J$141,"&gt;0")+COUNTIFS($O$4:O21,1,$J$4:J21,J21)-1)</x:f>
      </x:c>
    </x:row>
    <x:row r="22">
      <x:c r="A22" t="inlineStr">
        <x:is>
          <x:t xml:space="preserve">openai|gpt-5.6-luna|low|reasoning|fallback-na|aa-v4.3.2|snapshot-2026-09-28</x:t>
        </x:is>
      </x:c>
      <x:c r="B22" t="inlineStr">
        <x:is>
          <x:t xml:space="preserve">openai|gpt-5.6-luna|low|reasoning|fallback-na</x:t>
        </x:is>
      </x:c>
      <x:c r="C22" t="inlineStr">
        <x:is>
          <x:t xml:space="preserve">GPT-5.6 Luna</x:t>
        </x:is>
      </x:c>
      <x:c r="D22" t="inlineStr">
        <x:is>
          <x:t xml:space="preserve">OpenAI</x:t>
        </x:is>
      </x:c>
      <x:c r="E22" t="inlineStr">
        <x:is>
          <x:t xml:space="preserve">low</x:t>
        </x:is>
      </x:c>
      <x:c r="F22" t="inlineStr">
        <x:is>
          <x:t xml:space="preserve">AA|v4.3.2</x:t>
        </x:is>
      </x:c>
      <x:c r="G22" t="n">
        <x:v>21</x:v>
      </x:c>
      <x:c r="H22" t="n">
        <x:f>IFERROR(INDEX(Benchmark_Versions!$I:$I,MATCH(F22,Benchmark_Versions!$A:$A,0)),1)</x:f>
        <x:v>1</x:v>
      </x:c>
      <x:c r="I22" t="n">
        <x:f>IF(G22="","",G22*H22)</x:f>
        <x:v>21</x:v>
      </x:c>
      <x:c r="J22" s="69" t="n">
        <x:v>0.01</x:v>
      </x:c>
      <x:c r="L22" t="n">
        <x:v>117</x:v>
      </x:c>
      <x:c r="M22" t="inlineStr">
        <x:is>
          <x:t xml:space="preserve">Historical</x:t>
        </x:is>
      </x:c>
      <x:c r="N22" t="inlineStr">
        <x:is>
          <x:t xml:space="preserve">yes</x:t>
        </x:is>
      </x:c>
      <x:c r="O22" t="n">
        <x:f>IF(F22&lt;&gt;Controls!$C$12,0,IF(AND(Controls!$C$10="Contender",M22&lt;&gt;"Contender"),0,IF(AND(Controls!$C$10="Contender+Close",NOT(OR(M22="Contender",M22="Close"))),0,IF(AND(Controls!$C$11="Current",NOT(OR(N22="yes",N22="limited"))),0,1))))</x:f>
        <x:v>0</x:v>
      </x:c>
      <x:c r="P22" t="n">
        <x:f>Controls!$C$7</x:f>
        <x:v>40</x:v>
      </x:c>
      <x:c r="Q22" t="n">
        <x:f>IF(I22="","",I22-(P22-1))</x:f>
        <x:v>-18</x:v>
      </x:c>
      <x:c r="R22" t="str">
        <x:f>IF(OR(O22=0,Q22&lt;=0,J22="",J22=0),"",Q22/J22)</x:f>
      </x:c>
      <x:c r="S22" t="str">
        <x:f>IF(OR(O22=0,Q22&lt;=0,J22="",Q22=0),"",J22/Q22)</x:f>
      </x:c>
      <x:c r="T22" t="str">
        <x:f>IF(OR(O22=0,Q22&lt;=0,J22="",K22="",J22=0,K22=0),"",Q22/(J22*(K22/60)))</x:f>
      </x:c>
      <x:c r="U22" t="str">
        <x:f>IF(OR(O22=0,I22=""),"",I22/_xlfn.MAXIFS($I$4:$I$141,$O$4:$O$141,1))</x:f>
      </x:c>
      <x:c r="V22" t="str">
        <x:f>IF(OR(O22=0,L22=""),"",L22/_xlfn.MAXIFS($L$4:$L$141,$O$4:$O$141,1))</x:f>
      </x:c>
      <x:c r="W22" t="str">
        <x:f>IF(OR(O22=0,J22=""),"",_xlfn.MINIFS($J$4:$J$141,$O$4:$O$141,1,$J$4:$J$141,"&gt;0")/J22)</x:f>
      </x:c>
      <x:c r="X22" t="str">
        <x:f>IF(R22="","",R22/_xlfn.MAXIFS($R$4:$R$141,$O$4:$O$141,1))</x:f>
      </x:c>
      <x:c r="Y22" t="str">
        <x:f>IF(T22="","",T22/_xlfn.MAXIFS($T$4:$T$141,$O$4:$O$141,1))</x:f>
      </x:c>
      <x:c r="Z22" s="67" t="str">
        <x:f>IF(OR(X22="",Y22=""),"",SQRT(X22*Y22))</x:f>
      </x:c>
      <x:c r="AA22" s="67" t="str">
        <x:f>IF(OR(X22="",Y22=""),"",X22^Controls!$C$8*Y22^Controls!$C$9)</x:f>
      </x:c>
      <x:c r="AB22" s="67" t="str">
        <x:f>IF(OR(X22="",Y22=""),"",X22^Controls!$C$9*Y22^Controls!$C$8)</x:f>
      </x:c>
      <x:c r="AC22" t="str">
        <x:f>IF(OR(U22="",V22=""),"",SQRT(U22*V22))</x:f>
      </x:c>
      <x:c r="AD22" t="n">
        <x:f>IF(OR(I22="",J22="",J22=0),"",I22/J22)</x:f>
        <x:v>2100</x:v>
      </x:c>
      <x:c r="AE22" t="str">
        <x:f>IF(OR(I22="",K22="",K22=0),"",I22/K22)</x:f>
      </x:c>
      <x:c r="AF22" t="str">
        <x:f>IF(Z22="","",1+COUNTIF($Z$4:$Z$141,"&gt;"&amp;Z22)+COUNTIFS($Z$4:Z22,Z22)-1)</x:f>
      </x:c>
      <x:c r="AG22" t="str">
        <x:f>IF(AA22="","",1+COUNTIF($AA$4:$AA$141,"&gt;"&amp;AA22)+COUNTIFS($AA$4:AA22,AA22)-1)</x:f>
      </x:c>
      <x:c r="AH22" t="str">
        <x:f>IF(AB22="","",1+COUNTIF($AB$4:$AB$141,"&gt;"&amp;AB22)+COUNTIFS($AB$4:AB22,AB22)-1)</x:f>
      </x:c>
      <x:c r="AI22" t="str">
        <x:f>IF(OR(O22=0,I22=""),"",1+COUNTIFS($O$4:$O$141,1,$I$4:$I$141,"&gt;"&amp;I22)+COUNTIFS($O$4:O22,1,$I$4:I22,I22)-1)</x:f>
      </x:c>
      <x:c r="AJ22" t="str">
        <x:f>IF(OR(O22=0,L22=""),"",1+COUNTIFS($O$4:$O$141,1,$L$4:$L$141,"&gt;"&amp;L22)+COUNTIFS($O$4:O22,1,$L$4:L22,L22)-1)</x:f>
      </x:c>
      <x:c r="AK22" t="str">
        <x:f>IF(OR(O22=0,J22="",J22=0),"",1+COUNTIFS($O$4:$O$141,1,$J$4:$J$141,"&lt;"&amp;J22,$J$4:$J$141,"&gt;0")+COUNTIFS($O$4:O22,1,$J$4:J22,J22)-1)</x:f>
      </x:c>
    </x:row>
    <x:row r="23">
      <x:c r="A23" t="inlineStr">
        <x:is>
          <x:t xml:space="preserve">openai|gpt-5.6-luna|medium|reasoning|fallback-na|aa-v4.3.2|snapshot-2026-09-28</x:t>
        </x:is>
      </x:c>
      <x:c r="B23" t="inlineStr">
        <x:is>
          <x:t xml:space="preserve">openai|gpt-5.6-luna|medium|reasoning|fallback-na</x:t>
        </x:is>
      </x:c>
      <x:c r="C23" t="inlineStr">
        <x:is>
          <x:t xml:space="preserve">GPT-5.6 Luna</x:t>
        </x:is>
      </x:c>
      <x:c r="D23" t="inlineStr">
        <x:is>
          <x:t xml:space="preserve">OpenAI</x:t>
        </x:is>
      </x:c>
      <x:c r="E23" t="inlineStr">
        <x:is>
          <x:t xml:space="preserve">medium</x:t>
        </x:is>
      </x:c>
      <x:c r="F23" t="inlineStr">
        <x:is>
          <x:t xml:space="preserve">AA|v4.3.2</x:t>
        </x:is>
      </x:c>
      <x:c r="G23" t="n">
        <x:v>25</x:v>
      </x:c>
      <x:c r="H23" t="n">
        <x:f>IFERROR(INDEX(Benchmark_Versions!$I:$I,MATCH(F23,Benchmark_Versions!$A:$A,0)),1)</x:f>
        <x:v>1</x:v>
      </x:c>
      <x:c r="I23" t="n">
        <x:f>IF(G23="","",G23*H23)</x:f>
        <x:v>25</x:v>
      </x:c>
      <x:c r="J23" s="69" t="n">
        <x:v>0.02</x:v>
      </x:c>
      <x:c r="L23" t="n">
        <x:v>120</x:v>
      </x:c>
      <x:c r="M23" t="inlineStr">
        <x:is>
          <x:t xml:space="preserve">Historical</x:t>
        </x:is>
      </x:c>
      <x:c r="N23" t="inlineStr">
        <x:is>
          <x:t xml:space="preserve">yes</x:t>
        </x:is>
      </x:c>
      <x:c r="O23" t="n">
        <x:f>IF(F23&lt;&gt;Controls!$C$12,0,IF(AND(Controls!$C$10="Contender",M23&lt;&gt;"Contender"),0,IF(AND(Controls!$C$10="Contender+Close",NOT(OR(M23="Contender",M23="Close"))),0,IF(AND(Controls!$C$11="Current",NOT(OR(N23="yes",N23="limited"))),0,1))))</x:f>
        <x:v>0</x:v>
      </x:c>
      <x:c r="P23" t="n">
        <x:f>Controls!$C$7</x:f>
        <x:v>40</x:v>
      </x:c>
      <x:c r="Q23" t="n">
        <x:f>IF(I23="","",I23-(P23-1))</x:f>
        <x:v>-14</x:v>
      </x:c>
      <x:c r="R23" t="str">
        <x:f>IF(OR(O23=0,Q23&lt;=0,J23="",J23=0),"",Q23/J23)</x:f>
      </x:c>
      <x:c r="S23" t="str">
        <x:f>IF(OR(O23=0,Q23&lt;=0,J23="",Q23=0),"",J23/Q23)</x:f>
      </x:c>
      <x:c r="T23" t="str">
        <x:f>IF(OR(O23=0,Q23&lt;=0,J23="",K23="",J23=0,K23=0),"",Q23/(J23*(K23/60)))</x:f>
      </x:c>
      <x:c r="U23" t="str">
        <x:f>IF(OR(O23=0,I23=""),"",I23/_xlfn.MAXIFS($I$4:$I$141,$O$4:$O$141,1))</x:f>
      </x:c>
      <x:c r="V23" t="str">
        <x:f>IF(OR(O23=0,L23=""),"",L23/_xlfn.MAXIFS($L$4:$L$141,$O$4:$O$141,1))</x:f>
      </x:c>
      <x:c r="W23" t="str">
        <x:f>IF(OR(O23=0,J23=""),"",_xlfn.MINIFS($J$4:$J$141,$O$4:$O$141,1,$J$4:$J$141,"&gt;0")/J23)</x:f>
      </x:c>
      <x:c r="X23" t="str">
        <x:f>IF(R23="","",R23/_xlfn.MAXIFS($R$4:$R$141,$O$4:$O$141,1))</x:f>
      </x:c>
      <x:c r="Y23" t="str">
        <x:f>IF(T23="","",T23/_xlfn.MAXIFS($T$4:$T$141,$O$4:$O$141,1))</x:f>
      </x:c>
      <x:c r="Z23" s="67" t="str">
        <x:f>IF(OR(X23="",Y23=""),"",SQRT(X23*Y23))</x:f>
      </x:c>
      <x:c r="AA23" s="67" t="str">
        <x:f>IF(OR(X23="",Y23=""),"",X23^Controls!$C$8*Y23^Controls!$C$9)</x:f>
      </x:c>
      <x:c r="AB23" s="67" t="str">
        <x:f>IF(OR(X23="",Y23=""),"",X23^Controls!$C$9*Y23^Controls!$C$8)</x:f>
      </x:c>
      <x:c r="AC23" t="str">
        <x:f>IF(OR(U23="",V23=""),"",SQRT(U23*V23))</x:f>
      </x:c>
      <x:c r="AD23" t="n">
        <x:f>IF(OR(I23="",J23="",J23=0),"",I23/J23)</x:f>
        <x:v>1250</x:v>
      </x:c>
      <x:c r="AE23" t="str">
        <x:f>IF(OR(I23="",K23="",K23=0),"",I23/K23)</x:f>
      </x:c>
      <x:c r="AF23" t="str">
        <x:f>IF(Z23="","",1+COUNTIF($Z$4:$Z$141,"&gt;"&amp;Z23)+COUNTIFS($Z$4:Z23,Z23)-1)</x:f>
      </x:c>
      <x:c r="AG23" t="str">
        <x:f>IF(AA23="","",1+COUNTIF($AA$4:$AA$141,"&gt;"&amp;AA23)+COUNTIFS($AA$4:AA23,AA23)-1)</x:f>
      </x:c>
      <x:c r="AH23" t="str">
        <x:f>IF(AB23="","",1+COUNTIF($AB$4:$AB$141,"&gt;"&amp;AB23)+COUNTIFS($AB$4:AB23,AB23)-1)</x:f>
      </x:c>
      <x:c r="AI23" t="str">
        <x:f>IF(OR(O23=0,I23=""),"",1+COUNTIFS($O$4:$O$141,1,$I$4:$I$141,"&gt;"&amp;I23)+COUNTIFS($O$4:O23,1,$I$4:I23,I23)-1)</x:f>
      </x:c>
      <x:c r="AJ23" t="str">
        <x:f>IF(OR(O23=0,L23=""),"",1+COUNTIFS($O$4:$O$141,1,$L$4:$L$141,"&gt;"&amp;L23)+COUNTIFS($O$4:O23,1,$L$4:L23,L23)-1)</x:f>
      </x:c>
      <x:c r="AK23" t="str">
        <x:f>IF(OR(O23=0,J23="",J23=0),"",1+COUNTIFS($O$4:$O$141,1,$J$4:$J$141,"&lt;"&amp;J23,$J$4:$J$141,"&gt;0")+COUNTIFS($O$4:O23,1,$J$4:J23,J23)-1)</x:f>
      </x:c>
    </x:row>
    <x:row r="24">
      <x:c r="A24" t="inlineStr">
        <x:is>
          <x:t xml:space="preserve">openai|gpt-5.6-luna|high|reasoning|fallback-na|aa-v4.3.2|snapshot-2026-09-28</x:t>
        </x:is>
      </x:c>
      <x:c r="B24" t="inlineStr">
        <x:is>
          <x:t xml:space="preserve">openai|gpt-5.6-luna|high|reasoning|fallback-na</x:t>
        </x:is>
      </x:c>
      <x:c r="C24" t="inlineStr">
        <x:is>
          <x:t xml:space="preserve">GPT-5.6 Luna</x:t>
        </x:is>
      </x:c>
      <x:c r="D24" t="inlineStr">
        <x:is>
          <x:t xml:space="preserve">OpenAI</x:t>
        </x:is>
      </x:c>
      <x:c r="E24" t="inlineStr">
        <x:is>
          <x:t xml:space="preserve">high</x:t>
        </x:is>
      </x:c>
      <x:c r="F24" t="inlineStr">
        <x:is>
          <x:t xml:space="preserve">AA|v4.3.2</x:t>
        </x:is>
      </x:c>
      <x:c r="G24" t="n">
        <x:v>32</x:v>
      </x:c>
      <x:c r="H24" t="n">
        <x:f>IFERROR(INDEX(Benchmark_Versions!$I:$I,MATCH(F24,Benchmark_Versions!$A:$A,0)),1)</x:f>
        <x:v>1</x:v>
      </x:c>
      <x:c r="I24" t="n">
        <x:f>IF(G24="","",G24*H24)</x:f>
        <x:v>32</x:v>
      </x:c>
      <x:c r="J24" s="69" t="n">
        <x:v>0.04</x:v>
      </x:c>
      <x:c r="L24" t="n">
        <x:v>117</x:v>
      </x:c>
      <x:c r="M24" t="inlineStr">
        <x:is>
          <x:t xml:space="preserve">Historical</x:t>
        </x:is>
      </x:c>
      <x:c r="N24" t="inlineStr">
        <x:is>
          <x:t xml:space="preserve">yes</x:t>
        </x:is>
      </x:c>
      <x:c r="O24" t="n">
        <x:f>IF(F24&lt;&gt;Controls!$C$12,0,IF(AND(Controls!$C$10="Contender",M24&lt;&gt;"Contender"),0,IF(AND(Controls!$C$10="Contender+Close",NOT(OR(M24="Contender",M24="Close"))),0,IF(AND(Controls!$C$11="Current",NOT(OR(N24="yes",N24="limited"))),0,1))))</x:f>
        <x:v>0</x:v>
      </x:c>
      <x:c r="P24" t="n">
        <x:f>Controls!$C$7</x:f>
        <x:v>40</x:v>
      </x:c>
      <x:c r="Q24" t="n">
        <x:f>IF(I24="","",I24-(P24-1))</x:f>
        <x:v>-7</x:v>
      </x:c>
      <x:c r="R24" t="str">
        <x:f>IF(OR(O24=0,Q24&lt;=0,J24="",J24=0),"",Q24/J24)</x:f>
      </x:c>
      <x:c r="S24" t="str">
        <x:f>IF(OR(O24=0,Q24&lt;=0,J24="",Q24=0),"",J24/Q24)</x:f>
      </x:c>
      <x:c r="T24" t="str">
        <x:f>IF(OR(O24=0,Q24&lt;=0,J24="",K24="",J24=0,K24=0),"",Q24/(J24*(K24/60)))</x:f>
      </x:c>
      <x:c r="U24" t="str">
        <x:f>IF(OR(O24=0,I24=""),"",I24/_xlfn.MAXIFS($I$4:$I$141,$O$4:$O$141,1))</x:f>
      </x:c>
      <x:c r="V24" t="str">
        <x:f>IF(OR(O24=0,L24=""),"",L24/_xlfn.MAXIFS($L$4:$L$141,$O$4:$O$141,1))</x:f>
      </x:c>
      <x:c r="W24" t="str">
        <x:f>IF(OR(O24=0,J24=""),"",_xlfn.MINIFS($J$4:$J$141,$O$4:$O$141,1,$J$4:$J$141,"&gt;0")/J24)</x:f>
      </x:c>
      <x:c r="X24" t="str">
        <x:f>IF(R24="","",R24/_xlfn.MAXIFS($R$4:$R$141,$O$4:$O$141,1))</x:f>
      </x:c>
      <x:c r="Y24" t="str">
        <x:f>IF(T24="","",T24/_xlfn.MAXIFS($T$4:$T$141,$O$4:$O$141,1))</x:f>
      </x:c>
      <x:c r="Z24" s="67" t="str">
        <x:f>IF(OR(X24="",Y24=""),"",SQRT(X24*Y24))</x:f>
      </x:c>
      <x:c r="AA24" s="67" t="str">
        <x:f>IF(OR(X24="",Y24=""),"",X24^Controls!$C$8*Y24^Controls!$C$9)</x:f>
      </x:c>
      <x:c r="AB24" s="67" t="str">
        <x:f>IF(OR(X24="",Y24=""),"",X24^Controls!$C$9*Y24^Controls!$C$8)</x:f>
      </x:c>
      <x:c r="AC24" t="str">
        <x:f>IF(OR(U24="",V24=""),"",SQRT(U24*V24))</x:f>
      </x:c>
      <x:c r="AD24" t="n">
        <x:f>IF(OR(I24="",J24="",J24=0),"",I24/J24)</x:f>
        <x:v>800</x:v>
      </x:c>
      <x:c r="AE24" t="str">
        <x:f>IF(OR(I24="",K24="",K24=0),"",I24/K24)</x:f>
      </x:c>
      <x:c r="AF24" t="str">
        <x:f>IF(Z24="","",1+COUNTIF($Z$4:$Z$141,"&gt;"&amp;Z24)+COUNTIFS($Z$4:Z24,Z24)-1)</x:f>
      </x:c>
      <x:c r="AG24" t="str">
        <x:f>IF(AA24="","",1+COUNTIF($AA$4:$AA$141,"&gt;"&amp;AA24)+COUNTIFS($AA$4:AA24,AA24)-1)</x:f>
      </x:c>
      <x:c r="AH24" t="str">
        <x:f>IF(AB24="","",1+COUNTIF($AB$4:$AB$141,"&gt;"&amp;AB24)+COUNTIFS($AB$4:AB24,AB24)-1)</x:f>
      </x:c>
      <x:c r="AI24" t="str">
        <x:f>IF(OR(O24=0,I24=""),"",1+COUNTIFS($O$4:$O$141,1,$I$4:$I$141,"&gt;"&amp;I24)+COUNTIFS($O$4:O24,1,$I$4:I24,I24)-1)</x:f>
      </x:c>
      <x:c r="AJ24" t="str">
        <x:f>IF(OR(O24=0,L24=""),"",1+COUNTIFS($O$4:$O$141,1,$L$4:$L$141,"&gt;"&amp;L24)+COUNTIFS($O$4:O24,1,$L$4:L24,L24)-1)</x:f>
      </x:c>
      <x:c r="AK24" t="str">
        <x:f>IF(OR(O24=0,J24="",J24=0),"",1+COUNTIFS($O$4:$O$141,1,$J$4:$J$141,"&lt;"&amp;J24,$J$4:$J$141,"&gt;0")+COUNTIFS($O$4:O24,1,$J$4:J24,J24)-1)</x:f>
      </x:c>
    </x:row>
    <x:row r="25">
      <x:c r="A25" t="inlineStr">
        <x:is>
          <x:t xml:space="preserve">openai|gpt-5.6-luna|xhigh|reasoning|fallback-na|aa-v4.3.2|snapshot-2026-09-28</x:t>
        </x:is>
      </x:c>
      <x:c r="B25" t="inlineStr">
        <x:is>
          <x:t xml:space="preserve">openai|gpt-5.6-luna|xhigh|reasoning|fallback-na</x:t>
        </x:is>
      </x:c>
      <x:c r="C25" t="inlineStr">
        <x:is>
          <x:t xml:space="preserve">GPT-5.6 Luna</x:t>
        </x:is>
      </x:c>
      <x:c r="D25" t="inlineStr">
        <x:is>
          <x:t xml:space="preserve">OpenAI</x:t>
        </x:is>
      </x:c>
      <x:c r="E25" t="inlineStr">
        <x:is>
          <x:t xml:space="preserve">xhigh</x:t>
        </x:is>
      </x:c>
      <x:c r="F25" t="inlineStr">
        <x:is>
          <x:t xml:space="preserve">AA|v4.3.2</x:t>
        </x:is>
      </x:c>
      <x:c r="G25" t="n">
        <x:v>35</x:v>
      </x:c>
      <x:c r="H25" t="n">
        <x:f>IFERROR(INDEX(Benchmark_Versions!$I:$I,MATCH(F25,Benchmark_Versions!$A:$A,0)),1)</x:f>
        <x:v>1</x:v>
      </x:c>
      <x:c r="I25" t="n">
        <x:f>IF(G25="","",G25*H25)</x:f>
        <x:v>35</x:v>
      </x:c>
      <x:c r="J25" s="69" t="n">
        <x:v>0.09</x:v>
      </x:c>
      <x:c r="L25" t="n">
        <x:v>124</x:v>
      </x:c>
      <x:c r="M25" t="inlineStr">
        <x:is>
          <x:t xml:space="preserve">Historical</x:t>
        </x:is>
      </x:c>
      <x:c r="N25" t="inlineStr">
        <x:is>
          <x:t xml:space="preserve">yes</x:t>
        </x:is>
      </x:c>
      <x:c r="O25" t="n">
        <x:f>IF(F25&lt;&gt;Controls!$C$12,0,IF(AND(Controls!$C$10="Contender",M25&lt;&gt;"Contender"),0,IF(AND(Controls!$C$10="Contender+Close",NOT(OR(M25="Contender",M25="Close"))),0,IF(AND(Controls!$C$11="Current",NOT(OR(N25="yes",N25="limited"))),0,1))))</x:f>
        <x:v>0</x:v>
      </x:c>
      <x:c r="P25" t="n">
        <x:f>Controls!$C$7</x:f>
        <x:v>40</x:v>
      </x:c>
      <x:c r="Q25" t="n">
        <x:f>IF(I25="","",I25-(P25-1))</x:f>
        <x:v>-4</x:v>
      </x:c>
      <x:c r="R25" t="str">
        <x:f>IF(OR(O25=0,Q25&lt;=0,J25="",J25=0),"",Q25/J25)</x:f>
      </x:c>
      <x:c r="S25" t="str">
        <x:f>IF(OR(O25=0,Q25&lt;=0,J25="",Q25=0),"",J25/Q25)</x:f>
      </x:c>
      <x:c r="T25" t="str">
        <x:f>IF(OR(O25=0,Q25&lt;=0,J25="",K25="",J25=0,K25=0),"",Q25/(J25*(K25/60)))</x:f>
      </x:c>
      <x:c r="U25" t="str">
        <x:f>IF(OR(O25=0,I25=""),"",I25/_xlfn.MAXIFS($I$4:$I$141,$O$4:$O$141,1))</x:f>
      </x:c>
      <x:c r="V25" t="str">
        <x:f>IF(OR(O25=0,L25=""),"",L25/_xlfn.MAXIFS($L$4:$L$141,$O$4:$O$141,1))</x:f>
      </x:c>
      <x:c r="W25" t="str">
        <x:f>IF(OR(O25=0,J25=""),"",_xlfn.MINIFS($J$4:$J$141,$O$4:$O$141,1,$J$4:$J$141,"&gt;0")/J25)</x:f>
      </x:c>
      <x:c r="X25" t="str">
        <x:f>IF(R25="","",R25/_xlfn.MAXIFS($R$4:$R$141,$O$4:$O$141,1))</x:f>
      </x:c>
      <x:c r="Y25" t="str">
        <x:f>IF(T25="","",T25/_xlfn.MAXIFS($T$4:$T$141,$O$4:$O$141,1))</x:f>
      </x:c>
      <x:c r="Z25" s="67" t="str">
        <x:f>IF(OR(X25="",Y25=""),"",SQRT(X25*Y25))</x:f>
      </x:c>
      <x:c r="AA25" s="67" t="str">
        <x:f>IF(OR(X25="",Y25=""),"",X25^Controls!$C$8*Y25^Controls!$C$9)</x:f>
      </x:c>
      <x:c r="AB25" s="67" t="str">
        <x:f>IF(OR(X25="",Y25=""),"",X25^Controls!$C$9*Y25^Controls!$C$8)</x:f>
      </x:c>
      <x:c r="AC25" t="str">
        <x:f>IF(OR(U25="",V25=""),"",SQRT(U25*V25))</x:f>
      </x:c>
      <x:c r="AD25" t="n">
        <x:f>IF(OR(I25="",J25="",J25=0),"",I25/J25)</x:f>
        <x:v>388.8888888888889</x:v>
      </x:c>
      <x:c r="AE25" t="str">
        <x:f>IF(OR(I25="",K25="",K25=0),"",I25/K25)</x:f>
      </x:c>
      <x:c r="AF25" t="str">
        <x:f>IF(Z25="","",1+COUNTIF($Z$4:$Z$141,"&gt;"&amp;Z25)+COUNTIFS($Z$4:Z25,Z25)-1)</x:f>
      </x:c>
      <x:c r="AG25" t="str">
        <x:f>IF(AA25="","",1+COUNTIF($AA$4:$AA$141,"&gt;"&amp;AA25)+COUNTIFS($AA$4:AA25,AA25)-1)</x:f>
      </x:c>
      <x:c r="AH25" t="str">
        <x:f>IF(AB25="","",1+COUNTIF($AB$4:$AB$141,"&gt;"&amp;AB25)+COUNTIFS($AB$4:AB25,AB25)-1)</x:f>
      </x:c>
      <x:c r="AI25" t="str">
        <x:f>IF(OR(O25=0,I25=""),"",1+COUNTIFS($O$4:$O$141,1,$I$4:$I$141,"&gt;"&amp;I25)+COUNTIFS($O$4:O25,1,$I$4:I25,I25)-1)</x:f>
      </x:c>
      <x:c r="AJ25" t="str">
        <x:f>IF(OR(O25=0,L25=""),"",1+COUNTIFS($O$4:$O$141,1,$L$4:$L$141,"&gt;"&amp;L25)+COUNTIFS($O$4:O25,1,$L$4:L25,L25)-1)</x:f>
      </x:c>
      <x:c r="AK25" t="str">
        <x:f>IF(OR(O25=0,J25="",J25=0),"",1+COUNTIFS($O$4:$O$141,1,$J$4:$J$141,"&lt;"&amp;J25,$J$4:$J$141,"&gt;0")+COUNTIFS($O$4:O25,1,$J$4:J25,J25)-1)</x:f>
      </x:c>
    </x:row>
    <x:row r="26">
      <x:c r="A26" t="inlineStr">
        <x:is>
          <x:t xml:space="preserve">openai|gpt-5.6-luna|max|reasoning|fallback-na|aa-v4.3.2|snapshot-2026-09-28</x:t>
        </x:is>
      </x:c>
      <x:c r="B26" t="inlineStr">
        <x:is>
          <x:t xml:space="preserve">openai|gpt-5.6-luna|max|reasoning|fallback-na</x:t>
        </x:is>
      </x:c>
      <x:c r="C26" t="inlineStr">
        <x:is>
          <x:t xml:space="preserve">GPT-5.6 Luna</x:t>
        </x:is>
      </x:c>
      <x:c r="D26" t="inlineStr">
        <x:is>
          <x:t xml:space="preserve">OpenAI</x:t>
        </x:is>
      </x:c>
      <x:c r="E26" t="inlineStr">
        <x:is>
          <x:t xml:space="preserve">max</x:t>
        </x:is>
      </x:c>
      <x:c r="F26" t="inlineStr">
        <x:is>
          <x:t xml:space="preserve">AA|v4.3.2</x:t>
        </x:is>
      </x:c>
      <x:c r="G26" t="n">
        <x:v>37</x:v>
      </x:c>
      <x:c r="H26" t="n">
        <x:f>IFERROR(INDEX(Benchmark_Versions!$I:$I,MATCH(F26,Benchmark_Versions!$A:$A,0)),1)</x:f>
        <x:v>1</x:v>
      </x:c>
      <x:c r="I26" t="n">
        <x:f>IF(G26="","",G26*H26)</x:f>
        <x:v>37</x:v>
      </x:c>
      <x:c r="J26" s="69" t="n">
        <x:v>0.18</x:v>
      </x:c>
      <x:c r="L26" t="n">
        <x:v>121</x:v>
      </x:c>
      <x:c r="M26" t="inlineStr">
        <x:is>
          <x:t xml:space="preserve">Historical</x:t>
        </x:is>
      </x:c>
      <x:c r="N26" t="inlineStr">
        <x:is>
          <x:t xml:space="preserve">yes</x:t>
        </x:is>
      </x:c>
      <x:c r="O26" t="n">
        <x:f>IF(F26&lt;&gt;Controls!$C$12,0,IF(AND(Controls!$C$10="Contender",M26&lt;&gt;"Contender"),0,IF(AND(Controls!$C$10="Contender+Close",NOT(OR(M26="Contender",M26="Close"))),0,IF(AND(Controls!$C$11="Current",NOT(OR(N26="yes",N26="limited"))),0,1))))</x:f>
        <x:v>0</x:v>
      </x:c>
      <x:c r="P26" t="n">
        <x:f>Controls!$C$7</x:f>
        <x:v>40</x:v>
      </x:c>
      <x:c r="Q26" t="n">
        <x:f>IF(I26="","",I26-(P26-1))</x:f>
        <x:v>-2</x:v>
      </x:c>
      <x:c r="R26" t="str">
        <x:f>IF(OR(O26=0,Q26&lt;=0,J26="",J26=0),"",Q26/J26)</x:f>
      </x:c>
      <x:c r="S26" t="str">
        <x:f>IF(OR(O26=0,Q26&lt;=0,J26="",Q26=0),"",J26/Q26)</x:f>
      </x:c>
      <x:c r="T26" t="str">
        <x:f>IF(OR(O26=0,Q26&lt;=0,J26="",K26="",J26=0,K26=0),"",Q26/(J26*(K26/60)))</x:f>
      </x:c>
      <x:c r="U26" t="str">
        <x:f>IF(OR(O26=0,I26=""),"",I26/_xlfn.MAXIFS($I$4:$I$141,$O$4:$O$141,1))</x:f>
      </x:c>
      <x:c r="V26" t="str">
        <x:f>IF(OR(O26=0,L26=""),"",L26/_xlfn.MAXIFS($L$4:$L$141,$O$4:$O$141,1))</x:f>
      </x:c>
      <x:c r="W26" t="str">
        <x:f>IF(OR(O26=0,J26=""),"",_xlfn.MINIFS($J$4:$J$141,$O$4:$O$141,1,$J$4:$J$141,"&gt;0")/J26)</x:f>
      </x:c>
      <x:c r="X26" t="str">
        <x:f>IF(R26="","",R26/_xlfn.MAXIFS($R$4:$R$141,$O$4:$O$141,1))</x:f>
      </x:c>
      <x:c r="Y26" t="str">
        <x:f>IF(T26="","",T26/_xlfn.MAXIFS($T$4:$T$141,$O$4:$O$141,1))</x:f>
      </x:c>
      <x:c r="Z26" s="67" t="str">
        <x:f>IF(OR(X26="",Y26=""),"",SQRT(X26*Y26))</x:f>
      </x:c>
      <x:c r="AA26" s="67" t="str">
        <x:f>IF(OR(X26="",Y26=""),"",X26^Controls!$C$8*Y26^Controls!$C$9)</x:f>
      </x:c>
      <x:c r="AB26" s="67" t="str">
        <x:f>IF(OR(X26="",Y26=""),"",X26^Controls!$C$9*Y26^Controls!$C$8)</x:f>
      </x:c>
      <x:c r="AC26" t="str">
        <x:f>IF(OR(U26="",V26=""),"",SQRT(U26*V26))</x:f>
      </x:c>
      <x:c r="AD26" t="n">
        <x:f>IF(OR(I26="",J26="",J26=0),"",I26/J26)</x:f>
        <x:v>205.55555555555557</x:v>
      </x:c>
      <x:c r="AE26" t="str">
        <x:f>IF(OR(I26="",K26="",K26=0),"",I26/K26)</x:f>
      </x:c>
      <x:c r="AF26" t="str">
        <x:f>IF(Z26="","",1+COUNTIF($Z$4:$Z$141,"&gt;"&amp;Z26)+COUNTIFS($Z$4:Z26,Z26)-1)</x:f>
      </x:c>
      <x:c r="AG26" t="str">
        <x:f>IF(AA26="","",1+COUNTIF($AA$4:$AA$141,"&gt;"&amp;AA26)+COUNTIFS($AA$4:AA26,AA26)-1)</x:f>
      </x:c>
      <x:c r="AH26" t="str">
        <x:f>IF(AB26="","",1+COUNTIF($AB$4:$AB$141,"&gt;"&amp;AB26)+COUNTIFS($AB$4:AB26,AB26)-1)</x:f>
      </x:c>
      <x:c r="AI26" t="str">
        <x:f>IF(OR(O26=0,I26=""),"",1+COUNTIFS($O$4:$O$141,1,$I$4:$I$141,"&gt;"&amp;I26)+COUNTIFS($O$4:O26,1,$I$4:I26,I26)-1)</x:f>
      </x:c>
      <x:c r="AJ26" t="str">
        <x:f>IF(OR(O26=0,L26=""),"",1+COUNTIFS($O$4:$O$141,1,$L$4:$L$141,"&gt;"&amp;L26)+COUNTIFS($O$4:O26,1,$L$4:L26,L26)-1)</x:f>
      </x:c>
      <x:c r="AK26" t="str">
        <x:f>IF(OR(O26=0,J26="",J26=0),"",1+COUNTIFS($O$4:$O$141,1,$J$4:$J$141,"&lt;"&amp;J26,$J$4:$J$141,"&gt;0")+COUNTIFS($O$4:O26,1,$J$4:J26,J26)-1)</x:f>
      </x:c>
    </x:row>
    <x:row r="27">
      <x:c r="A27" t="inlineStr">
        <x:is>
          <x:t xml:space="preserve">openai|gpt-5.6-sol|non-reasoning|nonreasoning|fallback-na|aa-v4.3.2|snapshot-2026-09-28</x:t>
        </x:is>
      </x:c>
      <x:c r="B27" t="inlineStr">
        <x:is>
          <x:t xml:space="preserve">openai|gpt-5.6-sol|non-reasoning|nonreasoning|fallback-na</x:t>
        </x:is>
      </x:c>
      <x:c r="C27" t="inlineStr">
        <x:is>
          <x:t xml:space="preserve">GPT-5.6 Sol</x:t>
        </x:is>
      </x:c>
      <x:c r="D27" t="inlineStr">
        <x:is>
          <x:t xml:space="preserve">OpenAI</x:t>
        </x:is>
      </x:c>
      <x:c r="E27" t="inlineStr">
        <x:is>
          <x:t xml:space="preserve">non-reasoning</x:t>
        </x:is>
      </x:c>
      <x:c r="F27" t="inlineStr">
        <x:is>
          <x:t xml:space="preserve">AA|v4.3.2</x:t>
        </x:is>
      </x:c>
      <x:c r="G27" t="n">
        <x:v>28</x:v>
      </x:c>
      <x:c r="H27" t="n">
        <x:f>IFERROR(INDEX(Benchmark_Versions!$I:$I,MATCH(F27,Benchmark_Versions!$A:$A,0)),1)</x:f>
        <x:v>1</x:v>
      </x:c>
      <x:c r="I27" t="n">
        <x:f>IF(G27="","",G27*H27)</x:f>
        <x:v>28</x:v>
      </x:c>
      <x:c r="J27" s="69" t="n"/>
      <x:c r="L27" t="n">
        <x:v>84</x:v>
      </x:c>
      <x:c r="M27" t="inlineStr">
        <x:is>
          <x:t xml:space="preserve">Historical</x:t>
        </x:is>
      </x:c>
      <x:c r="N27" t="inlineStr">
        <x:is>
          <x:t xml:space="preserve">yes</x:t>
        </x:is>
      </x:c>
      <x:c r="O27" t="n">
        <x:f>IF(F27&lt;&gt;Controls!$C$12,0,IF(AND(Controls!$C$10="Contender",M27&lt;&gt;"Contender"),0,IF(AND(Controls!$C$10="Contender+Close",NOT(OR(M27="Contender",M27="Close"))),0,IF(AND(Controls!$C$11="Current",NOT(OR(N27="yes",N27="limited"))),0,1))))</x:f>
        <x:v>0</x:v>
      </x:c>
      <x:c r="P27" t="n">
        <x:f>Controls!$C$7</x:f>
        <x:v>40</x:v>
      </x:c>
      <x:c r="Q27" t="n">
        <x:f>IF(I27="","",I27-(P27-1))</x:f>
        <x:v>-11</x:v>
      </x:c>
      <x:c r="R27" t="str">
        <x:f>IF(OR(O27=0,Q27&lt;=0,J27="",J27=0),"",Q27/J27)</x:f>
      </x:c>
      <x:c r="S27" t="str">
        <x:f>IF(OR(O27=0,Q27&lt;=0,J27="",Q27=0),"",J27/Q27)</x:f>
      </x:c>
      <x:c r="T27" t="str">
        <x:f>IF(OR(O27=0,Q27&lt;=0,J27="",K27="",J27=0,K27=0),"",Q27/(J27*(K27/60)))</x:f>
      </x:c>
      <x:c r="U27" t="str">
        <x:f>IF(OR(O27=0,I27=""),"",I27/_xlfn.MAXIFS($I$4:$I$141,$O$4:$O$141,1))</x:f>
      </x:c>
      <x:c r="V27" t="str">
        <x:f>IF(OR(O27=0,L27=""),"",L27/_xlfn.MAXIFS($L$4:$L$141,$O$4:$O$141,1))</x:f>
      </x:c>
      <x:c r="W27" t="str">
        <x:f>IF(OR(O27=0,J27=""),"",_xlfn.MINIFS($J$4:$J$141,$O$4:$O$141,1,$J$4:$J$141,"&gt;0")/J27)</x:f>
      </x:c>
      <x:c r="X27" t="str">
        <x:f>IF(R27="","",R27/_xlfn.MAXIFS($R$4:$R$141,$O$4:$O$141,1))</x:f>
      </x:c>
      <x:c r="Y27" t="str">
        <x:f>IF(T27="","",T27/_xlfn.MAXIFS($T$4:$T$141,$O$4:$O$141,1))</x:f>
      </x:c>
      <x:c r="Z27" s="67" t="str">
        <x:f>IF(OR(X27="",Y27=""),"",SQRT(X27*Y27))</x:f>
      </x:c>
      <x:c r="AA27" s="67" t="str">
        <x:f>IF(OR(X27="",Y27=""),"",X27^Controls!$C$8*Y27^Controls!$C$9)</x:f>
      </x:c>
      <x:c r="AB27" s="67" t="str">
        <x:f>IF(OR(X27="",Y27=""),"",X27^Controls!$C$9*Y27^Controls!$C$8)</x:f>
      </x:c>
      <x:c r="AC27" t="str">
        <x:f>IF(OR(U27="",V27=""),"",SQRT(U27*V27))</x:f>
      </x:c>
      <x:c r="AD27" t="str">
        <x:f>IF(OR(I27="",J27="",J27=0),"",I27/J27)</x:f>
      </x:c>
      <x:c r="AE27" t="str">
        <x:f>IF(OR(I27="",K27="",K27=0),"",I27/K27)</x:f>
      </x:c>
      <x:c r="AF27" t="str">
        <x:f>IF(Z27="","",1+COUNTIF($Z$4:$Z$141,"&gt;"&amp;Z27)+COUNTIFS($Z$4:Z27,Z27)-1)</x:f>
      </x:c>
      <x:c r="AG27" t="str">
        <x:f>IF(AA27="","",1+COUNTIF($AA$4:$AA$141,"&gt;"&amp;AA27)+COUNTIFS($AA$4:AA27,AA27)-1)</x:f>
      </x:c>
      <x:c r="AH27" t="str">
        <x:f>IF(AB27="","",1+COUNTIF($AB$4:$AB$141,"&gt;"&amp;AB27)+COUNTIFS($AB$4:AB27,AB27)-1)</x:f>
      </x:c>
      <x:c r="AI27" t="str">
        <x:f>IF(OR(O27=0,I27=""),"",1+COUNTIFS($O$4:$O$141,1,$I$4:$I$141,"&gt;"&amp;I27)+COUNTIFS($O$4:O27,1,$I$4:I27,I27)-1)</x:f>
      </x:c>
      <x:c r="AJ27" t="str">
        <x:f>IF(OR(O27=0,L27=""),"",1+COUNTIFS($O$4:$O$141,1,$L$4:$L$141,"&gt;"&amp;L27)+COUNTIFS($O$4:O27,1,$L$4:L27,L27)-1)</x:f>
      </x:c>
      <x:c r="AK27" t="str">
        <x:f>IF(OR(O27=0,J27="",J27=0),"",1+COUNTIFS($O$4:$O$141,1,$J$4:$J$141,"&lt;"&amp;J27,$J$4:$J$141,"&gt;0")+COUNTIFS($O$4:O27,1,$J$4:J27,J27)-1)</x:f>
      </x:c>
    </x:row>
    <x:row r="28">
      <x:c r="A28" t="inlineStr">
        <x:is>
          <x:t xml:space="preserve">openai|gpt-5.6-sol|low|reasoning|fallback-na|aa-v4.3.2|snapshot-2026-09-28</x:t>
        </x:is>
      </x:c>
      <x:c r="B28" t="inlineStr">
        <x:is>
          <x:t xml:space="preserve">openai|gpt-5.6-sol|low|reasoning|fallback-na</x:t>
        </x:is>
      </x:c>
      <x:c r="C28" t="inlineStr">
        <x:is>
          <x:t xml:space="preserve">GPT-5.6 Sol</x:t>
        </x:is>
      </x:c>
      <x:c r="D28" t="inlineStr">
        <x:is>
          <x:t xml:space="preserve">OpenAI</x:t>
        </x:is>
      </x:c>
      <x:c r="E28" t="inlineStr">
        <x:is>
          <x:t xml:space="preserve">low</x:t>
        </x:is>
      </x:c>
      <x:c r="F28" t="inlineStr">
        <x:is>
          <x:t xml:space="preserve">AA|v4.3.2</x:t>
        </x:is>
      </x:c>
      <x:c r="G28" t="n">
        <x:v>33</x:v>
      </x:c>
      <x:c r="H28" t="n">
        <x:f>IFERROR(INDEX(Benchmark_Versions!$I:$I,MATCH(F28,Benchmark_Versions!$A:$A,0)),1)</x:f>
        <x:v>1</x:v>
      </x:c>
      <x:c r="I28" t="n">
        <x:f>IF(G28="","",G28*H28)</x:f>
        <x:v>33</x:v>
      </x:c>
      <x:c r="J28" s="69" t="n">
        <x:v>0.26</x:v>
      </x:c>
      <x:c r="L28" t="n">
        <x:v>80</x:v>
      </x:c>
      <x:c r="M28" t="inlineStr">
        <x:is>
          <x:t xml:space="preserve">Historical</x:t>
        </x:is>
      </x:c>
      <x:c r="N28" t="inlineStr">
        <x:is>
          <x:t xml:space="preserve">yes</x:t>
        </x:is>
      </x:c>
      <x:c r="O28" t="n">
        <x:f>IF(F28&lt;&gt;Controls!$C$12,0,IF(AND(Controls!$C$10="Contender",M28&lt;&gt;"Contender"),0,IF(AND(Controls!$C$10="Contender+Close",NOT(OR(M28="Contender",M28="Close"))),0,IF(AND(Controls!$C$11="Current",NOT(OR(N28="yes",N28="limited"))),0,1))))</x:f>
        <x:v>0</x:v>
      </x:c>
      <x:c r="P28" t="n">
        <x:f>Controls!$C$7</x:f>
        <x:v>40</x:v>
      </x:c>
      <x:c r="Q28" t="n">
        <x:f>IF(I28="","",I28-(P28-1))</x:f>
        <x:v>-6</x:v>
      </x:c>
      <x:c r="R28" t="str">
        <x:f>IF(OR(O28=0,Q28&lt;=0,J28="",J28=0),"",Q28/J28)</x:f>
      </x:c>
      <x:c r="S28" t="str">
        <x:f>IF(OR(O28=0,Q28&lt;=0,J28="",Q28=0),"",J28/Q28)</x:f>
      </x:c>
      <x:c r="T28" t="str">
        <x:f>IF(OR(O28=0,Q28&lt;=0,J28="",K28="",J28=0,K28=0),"",Q28/(J28*(K28/60)))</x:f>
      </x:c>
      <x:c r="U28" t="str">
        <x:f>IF(OR(O28=0,I28=""),"",I28/_xlfn.MAXIFS($I$4:$I$141,$O$4:$O$141,1))</x:f>
      </x:c>
      <x:c r="V28" t="str">
        <x:f>IF(OR(O28=0,L28=""),"",L28/_xlfn.MAXIFS($L$4:$L$141,$O$4:$O$141,1))</x:f>
      </x:c>
      <x:c r="W28" t="str">
        <x:f>IF(OR(O28=0,J28=""),"",_xlfn.MINIFS($J$4:$J$141,$O$4:$O$141,1,$J$4:$J$141,"&gt;0")/J28)</x:f>
      </x:c>
      <x:c r="X28" t="str">
        <x:f>IF(R28="","",R28/_xlfn.MAXIFS($R$4:$R$141,$O$4:$O$141,1))</x:f>
      </x:c>
      <x:c r="Y28" t="str">
        <x:f>IF(T28="","",T28/_xlfn.MAXIFS($T$4:$T$141,$O$4:$O$141,1))</x:f>
      </x:c>
      <x:c r="Z28" s="67" t="str">
        <x:f>IF(OR(X28="",Y28=""),"",SQRT(X28*Y28))</x:f>
      </x:c>
      <x:c r="AA28" s="67" t="str">
        <x:f>IF(OR(X28="",Y28=""),"",X28^Controls!$C$8*Y28^Controls!$C$9)</x:f>
      </x:c>
      <x:c r="AB28" s="67" t="str">
        <x:f>IF(OR(X28="",Y28=""),"",X28^Controls!$C$9*Y28^Controls!$C$8)</x:f>
      </x:c>
      <x:c r="AC28" t="str">
        <x:f>IF(OR(U28="",V28=""),"",SQRT(U28*V28))</x:f>
      </x:c>
      <x:c r="AD28" t="n">
        <x:f>IF(OR(I28="",J28="",J28=0),"",I28/J28)</x:f>
        <x:v>126.92307692307692</x:v>
      </x:c>
      <x:c r="AE28" t="str">
        <x:f>IF(OR(I28="",K28="",K28=0),"",I28/K28)</x:f>
      </x:c>
      <x:c r="AF28" t="str">
        <x:f>IF(Z28="","",1+COUNTIF($Z$4:$Z$141,"&gt;"&amp;Z28)+COUNTIFS($Z$4:Z28,Z28)-1)</x:f>
      </x:c>
      <x:c r="AG28" t="str">
        <x:f>IF(AA28="","",1+COUNTIF($AA$4:$AA$141,"&gt;"&amp;AA28)+COUNTIFS($AA$4:AA28,AA28)-1)</x:f>
      </x:c>
      <x:c r="AH28" t="str">
        <x:f>IF(AB28="","",1+COUNTIF($AB$4:$AB$141,"&gt;"&amp;AB28)+COUNTIFS($AB$4:AB28,AB28)-1)</x:f>
      </x:c>
      <x:c r="AI28" t="str">
        <x:f>IF(OR(O28=0,I28=""),"",1+COUNTIFS($O$4:$O$141,1,$I$4:$I$141,"&gt;"&amp;I28)+COUNTIFS($O$4:O28,1,$I$4:I28,I28)-1)</x:f>
      </x:c>
      <x:c r="AJ28" t="str">
        <x:f>IF(OR(O28=0,L28=""),"",1+COUNTIFS($O$4:$O$141,1,$L$4:$L$141,"&gt;"&amp;L28)+COUNTIFS($O$4:O28,1,$L$4:L28,L28)-1)</x:f>
      </x:c>
      <x:c r="AK28" t="str">
        <x:f>IF(OR(O28=0,J28="",J28=0),"",1+COUNTIFS($O$4:$O$141,1,$J$4:$J$141,"&lt;"&amp;J28,$J$4:$J$141,"&gt;0")+COUNTIFS($O$4:O28,1,$J$4:J28,J28)-1)</x:f>
      </x:c>
    </x:row>
    <x:row r="29">
      <x:c r="A29" t="inlineStr">
        <x:is>
          <x:t xml:space="preserve">openai|gpt-5.6-sol|medium|reasoning|fallback-na|aa-v4.3.2|snapshot-2026-09-28</x:t>
        </x:is>
      </x:c>
      <x:c r="B29" t="inlineStr">
        <x:is>
          <x:t xml:space="preserve">openai|gpt-5.6-sol|medium|reasoning|fallback-na</x:t>
        </x:is>
      </x:c>
      <x:c r="C29" t="inlineStr">
        <x:is>
          <x:t xml:space="preserve">GPT-5.6 Sol</x:t>
        </x:is>
      </x:c>
      <x:c r="D29" t="inlineStr">
        <x:is>
          <x:t xml:space="preserve">OpenAI</x:t>
        </x:is>
      </x:c>
      <x:c r="E29" t="inlineStr">
        <x:is>
          <x:t xml:space="preserve">medium</x:t>
        </x:is>
      </x:c>
      <x:c r="F29" t="inlineStr">
        <x:is>
          <x:t xml:space="preserve">AA|v4.3.2</x:t>
        </x:is>
      </x:c>
      <x:c r="G29" t="n">
        <x:v>39</x:v>
      </x:c>
      <x:c r="H29" t="n">
        <x:f>IFERROR(INDEX(Benchmark_Versions!$I:$I,MATCH(F29,Benchmark_Versions!$A:$A,0)),1)</x:f>
        <x:v>1</x:v>
      </x:c>
      <x:c r="I29" t="n">
        <x:f>IF(G29="","",G29*H29)</x:f>
        <x:v>39</x:v>
      </x:c>
      <x:c r="J29" s="69" t="n">
        <x:v>0.5</x:v>
      </x:c>
      <x:c r="L29" t="n">
        <x:v>82</x:v>
      </x:c>
      <x:c r="M29" t="inlineStr">
        <x:is>
          <x:t xml:space="preserve">Historical</x:t>
        </x:is>
      </x:c>
      <x:c r="N29" t="inlineStr">
        <x:is>
          <x:t xml:space="preserve">yes</x:t>
        </x:is>
      </x:c>
      <x:c r="O29" t="n">
        <x:f>IF(F29&lt;&gt;Controls!$C$12,0,IF(AND(Controls!$C$10="Contender",M29&lt;&gt;"Contender"),0,IF(AND(Controls!$C$10="Contender+Close",NOT(OR(M29="Contender",M29="Close"))),0,IF(AND(Controls!$C$11="Current",NOT(OR(N29="yes",N29="limited"))),0,1))))</x:f>
        <x:v>0</x:v>
      </x:c>
      <x:c r="P29" t="n">
        <x:f>Controls!$C$7</x:f>
        <x:v>40</x:v>
      </x:c>
      <x:c r="Q29" t="n">
        <x:f>IF(I29="","",I29-(P29-1))</x:f>
        <x:v>0</x:v>
      </x:c>
      <x:c r="R29" t="str">
        <x:f>IF(OR(O29=0,Q29&lt;=0,J29="",J29=0),"",Q29/J29)</x:f>
      </x:c>
      <x:c r="S29" t="str">
        <x:f>IF(OR(O29=0,Q29&lt;=0,J29="",Q29=0),"",J29/Q29)</x:f>
      </x:c>
      <x:c r="T29" t="str">
        <x:f>IF(OR(O29=0,Q29&lt;=0,J29="",K29="",J29=0,K29=0),"",Q29/(J29*(K29/60)))</x:f>
      </x:c>
      <x:c r="U29" t="str">
        <x:f>IF(OR(O29=0,I29=""),"",I29/_xlfn.MAXIFS($I$4:$I$141,$O$4:$O$141,1))</x:f>
      </x:c>
      <x:c r="V29" t="str">
        <x:f>IF(OR(O29=0,L29=""),"",L29/_xlfn.MAXIFS($L$4:$L$141,$O$4:$O$141,1))</x:f>
      </x:c>
      <x:c r="W29" t="str">
        <x:f>IF(OR(O29=0,J29=""),"",_xlfn.MINIFS($J$4:$J$141,$O$4:$O$141,1,$J$4:$J$141,"&gt;0")/J29)</x:f>
      </x:c>
      <x:c r="X29" t="str">
        <x:f>IF(R29="","",R29/_xlfn.MAXIFS($R$4:$R$141,$O$4:$O$141,1))</x:f>
      </x:c>
      <x:c r="Y29" t="str">
        <x:f>IF(T29="","",T29/_xlfn.MAXIFS($T$4:$T$141,$O$4:$O$141,1))</x:f>
      </x:c>
      <x:c r="Z29" s="67" t="str">
        <x:f>IF(OR(X29="",Y29=""),"",SQRT(X29*Y29))</x:f>
      </x:c>
      <x:c r="AA29" s="67" t="str">
        <x:f>IF(OR(X29="",Y29=""),"",X29^Controls!$C$8*Y29^Controls!$C$9)</x:f>
      </x:c>
      <x:c r="AB29" s="67" t="str">
        <x:f>IF(OR(X29="",Y29=""),"",X29^Controls!$C$9*Y29^Controls!$C$8)</x:f>
      </x:c>
      <x:c r="AC29" t="str">
        <x:f>IF(OR(U29="",V29=""),"",SQRT(U29*V29))</x:f>
      </x:c>
      <x:c r="AD29" t="n">
        <x:f>IF(OR(I29="",J29="",J29=0),"",I29/J29)</x:f>
        <x:v>78</x:v>
      </x:c>
      <x:c r="AE29" t="str">
        <x:f>IF(OR(I29="",K29="",K29=0),"",I29/K29)</x:f>
      </x:c>
      <x:c r="AF29" t="str">
        <x:f>IF(Z29="","",1+COUNTIF($Z$4:$Z$141,"&gt;"&amp;Z29)+COUNTIFS($Z$4:Z29,Z29)-1)</x:f>
      </x:c>
      <x:c r="AG29" t="str">
        <x:f>IF(AA29="","",1+COUNTIF($AA$4:$AA$141,"&gt;"&amp;AA29)+COUNTIFS($AA$4:AA29,AA29)-1)</x:f>
      </x:c>
      <x:c r="AH29" t="str">
        <x:f>IF(AB29="","",1+COUNTIF($AB$4:$AB$141,"&gt;"&amp;AB29)+COUNTIFS($AB$4:AB29,AB29)-1)</x:f>
      </x:c>
      <x:c r="AI29" t="str">
        <x:f>IF(OR(O29=0,I29=""),"",1+COUNTIFS($O$4:$O$141,1,$I$4:$I$141,"&gt;"&amp;I29)+COUNTIFS($O$4:O29,1,$I$4:I29,I29)-1)</x:f>
      </x:c>
      <x:c r="AJ29" t="str">
        <x:f>IF(OR(O29=0,L29=""),"",1+COUNTIFS($O$4:$O$141,1,$L$4:$L$141,"&gt;"&amp;L29)+COUNTIFS($O$4:O29,1,$L$4:L29,L29)-1)</x:f>
      </x:c>
      <x:c r="AK29" t="str">
        <x:f>IF(OR(O29=0,J29="",J29=0),"",1+COUNTIFS($O$4:$O$141,1,$J$4:$J$141,"&lt;"&amp;J29,$J$4:$J$141,"&gt;0")+COUNTIFS($O$4:O29,1,$J$4:J29,J29)-1)</x:f>
      </x:c>
    </x:row>
    <x:row r="30">
      <x:c r="A30" t="inlineStr">
        <x:is>
          <x:t xml:space="preserve">openai|gpt-5.6-sol|high|reasoning|fallback-na|aa-v4.3.2|snapshot-2026-09-28</x:t>
        </x:is>
      </x:c>
      <x:c r="B30" t="inlineStr">
        <x:is>
          <x:t xml:space="preserve">openai|gpt-5.6-sol|high|reasoning|fallback-na</x:t>
        </x:is>
      </x:c>
      <x:c r="C30" t="inlineStr">
        <x:is>
          <x:t xml:space="preserve">GPT-5.6 Sol</x:t>
        </x:is>
      </x:c>
      <x:c r="D30" t="inlineStr">
        <x:is>
          <x:t xml:space="preserve">OpenAI</x:t>
        </x:is>
      </x:c>
      <x:c r="E30" t="inlineStr">
        <x:is>
          <x:t xml:space="preserve">high</x:t>
        </x:is>
      </x:c>
      <x:c r="F30" t="inlineStr">
        <x:is>
          <x:t xml:space="preserve">AA|v4.3.2</x:t>
        </x:is>
      </x:c>
      <x:c r="G30" t="n">
        <x:v>42</x:v>
      </x:c>
      <x:c r="H30" t="n">
        <x:f>IFERROR(INDEX(Benchmark_Versions!$I:$I,MATCH(F30,Benchmark_Versions!$A:$A,0)),1)</x:f>
        <x:v>1</x:v>
      </x:c>
      <x:c r="I30" t="n">
        <x:f>IF(G30="","",G30*H30)</x:f>
        <x:v>42</x:v>
      </x:c>
      <x:c r="J30" s="69" t="n">
        <x:v>0.8100000000000001</x:v>
      </x:c>
      <x:c r="L30" t="n">
        <x:v>81</x:v>
      </x:c>
      <x:c r="M30" t="inlineStr">
        <x:is>
          <x:t xml:space="preserve">Historical</x:t>
        </x:is>
      </x:c>
      <x:c r="N30" t="inlineStr">
        <x:is>
          <x:t xml:space="preserve">yes</x:t>
        </x:is>
      </x:c>
      <x:c r="O30" t="n">
        <x:f>IF(F30&lt;&gt;Controls!$C$12,0,IF(AND(Controls!$C$10="Contender",M30&lt;&gt;"Contender"),0,IF(AND(Controls!$C$10="Contender+Close",NOT(OR(M30="Contender",M30="Close"))),0,IF(AND(Controls!$C$11="Current",NOT(OR(N30="yes",N30="limited"))),0,1))))</x:f>
        <x:v>0</x:v>
      </x:c>
      <x:c r="P30" t="n">
        <x:f>Controls!$C$7</x:f>
        <x:v>40</x:v>
      </x:c>
      <x:c r="Q30" t="n">
        <x:f>IF(I30="","",I30-(P30-1))</x:f>
        <x:v>3</x:v>
      </x:c>
      <x:c r="R30" t="str">
        <x:f>IF(OR(O30=0,Q30&lt;=0,J30="",J30=0),"",Q30/J30)</x:f>
      </x:c>
      <x:c r="S30" t="str">
        <x:f>IF(OR(O30=0,Q30&lt;=0,J30="",Q30=0),"",J30/Q30)</x:f>
      </x:c>
      <x:c r="T30" t="str">
        <x:f>IF(OR(O30=0,Q30&lt;=0,J30="",K30="",J30=0,K30=0),"",Q30/(J30*(K30/60)))</x:f>
      </x:c>
      <x:c r="U30" t="str">
        <x:f>IF(OR(O30=0,I30=""),"",I30/_xlfn.MAXIFS($I$4:$I$141,$O$4:$O$141,1))</x:f>
      </x:c>
      <x:c r="V30" t="str">
        <x:f>IF(OR(O30=0,L30=""),"",L30/_xlfn.MAXIFS($L$4:$L$141,$O$4:$O$141,1))</x:f>
      </x:c>
      <x:c r="W30" t="str">
        <x:f>IF(OR(O30=0,J30=""),"",_xlfn.MINIFS($J$4:$J$141,$O$4:$O$141,1,$J$4:$J$141,"&gt;0")/J30)</x:f>
      </x:c>
      <x:c r="X30" t="str">
        <x:f>IF(R30="","",R30/_xlfn.MAXIFS($R$4:$R$141,$O$4:$O$141,1))</x:f>
      </x:c>
      <x:c r="Y30" t="str">
        <x:f>IF(T30="","",T30/_xlfn.MAXIFS($T$4:$T$141,$O$4:$O$141,1))</x:f>
      </x:c>
      <x:c r="Z30" s="67" t="str">
        <x:f>IF(OR(X30="",Y30=""),"",SQRT(X30*Y30))</x:f>
      </x:c>
      <x:c r="AA30" s="67" t="str">
        <x:f>IF(OR(X30="",Y30=""),"",X30^Controls!$C$8*Y30^Controls!$C$9)</x:f>
      </x:c>
      <x:c r="AB30" s="67" t="str">
        <x:f>IF(OR(X30="",Y30=""),"",X30^Controls!$C$9*Y30^Controls!$C$8)</x:f>
      </x:c>
      <x:c r="AC30" t="str">
        <x:f>IF(OR(U30="",V30=""),"",SQRT(U30*V30))</x:f>
      </x:c>
      <x:c r="AD30" t="n">
        <x:f>IF(OR(I30="",J30="",J30=0),"",I30/J30)</x:f>
        <x:v>51.85185185185185</x:v>
      </x:c>
      <x:c r="AE30" t="str">
        <x:f>IF(OR(I30="",K30="",K30=0),"",I30/K30)</x:f>
      </x:c>
      <x:c r="AF30" t="str">
        <x:f>IF(Z30="","",1+COUNTIF($Z$4:$Z$141,"&gt;"&amp;Z30)+COUNTIFS($Z$4:Z30,Z30)-1)</x:f>
      </x:c>
      <x:c r="AG30" t="str">
        <x:f>IF(AA30="","",1+COUNTIF($AA$4:$AA$141,"&gt;"&amp;AA30)+COUNTIFS($AA$4:AA30,AA30)-1)</x:f>
      </x:c>
      <x:c r="AH30" t="str">
        <x:f>IF(AB30="","",1+COUNTIF($AB$4:$AB$141,"&gt;"&amp;AB30)+COUNTIFS($AB$4:AB30,AB30)-1)</x:f>
      </x:c>
      <x:c r="AI30" t="str">
        <x:f>IF(OR(O30=0,I30=""),"",1+COUNTIFS($O$4:$O$141,1,$I$4:$I$141,"&gt;"&amp;I30)+COUNTIFS($O$4:O30,1,$I$4:I30,I30)-1)</x:f>
      </x:c>
      <x:c r="AJ30" t="str">
        <x:f>IF(OR(O30=0,L30=""),"",1+COUNTIFS($O$4:$O$141,1,$L$4:$L$141,"&gt;"&amp;L30)+COUNTIFS($O$4:O30,1,$L$4:L30,L30)-1)</x:f>
      </x:c>
      <x:c r="AK30" t="str">
        <x:f>IF(OR(O30=0,J30="",J30=0),"",1+COUNTIFS($O$4:$O$141,1,$J$4:$J$141,"&lt;"&amp;J30,$J$4:$J$141,"&gt;0")+COUNTIFS($O$4:O30,1,$J$4:J30,J30)-1)</x:f>
      </x:c>
    </x:row>
    <x:row r="31">
      <x:c r="A31" t="inlineStr">
        <x:is>
          <x:t xml:space="preserve">openai|gpt-5.6-sol|xhigh|reasoning|fallback-na|aa-v4.3.2|snapshot-2026-09-28</x:t>
        </x:is>
      </x:c>
      <x:c r="B31" t="inlineStr">
        <x:is>
          <x:t xml:space="preserve">openai|gpt-5.6-sol|xhigh|reasoning|fallback-na</x:t>
        </x:is>
      </x:c>
      <x:c r="C31" t="inlineStr">
        <x:is>
          <x:t xml:space="preserve">GPT-5.6 Sol</x:t>
        </x:is>
      </x:c>
      <x:c r="D31" t="inlineStr">
        <x:is>
          <x:t xml:space="preserve">OpenAI</x:t>
        </x:is>
      </x:c>
      <x:c r="E31" t="inlineStr">
        <x:is>
          <x:t xml:space="preserve">xhigh</x:t>
        </x:is>
      </x:c>
      <x:c r="F31" t="inlineStr">
        <x:is>
          <x:t xml:space="preserve">AA|v4.3.2</x:t>
        </x:is>
      </x:c>
      <x:c r="G31" t="n">
        <x:v>44</x:v>
      </x:c>
      <x:c r="H31" t="n">
        <x:f>IFERROR(INDEX(Benchmark_Versions!$I:$I,MATCH(F31,Benchmark_Versions!$A:$A,0)),1)</x:f>
        <x:v>1</x:v>
      </x:c>
      <x:c r="I31" t="n">
        <x:f>IF(G31="","",G31*H31)</x:f>
        <x:v>44</x:v>
      </x:c>
      <x:c r="J31" s="69" t="n">
        <x:v>1.18</x:v>
      </x:c>
      <x:c r="L31" t="n">
        <x:v>83</x:v>
      </x:c>
      <x:c r="M31" t="inlineStr">
        <x:is>
          <x:t xml:space="preserve">Historical</x:t>
        </x:is>
      </x:c>
      <x:c r="N31" t="inlineStr">
        <x:is>
          <x:t xml:space="preserve">yes</x:t>
        </x:is>
      </x:c>
      <x:c r="O31" t="n">
        <x:f>IF(F31&lt;&gt;Controls!$C$12,0,IF(AND(Controls!$C$10="Contender",M31&lt;&gt;"Contender"),0,IF(AND(Controls!$C$10="Contender+Close",NOT(OR(M31="Contender",M31="Close"))),0,IF(AND(Controls!$C$11="Current",NOT(OR(N31="yes",N31="limited"))),0,1))))</x:f>
        <x:v>0</x:v>
      </x:c>
      <x:c r="P31" t="n">
        <x:f>Controls!$C$7</x:f>
        <x:v>40</x:v>
      </x:c>
      <x:c r="Q31" t="n">
        <x:f>IF(I31="","",I31-(P31-1))</x:f>
        <x:v>5</x:v>
      </x:c>
      <x:c r="R31" t="str">
        <x:f>IF(OR(O31=0,Q31&lt;=0,J31="",J31=0),"",Q31/J31)</x:f>
      </x:c>
      <x:c r="S31" t="str">
        <x:f>IF(OR(O31=0,Q31&lt;=0,J31="",Q31=0),"",J31/Q31)</x:f>
      </x:c>
      <x:c r="T31" t="str">
        <x:f>IF(OR(O31=0,Q31&lt;=0,J31="",K31="",J31=0,K31=0),"",Q31/(J31*(K31/60)))</x:f>
      </x:c>
      <x:c r="U31" t="str">
        <x:f>IF(OR(O31=0,I31=""),"",I31/_xlfn.MAXIFS($I$4:$I$141,$O$4:$O$141,1))</x:f>
      </x:c>
      <x:c r="V31" t="str">
        <x:f>IF(OR(O31=0,L31=""),"",L31/_xlfn.MAXIFS($L$4:$L$141,$O$4:$O$141,1))</x:f>
      </x:c>
      <x:c r="W31" t="str">
        <x:f>IF(OR(O31=0,J31=""),"",_xlfn.MINIFS($J$4:$J$141,$O$4:$O$141,1,$J$4:$J$141,"&gt;0")/J31)</x:f>
      </x:c>
      <x:c r="X31" t="str">
        <x:f>IF(R31="","",R31/_xlfn.MAXIFS($R$4:$R$141,$O$4:$O$141,1))</x:f>
      </x:c>
      <x:c r="Y31" t="str">
        <x:f>IF(T31="","",T31/_xlfn.MAXIFS($T$4:$T$141,$O$4:$O$141,1))</x:f>
      </x:c>
      <x:c r="Z31" s="67" t="str">
        <x:f>IF(OR(X31="",Y31=""),"",SQRT(X31*Y31))</x:f>
      </x:c>
      <x:c r="AA31" s="67" t="str">
        <x:f>IF(OR(X31="",Y31=""),"",X31^Controls!$C$8*Y31^Controls!$C$9)</x:f>
      </x:c>
      <x:c r="AB31" s="67" t="str">
        <x:f>IF(OR(X31="",Y31=""),"",X31^Controls!$C$9*Y31^Controls!$C$8)</x:f>
      </x:c>
      <x:c r="AC31" t="str">
        <x:f>IF(OR(U31="",V31=""),"",SQRT(U31*V31))</x:f>
      </x:c>
      <x:c r="AD31" t="n">
        <x:f>IF(OR(I31="",J31="",J31=0),"",I31/J31)</x:f>
        <x:v>37.28813559322034</x:v>
      </x:c>
      <x:c r="AE31" t="str">
        <x:f>IF(OR(I31="",K31="",K31=0),"",I31/K31)</x:f>
      </x:c>
      <x:c r="AF31" t="str">
        <x:f>IF(Z31="","",1+COUNTIF($Z$4:$Z$141,"&gt;"&amp;Z31)+COUNTIFS($Z$4:Z31,Z31)-1)</x:f>
      </x:c>
      <x:c r="AG31" t="str">
        <x:f>IF(AA31="","",1+COUNTIF($AA$4:$AA$141,"&gt;"&amp;AA31)+COUNTIFS($AA$4:AA31,AA31)-1)</x:f>
      </x:c>
      <x:c r="AH31" t="str">
        <x:f>IF(AB31="","",1+COUNTIF($AB$4:$AB$141,"&gt;"&amp;AB31)+COUNTIFS($AB$4:AB31,AB31)-1)</x:f>
      </x:c>
      <x:c r="AI31" t="str">
        <x:f>IF(OR(O31=0,I31=""),"",1+COUNTIFS($O$4:$O$141,1,$I$4:$I$141,"&gt;"&amp;I31)+COUNTIFS($O$4:O31,1,$I$4:I31,I31)-1)</x:f>
      </x:c>
      <x:c r="AJ31" t="str">
        <x:f>IF(OR(O31=0,L31=""),"",1+COUNTIFS($O$4:$O$141,1,$L$4:$L$141,"&gt;"&amp;L31)+COUNTIFS($O$4:O31,1,$L$4:L31,L31)-1)</x:f>
      </x:c>
      <x:c r="AK31" t="str">
        <x:f>IF(OR(O31=0,J31="",J31=0),"",1+COUNTIFS($O$4:$O$141,1,$J$4:$J$141,"&lt;"&amp;J31,$J$4:$J$141,"&gt;0")+COUNTIFS($O$4:O31,1,$J$4:J31,J31)-1)</x:f>
      </x:c>
    </x:row>
    <x:row r="32">
      <x:c r="A32" t="inlineStr">
        <x:is>
          <x:t xml:space="preserve">openai|gpt-5.6-sol|max|reasoning|fallback-na|aa-v4.3.2|snapshot-2026-09-28</x:t>
        </x:is>
      </x:c>
      <x:c r="B32" t="inlineStr">
        <x:is>
          <x:t xml:space="preserve">openai|gpt-5.6-sol|max|reasoning|fallback-na</x:t>
        </x:is>
      </x:c>
      <x:c r="C32" t="inlineStr">
        <x:is>
          <x:t xml:space="preserve">GPT-5.6 Sol</x:t>
        </x:is>
      </x:c>
      <x:c r="D32" t="inlineStr">
        <x:is>
          <x:t xml:space="preserve">OpenAI</x:t>
        </x:is>
      </x:c>
      <x:c r="E32" t="inlineStr">
        <x:is>
          <x:t xml:space="preserve">max</x:t>
        </x:is>
      </x:c>
      <x:c r="F32" t="inlineStr">
        <x:is>
          <x:t xml:space="preserve">AA|v4.3.2</x:t>
        </x:is>
      </x:c>
      <x:c r="G32" t="n">
        <x:v>47</x:v>
      </x:c>
      <x:c r="H32" t="n">
        <x:f>IFERROR(INDEX(Benchmark_Versions!$I:$I,MATCH(F32,Benchmark_Versions!$A:$A,0)),1)</x:f>
        <x:v>1</x:v>
      </x:c>
      <x:c r="I32" t="n">
        <x:f>IF(G32="","",G32*H32)</x:f>
        <x:v>47</x:v>
      </x:c>
      <x:c r="J32" s="69" t="n">
        <x:v>1.99</x:v>
      </x:c>
      <x:c r="L32" t="n">
        <x:v>90</x:v>
      </x:c>
      <x:c r="M32" t="inlineStr">
        <x:is>
          <x:t xml:space="preserve">Historical</x:t>
        </x:is>
      </x:c>
      <x:c r="N32" t="inlineStr">
        <x:is>
          <x:t xml:space="preserve">yes</x:t>
        </x:is>
      </x:c>
      <x:c r="O32" t="n">
        <x:f>IF(F32&lt;&gt;Controls!$C$12,0,IF(AND(Controls!$C$10="Contender",M32&lt;&gt;"Contender"),0,IF(AND(Controls!$C$10="Contender+Close",NOT(OR(M32="Contender",M32="Close"))),0,IF(AND(Controls!$C$11="Current",NOT(OR(N32="yes",N32="limited"))),0,1))))</x:f>
        <x:v>0</x:v>
      </x:c>
      <x:c r="P32" t="n">
        <x:f>Controls!$C$7</x:f>
        <x:v>40</x:v>
      </x:c>
      <x:c r="Q32" t="n">
        <x:f>IF(I32="","",I32-(P32-1))</x:f>
        <x:v>8</x:v>
      </x:c>
      <x:c r="R32" t="str">
        <x:f>IF(OR(O32=0,Q32&lt;=0,J32="",J32=0),"",Q32/J32)</x:f>
      </x:c>
      <x:c r="S32" t="str">
        <x:f>IF(OR(O32=0,Q32&lt;=0,J32="",Q32=0),"",J32/Q32)</x:f>
      </x:c>
      <x:c r="T32" t="str">
        <x:f>IF(OR(O32=0,Q32&lt;=0,J32="",K32="",J32=0,K32=0),"",Q32/(J32*(K32/60)))</x:f>
      </x:c>
      <x:c r="U32" t="str">
        <x:f>IF(OR(O32=0,I32=""),"",I32/_xlfn.MAXIFS($I$4:$I$141,$O$4:$O$141,1))</x:f>
      </x:c>
      <x:c r="V32" t="str">
        <x:f>IF(OR(O32=0,L32=""),"",L32/_xlfn.MAXIFS($L$4:$L$141,$O$4:$O$141,1))</x:f>
      </x:c>
      <x:c r="W32" t="str">
        <x:f>IF(OR(O32=0,J32=""),"",_xlfn.MINIFS($J$4:$J$141,$O$4:$O$141,1,$J$4:$J$141,"&gt;0")/J32)</x:f>
      </x:c>
      <x:c r="X32" t="str">
        <x:f>IF(R32="","",R32/_xlfn.MAXIFS($R$4:$R$141,$O$4:$O$141,1))</x:f>
      </x:c>
      <x:c r="Y32" t="str">
        <x:f>IF(T32="","",T32/_xlfn.MAXIFS($T$4:$T$141,$O$4:$O$141,1))</x:f>
      </x:c>
      <x:c r="Z32" s="67" t="str">
        <x:f>IF(OR(X32="",Y32=""),"",SQRT(X32*Y32))</x:f>
      </x:c>
      <x:c r="AA32" s="67" t="str">
        <x:f>IF(OR(X32="",Y32=""),"",X32^Controls!$C$8*Y32^Controls!$C$9)</x:f>
      </x:c>
      <x:c r="AB32" s="67" t="str">
        <x:f>IF(OR(X32="",Y32=""),"",X32^Controls!$C$9*Y32^Controls!$C$8)</x:f>
      </x:c>
      <x:c r="AC32" t="str">
        <x:f>IF(OR(U32="",V32=""),"",SQRT(U32*V32))</x:f>
      </x:c>
      <x:c r="AD32" t="n">
        <x:f>IF(OR(I32="",J32="",J32=0),"",I32/J32)</x:f>
        <x:v>23.618090452261306</x:v>
      </x:c>
      <x:c r="AE32" t="str">
        <x:f>IF(OR(I32="",K32="",K32=0),"",I32/K32)</x:f>
      </x:c>
      <x:c r="AF32" t="str">
        <x:f>IF(Z32="","",1+COUNTIF($Z$4:$Z$141,"&gt;"&amp;Z32)+COUNTIFS($Z$4:Z32,Z32)-1)</x:f>
      </x:c>
      <x:c r="AG32" t="str">
        <x:f>IF(AA32="","",1+COUNTIF($AA$4:$AA$141,"&gt;"&amp;AA32)+COUNTIFS($AA$4:AA32,AA32)-1)</x:f>
      </x:c>
      <x:c r="AH32" t="str">
        <x:f>IF(AB32="","",1+COUNTIF($AB$4:$AB$141,"&gt;"&amp;AB32)+COUNTIFS($AB$4:AB32,AB32)-1)</x:f>
      </x:c>
      <x:c r="AI32" t="str">
        <x:f>IF(OR(O32=0,I32=""),"",1+COUNTIFS($O$4:$O$141,1,$I$4:$I$141,"&gt;"&amp;I32)+COUNTIFS($O$4:O32,1,$I$4:I32,I32)-1)</x:f>
      </x:c>
      <x:c r="AJ32" t="str">
        <x:f>IF(OR(O32=0,L32=""),"",1+COUNTIFS($O$4:$O$141,1,$L$4:$L$141,"&gt;"&amp;L32)+COUNTIFS($O$4:O32,1,$L$4:L32,L32)-1)</x:f>
      </x:c>
      <x:c r="AK32" t="str">
        <x:f>IF(OR(O32=0,J32="",J32=0),"",1+COUNTIFS($O$4:$O$141,1,$J$4:$J$141,"&lt;"&amp;J32,$J$4:$J$141,"&gt;0")+COUNTIFS($O$4:O32,1,$J$4:J32,J32)-1)</x:f>
      </x:c>
    </x:row>
    <x:row r="33">
      <x:c r="A33" t="inlineStr">
        <x:is>
          <x:t xml:space="preserve">anthropic|claude-sonnet-5.5|low|reasoning|fallback-true|aa-v4.3.2|snapshot-2026-09-28</x:t>
        </x:is>
      </x:c>
      <x:c r="B33" t="inlineStr">
        <x:is>
          <x:t xml:space="preserve">anthropic|claude-sonnet-5.5|low|reasoning|fallback-true</x:t>
        </x:is>
      </x:c>
      <x:c r="C33" t="inlineStr">
        <x:is>
          <x:t xml:space="preserve">Claude Sonnet 5.5</x:t>
        </x:is>
      </x:c>
      <x:c r="D33" t="inlineStr">
        <x:is>
          <x:t xml:space="preserve">Anthropic</x:t>
        </x:is>
      </x:c>
      <x:c r="E33" t="inlineStr">
        <x:is>
          <x:t xml:space="preserve">low</x:t>
        </x:is>
      </x:c>
      <x:c r="F33" t="inlineStr">
        <x:is>
          <x:t xml:space="preserve">AA|v4.3.2</x:t>
        </x:is>
      </x:c>
      <x:c r="G33" t="n">
        <x:v>36</x:v>
      </x:c>
      <x:c r="H33" t="n">
        <x:f>IFERROR(INDEX(Benchmark_Versions!$I:$I,MATCH(F33,Benchmark_Versions!$A:$A,0)),1)</x:f>
        <x:v>1</x:v>
      </x:c>
      <x:c r="I33" t="n">
        <x:f>IF(G33="","",G33*H33)</x:f>
        <x:v>36</x:v>
      </x:c>
      <x:c r="J33" s="69" t="n">
        <x:v>0.41</x:v>
      </x:c>
      <x:c r="L33" t="n">
        <x:v>89</x:v>
      </x:c>
      <x:c r="M33" t="inlineStr">
        <x:is>
          <x:t xml:space="preserve">Contender</x:t>
        </x:is>
      </x:c>
      <x:c r="N33" t="inlineStr">
        <x:is>
          <x:t xml:space="preserve">yes</x:t>
        </x:is>
      </x:c>
      <x:c r="O33" t="n">
        <x:f>IF(F33&lt;&gt;Controls!$C$12,0,IF(AND(Controls!$C$10="Contender",M33&lt;&gt;"Contender"),0,IF(AND(Controls!$C$10="Contender+Close",NOT(OR(M33="Contender",M33="Close"))),0,IF(AND(Controls!$C$11="Current",NOT(OR(N33="yes",N33="limited"))),0,1))))</x:f>
        <x:v>1</x:v>
      </x:c>
      <x:c r="P33" t="n">
        <x:f>Controls!$C$7</x:f>
        <x:v>40</x:v>
      </x:c>
      <x:c r="Q33" t="n">
        <x:f>IF(I33="","",I33-(P33-1))</x:f>
        <x:v>-3</x:v>
      </x:c>
      <x:c r="R33" t="str">
        <x:f>IF(OR(O33=0,Q33&lt;=0,J33="",J33=0),"",Q33/J33)</x:f>
      </x:c>
      <x:c r="S33" t="str">
        <x:f>IF(OR(O33=0,Q33&lt;=0,J33="",Q33=0),"",J33/Q33)</x:f>
      </x:c>
      <x:c r="T33" t="str">
        <x:f>IF(OR(O33=0,Q33&lt;=0,J33="",K33="",J33=0,K33=0),"",Q33/(J33*(K33/60)))</x:f>
      </x:c>
      <x:c r="U33" t="n">
        <x:f>IF(OR(O33=0,I33=""),"",I33/_xlfn.MAXIFS($I$4:$I$141,$O$4:$O$141,1))</x:f>
        <x:v>0.6206896551724138</x:v>
      </x:c>
      <x:c r="V33" t="n">
        <x:f>IF(OR(O33=0,L33=""),"",L33/_xlfn.MAXIFS($L$4:$L$141,$O$4:$O$141,1))</x:f>
        <x:v>0.2861736334405145</x:v>
      </x:c>
      <x:c r="W33" t="n">
        <x:f>IF(OR(O33=0,J33=""),"",_xlfn.MINIFS($J$4:$J$141,$O$4:$O$141,1,$J$4:$J$141,"&gt;0")/J33)</x:f>
        <x:v>0.01097560975609756</x:v>
      </x:c>
      <x:c r="X33" t="str">
        <x:f>IF(R33="","",R33/_xlfn.MAXIFS($R$4:$R$141,$O$4:$O$141,1))</x:f>
      </x:c>
      <x:c r="Y33" t="str">
        <x:f>IF(T33="","",T33/_xlfn.MAXIFS($T$4:$T$141,$O$4:$O$141,1))</x:f>
      </x:c>
      <x:c r="Z33" s="67" t="str">
        <x:f>IF(OR(X33="",Y33=""),"",SQRT(X33*Y33))</x:f>
      </x:c>
      <x:c r="AA33" s="67" t="str">
        <x:f>IF(OR(X33="",Y33=""),"",X33^Controls!$C$8*Y33^Controls!$C$9)</x:f>
      </x:c>
      <x:c r="AB33" s="67" t="str">
        <x:f>IF(OR(X33="",Y33=""),"",X33^Controls!$C$9*Y33^Controls!$C$8)</x:f>
      </x:c>
      <x:c r="AC33" t="n">
        <x:f>IF(OR(U33="",V33=""),"",SQRT(U33*V33))</x:f>
        <x:v>0.42145582670029574</x:v>
      </x:c>
      <x:c r="AD33" t="n">
        <x:f>IF(OR(I33="",J33="",J33=0),"",I33/J33)</x:f>
        <x:v>87.8048780487805</x:v>
      </x:c>
      <x:c r="AE33" t="str">
        <x:f>IF(OR(I33="",K33="",K33=0),"",I33/K33)</x:f>
      </x:c>
      <x:c r="AF33" t="str">
        <x:f>IF(Z33="","",1+COUNTIF($Z$4:$Z$141,"&gt;"&amp;Z33)+COUNTIFS($Z$4:Z33,Z33)-1)</x:f>
      </x:c>
      <x:c r="AG33" t="str">
        <x:f>IF(AA33="","",1+COUNTIF($AA$4:$AA$141,"&gt;"&amp;AA33)+COUNTIFS($AA$4:AA33,AA33)-1)</x:f>
      </x:c>
      <x:c r="AH33" t="str">
        <x:f>IF(AB33="","",1+COUNTIF($AB$4:$AB$141,"&gt;"&amp;AB33)+COUNTIFS($AB$4:AB33,AB33)-1)</x:f>
      </x:c>
      <x:c r="AI33" t="n">
        <x:f>IF(OR(O33=0,I33=""),"",1+COUNTIFS($O$4:$O$141,1,$I$4:$I$141,"&gt;"&amp;I33)+COUNTIFS($O$4:O33,1,$I$4:I33,I33)-1)</x:f>
        <x:v>33</x:v>
      </x:c>
      <x:c r="AJ33" t="n">
        <x:f>IF(OR(O33=0,L33=""),"",1+COUNTIFS($O$4:$O$141,1,$L$4:$L$141,"&gt;"&amp;L33)+COUNTIFS($O$4:O33,1,$L$4:L33,L33)-1)</x:f>
        <x:v>21</x:v>
      </x:c>
      <x:c r="AK33" t="n">
        <x:f>IF(OR(O33=0,J33="",J33=0),"",1+COUNTIFS($O$4:$O$141,1,$J$4:$J$141,"&lt;"&amp;J33,$J$4:$J$141,"&gt;0")+COUNTIFS($O$4:O33,1,$J$4:J33,J33)-1)</x:f>
        <x:v>17</x:v>
      </x:c>
    </x:row>
    <x:row r="34">
      <x:c r="A34" t="inlineStr">
        <x:is>
          <x:t xml:space="preserve">anthropic|claude-sonnet-5.5|medium|reasoning|fallback-true|aa-v4.3.2|snapshot-2026-09-28</x:t>
        </x:is>
      </x:c>
      <x:c r="B34" t="inlineStr">
        <x:is>
          <x:t xml:space="preserve">anthropic|claude-sonnet-5.5|medium|reasoning|fallback-true</x:t>
        </x:is>
      </x:c>
      <x:c r="C34" t="inlineStr">
        <x:is>
          <x:t xml:space="preserve">Claude Sonnet 5.5</x:t>
        </x:is>
      </x:c>
      <x:c r="D34" t="inlineStr">
        <x:is>
          <x:t xml:space="preserve">Anthropic</x:t>
        </x:is>
      </x:c>
      <x:c r="E34" t="inlineStr">
        <x:is>
          <x:t xml:space="preserve">medium</x:t>
        </x:is>
      </x:c>
      <x:c r="F34" t="inlineStr">
        <x:is>
          <x:t xml:space="preserve">AA|v4.3.2</x:t>
        </x:is>
      </x:c>
      <x:c r="G34" t="n">
        <x:v>41</x:v>
      </x:c>
      <x:c r="H34" t="n">
        <x:f>IFERROR(INDEX(Benchmark_Versions!$I:$I,MATCH(F34,Benchmark_Versions!$A:$A,0)),1)</x:f>
        <x:v>1</x:v>
      </x:c>
      <x:c r="I34" t="n">
        <x:f>IF(G34="","",G34*H34)</x:f>
        <x:v>41</x:v>
      </x:c>
      <x:c r="J34" s="69" t="n">
        <x:v>0.59</x:v>
      </x:c>
      <x:c r="L34" t="n">
        <x:v>111</x:v>
      </x:c>
      <x:c r="M34" t="inlineStr">
        <x:is>
          <x:t xml:space="preserve">Contender</x:t>
        </x:is>
      </x:c>
      <x:c r="N34" t="inlineStr">
        <x:is>
          <x:t xml:space="preserve">yes</x:t>
        </x:is>
      </x:c>
      <x:c r="O34" t="n">
        <x:f>IF(F34&lt;&gt;Controls!$C$12,0,IF(AND(Controls!$C$10="Contender",M34&lt;&gt;"Contender"),0,IF(AND(Controls!$C$10="Contender+Close",NOT(OR(M34="Contender",M34="Close"))),0,IF(AND(Controls!$C$11="Current",NOT(OR(N34="yes",N34="limited"))),0,1))))</x:f>
        <x:v>1</x:v>
      </x:c>
      <x:c r="P34" t="n">
        <x:f>Controls!$C$7</x:f>
        <x:v>40</x:v>
      </x:c>
      <x:c r="Q34" t="n">
        <x:f>IF(I34="","",I34-(P34-1))</x:f>
        <x:v>2</x:v>
      </x:c>
      <x:c r="R34" t="n">
        <x:f>IF(OR(O34=0,Q34&lt;=0,J34="",J34=0),"",Q34/J34)</x:f>
        <x:v>3.3898305084745766</x:v>
      </x:c>
      <x:c r="S34" t="n">
        <x:f>IF(OR(O34=0,Q34&lt;=0,J34="",Q34=0),"",J34/Q34)</x:f>
        <x:v>0.295</x:v>
      </x:c>
      <x:c r="T34" t="str">
        <x:f>IF(OR(O34=0,Q34&lt;=0,J34="",K34="",J34=0,K34=0),"",Q34/(J34*(K34/60)))</x:f>
      </x:c>
      <x:c r="U34" t="n">
        <x:f>IF(OR(O34=0,I34=""),"",I34/_xlfn.MAXIFS($I$4:$I$141,$O$4:$O$141,1))</x:f>
        <x:v>0.7068965517241379</x:v>
      </x:c>
      <x:c r="V34" t="n">
        <x:f>IF(OR(O34=0,L34=""),"",L34/_xlfn.MAXIFS($L$4:$L$141,$O$4:$O$141,1))</x:f>
        <x:v>0.35691318327974275</x:v>
      </x:c>
      <x:c r="W34" t="n">
        <x:f>IF(OR(O34=0,J34=""),"",_xlfn.MINIFS($J$4:$J$141,$O$4:$O$141,1,$J$4:$J$141,"&gt;0")/J34)</x:f>
        <x:v>0.007627118644067796</x:v>
      </x:c>
      <x:c r="X34" t="n">
        <x:f>IF(R34="","",R34/_xlfn.MAXIFS($R$4:$R$141,$O$4:$O$141,1))</x:f>
        <x:v>0.2824858757062147</x:v>
      </x:c>
      <x:c r="Y34" t="str">
        <x:f>IF(T34="","",T34/_xlfn.MAXIFS($T$4:$T$141,$O$4:$O$141,1))</x:f>
      </x:c>
      <x:c r="Z34" s="67" t="str">
        <x:f>IF(OR(X34="",Y34=""),"",SQRT(X34*Y34))</x:f>
      </x:c>
      <x:c r="AA34" s="67" t="str">
        <x:f>IF(OR(X34="",Y34=""),"",X34^Controls!$C$8*Y34^Controls!$C$9)</x:f>
      </x:c>
      <x:c r="AB34" s="67" t="str">
        <x:f>IF(OR(X34="",Y34=""),"",X34^Controls!$C$9*Y34^Controls!$C$8)</x:f>
      </x:c>
      <x:c r="AC34" t="n">
        <x:f>IF(OR(U34="",V34=""),"",SQRT(U34*V34))</x:f>
        <x:v>0.5022954295286145</x:v>
      </x:c>
      <x:c r="AD34" t="n">
        <x:f>IF(OR(I34="",J34="",J34=0),"",I34/J34)</x:f>
        <x:v>69.49152542372882</x:v>
      </x:c>
      <x:c r="AE34" t="str">
        <x:f>IF(OR(I34="",K34="",K34=0),"",I34/K34)</x:f>
      </x:c>
      <x:c r="AF34" t="str">
        <x:f>IF(Z34="","",1+COUNTIF($Z$4:$Z$141,"&gt;"&amp;Z34)+COUNTIFS($Z$4:Z34,Z34)-1)</x:f>
      </x:c>
      <x:c r="AG34" t="str">
        <x:f>IF(AA34="","",1+COUNTIF($AA$4:$AA$141,"&gt;"&amp;AA34)+COUNTIFS($AA$4:AA34,AA34)-1)</x:f>
      </x:c>
      <x:c r="AH34" t="str">
        <x:f>IF(AB34="","",1+COUNTIF($AB$4:$AB$141,"&gt;"&amp;AB34)+COUNTIFS($AB$4:AB34,AB34)-1)</x:f>
      </x:c>
      <x:c r="AI34" t="n">
        <x:f>IF(OR(O34=0,I34=""),"",1+COUNTIFS($O$4:$O$141,1,$I$4:$I$141,"&gt;"&amp;I34)+COUNTIFS($O$4:O34,1,$I$4:I34,I34)-1)</x:f>
        <x:v>24</x:v>
      </x:c>
      <x:c r="AJ34" t="n">
        <x:f>IF(OR(O34=0,L34=""),"",1+COUNTIFS($O$4:$O$141,1,$L$4:$L$141,"&gt;"&amp;L34)+COUNTIFS($O$4:O34,1,$L$4:L34,L34)-1)</x:f>
        <x:v>16</x:v>
      </x:c>
      <x:c r="AK34" t="n">
        <x:f>IF(OR(O34=0,J34="",J34=0),"",1+COUNTIFS($O$4:$O$141,1,$J$4:$J$141,"&lt;"&amp;J34,$J$4:$J$141,"&gt;0")+COUNTIFS($O$4:O34,1,$J$4:J34,J34)-1)</x:f>
        <x:v>21</x:v>
      </x:c>
    </x:row>
    <x:row r="35">
      <x:c r="A35" t="inlineStr">
        <x:is>
          <x:t xml:space="preserve">anthropic|claude-sonnet-5.5|high|reasoning|fallback-true|aa-v4.3.2|snapshot-2026-09-28</x:t>
        </x:is>
      </x:c>
      <x:c r="B35" t="inlineStr">
        <x:is>
          <x:t xml:space="preserve">anthropic|claude-sonnet-5.5|high|reasoning|fallback-true</x:t>
        </x:is>
      </x:c>
      <x:c r="C35" t="inlineStr">
        <x:is>
          <x:t xml:space="preserve">Claude Sonnet 5.5</x:t>
        </x:is>
      </x:c>
      <x:c r="D35" t="inlineStr">
        <x:is>
          <x:t xml:space="preserve">Anthropic</x:t>
        </x:is>
      </x:c>
      <x:c r="E35" t="inlineStr">
        <x:is>
          <x:t xml:space="preserve">high</x:t>
        </x:is>
      </x:c>
      <x:c r="F35" t="inlineStr">
        <x:is>
          <x:t xml:space="preserve">AA|v4.3.2</x:t>
        </x:is>
      </x:c>
      <x:c r="G35" t="n">
        <x:v>47</x:v>
      </x:c>
      <x:c r="H35" t="n">
        <x:f>IFERROR(INDEX(Benchmark_Versions!$I:$I,MATCH(F35,Benchmark_Versions!$A:$A,0)),1)</x:f>
        <x:v>1</x:v>
      </x:c>
      <x:c r="I35" t="n">
        <x:f>IF(G35="","",G35*H35)</x:f>
        <x:v>47</x:v>
      </x:c>
      <x:c r="J35" s="69" t="n">
        <x:v>1.08</x:v>
      </x:c>
      <x:c r="L35" t="n">
        <x:v>95</x:v>
      </x:c>
      <x:c r="M35" t="inlineStr">
        <x:is>
          <x:t xml:space="preserve">Contender</x:t>
        </x:is>
      </x:c>
      <x:c r="N35" t="inlineStr">
        <x:is>
          <x:t xml:space="preserve">yes</x:t>
        </x:is>
      </x:c>
      <x:c r="O35" t="n">
        <x:f>IF(F35&lt;&gt;Controls!$C$12,0,IF(AND(Controls!$C$10="Contender",M35&lt;&gt;"Contender"),0,IF(AND(Controls!$C$10="Contender+Close",NOT(OR(M35="Contender",M35="Close"))),0,IF(AND(Controls!$C$11="Current",NOT(OR(N35="yes",N35="limited"))),0,1))))</x:f>
        <x:v>1</x:v>
      </x:c>
      <x:c r="P35" t="n">
        <x:f>Controls!$C$7</x:f>
        <x:v>40</x:v>
      </x:c>
      <x:c r="Q35" t="n">
        <x:f>IF(I35="","",I35-(P35-1))</x:f>
        <x:v>8</x:v>
      </x:c>
      <x:c r="R35" t="n">
        <x:f>IF(OR(O35=0,Q35&lt;=0,J35="",J35=0),"",Q35/J35)</x:f>
        <x:v>7.4074074074074066</x:v>
      </x:c>
      <x:c r="S35" t="n">
        <x:f>IF(OR(O35=0,Q35&lt;=0,J35="",Q35=0),"",J35/Q35)</x:f>
        <x:v>0.135</x:v>
      </x:c>
      <x:c r="T35" t="str">
        <x:f>IF(OR(O35=0,Q35&lt;=0,J35="",K35="",J35=0,K35=0),"",Q35/(J35*(K35/60)))</x:f>
      </x:c>
      <x:c r="U35" t="n">
        <x:f>IF(OR(O35=0,I35=""),"",I35/_xlfn.MAXIFS($I$4:$I$141,$O$4:$O$141,1))</x:f>
        <x:v>0.8103448275862069</x:v>
      </x:c>
      <x:c r="V35" t="n">
        <x:f>IF(OR(O35=0,L35=""),"",L35/_xlfn.MAXIFS($L$4:$L$141,$O$4:$O$141,1))</x:f>
        <x:v>0.3054662379421222</x:v>
      </x:c>
      <x:c r="W35" t="n">
        <x:f>IF(OR(O35=0,J35=""),"",_xlfn.MINIFS($J$4:$J$141,$O$4:$O$141,1,$J$4:$J$141,"&gt;0")/J35)</x:f>
        <x:v>0.004166666666666666</x:v>
      </x:c>
      <x:c r="X35" t="n">
        <x:f>IF(R35="","",R35/_xlfn.MAXIFS($R$4:$R$141,$O$4:$O$141,1))</x:f>
        <x:v>0.6172839506172839</x:v>
      </x:c>
      <x:c r="Y35" t="str">
        <x:f>IF(T35="","",T35/_xlfn.MAXIFS($T$4:$T$141,$O$4:$O$141,1))</x:f>
      </x:c>
      <x:c r="Z35" s="67" t="str">
        <x:f>IF(OR(X35="",Y35=""),"",SQRT(X35*Y35))</x:f>
      </x:c>
      <x:c r="AA35" s="67" t="str">
        <x:f>IF(OR(X35="",Y35=""),"",X35^Controls!$C$8*Y35^Controls!$C$9)</x:f>
      </x:c>
      <x:c r="AB35" s="67" t="str">
        <x:f>IF(OR(X35="",Y35=""),"",X35^Controls!$C$9*Y35^Controls!$C$8)</x:f>
      </x:c>
      <x:c r="AC35" t="n">
        <x:f>IF(OR(U35="",V35=""),"",SQRT(U35*V35))</x:f>
        <x:v>0.49752686954436565</x:v>
      </x:c>
      <x:c r="AD35" t="n">
        <x:f>IF(OR(I35="",J35="",J35=0),"",I35/J35)</x:f>
        <x:v>43.51851851851852</x:v>
      </x:c>
      <x:c r="AE35" t="str">
        <x:f>IF(OR(I35="",K35="",K35=0),"",I35/K35)</x:f>
      </x:c>
      <x:c r="AF35" t="str">
        <x:f>IF(Z35="","",1+COUNTIF($Z$4:$Z$141,"&gt;"&amp;Z35)+COUNTIFS($Z$4:Z35,Z35)-1)</x:f>
      </x:c>
      <x:c r="AG35" t="str">
        <x:f>IF(AA35="","",1+COUNTIF($AA$4:$AA$141,"&gt;"&amp;AA35)+COUNTIFS($AA$4:AA35,AA35)-1)</x:f>
      </x:c>
      <x:c r="AH35" t="str">
        <x:f>IF(AB35="","",1+COUNTIF($AB$4:$AB$141,"&gt;"&amp;AB35)+COUNTIFS($AB$4:AB35,AB35)-1)</x:f>
      </x:c>
      <x:c r="AI35" t="n">
        <x:f>IF(OR(O35=0,I35=""),"",1+COUNTIFS($O$4:$O$141,1,$I$4:$I$141,"&gt;"&amp;I35)+COUNTIFS($O$4:O35,1,$I$4:I35,I35)-1)</x:f>
        <x:v>16</x:v>
      </x:c>
      <x:c r="AJ35" t="n">
        <x:f>IF(OR(O35=0,L35=""),"",1+COUNTIFS($O$4:$O$141,1,$L$4:$L$141,"&gt;"&amp;L35)+COUNTIFS($O$4:O35,1,$L$4:L35,L35)-1)</x:f>
        <x:v>18</x:v>
      </x:c>
      <x:c r="AK35" t="n">
        <x:f>IF(OR(O35=0,J35="",J35=0),"",1+COUNTIFS($O$4:$O$141,1,$J$4:$J$141,"&lt;"&amp;J35,$J$4:$J$141,"&gt;0")+COUNTIFS($O$4:O35,1,$J$4:J35,J35)-1)</x:f>
        <x:v>26</x:v>
      </x:c>
    </x:row>
    <x:row r="36">
      <x:c r="A36" t="inlineStr">
        <x:is>
          <x:t xml:space="preserve">anthropic|claude-sonnet-5.5|xhigh|reasoning|fallback-true|aa-v4.3.2|snapshot-2026-09-28</x:t>
        </x:is>
      </x:c>
      <x:c r="B36" t="inlineStr">
        <x:is>
          <x:t xml:space="preserve">anthropic|claude-sonnet-5.5|xhigh|reasoning|fallback-true</x:t>
        </x:is>
      </x:c>
      <x:c r="C36" t="inlineStr">
        <x:is>
          <x:t xml:space="preserve">Claude Sonnet 5.5</x:t>
        </x:is>
      </x:c>
      <x:c r="D36" t="inlineStr">
        <x:is>
          <x:t xml:space="preserve">Anthropic</x:t>
        </x:is>
      </x:c>
      <x:c r="E36" t="inlineStr">
        <x:is>
          <x:t xml:space="preserve">xhigh</x:t>
        </x:is>
      </x:c>
      <x:c r="F36" t="inlineStr">
        <x:is>
          <x:t xml:space="preserve">AA|v4.3.2</x:t>
        </x:is>
      </x:c>
      <x:c r="G36" t="n">
        <x:v>52</x:v>
      </x:c>
      <x:c r="H36" t="n">
        <x:f>IFERROR(INDEX(Benchmark_Versions!$I:$I,MATCH(F36,Benchmark_Versions!$A:$A,0)),1)</x:f>
        <x:v>1</x:v>
      </x:c>
      <x:c r="I36" t="n">
        <x:f>IF(G36="","",G36*H36)</x:f>
        <x:v>52</x:v>
      </x:c>
      <x:c r="J36" s="69" t="n">
        <x:v>2.74</x:v>
      </x:c>
      <x:c r="L36" t="n">
        <x:v>143</x:v>
      </x:c>
      <x:c r="M36" t="inlineStr">
        <x:is>
          <x:t xml:space="preserve">Contender</x:t>
        </x:is>
      </x:c>
      <x:c r="N36" t="inlineStr">
        <x:is>
          <x:t xml:space="preserve">yes</x:t>
        </x:is>
      </x:c>
      <x:c r="O36" t="n">
        <x:f>IF(F36&lt;&gt;Controls!$C$12,0,IF(AND(Controls!$C$10="Contender",M36&lt;&gt;"Contender"),0,IF(AND(Controls!$C$10="Contender+Close",NOT(OR(M36="Contender",M36="Close"))),0,IF(AND(Controls!$C$11="Current",NOT(OR(N36="yes",N36="limited"))),0,1))))</x:f>
        <x:v>1</x:v>
      </x:c>
      <x:c r="P36" t="n">
        <x:f>Controls!$C$7</x:f>
        <x:v>40</x:v>
      </x:c>
      <x:c r="Q36" t="n">
        <x:f>IF(I36="","",I36-(P36-1))</x:f>
        <x:v>13</x:v>
      </x:c>
      <x:c r="R36" t="n">
        <x:f>IF(OR(O36=0,Q36&lt;=0,J36="",J36=0),"",Q36/J36)</x:f>
        <x:v>4.744525547445255</x:v>
      </x:c>
      <x:c r="S36" t="n">
        <x:f>IF(OR(O36=0,Q36&lt;=0,J36="",Q36=0),"",J36/Q36)</x:f>
        <x:v>0.2107692307692308</x:v>
      </x:c>
      <x:c r="T36" t="str">
        <x:f>IF(OR(O36=0,Q36&lt;=0,J36="",K36="",J36=0,K36=0),"",Q36/(J36*(K36/60)))</x:f>
      </x:c>
      <x:c r="U36" t="n">
        <x:f>IF(OR(O36=0,I36=""),"",I36/_xlfn.MAXIFS($I$4:$I$141,$O$4:$O$141,1))</x:f>
        <x:v>0.896551724137931</x:v>
      </x:c>
      <x:c r="V36" t="n">
        <x:f>IF(OR(O36=0,L36=""),"",L36/_xlfn.MAXIFS($L$4:$L$141,$O$4:$O$141,1))</x:f>
        <x:v>0.45980707395498394</x:v>
      </x:c>
      <x:c r="W36" t="n">
        <x:f>IF(OR(O36=0,J36=""),"",_xlfn.MINIFS($J$4:$J$141,$O$4:$O$141,1,$J$4:$J$141,"&gt;0")/J36)</x:f>
        <x:v>0.0016423357664233575</x:v>
      </x:c>
      <x:c r="X36" t="n">
        <x:f>IF(R36="","",R36/_xlfn.MAXIFS($R$4:$R$141,$O$4:$O$141,1))</x:f>
        <x:v>0.39537712895377125</x:v>
      </x:c>
      <x:c r="Y36" t="str">
        <x:f>IF(T36="","",T36/_xlfn.MAXIFS($T$4:$T$141,$O$4:$O$141,1))</x:f>
      </x:c>
      <x:c r="Z36" s="67" t="str">
        <x:f>IF(OR(X36="",Y36=""),"",SQRT(X36*Y36))</x:f>
      </x:c>
      <x:c r="AA36" s="67" t="str">
        <x:f>IF(OR(X36="",Y36=""),"",X36^Controls!$C$8*Y36^Controls!$C$9)</x:f>
      </x:c>
      <x:c r="AB36" s="67" t="str">
        <x:f>IF(OR(X36="",Y36=""),"",X36^Controls!$C$9*Y36^Controls!$C$8)</x:f>
      </x:c>
      <x:c r="AC36" t="n">
        <x:f>IF(OR(U36="",V36=""),"",SQRT(U36*V36))</x:f>
        <x:v>0.6420598297083832</x:v>
      </x:c>
      <x:c r="AD36" t="n">
        <x:f>IF(OR(I36="",J36="",J36=0),"",I36/J36)</x:f>
        <x:v>18.97810218978102</x:v>
      </x:c>
      <x:c r="AE36" t="str">
        <x:f>IF(OR(I36="",K36="",K36=0),"",I36/K36)</x:f>
      </x:c>
      <x:c r="AF36" t="str">
        <x:f>IF(Z36="","",1+COUNTIF($Z$4:$Z$141,"&gt;"&amp;Z36)+COUNTIFS($Z$4:Z36,Z36)-1)</x:f>
      </x:c>
      <x:c r="AG36" t="str">
        <x:f>IF(AA36="","",1+COUNTIF($AA$4:$AA$141,"&gt;"&amp;AA36)+COUNTIFS($AA$4:AA36,AA36)-1)</x:f>
      </x:c>
      <x:c r="AH36" t="str">
        <x:f>IF(AB36="","",1+COUNTIF($AB$4:$AB$141,"&gt;"&amp;AB36)+COUNTIFS($AB$4:AB36,AB36)-1)</x:f>
      </x:c>
      <x:c r="AI36" t="n">
        <x:f>IF(OR(O36=0,I36=""),"",1+COUNTIFS($O$4:$O$141,1,$I$4:$I$141,"&gt;"&amp;I36)+COUNTIFS($O$4:O36,1,$I$4:I36,I36)-1)</x:f>
        <x:v>9</x:v>
      </x:c>
      <x:c r="AJ36" t="n">
        <x:f>IF(OR(O36=0,L36=""),"",1+COUNTIFS($O$4:$O$141,1,$L$4:$L$141,"&gt;"&amp;L36)+COUNTIFS($O$4:O36,1,$L$4:L36,L36)-1)</x:f>
        <x:v>12</x:v>
      </x:c>
      <x:c r="AK36" t="n">
        <x:f>IF(OR(O36=0,J36="",J36=0),"",1+COUNTIFS($O$4:$O$141,1,$J$4:$J$141,"&lt;"&amp;J36,$J$4:$J$141,"&gt;0")+COUNTIFS($O$4:O36,1,$J$4:J36,J36)-1)</x:f>
        <x:v>36</x:v>
      </x:c>
    </x:row>
    <x:row r="37">
      <x:c r="A37" t="inlineStr">
        <x:is>
          <x:t xml:space="preserve">anthropic|claude-sonnet-5.5|max|reasoning|fallback-true|aa-v4.3.2|snapshot-2026-09-28</x:t>
        </x:is>
      </x:c>
      <x:c r="B37" t="inlineStr">
        <x:is>
          <x:t xml:space="preserve">anthropic|claude-sonnet-5.5|max|reasoning|fallback-true</x:t>
        </x:is>
      </x:c>
      <x:c r="C37" t="inlineStr">
        <x:is>
          <x:t xml:space="preserve">Claude Sonnet 5.5</x:t>
        </x:is>
      </x:c>
      <x:c r="D37" t="inlineStr">
        <x:is>
          <x:t xml:space="preserve">Anthropic</x:t>
        </x:is>
      </x:c>
      <x:c r="E37" t="inlineStr">
        <x:is>
          <x:t xml:space="preserve">max</x:t>
        </x:is>
      </x:c>
      <x:c r="F37" t="inlineStr">
        <x:is>
          <x:t xml:space="preserve">AA|v4.3.2</x:t>
        </x:is>
      </x:c>
      <x:c r="G37" t="n">
        <x:v>56</x:v>
      </x:c>
      <x:c r="H37" t="n">
        <x:f>IFERROR(INDEX(Benchmark_Versions!$I:$I,MATCH(F37,Benchmark_Versions!$A:$A,0)),1)</x:f>
        <x:v>1</x:v>
      </x:c>
      <x:c r="I37" t="n">
        <x:f>IF(G37="","",G37*H37)</x:f>
        <x:v>56</x:v>
      </x:c>
      <x:c r="J37" s="69" t="n">
        <x:v>7.6</x:v>
      </x:c>
      <x:c r="L37" t="n">
        <x:v>141.9</x:v>
      </x:c>
      <x:c r="M37" t="inlineStr">
        <x:is>
          <x:t xml:space="preserve">Contender</x:t>
        </x:is>
      </x:c>
      <x:c r="N37" t="inlineStr">
        <x:is>
          <x:t xml:space="preserve">yes</x:t>
        </x:is>
      </x:c>
      <x:c r="O37" t="n">
        <x:f>IF(F37&lt;&gt;Controls!$C$12,0,IF(AND(Controls!$C$10="Contender",M37&lt;&gt;"Contender"),0,IF(AND(Controls!$C$10="Contender+Close",NOT(OR(M37="Contender",M37="Close"))),0,IF(AND(Controls!$C$11="Current",NOT(OR(N37="yes",N37="limited"))),0,1))))</x:f>
        <x:v>1</x:v>
      </x:c>
      <x:c r="P37" t="n">
        <x:f>Controls!$C$7</x:f>
        <x:v>40</x:v>
      </x:c>
      <x:c r="Q37" t="n">
        <x:f>IF(I37="","",I37-(P37-1))</x:f>
        <x:v>17</x:v>
      </x:c>
      <x:c r="R37" t="n">
        <x:f>IF(OR(O37=0,Q37&lt;=0,J37="",J37=0),"",Q37/J37)</x:f>
        <x:v>2.236842105263158</x:v>
      </x:c>
      <x:c r="S37" t="n">
        <x:f>IF(OR(O37=0,Q37&lt;=0,J37="",Q37=0),"",J37/Q37)</x:f>
        <x:v>0.44705882352941173</x:v>
      </x:c>
      <x:c r="T37" t="str">
        <x:f>IF(OR(O37=0,Q37&lt;=0,J37="",K37="",J37=0,K37=0),"",Q37/(J37*(K37/60)))</x:f>
      </x:c>
      <x:c r="U37" t="n">
        <x:f>IF(OR(O37=0,I37=""),"",I37/_xlfn.MAXIFS($I$4:$I$141,$O$4:$O$141,1))</x:f>
        <x:v>0.9655172413793104</x:v>
      </x:c>
      <x:c r="V37" t="n">
        <x:f>IF(OR(O37=0,L37=""),"",L37/_xlfn.MAXIFS($L$4:$L$141,$O$4:$O$141,1))</x:f>
        <x:v>0.4562700964630225</x:v>
      </x:c>
      <x:c r="W37" t="n">
        <x:f>IF(OR(O37=0,J37=""),"",_xlfn.MINIFS($J$4:$J$141,$O$4:$O$141,1,$J$4:$J$141,"&gt;0")/J37)</x:f>
        <x:v>0.0005921052631578947</x:v>
      </x:c>
      <x:c r="X37" t="n">
        <x:f>IF(R37="","",R37/_xlfn.MAXIFS($R$4:$R$141,$O$4:$O$141,1))</x:f>
        <x:v>0.18640350877192982</x:v>
      </x:c>
      <x:c r="Y37" t="str">
        <x:f>IF(T37="","",T37/_xlfn.MAXIFS($T$4:$T$141,$O$4:$O$141,1))</x:f>
      </x:c>
      <x:c r="Z37" s="67" t="str">
        <x:f>IF(OR(X37="",Y37=""),"",SQRT(X37*Y37))</x:f>
      </x:c>
      <x:c r="AA37" s="67" t="str">
        <x:f>IF(OR(X37="",Y37=""),"",X37^Controls!$C$8*Y37^Controls!$C$9)</x:f>
      </x:c>
      <x:c r="AB37" s="67" t="str">
        <x:f>IF(OR(X37="",Y37=""),"",X37^Controls!$C$9*Y37^Controls!$C$8)</x:f>
      </x:c>
      <x:c r="AC37" t="n">
        <x:f>IF(OR(U37="",V37=""),"",SQRT(U37*V37))</x:f>
        <x:v>0.6637293460898421</x:v>
      </x:c>
      <x:c r="AD37" t="n">
        <x:f>IF(OR(I37="",J37="",J37=0),"",I37/J37)</x:f>
        <x:v>7.36842105263158</x:v>
      </x:c>
      <x:c r="AE37" t="str">
        <x:f>IF(OR(I37="",K37="",K37=0),"",I37/K37)</x:f>
      </x:c>
      <x:c r="AF37" t="str">
        <x:f>IF(Z37="","",1+COUNTIF($Z$4:$Z$141,"&gt;"&amp;Z37)+COUNTIFS($Z$4:Z37,Z37)-1)</x:f>
      </x:c>
      <x:c r="AG37" t="str">
        <x:f>IF(AA37="","",1+COUNTIF($AA$4:$AA$141,"&gt;"&amp;AA37)+COUNTIFS($AA$4:AA37,AA37)-1)</x:f>
      </x:c>
      <x:c r="AH37" t="str">
        <x:f>IF(AB37="","",1+COUNTIF($AB$4:$AB$141,"&gt;"&amp;AB37)+COUNTIFS($AB$4:AB37,AB37)-1)</x:f>
      </x:c>
      <x:c r="AI37" t="n">
        <x:f>IF(OR(O37=0,I37=""),"",1+COUNTIFS($O$4:$O$141,1,$I$4:$I$141,"&gt;"&amp;I37)+COUNTIFS($O$4:O37,1,$I$4:I37,I37)-1)</x:f>
        <x:v>2</x:v>
      </x:c>
      <x:c r="AJ37" t="n">
        <x:f>IF(OR(O37=0,L37=""),"",1+COUNTIFS($O$4:$O$141,1,$L$4:$L$141,"&gt;"&amp;L37)+COUNTIFS($O$4:O37,1,$L$4:L37,L37)-1)</x:f>
        <x:v>13</x:v>
      </x:c>
      <x:c r="AK37" t="n">
        <x:f>IF(OR(O37=0,J37="",J37=0),"",1+COUNTIFS($O$4:$O$141,1,$J$4:$J$141,"&lt;"&amp;J37,$J$4:$J$141,"&gt;0")+COUNTIFS($O$4:O37,1,$J$4:J37,J37)-1)</x:f>
        <x:v>42</x:v>
      </x:c>
    </x:row>
    <x:row r="38">
      <x:c r="A38" t="inlineStr">
        <x:is>
          <x:t xml:space="preserve">anthropic|claude-opus-5.5|low|reasoning|fallback-true|aa-v4.3.2|snapshot-2026-09-28</x:t>
        </x:is>
      </x:c>
      <x:c r="B38" t="inlineStr">
        <x:is>
          <x:t xml:space="preserve">anthropic|claude-opus-5.5|low|reasoning|fallback-true</x:t>
        </x:is>
      </x:c>
      <x:c r="C38" t="inlineStr">
        <x:is>
          <x:t xml:space="preserve">Claude Opus 5.5</x:t>
        </x:is>
      </x:c>
      <x:c r="D38" t="inlineStr">
        <x:is>
          <x:t xml:space="preserve">Anthropic</x:t>
        </x:is>
      </x:c>
      <x:c r="E38" t="inlineStr">
        <x:is>
          <x:t xml:space="preserve">low</x:t>
        </x:is>
      </x:c>
      <x:c r="F38" t="inlineStr">
        <x:is>
          <x:t xml:space="preserve">AA|v4.3.2</x:t>
        </x:is>
      </x:c>
      <x:c r="G38" t="n">
        <x:v>42</x:v>
      </x:c>
      <x:c r="H38" t="n">
        <x:f>IFERROR(INDEX(Benchmark_Versions!$I:$I,MATCH(F38,Benchmark_Versions!$A:$A,0)),1)</x:f>
        <x:v>1</x:v>
      </x:c>
      <x:c r="I38" t="n">
        <x:f>IF(G38="","",G38*H38)</x:f>
        <x:v>42</x:v>
      </x:c>
      <x:c r="J38" s="69" t="n">
        <x:v>0.55</x:v>
      </x:c>
      <x:c r="L38" t="n">
        <x:v>75</x:v>
      </x:c>
      <x:c r="M38" t="inlineStr">
        <x:is>
          <x:t xml:space="preserve">Contender</x:t>
        </x:is>
      </x:c>
      <x:c r="N38" t="inlineStr">
        <x:is>
          <x:t xml:space="preserve">yes</x:t>
        </x:is>
      </x:c>
      <x:c r="O38" t="n">
        <x:f>IF(F38&lt;&gt;Controls!$C$12,0,IF(AND(Controls!$C$10="Contender",M38&lt;&gt;"Contender"),0,IF(AND(Controls!$C$10="Contender+Close",NOT(OR(M38="Contender",M38="Close"))),0,IF(AND(Controls!$C$11="Current",NOT(OR(N38="yes",N38="limited"))),0,1))))</x:f>
        <x:v>1</x:v>
      </x:c>
      <x:c r="P38" t="n">
        <x:f>Controls!$C$7</x:f>
        <x:v>40</x:v>
      </x:c>
      <x:c r="Q38" t="n">
        <x:f>IF(I38="","",I38-(P38-1))</x:f>
        <x:v>3</x:v>
      </x:c>
      <x:c r="R38" t="n">
        <x:f>IF(OR(O38=0,Q38&lt;=0,J38="",J38=0),"",Q38/J38)</x:f>
        <x:v>5.454545454545454</x:v>
      </x:c>
      <x:c r="S38" t="n">
        <x:f>IF(OR(O38=0,Q38&lt;=0,J38="",Q38=0),"",J38/Q38)</x:f>
        <x:v>0.18333333333333335</x:v>
      </x:c>
      <x:c r="T38" t="str">
        <x:f>IF(OR(O38=0,Q38&lt;=0,J38="",K38="",J38=0,K38=0),"",Q38/(J38*(K38/60)))</x:f>
      </x:c>
      <x:c r="U38" t="n">
        <x:f>IF(OR(O38=0,I38=""),"",I38/_xlfn.MAXIFS($I$4:$I$141,$O$4:$O$141,1))</x:f>
        <x:v>0.7241379310344828</x:v>
      </x:c>
      <x:c r="V38" t="n">
        <x:f>IF(OR(O38=0,L38=""),"",L38/_xlfn.MAXIFS($L$4:$L$141,$O$4:$O$141,1))</x:f>
        <x:v>0.24115755627009647</x:v>
      </x:c>
      <x:c r="W38" t="n">
        <x:f>IF(OR(O38=0,J38=""),"",_xlfn.MINIFS($J$4:$J$141,$O$4:$O$141,1,$J$4:$J$141,"&gt;0")/J38)</x:f>
        <x:v>0.00818181818181818</x:v>
      </x:c>
      <x:c r="X38" t="n">
        <x:f>IF(R38="","",R38/_xlfn.MAXIFS($R$4:$R$141,$O$4:$O$141,1))</x:f>
        <x:v>0.45454545454545453</x:v>
      </x:c>
      <x:c r="Y38" t="str">
        <x:f>IF(T38="","",T38/_xlfn.MAXIFS($T$4:$T$141,$O$4:$O$141,1))</x:f>
      </x:c>
      <x:c r="Z38" s="67" t="str">
        <x:f>IF(OR(X38="",Y38=""),"",SQRT(X38*Y38))</x:f>
      </x:c>
      <x:c r="AA38" s="67" t="str">
        <x:f>IF(OR(X38="",Y38=""),"",X38^Controls!$C$8*Y38^Controls!$C$9)</x:f>
      </x:c>
      <x:c r="AB38" s="67" t="str">
        <x:f>IF(OR(X38="",Y38=""),"",X38^Controls!$C$9*Y38^Controls!$C$8)</x:f>
      </x:c>
      <x:c r="AC38" t="n">
        <x:f>IF(OR(U38="",V38=""),"",SQRT(U38*V38))</x:f>
        <x:v>0.4178891406231556</x:v>
      </x:c>
      <x:c r="AD38" t="n">
        <x:f>IF(OR(I38="",J38="",J38=0),"",I38/J38)</x:f>
        <x:v>76.36363636363636</x:v>
      </x:c>
      <x:c r="AE38" t="str">
        <x:f>IF(OR(I38="",K38="",K38=0),"",I38/K38)</x:f>
      </x:c>
      <x:c r="AF38" t="str">
        <x:f>IF(Z38="","",1+COUNTIF($Z$4:$Z$141,"&gt;"&amp;Z38)+COUNTIFS($Z$4:Z38,Z38)-1)</x:f>
      </x:c>
      <x:c r="AG38" t="str">
        <x:f>IF(AA38="","",1+COUNTIF($AA$4:$AA$141,"&gt;"&amp;AA38)+COUNTIFS($AA$4:AA38,AA38)-1)</x:f>
      </x:c>
      <x:c r="AH38" t="str">
        <x:f>IF(AB38="","",1+COUNTIF($AB$4:$AB$141,"&gt;"&amp;AB38)+COUNTIFS($AB$4:AB38,AB38)-1)</x:f>
      </x:c>
      <x:c r="AI38" t="n">
        <x:f>IF(OR(O38=0,I38=""),"",1+COUNTIFS($O$4:$O$141,1,$I$4:$I$141,"&gt;"&amp;I38)+COUNTIFS($O$4:O38,1,$I$4:I38,I38)-1)</x:f>
        <x:v>22</x:v>
      </x:c>
      <x:c r="AJ38" t="n">
        <x:f>IF(OR(O38=0,L38=""),"",1+COUNTIFS($O$4:$O$141,1,$L$4:$L$141,"&gt;"&amp;L38)+COUNTIFS($O$4:O38,1,$L$4:L38,L38)-1)</x:f>
        <x:v>29</x:v>
      </x:c>
      <x:c r="AK38" t="n">
        <x:f>IF(OR(O38=0,J38="",J38=0),"",1+COUNTIFS($O$4:$O$141,1,$J$4:$J$141,"&lt;"&amp;J38,$J$4:$J$141,"&gt;0")+COUNTIFS($O$4:O38,1,$J$4:J38,J38)-1)</x:f>
        <x:v>20</x:v>
      </x:c>
    </x:row>
    <x:row r="39">
      <x:c r="A39" t="inlineStr">
        <x:is>
          <x:t xml:space="preserve">anthropic|claude-opus-5.5|medium|reasoning|fallback-true|aa-v4.3.2|snapshot-2026-09-28</x:t>
        </x:is>
      </x:c>
      <x:c r="B39" t="inlineStr">
        <x:is>
          <x:t xml:space="preserve">anthropic|claude-opus-5.5|medium|reasoning|fallback-true</x:t>
        </x:is>
      </x:c>
      <x:c r="C39" t="inlineStr">
        <x:is>
          <x:t xml:space="preserve">Claude Opus 5.5</x:t>
        </x:is>
      </x:c>
      <x:c r="D39" t="inlineStr">
        <x:is>
          <x:t xml:space="preserve">Anthropic</x:t>
        </x:is>
      </x:c>
      <x:c r="E39" t="inlineStr">
        <x:is>
          <x:t xml:space="preserve">medium</x:t>
        </x:is>
      </x:c>
      <x:c r="F39" t="inlineStr">
        <x:is>
          <x:t xml:space="preserve">AA|v4.3.2</x:t>
        </x:is>
      </x:c>
      <x:c r="G39" t="n">
        <x:v>51</x:v>
      </x:c>
      <x:c r="H39" t="n">
        <x:f>IFERROR(INDEX(Benchmark_Versions!$I:$I,MATCH(F39,Benchmark_Versions!$A:$A,0)),1)</x:f>
        <x:v>1</x:v>
      </x:c>
      <x:c r="I39" t="n">
        <x:f>IF(G39="","",G39*H39)</x:f>
        <x:v>51</x:v>
      </x:c>
      <x:c r="J39" s="69" t="n">
        <x:v>1.34</x:v>
      </x:c>
      <x:c r="L39" t="n">
        <x:v>76</x:v>
      </x:c>
      <x:c r="M39" t="inlineStr">
        <x:is>
          <x:t xml:space="preserve">Contender</x:t>
        </x:is>
      </x:c>
      <x:c r="N39" t="inlineStr">
        <x:is>
          <x:t xml:space="preserve">yes</x:t>
        </x:is>
      </x:c>
      <x:c r="O39" t="n">
        <x:f>IF(F39&lt;&gt;Controls!$C$12,0,IF(AND(Controls!$C$10="Contender",M39&lt;&gt;"Contender"),0,IF(AND(Controls!$C$10="Contender+Close",NOT(OR(M39="Contender",M39="Close"))),0,IF(AND(Controls!$C$11="Current",NOT(OR(N39="yes",N39="limited"))),0,1))))</x:f>
        <x:v>1</x:v>
      </x:c>
      <x:c r="P39" t="n">
        <x:f>Controls!$C$7</x:f>
        <x:v>40</x:v>
      </x:c>
      <x:c r="Q39" t="n">
        <x:f>IF(I39="","",I39-(P39-1))</x:f>
        <x:v>12</x:v>
      </x:c>
      <x:c r="R39" t="n">
        <x:f>IF(OR(O39=0,Q39&lt;=0,J39="",J39=0),"",Q39/J39)</x:f>
        <x:v>8.955223880597014</x:v>
      </x:c>
      <x:c r="S39" t="n">
        <x:f>IF(OR(O39=0,Q39&lt;=0,J39="",Q39=0),"",J39/Q39)</x:f>
        <x:v>0.11166666666666668</x:v>
      </x:c>
      <x:c r="T39" t="str">
        <x:f>IF(OR(O39=0,Q39&lt;=0,J39="",K39="",J39=0,K39=0),"",Q39/(J39*(K39/60)))</x:f>
      </x:c>
      <x:c r="U39" t="n">
        <x:f>IF(OR(O39=0,I39=""),"",I39/_xlfn.MAXIFS($I$4:$I$141,$O$4:$O$141,1))</x:f>
        <x:v>0.8793103448275862</x:v>
      </x:c>
      <x:c r="V39" t="n">
        <x:f>IF(OR(O39=0,L39=""),"",L39/_xlfn.MAXIFS($L$4:$L$141,$O$4:$O$141,1))</x:f>
        <x:v>0.24437299035369775</x:v>
      </x:c>
      <x:c r="W39" t="n">
        <x:f>IF(OR(O39=0,J39=""),"",_xlfn.MINIFS($J$4:$J$141,$O$4:$O$141,1,$J$4:$J$141,"&gt;0")/J39)</x:f>
        <x:v>0.00335820895522388</x:v>
      </x:c>
      <x:c r="X39" t="n">
        <x:f>IF(R39="","",R39/_xlfn.MAXIFS($R$4:$R$141,$O$4:$O$141,1))</x:f>
        <x:v>0.7462686567164178</x:v>
      </x:c>
      <x:c r="Y39" t="str">
        <x:f>IF(T39="","",T39/_xlfn.MAXIFS($T$4:$T$141,$O$4:$O$141,1))</x:f>
      </x:c>
      <x:c r="Z39" s="67" t="str">
        <x:f>IF(OR(X39="",Y39=""),"",SQRT(X39*Y39))</x:f>
      </x:c>
      <x:c r="AA39" s="67" t="str">
        <x:f>IF(OR(X39="",Y39=""),"",X39^Controls!$C$8*Y39^Controls!$C$9)</x:f>
      </x:c>
      <x:c r="AB39" s="67" t="str">
        <x:f>IF(OR(X39="",Y39=""),"",X39^Controls!$C$9*Y39^Controls!$C$8)</x:f>
      </x:c>
      <x:c r="AC39" t="n">
        <x:f>IF(OR(U39="",V39=""),"",SQRT(U39*V39))</x:f>
        <x:v>0.46355118208721935</x:v>
      </x:c>
      <x:c r="AD39" t="n">
        <x:f>IF(OR(I39="",J39="",J39=0),"",I39/J39)</x:f>
        <x:v>38.059701492537314</x:v>
      </x:c>
      <x:c r="AE39" t="str">
        <x:f>IF(OR(I39="",K39="",K39=0),"",I39/K39)</x:f>
      </x:c>
      <x:c r="AF39" t="str">
        <x:f>IF(Z39="","",1+COUNTIF($Z$4:$Z$141,"&gt;"&amp;Z39)+COUNTIFS($Z$4:Z39,Z39)-1)</x:f>
      </x:c>
      <x:c r="AG39" t="str">
        <x:f>IF(AA39="","",1+COUNTIF($AA$4:$AA$141,"&gt;"&amp;AA39)+COUNTIFS($AA$4:AA39,AA39)-1)</x:f>
      </x:c>
      <x:c r="AH39" t="str">
        <x:f>IF(AB39="","",1+COUNTIF($AB$4:$AB$141,"&gt;"&amp;AB39)+COUNTIFS($AB$4:AB39,AB39)-1)</x:f>
      </x:c>
      <x:c r="AI39" t="n">
        <x:f>IF(OR(O39=0,I39=""),"",1+COUNTIFS($O$4:$O$141,1,$I$4:$I$141,"&gt;"&amp;I39)+COUNTIFS($O$4:O39,1,$I$4:I39,I39)-1)</x:f>
        <x:v>11</x:v>
      </x:c>
      <x:c r="AJ39" t="n">
        <x:f>IF(OR(O39=0,L39=""),"",1+COUNTIFS($O$4:$O$141,1,$L$4:$L$141,"&gt;"&amp;L39)+COUNTIFS($O$4:O39,1,$L$4:L39,L39)-1)</x:f>
        <x:v>28</x:v>
      </x:c>
      <x:c r="AK39" t="n">
        <x:f>IF(OR(O39=0,J39="",J39=0),"",1+COUNTIFS($O$4:$O$141,1,$J$4:$J$141,"&lt;"&amp;J39,$J$4:$J$141,"&gt;0")+COUNTIFS($O$4:O39,1,$J$4:J39,J39)-1)</x:f>
        <x:v>28</x:v>
      </x:c>
    </x:row>
    <x:row r="40">
      <x:c r="A40" t="inlineStr">
        <x:is>
          <x:t xml:space="preserve">anthropic|claude-opus-5.5|high|reasoning|fallback-true|aa-v4.3.2|snapshot-2026-09-28</x:t>
        </x:is>
      </x:c>
      <x:c r="B40" t="inlineStr">
        <x:is>
          <x:t xml:space="preserve">anthropic|claude-opus-5.5|high|reasoning|fallback-true</x:t>
        </x:is>
      </x:c>
      <x:c r="C40" t="inlineStr">
        <x:is>
          <x:t xml:space="preserve">Claude Opus 5.5</x:t>
        </x:is>
      </x:c>
      <x:c r="D40" t="inlineStr">
        <x:is>
          <x:t xml:space="preserve">Anthropic</x:t>
        </x:is>
      </x:c>
      <x:c r="E40" t="inlineStr">
        <x:is>
          <x:t xml:space="preserve">high</x:t>
        </x:is>
      </x:c>
      <x:c r="F40" t="inlineStr">
        <x:is>
          <x:t xml:space="preserve">AA|v4.3.2</x:t>
        </x:is>
      </x:c>
      <x:c r="G40" t="n">
        <x:v>54</x:v>
      </x:c>
      <x:c r="H40" t="n">
        <x:f>IFERROR(INDEX(Benchmark_Versions!$I:$I,MATCH(F40,Benchmark_Versions!$A:$A,0)),1)</x:f>
        <x:v>1</x:v>
      </x:c>
      <x:c r="I40" t="n">
        <x:f>IF(G40="","",G40*H40)</x:f>
        <x:v>54</x:v>
      </x:c>
      <x:c r="J40" s="69" t="n">
        <x:v>1.82</x:v>
      </x:c>
      <x:c r="L40" t="n">
        <x:v>79</x:v>
      </x:c>
      <x:c r="M40" t="inlineStr">
        <x:is>
          <x:t xml:space="preserve">Contender</x:t>
        </x:is>
      </x:c>
      <x:c r="N40" t="inlineStr">
        <x:is>
          <x:t xml:space="preserve">yes</x:t>
        </x:is>
      </x:c>
      <x:c r="O40" t="n">
        <x:f>IF(F40&lt;&gt;Controls!$C$12,0,IF(AND(Controls!$C$10="Contender",M40&lt;&gt;"Contender"),0,IF(AND(Controls!$C$10="Contender+Close",NOT(OR(M40="Contender",M40="Close"))),0,IF(AND(Controls!$C$11="Current",NOT(OR(N40="yes",N40="limited"))),0,1))))</x:f>
        <x:v>1</x:v>
      </x:c>
      <x:c r="P40" t="n">
        <x:f>Controls!$C$7</x:f>
        <x:v>40</x:v>
      </x:c>
      <x:c r="Q40" t="n">
        <x:f>IF(I40="","",I40-(P40-1))</x:f>
        <x:v>15</x:v>
      </x:c>
      <x:c r="R40" t="n">
        <x:f>IF(OR(O40=0,Q40&lt;=0,J40="",J40=0),"",Q40/J40)</x:f>
        <x:v>8.241758241758241</x:v>
      </x:c>
      <x:c r="S40" t="n">
        <x:f>IF(OR(O40=0,Q40&lt;=0,J40="",Q40=0),"",J40/Q40)</x:f>
        <x:v>0.12133333333333333</x:v>
      </x:c>
      <x:c r="T40" t="str">
        <x:f>IF(OR(O40=0,Q40&lt;=0,J40="",K40="",J40=0,K40=0),"",Q40/(J40*(K40/60)))</x:f>
      </x:c>
      <x:c r="U40" t="n">
        <x:f>IF(OR(O40=0,I40=""),"",I40/_xlfn.MAXIFS($I$4:$I$141,$O$4:$O$141,1))</x:f>
        <x:v>0.9310344827586207</x:v>
      </x:c>
      <x:c r="V40" t="n">
        <x:f>IF(OR(O40=0,L40=""),"",L40/_xlfn.MAXIFS($L$4:$L$141,$O$4:$O$141,1))</x:f>
        <x:v>0.2540192926045016</x:v>
      </x:c>
      <x:c r="W40" t="n">
        <x:f>IF(OR(O40=0,J40=""),"",_xlfn.MINIFS($J$4:$J$141,$O$4:$O$141,1,$J$4:$J$141,"&gt;0")/J40)</x:f>
        <x:v>0.0024725274725274724</x:v>
      </x:c>
      <x:c r="X40" t="n">
        <x:f>IF(R40="","",R40/_xlfn.MAXIFS($R$4:$R$141,$O$4:$O$141,1))</x:f>
        <x:v>0.6868131868131867</x:v>
      </x:c>
      <x:c r="Y40" t="str">
        <x:f>IF(T40="","",T40/_xlfn.MAXIFS($T$4:$T$141,$O$4:$O$141,1))</x:f>
      </x:c>
      <x:c r="Z40" s="67" t="str">
        <x:f>IF(OR(X40="",Y40=""),"",SQRT(X40*Y40))</x:f>
      </x:c>
      <x:c r="AA40" s="67" t="str">
        <x:f>IF(OR(X40="",Y40=""),"",X40^Controls!$C$8*Y40^Controls!$C$9)</x:f>
      </x:c>
      <x:c r="AB40" s="67" t="str">
        <x:f>IF(OR(X40="",Y40=""),"",X40^Controls!$C$9*Y40^Controls!$C$8)</x:f>
      </x:c>
      <x:c r="AC40" t="n">
        <x:f>IF(OR(U40="",V40=""),"",SQRT(U40*V40))</x:f>
        <x:v>0.48631339761592307</x:v>
      </x:c>
      <x:c r="AD40" t="n">
        <x:f>IF(OR(I40="",J40="",J40=0),"",I40/J40)</x:f>
        <x:v>29.670329670329668</x:v>
      </x:c>
      <x:c r="AE40" t="str">
        <x:f>IF(OR(I40="",K40="",K40=0),"",I40/K40)</x:f>
      </x:c>
      <x:c r="AF40" t="str">
        <x:f>IF(Z40="","",1+COUNTIF($Z$4:$Z$141,"&gt;"&amp;Z40)+COUNTIFS($Z$4:Z40,Z40)-1)</x:f>
      </x:c>
      <x:c r="AG40" t="str">
        <x:f>IF(AA40="","",1+COUNTIF($AA$4:$AA$141,"&gt;"&amp;AA40)+COUNTIFS($AA$4:AA40,AA40)-1)</x:f>
      </x:c>
      <x:c r="AH40" t="str">
        <x:f>IF(AB40="","",1+COUNTIF($AB$4:$AB$141,"&gt;"&amp;AB40)+COUNTIFS($AB$4:AB40,AB40)-1)</x:f>
      </x:c>
      <x:c r="AI40" t="n">
        <x:f>IF(OR(O40=0,I40=""),"",1+COUNTIFS($O$4:$O$141,1,$I$4:$I$141,"&gt;"&amp;I40)+COUNTIFS($O$4:O40,1,$I$4:I40,I40)-1)</x:f>
        <x:v>5</x:v>
      </x:c>
      <x:c r="AJ40" t="n">
        <x:f>IF(OR(O40=0,L40=""),"",1+COUNTIFS($O$4:$O$141,1,$L$4:$L$141,"&gt;"&amp;L40)+COUNTIFS($O$4:O40,1,$L$4:L40,L40)-1)</x:f>
        <x:v>27</x:v>
      </x:c>
      <x:c r="AK40" t="n">
        <x:f>IF(OR(O40=0,J40="",J40=0),"",1+COUNTIFS($O$4:$O$141,1,$J$4:$J$141,"&lt;"&amp;J40,$J$4:$J$141,"&gt;0")+COUNTIFS($O$4:O40,1,$J$4:J40,J40)-1)</x:f>
        <x:v>33</x:v>
      </x:c>
    </x:row>
    <x:row r="41">
      <x:c r="A41" t="inlineStr">
        <x:is>
          <x:t xml:space="preserve">anthropic|claude-opus-5.5|xhigh|reasoning|fallback-true|aa-v4.3.2|snapshot-2026-09-28</x:t>
        </x:is>
      </x:c>
      <x:c r="B41" t="inlineStr">
        <x:is>
          <x:t xml:space="preserve">anthropic|claude-opus-5.5|xhigh|reasoning|fallback-true</x:t>
        </x:is>
      </x:c>
      <x:c r="C41" t="inlineStr">
        <x:is>
          <x:t xml:space="preserve">Claude Opus 5.5</x:t>
        </x:is>
      </x:c>
      <x:c r="D41" t="inlineStr">
        <x:is>
          <x:t xml:space="preserve">Anthropic</x:t>
        </x:is>
      </x:c>
      <x:c r="E41" t="inlineStr">
        <x:is>
          <x:t xml:space="preserve">xhigh</x:t>
        </x:is>
      </x:c>
      <x:c r="F41" t="inlineStr">
        <x:is>
          <x:t xml:space="preserve">AA|v4.3.2</x:t>
        </x:is>
      </x:c>
      <x:c r="G41" t="n">
        <x:v>56</x:v>
      </x:c>
      <x:c r="H41" t="n">
        <x:f>IFERROR(INDEX(Benchmark_Versions!$I:$I,MATCH(F41,Benchmark_Versions!$A:$A,0)),1)</x:f>
        <x:v>1</x:v>
      </x:c>
      <x:c r="I41" t="n">
        <x:f>IF(G41="","",G41*H41)</x:f>
        <x:v>56</x:v>
      </x:c>
      <x:c r="J41" s="69" t="n">
        <x:v>3.46</x:v>
      </x:c>
      <x:c r="L41" t="n">
        <x:v>82</x:v>
      </x:c>
      <x:c r="M41" t="inlineStr">
        <x:is>
          <x:t xml:space="preserve">Contender</x:t>
        </x:is>
      </x:c>
      <x:c r="N41" t="inlineStr">
        <x:is>
          <x:t xml:space="preserve">yes</x:t>
        </x:is>
      </x:c>
      <x:c r="O41" t="n">
        <x:f>IF(F41&lt;&gt;Controls!$C$12,0,IF(AND(Controls!$C$10="Contender",M41&lt;&gt;"Contender"),0,IF(AND(Controls!$C$10="Contender+Close",NOT(OR(M41="Contender",M41="Close"))),0,IF(AND(Controls!$C$11="Current",NOT(OR(N41="yes",N41="limited"))),0,1))))</x:f>
        <x:v>1</x:v>
      </x:c>
      <x:c r="P41" t="n">
        <x:f>Controls!$C$7</x:f>
        <x:v>40</x:v>
      </x:c>
      <x:c r="Q41" t="n">
        <x:f>IF(I41="","",I41-(P41-1))</x:f>
        <x:v>17</x:v>
      </x:c>
      <x:c r="R41" t="n">
        <x:f>IF(OR(O41=0,Q41&lt;=0,J41="",J41=0),"",Q41/J41)</x:f>
        <x:v>4.913294797687861</x:v>
      </x:c>
      <x:c r="S41" t="n">
        <x:f>IF(OR(O41=0,Q41&lt;=0,J41="",Q41=0),"",J41/Q41)</x:f>
        <x:v>0.20352941176470588</x:v>
      </x:c>
      <x:c r="T41" t="str">
        <x:f>IF(OR(O41=0,Q41&lt;=0,J41="",K41="",J41=0,K41=0),"",Q41/(J41*(K41/60)))</x:f>
      </x:c>
      <x:c r="U41" t="n">
        <x:f>IF(OR(O41=0,I41=""),"",I41/_xlfn.MAXIFS($I$4:$I$141,$O$4:$O$141,1))</x:f>
        <x:v>0.9655172413793104</x:v>
      </x:c>
      <x:c r="V41" t="n">
        <x:f>IF(OR(O41=0,L41=""),"",L41/_xlfn.MAXIFS($L$4:$L$141,$O$4:$O$141,1))</x:f>
        <x:v>0.26366559485530544</x:v>
      </x:c>
      <x:c r="W41" t="n">
        <x:f>IF(OR(O41=0,J41=""),"",_xlfn.MINIFS($J$4:$J$141,$O$4:$O$141,1,$J$4:$J$141,"&gt;0")/J41)</x:f>
        <x:v>0.001300578034682081</x:v>
      </x:c>
      <x:c r="X41" t="n">
        <x:f>IF(R41="","",R41/_xlfn.MAXIFS($R$4:$R$141,$O$4:$O$141,1))</x:f>
        <x:v>0.4094412331406551</x:v>
      </x:c>
      <x:c r="Y41" t="str">
        <x:f>IF(T41="","",T41/_xlfn.MAXIFS($T$4:$T$141,$O$4:$O$141,1))</x:f>
      </x:c>
      <x:c r="Z41" s="67" t="str">
        <x:f>IF(OR(X41="",Y41=""),"",SQRT(X41*Y41))</x:f>
      </x:c>
      <x:c r="AA41" s="67" t="str">
        <x:f>IF(OR(X41="",Y41=""),"",X41^Controls!$C$8*Y41^Controls!$C$9)</x:f>
      </x:c>
      <x:c r="AB41" s="67" t="str">
        <x:f>IF(OR(X41="",Y41=""),"",X41^Controls!$C$9*Y41^Controls!$C$8)</x:f>
      </x:c>
      <x:c r="AC41" t="n">
        <x:f>IF(OR(U41="",V41=""),"",SQRT(U41*V41))</x:f>
        <x:v>0.5045529484517253</x:v>
      </x:c>
      <x:c r="AD41" t="n">
        <x:f>IF(OR(I41="",J41="",J41=0),"",I41/J41)</x:f>
        <x:v>16.184971098265898</x:v>
      </x:c>
      <x:c r="AE41" t="str">
        <x:f>IF(OR(I41="",K41="",K41=0),"",I41/K41)</x:f>
      </x:c>
      <x:c r="AF41" t="str">
        <x:f>IF(Z41="","",1+COUNTIF($Z$4:$Z$141,"&gt;"&amp;Z41)+COUNTIFS($Z$4:Z41,Z41)-1)</x:f>
      </x:c>
      <x:c r="AG41" t="str">
        <x:f>IF(AA41="","",1+COUNTIF($AA$4:$AA$141,"&gt;"&amp;AA41)+COUNTIFS($AA$4:AA41,AA41)-1)</x:f>
      </x:c>
      <x:c r="AH41" t="str">
        <x:f>IF(AB41="","",1+COUNTIF($AB$4:$AB$141,"&gt;"&amp;AB41)+COUNTIFS($AB$4:AB41,AB41)-1)</x:f>
      </x:c>
      <x:c r="AI41" t="n">
        <x:f>IF(OR(O41=0,I41=""),"",1+COUNTIFS($O$4:$O$141,1,$I$4:$I$141,"&gt;"&amp;I41)+COUNTIFS($O$4:O41,1,$I$4:I41,I41)-1)</x:f>
        <x:v>3</x:v>
      </x:c>
      <x:c r="AJ41" t="n">
        <x:f>IF(OR(O41=0,L41=""),"",1+COUNTIFS($O$4:$O$141,1,$L$4:$L$141,"&gt;"&amp;L41)+COUNTIFS($O$4:O41,1,$L$4:L41,L41)-1)</x:f>
        <x:v>23</x:v>
      </x:c>
      <x:c r="AK41" t="n">
        <x:f>IF(OR(O41=0,J41="",J41=0),"",1+COUNTIFS($O$4:$O$141,1,$J$4:$J$141,"&lt;"&amp;J41,$J$4:$J$141,"&gt;0")+COUNTIFS($O$4:O41,1,$J$4:J41,J41)-1)</x:f>
        <x:v>39</x:v>
      </x:c>
    </x:row>
    <x:row r="42">
      <x:c r="A42" t="inlineStr">
        <x:is>
          <x:t xml:space="preserve">anthropic|claude-opus-5.5|max|reasoning|fallback-true|aa-v4.3.2|snapshot-2026-09-28</x:t>
        </x:is>
      </x:c>
      <x:c r="B42" t="inlineStr">
        <x:is>
          <x:t xml:space="preserve">anthropic|claude-opus-5.5|max|reasoning|fallback-true</x:t>
        </x:is>
      </x:c>
      <x:c r="C42" t="inlineStr">
        <x:is>
          <x:t xml:space="preserve">Claude Opus 5.5</x:t>
        </x:is>
      </x:c>
      <x:c r="D42" t="inlineStr">
        <x:is>
          <x:t xml:space="preserve">Anthropic</x:t>
        </x:is>
      </x:c>
      <x:c r="E42" t="inlineStr">
        <x:is>
          <x:t xml:space="preserve">max</x:t>
        </x:is>
      </x:c>
      <x:c r="F42" t="inlineStr">
        <x:is>
          <x:t xml:space="preserve">AA|v4.3.2</x:t>
        </x:is>
      </x:c>
      <x:c r="G42" t="n">
        <x:v>58</x:v>
      </x:c>
      <x:c r="H42" t="n">
        <x:f>IFERROR(INDEX(Benchmark_Versions!$I:$I,MATCH(F42,Benchmark_Versions!$A:$A,0)),1)</x:f>
        <x:v>1</x:v>
      </x:c>
      <x:c r="I42" t="n">
        <x:f>IF(G42="","",G42*H42)</x:f>
        <x:v>58</x:v>
      </x:c>
      <x:c r="J42" s="69" t="n">
        <x:v>5.98</x:v>
      </x:c>
      <x:c r="L42" t="n">
        <x:v>95</x:v>
      </x:c>
      <x:c r="M42" t="inlineStr">
        <x:is>
          <x:t xml:space="preserve">Contender</x:t>
        </x:is>
      </x:c>
      <x:c r="N42" t="inlineStr">
        <x:is>
          <x:t xml:space="preserve">yes</x:t>
        </x:is>
      </x:c>
      <x:c r="O42" t="n">
        <x:f>IF(F42&lt;&gt;Controls!$C$12,0,IF(AND(Controls!$C$10="Contender",M42&lt;&gt;"Contender"),0,IF(AND(Controls!$C$10="Contender+Close",NOT(OR(M42="Contender",M42="Close"))),0,IF(AND(Controls!$C$11="Current",NOT(OR(N42="yes",N42="limited"))),0,1))))</x:f>
        <x:v>1</x:v>
      </x:c>
      <x:c r="P42" t="n">
        <x:f>Controls!$C$7</x:f>
        <x:v>40</x:v>
      </x:c>
      <x:c r="Q42" t="n">
        <x:f>IF(I42="","",I42-(P42-1))</x:f>
        <x:v>19</x:v>
      </x:c>
      <x:c r="R42" t="n">
        <x:f>IF(OR(O42=0,Q42&lt;=0,J42="",J42=0),"",Q42/J42)</x:f>
        <x:v>3.1772575250836117</x:v>
      </x:c>
      <x:c r="S42" t="n">
        <x:f>IF(OR(O42=0,Q42&lt;=0,J42="",Q42=0),"",J42/Q42)</x:f>
        <x:v>0.3147368421052632</x:v>
      </x:c>
      <x:c r="T42" t="str">
        <x:f>IF(OR(O42=0,Q42&lt;=0,J42="",K42="",J42=0,K42=0),"",Q42/(J42*(K42/60)))</x:f>
      </x:c>
      <x:c r="U42" t="n">
        <x:f>IF(OR(O42=0,I42=""),"",I42/_xlfn.MAXIFS($I$4:$I$141,$O$4:$O$141,1))</x:f>
        <x:v>1</x:v>
      </x:c>
      <x:c r="V42" t="n">
        <x:f>IF(OR(O42=0,L42=""),"",L42/_xlfn.MAXIFS($L$4:$L$141,$O$4:$O$141,1))</x:f>
        <x:v>0.3054662379421222</x:v>
      </x:c>
      <x:c r="W42" t="n">
        <x:f>IF(OR(O42=0,J42=""),"",_xlfn.MINIFS($J$4:$J$141,$O$4:$O$141,1,$J$4:$J$141,"&gt;0")/J42)</x:f>
        <x:v>0.0007525083612040132</x:v>
      </x:c>
      <x:c r="X42" t="n">
        <x:f>IF(R42="","",R42/_xlfn.MAXIFS($R$4:$R$141,$O$4:$O$141,1))</x:f>
        <x:v>0.2647714604236343</x:v>
      </x:c>
      <x:c r="Y42" t="str">
        <x:f>IF(T42="","",T42/_xlfn.MAXIFS($T$4:$T$141,$O$4:$O$141,1))</x:f>
      </x:c>
      <x:c r="Z42" s="67" t="str">
        <x:f>IF(OR(X42="",Y42=""),"",SQRT(X42*Y42))</x:f>
      </x:c>
      <x:c r="AA42" s="67" t="str">
        <x:f>IF(OR(X42="",Y42=""),"",X42^Controls!$C$8*Y42^Controls!$C$9)</x:f>
      </x:c>
      <x:c r="AB42" s="67" t="str">
        <x:f>IF(OR(X42="",Y42=""),"",X42^Controls!$C$9*Y42^Controls!$C$8)</x:f>
      </x:c>
      <x:c r="AC42" t="n">
        <x:f>IF(OR(U42="",V42=""),"",SQRT(U42*V42))</x:f>
        <x:v>0.5526900016665058</x:v>
      </x:c>
      <x:c r="AD42" t="n">
        <x:f>IF(OR(I42="",J42="",J42=0),"",I42/J42)</x:f>
        <x:v>9.698996655518394</x:v>
      </x:c>
      <x:c r="AE42" t="str">
        <x:f>IF(OR(I42="",K42="",K42=0),"",I42/K42)</x:f>
      </x:c>
      <x:c r="AF42" t="str">
        <x:f>IF(Z42="","",1+COUNTIF($Z$4:$Z$141,"&gt;"&amp;Z42)+COUNTIFS($Z$4:Z42,Z42)-1)</x:f>
      </x:c>
      <x:c r="AG42" t="str">
        <x:f>IF(AA42="","",1+COUNTIF($AA$4:$AA$141,"&gt;"&amp;AA42)+COUNTIFS($AA$4:AA42,AA42)-1)</x:f>
      </x:c>
      <x:c r="AH42" t="str">
        <x:f>IF(AB42="","",1+COUNTIF($AB$4:$AB$141,"&gt;"&amp;AB42)+COUNTIFS($AB$4:AB42,AB42)-1)</x:f>
      </x:c>
      <x:c r="AI42" t="n">
        <x:f>IF(OR(O42=0,I42=""),"",1+COUNTIFS($O$4:$O$141,1,$I$4:$I$141,"&gt;"&amp;I42)+COUNTIFS($O$4:O42,1,$I$4:I42,I42)-1)</x:f>
        <x:v>1</x:v>
      </x:c>
      <x:c r="AJ42" t="n">
        <x:f>IF(OR(O42=0,L42=""),"",1+COUNTIFS($O$4:$O$141,1,$L$4:$L$141,"&gt;"&amp;L42)+COUNTIFS($O$4:O42,1,$L$4:L42,L42)-1)</x:f>
        <x:v>19</x:v>
      </x:c>
      <x:c r="AK42" t="n">
        <x:f>IF(OR(O42=0,J42="",J42=0),"",1+COUNTIFS($O$4:$O$141,1,$J$4:$J$141,"&lt;"&amp;J42,$J$4:$J$141,"&gt;0")+COUNTIFS($O$4:O42,1,$J$4:J42,J42)-1)</x:f>
        <x:v>41</x:v>
      </x:c>
    </x:row>
    <x:row r="43">
      <x:c r="A43" t="inlineStr">
        <x:is>
          <x:t xml:space="preserve">anthropic|claude-opus-5|low|reasoning|fallback-na|aa-v4.3.2|snapshot-2026-09-28</x:t>
        </x:is>
      </x:c>
      <x:c r="B43" t="inlineStr">
        <x:is>
          <x:t xml:space="preserve">anthropic|claude-opus-5|low|reasoning|fallback-na</x:t>
        </x:is>
      </x:c>
      <x:c r="C43" t="inlineStr">
        <x:is>
          <x:t xml:space="preserve">Claude Opus 5</x:t>
        </x:is>
      </x:c>
      <x:c r="D43" t="inlineStr">
        <x:is>
          <x:t xml:space="preserve">Anthropic</x:t>
        </x:is>
      </x:c>
      <x:c r="E43" t="inlineStr">
        <x:is>
          <x:t xml:space="preserve">low</x:t>
        </x:is>
      </x:c>
      <x:c r="F43" t="inlineStr">
        <x:is>
          <x:t xml:space="preserve">AA|v4.3.2</x:t>
        </x:is>
      </x:c>
      <x:c r="G43" t="n">
        <x:v>40</x:v>
      </x:c>
      <x:c r="H43" t="n">
        <x:f>IFERROR(INDEX(Benchmark_Versions!$I:$I,MATCH(F43,Benchmark_Versions!$A:$A,0)),1)</x:f>
        <x:v>1</x:v>
      </x:c>
      <x:c r="I43" t="n">
        <x:f>IF(G43="","",G43*H43)</x:f>
        <x:v>40</x:v>
      </x:c>
      <x:c r="J43" s="69" t="n">
        <x:v>1.1</x:v>
      </x:c>
      <x:c r="L43" t="n">
        <x:v>47</x:v>
      </x:c>
      <x:c r="M43" t="inlineStr">
        <x:is>
          <x:t xml:space="preserve">Historical</x:t>
        </x:is>
      </x:c>
      <x:c r="N43" t="inlineStr">
        <x:is>
          <x:t xml:space="preserve">yes</x:t>
        </x:is>
      </x:c>
      <x:c r="O43" t="n">
        <x:f>IF(F43&lt;&gt;Controls!$C$12,0,IF(AND(Controls!$C$10="Contender",M43&lt;&gt;"Contender"),0,IF(AND(Controls!$C$10="Contender+Close",NOT(OR(M43="Contender",M43="Close"))),0,IF(AND(Controls!$C$11="Current",NOT(OR(N43="yes",N43="limited"))),0,1))))</x:f>
        <x:v>0</x:v>
      </x:c>
      <x:c r="P43" t="n">
        <x:f>Controls!$C$7</x:f>
        <x:v>40</x:v>
      </x:c>
      <x:c r="Q43" t="n">
        <x:f>IF(I43="","",I43-(P43-1))</x:f>
        <x:v>1</x:v>
      </x:c>
      <x:c r="R43" t="str">
        <x:f>IF(OR(O43=0,Q43&lt;=0,J43="",J43=0),"",Q43/J43)</x:f>
      </x:c>
      <x:c r="S43" t="str">
        <x:f>IF(OR(O43=0,Q43&lt;=0,J43="",Q43=0),"",J43/Q43)</x:f>
      </x:c>
      <x:c r="T43" t="str">
        <x:f>IF(OR(O43=0,Q43&lt;=0,J43="",K43="",J43=0,K43=0),"",Q43/(J43*(K43/60)))</x:f>
      </x:c>
      <x:c r="U43" t="str">
        <x:f>IF(OR(O43=0,I43=""),"",I43/_xlfn.MAXIFS($I$4:$I$141,$O$4:$O$141,1))</x:f>
      </x:c>
      <x:c r="V43" t="str">
        <x:f>IF(OR(O43=0,L43=""),"",L43/_xlfn.MAXIFS($L$4:$L$141,$O$4:$O$141,1))</x:f>
      </x:c>
      <x:c r="W43" t="str">
        <x:f>IF(OR(O43=0,J43=""),"",_xlfn.MINIFS($J$4:$J$141,$O$4:$O$141,1,$J$4:$J$141,"&gt;0")/J43)</x:f>
      </x:c>
      <x:c r="X43" t="str">
        <x:f>IF(R43="","",R43/_xlfn.MAXIFS($R$4:$R$141,$O$4:$O$141,1))</x:f>
      </x:c>
      <x:c r="Y43" t="str">
        <x:f>IF(T43="","",T43/_xlfn.MAXIFS($T$4:$T$141,$O$4:$O$141,1))</x:f>
      </x:c>
      <x:c r="Z43" s="67" t="str">
        <x:f>IF(OR(X43="",Y43=""),"",SQRT(X43*Y43))</x:f>
      </x:c>
      <x:c r="AA43" s="67" t="str">
        <x:f>IF(OR(X43="",Y43=""),"",X43^Controls!$C$8*Y43^Controls!$C$9)</x:f>
      </x:c>
      <x:c r="AB43" s="67" t="str">
        <x:f>IF(OR(X43="",Y43=""),"",X43^Controls!$C$9*Y43^Controls!$C$8)</x:f>
      </x:c>
      <x:c r="AC43" t="str">
        <x:f>IF(OR(U43="",V43=""),"",SQRT(U43*V43))</x:f>
      </x:c>
      <x:c r="AD43" t="n">
        <x:f>IF(OR(I43="",J43="",J43=0),"",I43/J43)</x:f>
        <x:v>36.36363636363636</x:v>
      </x:c>
      <x:c r="AE43" t="str">
        <x:f>IF(OR(I43="",K43="",K43=0),"",I43/K43)</x:f>
      </x:c>
      <x:c r="AF43" t="str">
        <x:f>IF(Z43="","",1+COUNTIF($Z$4:$Z$141,"&gt;"&amp;Z43)+COUNTIFS($Z$4:Z43,Z43)-1)</x:f>
      </x:c>
      <x:c r="AG43" t="str">
        <x:f>IF(AA43="","",1+COUNTIF($AA$4:$AA$141,"&gt;"&amp;AA43)+COUNTIFS($AA$4:AA43,AA43)-1)</x:f>
      </x:c>
      <x:c r="AH43" t="str">
        <x:f>IF(AB43="","",1+COUNTIF($AB$4:$AB$141,"&gt;"&amp;AB43)+COUNTIFS($AB$4:AB43,AB43)-1)</x:f>
      </x:c>
      <x:c r="AI43" t="str">
        <x:f>IF(OR(O43=0,I43=""),"",1+COUNTIFS($O$4:$O$141,1,$I$4:$I$141,"&gt;"&amp;I43)+COUNTIFS($O$4:O43,1,$I$4:I43,I43)-1)</x:f>
      </x:c>
      <x:c r="AJ43" t="str">
        <x:f>IF(OR(O43=0,L43=""),"",1+COUNTIFS($O$4:$O$141,1,$L$4:$L$141,"&gt;"&amp;L43)+COUNTIFS($O$4:O43,1,$L$4:L43,L43)-1)</x:f>
      </x:c>
      <x:c r="AK43" t="str">
        <x:f>IF(OR(O43=0,J43="",J43=0),"",1+COUNTIFS($O$4:$O$141,1,$J$4:$J$141,"&lt;"&amp;J43,$J$4:$J$141,"&gt;0")+COUNTIFS($O$4:O43,1,$J$4:J43,J43)-1)</x:f>
      </x:c>
    </x:row>
    <x:row r="44">
      <x:c r="A44" t="inlineStr">
        <x:is>
          <x:t xml:space="preserve">anthropic|claude-opus-5|medium|reasoning|fallback-na|aa-v4.3.2|snapshot-2026-09-28</x:t>
        </x:is>
      </x:c>
      <x:c r="B44" t="inlineStr">
        <x:is>
          <x:t xml:space="preserve">anthropic|claude-opus-5|medium|reasoning|fallback-na</x:t>
        </x:is>
      </x:c>
      <x:c r="C44" t="inlineStr">
        <x:is>
          <x:t xml:space="preserve">Claude Opus 5</x:t>
        </x:is>
      </x:c>
      <x:c r="D44" t="inlineStr">
        <x:is>
          <x:t xml:space="preserve">Anthropic</x:t>
        </x:is>
      </x:c>
      <x:c r="E44" t="inlineStr">
        <x:is>
          <x:t xml:space="preserve">medium</x:t>
        </x:is>
      </x:c>
      <x:c r="F44" t="inlineStr">
        <x:is>
          <x:t xml:space="preserve">AA|v4.3.2</x:t>
        </x:is>
      </x:c>
      <x:c r="G44" t="n">
        <x:v>45</x:v>
      </x:c>
      <x:c r="H44" t="n">
        <x:f>IFERROR(INDEX(Benchmark_Versions!$I:$I,MATCH(F44,Benchmark_Versions!$A:$A,0)),1)</x:f>
        <x:v>1</x:v>
      </x:c>
      <x:c r="I44" t="n">
        <x:f>IF(G44="","",G44*H44)</x:f>
        <x:v>45</x:v>
      </x:c>
      <x:c r="J44" s="69" t="n">
        <x:v>2.19</x:v>
      </x:c>
      <x:c r="L44" t="n">
        <x:v>48</x:v>
      </x:c>
      <x:c r="M44" t="inlineStr">
        <x:is>
          <x:t xml:space="preserve">Historical</x:t>
        </x:is>
      </x:c>
      <x:c r="N44" t="inlineStr">
        <x:is>
          <x:t xml:space="preserve">yes</x:t>
        </x:is>
      </x:c>
      <x:c r="O44" t="n">
        <x:f>IF(F44&lt;&gt;Controls!$C$12,0,IF(AND(Controls!$C$10="Contender",M44&lt;&gt;"Contender"),0,IF(AND(Controls!$C$10="Contender+Close",NOT(OR(M44="Contender",M44="Close"))),0,IF(AND(Controls!$C$11="Current",NOT(OR(N44="yes",N44="limited"))),0,1))))</x:f>
        <x:v>0</x:v>
      </x:c>
      <x:c r="P44" t="n">
        <x:f>Controls!$C$7</x:f>
        <x:v>40</x:v>
      </x:c>
      <x:c r="Q44" t="n">
        <x:f>IF(I44="","",I44-(P44-1))</x:f>
        <x:v>6</x:v>
      </x:c>
      <x:c r="R44" t="str">
        <x:f>IF(OR(O44=0,Q44&lt;=0,J44="",J44=0),"",Q44/J44)</x:f>
      </x:c>
      <x:c r="S44" t="str">
        <x:f>IF(OR(O44=0,Q44&lt;=0,J44="",Q44=0),"",J44/Q44)</x:f>
      </x:c>
      <x:c r="T44" t="str">
        <x:f>IF(OR(O44=0,Q44&lt;=0,J44="",K44="",J44=0,K44=0),"",Q44/(J44*(K44/60)))</x:f>
      </x:c>
      <x:c r="U44" t="str">
        <x:f>IF(OR(O44=0,I44=""),"",I44/_xlfn.MAXIFS($I$4:$I$141,$O$4:$O$141,1))</x:f>
      </x:c>
      <x:c r="V44" t="str">
        <x:f>IF(OR(O44=0,L44=""),"",L44/_xlfn.MAXIFS($L$4:$L$141,$O$4:$O$141,1))</x:f>
      </x:c>
      <x:c r="W44" t="str">
        <x:f>IF(OR(O44=0,J44=""),"",_xlfn.MINIFS($J$4:$J$141,$O$4:$O$141,1,$J$4:$J$141,"&gt;0")/J44)</x:f>
      </x:c>
      <x:c r="X44" t="str">
        <x:f>IF(R44="","",R44/_xlfn.MAXIFS($R$4:$R$141,$O$4:$O$141,1))</x:f>
      </x:c>
      <x:c r="Y44" t="str">
        <x:f>IF(T44="","",T44/_xlfn.MAXIFS($T$4:$T$141,$O$4:$O$141,1))</x:f>
      </x:c>
      <x:c r="Z44" s="67" t="str">
        <x:f>IF(OR(X44="",Y44=""),"",SQRT(X44*Y44))</x:f>
      </x:c>
      <x:c r="AA44" s="67" t="str">
        <x:f>IF(OR(X44="",Y44=""),"",X44^Controls!$C$8*Y44^Controls!$C$9)</x:f>
      </x:c>
      <x:c r="AB44" s="67" t="str">
        <x:f>IF(OR(X44="",Y44=""),"",X44^Controls!$C$9*Y44^Controls!$C$8)</x:f>
      </x:c>
      <x:c r="AC44" t="str">
        <x:f>IF(OR(U44="",V44=""),"",SQRT(U44*V44))</x:f>
      </x:c>
      <x:c r="AD44" t="n">
        <x:f>IF(OR(I44="",J44="",J44=0),"",I44/J44)</x:f>
        <x:v>20.547945205479454</x:v>
      </x:c>
      <x:c r="AE44" t="str">
        <x:f>IF(OR(I44="",K44="",K44=0),"",I44/K44)</x:f>
      </x:c>
      <x:c r="AF44" t="str">
        <x:f>IF(Z44="","",1+COUNTIF($Z$4:$Z$141,"&gt;"&amp;Z44)+COUNTIFS($Z$4:Z44,Z44)-1)</x:f>
      </x:c>
      <x:c r="AG44" t="str">
        <x:f>IF(AA44="","",1+COUNTIF($AA$4:$AA$141,"&gt;"&amp;AA44)+COUNTIFS($AA$4:AA44,AA44)-1)</x:f>
      </x:c>
      <x:c r="AH44" t="str">
        <x:f>IF(AB44="","",1+COUNTIF($AB$4:$AB$141,"&gt;"&amp;AB44)+COUNTIFS($AB$4:AB44,AB44)-1)</x:f>
      </x:c>
      <x:c r="AI44" t="str">
        <x:f>IF(OR(O44=0,I44=""),"",1+COUNTIFS($O$4:$O$141,1,$I$4:$I$141,"&gt;"&amp;I44)+COUNTIFS($O$4:O44,1,$I$4:I44,I44)-1)</x:f>
      </x:c>
      <x:c r="AJ44" t="str">
        <x:f>IF(OR(O44=0,L44=""),"",1+COUNTIFS($O$4:$O$141,1,$L$4:$L$141,"&gt;"&amp;L44)+COUNTIFS($O$4:O44,1,$L$4:L44,L44)-1)</x:f>
      </x:c>
      <x:c r="AK44" t="str">
        <x:f>IF(OR(O44=0,J44="",J44=0),"",1+COUNTIFS($O$4:$O$141,1,$J$4:$J$141,"&lt;"&amp;J44,$J$4:$J$141,"&gt;0")+COUNTIFS($O$4:O44,1,$J$4:J44,J44)-1)</x:f>
      </x:c>
    </x:row>
    <x:row r="45">
      <x:c r="A45" t="inlineStr">
        <x:is>
          <x:t xml:space="preserve">anthropic|claude-opus-5|high|reasoning|fallback-na|aa-v4.3.2|snapshot-2026-09-28</x:t>
        </x:is>
      </x:c>
      <x:c r="B45" t="inlineStr">
        <x:is>
          <x:t xml:space="preserve">anthropic|claude-opus-5|high|reasoning|fallback-na</x:t>
        </x:is>
      </x:c>
      <x:c r="C45" t="inlineStr">
        <x:is>
          <x:t xml:space="preserve">Claude Opus 5</x:t>
        </x:is>
      </x:c>
      <x:c r="D45" t="inlineStr">
        <x:is>
          <x:t xml:space="preserve">Anthropic</x:t>
        </x:is>
      </x:c>
      <x:c r="E45" t="inlineStr">
        <x:is>
          <x:t xml:space="preserve">high</x:t>
        </x:is>
      </x:c>
      <x:c r="F45" t="inlineStr">
        <x:is>
          <x:t xml:space="preserve">AA|v4.3.2</x:t>
        </x:is>
      </x:c>
      <x:c r="G45" t="n">
        <x:v>48</x:v>
      </x:c>
      <x:c r="H45" t="n">
        <x:f>IFERROR(INDEX(Benchmark_Versions!$I:$I,MATCH(F45,Benchmark_Versions!$A:$A,0)),1)</x:f>
        <x:v>1</x:v>
      </x:c>
      <x:c r="I45" t="n">
        <x:f>IF(G45="","",G45*H45)</x:f>
        <x:v>48</x:v>
      </x:c>
      <x:c r="J45" s="69" t="n">
        <x:v>3.61</x:v>
      </x:c>
      <x:c r="L45" t="n">
        <x:v>50</x:v>
      </x:c>
      <x:c r="M45" t="inlineStr">
        <x:is>
          <x:t xml:space="preserve">Historical</x:t>
        </x:is>
      </x:c>
      <x:c r="N45" t="inlineStr">
        <x:is>
          <x:t xml:space="preserve">yes</x:t>
        </x:is>
      </x:c>
      <x:c r="O45" t="n">
        <x:f>IF(F45&lt;&gt;Controls!$C$12,0,IF(AND(Controls!$C$10="Contender",M45&lt;&gt;"Contender"),0,IF(AND(Controls!$C$10="Contender+Close",NOT(OR(M45="Contender",M45="Close"))),0,IF(AND(Controls!$C$11="Current",NOT(OR(N45="yes",N45="limited"))),0,1))))</x:f>
        <x:v>0</x:v>
      </x:c>
      <x:c r="P45" t="n">
        <x:f>Controls!$C$7</x:f>
        <x:v>40</x:v>
      </x:c>
      <x:c r="Q45" t="n">
        <x:f>IF(I45="","",I45-(P45-1))</x:f>
        <x:v>9</x:v>
      </x:c>
      <x:c r="R45" t="str">
        <x:f>IF(OR(O45=0,Q45&lt;=0,J45="",J45=0),"",Q45/J45)</x:f>
      </x:c>
      <x:c r="S45" t="str">
        <x:f>IF(OR(O45=0,Q45&lt;=0,J45="",Q45=0),"",J45/Q45)</x:f>
      </x:c>
      <x:c r="T45" t="str">
        <x:f>IF(OR(O45=0,Q45&lt;=0,J45="",K45="",J45=0,K45=0),"",Q45/(J45*(K45/60)))</x:f>
      </x:c>
      <x:c r="U45" t="str">
        <x:f>IF(OR(O45=0,I45=""),"",I45/_xlfn.MAXIFS($I$4:$I$141,$O$4:$O$141,1))</x:f>
      </x:c>
      <x:c r="V45" t="str">
        <x:f>IF(OR(O45=0,L45=""),"",L45/_xlfn.MAXIFS($L$4:$L$141,$O$4:$O$141,1))</x:f>
      </x:c>
      <x:c r="W45" t="str">
        <x:f>IF(OR(O45=0,J45=""),"",_xlfn.MINIFS($J$4:$J$141,$O$4:$O$141,1,$J$4:$J$141,"&gt;0")/J45)</x:f>
      </x:c>
      <x:c r="X45" t="str">
        <x:f>IF(R45="","",R45/_xlfn.MAXIFS($R$4:$R$141,$O$4:$O$141,1))</x:f>
      </x:c>
      <x:c r="Y45" t="str">
        <x:f>IF(T45="","",T45/_xlfn.MAXIFS($T$4:$T$141,$O$4:$O$141,1))</x:f>
      </x:c>
      <x:c r="Z45" s="67" t="str">
        <x:f>IF(OR(X45="",Y45=""),"",SQRT(X45*Y45))</x:f>
      </x:c>
      <x:c r="AA45" s="67" t="str">
        <x:f>IF(OR(X45="",Y45=""),"",X45^Controls!$C$8*Y45^Controls!$C$9)</x:f>
      </x:c>
      <x:c r="AB45" s="67" t="str">
        <x:f>IF(OR(X45="",Y45=""),"",X45^Controls!$C$9*Y45^Controls!$C$8)</x:f>
      </x:c>
      <x:c r="AC45" t="str">
        <x:f>IF(OR(U45="",V45=""),"",SQRT(U45*V45))</x:f>
      </x:c>
      <x:c r="AD45" t="n">
        <x:f>IF(OR(I45="",J45="",J45=0),"",I45/J45)</x:f>
        <x:v>13.29639889196676</x:v>
      </x:c>
      <x:c r="AE45" t="str">
        <x:f>IF(OR(I45="",K45="",K45=0),"",I45/K45)</x:f>
      </x:c>
      <x:c r="AF45" t="str">
        <x:f>IF(Z45="","",1+COUNTIF($Z$4:$Z$141,"&gt;"&amp;Z45)+COUNTIFS($Z$4:Z45,Z45)-1)</x:f>
      </x:c>
      <x:c r="AG45" t="str">
        <x:f>IF(AA45="","",1+COUNTIF($AA$4:$AA$141,"&gt;"&amp;AA45)+COUNTIFS($AA$4:AA45,AA45)-1)</x:f>
      </x:c>
      <x:c r="AH45" t="str">
        <x:f>IF(AB45="","",1+COUNTIF($AB$4:$AB$141,"&gt;"&amp;AB45)+COUNTIFS($AB$4:AB45,AB45)-1)</x:f>
      </x:c>
      <x:c r="AI45" t="str">
        <x:f>IF(OR(O45=0,I45=""),"",1+COUNTIFS($O$4:$O$141,1,$I$4:$I$141,"&gt;"&amp;I45)+COUNTIFS($O$4:O45,1,$I$4:I45,I45)-1)</x:f>
      </x:c>
      <x:c r="AJ45" t="str">
        <x:f>IF(OR(O45=0,L45=""),"",1+COUNTIFS($O$4:$O$141,1,$L$4:$L$141,"&gt;"&amp;L45)+COUNTIFS($O$4:O45,1,$L$4:L45,L45)-1)</x:f>
      </x:c>
      <x:c r="AK45" t="str">
        <x:f>IF(OR(O45=0,J45="",J45=0),"",1+COUNTIFS($O$4:$O$141,1,$J$4:$J$141,"&lt;"&amp;J45,$J$4:$J$141,"&gt;0")+COUNTIFS($O$4:O45,1,$J$4:J45,J45)-1)</x:f>
      </x:c>
    </x:row>
    <x:row r="46">
      <x:c r="A46" t="inlineStr">
        <x:is>
          <x:t xml:space="preserve">anthropic|claude-opus-5|xhigh|reasoning|fallback-na|aa-v4.3.2|snapshot-2026-09-28</x:t>
        </x:is>
      </x:c>
      <x:c r="B46" t="inlineStr">
        <x:is>
          <x:t xml:space="preserve">anthropic|claude-opus-5|xhigh|reasoning|fallback-na</x:t>
        </x:is>
      </x:c>
      <x:c r="C46" t="inlineStr">
        <x:is>
          <x:t xml:space="preserve">Claude Opus 5</x:t>
        </x:is>
      </x:c>
      <x:c r="D46" t="inlineStr">
        <x:is>
          <x:t xml:space="preserve">Anthropic</x:t>
        </x:is>
      </x:c>
      <x:c r="E46" t="inlineStr">
        <x:is>
          <x:t xml:space="preserve">xhigh</x:t>
        </x:is>
      </x:c>
      <x:c r="F46" t="inlineStr">
        <x:is>
          <x:t xml:space="preserve">AA|v4.3.2</x:t>
        </x:is>
      </x:c>
      <x:c r="G46" t="n">
        <x:v>50</x:v>
      </x:c>
      <x:c r="H46" t="n">
        <x:f>IFERROR(INDEX(Benchmark_Versions!$I:$I,MATCH(F46,Benchmark_Versions!$A:$A,0)),1)</x:f>
        <x:v>1</x:v>
      </x:c>
      <x:c r="I46" t="n">
        <x:f>IF(G46="","",G46*H46)</x:f>
        <x:v>50</x:v>
      </x:c>
      <x:c r="J46" s="69" t="n">
        <x:v>4.88</x:v>
      </x:c>
      <x:c r="L46" t="n">
        <x:v>49</x:v>
      </x:c>
      <x:c r="M46" t="inlineStr">
        <x:is>
          <x:t xml:space="preserve">Historical</x:t>
        </x:is>
      </x:c>
      <x:c r="N46" t="inlineStr">
        <x:is>
          <x:t xml:space="preserve">yes</x:t>
        </x:is>
      </x:c>
      <x:c r="O46" t="n">
        <x:f>IF(F46&lt;&gt;Controls!$C$12,0,IF(AND(Controls!$C$10="Contender",M46&lt;&gt;"Contender"),0,IF(AND(Controls!$C$10="Contender+Close",NOT(OR(M46="Contender",M46="Close"))),0,IF(AND(Controls!$C$11="Current",NOT(OR(N46="yes",N46="limited"))),0,1))))</x:f>
        <x:v>0</x:v>
      </x:c>
      <x:c r="P46" t="n">
        <x:f>Controls!$C$7</x:f>
        <x:v>40</x:v>
      </x:c>
      <x:c r="Q46" t="n">
        <x:f>IF(I46="","",I46-(P46-1))</x:f>
        <x:v>11</x:v>
      </x:c>
      <x:c r="R46" t="str">
        <x:f>IF(OR(O46=0,Q46&lt;=0,J46="",J46=0),"",Q46/J46)</x:f>
      </x:c>
      <x:c r="S46" t="str">
        <x:f>IF(OR(O46=0,Q46&lt;=0,J46="",Q46=0),"",J46/Q46)</x:f>
      </x:c>
      <x:c r="T46" t="str">
        <x:f>IF(OR(O46=0,Q46&lt;=0,J46="",K46="",J46=0,K46=0),"",Q46/(J46*(K46/60)))</x:f>
      </x:c>
      <x:c r="U46" t="str">
        <x:f>IF(OR(O46=0,I46=""),"",I46/_xlfn.MAXIFS($I$4:$I$141,$O$4:$O$141,1))</x:f>
      </x:c>
      <x:c r="V46" t="str">
        <x:f>IF(OR(O46=0,L46=""),"",L46/_xlfn.MAXIFS($L$4:$L$141,$O$4:$O$141,1))</x:f>
      </x:c>
      <x:c r="W46" t="str">
        <x:f>IF(OR(O46=0,J46=""),"",_xlfn.MINIFS($J$4:$J$141,$O$4:$O$141,1,$J$4:$J$141,"&gt;0")/J46)</x:f>
      </x:c>
      <x:c r="X46" t="str">
        <x:f>IF(R46="","",R46/_xlfn.MAXIFS($R$4:$R$141,$O$4:$O$141,1))</x:f>
      </x:c>
      <x:c r="Y46" t="str">
        <x:f>IF(T46="","",T46/_xlfn.MAXIFS($T$4:$T$141,$O$4:$O$141,1))</x:f>
      </x:c>
      <x:c r="Z46" s="67" t="str">
        <x:f>IF(OR(X46="",Y46=""),"",SQRT(X46*Y46))</x:f>
      </x:c>
      <x:c r="AA46" s="67" t="str">
        <x:f>IF(OR(X46="",Y46=""),"",X46^Controls!$C$8*Y46^Controls!$C$9)</x:f>
      </x:c>
      <x:c r="AB46" s="67" t="str">
        <x:f>IF(OR(X46="",Y46=""),"",X46^Controls!$C$9*Y46^Controls!$C$8)</x:f>
      </x:c>
      <x:c r="AC46" t="str">
        <x:f>IF(OR(U46="",V46=""),"",SQRT(U46*V46))</x:f>
      </x:c>
      <x:c r="AD46" t="n">
        <x:f>IF(OR(I46="",J46="",J46=0),"",I46/J46)</x:f>
        <x:v>10.245901639344263</x:v>
      </x:c>
      <x:c r="AE46" t="str">
        <x:f>IF(OR(I46="",K46="",K46=0),"",I46/K46)</x:f>
      </x:c>
      <x:c r="AF46" t="str">
        <x:f>IF(Z46="","",1+COUNTIF($Z$4:$Z$141,"&gt;"&amp;Z46)+COUNTIFS($Z$4:Z46,Z46)-1)</x:f>
      </x:c>
      <x:c r="AG46" t="str">
        <x:f>IF(AA46="","",1+COUNTIF($AA$4:$AA$141,"&gt;"&amp;AA46)+COUNTIFS($AA$4:AA46,AA46)-1)</x:f>
      </x:c>
      <x:c r="AH46" t="str">
        <x:f>IF(AB46="","",1+COUNTIF($AB$4:$AB$141,"&gt;"&amp;AB46)+COUNTIFS($AB$4:AB46,AB46)-1)</x:f>
      </x:c>
      <x:c r="AI46" t="str">
        <x:f>IF(OR(O46=0,I46=""),"",1+COUNTIFS($O$4:$O$141,1,$I$4:$I$141,"&gt;"&amp;I46)+COUNTIFS($O$4:O46,1,$I$4:I46,I46)-1)</x:f>
      </x:c>
      <x:c r="AJ46" t="str">
        <x:f>IF(OR(O46=0,L46=""),"",1+COUNTIFS($O$4:$O$141,1,$L$4:$L$141,"&gt;"&amp;L46)+COUNTIFS($O$4:O46,1,$L$4:L46,L46)-1)</x:f>
      </x:c>
      <x:c r="AK46" t="str">
        <x:f>IF(OR(O46=0,J46="",J46=0),"",1+COUNTIFS($O$4:$O$141,1,$J$4:$J$141,"&lt;"&amp;J46,$J$4:$J$141,"&gt;0")+COUNTIFS($O$4:O46,1,$J$4:J46,J46)-1)</x:f>
      </x:c>
    </x:row>
    <x:row r="47">
      <x:c r="A47" t="inlineStr">
        <x:is>
          <x:t xml:space="preserve">anthropic|claude-opus-5|max|reasoning|fallback-na|aa-v4.3.2|snapshot-2026-09-28</x:t>
        </x:is>
      </x:c>
      <x:c r="B47" t="inlineStr">
        <x:is>
          <x:t xml:space="preserve">anthropic|claude-opus-5|max|reasoning|fallback-na</x:t>
        </x:is>
      </x:c>
      <x:c r="C47" t="inlineStr">
        <x:is>
          <x:t xml:space="preserve">Claude Opus 5</x:t>
        </x:is>
      </x:c>
      <x:c r="D47" t="inlineStr">
        <x:is>
          <x:t xml:space="preserve">Anthropic</x:t>
        </x:is>
      </x:c>
      <x:c r="E47" t="inlineStr">
        <x:is>
          <x:t xml:space="preserve">max</x:t>
        </x:is>
      </x:c>
      <x:c r="F47" t="inlineStr">
        <x:is>
          <x:t xml:space="preserve">AA|v4.3.2</x:t>
        </x:is>
      </x:c>
      <x:c r="G47" t="n">
        <x:v>51</x:v>
      </x:c>
      <x:c r="H47" t="n">
        <x:f>IFERROR(INDEX(Benchmark_Versions!$I:$I,MATCH(F47,Benchmark_Versions!$A:$A,0)),1)</x:f>
        <x:v>1</x:v>
      </x:c>
      <x:c r="I47" t="n">
        <x:f>IF(G47="","",G47*H47)</x:f>
        <x:v>51</x:v>
      </x:c>
      <x:c r="J47" s="69" t="n">
        <x:v>5.86</x:v>
      </x:c>
      <x:c r="L47" t="n">
        <x:v>51</x:v>
      </x:c>
      <x:c r="M47" t="inlineStr">
        <x:is>
          <x:t xml:space="preserve">Historical</x:t>
        </x:is>
      </x:c>
      <x:c r="N47" t="inlineStr">
        <x:is>
          <x:t xml:space="preserve">yes</x:t>
        </x:is>
      </x:c>
      <x:c r="O47" t="n">
        <x:f>IF(F47&lt;&gt;Controls!$C$12,0,IF(AND(Controls!$C$10="Contender",M47&lt;&gt;"Contender"),0,IF(AND(Controls!$C$10="Contender+Close",NOT(OR(M47="Contender",M47="Close"))),0,IF(AND(Controls!$C$11="Current",NOT(OR(N47="yes",N47="limited"))),0,1))))</x:f>
        <x:v>0</x:v>
      </x:c>
      <x:c r="P47" t="n">
        <x:f>Controls!$C$7</x:f>
        <x:v>40</x:v>
      </x:c>
      <x:c r="Q47" t="n">
        <x:f>IF(I47="","",I47-(P47-1))</x:f>
        <x:v>12</x:v>
      </x:c>
      <x:c r="R47" t="str">
        <x:f>IF(OR(O47=0,Q47&lt;=0,J47="",J47=0),"",Q47/J47)</x:f>
      </x:c>
      <x:c r="S47" t="str">
        <x:f>IF(OR(O47=0,Q47&lt;=0,J47="",Q47=0),"",J47/Q47)</x:f>
      </x:c>
      <x:c r="T47" t="str">
        <x:f>IF(OR(O47=0,Q47&lt;=0,J47="",K47="",J47=0,K47=0),"",Q47/(J47*(K47/60)))</x:f>
      </x:c>
      <x:c r="U47" t="str">
        <x:f>IF(OR(O47=0,I47=""),"",I47/_xlfn.MAXIFS($I$4:$I$141,$O$4:$O$141,1))</x:f>
      </x:c>
      <x:c r="V47" t="str">
        <x:f>IF(OR(O47=0,L47=""),"",L47/_xlfn.MAXIFS($L$4:$L$141,$O$4:$O$141,1))</x:f>
      </x:c>
      <x:c r="W47" t="str">
        <x:f>IF(OR(O47=0,J47=""),"",_xlfn.MINIFS($J$4:$J$141,$O$4:$O$141,1,$J$4:$J$141,"&gt;0")/J47)</x:f>
      </x:c>
      <x:c r="X47" t="str">
        <x:f>IF(R47="","",R47/_xlfn.MAXIFS($R$4:$R$141,$O$4:$O$141,1))</x:f>
      </x:c>
      <x:c r="Y47" t="str">
        <x:f>IF(T47="","",T47/_xlfn.MAXIFS($T$4:$T$141,$O$4:$O$141,1))</x:f>
      </x:c>
      <x:c r="Z47" s="67" t="str">
        <x:f>IF(OR(X47="",Y47=""),"",SQRT(X47*Y47))</x:f>
      </x:c>
      <x:c r="AA47" s="67" t="str">
        <x:f>IF(OR(X47="",Y47=""),"",X47^Controls!$C$8*Y47^Controls!$C$9)</x:f>
      </x:c>
      <x:c r="AB47" s="67" t="str">
        <x:f>IF(OR(X47="",Y47=""),"",X47^Controls!$C$9*Y47^Controls!$C$8)</x:f>
      </x:c>
      <x:c r="AC47" t="str">
        <x:f>IF(OR(U47="",V47=""),"",SQRT(U47*V47))</x:f>
      </x:c>
      <x:c r="AD47" t="n">
        <x:f>IF(OR(I47="",J47="",J47=0),"",I47/J47)</x:f>
        <x:v>8.703071672354948</x:v>
      </x:c>
      <x:c r="AE47" t="str">
        <x:f>IF(OR(I47="",K47="",K47=0),"",I47/K47)</x:f>
      </x:c>
      <x:c r="AF47" t="str">
        <x:f>IF(Z47="","",1+COUNTIF($Z$4:$Z$141,"&gt;"&amp;Z47)+COUNTIFS($Z$4:Z47,Z47)-1)</x:f>
      </x:c>
      <x:c r="AG47" t="str">
        <x:f>IF(AA47="","",1+COUNTIF($AA$4:$AA$141,"&gt;"&amp;AA47)+COUNTIFS($AA$4:AA47,AA47)-1)</x:f>
      </x:c>
      <x:c r="AH47" t="str">
        <x:f>IF(AB47="","",1+COUNTIF($AB$4:$AB$141,"&gt;"&amp;AB47)+COUNTIFS($AB$4:AB47,AB47)-1)</x:f>
      </x:c>
      <x:c r="AI47" t="str">
        <x:f>IF(OR(O47=0,I47=""),"",1+COUNTIFS($O$4:$O$141,1,$I$4:$I$141,"&gt;"&amp;I47)+COUNTIFS($O$4:O47,1,$I$4:I47,I47)-1)</x:f>
      </x:c>
      <x:c r="AJ47" t="str">
        <x:f>IF(OR(O47=0,L47=""),"",1+COUNTIFS($O$4:$O$141,1,$L$4:$L$141,"&gt;"&amp;L47)+COUNTIFS($O$4:O47,1,$L$4:L47,L47)-1)</x:f>
      </x:c>
      <x:c r="AK47" t="str">
        <x:f>IF(OR(O47=0,J47="",J47=0),"",1+COUNTIFS($O$4:$O$141,1,$J$4:$J$141,"&lt;"&amp;J47,$J$4:$J$141,"&gt;0")+COUNTIFS($O$4:O47,1,$J$4:J47,J47)-1)</x:f>
      </x:c>
    </x:row>
    <x:row r="48">
      <x:c r="A48" t="inlineStr">
        <x:is>
          <x:t xml:space="preserve">anthropic|claude-sonnet-5|non-reasoning|nonreasoning|fallback-na|aa-v4.3.2|snapshot-2026-09-28</x:t>
        </x:is>
      </x:c>
      <x:c r="B48" t="inlineStr">
        <x:is>
          <x:t xml:space="preserve">anthropic|claude-sonnet-5|non-reasoning|nonreasoning|fallback-na</x:t>
        </x:is>
      </x:c>
      <x:c r="C48" t="inlineStr">
        <x:is>
          <x:t xml:space="preserve">Claude Sonnet 5</x:t>
        </x:is>
      </x:c>
      <x:c r="D48" t="inlineStr">
        <x:is>
          <x:t xml:space="preserve">Anthropic</x:t>
        </x:is>
      </x:c>
      <x:c r="E48" t="inlineStr">
        <x:is>
          <x:t xml:space="preserve">non-reasoning</x:t>
        </x:is>
      </x:c>
      <x:c r="F48" t="inlineStr">
        <x:is>
          <x:t xml:space="preserve">AA|v4.3.2</x:t>
        </x:is>
      </x:c>
      <x:c r="G48" t="n">
        <x:v>29</x:v>
      </x:c>
      <x:c r="H48" t="n">
        <x:f>IFERROR(INDEX(Benchmark_Versions!$I:$I,MATCH(F48,Benchmark_Versions!$A:$A,0)),1)</x:f>
        <x:v>1</x:v>
      </x:c>
      <x:c r="I48" t="n">
        <x:f>IF(G48="","",G48*H48)</x:f>
        <x:v>29</x:v>
      </x:c>
      <x:c r="J48" s="69" t="n"/>
      <x:c r="L48" t="n">
        <x:v>56</x:v>
      </x:c>
      <x:c r="M48" t="inlineStr">
        <x:is>
          <x:t xml:space="preserve">Historical</x:t>
        </x:is>
      </x:c>
      <x:c r="N48" t="inlineStr">
        <x:is>
          <x:t xml:space="preserve">yes</x:t>
        </x:is>
      </x:c>
      <x:c r="O48" t="n">
        <x:f>IF(F48&lt;&gt;Controls!$C$12,0,IF(AND(Controls!$C$10="Contender",M48&lt;&gt;"Contender"),0,IF(AND(Controls!$C$10="Contender+Close",NOT(OR(M48="Contender",M48="Close"))),0,IF(AND(Controls!$C$11="Current",NOT(OR(N48="yes",N48="limited"))),0,1))))</x:f>
        <x:v>0</x:v>
      </x:c>
      <x:c r="P48" t="n">
        <x:f>Controls!$C$7</x:f>
        <x:v>40</x:v>
      </x:c>
      <x:c r="Q48" t="n">
        <x:f>IF(I48="","",I48-(P48-1))</x:f>
        <x:v>-10</x:v>
      </x:c>
      <x:c r="R48" t="str">
        <x:f>IF(OR(O48=0,Q48&lt;=0,J48="",J48=0),"",Q48/J48)</x:f>
      </x:c>
      <x:c r="S48" t="str">
        <x:f>IF(OR(O48=0,Q48&lt;=0,J48="",Q48=0),"",J48/Q48)</x:f>
      </x:c>
      <x:c r="T48" t="str">
        <x:f>IF(OR(O48=0,Q48&lt;=0,J48="",K48="",J48=0,K48=0),"",Q48/(J48*(K48/60)))</x:f>
      </x:c>
      <x:c r="U48" t="str">
        <x:f>IF(OR(O48=0,I48=""),"",I48/_xlfn.MAXIFS($I$4:$I$141,$O$4:$O$141,1))</x:f>
      </x:c>
      <x:c r="V48" t="str">
        <x:f>IF(OR(O48=0,L48=""),"",L48/_xlfn.MAXIFS($L$4:$L$141,$O$4:$O$141,1))</x:f>
      </x:c>
      <x:c r="W48" t="str">
        <x:f>IF(OR(O48=0,J48=""),"",_xlfn.MINIFS($J$4:$J$141,$O$4:$O$141,1,$J$4:$J$141,"&gt;0")/J48)</x:f>
      </x:c>
      <x:c r="X48" t="str">
        <x:f>IF(R48="","",R48/_xlfn.MAXIFS($R$4:$R$141,$O$4:$O$141,1))</x:f>
      </x:c>
      <x:c r="Y48" t="str">
        <x:f>IF(T48="","",T48/_xlfn.MAXIFS($T$4:$T$141,$O$4:$O$141,1))</x:f>
      </x:c>
      <x:c r="Z48" s="67" t="str">
        <x:f>IF(OR(X48="",Y48=""),"",SQRT(X48*Y48))</x:f>
      </x:c>
      <x:c r="AA48" s="67" t="str">
        <x:f>IF(OR(X48="",Y48=""),"",X48^Controls!$C$8*Y48^Controls!$C$9)</x:f>
      </x:c>
      <x:c r="AB48" s="67" t="str">
        <x:f>IF(OR(X48="",Y48=""),"",X48^Controls!$C$9*Y48^Controls!$C$8)</x:f>
      </x:c>
      <x:c r="AC48" t="str">
        <x:f>IF(OR(U48="",V48=""),"",SQRT(U48*V48))</x:f>
      </x:c>
      <x:c r="AD48" t="str">
        <x:f>IF(OR(I48="",J48="",J48=0),"",I48/J48)</x:f>
      </x:c>
      <x:c r="AE48" t="str">
        <x:f>IF(OR(I48="",K48="",K48=0),"",I48/K48)</x:f>
      </x:c>
      <x:c r="AF48" t="str">
        <x:f>IF(Z48="","",1+COUNTIF($Z$4:$Z$141,"&gt;"&amp;Z48)+COUNTIFS($Z$4:Z48,Z48)-1)</x:f>
      </x:c>
      <x:c r="AG48" t="str">
        <x:f>IF(AA48="","",1+COUNTIF($AA$4:$AA$141,"&gt;"&amp;AA48)+COUNTIFS($AA$4:AA48,AA48)-1)</x:f>
      </x:c>
      <x:c r="AH48" t="str">
        <x:f>IF(AB48="","",1+COUNTIF($AB$4:$AB$141,"&gt;"&amp;AB48)+COUNTIFS($AB$4:AB48,AB48)-1)</x:f>
      </x:c>
      <x:c r="AI48" t="str">
        <x:f>IF(OR(O48=0,I48=""),"",1+COUNTIFS($O$4:$O$141,1,$I$4:$I$141,"&gt;"&amp;I48)+COUNTIFS($O$4:O48,1,$I$4:I48,I48)-1)</x:f>
      </x:c>
      <x:c r="AJ48" t="str">
        <x:f>IF(OR(O48=0,L48=""),"",1+COUNTIFS($O$4:$O$141,1,$L$4:$L$141,"&gt;"&amp;L48)+COUNTIFS($O$4:O48,1,$L$4:L48,L48)-1)</x:f>
      </x:c>
      <x:c r="AK48" t="str">
        <x:f>IF(OR(O48=0,J48="",J48=0),"",1+COUNTIFS($O$4:$O$141,1,$J$4:$J$141,"&lt;"&amp;J48,$J$4:$J$141,"&gt;0")+COUNTIFS($O$4:O48,1,$J$4:J48,J48)-1)</x:f>
      </x:c>
    </x:row>
    <x:row r="49">
      <x:c r="A49" t="inlineStr">
        <x:is>
          <x:t xml:space="preserve">anthropic|claude-sonnet-5|low|reasoning|fallback-na|aa-v4.3.2|snapshot-2026-09-28</x:t>
        </x:is>
      </x:c>
      <x:c r="B49" t="inlineStr">
        <x:is>
          <x:t xml:space="preserve">anthropic|claude-sonnet-5|low|reasoning|fallback-na</x:t>
        </x:is>
      </x:c>
      <x:c r="C49" t="inlineStr">
        <x:is>
          <x:t xml:space="preserve">Claude Sonnet 5</x:t>
        </x:is>
      </x:c>
      <x:c r="D49" t="inlineStr">
        <x:is>
          <x:t xml:space="preserve">Anthropic</x:t>
        </x:is>
      </x:c>
      <x:c r="E49" t="inlineStr">
        <x:is>
          <x:t xml:space="preserve">low</x:t>
        </x:is>
      </x:c>
      <x:c r="F49" t="inlineStr">
        <x:is>
          <x:t xml:space="preserve">AA|v4.3.2</x:t>
        </x:is>
      </x:c>
      <x:c r="G49" t="n">
        <x:v>25</x:v>
      </x:c>
      <x:c r="H49" t="n">
        <x:f>IFERROR(INDEX(Benchmark_Versions!$I:$I,MATCH(F49,Benchmark_Versions!$A:$A,0)),1)</x:f>
        <x:v>1</x:v>
      </x:c>
      <x:c r="I49" t="n">
        <x:f>IF(G49="","",G49*H49)</x:f>
        <x:v>25</x:v>
      </x:c>
      <x:c r="J49" s="69" t="n">
        <x:v>0.51</x:v>
      </x:c>
      <x:c r="L49" t="n">
        <x:v>56</x:v>
      </x:c>
      <x:c r="M49" t="inlineStr">
        <x:is>
          <x:t xml:space="preserve">Historical</x:t>
        </x:is>
      </x:c>
      <x:c r="N49" t="inlineStr">
        <x:is>
          <x:t xml:space="preserve">yes</x:t>
        </x:is>
      </x:c>
      <x:c r="O49" t="n">
        <x:f>IF(F49&lt;&gt;Controls!$C$12,0,IF(AND(Controls!$C$10="Contender",M49&lt;&gt;"Contender"),0,IF(AND(Controls!$C$10="Contender+Close",NOT(OR(M49="Contender",M49="Close"))),0,IF(AND(Controls!$C$11="Current",NOT(OR(N49="yes",N49="limited"))),0,1))))</x:f>
        <x:v>0</x:v>
      </x:c>
      <x:c r="P49" t="n">
        <x:f>Controls!$C$7</x:f>
        <x:v>40</x:v>
      </x:c>
      <x:c r="Q49" t="n">
        <x:f>IF(I49="","",I49-(P49-1))</x:f>
        <x:v>-14</x:v>
      </x:c>
      <x:c r="R49" t="str">
        <x:f>IF(OR(O49=0,Q49&lt;=0,J49="",J49=0),"",Q49/J49)</x:f>
      </x:c>
      <x:c r="S49" t="str">
        <x:f>IF(OR(O49=0,Q49&lt;=0,J49="",Q49=0),"",J49/Q49)</x:f>
      </x:c>
      <x:c r="T49" t="str">
        <x:f>IF(OR(O49=0,Q49&lt;=0,J49="",K49="",J49=0,K49=0),"",Q49/(J49*(K49/60)))</x:f>
      </x:c>
      <x:c r="U49" t="str">
        <x:f>IF(OR(O49=0,I49=""),"",I49/_xlfn.MAXIFS($I$4:$I$141,$O$4:$O$141,1))</x:f>
      </x:c>
      <x:c r="V49" t="str">
        <x:f>IF(OR(O49=0,L49=""),"",L49/_xlfn.MAXIFS($L$4:$L$141,$O$4:$O$141,1))</x:f>
      </x:c>
      <x:c r="W49" t="str">
        <x:f>IF(OR(O49=0,J49=""),"",_xlfn.MINIFS($J$4:$J$141,$O$4:$O$141,1,$J$4:$J$141,"&gt;0")/J49)</x:f>
      </x:c>
      <x:c r="X49" t="str">
        <x:f>IF(R49="","",R49/_xlfn.MAXIFS($R$4:$R$141,$O$4:$O$141,1))</x:f>
      </x:c>
      <x:c r="Y49" t="str">
        <x:f>IF(T49="","",T49/_xlfn.MAXIFS($T$4:$T$141,$O$4:$O$141,1))</x:f>
      </x:c>
      <x:c r="Z49" s="67" t="str">
        <x:f>IF(OR(X49="",Y49=""),"",SQRT(X49*Y49))</x:f>
      </x:c>
      <x:c r="AA49" s="67" t="str">
        <x:f>IF(OR(X49="",Y49=""),"",X49^Controls!$C$8*Y49^Controls!$C$9)</x:f>
      </x:c>
      <x:c r="AB49" s="67" t="str">
        <x:f>IF(OR(X49="",Y49=""),"",X49^Controls!$C$9*Y49^Controls!$C$8)</x:f>
      </x:c>
      <x:c r="AC49" t="str">
        <x:f>IF(OR(U49="",V49=""),"",SQRT(U49*V49))</x:f>
      </x:c>
      <x:c r="AD49" t="n">
        <x:f>IF(OR(I49="",J49="",J49=0),"",I49/J49)</x:f>
        <x:v>49.01960784313725</x:v>
      </x:c>
      <x:c r="AE49" t="str">
        <x:f>IF(OR(I49="",K49="",K49=0),"",I49/K49)</x:f>
      </x:c>
      <x:c r="AF49" t="str">
        <x:f>IF(Z49="","",1+COUNTIF($Z$4:$Z$141,"&gt;"&amp;Z49)+COUNTIFS($Z$4:Z49,Z49)-1)</x:f>
      </x:c>
      <x:c r="AG49" t="str">
        <x:f>IF(AA49="","",1+COUNTIF($AA$4:$AA$141,"&gt;"&amp;AA49)+COUNTIFS($AA$4:AA49,AA49)-1)</x:f>
      </x:c>
      <x:c r="AH49" t="str">
        <x:f>IF(AB49="","",1+COUNTIF($AB$4:$AB$141,"&gt;"&amp;AB49)+COUNTIFS($AB$4:AB49,AB49)-1)</x:f>
      </x:c>
      <x:c r="AI49" t="str">
        <x:f>IF(OR(O49=0,I49=""),"",1+COUNTIFS($O$4:$O$141,1,$I$4:$I$141,"&gt;"&amp;I49)+COUNTIFS($O$4:O49,1,$I$4:I49,I49)-1)</x:f>
      </x:c>
      <x:c r="AJ49" t="str">
        <x:f>IF(OR(O49=0,L49=""),"",1+COUNTIFS($O$4:$O$141,1,$L$4:$L$141,"&gt;"&amp;L49)+COUNTIFS($O$4:O49,1,$L$4:L49,L49)-1)</x:f>
      </x:c>
      <x:c r="AK49" t="str">
        <x:f>IF(OR(O49=0,J49="",J49=0),"",1+COUNTIFS($O$4:$O$141,1,$J$4:$J$141,"&lt;"&amp;J49,$J$4:$J$141,"&gt;0")+COUNTIFS($O$4:O49,1,$J$4:J49,J49)-1)</x:f>
      </x:c>
    </x:row>
    <x:row r="50">
      <x:c r="A50" t="inlineStr">
        <x:is>
          <x:t xml:space="preserve">anthropic|claude-sonnet-5|medium|reasoning|fallback-na|aa-v4.3.2|snapshot-2026-09-28</x:t>
        </x:is>
      </x:c>
      <x:c r="B50" t="inlineStr">
        <x:is>
          <x:t xml:space="preserve">anthropic|claude-sonnet-5|medium|reasoning|fallback-na</x:t>
        </x:is>
      </x:c>
      <x:c r="C50" t="inlineStr">
        <x:is>
          <x:t xml:space="preserve">Claude Sonnet 5</x:t>
        </x:is>
      </x:c>
      <x:c r="D50" t="inlineStr">
        <x:is>
          <x:t xml:space="preserve">Anthropic</x:t>
        </x:is>
      </x:c>
      <x:c r="E50" t="inlineStr">
        <x:is>
          <x:t xml:space="preserve">medium</x:t>
        </x:is>
      </x:c>
      <x:c r="F50" t="inlineStr">
        <x:is>
          <x:t xml:space="preserve">AA|v4.3.2</x:t>
        </x:is>
      </x:c>
      <x:c r="G50" t="n">
        <x:v>28</x:v>
      </x:c>
      <x:c r="H50" t="n">
        <x:f>IFERROR(INDEX(Benchmark_Versions!$I:$I,MATCH(F50,Benchmark_Versions!$A:$A,0)),1)</x:f>
        <x:v>1</x:v>
      </x:c>
      <x:c r="I50" t="n">
        <x:f>IF(G50="","",G50*H50)</x:f>
        <x:v>28</x:v>
      </x:c>
      <x:c r="J50" s="69" t="n">
        <x:v>1</x:v>
      </x:c>
      <x:c r="L50" t="n">
        <x:v>57</x:v>
      </x:c>
      <x:c r="M50" t="inlineStr">
        <x:is>
          <x:t xml:space="preserve">Historical</x:t>
        </x:is>
      </x:c>
      <x:c r="N50" t="inlineStr">
        <x:is>
          <x:t xml:space="preserve">yes</x:t>
        </x:is>
      </x:c>
      <x:c r="O50" t="n">
        <x:f>IF(F50&lt;&gt;Controls!$C$12,0,IF(AND(Controls!$C$10="Contender",M50&lt;&gt;"Contender"),0,IF(AND(Controls!$C$10="Contender+Close",NOT(OR(M50="Contender",M50="Close"))),0,IF(AND(Controls!$C$11="Current",NOT(OR(N50="yes",N50="limited"))),0,1))))</x:f>
        <x:v>0</x:v>
      </x:c>
      <x:c r="P50" t="n">
        <x:f>Controls!$C$7</x:f>
        <x:v>40</x:v>
      </x:c>
      <x:c r="Q50" t="n">
        <x:f>IF(I50="","",I50-(P50-1))</x:f>
        <x:v>-11</x:v>
      </x:c>
      <x:c r="R50" t="str">
        <x:f>IF(OR(O50=0,Q50&lt;=0,J50="",J50=0),"",Q50/J50)</x:f>
      </x:c>
      <x:c r="S50" t="str">
        <x:f>IF(OR(O50=0,Q50&lt;=0,J50="",Q50=0),"",J50/Q50)</x:f>
      </x:c>
      <x:c r="T50" t="str">
        <x:f>IF(OR(O50=0,Q50&lt;=0,J50="",K50="",J50=0,K50=0),"",Q50/(J50*(K50/60)))</x:f>
      </x:c>
      <x:c r="U50" t="str">
        <x:f>IF(OR(O50=0,I50=""),"",I50/_xlfn.MAXIFS($I$4:$I$141,$O$4:$O$141,1))</x:f>
      </x:c>
      <x:c r="V50" t="str">
        <x:f>IF(OR(O50=0,L50=""),"",L50/_xlfn.MAXIFS($L$4:$L$141,$O$4:$O$141,1))</x:f>
      </x:c>
      <x:c r="W50" t="str">
        <x:f>IF(OR(O50=0,J50=""),"",_xlfn.MINIFS($J$4:$J$141,$O$4:$O$141,1,$J$4:$J$141,"&gt;0")/J50)</x:f>
      </x:c>
      <x:c r="X50" t="str">
        <x:f>IF(R50="","",R50/_xlfn.MAXIFS($R$4:$R$141,$O$4:$O$141,1))</x:f>
      </x:c>
      <x:c r="Y50" t="str">
        <x:f>IF(T50="","",T50/_xlfn.MAXIFS($T$4:$T$141,$O$4:$O$141,1))</x:f>
      </x:c>
      <x:c r="Z50" s="67" t="str">
        <x:f>IF(OR(X50="",Y50=""),"",SQRT(X50*Y50))</x:f>
      </x:c>
      <x:c r="AA50" s="67" t="str">
        <x:f>IF(OR(X50="",Y50=""),"",X50^Controls!$C$8*Y50^Controls!$C$9)</x:f>
      </x:c>
      <x:c r="AB50" s="67" t="str">
        <x:f>IF(OR(X50="",Y50=""),"",X50^Controls!$C$9*Y50^Controls!$C$8)</x:f>
      </x:c>
      <x:c r="AC50" t="str">
        <x:f>IF(OR(U50="",V50=""),"",SQRT(U50*V50))</x:f>
      </x:c>
      <x:c r="AD50" t="n">
        <x:f>IF(OR(I50="",J50="",J50=0),"",I50/J50)</x:f>
        <x:v>28</x:v>
      </x:c>
      <x:c r="AE50" t="str">
        <x:f>IF(OR(I50="",K50="",K50=0),"",I50/K50)</x:f>
      </x:c>
      <x:c r="AF50" t="str">
        <x:f>IF(Z50="","",1+COUNTIF($Z$4:$Z$141,"&gt;"&amp;Z50)+COUNTIFS($Z$4:Z50,Z50)-1)</x:f>
      </x:c>
      <x:c r="AG50" t="str">
        <x:f>IF(AA50="","",1+COUNTIF($AA$4:$AA$141,"&gt;"&amp;AA50)+COUNTIFS($AA$4:AA50,AA50)-1)</x:f>
      </x:c>
      <x:c r="AH50" t="str">
        <x:f>IF(AB50="","",1+COUNTIF($AB$4:$AB$141,"&gt;"&amp;AB50)+COUNTIFS($AB$4:AB50,AB50)-1)</x:f>
      </x:c>
      <x:c r="AI50" t="str">
        <x:f>IF(OR(O50=0,I50=""),"",1+COUNTIFS($O$4:$O$141,1,$I$4:$I$141,"&gt;"&amp;I50)+COUNTIFS($O$4:O50,1,$I$4:I50,I50)-1)</x:f>
      </x:c>
      <x:c r="AJ50" t="str">
        <x:f>IF(OR(O50=0,L50=""),"",1+COUNTIFS($O$4:$O$141,1,$L$4:$L$141,"&gt;"&amp;L50)+COUNTIFS($O$4:O50,1,$L$4:L50,L50)-1)</x:f>
      </x:c>
      <x:c r="AK50" t="str">
        <x:f>IF(OR(O50=0,J50="",J50=0),"",1+COUNTIFS($O$4:$O$141,1,$J$4:$J$141,"&lt;"&amp;J50,$J$4:$J$141,"&gt;0")+COUNTIFS($O$4:O50,1,$J$4:J50,J50)-1)</x:f>
      </x:c>
    </x:row>
    <x:row r="51">
      <x:c r="A51" t="inlineStr">
        <x:is>
          <x:t xml:space="preserve">anthropic|claude-sonnet-5|high|reasoning|fallback-na|aa-v4.3.2|snapshot-2026-09-28</x:t>
        </x:is>
      </x:c>
      <x:c r="B51" t="inlineStr">
        <x:is>
          <x:t xml:space="preserve">anthropic|claude-sonnet-5|high|reasoning|fallback-na</x:t>
        </x:is>
      </x:c>
      <x:c r="C51" t="inlineStr">
        <x:is>
          <x:t xml:space="preserve">Claude Sonnet 5</x:t>
        </x:is>
      </x:c>
      <x:c r="D51" t="inlineStr">
        <x:is>
          <x:t xml:space="preserve">Anthropic</x:t>
        </x:is>
      </x:c>
      <x:c r="E51" t="inlineStr">
        <x:is>
          <x:t xml:space="preserve">high</x:t>
        </x:is>
      </x:c>
      <x:c r="F51" t="inlineStr">
        <x:is>
          <x:t xml:space="preserve">AA|v4.3.2</x:t>
        </x:is>
      </x:c>
      <x:c r="G51" t="n">
        <x:v>32</x:v>
      </x:c>
      <x:c r="H51" t="n">
        <x:f>IFERROR(INDEX(Benchmark_Versions!$I:$I,MATCH(F51,Benchmark_Versions!$A:$A,0)),1)</x:f>
        <x:v>1</x:v>
      </x:c>
      <x:c r="I51" t="n">
        <x:f>IF(G51="","",G51*H51)</x:f>
        <x:v>32</x:v>
      </x:c>
      <x:c r="J51" s="69" t="n">
        <x:v>1.79</x:v>
      </x:c>
      <x:c r="L51" t="n">
        <x:v>60</x:v>
      </x:c>
      <x:c r="M51" t="inlineStr">
        <x:is>
          <x:t xml:space="preserve">Historical</x:t>
        </x:is>
      </x:c>
      <x:c r="N51" t="inlineStr">
        <x:is>
          <x:t xml:space="preserve">yes</x:t>
        </x:is>
      </x:c>
      <x:c r="O51" t="n">
        <x:f>IF(F51&lt;&gt;Controls!$C$12,0,IF(AND(Controls!$C$10="Contender",M51&lt;&gt;"Contender"),0,IF(AND(Controls!$C$10="Contender+Close",NOT(OR(M51="Contender",M51="Close"))),0,IF(AND(Controls!$C$11="Current",NOT(OR(N51="yes",N51="limited"))),0,1))))</x:f>
        <x:v>0</x:v>
      </x:c>
      <x:c r="P51" t="n">
        <x:f>Controls!$C$7</x:f>
        <x:v>40</x:v>
      </x:c>
      <x:c r="Q51" t="n">
        <x:f>IF(I51="","",I51-(P51-1))</x:f>
        <x:v>-7</x:v>
      </x:c>
      <x:c r="R51" t="str">
        <x:f>IF(OR(O51=0,Q51&lt;=0,J51="",J51=0),"",Q51/J51)</x:f>
      </x:c>
      <x:c r="S51" t="str">
        <x:f>IF(OR(O51=0,Q51&lt;=0,J51="",Q51=0),"",J51/Q51)</x:f>
      </x:c>
      <x:c r="T51" t="str">
        <x:f>IF(OR(O51=0,Q51&lt;=0,J51="",K51="",J51=0,K51=0),"",Q51/(J51*(K51/60)))</x:f>
      </x:c>
      <x:c r="U51" t="str">
        <x:f>IF(OR(O51=0,I51=""),"",I51/_xlfn.MAXIFS($I$4:$I$141,$O$4:$O$141,1))</x:f>
      </x:c>
      <x:c r="V51" t="str">
        <x:f>IF(OR(O51=0,L51=""),"",L51/_xlfn.MAXIFS($L$4:$L$141,$O$4:$O$141,1))</x:f>
      </x:c>
      <x:c r="W51" t="str">
        <x:f>IF(OR(O51=0,J51=""),"",_xlfn.MINIFS($J$4:$J$141,$O$4:$O$141,1,$J$4:$J$141,"&gt;0")/J51)</x:f>
      </x:c>
      <x:c r="X51" t="str">
        <x:f>IF(R51="","",R51/_xlfn.MAXIFS($R$4:$R$141,$O$4:$O$141,1))</x:f>
      </x:c>
      <x:c r="Y51" t="str">
        <x:f>IF(T51="","",T51/_xlfn.MAXIFS($T$4:$T$141,$O$4:$O$141,1))</x:f>
      </x:c>
      <x:c r="Z51" s="67" t="str">
        <x:f>IF(OR(X51="",Y51=""),"",SQRT(X51*Y51))</x:f>
      </x:c>
      <x:c r="AA51" s="67" t="str">
        <x:f>IF(OR(X51="",Y51=""),"",X51^Controls!$C$8*Y51^Controls!$C$9)</x:f>
      </x:c>
      <x:c r="AB51" s="67" t="str">
        <x:f>IF(OR(X51="",Y51=""),"",X51^Controls!$C$9*Y51^Controls!$C$8)</x:f>
      </x:c>
      <x:c r="AC51" t="str">
        <x:f>IF(OR(U51="",V51=""),"",SQRT(U51*V51))</x:f>
      </x:c>
      <x:c r="AD51" t="n">
        <x:f>IF(OR(I51="",J51="",J51=0),"",I51/J51)</x:f>
        <x:v>17.877094972067038</x:v>
      </x:c>
      <x:c r="AE51" t="str">
        <x:f>IF(OR(I51="",K51="",K51=0),"",I51/K51)</x:f>
      </x:c>
      <x:c r="AF51" t="str">
        <x:f>IF(Z51="","",1+COUNTIF($Z$4:$Z$141,"&gt;"&amp;Z51)+COUNTIFS($Z$4:Z51,Z51)-1)</x:f>
      </x:c>
      <x:c r="AG51" t="str">
        <x:f>IF(AA51="","",1+COUNTIF($AA$4:$AA$141,"&gt;"&amp;AA51)+COUNTIFS($AA$4:AA51,AA51)-1)</x:f>
      </x:c>
      <x:c r="AH51" t="str">
        <x:f>IF(AB51="","",1+COUNTIF($AB$4:$AB$141,"&gt;"&amp;AB51)+COUNTIFS($AB$4:AB51,AB51)-1)</x:f>
      </x:c>
      <x:c r="AI51" t="str">
        <x:f>IF(OR(O51=0,I51=""),"",1+COUNTIFS($O$4:$O$141,1,$I$4:$I$141,"&gt;"&amp;I51)+COUNTIFS($O$4:O51,1,$I$4:I51,I51)-1)</x:f>
      </x:c>
      <x:c r="AJ51" t="str">
        <x:f>IF(OR(O51=0,L51=""),"",1+COUNTIFS($O$4:$O$141,1,$L$4:$L$141,"&gt;"&amp;L51)+COUNTIFS($O$4:O51,1,$L$4:L51,L51)-1)</x:f>
      </x:c>
      <x:c r="AK51" t="str">
        <x:f>IF(OR(O51=0,J51="",J51=0),"",1+COUNTIFS($O$4:$O$141,1,$J$4:$J$141,"&lt;"&amp;J51,$J$4:$J$141,"&gt;0")+COUNTIFS($O$4:O51,1,$J$4:J51,J51)-1)</x:f>
      </x:c>
    </x:row>
    <x:row r="52">
      <x:c r="A52" t="inlineStr">
        <x:is>
          <x:t xml:space="preserve">anthropic|claude-sonnet-5|xhigh|reasoning|fallback-na|aa-v4.3.2|snapshot-2026-09-28</x:t>
        </x:is>
      </x:c>
      <x:c r="B52" t="inlineStr">
        <x:is>
          <x:t xml:space="preserve">anthropic|claude-sonnet-5|xhigh|reasoning|fallback-na</x:t>
        </x:is>
      </x:c>
      <x:c r="C52" t="inlineStr">
        <x:is>
          <x:t xml:space="preserve">Claude Sonnet 5</x:t>
        </x:is>
      </x:c>
      <x:c r="D52" t="inlineStr">
        <x:is>
          <x:t xml:space="preserve">Anthropic</x:t>
        </x:is>
      </x:c>
      <x:c r="E52" t="inlineStr">
        <x:is>
          <x:t xml:space="preserve">xhigh</x:t>
        </x:is>
      </x:c>
      <x:c r="F52" t="inlineStr">
        <x:is>
          <x:t xml:space="preserve">AA|v4.3.2</x:t>
        </x:is>
      </x:c>
      <x:c r="H52" t="n">
        <x:f>IFERROR(INDEX(Benchmark_Versions!$I:$I,MATCH(F52,Benchmark_Versions!$A:$A,0)),1)</x:f>
        <x:v>1</x:v>
      </x:c>
      <x:c r="I52" t="str">
        <x:f>IF(G52="","",G52*H52)</x:f>
      </x:c>
      <x:c r="J52" s="69" t="n"/>
      <x:c r="L52" t="n">
        <x:v>65</x:v>
      </x:c>
      <x:c r="M52" t="inlineStr">
        <x:is>
          <x:t xml:space="preserve">Historical</x:t>
        </x:is>
      </x:c>
      <x:c r="N52" t="inlineStr">
        <x:is>
          <x:t xml:space="preserve">yes</x:t>
        </x:is>
      </x:c>
      <x:c r="O52" t="n">
        <x:f>IF(F52&lt;&gt;Controls!$C$12,0,IF(AND(Controls!$C$10="Contender",M52&lt;&gt;"Contender"),0,IF(AND(Controls!$C$10="Contender+Close",NOT(OR(M52="Contender",M52="Close"))),0,IF(AND(Controls!$C$11="Current",NOT(OR(N52="yes",N52="limited"))),0,1))))</x:f>
        <x:v>0</x:v>
      </x:c>
      <x:c r="P52" t="n">
        <x:f>Controls!$C$7</x:f>
        <x:v>40</x:v>
      </x:c>
      <x:c r="Q52" t="str">
        <x:f>IF(I52="","",I52-(P52-1))</x:f>
      </x:c>
      <x:c r="R52" t="str">
        <x:f>IF(OR(O52=0,Q52&lt;=0,J52="",J52=0),"",Q52/J52)</x:f>
      </x:c>
      <x:c r="S52" t="str">
        <x:f>IF(OR(O52=0,Q52&lt;=0,J52="",Q52=0),"",J52/Q52)</x:f>
      </x:c>
      <x:c r="T52" t="str">
        <x:f>IF(OR(O52=0,Q52&lt;=0,J52="",K52="",J52=0,K52=0),"",Q52/(J52*(K52/60)))</x:f>
      </x:c>
      <x:c r="U52" t="str">
        <x:f>IF(OR(O52=0,I52=""),"",I52/_xlfn.MAXIFS($I$4:$I$141,$O$4:$O$141,1))</x:f>
      </x:c>
      <x:c r="V52" t="str">
        <x:f>IF(OR(O52=0,L52=""),"",L52/_xlfn.MAXIFS($L$4:$L$141,$O$4:$O$141,1))</x:f>
      </x:c>
      <x:c r="W52" t="str">
        <x:f>IF(OR(O52=0,J52=""),"",_xlfn.MINIFS($J$4:$J$141,$O$4:$O$141,1,$J$4:$J$141,"&gt;0")/J52)</x:f>
      </x:c>
      <x:c r="X52" t="str">
        <x:f>IF(R52="","",R52/_xlfn.MAXIFS($R$4:$R$141,$O$4:$O$141,1))</x:f>
      </x:c>
      <x:c r="Y52" t="str">
        <x:f>IF(T52="","",T52/_xlfn.MAXIFS($T$4:$T$141,$O$4:$O$141,1))</x:f>
      </x:c>
      <x:c r="Z52" s="67" t="str">
        <x:f>IF(OR(X52="",Y52=""),"",SQRT(X52*Y52))</x:f>
      </x:c>
      <x:c r="AA52" s="67" t="str">
        <x:f>IF(OR(X52="",Y52=""),"",X52^Controls!$C$8*Y52^Controls!$C$9)</x:f>
      </x:c>
      <x:c r="AB52" s="67" t="str">
        <x:f>IF(OR(X52="",Y52=""),"",X52^Controls!$C$9*Y52^Controls!$C$8)</x:f>
      </x:c>
      <x:c r="AC52" t="str">
        <x:f>IF(OR(U52="",V52=""),"",SQRT(U52*V52))</x:f>
      </x:c>
      <x:c r="AD52" t="str">
        <x:f>IF(OR(I52="",J52="",J52=0),"",I52/J52)</x:f>
      </x:c>
      <x:c r="AE52" t="str">
        <x:f>IF(OR(I52="",K52="",K52=0),"",I52/K52)</x:f>
      </x:c>
      <x:c r="AF52" t="str">
        <x:f>IF(Z52="","",1+COUNTIF($Z$4:$Z$141,"&gt;"&amp;Z52)+COUNTIFS($Z$4:Z52,Z52)-1)</x:f>
      </x:c>
      <x:c r="AG52" t="str">
        <x:f>IF(AA52="","",1+COUNTIF($AA$4:$AA$141,"&gt;"&amp;AA52)+COUNTIFS($AA$4:AA52,AA52)-1)</x:f>
      </x:c>
      <x:c r="AH52" t="str">
        <x:f>IF(AB52="","",1+COUNTIF($AB$4:$AB$141,"&gt;"&amp;AB52)+COUNTIFS($AB$4:AB52,AB52)-1)</x:f>
      </x:c>
      <x:c r="AI52" t="str">
        <x:f>IF(OR(O52=0,I52=""),"",1+COUNTIFS($O$4:$O$141,1,$I$4:$I$141,"&gt;"&amp;I52)+COUNTIFS($O$4:O52,1,$I$4:I52,I52)-1)</x:f>
      </x:c>
      <x:c r="AJ52" t="str">
        <x:f>IF(OR(O52=0,L52=""),"",1+COUNTIFS($O$4:$O$141,1,$L$4:$L$141,"&gt;"&amp;L52)+COUNTIFS($O$4:O52,1,$L$4:L52,L52)-1)</x:f>
      </x:c>
      <x:c r="AK52" t="str">
        <x:f>IF(OR(O52=0,J52="",J52=0),"",1+COUNTIFS($O$4:$O$141,1,$J$4:$J$141,"&lt;"&amp;J52,$J$4:$J$141,"&gt;0")+COUNTIFS($O$4:O52,1,$J$4:J52,J52)-1)</x:f>
      </x:c>
    </x:row>
    <x:row r="53">
      <x:c r="A53" t="inlineStr">
        <x:is>
          <x:t xml:space="preserve">anthropic|claude-sonnet-5|max|reasoning|fallback-na|aa-v4.3.2|snapshot-2026-09-28</x:t>
        </x:is>
      </x:c>
      <x:c r="B53" t="inlineStr">
        <x:is>
          <x:t xml:space="preserve">anthropic|claude-sonnet-5|max|reasoning|fallback-na</x:t>
        </x:is>
      </x:c>
      <x:c r="C53" t="inlineStr">
        <x:is>
          <x:t xml:space="preserve">Claude Sonnet 5</x:t>
        </x:is>
      </x:c>
      <x:c r="D53" t="inlineStr">
        <x:is>
          <x:t xml:space="preserve">Anthropic</x:t>
        </x:is>
      </x:c>
      <x:c r="E53" t="inlineStr">
        <x:is>
          <x:t xml:space="preserve">max</x:t>
        </x:is>
      </x:c>
      <x:c r="F53" t="inlineStr">
        <x:is>
          <x:t xml:space="preserve">AA|v4.3.2</x:t>
        </x:is>
      </x:c>
      <x:c r="G53" t="n">
        <x:v>38</x:v>
      </x:c>
      <x:c r="H53" t="n">
        <x:f>IFERROR(INDEX(Benchmark_Versions!$I:$I,MATCH(F53,Benchmark_Versions!$A:$A,0)),1)</x:f>
        <x:v>1</x:v>
      </x:c>
      <x:c r="I53" t="n">
        <x:f>IF(G53="","",G53*H53)</x:f>
        <x:v>38</x:v>
      </x:c>
      <x:c r="J53" s="69" t="n">
        <x:v>5.09</x:v>
      </x:c>
      <x:c r="L53" t="n">
        <x:v>83.90000000000001</x:v>
      </x:c>
      <x:c r="M53" t="inlineStr">
        <x:is>
          <x:t xml:space="preserve">Historical</x:t>
        </x:is>
      </x:c>
      <x:c r="N53" t="inlineStr">
        <x:is>
          <x:t xml:space="preserve">yes</x:t>
        </x:is>
      </x:c>
      <x:c r="O53" t="n">
        <x:f>IF(F53&lt;&gt;Controls!$C$12,0,IF(AND(Controls!$C$10="Contender",M53&lt;&gt;"Contender"),0,IF(AND(Controls!$C$10="Contender+Close",NOT(OR(M53="Contender",M53="Close"))),0,IF(AND(Controls!$C$11="Current",NOT(OR(N53="yes",N53="limited"))),0,1))))</x:f>
        <x:v>0</x:v>
      </x:c>
      <x:c r="P53" t="n">
        <x:f>Controls!$C$7</x:f>
        <x:v>40</x:v>
      </x:c>
      <x:c r="Q53" t="n">
        <x:f>IF(I53="","",I53-(P53-1))</x:f>
        <x:v>-1</x:v>
      </x:c>
      <x:c r="R53" t="str">
        <x:f>IF(OR(O53=0,Q53&lt;=0,J53="",J53=0),"",Q53/J53)</x:f>
      </x:c>
      <x:c r="S53" t="str">
        <x:f>IF(OR(O53=0,Q53&lt;=0,J53="",Q53=0),"",J53/Q53)</x:f>
      </x:c>
      <x:c r="T53" t="str">
        <x:f>IF(OR(O53=0,Q53&lt;=0,J53="",K53="",J53=0,K53=0),"",Q53/(J53*(K53/60)))</x:f>
      </x:c>
      <x:c r="U53" t="str">
        <x:f>IF(OR(O53=0,I53=""),"",I53/_xlfn.MAXIFS($I$4:$I$141,$O$4:$O$141,1))</x:f>
      </x:c>
      <x:c r="V53" t="str">
        <x:f>IF(OR(O53=0,L53=""),"",L53/_xlfn.MAXIFS($L$4:$L$141,$O$4:$O$141,1))</x:f>
      </x:c>
      <x:c r="W53" t="str">
        <x:f>IF(OR(O53=0,J53=""),"",_xlfn.MINIFS($J$4:$J$141,$O$4:$O$141,1,$J$4:$J$141,"&gt;0")/J53)</x:f>
      </x:c>
      <x:c r="X53" t="str">
        <x:f>IF(R53="","",R53/_xlfn.MAXIFS($R$4:$R$141,$O$4:$O$141,1))</x:f>
      </x:c>
      <x:c r="Y53" t="str">
        <x:f>IF(T53="","",T53/_xlfn.MAXIFS($T$4:$T$141,$O$4:$O$141,1))</x:f>
      </x:c>
      <x:c r="Z53" s="67" t="str">
        <x:f>IF(OR(X53="",Y53=""),"",SQRT(X53*Y53))</x:f>
      </x:c>
      <x:c r="AA53" s="67" t="str">
        <x:f>IF(OR(X53="",Y53=""),"",X53^Controls!$C$8*Y53^Controls!$C$9)</x:f>
      </x:c>
      <x:c r="AB53" s="67" t="str">
        <x:f>IF(OR(X53="",Y53=""),"",X53^Controls!$C$9*Y53^Controls!$C$8)</x:f>
      </x:c>
      <x:c r="AC53" t="str">
        <x:f>IF(OR(U53="",V53=""),"",SQRT(U53*V53))</x:f>
      </x:c>
      <x:c r="AD53" t="n">
        <x:f>IF(OR(I53="",J53="",J53=0),"",I53/J53)</x:f>
        <x:v>7.465618860510806</x:v>
      </x:c>
      <x:c r="AE53" t="str">
        <x:f>IF(OR(I53="",K53="",K53=0),"",I53/K53)</x:f>
      </x:c>
      <x:c r="AF53" t="str">
        <x:f>IF(Z53="","",1+COUNTIF($Z$4:$Z$141,"&gt;"&amp;Z53)+COUNTIFS($Z$4:Z53,Z53)-1)</x:f>
      </x:c>
      <x:c r="AG53" t="str">
        <x:f>IF(AA53="","",1+COUNTIF($AA$4:$AA$141,"&gt;"&amp;AA53)+COUNTIFS($AA$4:AA53,AA53)-1)</x:f>
      </x:c>
      <x:c r="AH53" t="str">
        <x:f>IF(AB53="","",1+COUNTIF($AB$4:$AB$141,"&gt;"&amp;AB53)+COUNTIFS($AB$4:AB53,AB53)-1)</x:f>
      </x:c>
      <x:c r="AI53" t="str">
        <x:f>IF(OR(O53=0,I53=""),"",1+COUNTIFS($O$4:$O$141,1,$I$4:$I$141,"&gt;"&amp;I53)+COUNTIFS($O$4:O53,1,$I$4:I53,I53)-1)</x:f>
      </x:c>
      <x:c r="AJ53" t="str">
        <x:f>IF(OR(O53=0,L53=""),"",1+COUNTIFS($O$4:$O$141,1,$L$4:$L$141,"&gt;"&amp;L53)+COUNTIFS($O$4:O53,1,$L$4:L53,L53)-1)</x:f>
      </x:c>
      <x:c r="AK53" t="str">
        <x:f>IF(OR(O53=0,J53="",J53=0),"",1+COUNTIFS($O$4:$O$141,1,$J$4:$J$141,"&lt;"&amp;J53,$J$4:$J$141,"&gt;0")+COUNTIFS($O$4:O53,1,$J$4:J53,J53)-1)</x:f>
      </x:c>
    </x:row>
    <x:row r="54">
      <x:c r="A54" t="inlineStr">
        <x:is>
          <x:t xml:space="preserve">anthropic|claude-4.5-haiku|non-reasoning|nonreasoning|fallback-na|aa-v4.3.2|snapshot-2026-09-28</x:t>
        </x:is>
      </x:c>
      <x:c r="B54" t="inlineStr">
        <x:is>
          <x:t xml:space="preserve">anthropic|claude-4.5-haiku|non-reasoning|nonreasoning|fallback-na</x:t>
        </x:is>
      </x:c>
      <x:c r="C54" t="inlineStr">
        <x:is>
          <x:t xml:space="preserve">Claude 4.5 Haiku</x:t>
        </x:is>
      </x:c>
      <x:c r="D54" t="inlineStr">
        <x:is>
          <x:t xml:space="preserve">Anthropic</x:t>
        </x:is>
      </x:c>
      <x:c r="E54" t="inlineStr">
        <x:is>
          <x:t xml:space="preserve">non-reasoning</x:t>
        </x:is>
      </x:c>
      <x:c r="F54" t="inlineStr">
        <x:is>
          <x:t xml:space="preserve">AA|v4.3.2</x:t>
        </x:is>
      </x:c>
      <x:c r="G54" t="n">
        <x:v>15</x:v>
      </x:c>
      <x:c r="H54" t="n">
        <x:f>IFERROR(INDEX(Benchmark_Versions!$I:$I,MATCH(F54,Benchmark_Versions!$A:$A,0)),1)</x:f>
        <x:v>1</x:v>
      </x:c>
      <x:c r="I54" t="n">
        <x:f>IF(G54="","",G54*H54)</x:f>
        <x:v>15</x:v>
      </x:c>
      <x:c r="J54" s="69" t="n"/>
      <x:c r="L54" t="n">
        <x:v>78.3</x:v>
      </x:c>
      <x:c r="M54" t="inlineStr">
        <x:is>
          <x:t xml:space="preserve">Historical</x:t>
        </x:is>
      </x:c>
      <x:c r="N54" t="inlineStr">
        <x:is>
          <x:t xml:space="preserve">yes</x:t>
        </x:is>
      </x:c>
      <x:c r="O54" t="n">
        <x:f>IF(F54&lt;&gt;Controls!$C$12,0,IF(AND(Controls!$C$10="Contender",M54&lt;&gt;"Contender"),0,IF(AND(Controls!$C$10="Contender+Close",NOT(OR(M54="Contender",M54="Close"))),0,IF(AND(Controls!$C$11="Current",NOT(OR(N54="yes",N54="limited"))),0,1))))</x:f>
        <x:v>0</x:v>
      </x:c>
      <x:c r="P54" t="n">
        <x:f>Controls!$C$7</x:f>
        <x:v>40</x:v>
      </x:c>
      <x:c r="Q54" t="n">
        <x:f>IF(I54="","",I54-(P54-1))</x:f>
        <x:v>-24</x:v>
      </x:c>
      <x:c r="R54" t="str">
        <x:f>IF(OR(O54=0,Q54&lt;=0,J54="",J54=0),"",Q54/J54)</x:f>
      </x:c>
      <x:c r="S54" t="str">
        <x:f>IF(OR(O54=0,Q54&lt;=0,J54="",Q54=0),"",J54/Q54)</x:f>
      </x:c>
      <x:c r="T54" t="str">
        <x:f>IF(OR(O54=0,Q54&lt;=0,J54="",K54="",J54=0,K54=0),"",Q54/(J54*(K54/60)))</x:f>
      </x:c>
      <x:c r="U54" t="str">
        <x:f>IF(OR(O54=0,I54=""),"",I54/_xlfn.MAXIFS($I$4:$I$141,$O$4:$O$141,1))</x:f>
      </x:c>
      <x:c r="V54" t="str">
        <x:f>IF(OR(O54=0,L54=""),"",L54/_xlfn.MAXIFS($L$4:$L$141,$O$4:$O$141,1))</x:f>
      </x:c>
      <x:c r="W54" t="str">
        <x:f>IF(OR(O54=0,J54=""),"",_xlfn.MINIFS($J$4:$J$141,$O$4:$O$141,1,$J$4:$J$141,"&gt;0")/J54)</x:f>
      </x:c>
      <x:c r="X54" t="str">
        <x:f>IF(R54="","",R54/_xlfn.MAXIFS($R$4:$R$141,$O$4:$O$141,1))</x:f>
      </x:c>
      <x:c r="Y54" t="str">
        <x:f>IF(T54="","",T54/_xlfn.MAXIFS($T$4:$T$141,$O$4:$O$141,1))</x:f>
      </x:c>
      <x:c r="Z54" s="67" t="str">
        <x:f>IF(OR(X54="",Y54=""),"",SQRT(X54*Y54))</x:f>
      </x:c>
      <x:c r="AA54" s="67" t="str">
        <x:f>IF(OR(X54="",Y54=""),"",X54^Controls!$C$8*Y54^Controls!$C$9)</x:f>
      </x:c>
      <x:c r="AB54" s="67" t="str">
        <x:f>IF(OR(X54="",Y54=""),"",X54^Controls!$C$9*Y54^Controls!$C$8)</x:f>
      </x:c>
      <x:c r="AC54" t="str">
        <x:f>IF(OR(U54="",V54=""),"",SQRT(U54*V54))</x:f>
      </x:c>
      <x:c r="AD54" t="str">
        <x:f>IF(OR(I54="",J54="",J54=0),"",I54/J54)</x:f>
      </x:c>
      <x:c r="AE54" t="str">
        <x:f>IF(OR(I54="",K54="",K54=0),"",I54/K54)</x:f>
      </x:c>
      <x:c r="AF54" t="str">
        <x:f>IF(Z54="","",1+COUNTIF($Z$4:$Z$141,"&gt;"&amp;Z54)+COUNTIFS($Z$4:Z54,Z54)-1)</x:f>
      </x:c>
      <x:c r="AG54" t="str">
        <x:f>IF(AA54="","",1+COUNTIF($AA$4:$AA$141,"&gt;"&amp;AA54)+COUNTIFS($AA$4:AA54,AA54)-1)</x:f>
      </x:c>
      <x:c r="AH54" t="str">
        <x:f>IF(AB54="","",1+COUNTIF($AB$4:$AB$141,"&gt;"&amp;AB54)+COUNTIFS($AB$4:AB54,AB54)-1)</x:f>
      </x:c>
      <x:c r="AI54" t="str">
        <x:f>IF(OR(O54=0,I54=""),"",1+COUNTIFS($O$4:$O$141,1,$I$4:$I$141,"&gt;"&amp;I54)+COUNTIFS($O$4:O54,1,$I$4:I54,I54)-1)</x:f>
      </x:c>
      <x:c r="AJ54" t="str">
        <x:f>IF(OR(O54=0,L54=""),"",1+COUNTIFS($O$4:$O$141,1,$L$4:$L$141,"&gt;"&amp;L54)+COUNTIFS($O$4:O54,1,$L$4:L54,L54)-1)</x:f>
      </x:c>
      <x:c r="AK54" t="str">
        <x:f>IF(OR(O54=0,J54="",J54=0),"",1+COUNTIFS($O$4:$O$141,1,$J$4:$J$141,"&lt;"&amp;J54,$J$4:$J$141,"&gt;0")+COUNTIFS($O$4:O54,1,$J$4:J54,J54)-1)</x:f>
      </x:c>
    </x:row>
    <x:row r="55">
      <x:c r="A55" t="inlineStr">
        <x:is>
          <x:t xml:space="preserve">anthropic|claude-4.5-haiku|reasoning|reasoning|fallback-na|aa-v4.3.2|snapshot-2026-09-28</x:t>
        </x:is>
      </x:c>
      <x:c r="B55" t="inlineStr">
        <x:is>
          <x:t xml:space="preserve">anthropic|claude-4.5-haiku|reasoning|reasoning|fallback-na</x:t>
        </x:is>
      </x:c>
      <x:c r="C55" t="inlineStr">
        <x:is>
          <x:t xml:space="preserve">Claude 4.5 Haiku</x:t>
        </x:is>
      </x:c>
      <x:c r="D55" t="inlineStr">
        <x:is>
          <x:t xml:space="preserve">Anthropic</x:t>
        </x:is>
      </x:c>
      <x:c r="E55" t="inlineStr">
        <x:is>
          <x:t xml:space="preserve">reasoning</x:t>
        </x:is>
      </x:c>
      <x:c r="F55" t="inlineStr">
        <x:is>
          <x:t xml:space="preserve">AA|v4.3.2</x:t>
        </x:is>
      </x:c>
      <x:c r="G55" t="n">
        <x:v>17</x:v>
      </x:c>
      <x:c r="H55" t="n">
        <x:f>IFERROR(INDEX(Benchmark_Versions!$I:$I,MATCH(F55,Benchmark_Versions!$A:$A,0)),1)</x:f>
        <x:v>1</x:v>
      </x:c>
      <x:c r="I55" t="n">
        <x:f>IF(G55="","",G55*H55)</x:f>
        <x:v>17</x:v>
      </x:c>
      <x:c r="J55" s="69" t="n">
        <x:v>0.28</x:v>
      </x:c>
      <x:c r="L55" t="n">
        <x:v>80.3</x:v>
      </x:c>
      <x:c r="M55" t="inlineStr">
        <x:is>
          <x:t xml:space="preserve">Historical</x:t>
        </x:is>
      </x:c>
      <x:c r="N55" t="inlineStr">
        <x:is>
          <x:t xml:space="preserve">yes</x:t>
        </x:is>
      </x:c>
      <x:c r="O55" t="n">
        <x:f>IF(F55&lt;&gt;Controls!$C$12,0,IF(AND(Controls!$C$10="Contender",M55&lt;&gt;"Contender"),0,IF(AND(Controls!$C$10="Contender+Close",NOT(OR(M55="Contender",M55="Close"))),0,IF(AND(Controls!$C$11="Current",NOT(OR(N55="yes",N55="limited"))),0,1))))</x:f>
        <x:v>0</x:v>
      </x:c>
      <x:c r="P55" t="n">
        <x:f>Controls!$C$7</x:f>
        <x:v>40</x:v>
      </x:c>
      <x:c r="Q55" t="n">
        <x:f>IF(I55="","",I55-(P55-1))</x:f>
        <x:v>-22</x:v>
      </x:c>
      <x:c r="R55" t="str">
        <x:f>IF(OR(O55=0,Q55&lt;=0,J55="",J55=0),"",Q55/J55)</x:f>
      </x:c>
      <x:c r="S55" t="str">
        <x:f>IF(OR(O55=0,Q55&lt;=0,J55="",Q55=0),"",J55/Q55)</x:f>
      </x:c>
      <x:c r="T55" t="str">
        <x:f>IF(OR(O55=0,Q55&lt;=0,J55="",K55="",J55=0,K55=0),"",Q55/(J55*(K55/60)))</x:f>
      </x:c>
      <x:c r="U55" t="str">
        <x:f>IF(OR(O55=0,I55=""),"",I55/_xlfn.MAXIFS($I$4:$I$141,$O$4:$O$141,1))</x:f>
      </x:c>
      <x:c r="V55" t="str">
        <x:f>IF(OR(O55=0,L55=""),"",L55/_xlfn.MAXIFS($L$4:$L$141,$O$4:$O$141,1))</x:f>
      </x:c>
      <x:c r="W55" t="str">
        <x:f>IF(OR(O55=0,J55=""),"",_xlfn.MINIFS($J$4:$J$141,$O$4:$O$141,1,$J$4:$J$141,"&gt;0")/J55)</x:f>
      </x:c>
      <x:c r="X55" t="str">
        <x:f>IF(R55="","",R55/_xlfn.MAXIFS($R$4:$R$141,$O$4:$O$141,1))</x:f>
      </x:c>
      <x:c r="Y55" t="str">
        <x:f>IF(T55="","",T55/_xlfn.MAXIFS($T$4:$T$141,$O$4:$O$141,1))</x:f>
      </x:c>
      <x:c r="Z55" s="67" t="str">
        <x:f>IF(OR(X55="",Y55=""),"",SQRT(X55*Y55))</x:f>
      </x:c>
      <x:c r="AA55" s="67" t="str">
        <x:f>IF(OR(X55="",Y55=""),"",X55^Controls!$C$8*Y55^Controls!$C$9)</x:f>
      </x:c>
      <x:c r="AB55" s="67" t="str">
        <x:f>IF(OR(X55="",Y55=""),"",X55^Controls!$C$9*Y55^Controls!$C$8)</x:f>
      </x:c>
      <x:c r="AC55" t="str">
        <x:f>IF(OR(U55="",V55=""),"",SQRT(U55*V55))</x:f>
      </x:c>
      <x:c r="AD55" t="n">
        <x:f>IF(OR(I55="",J55="",J55=0),"",I55/J55)</x:f>
        <x:v>60.71428571428571</x:v>
      </x:c>
      <x:c r="AE55" t="str">
        <x:f>IF(OR(I55="",K55="",K55=0),"",I55/K55)</x:f>
      </x:c>
      <x:c r="AF55" t="str">
        <x:f>IF(Z55="","",1+COUNTIF($Z$4:$Z$141,"&gt;"&amp;Z55)+COUNTIFS($Z$4:Z55,Z55)-1)</x:f>
      </x:c>
      <x:c r="AG55" t="str">
        <x:f>IF(AA55="","",1+COUNTIF($AA$4:$AA$141,"&gt;"&amp;AA55)+COUNTIFS($AA$4:AA55,AA55)-1)</x:f>
      </x:c>
      <x:c r="AH55" t="str">
        <x:f>IF(AB55="","",1+COUNTIF($AB$4:$AB$141,"&gt;"&amp;AB55)+COUNTIFS($AB$4:AB55,AB55)-1)</x:f>
      </x:c>
      <x:c r="AI55" t="str">
        <x:f>IF(OR(O55=0,I55=""),"",1+COUNTIFS($O$4:$O$141,1,$I$4:$I$141,"&gt;"&amp;I55)+COUNTIFS($O$4:O55,1,$I$4:I55,I55)-1)</x:f>
      </x:c>
      <x:c r="AJ55" t="str">
        <x:f>IF(OR(O55=0,L55=""),"",1+COUNTIFS($O$4:$O$141,1,$L$4:$L$141,"&gt;"&amp;L55)+COUNTIFS($O$4:O55,1,$L$4:L55,L55)-1)</x:f>
      </x:c>
      <x:c r="AK55" t="str">
        <x:f>IF(OR(O55=0,J55="",J55=0),"",1+COUNTIFS($O$4:$O$141,1,$J$4:$J$141,"&lt;"&amp;J55,$J$4:$J$141,"&gt;0")+COUNTIFS($O$4:O55,1,$J$4:J55,J55)-1)</x:f>
      </x:c>
    </x:row>
    <x:row r="56">
      <x:c r="A56" t="inlineStr">
        <x:is>
          <x:t xml:space="preserve">anthropic|claude-opus-4.5|non-reasoning|nonreasoning|fallback-na|aa-v4.3.2|snapshot-2026-09-28</x:t>
        </x:is>
      </x:c>
      <x:c r="B56" t="inlineStr">
        <x:is>
          <x:t xml:space="preserve">anthropic|claude-opus-4.5|non-reasoning|nonreasoning|fallback-na</x:t>
        </x:is>
      </x:c>
      <x:c r="C56" t="inlineStr">
        <x:is>
          <x:t xml:space="preserve">Claude Opus 4.5</x:t>
        </x:is>
      </x:c>
      <x:c r="D56" t="inlineStr">
        <x:is>
          <x:t xml:space="preserve">Anthropic</x:t>
        </x:is>
      </x:c>
      <x:c r="E56" t="inlineStr">
        <x:is>
          <x:t xml:space="preserve">non-reasoning</x:t>
        </x:is>
      </x:c>
      <x:c r="F56" t="inlineStr">
        <x:is>
          <x:t xml:space="preserve">AA|v4.3.2</x:t>
        </x:is>
      </x:c>
      <x:c r="G56" t="n">
        <x:v>24</x:v>
      </x:c>
      <x:c r="H56" t="n">
        <x:f>IFERROR(INDEX(Benchmark_Versions!$I:$I,MATCH(F56,Benchmark_Versions!$A:$A,0)),1)</x:f>
        <x:v>1</x:v>
      </x:c>
      <x:c r="I56" t="n">
        <x:f>IF(G56="","",G56*H56)</x:f>
        <x:v>24</x:v>
      </x:c>
      <x:c r="J56" s="69" t="n"/>
      <x:c r="L56" t="n">
        <x:v>44</x:v>
      </x:c>
      <x:c r="M56" t="inlineStr">
        <x:is>
          <x:t xml:space="preserve">Historical</x:t>
        </x:is>
      </x:c>
      <x:c r="N56" t="inlineStr">
        <x:is>
          <x:t xml:space="preserve">yes</x:t>
        </x:is>
      </x:c>
      <x:c r="O56" t="n">
        <x:f>IF(F56&lt;&gt;Controls!$C$12,0,IF(AND(Controls!$C$10="Contender",M56&lt;&gt;"Contender"),0,IF(AND(Controls!$C$10="Contender+Close",NOT(OR(M56="Contender",M56="Close"))),0,IF(AND(Controls!$C$11="Current",NOT(OR(N56="yes",N56="limited"))),0,1))))</x:f>
        <x:v>0</x:v>
      </x:c>
      <x:c r="P56" t="n">
        <x:f>Controls!$C$7</x:f>
        <x:v>40</x:v>
      </x:c>
      <x:c r="Q56" t="n">
        <x:f>IF(I56="","",I56-(P56-1))</x:f>
        <x:v>-15</x:v>
      </x:c>
      <x:c r="R56" t="str">
        <x:f>IF(OR(O56=0,Q56&lt;=0,J56="",J56=0),"",Q56/J56)</x:f>
      </x:c>
      <x:c r="S56" t="str">
        <x:f>IF(OR(O56=0,Q56&lt;=0,J56="",Q56=0),"",J56/Q56)</x:f>
      </x:c>
      <x:c r="T56" t="str">
        <x:f>IF(OR(O56=0,Q56&lt;=0,J56="",K56="",J56=0,K56=0),"",Q56/(J56*(K56/60)))</x:f>
      </x:c>
      <x:c r="U56" t="str">
        <x:f>IF(OR(O56=0,I56=""),"",I56/_xlfn.MAXIFS($I$4:$I$141,$O$4:$O$141,1))</x:f>
      </x:c>
      <x:c r="V56" t="str">
        <x:f>IF(OR(O56=0,L56=""),"",L56/_xlfn.MAXIFS($L$4:$L$141,$O$4:$O$141,1))</x:f>
      </x:c>
      <x:c r="W56" t="str">
        <x:f>IF(OR(O56=0,J56=""),"",_xlfn.MINIFS($J$4:$J$141,$O$4:$O$141,1,$J$4:$J$141,"&gt;0")/J56)</x:f>
      </x:c>
      <x:c r="X56" t="str">
        <x:f>IF(R56="","",R56/_xlfn.MAXIFS($R$4:$R$141,$O$4:$O$141,1))</x:f>
      </x:c>
      <x:c r="Y56" t="str">
        <x:f>IF(T56="","",T56/_xlfn.MAXIFS($T$4:$T$141,$O$4:$O$141,1))</x:f>
      </x:c>
      <x:c r="Z56" s="67" t="str">
        <x:f>IF(OR(X56="",Y56=""),"",SQRT(X56*Y56))</x:f>
      </x:c>
      <x:c r="AA56" s="67" t="str">
        <x:f>IF(OR(X56="",Y56=""),"",X56^Controls!$C$8*Y56^Controls!$C$9)</x:f>
      </x:c>
      <x:c r="AB56" s="67" t="str">
        <x:f>IF(OR(X56="",Y56=""),"",X56^Controls!$C$9*Y56^Controls!$C$8)</x:f>
      </x:c>
      <x:c r="AC56" t="str">
        <x:f>IF(OR(U56="",V56=""),"",SQRT(U56*V56))</x:f>
      </x:c>
      <x:c r="AD56" t="str">
        <x:f>IF(OR(I56="",J56="",J56=0),"",I56/J56)</x:f>
      </x:c>
      <x:c r="AE56" t="str">
        <x:f>IF(OR(I56="",K56="",K56=0),"",I56/K56)</x:f>
      </x:c>
      <x:c r="AF56" t="str">
        <x:f>IF(Z56="","",1+COUNTIF($Z$4:$Z$141,"&gt;"&amp;Z56)+COUNTIFS($Z$4:Z56,Z56)-1)</x:f>
      </x:c>
      <x:c r="AG56" t="str">
        <x:f>IF(AA56="","",1+COUNTIF($AA$4:$AA$141,"&gt;"&amp;AA56)+COUNTIFS($AA$4:AA56,AA56)-1)</x:f>
      </x:c>
      <x:c r="AH56" t="str">
        <x:f>IF(AB56="","",1+COUNTIF($AB$4:$AB$141,"&gt;"&amp;AB56)+COUNTIFS($AB$4:AB56,AB56)-1)</x:f>
      </x:c>
      <x:c r="AI56" t="str">
        <x:f>IF(OR(O56=0,I56=""),"",1+COUNTIFS($O$4:$O$141,1,$I$4:$I$141,"&gt;"&amp;I56)+COUNTIFS($O$4:O56,1,$I$4:I56,I56)-1)</x:f>
      </x:c>
      <x:c r="AJ56" t="str">
        <x:f>IF(OR(O56=0,L56=""),"",1+COUNTIFS($O$4:$O$141,1,$L$4:$L$141,"&gt;"&amp;L56)+COUNTIFS($O$4:O56,1,$L$4:L56,L56)-1)</x:f>
      </x:c>
      <x:c r="AK56" t="str">
        <x:f>IF(OR(O56=0,J56="",J56=0),"",1+COUNTIFS($O$4:$O$141,1,$J$4:$J$141,"&lt;"&amp;J56,$J$4:$J$141,"&gt;0")+COUNTIFS($O$4:O56,1,$J$4:J56,J56)-1)</x:f>
      </x:c>
    </x:row>
    <x:row r="57">
      <x:c r="A57" t="inlineStr">
        <x:is>
          <x:t xml:space="preserve">anthropic|claude-opus-4.5|reasoning|reasoning|fallback-na|aa-v4.3.2|snapshot-2026-09-28</x:t>
        </x:is>
      </x:c>
      <x:c r="B57" t="inlineStr">
        <x:is>
          <x:t xml:space="preserve">anthropic|claude-opus-4.5|reasoning|reasoning|fallback-na</x:t>
        </x:is>
      </x:c>
      <x:c r="C57" t="inlineStr">
        <x:is>
          <x:t xml:space="preserve">Claude Opus 4.5</x:t>
        </x:is>
      </x:c>
      <x:c r="D57" t="inlineStr">
        <x:is>
          <x:t xml:space="preserve">Anthropic</x:t>
        </x:is>
      </x:c>
      <x:c r="E57" t="inlineStr">
        <x:is>
          <x:t xml:space="preserve">reasoning</x:t>
        </x:is>
      </x:c>
      <x:c r="F57" t="inlineStr">
        <x:is>
          <x:t xml:space="preserve">AA|v4.3.2</x:t>
        </x:is>
      </x:c>
      <x:c r="G57" t="n">
        <x:v>29</x:v>
      </x:c>
      <x:c r="H57" t="n">
        <x:f>IFERROR(INDEX(Benchmark_Versions!$I:$I,MATCH(F57,Benchmark_Versions!$A:$A,0)),1)</x:f>
        <x:v>1</x:v>
      </x:c>
      <x:c r="I57" t="n">
        <x:f>IF(G57="","",G57*H57)</x:f>
        <x:v>29</x:v>
      </x:c>
      <x:c r="J57" s="69" t="n"/>
      <x:c r="L57" t="n">
        <x:v>45</x:v>
      </x:c>
      <x:c r="M57" t="inlineStr">
        <x:is>
          <x:t xml:space="preserve">Historical</x:t>
        </x:is>
      </x:c>
      <x:c r="N57" t="inlineStr">
        <x:is>
          <x:t xml:space="preserve">yes</x:t>
        </x:is>
      </x:c>
      <x:c r="O57" t="n">
        <x:f>IF(F57&lt;&gt;Controls!$C$12,0,IF(AND(Controls!$C$10="Contender",M57&lt;&gt;"Contender"),0,IF(AND(Controls!$C$10="Contender+Close",NOT(OR(M57="Contender",M57="Close"))),0,IF(AND(Controls!$C$11="Current",NOT(OR(N57="yes",N57="limited"))),0,1))))</x:f>
        <x:v>0</x:v>
      </x:c>
      <x:c r="P57" t="n">
        <x:f>Controls!$C$7</x:f>
        <x:v>40</x:v>
      </x:c>
      <x:c r="Q57" t="n">
        <x:f>IF(I57="","",I57-(P57-1))</x:f>
        <x:v>-10</x:v>
      </x:c>
      <x:c r="R57" t="str">
        <x:f>IF(OR(O57=0,Q57&lt;=0,J57="",J57=0),"",Q57/J57)</x:f>
      </x:c>
      <x:c r="S57" t="str">
        <x:f>IF(OR(O57=0,Q57&lt;=0,J57="",Q57=0),"",J57/Q57)</x:f>
      </x:c>
      <x:c r="T57" t="str">
        <x:f>IF(OR(O57=0,Q57&lt;=0,J57="",K57="",J57=0,K57=0),"",Q57/(J57*(K57/60)))</x:f>
      </x:c>
      <x:c r="U57" t="str">
        <x:f>IF(OR(O57=0,I57=""),"",I57/_xlfn.MAXIFS($I$4:$I$141,$O$4:$O$141,1))</x:f>
      </x:c>
      <x:c r="V57" t="str">
        <x:f>IF(OR(O57=0,L57=""),"",L57/_xlfn.MAXIFS($L$4:$L$141,$O$4:$O$141,1))</x:f>
      </x:c>
      <x:c r="W57" t="str">
        <x:f>IF(OR(O57=0,J57=""),"",_xlfn.MINIFS($J$4:$J$141,$O$4:$O$141,1,$J$4:$J$141,"&gt;0")/J57)</x:f>
      </x:c>
      <x:c r="X57" t="str">
        <x:f>IF(R57="","",R57/_xlfn.MAXIFS($R$4:$R$141,$O$4:$O$141,1))</x:f>
      </x:c>
      <x:c r="Y57" t="str">
        <x:f>IF(T57="","",T57/_xlfn.MAXIFS($T$4:$T$141,$O$4:$O$141,1))</x:f>
      </x:c>
      <x:c r="Z57" s="67" t="str">
        <x:f>IF(OR(X57="",Y57=""),"",SQRT(X57*Y57))</x:f>
      </x:c>
      <x:c r="AA57" s="67" t="str">
        <x:f>IF(OR(X57="",Y57=""),"",X57^Controls!$C$8*Y57^Controls!$C$9)</x:f>
      </x:c>
      <x:c r="AB57" s="67" t="str">
        <x:f>IF(OR(X57="",Y57=""),"",X57^Controls!$C$9*Y57^Controls!$C$8)</x:f>
      </x:c>
      <x:c r="AC57" t="str">
        <x:f>IF(OR(U57="",V57=""),"",SQRT(U57*V57))</x:f>
      </x:c>
      <x:c r="AD57" t="str">
        <x:f>IF(OR(I57="",J57="",J57=0),"",I57/J57)</x:f>
      </x:c>
      <x:c r="AE57" t="str">
        <x:f>IF(OR(I57="",K57="",K57=0),"",I57/K57)</x:f>
      </x:c>
      <x:c r="AF57" t="str">
        <x:f>IF(Z57="","",1+COUNTIF($Z$4:$Z$141,"&gt;"&amp;Z57)+COUNTIFS($Z$4:Z57,Z57)-1)</x:f>
      </x:c>
      <x:c r="AG57" t="str">
        <x:f>IF(AA57="","",1+COUNTIF($AA$4:$AA$141,"&gt;"&amp;AA57)+COUNTIFS($AA$4:AA57,AA57)-1)</x:f>
      </x:c>
      <x:c r="AH57" t="str">
        <x:f>IF(AB57="","",1+COUNTIF($AB$4:$AB$141,"&gt;"&amp;AB57)+COUNTIFS($AB$4:AB57,AB57)-1)</x:f>
      </x:c>
      <x:c r="AI57" t="str">
        <x:f>IF(OR(O57=0,I57=""),"",1+COUNTIFS($O$4:$O$141,1,$I$4:$I$141,"&gt;"&amp;I57)+COUNTIFS($O$4:O57,1,$I$4:I57,I57)-1)</x:f>
      </x:c>
      <x:c r="AJ57" t="str">
        <x:f>IF(OR(O57=0,L57=""),"",1+COUNTIFS($O$4:$O$141,1,$L$4:$L$141,"&gt;"&amp;L57)+COUNTIFS($O$4:O57,1,$L$4:L57,L57)-1)</x:f>
      </x:c>
      <x:c r="AK57" t="str">
        <x:f>IF(OR(O57=0,J57="",J57=0),"",1+COUNTIFS($O$4:$O$141,1,$J$4:$J$141,"&lt;"&amp;J57,$J$4:$J$141,"&gt;0")+COUNTIFS($O$4:O57,1,$J$4:J57,J57)-1)</x:f>
      </x:c>
    </x:row>
    <x:row r="58">
      <x:c r="A58" t="inlineStr">
        <x:is>
          <x:t xml:space="preserve">z-ai|glm-5.3-flash|reasoning|reasoning|fallback-na|aa-v4.3.2|snapshot-2026-09-28</x:t>
        </x:is>
      </x:c>
      <x:c r="B58" t="inlineStr">
        <x:is>
          <x:t xml:space="preserve">z-ai|glm-5.3-flash|reasoning|reasoning|fallback-na</x:t>
        </x:is>
      </x:c>
      <x:c r="C58" t="inlineStr">
        <x:is>
          <x:t xml:space="preserve">GLM-5.3 Flash</x:t>
        </x:is>
      </x:c>
      <x:c r="D58" t="inlineStr">
        <x:is>
          <x:t xml:space="preserve">Z AI</x:t>
        </x:is>
      </x:c>
      <x:c r="E58" t="inlineStr">
        <x:is>
          <x:t xml:space="preserve">reasoning</x:t>
        </x:is>
      </x:c>
      <x:c r="F58" t="inlineStr">
        <x:is>
          <x:t xml:space="preserve">AA|v4.3.2</x:t>
        </x:is>
      </x:c>
      <x:c r="G58" t="n">
        <x:v>42</x:v>
      </x:c>
      <x:c r="H58" t="n">
        <x:f>IFERROR(INDEX(Benchmark_Versions!$I:$I,MATCH(F58,Benchmark_Versions!$A:$A,0)),1)</x:f>
        <x:v>1</x:v>
      </x:c>
      <x:c r="I58" t="n">
        <x:f>IF(G58="","",G58*H58)</x:f>
        <x:v>42</x:v>
      </x:c>
      <x:c r="J58" s="69" t="n">
        <x:v>0.25</x:v>
      </x:c>
      <x:c r="K58" t="n">
        <x:v>984.14</x:v>
      </x:c>
      <x:c r="L58" t="n">
        <x:v>57</x:v>
      </x:c>
      <x:c r="M58" t="inlineStr">
        <x:is>
          <x:t xml:space="preserve">Contender</x:t>
        </x:is>
      </x:c>
      <x:c r="N58" t="inlineStr">
        <x:is>
          <x:t xml:space="preserve">yes</x:t>
        </x:is>
      </x:c>
      <x:c r="O58" t="n">
        <x:f>IF(F58&lt;&gt;Controls!$C$12,0,IF(AND(Controls!$C$10="Contender",M58&lt;&gt;"Contender"),0,IF(AND(Controls!$C$10="Contender+Close",NOT(OR(M58="Contender",M58="Close"))),0,IF(AND(Controls!$C$11="Current",NOT(OR(N58="yes",N58="limited"))),0,1))))</x:f>
        <x:v>1</x:v>
      </x:c>
      <x:c r="P58" t="n">
        <x:f>Controls!$C$7</x:f>
        <x:v>40</x:v>
      </x:c>
      <x:c r="Q58" t="n">
        <x:f>IF(I58="","",I58-(P58-1))</x:f>
        <x:v>3</x:v>
      </x:c>
      <x:c r="R58" t="n">
        <x:f>IF(OR(O58=0,Q58&lt;=0,J58="",J58=0),"",Q58/J58)</x:f>
        <x:v>12</x:v>
      </x:c>
      <x:c r="S58" t="n">
        <x:f>IF(OR(O58=0,Q58&lt;=0,J58="",Q58=0),"",J58/Q58)</x:f>
        <x:v>0.08333333333333333</x:v>
      </x:c>
      <x:c r="T58" t="n">
        <x:f>IF(OR(O58=0,Q58&lt;=0,J58="",K58="",J58=0,K58=0),"",Q58/(J58*(K58/60)))</x:f>
        <x:v>0.7316032271831243</x:v>
      </x:c>
      <x:c r="U58" t="n">
        <x:f>IF(OR(O58=0,I58=""),"",I58/_xlfn.MAXIFS($I$4:$I$141,$O$4:$O$141,1))</x:f>
        <x:v>0.7241379310344828</x:v>
      </x:c>
      <x:c r="V58" t="n">
        <x:f>IF(OR(O58=0,L58=""),"",L58/_xlfn.MAXIFS($L$4:$L$141,$O$4:$O$141,1))</x:f>
        <x:v>0.1832797427652733</x:v>
      </x:c>
      <x:c r="W58" t="n">
        <x:f>IF(OR(O58=0,J58=""),"",_xlfn.MINIFS($J$4:$J$141,$O$4:$O$141,1,$J$4:$J$141,"&gt;0")/J58)</x:f>
        <x:v>0.018</x:v>
      </x:c>
      <x:c r="X58" t="n">
        <x:f>IF(R58="","",R58/_xlfn.MAXIFS($R$4:$R$141,$O$4:$O$141,1))</x:f>
        <x:v>1</x:v>
      </x:c>
      <x:c r="Y58" t="n">
        <x:f>IF(T58="","",T58/_xlfn.MAXIFS($T$4:$T$141,$O$4:$O$141,1))</x:f>
        <x:v>0.1213970137814306</x:v>
      </x:c>
      <x:c r="Z58" s="67" t="n">
        <x:f>IF(OR(X58="",Y58=""),"",SQRT(X58*Y58))</x:f>
        <x:v>0.34842074246725124</x:v>
      </x:c>
      <x:c r="AA58" s="67" t="n">
        <x:f>IF(OR(X58="",Y58=""),"",X58^Controls!$C$8*Y58^Controls!$C$9)</x:f>
        <x:v>0.34842074246725124</x:v>
      </x:c>
      <x:c r="AB58" s="67" t="n">
        <x:f>IF(OR(X58="",Y58=""),"",X58^Controls!$C$9*Y58^Controls!$C$8)</x:f>
        <x:v>0.34842074246725124</x:v>
      </x:c>
      <x:c r="AC58" t="n">
        <x:f>IF(OR(U58="",V58=""),"",SQRT(U58*V58))</x:f>
        <x:v>0.3643073067158786</x:v>
      </x:c>
      <x:c r="AD58" t="n">
        <x:f>IF(OR(I58="",J58="",J58=0),"",I58/J58)</x:f>
        <x:v>168</x:v>
      </x:c>
      <x:c r="AE58" t="n">
        <x:f>IF(OR(I58="",K58="",K58=0),"",I58/K58)</x:f>
        <x:v>0.042676854919015586</x:v>
      </x:c>
      <x:c r="AF58" t="n">
        <x:f>IF(Z58="","",1+COUNTIF($Z$4:$Z$141,"&gt;"&amp;Z58)+COUNTIFS($Z$4:Z58,Z58)-1)</x:f>
        <x:v>8</x:v>
      </x:c>
      <x:c r="AG58" t="n">
        <x:f>IF(AA58="","",1+COUNTIF($AA$4:$AA$141,"&gt;"&amp;AA58)+COUNTIFS($AA$4:AA58,AA58)-1)</x:f>
        <x:v>8</x:v>
      </x:c>
      <x:c r="AH58" t="n">
        <x:f>IF(AB58="","",1+COUNTIF($AB$4:$AB$141,"&gt;"&amp;AB58)+COUNTIFS($AB$4:AB58,AB58)-1)</x:f>
        <x:v>8</x:v>
      </x:c>
      <x:c r="AI58" t="n">
        <x:f>IF(OR(O58=0,I58=""),"",1+COUNTIFS($O$4:$O$141,1,$I$4:$I$141,"&gt;"&amp;I58)+COUNTIFS($O$4:O58,1,$I$4:I58,I58)-1)</x:f>
        <x:v>23</x:v>
      </x:c>
      <x:c r="AJ58" t="n">
        <x:f>IF(OR(O58=0,L58=""),"",1+COUNTIFS($O$4:$O$141,1,$L$4:$L$141,"&gt;"&amp;L58)+COUNTIFS($O$4:O58,1,$L$4:L58,L58)-1)</x:f>
        <x:v>32</x:v>
      </x:c>
      <x:c r="AK58" t="n">
        <x:f>IF(OR(O58=0,J58="",J58=0),"",1+COUNTIFS($O$4:$O$141,1,$J$4:$J$141,"&lt;"&amp;J58,$J$4:$J$141,"&gt;0")+COUNTIFS($O$4:O58,1,$J$4:J58,J58)-1)</x:f>
        <x:v>12</x:v>
      </x:c>
    </x:row>
    <x:row r="59">
      <x:c r="A59" t="inlineStr">
        <x:is>
          <x:t xml:space="preserve">alibaba|qwen3.8-flash-next|reasoning|reasoning|fallback-na|aa-v4.3.2|snapshot-2026-09-28</x:t>
        </x:is>
      </x:c>
      <x:c r="B59" t="inlineStr">
        <x:is>
          <x:t xml:space="preserve">alibaba|qwen3.8-flash-next|reasoning|reasoning|fallback-na</x:t>
        </x:is>
      </x:c>
      <x:c r="C59" t="inlineStr">
        <x:is>
          <x:t xml:space="preserve">Qwen3.8-Flash-Next</x:t>
        </x:is>
      </x:c>
      <x:c r="D59" t="inlineStr">
        <x:is>
          <x:t xml:space="preserve">Alibaba</x:t>
        </x:is>
      </x:c>
      <x:c r="E59" t="inlineStr">
        <x:is>
          <x:t xml:space="preserve">reasoning</x:t>
        </x:is>
      </x:c>
      <x:c r="F59" t="inlineStr">
        <x:is>
          <x:t xml:space="preserve">AA|v4.3.2</x:t>
        </x:is>
      </x:c>
      <x:c r="G59" t="n">
        <x:v>40</x:v>
      </x:c>
      <x:c r="H59" t="n">
        <x:f>IFERROR(INDEX(Benchmark_Versions!$I:$I,MATCH(F59,Benchmark_Versions!$A:$A,0)),1)</x:f>
        <x:v>1</x:v>
      </x:c>
      <x:c r="I59" t="n">
        <x:f>IF(G59="","",G59*H59)</x:f>
        <x:v>40</x:v>
      </x:c>
      <x:c r="J59" s="69" t="n">
        <x:v>0.37</x:v>
      </x:c>
      <x:c r="K59" t="n">
        <x:v>1662.06</x:v>
      </x:c>
      <x:c r="L59" t="n">
        <x:v>57</x:v>
      </x:c>
      <x:c r="M59" t="inlineStr">
        <x:is>
          <x:t xml:space="preserve">Close</x:t>
        </x:is>
      </x:c>
      <x:c r="N59" t="inlineStr">
        <x:is>
          <x:t xml:space="preserve">yes</x:t>
        </x:is>
      </x:c>
      <x:c r="O59" t="n">
        <x:f>IF(F59&lt;&gt;Controls!$C$12,0,IF(AND(Controls!$C$10="Contender",M59&lt;&gt;"Contender"),0,IF(AND(Controls!$C$10="Contender+Close",NOT(OR(M59="Contender",M59="Close"))),0,IF(AND(Controls!$C$11="Current",NOT(OR(N59="yes",N59="limited"))),0,1))))</x:f>
        <x:v>1</x:v>
      </x:c>
      <x:c r="P59" t="n">
        <x:f>Controls!$C$7</x:f>
        <x:v>40</x:v>
      </x:c>
      <x:c r="Q59" t="n">
        <x:f>IF(I59="","",I59-(P59-1))</x:f>
        <x:v>1</x:v>
      </x:c>
      <x:c r="R59" t="n">
        <x:f>IF(OR(O59=0,Q59&lt;=0,J59="",J59=0),"",Q59/J59)</x:f>
        <x:v>2.7027027027027026</x:v>
      </x:c>
      <x:c r="S59" t="n">
        <x:f>IF(OR(O59=0,Q59&lt;=0,J59="",Q59=0),"",J59/Q59)</x:f>
        <x:v>0.37</x:v>
      </x:c>
      <x:c r="T59" t="n">
        <x:f>IF(OR(O59=0,Q59&lt;=0,J59="",K59="",J59=0,K59=0),"",Q59/(J59*(K59/60)))</x:f>
        <x:v>0.09756697240903586</x:v>
      </x:c>
      <x:c r="U59" t="n">
        <x:f>IF(OR(O59=0,I59=""),"",I59/_xlfn.MAXIFS($I$4:$I$141,$O$4:$O$141,1))</x:f>
        <x:v>0.6896551724137931</x:v>
      </x:c>
      <x:c r="V59" t="n">
        <x:f>IF(OR(O59=0,L59=""),"",L59/_xlfn.MAXIFS($L$4:$L$141,$O$4:$O$141,1))</x:f>
        <x:v>0.1832797427652733</x:v>
      </x:c>
      <x:c r="W59" t="n">
        <x:f>IF(OR(O59=0,J59=""),"",_xlfn.MINIFS($J$4:$J$141,$O$4:$O$141,1,$J$4:$J$141,"&gt;0")/J59)</x:f>
        <x:v>0.012162162162162161</x:v>
      </x:c>
      <x:c r="X59" t="n">
        <x:f>IF(R59="","",R59/_xlfn.MAXIFS($R$4:$R$141,$O$4:$O$141,1))</x:f>
        <x:v>0.22522522522522523</x:v>
      </x:c>
      <x:c r="Y59" t="n">
        <x:f>IF(T59="","",T59/_xlfn.MAXIFS($T$4:$T$141,$O$4:$O$141,1))</x:f>
        <x:v>0.01618956649460963</x:v>
      </x:c>
      <x:c r="Z59" s="67" t="n">
        <x:f>IF(OR(X59="",Y59=""),"",SQRT(X59*Y59))</x:f>
        <x:v>0.06038459041880812</x:v>
      </x:c>
      <x:c r="AA59" s="67" t="n">
        <x:f>IF(OR(X59="",Y59=""),"",X59^Controls!$C$8*Y59^Controls!$C$9)</x:f>
        <x:v>0.06038459041880812</x:v>
      </x:c>
      <x:c r="AB59" s="67" t="n">
        <x:f>IF(OR(X59="",Y59=""),"",X59^Controls!$C$9*Y59^Controls!$C$8)</x:f>
        <x:v>0.06038459041880812</x:v>
      </x:c>
      <x:c r="AC59" t="n">
        <x:f>IF(OR(U59="",V59=""),"",SQRT(U59*V59))</x:f>
        <x:v>0.3555275271997096</x:v>
      </x:c>
      <x:c r="AD59" t="n">
        <x:f>IF(OR(I59="",J59="",J59=0),"",I59/J59)</x:f>
        <x:v>108.10810810810811</x:v>
      </x:c>
      <x:c r="AE59" t="n">
        <x:f>IF(OR(I59="",K59="",K59=0),"",I59/K59)</x:f>
        <x:v>0.024066519860895516</x:v>
      </x:c>
      <x:c r="AF59" t="n">
        <x:f>IF(Z59="","",1+COUNTIF($Z$4:$Z$141,"&gt;"&amp;Z59)+COUNTIFS($Z$4:Z59,Z59)-1)</x:f>
        <x:v>13</x:v>
      </x:c>
      <x:c r="AG59" t="n">
        <x:f>IF(AA59="","",1+COUNTIF($AA$4:$AA$141,"&gt;"&amp;AA59)+COUNTIFS($AA$4:AA59,AA59)-1)</x:f>
        <x:v>13</x:v>
      </x:c>
      <x:c r="AH59" t="n">
        <x:f>IF(AB59="","",1+COUNTIF($AB$4:$AB$141,"&gt;"&amp;AB59)+COUNTIFS($AB$4:AB59,AB59)-1)</x:f>
        <x:v>13</x:v>
      </x:c>
      <x:c r="AI59" t="n">
        <x:f>IF(OR(O59=0,I59=""),"",1+COUNTIFS($O$4:$O$141,1,$I$4:$I$141,"&gt;"&amp;I59)+COUNTIFS($O$4:O59,1,$I$4:I59,I59)-1)</x:f>
        <x:v>27</x:v>
      </x:c>
      <x:c r="AJ59" t="n">
        <x:f>IF(OR(O59=0,L59=""),"",1+COUNTIFS($O$4:$O$141,1,$L$4:$L$141,"&gt;"&amp;L59)+COUNTIFS($O$4:O59,1,$L$4:L59,L59)-1)</x:f>
        <x:v>33</x:v>
      </x:c>
      <x:c r="AK59" t="n">
        <x:f>IF(OR(O59=0,J59="",J59=0),"",1+COUNTIFS($O$4:$O$141,1,$J$4:$J$141,"&lt;"&amp;J59,$J$4:$J$141,"&gt;0")+COUNTIFS($O$4:O59,1,$J$4:J59,J59)-1)</x:f>
        <x:v>16</x:v>
      </x:c>
    </x:row>
    <x:row r="60">
      <x:c r="A60" t="inlineStr">
        <x:is>
          <x:t xml:space="preserve">xiaomi|mimo-v2.6-flash|reasoning|reasoning|fallback-na|aa-v4.3.2|snapshot-2026-09-28</x:t>
        </x:is>
      </x:c>
      <x:c r="B60" t="inlineStr">
        <x:is>
          <x:t xml:space="preserve">xiaomi|mimo-v2.6-flash|reasoning|reasoning|fallback-na</x:t>
        </x:is>
      </x:c>
      <x:c r="C60" t="inlineStr">
        <x:is>
          <x:t xml:space="preserve">MiMo-V2.6-Flash</x:t>
        </x:is>
      </x:c>
      <x:c r="D60" t="inlineStr">
        <x:is>
          <x:t xml:space="preserve">Xiaomi</x:t>
        </x:is>
      </x:c>
      <x:c r="E60" t="inlineStr">
        <x:is>
          <x:t xml:space="preserve">reasoning</x:t>
        </x:is>
      </x:c>
      <x:c r="F60" t="inlineStr">
        <x:is>
          <x:t xml:space="preserve">AA|v4.3.2</x:t>
        </x:is>
      </x:c>
      <x:c r="G60" t="n">
        <x:v>38</x:v>
      </x:c>
      <x:c r="H60" t="n">
        <x:f>IFERROR(INDEX(Benchmark_Versions!$I:$I,MATCH(F60,Benchmark_Versions!$A:$A,0)),1)</x:f>
        <x:v>1</x:v>
      </x:c>
      <x:c r="I60" t="n">
        <x:f>IF(G60="","",G60*H60)</x:f>
        <x:v>38</x:v>
      </x:c>
      <x:c r="J60" s="69" t="n">
        <x:v>0.06</x:v>
      </x:c>
      <x:c r="K60" t="n">
        <x:v>1253.14</x:v>
      </x:c>
      <x:c r="L60" t="n">
        <x:v>62</x:v>
      </x:c>
      <x:c r="M60" t="inlineStr">
        <x:is>
          <x:t xml:space="preserve">Contender</x:t>
        </x:is>
      </x:c>
      <x:c r="N60" t="inlineStr">
        <x:is>
          <x:t xml:space="preserve">yes</x:t>
        </x:is>
      </x:c>
      <x:c r="O60" t="n">
        <x:f>IF(F60&lt;&gt;Controls!$C$12,0,IF(AND(Controls!$C$10="Contender",M60&lt;&gt;"Contender"),0,IF(AND(Controls!$C$10="Contender+Close",NOT(OR(M60="Contender",M60="Close"))),0,IF(AND(Controls!$C$11="Current",NOT(OR(N60="yes",N60="limited"))),0,1))))</x:f>
        <x:v>1</x:v>
      </x:c>
      <x:c r="P60" t="n">
        <x:f>Controls!$C$7</x:f>
        <x:v>40</x:v>
      </x:c>
      <x:c r="Q60" t="n">
        <x:f>IF(I60="","",I60-(P60-1))</x:f>
        <x:v>-1</x:v>
      </x:c>
      <x:c r="R60" t="str">
        <x:f>IF(OR(O60=0,Q60&lt;=0,J60="",J60=0),"",Q60/J60)</x:f>
      </x:c>
      <x:c r="S60" t="str">
        <x:f>IF(OR(O60=0,Q60&lt;=0,J60="",Q60=0),"",J60/Q60)</x:f>
      </x:c>
      <x:c r="T60" t="str">
        <x:f>IF(OR(O60=0,Q60&lt;=0,J60="",K60="",J60=0,K60=0),"",Q60/(J60*(K60/60)))</x:f>
      </x:c>
      <x:c r="U60" t="n">
        <x:f>IF(OR(O60=0,I60=""),"",I60/_xlfn.MAXIFS($I$4:$I$141,$O$4:$O$141,1))</x:f>
        <x:v>0.6551724137931034</x:v>
      </x:c>
      <x:c r="V60" t="n">
        <x:f>IF(OR(O60=0,L60=""),"",L60/_xlfn.MAXIFS($L$4:$L$141,$O$4:$O$141,1))</x:f>
        <x:v>0.19935691318327975</x:v>
      </x:c>
      <x:c r="W60" t="n">
        <x:f>IF(OR(O60=0,J60=""),"",_xlfn.MINIFS($J$4:$J$141,$O$4:$O$141,1,$J$4:$J$141,"&gt;0")/J60)</x:f>
        <x:v>0.075</x:v>
      </x:c>
      <x:c r="X60" t="str">
        <x:f>IF(R60="","",R60/_xlfn.MAXIFS($R$4:$R$141,$O$4:$O$141,1))</x:f>
      </x:c>
      <x:c r="Y60" t="str">
        <x:f>IF(T60="","",T60/_xlfn.MAXIFS($T$4:$T$141,$O$4:$O$141,1))</x:f>
      </x:c>
      <x:c r="Z60" s="67" t="str">
        <x:f>IF(OR(X60="",Y60=""),"",SQRT(X60*Y60))</x:f>
      </x:c>
      <x:c r="AA60" s="67" t="str">
        <x:f>IF(OR(X60="",Y60=""),"",X60^Controls!$C$8*Y60^Controls!$C$9)</x:f>
      </x:c>
      <x:c r="AB60" s="67" t="str">
        <x:f>IF(OR(X60="",Y60=""),"",X60^Controls!$C$9*Y60^Controls!$C$8)</x:f>
      </x:c>
      <x:c r="AC60" t="n">
        <x:f>IF(OR(U60="",V60=""),"",SQRT(U60*V60))</x:f>
        <x:v>0.361404413388425</x:v>
      </x:c>
      <x:c r="AD60" t="n">
        <x:f>IF(OR(I60="",J60="",J60=0),"",I60/J60)</x:f>
        <x:v>633.3333333333334</x:v>
      </x:c>
      <x:c r="AE60" t="n">
        <x:f>IF(OR(I60="",K60="",K60=0),"",I60/K60)</x:f>
        <x:v>0.030323826547712145</x:v>
      </x:c>
      <x:c r="AF60" t="str">
        <x:f>IF(Z60="","",1+COUNTIF($Z$4:$Z$141,"&gt;"&amp;Z60)+COUNTIFS($Z$4:Z60,Z60)-1)</x:f>
      </x:c>
      <x:c r="AG60" t="str">
        <x:f>IF(AA60="","",1+COUNTIF($AA$4:$AA$141,"&gt;"&amp;AA60)+COUNTIFS($AA$4:AA60,AA60)-1)</x:f>
      </x:c>
      <x:c r="AH60" t="str">
        <x:f>IF(AB60="","",1+COUNTIF($AB$4:$AB$141,"&gt;"&amp;AB60)+COUNTIFS($AB$4:AB60,AB60)-1)</x:f>
      </x:c>
      <x:c r="AI60" t="n">
        <x:f>IF(OR(O60=0,I60=""),"",1+COUNTIFS($O$4:$O$141,1,$I$4:$I$141,"&gt;"&amp;I60)+COUNTIFS($O$4:O60,1,$I$4:I60,I60)-1)</x:f>
        <x:v>30</x:v>
      </x:c>
      <x:c r="AJ60" t="n">
        <x:f>IF(OR(O60=0,L60=""),"",1+COUNTIFS($O$4:$O$141,1,$L$4:$L$141,"&gt;"&amp;L60)+COUNTIFS($O$4:O60,1,$L$4:L60,L60)-1)</x:f>
        <x:v>31</x:v>
      </x:c>
      <x:c r="AK60" t="n">
        <x:f>IF(OR(O60=0,J60="",J60=0),"",1+COUNTIFS($O$4:$O$141,1,$J$4:$J$141,"&lt;"&amp;J60,$J$4:$J$141,"&gt;0")+COUNTIFS($O$4:O60,1,$J$4:J60,J60)-1)</x:f>
        <x:v>6</x:v>
      </x:c>
    </x:row>
    <x:row r="61">
      <x:c r="A61" t="inlineStr">
        <x:is>
          <x:t xml:space="preserve">minimax|minimax-m3|reasoning|reasoning|fallback-na|aa-v4.3.2|snapshot-2026-09-28</x:t>
        </x:is>
      </x:c>
      <x:c r="B61" t="inlineStr">
        <x:is>
          <x:t xml:space="preserve">minimax|minimax-m3|reasoning|reasoning|fallback-na</x:t>
        </x:is>
      </x:c>
      <x:c r="C61" t="inlineStr">
        <x:is>
          <x:t xml:space="preserve">MiniMax-M3</x:t>
        </x:is>
      </x:c>
      <x:c r="D61" t="inlineStr">
        <x:is>
          <x:t xml:space="preserve">MiniMax</x:t>
        </x:is>
      </x:c>
      <x:c r="E61" t="inlineStr">
        <x:is>
          <x:t xml:space="preserve">reasoning</x:t>
        </x:is>
      </x:c>
      <x:c r="F61" t="inlineStr">
        <x:is>
          <x:t xml:space="preserve">AA|v4.3.2</x:t>
        </x:is>
      </x:c>
      <x:c r="G61" t="n">
        <x:v>29</x:v>
      </x:c>
      <x:c r="H61" t="n">
        <x:f>IFERROR(INDEX(Benchmark_Versions!$I:$I,MATCH(F61,Benchmark_Versions!$A:$A,0)),1)</x:f>
        <x:v>1</x:v>
      </x:c>
      <x:c r="I61" t="n">
        <x:f>IF(G61="","",G61*H61)</x:f>
        <x:v>29</x:v>
      </x:c>
      <x:c r="J61" s="69" t="n">
        <x:v>0.51</x:v>
      </x:c>
      <x:c r="K61" t="n">
        <x:v>295.4</x:v>
      </x:c>
      <x:c r="L61" t="n">
        <x:v>174</x:v>
      </x:c>
      <x:c r="M61" t="inlineStr">
        <x:is>
          <x:t xml:space="preserve">Close</x:t>
        </x:is>
      </x:c>
      <x:c r="N61" t="inlineStr">
        <x:is>
          <x:t xml:space="preserve">yes</x:t>
        </x:is>
      </x:c>
      <x:c r="O61" t="n">
        <x:f>IF(F61&lt;&gt;Controls!$C$12,0,IF(AND(Controls!$C$10="Contender",M61&lt;&gt;"Contender"),0,IF(AND(Controls!$C$10="Contender+Close",NOT(OR(M61="Contender",M61="Close"))),0,IF(AND(Controls!$C$11="Current",NOT(OR(N61="yes",N61="limited"))),0,1))))</x:f>
        <x:v>1</x:v>
      </x:c>
      <x:c r="P61" t="n">
        <x:f>Controls!$C$7</x:f>
        <x:v>40</x:v>
      </x:c>
      <x:c r="Q61" t="n">
        <x:f>IF(I61="","",I61-(P61-1))</x:f>
        <x:v>-10</x:v>
      </x:c>
      <x:c r="R61" t="str">
        <x:f>IF(OR(O61=0,Q61&lt;=0,J61="",J61=0),"",Q61/J61)</x:f>
      </x:c>
      <x:c r="S61" t="str">
        <x:f>IF(OR(O61=0,Q61&lt;=0,J61="",Q61=0),"",J61/Q61)</x:f>
      </x:c>
      <x:c r="T61" t="str">
        <x:f>IF(OR(O61=0,Q61&lt;=0,J61="",K61="",J61=0,K61=0),"",Q61/(J61*(K61/60)))</x:f>
      </x:c>
      <x:c r="U61" t="n">
        <x:f>IF(OR(O61=0,I61=""),"",I61/_xlfn.MAXIFS($I$4:$I$141,$O$4:$O$141,1))</x:f>
        <x:v>0.5</x:v>
      </x:c>
      <x:c r="V61" t="n">
        <x:f>IF(OR(O61=0,L61=""),"",L61/_xlfn.MAXIFS($L$4:$L$141,$O$4:$O$141,1))</x:f>
        <x:v>0.5594855305466238</x:v>
      </x:c>
      <x:c r="W61" t="n">
        <x:f>IF(OR(O61=0,J61=""),"",_xlfn.MINIFS($J$4:$J$141,$O$4:$O$141,1,$J$4:$J$141,"&gt;0")/J61)</x:f>
        <x:v>0.008823529411764706</x:v>
      </x:c>
      <x:c r="X61" t="str">
        <x:f>IF(R61="","",R61/_xlfn.MAXIFS($R$4:$R$141,$O$4:$O$141,1))</x:f>
      </x:c>
      <x:c r="Y61" t="str">
        <x:f>IF(T61="","",T61/_xlfn.MAXIFS($T$4:$T$141,$O$4:$O$141,1))</x:f>
      </x:c>
      <x:c r="Z61" s="67" t="str">
        <x:f>IF(OR(X61="",Y61=""),"",SQRT(X61*Y61))</x:f>
      </x:c>
      <x:c r="AA61" s="67" t="str">
        <x:f>IF(OR(X61="",Y61=""),"",X61^Controls!$C$8*Y61^Controls!$C$9)</x:f>
      </x:c>
      <x:c r="AB61" s="67" t="str">
        <x:f>IF(OR(X61="",Y61=""),"",X61^Controls!$C$9*Y61^Controls!$C$8)</x:f>
      </x:c>
      <x:c r="AC61" t="n">
        <x:f>IF(OR(U61="",V61=""),"",SQRT(U61*V61))</x:f>
        <x:v>0.5289071423920383</x:v>
      </x:c>
      <x:c r="AD61" t="n">
        <x:f>IF(OR(I61="",J61="",J61=0),"",I61/J61)</x:f>
        <x:v>56.86274509803921</x:v>
      </x:c>
      <x:c r="AE61" t="n">
        <x:f>IF(OR(I61="",K61="",K61=0),"",I61/K61)</x:f>
        <x:v>0.09817197020988491</x:v>
      </x:c>
      <x:c r="AF61" t="str">
        <x:f>IF(Z61="","",1+COUNTIF($Z$4:$Z$141,"&gt;"&amp;Z61)+COUNTIFS($Z$4:Z61,Z61)-1)</x:f>
      </x:c>
      <x:c r="AG61" t="str">
        <x:f>IF(AA61="","",1+COUNTIF($AA$4:$AA$141,"&gt;"&amp;AA61)+COUNTIFS($AA$4:AA61,AA61)-1)</x:f>
      </x:c>
      <x:c r="AH61" t="str">
        <x:f>IF(AB61="","",1+COUNTIF($AB$4:$AB$141,"&gt;"&amp;AB61)+COUNTIFS($AB$4:AB61,AB61)-1)</x:f>
      </x:c>
      <x:c r="AI61" t="n">
        <x:f>IF(OR(O61=0,I61=""),"",1+COUNTIFS($O$4:$O$141,1,$I$4:$I$141,"&gt;"&amp;I61)+COUNTIFS($O$4:O61,1,$I$4:I61,I61)-1)</x:f>
        <x:v>39</x:v>
      </x:c>
      <x:c r="AJ61" t="n">
        <x:f>IF(OR(O61=0,L61=""),"",1+COUNTIFS($O$4:$O$141,1,$L$4:$L$141,"&gt;"&amp;L61)+COUNTIFS($O$4:O61,1,$L$4:L61,L61)-1)</x:f>
        <x:v>6</x:v>
      </x:c>
      <x:c r="AK61" t="n">
        <x:f>IF(OR(O61=0,J61="",J61=0),"",1+COUNTIFS($O$4:$O$141,1,$J$4:$J$141,"&lt;"&amp;J61,$J$4:$J$141,"&gt;0")+COUNTIFS($O$4:O61,1,$J$4:J61,J61)-1)</x:f>
        <x:v>18</x:v>
      </x:c>
    </x:row>
    <x:row r="62">
      <x:c r="A62" t="inlineStr">
        <x:is>
          <x:t xml:space="preserve">meta|muse-spark-1.3|xhigh|reasoning|fallback-na|aa-v4.3.2|snapshot-2026-09-28</x:t>
        </x:is>
      </x:c>
      <x:c r="B62" t="inlineStr">
        <x:is>
          <x:t xml:space="preserve">meta|muse-spark-1.3|xhigh|reasoning|fallback-na</x:t>
        </x:is>
      </x:c>
      <x:c r="C62" t="inlineStr">
        <x:is>
          <x:t xml:space="preserve">Muse Spark 1.3</x:t>
        </x:is>
      </x:c>
      <x:c r="D62" t="inlineStr">
        <x:is>
          <x:t xml:space="preserve">Meta</x:t>
        </x:is>
      </x:c>
      <x:c r="E62" t="inlineStr">
        <x:is>
          <x:t xml:space="preserve">xhigh</x:t>
        </x:is>
      </x:c>
      <x:c r="F62" t="inlineStr">
        <x:is>
          <x:t xml:space="preserve">AA|v4.3.2</x:t>
        </x:is>
      </x:c>
      <x:c r="G62" t="n">
        <x:v>45</x:v>
      </x:c>
      <x:c r="H62" t="n">
        <x:f>IFERROR(INDEX(Benchmark_Versions!$I:$I,MATCH(F62,Benchmark_Versions!$A:$A,0)),1)</x:f>
        <x:v>1</x:v>
      </x:c>
      <x:c r="I62" t="n">
        <x:f>IF(G62="","",G62*H62)</x:f>
        <x:v>45</x:v>
      </x:c>
      <x:c r="J62" s="69" t="n">
        <x:v>1.37</x:v>
      </x:c>
      <x:c r="L62" t="n">
        <x:v>196</x:v>
      </x:c>
      <x:c r="M62" t="inlineStr">
        <x:is>
          <x:t xml:space="preserve">Contender</x:t>
        </x:is>
      </x:c>
      <x:c r="N62" t="inlineStr">
        <x:is>
          <x:t xml:space="preserve">yes</x:t>
        </x:is>
      </x:c>
      <x:c r="O62" t="n">
        <x:f>IF(F62&lt;&gt;Controls!$C$12,0,IF(AND(Controls!$C$10="Contender",M62&lt;&gt;"Contender"),0,IF(AND(Controls!$C$10="Contender+Close",NOT(OR(M62="Contender",M62="Close"))),0,IF(AND(Controls!$C$11="Current",NOT(OR(N62="yes",N62="limited"))),0,1))))</x:f>
        <x:v>1</x:v>
      </x:c>
      <x:c r="P62" t="n">
        <x:f>Controls!$C$7</x:f>
        <x:v>40</x:v>
      </x:c>
      <x:c r="Q62" t="n">
        <x:f>IF(I62="","",I62-(P62-1))</x:f>
        <x:v>6</x:v>
      </x:c>
      <x:c r="R62" t="n">
        <x:f>IF(OR(O62=0,Q62&lt;=0,J62="",J62=0),"",Q62/J62)</x:f>
        <x:v>4.37956204379562</x:v>
      </x:c>
      <x:c r="S62" t="n">
        <x:f>IF(OR(O62=0,Q62&lt;=0,J62="",Q62=0),"",J62/Q62)</x:f>
        <x:v>0.22833333333333336</x:v>
      </x:c>
      <x:c r="T62" t="str">
        <x:f>IF(OR(O62=0,Q62&lt;=0,J62="",K62="",J62=0,K62=0),"",Q62/(J62*(K62/60)))</x:f>
      </x:c>
      <x:c r="U62" t="n">
        <x:f>IF(OR(O62=0,I62=""),"",I62/_xlfn.MAXIFS($I$4:$I$141,$O$4:$O$141,1))</x:f>
        <x:v>0.7758620689655172</x:v>
      </x:c>
      <x:c r="V62" t="n">
        <x:f>IF(OR(O62=0,L62=""),"",L62/_xlfn.MAXIFS($L$4:$L$141,$O$4:$O$141,1))</x:f>
        <x:v>0.6302250803858521</x:v>
      </x:c>
      <x:c r="W62" t="n">
        <x:f>IF(OR(O62=0,J62=""),"",_xlfn.MINIFS($J$4:$J$141,$O$4:$O$141,1,$J$4:$J$141,"&gt;0")/J62)</x:f>
        <x:v>0.003284671532846715</x:v>
      </x:c>
      <x:c r="X62" t="n">
        <x:f>IF(R62="","",R62/_xlfn.MAXIFS($R$4:$R$141,$O$4:$O$141,1))</x:f>
        <x:v>0.36496350364963503</x:v>
      </x:c>
      <x:c r="Y62" t="str">
        <x:f>IF(T62="","",T62/_xlfn.MAXIFS($T$4:$T$141,$O$4:$O$141,1))</x:f>
      </x:c>
      <x:c r="Z62" s="67" t="str">
        <x:f>IF(OR(X62="",Y62=""),"",SQRT(X62*Y62))</x:f>
      </x:c>
      <x:c r="AA62" s="67" t="str">
        <x:f>IF(OR(X62="",Y62=""),"",X62^Controls!$C$8*Y62^Controls!$C$9)</x:f>
      </x:c>
      <x:c r="AB62" s="67" t="str">
        <x:f>IF(OR(X62="",Y62=""),"",X62^Controls!$C$9*Y62^Controls!$C$8)</x:f>
      </x:c>
      <x:c r="AC62" t="n">
        <x:f>IF(OR(U62="",V62=""),"",SQRT(U62*V62))</x:f>
        <x:v>0.6992622789641427</x:v>
      </x:c>
      <x:c r="AD62" t="n">
        <x:f>IF(OR(I62="",J62="",J62=0),"",I62/J62)</x:f>
        <x:v>32.84671532846715</x:v>
      </x:c>
      <x:c r="AE62" t="str">
        <x:f>IF(OR(I62="",K62="",K62=0),"",I62/K62)</x:f>
      </x:c>
      <x:c r="AF62" t="str">
        <x:f>IF(Z62="","",1+COUNTIF($Z$4:$Z$141,"&gt;"&amp;Z62)+COUNTIFS($Z$4:Z62,Z62)-1)</x:f>
      </x:c>
      <x:c r="AG62" t="str">
        <x:f>IF(AA62="","",1+COUNTIF($AA$4:$AA$141,"&gt;"&amp;AA62)+COUNTIFS($AA$4:AA62,AA62)-1)</x:f>
      </x:c>
      <x:c r="AH62" t="str">
        <x:f>IF(AB62="","",1+COUNTIF($AB$4:$AB$141,"&gt;"&amp;AB62)+COUNTIFS($AB$4:AB62,AB62)-1)</x:f>
      </x:c>
      <x:c r="AI62" t="n">
        <x:f>IF(OR(O62=0,I62=""),"",1+COUNTIFS($O$4:$O$141,1,$I$4:$I$141,"&gt;"&amp;I62)+COUNTIFS($O$4:O62,1,$I$4:I62,I62)-1)</x:f>
        <x:v>18</x:v>
      </x:c>
      <x:c r="AJ62" t="n">
        <x:f>IF(OR(O62=0,L62=""),"",1+COUNTIFS($O$4:$O$141,1,$L$4:$L$141,"&gt;"&amp;L62)+COUNTIFS($O$4:O62,1,$L$4:L62,L62)-1)</x:f>
        <x:v>5</x:v>
      </x:c>
      <x:c r="AK62" t="n">
        <x:f>IF(OR(O62=0,J62="",J62=0),"",1+COUNTIFS($O$4:$O$141,1,$J$4:$J$141,"&lt;"&amp;J62,$J$4:$J$141,"&gt;0")+COUNTIFS($O$4:O62,1,$J$4:J62,J62)-1)</x:f>
        <x:v>29</x:v>
      </x:c>
    </x:row>
    <x:row r="63">
      <x:c r="A63" t="inlineStr">
        <x:is>
          <x:t xml:space="preserve">meta|muse-spark-1.3|max|reasoning|fallback-na|aa-v4.3.2|snapshot-2026-09-28</x:t>
        </x:is>
      </x:c>
      <x:c r="B63" t="inlineStr">
        <x:is>
          <x:t xml:space="preserve">meta|muse-spark-1.3|max|reasoning|fallback-na</x:t>
        </x:is>
      </x:c>
      <x:c r="C63" t="inlineStr">
        <x:is>
          <x:t xml:space="preserve">Muse Spark 1.3</x:t>
        </x:is>
      </x:c>
      <x:c r="D63" t="inlineStr">
        <x:is>
          <x:t xml:space="preserve">Meta</x:t>
        </x:is>
      </x:c>
      <x:c r="E63" t="inlineStr">
        <x:is>
          <x:t xml:space="preserve">max</x:t>
        </x:is>
      </x:c>
      <x:c r="F63" t="inlineStr">
        <x:is>
          <x:t xml:space="preserve">AA|v4.3.2</x:t>
        </x:is>
      </x:c>
      <x:c r="G63" t="n">
        <x:v>48</x:v>
      </x:c>
      <x:c r="H63" t="n">
        <x:f>IFERROR(INDEX(Benchmark_Versions!$I:$I,MATCH(F63,Benchmark_Versions!$A:$A,0)),1)</x:f>
        <x:v>1</x:v>
      </x:c>
      <x:c r="I63" t="n">
        <x:f>IF(G63="","",G63*H63)</x:f>
        <x:v>48</x:v>
      </x:c>
      <x:c r="J63" s="69" t="n">
        <x:v>1.6</x:v>
      </x:c>
      <x:c r="K63" t="n">
        <x:v>312.77</x:v>
      </x:c>
      <x:c r="L63" t="n">
        <x:v>210</x:v>
      </x:c>
      <x:c r="M63" t="inlineStr">
        <x:is>
          <x:t xml:space="preserve">Contender</x:t>
        </x:is>
      </x:c>
      <x:c r="N63" t="inlineStr">
        <x:is>
          <x:t xml:space="preserve">yes</x:t>
        </x:is>
      </x:c>
      <x:c r="O63" t="n">
        <x:f>IF(F63&lt;&gt;Controls!$C$12,0,IF(AND(Controls!$C$10="Contender",M63&lt;&gt;"Contender"),0,IF(AND(Controls!$C$10="Contender+Close",NOT(OR(M63="Contender",M63="Close"))),0,IF(AND(Controls!$C$11="Current",NOT(OR(N63="yes",N63="limited"))),0,1))))</x:f>
        <x:v>1</x:v>
      </x:c>
      <x:c r="P63" t="n">
        <x:f>Controls!$C$7</x:f>
        <x:v>40</x:v>
      </x:c>
      <x:c r="Q63" t="n">
        <x:f>IF(I63="","",I63-(P63-1))</x:f>
        <x:v>9</x:v>
      </x:c>
      <x:c r="R63" t="n">
        <x:f>IF(OR(O63=0,Q63&lt;=0,J63="",J63=0),"",Q63/J63)</x:f>
        <x:v>5.625</x:v>
      </x:c>
      <x:c r="S63" t="n">
        <x:f>IF(OR(O63=0,Q63&lt;=0,J63="",Q63=0),"",J63/Q63)</x:f>
        <x:v>0.17777777777777778</x:v>
      </x:c>
      <x:c r="T63" t="n">
        <x:f>IF(OR(O63=0,Q63&lt;=0,J63="",K63="",J63=0,K63=0),"",Q63/(J63*(K63/60)))</x:f>
        <x:v>1.079067685519711</x:v>
      </x:c>
      <x:c r="U63" t="n">
        <x:f>IF(OR(O63=0,I63=""),"",I63/_xlfn.MAXIFS($I$4:$I$141,$O$4:$O$141,1))</x:f>
        <x:v>0.8275862068965517</x:v>
      </x:c>
      <x:c r="V63" t="n">
        <x:f>IF(OR(O63=0,L63=""),"",L63/_xlfn.MAXIFS($L$4:$L$141,$O$4:$O$141,1))</x:f>
        <x:v>0.6752411575562701</x:v>
      </x:c>
      <x:c r="W63" t="n">
        <x:f>IF(OR(O63=0,J63=""),"",_xlfn.MINIFS($J$4:$J$141,$O$4:$O$141,1,$J$4:$J$141,"&gt;0")/J63)</x:f>
        <x:v>0.0028124999999999995</x:v>
      </x:c>
      <x:c r="X63" t="n">
        <x:f>IF(R63="","",R63/_xlfn.MAXIFS($R$4:$R$141,$O$4:$O$141,1))</x:f>
        <x:v>0.46875</x:v>
      </x:c>
      <x:c r="Y63" t="n">
        <x:f>IF(T63="","",T63/_xlfn.MAXIFS($T$4:$T$141,$O$4:$O$141,1))</x:f>
        <x:v>0.17905278410881567</x:v>
      </x:c>
      <x:c r="Z63" s="67" t="n">
        <x:f>IF(OR(X63="",Y63=""),"",SQRT(X63*Y63))</x:f>
        <x:v>0.28970846130378614</x:v>
      </x:c>
      <x:c r="AA63" s="67" t="n">
        <x:f>IF(OR(X63="",Y63=""),"",X63^Controls!$C$8*Y63^Controls!$C$9)</x:f>
        <x:v>0.28970846130378614</x:v>
      </x:c>
      <x:c r="AB63" s="67" t="n">
        <x:f>IF(OR(X63="",Y63=""),"",X63^Controls!$C$9*Y63^Controls!$C$8)</x:f>
        <x:v>0.28970846130378614</x:v>
      </x:c>
      <x:c r="AC63" t="n">
        <x:f>IF(OR(U63="",V63=""),"",SQRT(U63*V63))</x:f>
        <x:v>0.7475428203938759</x:v>
      </x:c>
      <x:c r="AD63" t="n">
        <x:f>IF(OR(I63="",J63="",J63=0),"",I63/J63)</x:f>
        <x:v>30</x:v>
      </x:c>
      <x:c r="AE63" t="n">
        <x:f>IF(OR(I63="",K63="",K63=0),"",I63/K63)</x:f>
        <x:v>0.15346740416280336</x:v>
      </x:c>
      <x:c r="AF63" t="n">
        <x:f>IF(Z63="","",1+COUNTIF($Z$4:$Z$141,"&gt;"&amp;Z63)+COUNTIFS($Z$4:Z63,Z63)-1)</x:f>
        <x:v>10</x:v>
      </x:c>
      <x:c r="AG63" t="n">
        <x:f>IF(AA63="","",1+COUNTIF($AA$4:$AA$141,"&gt;"&amp;AA63)+COUNTIFS($AA$4:AA63,AA63)-1)</x:f>
        <x:v>10</x:v>
      </x:c>
      <x:c r="AH63" t="n">
        <x:f>IF(AB63="","",1+COUNTIF($AB$4:$AB$141,"&gt;"&amp;AB63)+COUNTIFS($AB$4:AB63,AB63)-1)</x:f>
        <x:v>10</x:v>
      </x:c>
      <x:c r="AI63" t="n">
        <x:f>IF(OR(O63=0,I63=""),"",1+COUNTIFS($O$4:$O$141,1,$I$4:$I$141,"&gt;"&amp;I63)+COUNTIFS($O$4:O63,1,$I$4:I63,I63)-1)</x:f>
        <x:v>14</x:v>
      </x:c>
      <x:c r="AJ63" t="n">
        <x:f>IF(OR(O63=0,L63=""),"",1+COUNTIFS($O$4:$O$141,1,$L$4:$L$141,"&gt;"&amp;L63)+COUNTIFS($O$4:O63,1,$L$4:L63,L63)-1)</x:f>
        <x:v>4</x:v>
      </x:c>
      <x:c r="AK63" t="n">
        <x:f>IF(OR(O63=0,J63="",J63=0),"",1+COUNTIFS($O$4:$O$141,1,$J$4:$J$141,"&lt;"&amp;J63,$J$4:$J$141,"&gt;0")+COUNTIFS($O$4:O63,1,$J$4:J63,J63)-1)</x:f>
        <x:v>31</x:v>
      </x:c>
    </x:row>
    <x:row r="64">
      <x:c r="A64" t="inlineStr">
        <x:is>
          <x:t xml:space="preserve">google|gemini-3.8-flash|low|reasoning|fallback-na|aa-v4.3.2|snapshot-2026-09-28</x:t>
        </x:is>
      </x:c>
      <x:c r="B64" t="inlineStr">
        <x:is>
          <x:t xml:space="preserve">google|gemini-3.8-flash|low|reasoning|fallback-na</x:t>
        </x:is>
      </x:c>
      <x:c r="C64" t="inlineStr">
        <x:is>
          <x:t xml:space="preserve">Gemini 3.8 Flash</x:t>
        </x:is>
      </x:c>
      <x:c r="D64" t="inlineStr">
        <x:is>
          <x:t xml:space="preserve">Google</x:t>
        </x:is>
      </x:c>
      <x:c r="E64" t="inlineStr">
        <x:is>
          <x:t xml:space="preserve">low</x:t>
        </x:is>
      </x:c>
      <x:c r="F64" t="inlineStr">
        <x:is>
          <x:t xml:space="preserve">AA|v4.3.2</x:t>
        </x:is>
      </x:c>
      <x:c r="G64" t="n">
        <x:v>33</x:v>
      </x:c>
      <x:c r="H64" t="n">
        <x:f>IFERROR(INDEX(Benchmark_Versions!$I:$I,MATCH(F64,Benchmark_Versions!$A:$A,0)),1)</x:f>
        <x:v>1</x:v>
      </x:c>
      <x:c r="I64" t="n">
        <x:f>IF(G64="","",G64*H64)</x:f>
        <x:v>33</x:v>
      </x:c>
      <x:c r="J64" s="69" t="n"/>
      <x:c r="M64" t="inlineStr">
        <x:is>
          <x:t xml:space="preserve">Contender</x:t>
        </x:is>
      </x:c>
      <x:c r="N64" t="inlineStr">
        <x:is>
          <x:t xml:space="preserve">yes</x:t>
        </x:is>
      </x:c>
      <x:c r="O64" t="n">
        <x:f>IF(F64&lt;&gt;Controls!$C$12,0,IF(AND(Controls!$C$10="Contender",M64&lt;&gt;"Contender"),0,IF(AND(Controls!$C$10="Contender+Close",NOT(OR(M64="Contender",M64="Close"))),0,IF(AND(Controls!$C$11="Current",NOT(OR(N64="yes",N64="limited"))),0,1))))</x:f>
        <x:v>1</x:v>
      </x:c>
      <x:c r="P64" t="n">
        <x:f>Controls!$C$7</x:f>
        <x:v>40</x:v>
      </x:c>
      <x:c r="Q64" t="n">
        <x:f>IF(I64="","",I64-(P64-1))</x:f>
        <x:v>-6</x:v>
      </x:c>
      <x:c r="R64" t="str">
        <x:f>IF(OR(O64=0,Q64&lt;=0,J64="",J64=0),"",Q64/J64)</x:f>
      </x:c>
      <x:c r="S64" t="str">
        <x:f>IF(OR(O64=0,Q64&lt;=0,J64="",Q64=0),"",J64/Q64)</x:f>
      </x:c>
      <x:c r="T64" t="str">
        <x:f>IF(OR(O64=0,Q64&lt;=0,J64="",K64="",J64=0,K64=0),"",Q64/(J64*(K64/60)))</x:f>
      </x:c>
      <x:c r="U64" t="n">
        <x:f>IF(OR(O64=0,I64=""),"",I64/_xlfn.MAXIFS($I$4:$I$141,$O$4:$O$141,1))</x:f>
        <x:v>0.5689655172413793</x:v>
      </x:c>
      <x:c r="V64" t="str">
        <x:f>IF(OR(O64=0,L64=""),"",L64/_xlfn.MAXIFS($L$4:$L$141,$O$4:$O$141,1))</x:f>
      </x:c>
      <x:c r="W64" t="str">
        <x:f>IF(OR(O64=0,J64=""),"",_xlfn.MINIFS($J$4:$J$141,$O$4:$O$141,1,$J$4:$J$141,"&gt;0")/J64)</x:f>
      </x:c>
      <x:c r="X64" t="str">
        <x:f>IF(R64="","",R64/_xlfn.MAXIFS($R$4:$R$141,$O$4:$O$141,1))</x:f>
      </x:c>
      <x:c r="Y64" t="str">
        <x:f>IF(T64="","",T64/_xlfn.MAXIFS($T$4:$T$141,$O$4:$O$141,1))</x:f>
      </x:c>
      <x:c r="Z64" s="67" t="str">
        <x:f>IF(OR(X64="",Y64=""),"",SQRT(X64*Y64))</x:f>
      </x:c>
      <x:c r="AA64" s="67" t="str">
        <x:f>IF(OR(X64="",Y64=""),"",X64^Controls!$C$8*Y64^Controls!$C$9)</x:f>
      </x:c>
      <x:c r="AB64" s="67" t="str">
        <x:f>IF(OR(X64="",Y64=""),"",X64^Controls!$C$9*Y64^Controls!$C$8)</x:f>
      </x:c>
      <x:c r="AC64" t="str">
        <x:f>IF(OR(U64="",V64=""),"",SQRT(U64*V64))</x:f>
      </x:c>
      <x:c r="AD64" t="str">
        <x:f>IF(OR(I64="",J64="",J64=0),"",I64/J64)</x:f>
      </x:c>
      <x:c r="AE64" t="str">
        <x:f>IF(OR(I64="",K64="",K64=0),"",I64/K64)</x:f>
      </x:c>
      <x:c r="AF64" t="str">
        <x:f>IF(Z64="","",1+COUNTIF($Z$4:$Z$141,"&gt;"&amp;Z64)+COUNTIFS($Z$4:Z64,Z64)-1)</x:f>
      </x:c>
      <x:c r="AG64" t="str">
        <x:f>IF(AA64="","",1+COUNTIF($AA$4:$AA$141,"&gt;"&amp;AA64)+COUNTIFS($AA$4:AA64,AA64)-1)</x:f>
      </x:c>
      <x:c r="AH64" t="str">
        <x:f>IF(AB64="","",1+COUNTIF($AB$4:$AB$141,"&gt;"&amp;AB64)+COUNTIFS($AB$4:AB64,AB64)-1)</x:f>
      </x:c>
      <x:c r="AI64" t="n">
        <x:f>IF(OR(O64=0,I64=""),"",1+COUNTIFS($O$4:$O$141,1,$I$4:$I$141,"&gt;"&amp;I64)+COUNTIFS($O$4:O64,1,$I$4:I64,I64)-1)</x:f>
        <x:v>36</x:v>
      </x:c>
      <x:c r="AJ64" t="str">
        <x:f>IF(OR(O64=0,L64=""),"",1+COUNTIFS($O$4:$O$141,1,$L$4:$L$141,"&gt;"&amp;L64)+COUNTIFS($O$4:O64,1,$L$4:L64,L64)-1)</x:f>
      </x:c>
      <x:c r="AK64" t="str">
        <x:f>IF(OR(O64=0,J64="",J64=0),"",1+COUNTIFS($O$4:$O$141,1,$J$4:$J$141,"&lt;"&amp;J64,$J$4:$J$141,"&gt;0")+COUNTIFS($O$4:O64,1,$J$4:J64,J64)-1)</x:f>
      </x:c>
    </x:row>
    <x:row r="65">
      <x:c r="A65" t="inlineStr">
        <x:is>
          <x:t xml:space="preserve">google|gemini-3.8-flash|medium|reasoning|fallback-na|aa-v4.3.2|snapshot-2026-09-28</x:t>
        </x:is>
      </x:c>
      <x:c r="B65" t="inlineStr">
        <x:is>
          <x:t xml:space="preserve">google|gemini-3.8-flash|medium|reasoning|fallback-na</x:t>
        </x:is>
      </x:c>
      <x:c r="C65" t="inlineStr">
        <x:is>
          <x:t xml:space="preserve">Gemini 3.8 Flash</x:t>
        </x:is>
      </x:c>
      <x:c r="D65" t="inlineStr">
        <x:is>
          <x:t xml:space="preserve">Google</x:t>
        </x:is>
      </x:c>
      <x:c r="E65" t="inlineStr">
        <x:is>
          <x:t xml:space="preserve">medium</x:t>
        </x:is>
      </x:c>
      <x:c r="F65" t="inlineStr">
        <x:is>
          <x:t xml:space="preserve">AA|v4.3.2</x:t>
        </x:is>
      </x:c>
      <x:c r="G65" t="n">
        <x:v>40</x:v>
      </x:c>
      <x:c r="H65" t="n">
        <x:f>IFERROR(INDEX(Benchmark_Versions!$I:$I,MATCH(F65,Benchmark_Versions!$A:$A,0)),1)</x:f>
        <x:v>1</x:v>
      </x:c>
      <x:c r="I65" t="n">
        <x:f>IF(G65="","",G65*H65)</x:f>
        <x:v>40</x:v>
      </x:c>
      <x:c r="J65" s="69" t="n">
        <x:v>0.93</x:v>
      </x:c>
      <x:c r="M65" t="inlineStr">
        <x:is>
          <x:t xml:space="preserve">Contender</x:t>
        </x:is>
      </x:c>
      <x:c r="N65" t="inlineStr">
        <x:is>
          <x:t xml:space="preserve">yes</x:t>
        </x:is>
      </x:c>
      <x:c r="O65" t="n">
        <x:f>IF(F65&lt;&gt;Controls!$C$12,0,IF(AND(Controls!$C$10="Contender",M65&lt;&gt;"Contender"),0,IF(AND(Controls!$C$10="Contender+Close",NOT(OR(M65="Contender",M65="Close"))),0,IF(AND(Controls!$C$11="Current",NOT(OR(N65="yes",N65="limited"))),0,1))))</x:f>
        <x:v>1</x:v>
      </x:c>
      <x:c r="P65" t="n">
        <x:f>Controls!$C$7</x:f>
        <x:v>40</x:v>
      </x:c>
      <x:c r="Q65" t="n">
        <x:f>IF(I65="","",I65-(P65-1))</x:f>
        <x:v>1</x:v>
      </x:c>
      <x:c r="R65" t="n">
        <x:f>IF(OR(O65=0,Q65&lt;=0,J65="",J65=0),"",Q65/J65)</x:f>
        <x:v>1.075268817204301</x:v>
      </x:c>
      <x:c r="S65" t="n">
        <x:f>IF(OR(O65=0,Q65&lt;=0,J65="",Q65=0),"",J65/Q65)</x:f>
        <x:v>0.93</x:v>
      </x:c>
      <x:c r="T65" t="str">
        <x:f>IF(OR(O65=0,Q65&lt;=0,J65="",K65="",J65=0,K65=0),"",Q65/(J65*(K65/60)))</x:f>
      </x:c>
      <x:c r="U65" t="n">
        <x:f>IF(OR(O65=0,I65=""),"",I65/_xlfn.MAXIFS($I$4:$I$141,$O$4:$O$141,1))</x:f>
        <x:v>0.6896551724137931</x:v>
      </x:c>
      <x:c r="V65" t="str">
        <x:f>IF(OR(O65=0,L65=""),"",L65/_xlfn.MAXIFS($L$4:$L$141,$O$4:$O$141,1))</x:f>
      </x:c>
      <x:c r="W65" t="n">
        <x:f>IF(OR(O65=0,J65=""),"",_xlfn.MINIFS($J$4:$J$141,$O$4:$O$141,1,$J$4:$J$141,"&gt;0")/J65)</x:f>
        <x:v>0.004838709677419354</x:v>
      </x:c>
      <x:c r="X65" t="n">
        <x:f>IF(R65="","",R65/_xlfn.MAXIFS($R$4:$R$141,$O$4:$O$141,1))</x:f>
        <x:v>0.08960573476702509</x:v>
      </x:c>
      <x:c r="Y65" t="str">
        <x:f>IF(T65="","",T65/_xlfn.MAXIFS($T$4:$T$141,$O$4:$O$141,1))</x:f>
      </x:c>
      <x:c r="Z65" s="67" t="str">
        <x:f>IF(OR(X65="",Y65=""),"",SQRT(X65*Y65))</x:f>
      </x:c>
      <x:c r="AA65" s="67" t="str">
        <x:f>IF(OR(X65="",Y65=""),"",X65^Controls!$C$8*Y65^Controls!$C$9)</x:f>
      </x:c>
      <x:c r="AB65" s="67" t="str">
        <x:f>IF(OR(X65="",Y65=""),"",X65^Controls!$C$9*Y65^Controls!$C$8)</x:f>
      </x:c>
      <x:c r="AC65" t="str">
        <x:f>IF(OR(U65="",V65=""),"",SQRT(U65*V65))</x:f>
      </x:c>
      <x:c r="AD65" t="n">
        <x:f>IF(OR(I65="",J65="",J65=0),"",I65/J65)</x:f>
        <x:v>43.01075268817204</x:v>
      </x:c>
      <x:c r="AE65" t="str">
        <x:f>IF(OR(I65="",K65="",K65=0),"",I65/K65)</x:f>
      </x:c>
      <x:c r="AF65" t="str">
        <x:f>IF(Z65="","",1+COUNTIF($Z$4:$Z$141,"&gt;"&amp;Z65)+COUNTIFS($Z$4:Z65,Z65)-1)</x:f>
      </x:c>
      <x:c r="AG65" t="str">
        <x:f>IF(AA65="","",1+COUNTIF($AA$4:$AA$141,"&gt;"&amp;AA65)+COUNTIFS($AA$4:AA65,AA65)-1)</x:f>
      </x:c>
      <x:c r="AH65" t="str">
        <x:f>IF(AB65="","",1+COUNTIF($AB$4:$AB$141,"&gt;"&amp;AB65)+COUNTIFS($AB$4:AB65,AB65)-1)</x:f>
      </x:c>
      <x:c r="AI65" t="n">
        <x:f>IF(OR(O65=0,I65=""),"",1+COUNTIFS($O$4:$O$141,1,$I$4:$I$141,"&gt;"&amp;I65)+COUNTIFS($O$4:O65,1,$I$4:I65,I65)-1)</x:f>
        <x:v>28</x:v>
      </x:c>
      <x:c r="AJ65" t="str">
        <x:f>IF(OR(O65=0,L65=""),"",1+COUNTIFS($O$4:$O$141,1,$L$4:$L$141,"&gt;"&amp;L65)+COUNTIFS($O$4:O65,1,$L$4:L65,L65)-1)</x:f>
      </x:c>
      <x:c r="AK65" t="n">
        <x:f>IF(OR(O65=0,J65="",J65=0),"",1+COUNTIFS($O$4:$O$141,1,$J$4:$J$141,"&lt;"&amp;J65,$J$4:$J$141,"&gt;0")+COUNTIFS($O$4:O65,1,$J$4:J65,J65)-1)</x:f>
        <x:v>23</x:v>
      </x:c>
    </x:row>
    <x:row r="66">
      <x:c r="A66" t="inlineStr">
        <x:is>
          <x:t xml:space="preserve">google|gemini-3.8-flash|high|reasoning|fallback-na|aa-v4.3.2|snapshot-2026-09-28</x:t>
        </x:is>
      </x:c>
      <x:c r="B66" t="inlineStr">
        <x:is>
          <x:t xml:space="preserve">google|gemini-3.8-flash|high|reasoning|fallback-na</x:t>
        </x:is>
      </x:c>
      <x:c r="C66" t="inlineStr">
        <x:is>
          <x:t xml:space="preserve">Gemini 3.8 Flash</x:t>
        </x:is>
      </x:c>
      <x:c r="D66" t="inlineStr">
        <x:is>
          <x:t xml:space="preserve">Google</x:t>
        </x:is>
      </x:c>
      <x:c r="E66" t="inlineStr">
        <x:is>
          <x:t xml:space="preserve">high</x:t>
        </x:is>
      </x:c>
      <x:c r="F66" t="inlineStr">
        <x:is>
          <x:t xml:space="preserve">AA|v4.3.2</x:t>
        </x:is>
      </x:c>
      <x:c r="G66" t="n">
        <x:v>41</x:v>
      </x:c>
      <x:c r="H66" t="n">
        <x:f>IFERROR(INDEX(Benchmark_Versions!$I:$I,MATCH(F66,Benchmark_Versions!$A:$A,0)),1)</x:f>
        <x:v>1</x:v>
      </x:c>
      <x:c r="I66" t="n">
        <x:f>IF(G66="","",G66*H66)</x:f>
        <x:v>41</x:v>
      </x:c>
      <x:c r="J66" s="69" t="n">
        <x:v>1.24</x:v>
      </x:c>
      <x:c r="K66" t="n">
        <x:v>231.29</x:v>
      </x:c>
      <x:c r="L66" t="n">
        <x:v>311</x:v>
      </x:c>
      <x:c r="M66" t="inlineStr">
        <x:is>
          <x:t xml:space="preserve">Contender</x:t>
        </x:is>
      </x:c>
      <x:c r="N66" t="inlineStr">
        <x:is>
          <x:t xml:space="preserve">yes</x:t>
        </x:is>
      </x:c>
      <x:c r="O66" t="n">
        <x:f>IF(F66&lt;&gt;Controls!$C$12,0,IF(AND(Controls!$C$10="Contender",M66&lt;&gt;"Contender"),0,IF(AND(Controls!$C$10="Contender+Close",NOT(OR(M66="Contender",M66="Close"))),0,IF(AND(Controls!$C$11="Current",NOT(OR(N66="yes",N66="limited"))),0,1))))</x:f>
        <x:v>1</x:v>
      </x:c>
      <x:c r="P66" t="n">
        <x:f>Controls!$C$7</x:f>
        <x:v>40</x:v>
      </x:c>
      <x:c r="Q66" t="n">
        <x:f>IF(I66="","",I66-(P66-1))</x:f>
        <x:v>2</x:v>
      </x:c>
      <x:c r="R66" t="n">
        <x:f>IF(OR(O66=0,Q66&lt;=0,J66="",J66=0),"",Q66/J66)</x:f>
        <x:v>1.6129032258064517</x:v>
      </x:c>
      <x:c r="S66" t="n">
        <x:f>IF(OR(O66=0,Q66&lt;=0,J66="",Q66=0),"",J66/Q66)</x:f>
        <x:v>0.62</x:v>
      </x:c>
      <x:c r="T66" t="n">
        <x:f>IF(OR(O66=0,Q66&lt;=0,J66="",K66="",J66=0,K66=0),"",Q66/(J66*(K66/60)))</x:f>
        <x:v>0.4184106253983618</x:v>
      </x:c>
      <x:c r="U66" t="n">
        <x:f>IF(OR(O66=0,I66=""),"",I66/_xlfn.MAXIFS($I$4:$I$141,$O$4:$O$141,1))</x:f>
        <x:v>0.7068965517241379</x:v>
      </x:c>
      <x:c r="V66" t="n">
        <x:f>IF(OR(O66=0,L66=""),"",L66/_xlfn.MAXIFS($L$4:$L$141,$O$4:$O$141,1))</x:f>
        <x:v>1</x:v>
      </x:c>
      <x:c r="W66" t="n">
        <x:f>IF(OR(O66=0,J66=""),"",_xlfn.MINIFS($J$4:$J$141,$O$4:$O$141,1,$J$4:$J$141,"&gt;0")/J66)</x:f>
        <x:v>0.003629032258064516</x:v>
      </x:c>
      <x:c r="X66" t="n">
        <x:f>IF(R66="","",R66/_xlfn.MAXIFS($R$4:$R$141,$O$4:$O$141,1))</x:f>
        <x:v>0.13440860215053765</x:v>
      </x:c>
      <x:c r="Y66" t="n">
        <x:f>IF(T66="","",T66/_xlfn.MAXIFS($T$4:$T$141,$O$4:$O$141,1))</x:f>
        <x:v>0.06942807053127988</x:v>
      </x:c>
      <x:c r="Z66" s="67" t="n">
        <x:f>IF(OR(X66="",Y66=""),"",SQRT(X66*Y66))</x:f>
        <x:v>0.09660087944795463</x:v>
      </x:c>
      <x:c r="AA66" s="67" t="n">
        <x:f>IF(OR(X66="",Y66=""),"",X66^Controls!$C$8*Y66^Controls!$C$9)</x:f>
        <x:v>0.09660087944795463</x:v>
      </x:c>
      <x:c r="AB66" s="67" t="n">
        <x:f>IF(OR(X66="",Y66=""),"",X66^Controls!$C$9*Y66^Controls!$C$8)</x:f>
        <x:v>0.09660087944795463</x:v>
      </x:c>
      <x:c r="AC66" t="n">
        <x:f>IF(OR(U66="",V66=""),"",SQRT(U66*V66))</x:f>
        <x:v>0.8407714027749386</x:v>
      </x:c>
      <x:c r="AD66" t="n">
        <x:f>IF(OR(I66="",J66="",J66=0),"",I66/J66)</x:f>
        <x:v>33.064516129032256</x:v>
      </x:c>
      <x:c r="AE66" t="n">
        <x:f>IF(OR(I66="",K66="",K66=0),"",I66/K66)</x:f>
        <x:v>0.1772666349604393</x:v>
      </x:c>
      <x:c r="AF66" t="n">
        <x:f>IF(Z66="","",1+COUNTIF($Z$4:$Z$141,"&gt;"&amp;Z66)+COUNTIFS($Z$4:Z66,Z66)-1)</x:f>
        <x:v>12</x:v>
      </x:c>
      <x:c r="AG66" t="n">
        <x:f>IF(AA66="","",1+COUNTIF($AA$4:$AA$141,"&gt;"&amp;AA66)+COUNTIFS($AA$4:AA66,AA66)-1)</x:f>
        <x:v>12</x:v>
      </x:c>
      <x:c r="AH66" t="n">
        <x:f>IF(AB66="","",1+COUNTIF($AB$4:$AB$141,"&gt;"&amp;AB66)+COUNTIFS($AB$4:AB66,AB66)-1)</x:f>
        <x:v>12</x:v>
      </x:c>
      <x:c r="AI66" t="n">
        <x:f>IF(OR(O66=0,I66=""),"",1+COUNTIFS($O$4:$O$141,1,$I$4:$I$141,"&gt;"&amp;I66)+COUNTIFS($O$4:O66,1,$I$4:I66,I66)-1)</x:f>
        <x:v>25</x:v>
      </x:c>
      <x:c r="AJ66" t="n">
        <x:f>IF(OR(O66=0,L66=""),"",1+COUNTIFS($O$4:$O$141,1,$L$4:$L$141,"&gt;"&amp;L66)+COUNTIFS($O$4:O66,1,$L$4:L66,L66)-1)</x:f>
        <x:v>1</x:v>
      </x:c>
      <x:c r="AK66" t="n">
        <x:f>IF(OR(O66=0,J66="",J66=0),"",1+COUNTIFS($O$4:$O$141,1,$J$4:$J$141,"&lt;"&amp;J66,$J$4:$J$141,"&gt;0")+COUNTIFS($O$4:O66,1,$J$4:J66,J66)-1)</x:f>
        <x:v>27</x:v>
      </x:c>
    </x:row>
    <x:row r="67">
      <x:c r="A67" t="inlineStr">
        <x:is>
          <x:t xml:space="preserve">deepseek|deepseek-v4.1-flash|non-reasoning|nonreasoning|fallback-na|aa-v4.3.2|snapshot-2026-09-28</x:t>
        </x:is>
      </x:c>
      <x:c r="B67" t="inlineStr">
        <x:is>
          <x:t xml:space="preserve">deepseek|deepseek-v4.1-flash|non-reasoning|nonreasoning|fallback-na</x:t>
        </x:is>
      </x:c>
      <x:c r="C67" t="inlineStr">
        <x:is>
          <x:t xml:space="preserve">DeepSeek V4.1 Flash</x:t>
        </x:is>
      </x:c>
      <x:c r="D67" t="inlineStr">
        <x:is>
          <x:t xml:space="preserve">DeepSeek</x:t>
        </x:is>
      </x:c>
      <x:c r="E67" t="inlineStr">
        <x:is>
          <x:t xml:space="preserve">non-reasoning</x:t>
        </x:is>
      </x:c>
      <x:c r="F67" t="inlineStr">
        <x:is>
          <x:t xml:space="preserve">AA|v4.3.2</x:t>
        </x:is>
      </x:c>
      <x:c r="G67" t="n">
        <x:v>25</x:v>
      </x:c>
      <x:c r="H67" t="n">
        <x:f>IFERROR(INDEX(Benchmark_Versions!$I:$I,MATCH(F67,Benchmark_Versions!$A:$A,0)),1)</x:f>
        <x:v>1</x:v>
      </x:c>
      <x:c r="I67" t="n">
        <x:f>IF(G67="","",G67*H67)</x:f>
        <x:v>25</x:v>
      </x:c>
      <x:c r="J67" s="69" t="n">
        <x:v>0.15</x:v>
      </x:c>
      <x:c r="L67" t="n">
        <x:v>239</x:v>
      </x:c>
      <x:c r="M67" t="inlineStr">
        <x:is>
          <x:t xml:space="preserve">Contender</x:t>
        </x:is>
      </x:c>
      <x:c r="N67" t="inlineStr">
        <x:is>
          <x:t xml:space="preserve">yes</x:t>
        </x:is>
      </x:c>
      <x:c r="O67" t="n">
        <x:f>IF(F67&lt;&gt;Controls!$C$12,0,IF(AND(Controls!$C$10="Contender",M67&lt;&gt;"Contender"),0,IF(AND(Controls!$C$10="Contender+Close",NOT(OR(M67="Contender",M67="Close"))),0,IF(AND(Controls!$C$11="Current",NOT(OR(N67="yes",N67="limited"))),0,1))))</x:f>
        <x:v>1</x:v>
      </x:c>
      <x:c r="P67" t="n">
        <x:f>Controls!$C$7</x:f>
        <x:v>40</x:v>
      </x:c>
      <x:c r="Q67" t="n">
        <x:f>IF(I67="","",I67-(P67-1))</x:f>
        <x:v>-14</x:v>
      </x:c>
      <x:c r="R67" t="str">
        <x:f>IF(OR(O67=0,Q67&lt;=0,J67="",J67=0),"",Q67/J67)</x:f>
      </x:c>
      <x:c r="S67" t="str">
        <x:f>IF(OR(O67=0,Q67&lt;=0,J67="",Q67=0),"",J67/Q67)</x:f>
      </x:c>
      <x:c r="T67" t="str">
        <x:f>IF(OR(O67=0,Q67&lt;=0,J67="",K67="",J67=0,K67=0),"",Q67/(J67*(K67/60)))</x:f>
      </x:c>
      <x:c r="U67" t="n">
        <x:f>IF(OR(O67=0,I67=""),"",I67/_xlfn.MAXIFS($I$4:$I$141,$O$4:$O$141,1))</x:f>
        <x:v>0.43103448275862066</x:v>
      </x:c>
      <x:c r="V67" t="n">
        <x:f>IF(OR(O67=0,L67=""),"",L67/_xlfn.MAXIFS($L$4:$L$141,$O$4:$O$141,1))</x:f>
        <x:v>0.7684887459807074</x:v>
      </x:c>
      <x:c r="W67" t="n">
        <x:f>IF(OR(O67=0,J67=""),"",_xlfn.MINIFS($J$4:$J$141,$O$4:$O$141,1,$J$4:$J$141,"&gt;0")/J67)</x:f>
        <x:v>0.03</x:v>
      </x:c>
      <x:c r="X67" t="str">
        <x:f>IF(R67="","",R67/_xlfn.MAXIFS($R$4:$R$141,$O$4:$O$141,1))</x:f>
      </x:c>
      <x:c r="Y67" t="str">
        <x:f>IF(T67="","",T67/_xlfn.MAXIFS($T$4:$T$141,$O$4:$O$141,1))</x:f>
      </x:c>
      <x:c r="Z67" s="67" t="str">
        <x:f>IF(OR(X67="",Y67=""),"",SQRT(X67*Y67))</x:f>
      </x:c>
      <x:c r="AA67" s="67" t="str">
        <x:f>IF(OR(X67="",Y67=""),"",X67^Controls!$C$8*Y67^Controls!$C$9)</x:f>
      </x:c>
      <x:c r="AB67" s="67" t="str">
        <x:f>IF(OR(X67="",Y67=""),"",X67^Controls!$C$9*Y67^Controls!$C$8)</x:f>
      </x:c>
      <x:c r="AC67" t="n">
        <x:f>IF(OR(U67="",V67=""),"",SQRT(U67*V67))</x:f>
        <x:v>0.5755390074787418</x:v>
      </x:c>
      <x:c r="AD67" t="n">
        <x:f>IF(OR(I67="",J67="",J67=0),"",I67/J67)</x:f>
        <x:v>166.66666666666669</x:v>
      </x:c>
      <x:c r="AE67" t="str">
        <x:f>IF(OR(I67="",K67="",K67=0),"",I67/K67)</x:f>
      </x:c>
      <x:c r="AF67" t="str">
        <x:f>IF(Z67="","",1+COUNTIF($Z$4:$Z$141,"&gt;"&amp;Z67)+COUNTIFS($Z$4:Z67,Z67)-1)</x:f>
      </x:c>
      <x:c r="AG67" t="str">
        <x:f>IF(AA67="","",1+COUNTIF($AA$4:$AA$141,"&gt;"&amp;AA67)+COUNTIFS($AA$4:AA67,AA67)-1)</x:f>
      </x:c>
      <x:c r="AH67" t="str">
        <x:f>IF(AB67="","",1+COUNTIF($AB$4:$AB$141,"&gt;"&amp;AB67)+COUNTIFS($AB$4:AB67,AB67)-1)</x:f>
      </x:c>
      <x:c r="AI67" t="n">
        <x:f>IF(OR(O67=0,I67=""),"",1+COUNTIFS($O$4:$O$141,1,$I$4:$I$141,"&gt;"&amp;I67)+COUNTIFS($O$4:O67,1,$I$4:I67,I67)-1)</x:f>
        <x:v>41</x:v>
      </x:c>
      <x:c r="AJ67" t="n">
        <x:f>IF(OR(O67=0,L67=""),"",1+COUNTIFS($O$4:$O$141,1,$L$4:$L$141,"&gt;"&amp;L67)+COUNTIFS($O$4:O67,1,$L$4:L67,L67)-1)</x:f>
        <x:v>2</x:v>
      </x:c>
      <x:c r="AK67" t="n">
        <x:f>IF(OR(O67=0,J67="",J67=0),"",1+COUNTIFS($O$4:$O$141,1,$J$4:$J$141,"&lt;"&amp;J67,$J$4:$J$141,"&gt;0")+COUNTIFS($O$4:O67,1,$J$4:J67,J67)-1)</x:f>
        <x:v>10</x:v>
      </x:c>
    </x:row>
    <x:row r="68">
      <x:c r="A68" t="inlineStr">
        <x:is>
          <x:t xml:space="preserve">deepseek|deepseek-v4.1-flash|max|reasoning|fallback-na|aa-v4.3.2|snapshot-2026-09-28</x:t>
        </x:is>
      </x:c>
      <x:c r="B68" t="inlineStr">
        <x:is>
          <x:t xml:space="preserve">deepseek|deepseek-v4.1-flash|max|reasoning|fallback-na</x:t>
        </x:is>
      </x:c>
      <x:c r="C68" t="inlineStr">
        <x:is>
          <x:t xml:space="preserve">DeepSeek V4.1 Flash</x:t>
        </x:is>
      </x:c>
      <x:c r="D68" t="inlineStr">
        <x:is>
          <x:t xml:space="preserve">DeepSeek</x:t>
        </x:is>
      </x:c>
      <x:c r="E68" t="inlineStr">
        <x:is>
          <x:t xml:space="preserve">max</x:t>
        </x:is>
      </x:c>
      <x:c r="F68" t="inlineStr">
        <x:is>
          <x:t xml:space="preserve">AA|v4.3.2</x:t>
        </x:is>
      </x:c>
      <x:c r="G68" t="n">
        <x:v>39</x:v>
      </x:c>
      <x:c r="H68" t="n">
        <x:f>IFERROR(INDEX(Benchmark_Versions!$I:$I,MATCH(F68,Benchmark_Versions!$A:$A,0)),1)</x:f>
        <x:v>1</x:v>
      </x:c>
      <x:c r="I68" t="n">
        <x:f>IF(G68="","",G68*H68)</x:f>
        <x:v>39</x:v>
      </x:c>
      <x:c r="J68" s="69" t="n">
        <x:v>0.27</x:v>
      </x:c>
      <x:c r="L68" t="n">
        <x:v>219.5</x:v>
      </x:c>
      <x:c r="M68" t="inlineStr">
        <x:is>
          <x:t xml:space="preserve">Contender</x:t>
        </x:is>
      </x:c>
      <x:c r="N68" t="inlineStr">
        <x:is>
          <x:t xml:space="preserve">yes</x:t>
        </x:is>
      </x:c>
      <x:c r="O68" t="n">
        <x:f>IF(F68&lt;&gt;Controls!$C$12,0,IF(AND(Controls!$C$10="Contender",M68&lt;&gt;"Contender"),0,IF(AND(Controls!$C$10="Contender+Close",NOT(OR(M68="Contender",M68="Close"))),0,IF(AND(Controls!$C$11="Current",NOT(OR(N68="yes",N68="limited"))),0,1))))</x:f>
        <x:v>1</x:v>
      </x:c>
      <x:c r="P68" t="n">
        <x:f>Controls!$C$7</x:f>
        <x:v>40</x:v>
      </x:c>
      <x:c r="Q68" t="n">
        <x:f>IF(I68="","",I68-(P68-1))</x:f>
        <x:v>0</x:v>
      </x:c>
      <x:c r="R68" t="str">
        <x:f>IF(OR(O68=0,Q68&lt;=0,J68="",J68=0),"",Q68/J68)</x:f>
      </x:c>
      <x:c r="S68" t="str">
        <x:f>IF(OR(O68=0,Q68&lt;=0,J68="",Q68=0),"",J68/Q68)</x:f>
      </x:c>
      <x:c r="T68" t="str">
        <x:f>IF(OR(O68=0,Q68&lt;=0,J68="",K68="",J68=0,K68=0),"",Q68/(J68*(K68/60)))</x:f>
      </x:c>
      <x:c r="U68" t="n">
        <x:f>IF(OR(O68=0,I68=""),"",I68/_xlfn.MAXIFS($I$4:$I$141,$O$4:$O$141,1))</x:f>
        <x:v>0.6724137931034483</x:v>
      </x:c>
      <x:c r="V68" t="n">
        <x:f>IF(OR(O68=0,L68=""),"",L68/_xlfn.MAXIFS($L$4:$L$141,$O$4:$O$141,1))</x:f>
        <x:v>0.7057877813504824</x:v>
      </x:c>
      <x:c r="W68" t="n">
        <x:f>IF(OR(O68=0,J68=""),"",_xlfn.MINIFS($J$4:$J$141,$O$4:$O$141,1,$J$4:$J$141,"&gt;0")/J68)</x:f>
        <x:v>0.016666666666666663</x:v>
      </x:c>
      <x:c r="X68" t="str">
        <x:f>IF(R68="","",R68/_xlfn.MAXIFS($R$4:$R$141,$O$4:$O$141,1))</x:f>
      </x:c>
      <x:c r="Y68" t="str">
        <x:f>IF(T68="","",T68/_xlfn.MAXIFS($T$4:$T$141,$O$4:$O$141,1))</x:f>
      </x:c>
      <x:c r="Z68" s="67" t="str">
        <x:f>IF(OR(X68="",Y68=""),"",SQRT(X68*Y68))</x:f>
      </x:c>
      <x:c r="AA68" s="67" t="str">
        <x:f>IF(OR(X68="",Y68=""),"",X68^Controls!$C$8*Y68^Controls!$C$9)</x:f>
      </x:c>
      <x:c r="AB68" s="67" t="str">
        <x:f>IF(OR(X68="",Y68=""),"",X68^Controls!$C$9*Y68^Controls!$C$8)</x:f>
      </x:c>
      <x:c r="AC68" t="n">
        <x:f>IF(OR(U68="",V68=""),"",SQRT(U68*V68))</x:f>
        <x:v>0.6888987147498136</x:v>
      </x:c>
      <x:c r="AD68" t="n">
        <x:f>IF(OR(I68="",J68="",J68=0),"",I68/J68)</x:f>
        <x:v>144.44444444444443</x:v>
      </x:c>
      <x:c r="AE68" t="str">
        <x:f>IF(OR(I68="",K68="",K68=0),"",I68/K68)</x:f>
      </x:c>
      <x:c r="AF68" t="str">
        <x:f>IF(Z68="","",1+COUNTIF($Z$4:$Z$141,"&gt;"&amp;Z68)+COUNTIFS($Z$4:Z68,Z68)-1)</x:f>
      </x:c>
      <x:c r="AG68" t="str">
        <x:f>IF(AA68="","",1+COUNTIF($AA$4:$AA$141,"&gt;"&amp;AA68)+COUNTIFS($AA$4:AA68,AA68)-1)</x:f>
      </x:c>
      <x:c r="AH68" t="str">
        <x:f>IF(AB68="","",1+COUNTIF($AB$4:$AB$141,"&gt;"&amp;AB68)+COUNTIFS($AB$4:AB68,AB68)-1)</x:f>
      </x:c>
      <x:c r="AI68" t="n">
        <x:f>IF(OR(O68=0,I68=""),"",1+COUNTIFS($O$4:$O$141,1,$I$4:$I$141,"&gt;"&amp;I68)+COUNTIFS($O$4:O68,1,$I$4:I68,I68)-1)</x:f>
        <x:v>29</x:v>
      </x:c>
      <x:c r="AJ68" t="n">
        <x:f>IF(OR(O68=0,L68=""),"",1+COUNTIFS($O$4:$O$141,1,$L$4:$L$141,"&gt;"&amp;L68)+COUNTIFS($O$4:O68,1,$L$4:L68,L68)-1)</x:f>
        <x:v>3</x:v>
      </x:c>
      <x:c r="AK68" t="n">
        <x:f>IF(OR(O68=0,J68="",J68=0),"",1+COUNTIFS($O$4:$O$141,1,$J$4:$J$141,"&lt;"&amp;J68,$J$4:$J$141,"&gt;0")+COUNTIFS($O$4:O68,1,$J$4:J68,J68)-1)</x:f>
        <x:v>13</x:v>
      </x:c>
    </x:row>
    <x:row r="69">
      <x:c r="A69" t="inlineStr">
        <x:is>
          <x:t xml:space="preserve">z-ai|glm-5.3|low|reasoning|fallback-na|aa-v4.3.2|snapshot-2026-09-28</x:t>
        </x:is>
      </x:c>
      <x:c r="B69" t="inlineStr">
        <x:is>
          <x:t xml:space="preserve">z-ai|glm-5.3|low|reasoning|fallback-na</x:t>
        </x:is>
      </x:c>
      <x:c r="C69" t="inlineStr">
        <x:is>
          <x:t xml:space="preserve">GLM-5.3</x:t>
        </x:is>
      </x:c>
      <x:c r="D69" t="inlineStr">
        <x:is>
          <x:t xml:space="preserve">Z AI</x:t>
        </x:is>
      </x:c>
      <x:c r="E69" t="inlineStr">
        <x:is>
          <x:t xml:space="preserve">low</x:t>
        </x:is>
      </x:c>
      <x:c r="F69" t="inlineStr">
        <x:is>
          <x:t xml:space="preserve">AA|v4.3.2</x:t>
        </x:is>
      </x:c>
      <x:c r="G69" t="n">
        <x:v>34</x:v>
      </x:c>
      <x:c r="H69" t="n">
        <x:f>IFERROR(INDEX(Benchmark_Versions!$I:$I,MATCH(F69,Benchmark_Versions!$A:$A,0)),1)</x:f>
        <x:v>1</x:v>
      </x:c>
      <x:c r="I69" t="n">
        <x:f>IF(G69="","",G69*H69)</x:f>
        <x:v>34</x:v>
      </x:c>
      <x:c r="J69" s="69" t="n">
        <x:v>0.85</x:v>
      </x:c>
      <x:c r="L69" t="n">
        <x:v>85</x:v>
      </x:c>
      <x:c r="M69" t="inlineStr">
        <x:is>
          <x:t xml:space="preserve">Historical</x:t>
        </x:is>
      </x:c>
      <x:c r="N69" t="inlineStr">
        <x:is>
          <x:t xml:space="preserve">yes</x:t>
        </x:is>
      </x:c>
      <x:c r="O69" t="n">
        <x:f>IF(F69&lt;&gt;Controls!$C$12,0,IF(AND(Controls!$C$10="Contender",M69&lt;&gt;"Contender"),0,IF(AND(Controls!$C$10="Contender+Close",NOT(OR(M69="Contender",M69="Close"))),0,IF(AND(Controls!$C$11="Current",NOT(OR(N69="yes",N69="limited"))),0,1))))</x:f>
        <x:v>0</x:v>
      </x:c>
      <x:c r="P69" t="n">
        <x:f>Controls!$C$7</x:f>
        <x:v>40</x:v>
      </x:c>
      <x:c r="Q69" t="n">
        <x:f>IF(I69="","",I69-(P69-1))</x:f>
        <x:v>-5</x:v>
      </x:c>
      <x:c r="R69" t="str">
        <x:f>IF(OR(O69=0,Q69&lt;=0,J69="",J69=0),"",Q69/J69)</x:f>
      </x:c>
      <x:c r="S69" t="str">
        <x:f>IF(OR(O69=0,Q69&lt;=0,J69="",Q69=0),"",J69/Q69)</x:f>
      </x:c>
      <x:c r="T69" t="str">
        <x:f>IF(OR(O69=0,Q69&lt;=0,J69="",K69="",J69=0,K69=0),"",Q69/(J69*(K69/60)))</x:f>
      </x:c>
      <x:c r="U69" t="str">
        <x:f>IF(OR(O69=0,I69=""),"",I69/_xlfn.MAXIFS($I$4:$I$141,$O$4:$O$141,1))</x:f>
      </x:c>
      <x:c r="V69" t="str">
        <x:f>IF(OR(O69=0,L69=""),"",L69/_xlfn.MAXIFS($L$4:$L$141,$O$4:$O$141,1))</x:f>
      </x:c>
      <x:c r="W69" t="str">
        <x:f>IF(OR(O69=0,J69=""),"",_xlfn.MINIFS($J$4:$J$141,$O$4:$O$141,1,$J$4:$J$141,"&gt;0")/J69)</x:f>
      </x:c>
      <x:c r="X69" t="str">
        <x:f>IF(R69="","",R69/_xlfn.MAXIFS($R$4:$R$141,$O$4:$O$141,1))</x:f>
      </x:c>
      <x:c r="Y69" t="str">
        <x:f>IF(T69="","",T69/_xlfn.MAXIFS($T$4:$T$141,$O$4:$O$141,1))</x:f>
      </x:c>
      <x:c r="Z69" s="67" t="str">
        <x:f>IF(OR(X69="",Y69=""),"",SQRT(X69*Y69))</x:f>
      </x:c>
      <x:c r="AA69" s="67" t="str">
        <x:f>IF(OR(X69="",Y69=""),"",X69^Controls!$C$8*Y69^Controls!$C$9)</x:f>
      </x:c>
      <x:c r="AB69" s="67" t="str">
        <x:f>IF(OR(X69="",Y69=""),"",X69^Controls!$C$9*Y69^Controls!$C$8)</x:f>
      </x:c>
      <x:c r="AC69" t="str">
        <x:f>IF(OR(U69="",V69=""),"",SQRT(U69*V69))</x:f>
      </x:c>
      <x:c r="AD69" t="n">
        <x:f>IF(OR(I69="",J69="",J69=0),"",I69/J69)</x:f>
        <x:v>40</x:v>
      </x:c>
      <x:c r="AE69" t="str">
        <x:f>IF(OR(I69="",K69="",K69=0),"",I69/K69)</x:f>
      </x:c>
      <x:c r="AF69" t="str">
        <x:f>IF(Z69="","",1+COUNTIF($Z$4:$Z$141,"&gt;"&amp;Z69)+COUNTIFS($Z$4:Z69,Z69)-1)</x:f>
      </x:c>
      <x:c r="AG69" t="str">
        <x:f>IF(AA69="","",1+COUNTIF($AA$4:$AA$141,"&gt;"&amp;AA69)+COUNTIFS($AA$4:AA69,AA69)-1)</x:f>
      </x:c>
      <x:c r="AH69" t="str">
        <x:f>IF(AB69="","",1+COUNTIF($AB$4:$AB$141,"&gt;"&amp;AB69)+COUNTIFS($AB$4:AB69,AB69)-1)</x:f>
      </x:c>
      <x:c r="AI69" t="str">
        <x:f>IF(OR(O69=0,I69=""),"",1+COUNTIFS($O$4:$O$141,1,$I$4:$I$141,"&gt;"&amp;I69)+COUNTIFS($O$4:O69,1,$I$4:I69,I69)-1)</x:f>
      </x:c>
      <x:c r="AJ69" t="str">
        <x:f>IF(OR(O69=0,L69=""),"",1+COUNTIFS($O$4:$O$141,1,$L$4:$L$141,"&gt;"&amp;L69)+COUNTIFS($O$4:O69,1,$L$4:L69,L69)-1)</x:f>
      </x:c>
      <x:c r="AK69" t="str">
        <x:f>IF(OR(O69=0,J69="",J69=0),"",1+COUNTIFS($O$4:$O$141,1,$J$4:$J$141,"&lt;"&amp;J69,$J$4:$J$141,"&gt;0")+COUNTIFS($O$4:O69,1,$J$4:J69,J69)-1)</x:f>
      </x:c>
    </x:row>
    <x:row r="70">
      <x:c r="A70" t="inlineStr">
        <x:is>
          <x:t xml:space="preserve">z-ai|glm-5.3|max|reasoning|fallback-na|aa-v4.3.2|snapshot-2026-09-28</x:t>
        </x:is>
      </x:c>
      <x:c r="B70" t="inlineStr">
        <x:is>
          <x:t xml:space="preserve">z-ai|glm-5.3|max|reasoning|fallback-na</x:t>
        </x:is>
      </x:c>
      <x:c r="C70" t="inlineStr">
        <x:is>
          <x:t xml:space="preserve">GLM-5.3</x:t>
        </x:is>
      </x:c>
      <x:c r="D70" t="inlineStr">
        <x:is>
          <x:t xml:space="preserve">Z AI</x:t>
        </x:is>
      </x:c>
      <x:c r="E70" t="inlineStr">
        <x:is>
          <x:t xml:space="preserve">max</x:t>
        </x:is>
      </x:c>
      <x:c r="F70" t="inlineStr">
        <x:is>
          <x:t xml:space="preserve">AA|v4.3.2</x:t>
        </x:is>
      </x:c>
      <x:c r="G70" t="n">
        <x:v>45</x:v>
      </x:c>
      <x:c r="H70" t="n">
        <x:f>IFERROR(INDEX(Benchmark_Versions!$I:$I,MATCH(F70,Benchmark_Versions!$A:$A,0)),1)</x:f>
        <x:v>1</x:v>
      </x:c>
      <x:c r="I70" t="n">
        <x:f>IF(G70="","",G70*H70)</x:f>
        <x:v>45</x:v>
      </x:c>
      <x:c r="J70" s="69" t="n">
        <x:v>2.01</x:v>
      </x:c>
      <x:c r="L70" t="n">
        <x:v>91</x:v>
      </x:c>
      <x:c r="M70" t="inlineStr">
        <x:is>
          <x:t xml:space="preserve">Historical</x:t>
        </x:is>
      </x:c>
      <x:c r="N70" t="inlineStr">
        <x:is>
          <x:t xml:space="preserve">yes</x:t>
        </x:is>
      </x:c>
      <x:c r="O70" t="n">
        <x:f>IF(F70&lt;&gt;Controls!$C$12,0,IF(AND(Controls!$C$10="Contender",M70&lt;&gt;"Contender"),0,IF(AND(Controls!$C$10="Contender+Close",NOT(OR(M70="Contender",M70="Close"))),0,IF(AND(Controls!$C$11="Current",NOT(OR(N70="yes",N70="limited"))),0,1))))</x:f>
        <x:v>0</x:v>
      </x:c>
      <x:c r="P70" t="n">
        <x:f>Controls!$C$7</x:f>
        <x:v>40</x:v>
      </x:c>
      <x:c r="Q70" t="n">
        <x:f>IF(I70="","",I70-(P70-1))</x:f>
        <x:v>6</x:v>
      </x:c>
      <x:c r="R70" t="str">
        <x:f>IF(OR(O70=0,Q70&lt;=0,J70="",J70=0),"",Q70/J70)</x:f>
      </x:c>
      <x:c r="S70" t="str">
        <x:f>IF(OR(O70=0,Q70&lt;=0,J70="",Q70=0),"",J70/Q70)</x:f>
      </x:c>
      <x:c r="T70" t="str">
        <x:f>IF(OR(O70=0,Q70&lt;=0,J70="",K70="",J70=0,K70=0),"",Q70/(J70*(K70/60)))</x:f>
      </x:c>
      <x:c r="U70" t="str">
        <x:f>IF(OR(O70=0,I70=""),"",I70/_xlfn.MAXIFS($I$4:$I$141,$O$4:$O$141,1))</x:f>
      </x:c>
      <x:c r="V70" t="str">
        <x:f>IF(OR(O70=0,L70=""),"",L70/_xlfn.MAXIFS($L$4:$L$141,$O$4:$O$141,1))</x:f>
      </x:c>
      <x:c r="W70" t="str">
        <x:f>IF(OR(O70=0,J70=""),"",_xlfn.MINIFS($J$4:$J$141,$O$4:$O$141,1,$J$4:$J$141,"&gt;0")/J70)</x:f>
      </x:c>
      <x:c r="X70" t="str">
        <x:f>IF(R70="","",R70/_xlfn.MAXIFS($R$4:$R$141,$O$4:$O$141,1))</x:f>
      </x:c>
      <x:c r="Y70" t="str">
        <x:f>IF(T70="","",T70/_xlfn.MAXIFS($T$4:$T$141,$O$4:$O$141,1))</x:f>
      </x:c>
      <x:c r="Z70" s="67" t="str">
        <x:f>IF(OR(X70="",Y70=""),"",SQRT(X70*Y70))</x:f>
      </x:c>
      <x:c r="AA70" s="67" t="str">
        <x:f>IF(OR(X70="",Y70=""),"",X70^Controls!$C$8*Y70^Controls!$C$9)</x:f>
      </x:c>
      <x:c r="AB70" s="67" t="str">
        <x:f>IF(OR(X70="",Y70=""),"",X70^Controls!$C$9*Y70^Controls!$C$8)</x:f>
      </x:c>
      <x:c r="AC70" t="str">
        <x:f>IF(OR(U70="",V70=""),"",SQRT(U70*V70))</x:f>
      </x:c>
      <x:c r="AD70" t="n">
        <x:f>IF(OR(I70="",J70="",J70=0),"",I70/J70)</x:f>
        <x:v>22.38805970149254</x:v>
      </x:c>
      <x:c r="AE70" t="str">
        <x:f>IF(OR(I70="",K70="",K70=0),"",I70/K70)</x:f>
      </x:c>
      <x:c r="AF70" t="str">
        <x:f>IF(Z70="","",1+COUNTIF($Z$4:$Z$141,"&gt;"&amp;Z70)+COUNTIFS($Z$4:Z70,Z70)-1)</x:f>
      </x:c>
      <x:c r="AG70" t="str">
        <x:f>IF(AA70="","",1+COUNTIF($AA$4:$AA$141,"&gt;"&amp;AA70)+COUNTIFS($AA$4:AA70,AA70)-1)</x:f>
      </x:c>
      <x:c r="AH70" t="str">
        <x:f>IF(AB70="","",1+COUNTIF($AB$4:$AB$141,"&gt;"&amp;AB70)+COUNTIFS($AB$4:AB70,AB70)-1)</x:f>
      </x:c>
      <x:c r="AI70" t="str">
        <x:f>IF(OR(O70=0,I70=""),"",1+COUNTIFS($O$4:$O$141,1,$I$4:$I$141,"&gt;"&amp;I70)+COUNTIFS($O$4:O70,1,$I$4:I70,I70)-1)</x:f>
      </x:c>
      <x:c r="AJ70" t="str">
        <x:f>IF(OR(O70=0,L70=""),"",1+COUNTIFS($O$4:$O$141,1,$L$4:$L$141,"&gt;"&amp;L70)+COUNTIFS($O$4:O70,1,$L$4:L70,L70)-1)</x:f>
      </x:c>
      <x:c r="AK70" t="str">
        <x:f>IF(OR(O70=0,J70="",J70=0),"",1+COUNTIFS($O$4:$O$141,1,$J$4:$J$141,"&lt;"&amp;J70,$J$4:$J$141,"&gt;0")+COUNTIFS($O$4:O70,1,$J$4:J70,J70)-1)</x:f>
      </x:c>
    </x:row>
    <x:row r="71">
      <x:c r="A71" t="inlineStr">
        <x:is>
          <x:t xml:space="preserve">alibaba|qwen3.8-max-0902|reasoning|reasoning|fallback-na|aa-v4.3.2|snapshot-2026-09-28</x:t>
        </x:is>
      </x:c>
      <x:c r="B71" t="inlineStr">
        <x:is>
          <x:t xml:space="preserve">alibaba|qwen3.8-max-0902|reasoning|reasoning|fallback-na</x:t>
        </x:is>
      </x:c>
      <x:c r="C71" t="inlineStr">
        <x:is>
          <x:t xml:space="preserve">Qwen3.8 Max 0902</x:t>
        </x:is>
      </x:c>
      <x:c r="D71" t="inlineStr">
        <x:is>
          <x:t xml:space="preserve">Alibaba</x:t>
        </x:is>
      </x:c>
      <x:c r="E71" t="inlineStr">
        <x:is>
          <x:t xml:space="preserve">reasoning</x:t>
        </x:is>
      </x:c>
      <x:c r="F71" t="inlineStr">
        <x:is>
          <x:t xml:space="preserve">AA|v4.3.2</x:t>
        </x:is>
      </x:c>
      <x:c r="G71" t="n">
        <x:v>45</x:v>
      </x:c>
      <x:c r="H71" t="n">
        <x:f>IFERROR(INDEX(Benchmark_Versions!$I:$I,MATCH(F71,Benchmark_Versions!$A:$A,0)),1)</x:f>
        <x:v>1</x:v>
      </x:c>
      <x:c r="I71" t="n">
        <x:f>IF(G71="","",G71*H71)</x:f>
        <x:v>45</x:v>
      </x:c>
      <x:c r="J71" s="69" t="n"/>
      <x:c r="L71" t="n">
        <x:v>39</x:v>
      </x:c>
      <x:c r="M71" t="inlineStr">
        <x:is>
          <x:t xml:space="preserve">Historical</x:t>
        </x:is>
      </x:c>
      <x:c r="N71" t="inlineStr">
        <x:is>
          <x:t xml:space="preserve">yes</x:t>
        </x:is>
      </x:c>
      <x:c r="O71" t="n">
        <x:f>IF(F71&lt;&gt;Controls!$C$12,0,IF(AND(Controls!$C$10="Contender",M71&lt;&gt;"Contender"),0,IF(AND(Controls!$C$10="Contender+Close",NOT(OR(M71="Contender",M71="Close"))),0,IF(AND(Controls!$C$11="Current",NOT(OR(N71="yes",N71="limited"))),0,1))))</x:f>
        <x:v>0</x:v>
      </x:c>
      <x:c r="P71" t="n">
        <x:f>Controls!$C$7</x:f>
        <x:v>40</x:v>
      </x:c>
      <x:c r="Q71" t="n">
        <x:f>IF(I71="","",I71-(P71-1))</x:f>
        <x:v>6</x:v>
      </x:c>
      <x:c r="R71" t="str">
        <x:f>IF(OR(O71=0,Q71&lt;=0,J71="",J71=0),"",Q71/J71)</x:f>
      </x:c>
      <x:c r="S71" t="str">
        <x:f>IF(OR(O71=0,Q71&lt;=0,J71="",Q71=0),"",J71/Q71)</x:f>
      </x:c>
      <x:c r="T71" t="str">
        <x:f>IF(OR(O71=0,Q71&lt;=0,J71="",K71="",J71=0,K71=0),"",Q71/(J71*(K71/60)))</x:f>
      </x:c>
      <x:c r="U71" t="str">
        <x:f>IF(OR(O71=0,I71=""),"",I71/_xlfn.MAXIFS($I$4:$I$141,$O$4:$O$141,1))</x:f>
      </x:c>
      <x:c r="V71" t="str">
        <x:f>IF(OR(O71=0,L71=""),"",L71/_xlfn.MAXIFS($L$4:$L$141,$O$4:$O$141,1))</x:f>
      </x:c>
      <x:c r="W71" t="str">
        <x:f>IF(OR(O71=0,J71=""),"",_xlfn.MINIFS($J$4:$J$141,$O$4:$O$141,1,$J$4:$J$141,"&gt;0")/J71)</x:f>
      </x:c>
      <x:c r="X71" t="str">
        <x:f>IF(R71="","",R71/_xlfn.MAXIFS($R$4:$R$141,$O$4:$O$141,1))</x:f>
      </x:c>
      <x:c r="Y71" t="str">
        <x:f>IF(T71="","",T71/_xlfn.MAXIFS($T$4:$T$141,$O$4:$O$141,1))</x:f>
      </x:c>
      <x:c r="Z71" s="67" t="str">
        <x:f>IF(OR(X71="",Y71=""),"",SQRT(X71*Y71))</x:f>
      </x:c>
      <x:c r="AA71" s="67" t="str">
        <x:f>IF(OR(X71="",Y71=""),"",X71^Controls!$C$8*Y71^Controls!$C$9)</x:f>
      </x:c>
      <x:c r="AB71" s="67" t="str">
        <x:f>IF(OR(X71="",Y71=""),"",X71^Controls!$C$9*Y71^Controls!$C$8)</x:f>
      </x:c>
      <x:c r="AC71" t="str">
        <x:f>IF(OR(U71="",V71=""),"",SQRT(U71*V71))</x:f>
      </x:c>
      <x:c r="AD71" t="str">
        <x:f>IF(OR(I71="",J71="",J71=0),"",I71/J71)</x:f>
      </x:c>
      <x:c r="AE71" t="str">
        <x:f>IF(OR(I71="",K71="",K71=0),"",I71/K71)</x:f>
      </x:c>
      <x:c r="AF71" t="str">
        <x:f>IF(Z71="","",1+COUNTIF($Z$4:$Z$141,"&gt;"&amp;Z71)+COUNTIFS($Z$4:Z71,Z71)-1)</x:f>
      </x:c>
      <x:c r="AG71" t="str">
        <x:f>IF(AA71="","",1+COUNTIF($AA$4:$AA$141,"&gt;"&amp;AA71)+COUNTIFS($AA$4:AA71,AA71)-1)</x:f>
      </x:c>
      <x:c r="AH71" t="str">
        <x:f>IF(AB71="","",1+COUNTIF($AB$4:$AB$141,"&gt;"&amp;AB71)+COUNTIFS($AB$4:AB71,AB71)-1)</x:f>
      </x:c>
      <x:c r="AI71" t="str">
        <x:f>IF(OR(O71=0,I71=""),"",1+COUNTIFS($O$4:$O$141,1,$I$4:$I$141,"&gt;"&amp;I71)+COUNTIFS($O$4:O71,1,$I$4:I71,I71)-1)</x:f>
      </x:c>
      <x:c r="AJ71" t="str">
        <x:f>IF(OR(O71=0,L71=""),"",1+COUNTIFS($O$4:$O$141,1,$L$4:$L$141,"&gt;"&amp;L71)+COUNTIFS($O$4:O71,1,$L$4:L71,L71)-1)</x:f>
      </x:c>
      <x:c r="AK71" t="str">
        <x:f>IF(OR(O71=0,J71="",J71=0),"",1+COUNTIFS($O$4:$O$141,1,$J$4:$J$141,"&lt;"&amp;J71,$J$4:$J$141,"&gt;0")+COUNTIFS($O$4:O71,1,$J$4:J71,J71)-1)</x:f>
      </x:c>
    </x:row>
    <x:row r="72">
      <x:c r="A72" t="inlineStr">
        <x:is>
          <x:t xml:space="preserve">alibaba|qwen3.8-27b|medium|reasoning|fallback-na|aa-v4.3.2|snapshot-2026-09-28</x:t>
        </x:is>
      </x:c>
      <x:c r="B72" t="inlineStr">
        <x:is>
          <x:t xml:space="preserve">alibaba|qwen3.8-27b|medium|reasoning|fallback-na</x:t>
        </x:is>
      </x:c>
      <x:c r="C72" t="inlineStr">
        <x:is>
          <x:t xml:space="preserve">Qwen3.8 27B</x:t>
        </x:is>
      </x:c>
      <x:c r="D72" t="inlineStr">
        <x:is>
          <x:t xml:space="preserve">Alibaba</x:t>
        </x:is>
      </x:c>
      <x:c r="E72" t="inlineStr">
        <x:is>
          <x:t xml:space="preserve">medium</x:t>
        </x:is>
      </x:c>
      <x:c r="F72" t="inlineStr">
        <x:is>
          <x:t xml:space="preserve">AA|v4.3.2</x:t>
        </x:is>
      </x:c>
      <x:c r="G72" t="n">
        <x:v>28</x:v>
      </x:c>
      <x:c r="H72" t="n">
        <x:f>IFERROR(INDEX(Benchmark_Versions!$I:$I,MATCH(F72,Benchmark_Versions!$A:$A,0)),1)</x:f>
        <x:v>1</x:v>
      </x:c>
      <x:c r="I72" t="n">
        <x:f>IF(G72="","",G72*H72)</x:f>
        <x:v>28</x:v>
      </x:c>
      <x:c r="J72" s="69" t="n"/>
      <x:c r="L72" t="n">
        <x:v>56</x:v>
      </x:c>
      <x:c r="M72" t="inlineStr">
        <x:is>
          <x:t xml:space="preserve">Historical</x:t>
        </x:is>
      </x:c>
      <x:c r="N72" t="inlineStr">
        <x:is>
          <x:t xml:space="preserve">yes</x:t>
        </x:is>
      </x:c>
      <x:c r="O72" t="n">
        <x:f>IF(F72&lt;&gt;Controls!$C$12,0,IF(AND(Controls!$C$10="Contender",M72&lt;&gt;"Contender"),0,IF(AND(Controls!$C$10="Contender+Close",NOT(OR(M72="Contender",M72="Close"))),0,IF(AND(Controls!$C$11="Current",NOT(OR(N72="yes",N72="limited"))),0,1))))</x:f>
        <x:v>0</x:v>
      </x:c>
      <x:c r="P72" t="n">
        <x:f>Controls!$C$7</x:f>
        <x:v>40</x:v>
      </x:c>
      <x:c r="Q72" t="n">
        <x:f>IF(I72="","",I72-(P72-1))</x:f>
        <x:v>-11</x:v>
      </x:c>
      <x:c r="R72" t="str">
        <x:f>IF(OR(O72=0,Q72&lt;=0,J72="",J72=0),"",Q72/J72)</x:f>
      </x:c>
      <x:c r="S72" t="str">
        <x:f>IF(OR(O72=0,Q72&lt;=0,J72="",Q72=0),"",J72/Q72)</x:f>
      </x:c>
      <x:c r="T72" t="str">
        <x:f>IF(OR(O72=0,Q72&lt;=0,J72="",K72="",J72=0,K72=0),"",Q72/(J72*(K72/60)))</x:f>
      </x:c>
      <x:c r="U72" t="str">
        <x:f>IF(OR(O72=0,I72=""),"",I72/_xlfn.MAXIFS($I$4:$I$141,$O$4:$O$141,1))</x:f>
      </x:c>
      <x:c r="V72" t="str">
        <x:f>IF(OR(O72=0,L72=""),"",L72/_xlfn.MAXIFS($L$4:$L$141,$O$4:$O$141,1))</x:f>
      </x:c>
      <x:c r="W72" t="str">
        <x:f>IF(OR(O72=0,J72=""),"",_xlfn.MINIFS($J$4:$J$141,$O$4:$O$141,1,$J$4:$J$141,"&gt;0")/J72)</x:f>
      </x:c>
      <x:c r="X72" t="str">
        <x:f>IF(R72="","",R72/_xlfn.MAXIFS($R$4:$R$141,$O$4:$O$141,1))</x:f>
      </x:c>
      <x:c r="Y72" t="str">
        <x:f>IF(T72="","",T72/_xlfn.MAXIFS($T$4:$T$141,$O$4:$O$141,1))</x:f>
      </x:c>
      <x:c r="Z72" s="67" t="str">
        <x:f>IF(OR(X72="",Y72=""),"",SQRT(X72*Y72))</x:f>
      </x:c>
      <x:c r="AA72" s="67" t="str">
        <x:f>IF(OR(X72="",Y72=""),"",X72^Controls!$C$8*Y72^Controls!$C$9)</x:f>
      </x:c>
      <x:c r="AB72" s="67" t="str">
        <x:f>IF(OR(X72="",Y72=""),"",X72^Controls!$C$9*Y72^Controls!$C$8)</x:f>
      </x:c>
      <x:c r="AC72" t="str">
        <x:f>IF(OR(U72="",V72=""),"",SQRT(U72*V72))</x:f>
      </x:c>
      <x:c r="AD72" t="str">
        <x:f>IF(OR(I72="",J72="",J72=0),"",I72/J72)</x:f>
      </x:c>
      <x:c r="AE72" t="str">
        <x:f>IF(OR(I72="",K72="",K72=0),"",I72/K72)</x:f>
      </x:c>
      <x:c r="AF72" t="str">
        <x:f>IF(Z72="","",1+COUNTIF($Z$4:$Z$141,"&gt;"&amp;Z72)+COUNTIFS($Z$4:Z72,Z72)-1)</x:f>
      </x:c>
      <x:c r="AG72" t="str">
        <x:f>IF(AA72="","",1+COUNTIF($AA$4:$AA$141,"&gt;"&amp;AA72)+COUNTIFS($AA$4:AA72,AA72)-1)</x:f>
      </x:c>
      <x:c r="AH72" t="str">
        <x:f>IF(AB72="","",1+COUNTIF($AB$4:$AB$141,"&gt;"&amp;AB72)+COUNTIFS($AB$4:AB72,AB72)-1)</x:f>
      </x:c>
      <x:c r="AI72" t="str">
        <x:f>IF(OR(O72=0,I72=""),"",1+COUNTIFS($O$4:$O$141,1,$I$4:$I$141,"&gt;"&amp;I72)+COUNTIFS($O$4:O72,1,$I$4:I72,I72)-1)</x:f>
      </x:c>
      <x:c r="AJ72" t="str">
        <x:f>IF(OR(O72=0,L72=""),"",1+COUNTIFS($O$4:$O$141,1,$L$4:$L$141,"&gt;"&amp;L72)+COUNTIFS($O$4:O72,1,$L$4:L72,L72)-1)</x:f>
      </x:c>
      <x:c r="AK72" t="str">
        <x:f>IF(OR(O72=0,J72="",J72=0),"",1+COUNTIFS($O$4:$O$141,1,$J$4:$J$141,"&lt;"&amp;J72,$J$4:$J$141,"&gt;0")+COUNTIFS($O$4:O72,1,$J$4:J72,J72)-1)</x:f>
      </x:c>
    </x:row>
    <x:row r="73">
      <x:c r="A73" t="inlineStr">
        <x:is>
          <x:t xml:space="preserve">alibaba|qwen3.8-27b|xhigh|reasoning|fallback-na|aa-v4.3.2|snapshot-2026-09-28</x:t>
        </x:is>
      </x:c>
      <x:c r="B73" t="inlineStr">
        <x:is>
          <x:t xml:space="preserve">alibaba|qwen3.8-27b|xhigh|reasoning|fallback-na</x:t>
        </x:is>
      </x:c>
      <x:c r="C73" t="inlineStr">
        <x:is>
          <x:t xml:space="preserve">Qwen3.8 27B</x:t>
        </x:is>
      </x:c>
      <x:c r="D73" t="inlineStr">
        <x:is>
          <x:t xml:space="preserve">Alibaba</x:t>
        </x:is>
      </x:c>
      <x:c r="E73" t="inlineStr">
        <x:is>
          <x:t xml:space="preserve">xhigh</x:t>
        </x:is>
      </x:c>
      <x:c r="F73" t="inlineStr">
        <x:is>
          <x:t xml:space="preserve">AA|v4.3.2</x:t>
        </x:is>
      </x:c>
      <x:c r="G73" t="n">
        <x:v>34</x:v>
      </x:c>
      <x:c r="H73" t="n">
        <x:f>IFERROR(INDEX(Benchmark_Versions!$I:$I,MATCH(F73,Benchmark_Versions!$A:$A,0)),1)</x:f>
        <x:v>1</x:v>
      </x:c>
      <x:c r="I73" t="n">
        <x:f>IF(G73="","",G73*H73)</x:f>
        <x:v>34</x:v>
      </x:c>
      <x:c r="J73" s="69" t="n"/>
      <x:c r="L73" t="n">
        <x:v>47</x:v>
      </x:c>
      <x:c r="M73" t="inlineStr">
        <x:is>
          <x:t xml:space="preserve">Historical</x:t>
        </x:is>
      </x:c>
      <x:c r="N73" t="inlineStr">
        <x:is>
          <x:t xml:space="preserve">yes</x:t>
        </x:is>
      </x:c>
      <x:c r="O73" t="n">
        <x:f>IF(F73&lt;&gt;Controls!$C$12,0,IF(AND(Controls!$C$10="Contender",M73&lt;&gt;"Contender"),0,IF(AND(Controls!$C$10="Contender+Close",NOT(OR(M73="Contender",M73="Close"))),0,IF(AND(Controls!$C$11="Current",NOT(OR(N73="yes",N73="limited"))),0,1))))</x:f>
        <x:v>0</x:v>
      </x:c>
      <x:c r="P73" t="n">
        <x:f>Controls!$C$7</x:f>
        <x:v>40</x:v>
      </x:c>
      <x:c r="Q73" t="n">
        <x:f>IF(I73="","",I73-(P73-1))</x:f>
        <x:v>-5</x:v>
      </x:c>
      <x:c r="R73" t="str">
        <x:f>IF(OR(O73=0,Q73&lt;=0,J73="",J73=0),"",Q73/J73)</x:f>
      </x:c>
      <x:c r="S73" t="str">
        <x:f>IF(OR(O73=0,Q73&lt;=0,J73="",Q73=0),"",J73/Q73)</x:f>
      </x:c>
      <x:c r="T73" t="str">
        <x:f>IF(OR(O73=0,Q73&lt;=0,J73="",K73="",J73=0,K73=0),"",Q73/(J73*(K73/60)))</x:f>
      </x:c>
      <x:c r="U73" t="str">
        <x:f>IF(OR(O73=0,I73=""),"",I73/_xlfn.MAXIFS($I$4:$I$141,$O$4:$O$141,1))</x:f>
      </x:c>
      <x:c r="V73" t="str">
        <x:f>IF(OR(O73=0,L73=""),"",L73/_xlfn.MAXIFS($L$4:$L$141,$O$4:$O$141,1))</x:f>
      </x:c>
      <x:c r="W73" t="str">
        <x:f>IF(OR(O73=0,J73=""),"",_xlfn.MINIFS($J$4:$J$141,$O$4:$O$141,1,$J$4:$J$141,"&gt;0")/J73)</x:f>
      </x:c>
      <x:c r="X73" t="str">
        <x:f>IF(R73="","",R73/_xlfn.MAXIFS($R$4:$R$141,$O$4:$O$141,1))</x:f>
      </x:c>
      <x:c r="Y73" t="str">
        <x:f>IF(T73="","",T73/_xlfn.MAXIFS($T$4:$T$141,$O$4:$O$141,1))</x:f>
      </x:c>
      <x:c r="Z73" s="67" t="str">
        <x:f>IF(OR(X73="",Y73=""),"",SQRT(X73*Y73))</x:f>
      </x:c>
      <x:c r="AA73" s="67" t="str">
        <x:f>IF(OR(X73="",Y73=""),"",X73^Controls!$C$8*Y73^Controls!$C$9)</x:f>
      </x:c>
      <x:c r="AB73" s="67" t="str">
        <x:f>IF(OR(X73="",Y73=""),"",X73^Controls!$C$9*Y73^Controls!$C$8)</x:f>
      </x:c>
      <x:c r="AC73" t="str">
        <x:f>IF(OR(U73="",V73=""),"",SQRT(U73*V73))</x:f>
      </x:c>
      <x:c r="AD73" t="str">
        <x:f>IF(OR(I73="",J73="",J73=0),"",I73/J73)</x:f>
      </x:c>
      <x:c r="AE73" t="str">
        <x:f>IF(OR(I73="",K73="",K73=0),"",I73/K73)</x:f>
      </x:c>
      <x:c r="AF73" t="str">
        <x:f>IF(Z73="","",1+COUNTIF($Z$4:$Z$141,"&gt;"&amp;Z73)+COUNTIFS($Z$4:Z73,Z73)-1)</x:f>
      </x:c>
      <x:c r="AG73" t="str">
        <x:f>IF(AA73="","",1+COUNTIF($AA$4:$AA$141,"&gt;"&amp;AA73)+COUNTIFS($AA$4:AA73,AA73)-1)</x:f>
      </x:c>
      <x:c r="AH73" t="str">
        <x:f>IF(AB73="","",1+COUNTIF($AB$4:$AB$141,"&gt;"&amp;AB73)+COUNTIFS($AB$4:AB73,AB73)-1)</x:f>
      </x:c>
      <x:c r="AI73" t="str">
        <x:f>IF(OR(O73=0,I73=""),"",1+COUNTIFS($O$4:$O$141,1,$I$4:$I$141,"&gt;"&amp;I73)+COUNTIFS($O$4:O73,1,$I$4:I73,I73)-1)</x:f>
      </x:c>
      <x:c r="AJ73" t="str">
        <x:f>IF(OR(O73=0,L73=""),"",1+COUNTIFS($O$4:$O$141,1,$L$4:$L$141,"&gt;"&amp;L73)+COUNTIFS($O$4:O73,1,$L$4:L73,L73)-1)</x:f>
      </x:c>
      <x:c r="AK73" t="str">
        <x:f>IF(OR(O73=0,J73="",J73=0),"",1+COUNTIFS($O$4:$O$141,1,$J$4:$J$141,"&lt;"&amp;J73,$J$4:$J$141,"&gt;0")+COUNTIFS($O$4:O73,1,$J$4:J73,J73)-1)</x:f>
      </x:c>
    </x:row>
    <x:row r="74">
      <x:c r="A74" t="inlineStr">
        <x:is>
          <x:t xml:space="preserve">kimi|kimi-k3|max|reasoning|fallback-na|aa-v4.3.2|snapshot-2026-09-28</x:t>
        </x:is>
      </x:c>
      <x:c r="B74" t="inlineStr">
        <x:is>
          <x:t xml:space="preserve">kimi|kimi-k3|max|reasoning|fallback-na</x:t>
        </x:is>
      </x:c>
      <x:c r="C74" t="inlineStr">
        <x:is>
          <x:t xml:space="preserve">Kimi K3</x:t>
        </x:is>
      </x:c>
      <x:c r="D74" t="inlineStr">
        <x:is>
          <x:t xml:space="preserve">Kimi</x:t>
        </x:is>
      </x:c>
      <x:c r="E74" t="inlineStr">
        <x:is>
          <x:t xml:space="preserve">max</x:t>
        </x:is>
      </x:c>
      <x:c r="F74" t="inlineStr">
        <x:is>
          <x:t xml:space="preserve">AA|v4.3.2</x:t>
        </x:is>
      </x:c>
      <x:c r="G74" t="n">
        <x:v>44</x:v>
      </x:c>
      <x:c r="H74" t="n">
        <x:f>IFERROR(INDEX(Benchmark_Versions!$I:$I,MATCH(F74,Benchmark_Versions!$A:$A,0)),1)</x:f>
        <x:v>1</x:v>
      </x:c>
      <x:c r="I74" t="n">
        <x:f>IF(G74="","",G74*H74)</x:f>
        <x:v>44</x:v>
      </x:c>
      <x:c r="J74" s="69" t="n">
        <x:v>2</x:v>
      </x:c>
      <x:c r="M74" t="inlineStr">
        <x:is>
          <x:t xml:space="preserve">Contender</x:t>
        </x:is>
      </x:c>
      <x:c r="N74" t="inlineStr">
        <x:is>
          <x:t xml:space="preserve">yes</x:t>
        </x:is>
      </x:c>
      <x:c r="O74" t="n">
        <x:f>IF(F74&lt;&gt;Controls!$C$12,0,IF(AND(Controls!$C$10="Contender",M74&lt;&gt;"Contender"),0,IF(AND(Controls!$C$10="Contender+Close",NOT(OR(M74="Contender",M74="Close"))),0,IF(AND(Controls!$C$11="Current",NOT(OR(N74="yes",N74="limited"))),0,1))))</x:f>
        <x:v>1</x:v>
      </x:c>
      <x:c r="P74" t="n">
        <x:f>Controls!$C$7</x:f>
        <x:v>40</x:v>
      </x:c>
      <x:c r="Q74" t="n">
        <x:f>IF(I74="","",I74-(P74-1))</x:f>
        <x:v>5</x:v>
      </x:c>
      <x:c r="R74" t="n">
        <x:f>IF(OR(O74=0,Q74&lt;=0,J74="",J74=0),"",Q74/J74)</x:f>
        <x:v>2.5</x:v>
      </x:c>
      <x:c r="S74" t="n">
        <x:f>IF(OR(O74=0,Q74&lt;=0,J74="",Q74=0),"",J74/Q74)</x:f>
        <x:v>0.4</x:v>
      </x:c>
      <x:c r="T74" t="str">
        <x:f>IF(OR(O74=0,Q74&lt;=0,J74="",K74="",J74=0,K74=0),"",Q74/(J74*(K74/60)))</x:f>
      </x:c>
      <x:c r="U74" t="n">
        <x:f>IF(OR(O74=0,I74=""),"",I74/_xlfn.MAXIFS($I$4:$I$141,$O$4:$O$141,1))</x:f>
        <x:v>0.7586206896551724</x:v>
      </x:c>
      <x:c r="V74" t="str">
        <x:f>IF(OR(O74=0,L74=""),"",L74/_xlfn.MAXIFS($L$4:$L$141,$O$4:$O$141,1))</x:f>
      </x:c>
      <x:c r="W74" t="n">
        <x:f>IF(OR(O74=0,J74=""),"",_xlfn.MINIFS($J$4:$J$141,$O$4:$O$141,1,$J$4:$J$141,"&gt;0")/J74)</x:f>
        <x:v>0.00225</x:v>
      </x:c>
      <x:c r="X74" t="n">
        <x:f>IF(R74="","",R74/_xlfn.MAXIFS($R$4:$R$141,$O$4:$O$141,1))</x:f>
        <x:v>0.20833333333333334</x:v>
      </x:c>
      <x:c r="Y74" t="str">
        <x:f>IF(T74="","",T74/_xlfn.MAXIFS($T$4:$T$141,$O$4:$O$141,1))</x:f>
      </x:c>
      <x:c r="Z74" s="67" t="str">
        <x:f>IF(OR(X74="",Y74=""),"",SQRT(X74*Y74))</x:f>
      </x:c>
      <x:c r="AA74" s="67" t="str">
        <x:f>IF(OR(X74="",Y74=""),"",X74^Controls!$C$8*Y74^Controls!$C$9)</x:f>
      </x:c>
      <x:c r="AB74" s="67" t="str">
        <x:f>IF(OR(X74="",Y74=""),"",X74^Controls!$C$9*Y74^Controls!$C$8)</x:f>
      </x:c>
      <x:c r="AC74" t="str">
        <x:f>IF(OR(U74="",V74=""),"",SQRT(U74*V74))</x:f>
      </x:c>
      <x:c r="AD74" t="n">
        <x:f>IF(OR(I74="",J74="",J74=0),"",I74/J74)</x:f>
        <x:v>22</x:v>
      </x:c>
      <x:c r="AE74" t="str">
        <x:f>IF(OR(I74="",K74="",K74=0),"",I74/K74)</x:f>
      </x:c>
      <x:c r="AF74" t="str">
        <x:f>IF(Z74="","",1+COUNTIF($Z$4:$Z$141,"&gt;"&amp;Z74)+COUNTIFS($Z$4:Z74,Z74)-1)</x:f>
      </x:c>
      <x:c r="AG74" t="str">
        <x:f>IF(AA74="","",1+COUNTIF($AA$4:$AA$141,"&gt;"&amp;AA74)+COUNTIFS($AA$4:AA74,AA74)-1)</x:f>
      </x:c>
      <x:c r="AH74" t="str">
        <x:f>IF(AB74="","",1+COUNTIF($AB$4:$AB$141,"&gt;"&amp;AB74)+COUNTIFS($AB$4:AB74,AB74)-1)</x:f>
      </x:c>
      <x:c r="AI74" t="n">
        <x:f>IF(OR(O74=0,I74=""),"",1+COUNTIFS($O$4:$O$141,1,$I$4:$I$141,"&gt;"&amp;I74)+COUNTIFS($O$4:O74,1,$I$4:I74,I74)-1)</x:f>
        <x:v>20</x:v>
      </x:c>
      <x:c r="AJ74" t="str">
        <x:f>IF(OR(O74=0,L74=""),"",1+COUNTIFS($O$4:$O$141,1,$L$4:$L$141,"&gt;"&amp;L74)+COUNTIFS($O$4:O74,1,$L$4:L74,L74)-1)</x:f>
      </x:c>
      <x:c r="AK74" t="n">
        <x:f>IF(OR(O74=0,J74="",J74=0),"",1+COUNTIFS($O$4:$O$141,1,$J$4:$J$141,"&lt;"&amp;J74,$J$4:$J$141,"&gt;0")+COUNTIFS($O$4:O74,1,$J$4:J74,J74)-1)</x:f>
        <x:v>34</x:v>
      </x:c>
    </x:row>
    <x:row r="75">
      <x:c r="A75" t="inlineStr">
        <x:is>
          <x:t xml:space="preserve">google|gemini-4-argon|high|reasoning|fallback-na|aa-v4.3.2|snapshot-2026-10-04</x:t>
        </x:is>
      </x:c>
      <x:c r="B75" t="inlineStr">
        <x:is>
          <x:t xml:space="preserve">google|gemini-4-argon|high|reasoning|fallback-na</x:t>
        </x:is>
      </x:c>
      <x:c r="C75" t="inlineStr">
        <x:is>
          <x:t xml:space="preserve">Gemini 4 Argon</x:t>
        </x:is>
      </x:c>
      <x:c r="D75" t="inlineStr">
        <x:is>
          <x:t xml:space="preserve">Google</x:t>
        </x:is>
      </x:c>
      <x:c r="E75" t="inlineStr">
        <x:is>
          <x:t xml:space="preserve">high</x:t>
        </x:is>
      </x:c>
      <x:c r="F75" t="inlineStr">
        <x:is>
          <x:t xml:space="preserve">AA|v4.3.2</x:t>
        </x:is>
      </x:c>
      <x:c r="G75" t="n">
        <x:v>53</x:v>
      </x:c>
      <x:c r="H75" t="n">
        <x:f>IFERROR(INDEX(Benchmark_Versions!$I:$I,MATCH(F75,Benchmark_Versions!$A:$A,0)),1)</x:f>
        <x:v>1</x:v>
      </x:c>
      <x:c r="I75" t="n">
        <x:f>IF(G75="","",G75*H75)</x:f>
        <x:v>53</x:v>
      </x:c>
      <x:c r="J75" s="69" t="n">
        <x:v>1.99</x:v>
      </x:c>
      <x:c r="M75" t="inlineStr">
        <x:is>
          <x:t xml:space="preserve">Tracked</x:t>
        </x:is>
      </x:c>
      <x:c r="N75" t="inlineStr">
        <x:is>
          <x:t xml:space="preserve">limited</x:t>
        </x:is>
      </x:c>
      <x:c r="O75" t="n">
        <x:f>IF(F75&lt;&gt;Controls!$C$12,0,IF(AND(Controls!$C$10="Contender",M75&lt;&gt;"Contender"),0,IF(AND(Controls!$C$10="Contender+Close",NOT(OR(M75="Contender",M75="Close"))),0,IF(AND(Controls!$C$11="Current",NOT(OR(N75="yes",N75="limited"))),0,1))))</x:f>
        <x:v>0</x:v>
      </x:c>
      <x:c r="P75" t="n">
        <x:f>Controls!$C$7</x:f>
        <x:v>40</x:v>
      </x:c>
      <x:c r="Q75" t="n">
        <x:f>IF(I75="","",I75-(P75-1))</x:f>
        <x:v>14</x:v>
      </x:c>
      <x:c r="R75" t="str">
        <x:f>IF(OR(O75=0,Q75&lt;=0,J75="",J75=0),"",Q75/J75)</x:f>
      </x:c>
      <x:c r="S75" t="str">
        <x:f>IF(OR(O75=0,Q75&lt;=0,J75="",Q75=0),"",J75/Q75)</x:f>
      </x:c>
      <x:c r="T75" t="str">
        <x:f>IF(OR(O75=0,Q75&lt;=0,J75="",K75="",J75=0,K75=0),"",Q75/(J75*(K75/60)))</x:f>
      </x:c>
      <x:c r="U75" t="str">
        <x:f>IF(OR(O75=0,I75=""),"",I75/_xlfn.MAXIFS($I$4:$I$141,$O$4:$O$141,1))</x:f>
      </x:c>
      <x:c r="V75" t="str">
        <x:f>IF(OR(O75=0,L75=""),"",L75/_xlfn.MAXIFS($L$4:$L$141,$O$4:$O$141,1))</x:f>
      </x:c>
      <x:c r="W75" t="str">
        <x:f>IF(OR(O75=0,J75=""),"",_xlfn.MINIFS($J$4:$J$141,$O$4:$O$141,1,$J$4:$J$141,"&gt;0")/J75)</x:f>
      </x:c>
      <x:c r="X75" t="str">
        <x:f>IF(R75="","",R75/_xlfn.MAXIFS($R$4:$R$141,$O$4:$O$141,1))</x:f>
      </x:c>
      <x:c r="Y75" t="str">
        <x:f>IF(T75="","",T75/_xlfn.MAXIFS($T$4:$T$141,$O$4:$O$141,1))</x:f>
      </x:c>
      <x:c r="Z75" s="67" t="str">
        <x:f>IF(OR(X75="",Y75=""),"",SQRT(X75*Y75))</x:f>
      </x:c>
      <x:c r="AA75" s="67" t="str">
        <x:f>IF(OR(X75="",Y75=""),"",X75^Controls!$C$8*Y75^Controls!$C$9)</x:f>
      </x:c>
      <x:c r="AB75" s="67" t="str">
        <x:f>IF(OR(X75="",Y75=""),"",X75^Controls!$C$9*Y75^Controls!$C$8)</x:f>
      </x:c>
      <x:c r="AC75" t="str">
        <x:f>IF(OR(U75="",V75=""),"",SQRT(U75*V75))</x:f>
      </x:c>
      <x:c r="AD75" t="n">
        <x:f>IF(OR(I75="",J75="",J75=0),"",I75/J75)</x:f>
        <x:v>26.633165829145728</x:v>
      </x:c>
      <x:c r="AE75" t="str">
        <x:f>IF(OR(I75="",K75="",K75=0),"",I75/K75)</x:f>
      </x:c>
      <x:c r="AF75" t="str">
        <x:f>IF(Z75="","",1+COUNTIF($Z$4:$Z$141,"&gt;"&amp;Z75)+COUNTIFS($Z$4:Z75,Z75)-1)</x:f>
      </x:c>
      <x:c r="AG75" t="str">
        <x:f>IF(AA75="","",1+COUNTIF($AA$4:$AA$141,"&gt;"&amp;AA75)+COUNTIFS($AA$4:AA75,AA75)-1)</x:f>
      </x:c>
      <x:c r="AH75" t="str">
        <x:f>IF(AB75="","",1+COUNTIF($AB$4:$AB$141,"&gt;"&amp;AB75)+COUNTIFS($AB$4:AB75,AB75)-1)</x:f>
      </x:c>
      <x:c r="AI75" t="str">
        <x:f>IF(OR(O75=0,I75=""),"",1+COUNTIFS($O$4:$O$141,1,$I$4:$I$141,"&gt;"&amp;I75)+COUNTIFS($O$4:O75,1,$I$4:I75,I75)-1)</x:f>
      </x:c>
      <x:c r="AJ75" t="str">
        <x:f>IF(OR(O75=0,L75=""),"",1+COUNTIFS($O$4:$O$141,1,$L$4:$L$141,"&gt;"&amp;L75)+COUNTIFS($O$4:O75,1,$L$4:L75,L75)-1)</x:f>
      </x:c>
      <x:c r="AK75" t="str">
        <x:f>IF(OR(O75=0,J75="",J75=0),"",1+COUNTIFS($O$4:$O$141,1,$J$4:$J$141,"&lt;"&amp;J75,$J$4:$J$141,"&gt;0")+COUNTIFS($O$4:O75,1,$J$4:J75,J75)-1)</x:f>
      </x:c>
    </x:row>
    <x:row r="76">
      <x:c r="A76" t="inlineStr">
        <x:is>
          <x:t xml:space="preserve">openai|gpt-6-1-sol|low|reasoning|fallback-na|aa-v4.3.2|snapshot-2026-10-11</x:t>
        </x:is>
      </x:c>
      <x:c r="B76" t="inlineStr">
        <x:is>
          <x:t xml:space="preserve">openai|gpt-6-1-sol|low|reasoning|fallback-na</x:t>
        </x:is>
      </x:c>
      <x:c r="C76" t="inlineStr">
        <x:is>
          <x:t xml:space="preserve">GPT-6.1 Sol</x:t>
        </x:is>
      </x:c>
      <x:c r="D76" t="inlineStr">
        <x:is>
          <x:t xml:space="preserve">OpenAI</x:t>
        </x:is>
      </x:c>
      <x:c r="E76" t="inlineStr">
        <x:is>
          <x:t xml:space="preserve">low</x:t>
        </x:is>
      </x:c>
      <x:c r="F76" t="inlineStr">
        <x:is>
          <x:t xml:space="preserve">AA|v4.3.2</x:t>
        </x:is>
      </x:c>
      <x:c r="G76" t="n">
        <x:v>42</x:v>
      </x:c>
      <x:c r="H76" t="n">
        <x:f>IFERROR(INDEX(Benchmark_Versions!$I:$I,MATCH(F76,Benchmark_Versions!$A:$A,0)),1)</x:f>
        <x:v>1</x:v>
      </x:c>
      <x:c r="I76" t="n">
        <x:f>IF(G76="","",G76*H76)</x:f>
        <x:v>42</x:v>
      </x:c>
      <x:c r="J76" s="69" t="n">
        <x:v>1.99</x:v>
      </x:c>
      <x:c r="M76" t="inlineStr">
        <x:is>
          <x:t xml:space="preserve">Tracked</x:t>
        </x:is>
      </x:c>
      <x:c r="N76" t="inlineStr">
        <x:is>
          <x:t xml:space="preserve">limited</x:t>
        </x:is>
      </x:c>
      <x:c r="O76" t="n">
        <x:f>IF(F76&lt;&gt;Controls!$C$12,0,IF(AND(Controls!$C$10="Contender",M76&lt;&gt;"Contender"),0,IF(AND(Controls!$C$10="Contender+Close",NOT(OR(M76="Contender",M76="Close"))),0,IF(AND(Controls!$C$11="Current",NOT(OR(N76="yes",N76="limited"))),0,1))))</x:f>
        <x:v>0</x:v>
      </x:c>
      <x:c r="P76" t="n">
        <x:f>Controls!$C$7</x:f>
        <x:v>40</x:v>
      </x:c>
      <x:c r="Q76" t="n">
        <x:f>IF(I76="","",I76-(P76-1))</x:f>
        <x:v>3</x:v>
      </x:c>
      <x:c r="R76" t="str">
        <x:f>IF(OR(O76=0,Q76&lt;=0,J76="",J76=0),"",Q76/J76)</x:f>
      </x:c>
      <x:c r="S76" t="str">
        <x:f>IF(OR(O76=0,Q76&lt;=0,J76="",Q76=0),"",J76/Q76)</x:f>
      </x:c>
      <x:c r="T76" t="str">
        <x:f>IF(OR(O76=0,Q76&lt;=0,J76="",K76="",J76=0,K76=0),"",Q76/(J76*(K76/60)))</x:f>
      </x:c>
      <x:c r="U76" t="str">
        <x:f>IF(OR(O76=0,I76=""),"",I76/_xlfn.MAXIFS($I$4:$I$141,$O$4:$O$141,1))</x:f>
      </x:c>
      <x:c r="V76" t="str">
        <x:f>IF(OR(O76=0,L76=""),"",L76/_xlfn.MAXIFS($L$4:$L$141,$O$4:$O$141,1))</x:f>
      </x:c>
      <x:c r="W76" t="str">
        <x:f>IF(OR(O76=0,J76=""),"",_xlfn.MINIFS($J$4:$J$141,$O$4:$O$141,1,$J$4:$J$141,"&gt;0")/J76)</x:f>
      </x:c>
      <x:c r="X76" t="str">
        <x:f>IF(R76="","",R76/_xlfn.MAXIFS($R$4:$R$141,$O$4:$O$141,1))</x:f>
      </x:c>
      <x:c r="Y76" t="str">
        <x:f>IF(T76="","",T76/_xlfn.MAXIFS($T$4:$T$141,$O$4:$O$141,1))</x:f>
      </x:c>
      <x:c r="Z76" s="67" t="str">
        <x:f>IF(OR(X76="",Y76=""),"",SQRT(X76*Y76))</x:f>
      </x:c>
      <x:c r="AA76" s="67" t="str">
        <x:f>IF(OR(X76="",Y76=""),"",X76^Controls!$C$8*Y76^Controls!$C$9)</x:f>
      </x:c>
      <x:c r="AB76" s="67" t="str">
        <x:f>IF(OR(X76="",Y76=""),"",X76^Controls!$C$9*Y76^Controls!$C$8)</x:f>
      </x:c>
      <x:c r="AC76" t="str">
        <x:f>IF(OR(U76="",V76=""),"",SQRT(U76*V76))</x:f>
      </x:c>
      <x:c r="AD76" t="n">
        <x:f>IF(OR(I76="",J76="",J76=0),"",I76/J76)</x:f>
        <x:v>21.105527638190956</x:v>
      </x:c>
      <x:c r="AE76" t="str">
        <x:f>IF(OR(I76="",K76="",K76=0),"",I76/K76)</x:f>
      </x:c>
      <x:c r="AF76" t="str">
        <x:f>IF(Z76="","",1+COUNTIF($Z$4:$Z$141,"&gt;"&amp;Z76)+COUNTIFS($Z$4:Z76,Z76)-1)</x:f>
      </x:c>
      <x:c r="AG76" t="str">
        <x:f>IF(AA76="","",1+COUNTIF($AA$4:$AA$141,"&gt;"&amp;AA76)+COUNTIFS($AA$4:AA76,AA76)-1)</x:f>
      </x:c>
      <x:c r="AH76" t="str">
        <x:f>IF(AB76="","",1+COUNTIF($AB$4:$AB$141,"&gt;"&amp;AB76)+COUNTIFS($AB$4:AB76,AB76)-1)</x:f>
      </x:c>
      <x:c r="AI76" t="str">
        <x:f>IF(OR(O76=0,I76=""),"",1+COUNTIFS($O$4:$O$141,1,$I$4:$I$141,"&gt;"&amp;I76)+COUNTIFS($O$4:O76,1,$I$4:I76,I76)-1)</x:f>
      </x:c>
      <x:c r="AJ76" t="str">
        <x:f>IF(OR(O76=0,L76=""),"",1+COUNTIFS($O$4:$O$141,1,$L$4:$L$141,"&gt;"&amp;L76)+COUNTIFS($O$4:O76,1,$L$4:L76,L76)-1)</x:f>
      </x:c>
      <x:c r="AK76" t="str">
        <x:f>IF(OR(O76=0,J76="",J76=0),"",1+COUNTIFS($O$4:$O$141,1,$J$4:$J$141,"&lt;"&amp;J76,$J$4:$J$141,"&gt;0")+COUNTIFS($O$4:O76,1,$J$4:J76,J76)-1)</x:f>
      </x:c>
    </x:row>
    <x:row r="77">
      <x:c r="A77" t="inlineStr">
        <x:is>
          <x:t xml:space="preserve">openai|gpt-6-1-sol|medium|reasoning|fallback-na|aa-v4.3.2|snapshot-2026-10-11</x:t>
        </x:is>
      </x:c>
      <x:c r="B77" t="inlineStr">
        <x:is>
          <x:t xml:space="preserve">openai|gpt-6-1-sol|medium|reasoning|fallback-na</x:t>
        </x:is>
      </x:c>
      <x:c r="C77" t="inlineStr">
        <x:is>
          <x:t xml:space="preserve">GPT-6.1 Sol</x:t>
        </x:is>
      </x:c>
      <x:c r="D77" t="inlineStr">
        <x:is>
          <x:t xml:space="preserve">OpenAI</x:t>
        </x:is>
      </x:c>
      <x:c r="E77" t="inlineStr">
        <x:is>
          <x:t xml:space="preserve">medium</x:t>
        </x:is>
      </x:c>
      <x:c r="F77" t="inlineStr">
        <x:is>
          <x:t xml:space="preserve">AA|v4.3.2</x:t>
        </x:is>
      </x:c>
      <x:c r="G77" t="n">
        <x:v>48</x:v>
      </x:c>
      <x:c r="H77" t="n">
        <x:f>IFERROR(INDEX(Benchmark_Versions!$I:$I,MATCH(F77,Benchmark_Versions!$A:$A,0)),1)</x:f>
        <x:v>1</x:v>
      </x:c>
      <x:c r="I77" t="n">
        <x:f>IF(G77="","",G77*H77)</x:f>
        <x:v>48</x:v>
      </x:c>
      <x:c r="J77" s="69" t="n">
        <x:v>1.99</x:v>
      </x:c>
      <x:c r="M77" t="inlineStr">
        <x:is>
          <x:t xml:space="preserve">Tracked</x:t>
        </x:is>
      </x:c>
      <x:c r="N77" t="inlineStr">
        <x:is>
          <x:t xml:space="preserve">limited</x:t>
        </x:is>
      </x:c>
      <x:c r="O77" t="n">
        <x:f>IF(F77&lt;&gt;Controls!$C$12,0,IF(AND(Controls!$C$10="Contender",M77&lt;&gt;"Contender"),0,IF(AND(Controls!$C$10="Contender+Close",NOT(OR(M77="Contender",M77="Close"))),0,IF(AND(Controls!$C$11="Current",NOT(OR(N77="yes",N77="limited"))),0,1))))</x:f>
        <x:v>0</x:v>
      </x:c>
      <x:c r="P77" t="n">
        <x:f>Controls!$C$7</x:f>
        <x:v>40</x:v>
      </x:c>
      <x:c r="Q77" t="n">
        <x:f>IF(I77="","",I77-(P77-1))</x:f>
        <x:v>9</x:v>
      </x:c>
      <x:c r="R77" t="str">
        <x:f>IF(OR(O77=0,Q77&lt;=0,J77="",J77=0),"",Q77/J77)</x:f>
      </x:c>
      <x:c r="S77" t="str">
        <x:f>IF(OR(O77=0,Q77&lt;=0,J77="",Q77=0),"",J77/Q77)</x:f>
      </x:c>
      <x:c r="T77" t="str">
        <x:f>IF(OR(O77=0,Q77&lt;=0,J77="",K77="",J77=0,K77=0),"",Q77/(J77*(K77/60)))</x:f>
      </x:c>
      <x:c r="U77" t="str">
        <x:f>IF(OR(O77=0,I77=""),"",I77/_xlfn.MAXIFS($I$4:$I$141,$O$4:$O$141,1))</x:f>
      </x:c>
      <x:c r="V77" t="str">
        <x:f>IF(OR(O77=0,L77=""),"",L77/_xlfn.MAXIFS($L$4:$L$141,$O$4:$O$141,1))</x:f>
      </x:c>
      <x:c r="W77" t="str">
        <x:f>IF(OR(O77=0,J77=""),"",_xlfn.MINIFS($J$4:$J$141,$O$4:$O$141,1,$J$4:$J$141,"&gt;0")/J77)</x:f>
      </x:c>
      <x:c r="X77" t="str">
        <x:f>IF(R77="","",R77/_xlfn.MAXIFS($R$4:$R$141,$O$4:$O$141,1))</x:f>
      </x:c>
      <x:c r="Y77" t="str">
        <x:f>IF(T77="","",T77/_xlfn.MAXIFS($T$4:$T$141,$O$4:$O$141,1))</x:f>
      </x:c>
      <x:c r="Z77" s="67" t="str">
        <x:f>IF(OR(X77="",Y77=""),"",SQRT(X77*Y77))</x:f>
      </x:c>
      <x:c r="AA77" s="67" t="str">
        <x:f>IF(OR(X77="",Y77=""),"",X77^Controls!$C$8*Y77^Controls!$C$9)</x:f>
      </x:c>
      <x:c r="AB77" s="67" t="str">
        <x:f>IF(OR(X77="",Y77=""),"",X77^Controls!$C$9*Y77^Controls!$C$8)</x:f>
      </x:c>
      <x:c r="AC77" t="str">
        <x:f>IF(OR(U77="",V77=""),"",SQRT(U77*V77))</x:f>
      </x:c>
      <x:c r="AD77" t="n">
        <x:f>IF(OR(I77="",J77="",J77=0),"",I77/J77)</x:f>
        <x:v>24.12060301507538</x:v>
      </x:c>
      <x:c r="AE77" t="str">
        <x:f>IF(OR(I77="",K77="",K77=0),"",I77/K77)</x:f>
      </x:c>
      <x:c r="AF77" t="str">
        <x:f>IF(Z77="","",1+COUNTIF($Z$4:$Z$141,"&gt;"&amp;Z77)+COUNTIFS($Z$4:Z77,Z77)-1)</x:f>
      </x:c>
      <x:c r="AG77" t="str">
        <x:f>IF(AA77="","",1+COUNTIF($AA$4:$AA$141,"&gt;"&amp;AA77)+COUNTIFS($AA$4:AA77,AA77)-1)</x:f>
      </x:c>
      <x:c r="AH77" t="str">
        <x:f>IF(AB77="","",1+COUNTIF($AB$4:$AB$141,"&gt;"&amp;AB77)+COUNTIFS($AB$4:AB77,AB77)-1)</x:f>
      </x:c>
      <x:c r="AI77" t="str">
        <x:f>IF(OR(O77=0,I77=""),"",1+COUNTIFS($O$4:$O$141,1,$I$4:$I$141,"&gt;"&amp;I77)+COUNTIFS($O$4:O77,1,$I$4:I77,I77)-1)</x:f>
      </x:c>
      <x:c r="AJ77" t="str">
        <x:f>IF(OR(O77=0,L77=""),"",1+COUNTIFS($O$4:$O$141,1,$L$4:$L$141,"&gt;"&amp;L77)+COUNTIFS($O$4:O77,1,$L$4:L77,L77)-1)</x:f>
      </x:c>
      <x:c r="AK77" t="str">
        <x:f>IF(OR(O77=0,J77="",J77=0),"",1+COUNTIFS($O$4:$O$141,1,$J$4:$J$141,"&lt;"&amp;J77,$J$4:$J$141,"&gt;0")+COUNTIFS($O$4:O77,1,$J$4:J77,J77)-1)</x:f>
      </x:c>
    </x:row>
    <x:row r="78">
      <x:c r="A78" t="inlineStr">
        <x:is>
          <x:t xml:space="preserve">openai|gpt-6-1-sol|high|reasoning|fallback-na|aa-v4.3.2|snapshot-2026-10-11</x:t>
        </x:is>
      </x:c>
      <x:c r="B78" t="inlineStr">
        <x:is>
          <x:t xml:space="preserve">openai|gpt-6-1-sol|high|reasoning|fallback-na</x:t>
        </x:is>
      </x:c>
      <x:c r="C78" t="inlineStr">
        <x:is>
          <x:t xml:space="preserve">GPT-6.1 Sol</x:t>
        </x:is>
      </x:c>
      <x:c r="D78" t="inlineStr">
        <x:is>
          <x:t xml:space="preserve">OpenAI</x:t>
        </x:is>
      </x:c>
      <x:c r="E78" t="inlineStr">
        <x:is>
          <x:t xml:space="preserve">high</x:t>
        </x:is>
      </x:c>
      <x:c r="F78" t="inlineStr">
        <x:is>
          <x:t xml:space="preserve">AA|v4.3.2</x:t>
        </x:is>
      </x:c>
      <x:c r="G78" t="n">
        <x:v>50</x:v>
      </x:c>
      <x:c r="H78" t="n">
        <x:f>IFERROR(INDEX(Benchmark_Versions!$I:$I,MATCH(F78,Benchmark_Versions!$A:$A,0)),1)</x:f>
        <x:v>1</x:v>
      </x:c>
      <x:c r="I78" t="n">
        <x:f>IF(G78="","",G78*H78)</x:f>
        <x:v>50</x:v>
      </x:c>
      <x:c r="J78" s="69" t="n">
        <x:v>1.99</x:v>
      </x:c>
      <x:c r="M78" t="inlineStr">
        <x:is>
          <x:t xml:space="preserve">Tracked</x:t>
        </x:is>
      </x:c>
      <x:c r="N78" t="inlineStr">
        <x:is>
          <x:t xml:space="preserve">limited</x:t>
        </x:is>
      </x:c>
      <x:c r="O78" t="n">
        <x:f>IF(F78&lt;&gt;Controls!$C$12,0,IF(AND(Controls!$C$10="Contender",M78&lt;&gt;"Contender"),0,IF(AND(Controls!$C$10="Contender+Close",NOT(OR(M78="Contender",M78="Close"))),0,IF(AND(Controls!$C$11="Current",NOT(OR(N78="yes",N78="limited"))),0,1))))</x:f>
        <x:v>0</x:v>
      </x:c>
      <x:c r="P78" t="n">
        <x:f>Controls!$C$7</x:f>
        <x:v>40</x:v>
      </x:c>
      <x:c r="Q78" t="n">
        <x:f>IF(I78="","",I78-(P78-1))</x:f>
        <x:v>11</x:v>
      </x:c>
      <x:c r="R78" t="str">
        <x:f>IF(OR(O78=0,Q78&lt;=0,J78="",J78=0),"",Q78/J78)</x:f>
      </x:c>
      <x:c r="S78" t="str">
        <x:f>IF(OR(O78=0,Q78&lt;=0,J78="",Q78=0),"",J78/Q78)</x:f>
      </x:c>
      <x:c r="T78" t="str">
        <x:f>IF(OR(O78=0,Q78&lt;=0,J78="",K78="",J78=0,K78=0),"",Q78/(J78*(K78/60)))</x:f>
      </x:c>
      <x:c r="U78" t="str">
        <x:f>IF(OR(O78=0,I78=""),"",I78/_xlfn.MAXIFS($I$4:$I$141,$O$4:$O$141,1))</x:f>
      </x:c>
      <x:c r="V78" t="str">
        <x:f>IF(OR(O78=0,L78=""),"",L78/_xlfn.MAXIFS($L$4:$L$141,$O$4:$O$141,1))</x:f>
      </x:c>
      <x:c r="W78" t="str">
        <x:f>IF(OR(O78=0,J78=""),"",_xlfn.MINIFS($J$4:$J$141,$O$4:$O$141,1,$J$4:$J$141,"&gt;0")/J78)</x:f>
      </x:c>
      <x:c r="X78" t="str">
        <x:f>IF(R78="","",R78/_xlfn.MAXIFS($R$4:$R$141,$O$4:$O$141,1))</x:f>
      </x:c>
      <x:c r="Y78" t="str">
        <x:f>IF(T78="","",T78/_xlfn.MAXIFS($T$4:$T$141,$O$4:$O$141,1))</x:f>
      </x:c>
      <x:c r="Z78" s="67" t="str">
        <x:f>IF(OR(X78="",Y78=""),"",SQRT(X78*Y78))</x:f>
      </x:c>
      <x:c r="AA78" s="67" t="str">
        <x:f>IF(OR(X78="",Y78=""),"",X78^Controls!$C$8*Y78^Controls!$C$9)</x:f>
      </x:c>
      <x:c r="AB78" s="67" t="str">
        <x:f>IF(OR(X78="",Y78=""),"",X78^Controls!$C$9*Y78^Controls!$C$8)</x:f>
      </x:c>
      <x:c r="AC78" t="str">
        <x:f>IF(OR(U78="",V78=""),"",SQRT(U78*V78))</x:f>
      </x:c>
      <x:c r="AD78" t="n">
        <x:f>IF(OR(I78="",J78="",J78=0),"",I78/J78)</x:f>
        <x:v>25.12562814070352</x:v>
      </x:c>
      <x:c r="AE78" t="str">
        <x:f>IF(OR(I78="",K78="",K78=0),"",I78/K78)</x:f>
      </x:c>
      <x:c r="AF78" t="str">
        <x:f>IF(Z78="","",1+COUNTIF($Z$4:$Z$141,"&gt;"&amp;Z78)+COUNTIFS($Z$4:Z78,Z78)-1)</x:f>
      </x:c>
      <x:c r="AG78" t="str">
        <x:f>IF(AA78="","",1+COUNTIF($AA$4:$AA$141,"&gt;"&amp;AA78)+COUNTIFS($AA$4:AA78,AA78)-1)</x:f>
      </x:c>
      <x:c r="AH78" t="str">
        <x:f>IF(AB78="","",1+COUNTIF($AB$4:$AB$141,"&gt;"&amp;AB78)+COUNTIFS($AB$4:AB78,AB78)-1)</x:f>
      </x:c>
      <x:c r="AI78" t="str">
        <x:f>IF(OR(O78=0,I78=""),"",1+COUNTIFS($O$4:$O$141,1,$I$4:$I$141,"&gt;"&amp;I78)+COUNTIFS($O$4:O78,1,$I$4:I78,I78)-1)</x:f>
      </x:c>
      <x:c r="AJ78" t="str">
        <x:f>IF(OR(O78=0,L78=""),"",1+COUNTIFS($O$4:$O$141,1,$L$4:$L$141,"&gt;"&amp;L78)+COUNTIFS($O$4:O78,1,$L$4:L78,L78)-1)</x:f>
      </x:c>
      <x:c r="AK78" t="str">
        <x:f>IF(OR(O78=0,J78="",J78=0),"",1+COUNTIFS($O$4:$O$141,1,$J$4:$J$141,"&lt;"&amp;J78,$J$4:$J$141,"&gt;0")+COUNTIFS($O$4:O78,1,$J$4:J78,J78)-1)</x:f>
      </x:c>
    </x:row>
    <x:row r="79">
      <x:c r="A79" t="inlineStr">
        <x:is>
          <x:t xml:space="preserve">openai|gpt-6-1-sol|xhigh|reasoning|fallback-na|aa-v4.3.2|snapshot-2026-10-11</x:t>
        </x:is>
      </x:c>
      <x:c r="B79" t="inlineStr">
        <x:is>
          <x:t xml:space="preserve">openai|gpt-6-1-sol|xhigh|reasoning|fallback-na</x:t>
        </x:is>
      </x:c>
      <x:c r="C79" t="inlineStr">
        <x:is>
          <x:t xml:space="preserve">GPT-6.1 Sol</x:t>
        </x:is>
      </x:c>
      <x:c r="D79" t="inlineStr">
        <x:is>
          <x:t xml:space="preserve">OpenAI</x:t>
        </x:is>
      </x:c>
      <x:c r="E79" t="inlineStr">
        <x:is>
          <x:t xml:space="preserve">xhigh</x:t>
        </x:is>
      </x:c>
      <x:c r="F79" t="inlineStr">
        <x:is>
          <x:t xml:space="preserve">AA|v4.3.2</x:t>
        </x:is>
      </x:c>
      <x:c r="G79" t="n">
        <x:v>51</x:v>
      </x:c>
      <x:c r="H79" t="n">
        <x:f>IFERROR(INDEX(Benchmark_Versions!$I:$I,MATCH(F79,Benchmark_Versions!$A:$A,0)),1)</x:f>
        <x:v>1</x:v>
      </x:c>
      <x:c r="I79" t="n">
        <x:f>IF(G79="","",G79*H79)</x:f>
        <x:v>51</x:v>
      </x:c>
      <x:c r="J79" s="69" t="n">
        <x:v>1.99</x:v>
      </x:c>
      <x:c r="M79" t="inlineStr">
        <x:is>
          <x:t xml:space="preserve">Tracked</x:t>
        </x:is>
      </x:c>
      <x:c r="N79" t="inlineStr">
        <x:is>
          <x:t xml:space="preserve">limited</x:t>
        </x:is>
      </x:c>
      <x:c r="O79" t="n">
        <x:f>IF(F79&lt;&gt;Controls!$C$12,0,IF(AND(Controls!$C$10="Contender",M79&lt;&gt;"Contender"),0,IF(AND(Controls!$C$10="Contender+Close",NOT(OR(M79="Contender",M79="Close"))),0,IF(AND(Controls!$C$11="Current",NOT(OR(N79="yes",N79="limited"))),0,1))))</x:f>
        <x:v>0</x:v>
      </x:c>
      <x:c r="P79" t="n">
        <x:f>Controls!$C$7</x:f>
        <x:v>40</x:v>
      </x:c>
      <x:c r="Q79" t="n">
        <x:f>IF(I79="","",I79-(P79-1))</x:f>
        <x:v>12</x:v>
      </x:c>
      <x:c r="R79" t="str">
        <x:f>IF(OR(O79=0,Q79&lt;=0,J79="",J79=0),"",Q79/J79)</x:f>
      </x:c>
      <x:c r="S79" t="str">
        <x:f>IF(OR(O79=0,Q79&lt;=0,J79="",Q79=0),"",J79/Q79)</x:f>
      </x:c>
      <x:c r="T79" t="str">
        <x:f>IF(OR(O79=0,Q79&lt;=0,J79="",K79="",J79=0,K79=0),"",Q79/(J79*(K79/60)))</x:f>
      </x:c>
      <x:c r="U79" t="str">
        <x:f>IF(OR(O79=0,I79=""),"",I79/_xlfn.MAXIFS($I$4:$I$141,$O$4:$O$141,1))</x:f>
      </x:c>
      <x:c r="V79" t="str">
        <x:f>IF(OR(O79=0,L79=""),"",L79/_xlfn.MAXIFS($L$4:$L$141,$O$4:$O$141,1))</x:f>
      </x:c>
      <x:c r="W79" t="str">
        <x:f>IF(OR(O79=0,J79=""),"",_xlfn.MINIFS($J$4:$J$141,$O$4:$O$141,1,$J$4:$J$141,"&gt;0")/J79)</x:f>
      </x:c>
      <x:c r="X79" t="str">
        <x:f>IF(R79="","",R79/_xlfn.MAXIFS($R$4:$R$141,$O$4:$O$141,1))</x:f>
      </x:c>
      <x:c r="Y79" t="str">
        <x:f>IF(T79="","",T79/_xlfn.MAXIFS($T$4:$T$141,$O$4:$O$141,1))</x:f>
      </x:c>
      <x:c r="Z79" s="67" t="str">
        <x:f>IF(OR(X79="",Y79=""),"",SQRT(X79*Y79))</x:f>
      </x:c>
      <x:c r="AA79" s="67" t="str">
        <x:f>IF(OR(X79="",Y79=""),"",X79^Controls!$C$8*Y79^Controls!$C$9)</x:f>
      </x:c>
      <x:c r="AB79" s="67" t="str">
        <x:f>IF(OR(X79="",Y79=""),"",X79^Controls!$C$9*Y79^Controls!$C$8)</x:f>
      </x:c>
      <x:c r="AC79" t="str">
        <x:f>IF(OR(U79="",V79=""),"",SQRT(U79*V79))</x:f>
      </x:c>
      <x:c r="AD79" t="n">
        <x:f>IF(OR(I79="",J79="",J79=0),"",I79/J79)</x:f>
        <x:v>25.628140703517587</x:v>
      </x:c>
      <x:c r="AE79" t="str">
        <x:f>IF(OR(I79="",K79="",K79=0),"",I79/K79)</x:f>
      </x:c>
      <x:c r="AF79" t="str">
        <x:f>IF(Z79="","",1+COUNTIF($Z$4:$Z$141,"&gt;"&amp;Z79)+COUNTIFS($Z$4:Z79,Z79)-1)</x:f>
      </x:c>
      <x:c r="AG79" t="str">
        <x:f>IF(AA79="","",1+COUNTIF($AA$4:$AA$141,"&gt;"&amp;AA79)+COUNTIFS($AA$4:AA79,AA79)-1)</x:f>
      </x:c>
      <x:c r="AH79" t="str">
        <x:f>IF(AB79="","",1+COUNTIF($AB$4:$AB$141,"&gt;"&amp;AB79)+COUNTIFS($AB$4:AB79,AB79)-1)</x:f>
      </x:c>
      <x:c r="AI79" t="str">
        <x:f>IF(OR(O79=0,I79=""),"",1+COUNTIFS($O$4:$O$141,1,$I$4:$I$141,"&gt;"&amp;I79)+COUNTIFS($O$4:O79,1,$I$4:I79,I79)-1)</x:f>
      </x:c>
      <x:c r="AJ79" t="str">
        <x:f>IF(OR(O79=0,L79=""),"",1+COUNTIFS($O$4:$O$141,1,$L$4:$L$141,"&gt;"&amp;L79)+COUNTIFS($O$4:O79,1,$L$4:L79,L79)-1)</x:f>
      </x:c>
      <x:c r="AK79" t="str">
        <x:f>IF(OR(O79=0,J79="",J79=0),"",1+COUNTIFS($O$4:$O$141,1,$J$4:$J$141,"&lt;"&amp;J79,$J$4:$J$141,"&gt;0")+COUNTIFS($O$4:O79,1,$J$4:J79,J79)-1)</x:f>
      </x:c>
    </x:row>
    <x:row r="80">
      <x:c r="A80" t="inlineStr">
        <x:is>
          <x:t xml:space="preserve">openai|gpt-6-1-sol|max|reasoning|fallback-na|aa-v4.3.2|snapshot-2026-10-11</x:t>
        </x:is>
      </x:c>
      <x:c r="B80" t="inlineStr">
        <x:is>
          <x:t xml:space="preserve">openai|gpt-6-1-sol|max|reasoning|fallback-na</x:t>
        </x:is>
      </x:c>
      <x:c r="C80" t="inlineStr">
        <x:is>
          <x:t xml:space="preserve">GPT-6.1 Sol</x:t>
        </x:is>
      </x:c>
      <x:c r="D80" t="inlineStr">
        <x:is>
          <x:t xml:space="preserve">OpenAI</x:t>
        </x:is>
      </x:c>
      <x:c r="E80" t="inlineStr">
        <x:is>
          <x:t xml:space="preserve">max</x:t>
        </x:is>
      </x:c>
      <x:c r="F80" t="inlineStr">
        <x:is>
          <x:t xml:space="preserve">AA|v4.3.2</x:t>
        </x:is>
      </x:c>
      <x:c r="G80" t="n">
        <x:v>52</x:v>
      </x:c>
      <x:c r="H80" t="n">
        <x:f>IFERROR(INDEX(Benchmark_Versions!$I:$I,MATCH(F80,Benchmark_Versions!$A:$A,0)),1)</x:f>
        <x:v>1</x:v>
      </x:c>
      <x:c r="I80" t="n">
        <x:f>IF(G80="","",G80*H80)</x:f>
        <x:v>52</x:v>
      </x:c>
      <x:c r="J80" s="69" t="n">
        <x:v>1.99</x:v>
      </x:c>
      <x:c r="M80" t="inlineStr">
        <x:is>
          <x:t xml:space="preserve">Tracked</x:t>
        </x:is>
      </x:c>
      <x:c r="N80" t="inlineStr">
        <x:is>
          <x:t xml:space="preserve">limited</x:t>
        </x:is>
      </x:c>
      <x:c r="O80" t="n">
        <x:f>IF(F80&lt;&gt;Controls!$C$12,0,IF(AND(Controls!$C$10="Contender",M80&lt;&gt;"Contender"),0,IF(AND(Controls!$C$10="Contender+Close",NOT(OR(M80="Contender",M80="Close"))),0,IF(AND(Controls!$C$11="Current",NOT(OR(N80="yes",N80="limited"))),0,1))))</x:f>
        <x:v>0</x:v>
      </x:c>
      <x:c r="P80" t="n">
        <x:f>Controls!$C$7</x:f>
        <x:v>40</x:v>
      </x:c>
      <x:c r="Q80" t="n">
        <x:f>IF(I80="","",I80-(P80-1))</x:f>
        <x:v>13</x:v>
      </x:c>
      <x:c r="R80" t="str">
        <x:f>IF(OR(O80=0,Q80&lt;=0,J80="",J80=0),"",Q80/J80)</x:f>
      </x:c>
      <x:c r="S80" t="str">
        <x:f>IF(OR(O80=0,Q80&lt;=0,J80="",Q80=0),"",J80/Q80)</x:f>
      </x:c>
      <x:c r="T80" t="str">
        <x:f>IF(OR(O80=0,Q80&lt;=0,J80="",K80="",J80=0,K80=0),"",Q80/(J80*(K80/60)))</x:f>
      </x:c>
      <x:c r="U80" t="str">
        <x:f>IF(OR(O80=0,I80=""),"",I80/_xlfn.MAXIFS($I$4:$I$141,$O$4:$O$141,1))</x:f>
      </x:c>
      <x:c r="V80" t="str">
        <x:f>IF(OR(O80=0,L80=""),"",L80/_xlfn.MAXIFS($L$4:$L$141,$O$4:$O$141,1))</x:f>
      </x:c>
      <x:c r="W80" t="str">
        <x:f>IF(OR(O80=0,J80=""),"",_xlfn.MINIFS($J$4:$J$141,$O$4:$O$141,1,$J$4:$J$141,"&gt;0")/J80)</x:f>
      </x:c>
      <x:c r="X80" t="str">
        <x:f>IF(R80="","",R80/_xlfn.MAXIFS($R$4:$R$141,$O$4:$O$141,1))</x:f>
      </x:c>
      <x:c r="Y80" t="str">
        <x:f>IF(T80="","",T80/_xlfn.MAXIFS($T$4:$T$141,$O$4:$O$141,1))</x:f>
      </x:c>
      <x:c r="Z80" s="67" t="str">
        <x:f>IF(OR(X80="",Y80=""),"",SQRT(X80*Y80))</x:f>
      </x:c>
      <x:c r="AA80" s="67" t="str">
        <x:f>IF(OR(X80="",Y80=""),"",X80^Controls!$C$8*Y80^Controls!$C$9)</x:f>
      </x:c>
      <x:c r="AB80" s="67" t="str">
        <x:f>IF(OR(X80="",Y80=""),"",X80^Controls!$C$9*Y80^Controls!$C$8)</x:f>
      </x:c>
      <x:c r="AC80" t="str">
        <x:f>IF(OR(U80="",V80=""),"",SQRT(U80*V80))</x:f>
      </x:c>
      <x:c r="AD80" t="n">
        <x:f>IF(OR(I80="",J80="",J80=0),"",I80/J80)</x:f>
        <x:v>26.13065326633166</x:v>
      </x:c>
      <x:c r="AE80" t="str">
        <x:f>IF(OR(I80="",K80="",K80=0),"",I80/K80)</x:f>
      </x:c>
      <x:c r="AF80" t="str">
        <x:f>IF(Z80="","",1+COUNTIF($Z$4:$Z$141,"&gt;"&amp;Z80)+COUNTIFS($Z$4:Z80,Z80)-1)</x:f>
      </x:c>
      <x:c r="AG80" t="str">
        <x:f>IF(AA80="","",1+COUNTIF($AA$4:$AA$141,"&gt;"&amp;AA80)+COUNTIFS($AA$4:AA80,AA80)-1)</x:f>
      </x:c>
      <x:c r="AH80" t="str">
        <x:f>IF(AB80="","",1+COUNTIF($AB$4:$AB$141,"&gt;"&amp;AB80)+COUNTIFS($AB$4:AB80,AB80)-1)</x:f>
      </x:c>
      <x:c r="AI80" t="str">
        <x:f>IF(OR(O80=0,I80=""),"",1+COUNTIFS($O$4:$O$141,1,$I$4:$I$141,"&gt;"&amp;I80)+COUNTIFS($O$4:O80,1,$I$4:I80,I80)-1)</x:f>
      </x:c>
      <x:c r="AJ80" t="str">
        <x:f>IF(OR(O80=0,L80=""),"",1+COUNTIFS($O$4:$O$141,1,$L$4:$L$141,"&gt;"&amp;L80)+COUNTIFS($O$4:O80,1,$L$4:L80,L80)-1)</x:f>
      </x:c>
      <x:c r="AK80" t="str">
        <x:f>IF(OR(O80=0,J80="",J80=0),"",1+COUNTIFS($O$4:$O$141,1,$J$4:$J$141,"&lt;"&amp;J80,$J$4:$J$141,"&gt;0")+COUNTIFS($O$4:O80,1,$J$4:J80,J80)-1)</x:f>
      </x:c>
    </x:row>
    <x:row r="81">
      <x:c r="A81" t="inlineStr">
        <x:is>
          <x:t xml:space="preserve">anthropic|claude-haiku-5-5|low|reasoning|fallback-na|aa-v4.3.2|snapshot-2026-10-11</x:t>
        </x:is>
      </x:c>
      <x:c r="B81" t="inlineStr">
        <x:is>
          <x:t xml:space="preserve">anthropic|claude-haiku-5-5|low|reasoning|fallback-na</x:t>
        </x:is>
      </x:c>
      <x:c r="C81" t="inlineStr">
        <x:is>
          <x:t xml:space="preserve">Claude Haiku 5.5</x:t>
        </x:is>
      </x:c>
      <x:c r="D81" t="inlineStr">
        <x:is>
          <x:t xml:space="preserve">Anthropic</x:t>
        </x:is>
      </x:c>
      <x:c r="E81" t="inlineStr">
        <x:is>
          <x:t xml:space="preserve">low</x:t>
        </x:is>
      </x:c>
      <x:c r="F81" t="inlineStr">
        <x:is>
          <x:t xml:space="preserve">AA|v4.3.2</x:t>
        </x:is>
      </x:c>
      <x:c r="G81" t="n">
        <x:v>29</x:v>
      </x:c>
      <x:c r="H81" t="n">
        <x:f>IFERROR(INDEX(Benchmark_Versions!$I:$I,MATCH(F81,Benchmark_Versions!$A:$A,0)),1)</x:f>
        <x:v>1</x:v>
      </x:c>
      <x:c r="I81" t="n">
        <x:f>IF(G81="","",G81*H81)</x:f>
        <x:v>29</x:v>
      </x:c>
      <x:c r="J81" s="69" t="n">
        <x:v>1.99</x:v>
      </x:c>
      <x:c r="M81" t="inlineStr">
        <x:is>
          <x:t xml:space="preserve">Tracked</x:t>
        </x:is>
      </x:c>
      <x:c r="N81" t="inlineStr">
        <x:is>
          <x:t xml:space="preserve">limited</x:t>
        </x:is>
      </x:c>
      <x:c r="O81" t="n">
        <x:f>IF(F81&lt;&gt;Controls!$C$12,0,IF(AND(Controls!$C$10="Contender",M81&lt;&gt;"Contender"),0,IF(AND(Controls!$C$10="Contender+Close",NOT(OR(M81="Contender",M81="Close"))),0,IF(AND(Controls!$C$11="Current",NOT(OR(N81="yes",N81="limited"))),0,1))))</x:f>
        <x:v>0</x:v>
      </x:c>
      <x:c r="P81" t="n">
        <x:f>Controls!$C$7</x:f>
        <x:v>40</x:v>
      </x:c>
      <x:c r="Q81" t="n">
        <x:f>IF(I81="","",I81-(P81-1))</x:f>
        <x:v>-10</x:v>
      </x:c>
      <x:c r="R81" t="str">
        <x:f>IF(OR(O81=0,Q81&lt;=0,J81="",J81=0),"",Q81/J81)</x:f>
      </x:c>
      <x:c r="S81" t="str">
        <x:f>IF(OR(O81=0,Q81&lt;=0,J81="",Q81=0),"",J81/Q81)</x:f>
      </x:c>
      <x:c r="T81" t="str">
        <x:f>IF(OR(O81=0,Q81&lt;=0,J81="",K81="",J81=0,K81=0),"",Q81/(J81*(K81/60)))</x:f>
      </x:c>
      <x:c r="U81" t="str">
        <x:f>IF(OR(O81=0,I81=""),"",I81/_xlfn.MAXIFS($I$4:$I$141,$O$4:$O$141,1))</x:f>
      </x:c>
      <x:c r="V81" t="str">
        <x:f>IF(OR(O81=0,L81=""),"",L81/_xlfn.MAXIFS($L$4:$L$141,$O$4:$O$141,1))</x:f>
      </x:c>
      <x:c r="W81" t="str">
        <x:f>IF(OR(O81=0,J81=""),"",_xlfn.MINIFS($J$4:$J$141,$O$4:$O$141,1,$J$4:$J$141,"&gt;0")/J81)</x:f>
      </x:c>
      <x:c r="X81" t="str">
        <x:f>IF(R81="","",R81/_xlfn.MAXIFS($R$4:$R$141,$O$4:$O$141,1))</x:f>
      </x:c>
      <x:c r="Y81" t="str">
        <x:f>IF(T81="","",T81/_xlfn.MAXIFS($T$4:$T$141,$O$4:$O$141,1))</x:f>
      </x:c>
      <x:c r="Z81" s="67" t="str">
        <x:f>IF(OR(X81="",Y81=""),"",SQRT(X81*Y81))</x:f>
      </x:c>
      <x:c r="AA81" s="67" t="str">
        <x:f>IF(OR(X81="",Y81=""),"",X81^Controls!$C$8*Y81^Controls!$C$9)</x:f>
      </x:c>
      <x:c r="AB81" s="67" t="str">
        <x:f>IF(OR(X81="",Y81=""),"",X81^Controls!$C$9*Y81^Controls!$C$8)</x:f>
      </x:c>
      <x:c r="AC81" t="str">
        <x:f>IF(OR(U81="",V81=""),"",SQRT(U81*V81))</x:f>
      </x:c>
      <x:c r="AD81" t="n">
        <x:f>IF(OR(I81="",J81="",J81=0),"",I81/J81)</x:f>
        <x:v>14.57286432160804</x:v>
      </x:c>
      <x:c r="AE81" t="str">
        <x:f>IF(OR(I81="",K81="",K81=0),"",I81/K81)</x:f>
      </x:c>
      <x:c r="AF81" t="str">
        <x:f>IF(Z81="","",1+COUNTIF($Z$4:$Z$141,"&gt;"&amp;Z81)+COUNTIFS($Z$4:Z81,Z81)-1)</x:f>
      </x:c>
      <x:c r="AG81" t="str">
        <x:f>IF(AA81="","",1+COUNTIF($AA$4:$AA$141,"&gt;"&amp;AA81)+COUNTIFS($AA$4:AA81,AA81)-1)</x:f>
      </x:c>
      <x:c r="AH81" t="str">
        <x:f>IF(AB81="","",1+COUNTIF($AB$4:$AB$141,"&gt;"&amp;AB81)+COUNTIFS($AB$4:AB81,AB81)-1)</x:f>
      </x:c>
      <x:c r="AI81" t="str">
        <x:f>IF(OR(O81=0,I81=""),"",1+COUNTIFS($O$4:$O$141,1,$I$4:$I$141,"&gt;"&amp;I81)+COUNTIFS($O$4:O81,1,$I$4:I81,I81)-1)</x:f>
      </x:c>
      <x:c r="AJ81" t="str">
        <x:f>IF(OR(O81=0,L81=""),"",1+COUNTIFS($O$4:$O$141,1,$L$4:$L$141,"&gt;"&amp;L81)+COUNTIFS($O$4:O81,1,$L$4:L81,L81)-1)</x:f>
      </x:c>
      <x:c r="AK81" t="str">
        <x:f>IF(OR(O81=0,J81="",J81=0),"",1+COUNTIFS($O$4:$O$141,1,$J$4:$J$141,"&lt;"&amp;J81,$J$4:$J$141,"&gt;0")+COUNTIFS($O$4:O81,1,$J$4:J81,J81)-1)</x:f>
      </x:c>
    </x:row>
    <x:row r="82">
      <x:c r="A82" t="inlineStr">
        <x:is>
          <x:t xml:space="preserve">anthropic|claude-haiku-5-5|medium|reasoning|fallback-na|aa-v4.3.2|snapshot-2026-10-11</x:t>
        </x:is>
      </x:c>
      <x:c r="B82" t="inlineStr">
        <x:is>
          <x:t xml:space="preserve">anthropic|claude-haiku-5-5|medium|reasoning|fallback-na</x:t>
        </x:is>
      </x:c>
      <x:c r="C82" t="inlineStr">
        <x:is>
          <x:t xml:space="preserve">Claude Haiku 5.5</x:t>
        </x:is>
      </x:c>
      <x:c r="D82" t="inlineStr">
        <x:is>
          <x:t xml:space="preserve">Anthropic</x:t>
        </x:is>
      </x:c>
      <x:c r="E82" t="inlineStr">
        <x:is>
          <x:t xml:space="preserve">medium</x:t>
        </x:is>
      </x:c>
      <x:c r="F82" t="inlineStr">
        <x:is>
          <x:t xml:space="preserve">AA|v4.3.2</x:t>
        </x:is>
      </x:c>
      <x:c r="G82" t="n">
        <x:v>34</x:v>
      </x:c>
      <x:c r="H82" t="n">
        <x:f>IFERROR(INDEX(Benchmark_Versions!$I:$I,MATCH(F82,Benchmark_Versions!$A:$A,0)),1)</x:f>
        <x:v>1</x:v>
      </x:c>
      <x:c r="I82" t="n">
        <x:f>IF(G82="","",G82*H82)</x:f>
        <x:v>34</x:v>
      </x:c>
      <x:c r="J82" s="69" t="n">
        <x:v>1.99</x:v>
      </x:c>
      <x:c r="M82" t="inlineStr">
        <x:is>
          <x:t xml:space="preserve">Tracked</x:t>
        </x:is>
      </x:c>
      <x:c r="N82" t="inlineStr">
        <x:is>
          <x:t xml:space="preserve">limited</x:t>
        </x:is>
      </x:c>
      <x:c r="O82" t="n">
        <x:f>IF(F82&lt;&gt;Controls!$C$12,0,IF(AND(Controls!$C$10="Contender",M82&lt;&gt;"Contender"),0,IF(AND(Controls!$C$10="Contender+Close",NOT(OR(M82="Contender",M82="Close"))),0,IF(AND(Controls!$C$11="Current",NOT(OR(N82="yes",N82="limited"))),0,1))))</x:f>
        <x:v>0</x:v>
      </x:c>
      <x:c r="P82" t="n">
        <x:f>Controls!$C$7</x:f>
        <x:v>40</x:v>
      </x:c>
      <x:c r="Q82" t="n">
        <x:f>IF(I82="","",I82-(P82-1))</x:f>
        <x:v>-5</x:v>
      </x:c>
      <x:c r="R82" t="str">
        <x:f>IF(OR(O82=0,Q82&lt;=0,J82="",J82=0),"",Q82/J82)</x:f>
      </x:c>
      <x:c r="S82" t="str">
        <x:f>IF(OR(O82=0,Q82&lt;=0,J82="",Q82=0),"",J82/Q82)</x:f>
      </x:c>
      <x:c r="T82" t="str">
        <x:f>IF(OR(O82=0,Q82&lt;=0,J82="",K82="",J82=0,K82=0),"",Q82/(J82*(K82/60)))</x:f>
      </x:c>
      <x:c r="U82" t="str">
        <x:f>IF(OR(O82=0,I82=""),"",I82/_xlfn.MAXIFS($I$4:$I$141,$O$4:$O$141,1))</x:f>
      </x:c>
      <x:c r="V82" t="str">
        <x:f>IF(OR(O82=0,L82=""),"",L82/_xlfn.MAXIFS($L$4:$L$141,$O$4:$O$141,1))</x:f>
      </x:c>
      <x:c r="W82" t="str">
        <x:f>IF(OR(O82=0,J82=""),"",_xlfn.MINIFS($J$4:$J$141,$O$4:$O$141,1,$J$4:$J$141,"&gt;0")/J82)</x:f>
      </x:c>
      <x:c r="X82" t="str">
        <x:f>IF(R82="","",R82/_xlfn.MAXIFS($R$4:$R$141,$O$4:$O$141,1))</x:f>
      </x:c>
      <x:c r="Y82" t="str">
        <x:f>IF(T82="","",T82/_xlfn.MAXIFS($T$4:$T$141,$O$4:$O$141,1))</x:f>
      </x:c>
      <x:c r="Z82" s="67" t="str">
        <x:f>IF(OR(X82="",Y82=""),"",SQRT(X82*Y82))</x:f>
      </x:c>
      <x:c r="AA82" s="67" t="str">
        <x:f>IF(OR(X82="",Y82=""),"",X82^Controls!$C$8*Y82^Controls!$C$9)</x:f>
      </x:c>
      <x:c r="AB82" s="67" t="str">
        <x:f>IF(OR(X82="",Y82=""),"",X82^Controls!$C$9*Y82^Controls!$C$8)</x:f>
      </x:c>
      <x:c r="AC82" t="str">
        <x:f>IF(OR(U82="",V82=""),"",SQRT(U82*V82))</x:f>
      </x:c>
      <x:c r="AD82" t="n">
        <x:f>IF(OR(I82="",J82="",J82=0),"",I82/J82)</x:f>
        <x:v>17.08542713567839</x:v>
      </x:c>
      <x:c r="AE82" t="str">
        <x:f>IF(OR(I82="",K82="",K82=0),"",I82/K82)</x:f>
      </x:c>
      <x:c r="AF82" t="str">
        <x:f>IF(Z82="","",1+COUNTIF($Z$4:$Z$141,"&gt;"&amp;Z82)+COUNTIFS($Z$4:Z82,Z82)-1)</x:f>
      </x:c>
      <x:c r="AG82" t="str">
        <x:f>IF(AA82="","",1+COUNTIF($AA$4:$AA$141,"&gt;"&amp;AA82)+COUNTIFS($AA$4:AA82,AA82)-1)</x:f>
      </x:c>
      <x:c r="AH82" t="str">
        <x:f>IF(AB82="","",1+COUNTIF($AB$4:$AB$141,"&gt;"&amp;AB82)+COUNTIFS($AB$4:AB82,AB82)-1)</x:f>
      </x:c>
      <x:c r="AI82" t="str">
        <x:f>IF(OR(O82=0,I82=""),"",1+COUNTIFS($O$4:$O$141,1,$I$4:$I$141,"&gt;"&amp;I82)+COUNTIFS($O$4:O82,1,$I$4:I82,I82)-1)</x:f>
      </x:c>
      <x:c r="AJ82" t="str">
        <x:f>IF(OR(O82=0,L82=""),"",1+COUNTIFS($O$4:$O$141,1,$L$4:$L$141,"&gt;"&amp;L82)+COUNTIFS($O$4:O82,1,$L$4:L82,L82)-1)</x:f>
      </x:c>
      <x:c r="AK82" t="str">
        <x:f>IF(OR(O82=0,J82="",J82=0),"",1+COUNTIFS($O$4:$O$141,1,$J$4:$J$141,"&lt;"&amp;J82,$J$4:$J$141,"&gt;0")+COUNTIFS($O$4:O82,1,$J$4:J82,J82)-1)</x:f>
      </x:c>
    </x:row>
    <x:row r="83">
      <x:c r="A83" t="inlineStr">
        <x:is>
          <x:t xml:space="preserve">anthropic|claude-haiku-5-5|high|reasoning|fallback-na|aa-v4.3.2|snapshot-2026-10-11</x:t>
        </x:is>
      </x:c>
      <x:c r="B83" t="inlineStr">
        <x:is>
          <x:t xml:space="preserve">anthropic|claude-haiku-5-5|high|reasoning|fallback-na</x:t>
        </x:is>
      </x:c>
      <x:c r="C83" t="inlineStr">
        <x:is>
          <x:t xml:space="preserve">Claude Haiku 5.5</x:t>
        </x:is>
      </x:c>
      <x:c r="D83" t="inlineStr">
        <x:is>
          <x:t xml:space="preserve">Anthropic</x:t>
        </x:is>
      </x:c>
      <x:c r="E83" t="inlineStr">
        <x:is>
          <x:t xml:space="preserve">high</x:t>
        </x:is>
      </x:c>
      <x:c r="F83" t="inlineStr">
        <x:is>
          <x:t xml:space="preserve">AA|v4.3.2</x:t>
        </x:is>
      </x:c>
      <x:c r="G83" t="n">
        <x:v>38</x:v>
      </x:c>
      <x:c r="H83" t="n">
        <x:f>IFERROR(INDEX(Benchmark_Versions!$I:$I,MATCH(F83,Benchmark_Versions!$A:$A,0)),1)</x:f>
        <x:v>1</x:v>
      </x:c>
      <x:c r="I83" t="n">
        <x:f>IF(G83="","",G83*H83)</x:f>
        <x:v>38</x:v>
      </x:c>
      <x:c r="J83" s="69" t="n">
        <x:v>1.99</x:v>
      </x:c>
      <x:c r="M83" t="inlineStr">
        <x:is>
          <x:t xml:space="preserve">Tracked</x:t>
        </x:is>
      </x:c>
      <x:c r="N83" t="inlineStr">
        <x:is>
          <x:t xml:space="preserve">limited</x:t>
        </x:is>
      </x:c>
      <x:c r="O83" t="n">
        <x:f>IF(F83&lt;&gt;Controls!$C$12,0,IF(AND(Controls!$C$10="Contender",M83&lt;&gt;"Contender"),0,IF(AND(Controls!$C$10="Contender+Close",NOT(OR(M83="Contender",M83="Close"))),0,IF(AND(Controls!$C$11="Current",NOT(OR(N83="yes",N83="limited"))),0,1))))</x:f>
        <x:v>0</x:v>
      </x:c>
      <x:c r="P83" t="n">
        <x:f>Controls!$C$7</x:f>
        <x:v>40</x:v>
      </x:c>
      <x:c r="Q83" t="n">
        <x:f>IF(I83="","",I83-(P83-1))</x:f>
        <x:v>-1</x:v>
      </x:c>
      <x:c r="R83" t="str">
        <x:f>IF(OR(O83=0,Q83&lt;=0,J83="",J83=0),"",Q83/J83)</x:f>
      </x:c>
      <x:c r="S83" t="str">
        <x:f>IF(OR(O83=0,Q83&lt;=0,J83="",Q83=0),"",J83/Q83)</x:f>
      </x:c>
      <x:c r="T83" t="str">
        <x:f>IF(OR(O83=0,Q83&lt;=0,J83="",K83="",J83=0,K83=0),"",Q83/(J83*(K83/60)))</x:f>
      </x:c>
      <x:c r="U83" t="str">
        <x:f>IF(OR(O83=0,I83=""),"",I83/_xlfn.MAXIFS($I$4:$I$141,$O$4:$O$141,1))</x:f>
      </x:c>
      <x:c r="V83" t="str">
        <x:f>IF(OR(O83=0,L83=""),"",L83/_xlfn.MAXIFS($L$4:$L$141,$O$4:$O$141,1))</x:f>
      </x:c>
      <x:c r="W83" t="str">
        <x:f>IF(OR(O83=0,J83=""),"",_xlfn.MINIFS($J$4:$J$141,$O$4:$O$141,1,$J$4:$J$141,"&gt;0")/J83)</x:f>
      </x:c>
      <x:c r="X83" t="str">
        <x:f>IF(R83="","",R83/_xlfn.MAXIFS($R$4:$R$141,$O$4:$O$141,1))</x:f>
      </x:c>
      <x:c r="Y83" t="str">
        <x:f>IF(T83="","",T83/_xlfn.MAXIFS($T$4:$T$141,$O$4:$O$141,1))</x:f>
      </x:c>
      <x:c r="Z83" s="67" t="str">
        <x:f>IF(OR(X83="",Y83=""),"",SQRT(X83*Y83))</x:f>
      </x:c>
      <x:c r="AA83" s="67" t="str">
        <x:f>IF(OR(X83="",Y83=""),"",X83^Controls!$C$8*Y83^Controls!$C$9)</x:f>
      </x:c>
      <x:c r="AB83" s="67" t="str">
        <x:f>IF(OR(X83="",Y83=""),"",X83^Controls!$C$9*Y83^Controls!$C$8)</x:f>
      </x:c>
      <x:c r="AC83" t="str">
        <x:f>IF(OR(U83="",V83=""),"",SQRT(U83*V83))</x:f>
      </x:c>
      <x:c r="AD83" t="n">
        <x:f>IF(OR(I83="",J83="",J83=0),"",I83/J83)</x:f>
        <x:v>19.095477386934675</x:v>
      </x:c>
      <x:c r="AE83" t="str">
        <x:f>IF(OR(I83="",K83="",K83=0),"",I83/K83)</x:f>
      </x:c>
      <x:c r="AF83" t="str">
        <x:f>IF(Z83="","",1+COUNTIF($Z$4:$Z$141,"&gt;"&amp;Z83)+COUNTIFS($Z$4:Z83,Z83)-1)</x:f>
      </x:c>
      <x:c r="AG83" t="str">
        <x:f>IF(AA83="","",1+COUNTIF($AA$4:$AA$141,"&gt;"&amp;AA83)+COUNTIFS($AA$4:AA83,AA83)-1)</x:f>
      </x:c>
      <x:c r="AH83" t="str">
        <x:f>IF(AB83="","",1+COUNTIF($AB$4:$AB$141,"&gt;"&amp;AB83)+COUNTIFS($AB$4:AB83,AB83)-1)</x:f>
      </x:c>
      <x:c r="AI83" t="str">
        <x:f>IF(OR(O83=0,I83=""),"",1+COUNTIFS($O$4:$O$141,1,$I$4:$I$141,"&gt;"&amp;I83)+COUNTIFS($O$4:O83,1,$I$4:I83,I83)-1)</x:f>
      </x:c>
      <x:c r="AJ83" t="str">
        <x:f>IF(OR(O83=0,L83=""),"",1+COUNTIFS($O$4:$O$141,1,$L$4:$L$141,"&gt;"&amp;L83)+COUNTIFS($O$4:O83,1,$L$4:L83,L83)-1)</x:f>
      </x:c>
      <x:c r="AK83" t="str">
        <x:f>IF(OR(O83=0,J83="",J83=0),"",1+COUNTIFS($O$4:$O$141,1,$J$4:$J$141,"&lt;"&amp;J83,$J$4:$J$141,"&gt;0")+COUNTIFS($O$4:O83,1,$J$4:J83,J83)-1)</x:f>
      </x:c>
    </x:row>
    <x:row r="84">
      <x:c r="A84" t="inlineStr">
        <x:is>
          <x:t xml:space="preserve">anthropic|claude-haiku-5-5|xhigh|reasoning|fallback-na|aa-v4.3.2|snapshot-2026-10-11</x:t>
        </x:is>
      </x:c>
      <x:c r="B84" t="inlineStr">
        <x:is>
          <x:t xml:space="preserve">anthropic|claude-haiku-5-5|xhigh|reasoning|fallback-na</x:t>
        </x:is>
      </x:c>
      <x:c r="C84" t="inlineStr">
        <x:is>
          <x:t xml:space="preserve">Claude Haiku 5.5</x:t>
        </x:is>
      </x:c>
      <x:c r="D84" t="inlineStr">
        <x:is>
          <x:t xml:space="preserve">Anthropic</x:t>
        </x:is>
      </x:c>
      <x:c r="E84" t="inlineStr">
        <x:is>
          <x:t xml:space="preserve">xhigh</x:t>
        </x:is>
      </x:c>
      <x:c r="F84" t="inlineStr">
        <x:is>
          <x:t xml:space="preserve">AA|v4.3.2</x:t>
        </x:is>
      </x:c>
      <x:c r="G84" t="n">
        <x:v>41</x:v>
      </x:c>
      <x:c r="H84" t="n">
        <x:f>IFERROR(INDEX(Benchmark_Versions!$I:$I,MATCH(F84,Benchmark_Versions!$A:$A,0)),1)</x:f>
        <x:v>1</x:v>
      </x:c>
      <x:c r="I84" t="n">
        <x:f>IF(G84="","",G84*H84)</x:f>
        <x:v>41</x:v>
      </x:c>
      <x:c r="J84" s="69" t="n">
        <x:v>1.99</x:v>
      </x:c>
      <x:c r="M84" t="inlineStr">
        <x:is>
          <x:t xml:space="preserve">Tracked</x:t>
        </x:is>
      </x:c>
      <x:c r="N84" t="inlineStr">
        <x:is>
          <x:t xml:space="preserve">limited</x:t>
        </x:is>
      </x:c>
      <x:c r="O84" t="n">
        <x:f>IF(F84&lt;&gt;Controls!$C$12,0,IF(AND(Controls!$C$10="Contender",M84&lt;&gt;"Contender"),0,IF(AND(Controls!$C$10="Contender+Close",NOT(OR(M84="Contender",M84="Close"))),0,IF(AND(Controls!$C$11="Current",NOT(OR(N84="yes",N84="limited"))),0,1))))</x:f>
        <x:v>0</x:v>
      </x:c>
      <x:c r="P84" t="n">
        <x:f>Controls!$C$7</x:f>
        <x:v>40</x:v>
      </x:c>
      <x:c r="Q84" t="n">
        <x:f>IF(I84="","",I84-(P84-1))</x:f>
        <x:v>2</x:v>
      </x:c>
      <x:c r="R84" t="str">
        <x:f>IF(OR(O84=0,Q84&lt;=0,J84="",J84=0),"",Q84/J84)</x:f>
      </x:c>
      <x:c r="S84" t="str">
        <x:f>IF(OR(O84=0,Q84&lt;=0,J84="",Q84=0),"",J84/Q84)</x:f>
      </x:c>
      <x:c r="T84" t="str">
        <x:f>IF(OR(O84=0,Q84&lt;=0,J84="",K84="",J84=0,K84=0),"",Q84/(J84*(K84/60)))</x:f>
      </x:c>
      <x:c r="U84" t="str">
        <x:f>IF(OR(O84=0,I84=""),"",I84/_xlfn.MAXIFS($I$4:$I$141,$O$4:$O$141,1))</x:f>
      </x:c>
      <x:c r="V84" t="str">
        <x:f>IF(OR(O84=0,L84=""),"",L84/_xlfn.MAXIFS($L$4:$L$141,$O$4:$O$141,1))</x:f>
      </x:c>
      <x:c r="W84" t="str">
        <x:f>IF(OR(O84=0,J84=""),"",_xlfn.MINIFS($J$4:$J$141,$O$4:$O$141,1,$J$4:$J$141,"&gt;0")/J84)</x:f>
      </x:c>
      <x:c r="X84" t="str">
        <x:f>IF(R84="","",R84/_xlfn.MAXIFS($R$4:$R$141,$O$4:$O$141,1))</x:f>
      </x:c>
      <x:c r="Y84" t="str">
        <x:f>IF(T84="","",T84/_xlfn.MAXIFS($T$4:$T$141,$O$4:$O$141,1))</x:f>
      </x:c>
      <x:c r="Z84" s="67" t="str">
        <x:f>IF(OR(X84="",Y84=""),"",SQRT(X84*Y84))</x:f>
      </x:c>
      <x:c r="AA84" s="67" t="str">
        <x:f>IF(OR(X84="",Y84=""),"",X84^Controls!$C$8*Y84^Controls!$C$9)</x:f>
      </x:c>
      <x:c r="AB84" s="67" t="str">
        <x:f>IF(OR(X84="",Y84=""),"",X84^Controls!$C$9*Y84^Controls!$C$8)</x:f>
      </x:c>
      <x:c r="AC84" t="str">
        <x:f>IF(OR(U84="",V84=""),"",SQRT(U84*V84))</x:f>
      </x:c>
      <x:c r="AD84" t="n">
        <x:f>IF(OR(I84="",J84="",J84=0),"",I84/J84)</x:f>
        <x:v>20.603015075376884</x:v>
      </x:c>
      <x:c r="AE84" t="str">
        <x:f>IF(OR(I84="",K84="",K84=0),"",I84/K84)</x:f>
      </x:c>
      <x:c r="AF84" t="str">
        <x:f>IF(Z84="","",1+COUNTIF($Z$4:$Z$141,"&gt;"&amp;Z84)+COUNTIFS($Z$4:Z84,Z84)-1)</x:f>
      </x:c>
      <x:c r="AG84" t="str">
        <x:f>IF(AA84="","",1+COUNTIF($AA$4:$AA$141,"&gt;"&amp;AA84)+COUNTIFS($AA$4:AA84,AA84)-1)</x:f>
      </x:c>
      <x:c r="AH84" t="str">
        <x:f>IF(AB84="","",1+COUNTIF($AB$4:$AB$141,"&gt;"&amp;AB84)+COUNTIFS($AB$4:AB84,AB84)-1)</x:f>
      </x:c>
      <x:c r="AI84" t="str">
        <x:f>IF(OR(O84=0,I84=""),"",1+COUNTIFS($O$4:$O$141,1,$I$4:$I$141,"&gt;"&amp;I84)+COUNTIFS($O$4:O84,1,$I$4:I84,I84)-1)</x:f>
      </x:c>
      <x:c r="AJ84" t="str">
        <x:f>IF(OR(O84=0,L84=""),"",1+COUNTIFS($O$4:$O$141,1,$L$4:$L$141,"&gt;"&amp;L84)+COUNTIFS($O$4:O84,1,$L$4:L84,L84)-1)</x:f>
      </x:c>
      <x:c r="AK84" t="str">
        <x:f>IF(OR(O84=0,J84="",J84=0),"",1+COUNTIFS($O$4:$O$141,1,$J$4:$J$141,"&lt;"&amp;J84,$J$4:$J$141,"&gt;0")+COUNTIFS($O$4:O84,1,$J$4:J84,J84)-1)</x:f>
      </x:c>
    </x:row>
    <x:row r="85">
      <x:c r="A85" t="inlineStr">
        <x:is>
          <x:t xml:space="preserve">anthropic|claude-haiku-5-5|max|reasoning|fallback-na|aa-v4.3.2|snapshot-2026-10-11</x:t>
        </x:is>
      </x:c>
      <x:c r="B85" t="inlineStr">
        <x:is>
          <x:t xml:space="preserve">anthropic|claude-haiku-5-5|max|reasoning|fallback-na</x:t>
        </x:is>
      </x:c>
      <x:c r="C85" t="inlineStr">
        <x:is>
          <x:t xml:space="preserve">Claude Haiku 5.5</x:t>
        </x:is>
      </x:c>
      <x:c r="D85" t="inlineStr">
        <x:is>
          <x:t xml:space="preserve">Anthropic</x:t>
        </x:is>
      </x:c>
      <x:c r="E85" t="inlineStr">
        <x:is>
          <x:t xml:space="preserve">max</x:t>
        </x:is>
      </x:c>
      <x:c r="F85" t="inlineStr">
        <x:is>
          <x:t xml:space="preserve">AA|v4.3.2</x:t>
        </x:is>
      </x:c>
      <x:c r="G85" t="n">
        <x:v>43</x:v>
      </x:c>
      <x:c r="H85" t="n">
        <x:f>IFERROR(INDEX(Benchmark_Versions!$I:$I,MATCH(F85,Benchmark_Versions!$A:$A,0)),1)</x:f>
        <x:v>1</x:v>
      </x:c>
      <x:c r="I85" t="n">
        <x:f>IF(G85="","",G85*H85)</x:f>
        <x:v>43</x:v>
      </x:c>
      <x:c r="J85" s="69" t="n">
        <x:v>1.99</x:v>
      </x:c>
      <x:c r="M85" t="inlineStr">
        <x:is>
          <x:t xml:space="preserve">Tracked</x:t>
        </x:is>
      </x:c>
      <x:c r="N85" t="inlineStr">
        <x:is>
          <x:t xml:space="preserve">limited</x:t>
        </x:is>
      </x:c>
      <x:c r="O85" t="n">
        <x:f>IF(F85&lt;&gt;Controls!$C$12,0,IF(AND(Controls!$C$10="Contender",M85&lt;&gt;"Contender"),0,IF(AND(Controls!$C$10="Contender+Close",NOT(OR(M85="Contender",M85="Close"))),0,IF(AND(Controls!$C$11="Current",NOT(OR(N85="yes",N85="limited"))),0,1))))</x:f>
        <x:v>0</x:v>
      </x:c>
      <x:c r="P85" t="n">
        <x:f>Controls!$C$7</x:f>
        <x:v>40</x:v>
      </x:c>
      <x:c r="Q85" t="n">
        <x:f>IF(I85="","",I85-(P85-1))</x:f>
        <x:v>4</x:v>
      </x:c>
      <x:c r="R85" t="str">
        <x:f>IF(OR(O85=0,Q85&lt;=0,J85="",J85=0),"",Q85/J85)</x:f>
      </x:c>
      <x:c r="S85" t="str">
        <x:f>IF(OR(O85=0,Q85&lt;=0,J85="",Q85=0),"",J85/Q85)</x:f>
      </x:c>
      <x:c r="T85" t="str">
        <x:f>IF(OR(O85=0,Q85&lt;=0,J85="",K85="",J85=0,K85=0),"",Q85/(J85*(K85/60)))</x:f>
      </x:c>
      <x:c r="U85" t="str">
        <x:f>IF(OR(O85=0,I85=""),"",I85/_xlfn.MAXIFS($I$4:$I$141,$O$4:$O$141,1))</x:f>
      </x:c>
      <x:c r="V85" t="str">
        <x:f>IF(OR(O85=0,L85=""),"",L85/_xlfn.MAXIFS($L$4:$L$141,$O$4:$O$141,1))</x:f>
      </x:c>
      <x:c r="W85" t="str">
        <x:f>IF(OR(O85=0,J85=""),"",_xlfn.MINIFS($J$4:$J$141,$O$4:$O$141,1,$J$4:$J$141,"&gt;0")/J85)</x:f>
      </x:c>
      <x:c r="X85" t="str">
        <x:f>IF(R85="","",R85/_xlfn.MAXIFS($R$4:$R$141,$O$4:$O$141,1))</x:f>
      </x:c>
      <x:c r="Y85" t="str">
        <x:f>IF(T85="","",T85/_xlfn.MAXIFS($T$4:$T$141,$O$4:$O$141,1))</x:f>
      </x:c>
      <x:c r="Z85" s="67" t="str">
        <x:f>IF(OR(X85="",Y85=""),"",SQRT(X85*Y85))</x:f>
      </x:c>
      <x:c r="AA85" s="67" t="str">
        <x:f>IF(OR(X85="",Y85=""),"",X85^Controls!$C$8*Y85^Controls!$C$9)</x:f>
      </x:c>
      <x:c r="AB85" s="67" t="str">
        <x:f>IF(OR(X85="",Y85=""),"",X85^Controls!$C$9*Y85^Controls!$C$8)</x:f>
      </x:c>
      <x:c r="AC85" t="str">
        <x:f>IF(OR(U85="",V85=""),"",SQRT(U85*V85))</x:f>
      </x:c>
      <x:c r="AD85" t="n">
        <x:f>IF(OR(I85="",J85="",J85=0),"",I85/J85)</x:f>
        <x:v>21.608040201005025</x:v>
      </x:c>
      <x:c r="AE85" t="str">
        <x:f>IF(OR(I85="",K85="",K85=0),"",I85/K85)</x:f>
      </x:c>
      <x:c r="AF85" t="str">
        <x:f>IF(Z85="","",1+COUNTIF($Z$4:$Z$141,"&gt;"&amp;Z85)+COUNTIFS($Z$4:Z85,Z85)-1)</x:f>
      </x:c>
      <x:c r="AG85" t="str">
        <x:f>IF(AA85="","",1+COUNTIF($AA$4:$AA$141,"&gt;"&amp;AA85)+COUNTIFS($AA$4:AA85,AA85)-1)</x:f>
      </x:c>
      <x:c r="AH85" t="str">
        <x:f>IF(AB85="","",1+COUNTIF($AB$4:$AB$141,"&gt;"&amp;AB85)+COUNTIFS($AB$4:AB85,AB85)-1)</x:f>
      </x:c>
      <x:c r="AI85" t="str">
        <x:f>IF(OR(O85=0,I85=""),"",1+COUNTIFS($O$4:$O$141,1,$I$4:$I$141,"&gt;"&amp;I85)+COUNTIFS($O$4:O85,1,$I$4:I85,I85)-1)</x:f>
      </x:c>
      <x:c r="AJ85" t="str">
        <x:f>IF(OR(O85=0,L85=""),"",1+COUNTIFS($O$4:$O$141,1,$L$4:$L$141,"&gt;"&amp;L85)+COUNTIFS($O$4:O85,1,$L$4:L85,L85)-1)</x:f>
      </x:c>
      <x:c r="AK85" t="str">
        <x:f>IF(OR(O85=0,J85="",J85=0),"",1+COUNTIFS($O$4:$O$141,1,$J$4:$J$141,"&lt;"&amp;J85,$J$4:$J$141,"&gt;0")+COUNTIFS($O$4:O85,1,$J$4:J85,J85)-1)</x:f>
      </x:c>
    </x:row>
    <x:row r="86">
      <x:c r="A86" t="inlineStr">
        <x:is>
          <x:t xml:space="preserve">mistral|mistral-large-4-preview|reasoning|reasoning|fallback-na|aa-v4.3.2|snapshot-2026-10-11</x:t>
        </x:is>
      </x:c>
      <x:c r="B86" t="inlineStr">
        <x:is>
          <x:t xml:space="preserve">mistral|mistral-large-4-preview|reasoning|reasoning|fallback-na</x:t>
        </x:is>
      </x:c>
      <x:c r="C86" t="inlineStr">
        <x:is>
          <x:t xml:space="preserve">Mistral Large 4 Preview</x:t>
        </x:is>
      </x:c>
      <x:c r="D86" t="inlineStr">
        <x:is>
          <x:t xml:space="preserve">Mistral</x:t>
        </x:is>
      </x:c>
      <x:c r="E86" t="inlineStr">
        <x:is>
          <x:t xml:space="preserve">reasoning</x:t>
        </x:is>
      </x:c>
      <x:c r="F86" t="inlineStr">
        <x:is>
          <x:t xml:space="preserve">AA|v4.3.2</x:t>
        </x:is>
      </x:c>
      <x:c r="G86" t="n">
        <x:v>38</x:v>
      </x:c>
      <x:c r="H86" t="n">
        <x:f>IFERROR(INDEX(Benchmark_Versions!$I:$I,MATCH(F86,Benchmark_Versions!$A:$A,0)),1)</x:f>
        <x:v>1</x:v>
      </x:c>
      <x:c r="I86" t="n">
        <x:f>IF(G86="","",G86*H86)</x:f>
        <x:v>38</x:v>
      </x:c>
      <x:c r="J86" s="69" t="n">
        <x:v>1.99</x:v>
      </x:c>
      <x:c r="M86" t="inlineStr">
        <x:is>
          <x:t xml:space="preserve">Tracked</x:t>
        </x:is>
      </x:c>
      <x:c r="N86" t="inlineStr">
        <x:is>
          <x:t xml:space="preserve">limited</x:t>
        </x:is>
      </x:c>
      <x:c r="O86" t="n">
        <x:f>IF(F86&lt;&gt;Controls!$C$12,0,IF(AND(Controls!$C$10="Contender",M86&lt;&gt;"Contender"),0,IF(AND(Controls!$C$10="Contender+Close",NOT(OR(M86="Contender",M86="Close"))),0,IF(AND(Controls!$C$11="Current",NOT(OR(N86="yes",N86="limited"))),0,1))))</x:f>
        <x:v>0</x:v>
      </x:c>
      <x:c r="P86" t="n">
        <x:f>Controls!$C$7</x:f>
        <x:v>40</x:v>
      </x:c>
      <x:c r="Q86" t="n">
        <x:f>IF(I86="","",I86-(P86-1))</x:f>
        <x:v>-1</x:v>
      </x:c>
      <x:c r="R86" t="str">
        <x:f>IF(OR(O86=0,Q86&lt;=0,J86="",J86=0),"",Q86/J86)</x:f>
      </x:c>
      <x:c r="S86" t="str">
        <x:f>IF(OR(O86=0,Q86&lt;=0,J86="",Q86=0),"",J86/Q86)</x:f>
      </x:c>
      <x:c r="T86" t="str">
        <x:f>IF(OR(O86=0,Q86&lt;=0,J86="",K86="",J86=0,K86=0),"",Q86/(J86*(K86/60)))</x:f>
      </x:c>
      <x:c r="U86" t="str">
        <x:f>IF(OR(O86=0,I86=""),"",I86/_xlfn.MAXIFS($I$4:$I$141,$O$4:$O$141,1))</x:f>
      </x:c>
      <x:c r="V86" t="str">
        <x:f>IF(OR(O86=0,L86=""),"",L86/_xlfn.MAXIFS($L$4:$L$141,$O$4:$O$141,1))</x:f>
      </x:c>
      <x:c r="W86" t="str">
        <x:f>IF(OR(O86=0,J86=""),"",_xlfn.MINIFS($J$4:$J$141,$O$4:$O$141,1,$J$4:$J$141,"&gt;0")/J86)</x:f>
      </x:c>
      <x:c r="X86" t="str">
        <x:f>IF(R86="","",R86/_xlfn.MAXIFS($R$4:$R$141,$O$4:$O$141,1))</x:f>
      </x:c>
      <x:c r="Y86" t="str">
        <x:f>IF(T86="","",T86/_xlfn.MAXIFS($T$4:$T$141,$O$4:$O$141,1))</x:f>
      </x:c>
      <x:c r="Z86" s="67" t="str">
        <x:f>IF(OR(X86="",Y86=""),"",SQRT(X86*Y86))</x:f>
      </x:c>
      <x:c r="AA86" s="67" t="str">
        <x:f>IF(OR(X86="",Y86=""),"",X86^Controls!$C$8*Y86^Controls!$C$9)</x:f>
      </x:c>
      <x:c r="AB86" s="67" t="str">
        <x:f>IF(OR(X86="",Y86=""),"",X86^Controls!$C$9*Y86^Controls!$C$8)</x:f>
      </x:c>
      <x:c r="AC86" t="str">
        <x:f>IF(OR(U86="",V86=""),"",SQRT(U86*V86))</x:f>
      </x:c>
      <x:c r="AD86" t="n">
        <x:f>IF(OR(I86="",J86="",J86=0),"",I86/J86)</x:f>
        <x:v>19.095477386934675</x:v>
      </x:c>
      <x:c r="AE86" t="str">
        <x:f>IF(OR(I86="",K86="",K86=0),"",I86/K86)</x:f>
      </x:c>
      <x:c r="AF86" t="str">
        <x:f>IF(Z86="","",1+COUNTIF($Z$4:$Z$141,"&gt;"&amp;Z86)+COUNTIFS($Z$4:Z86,Z86)-1)</x:f>
      </x:c>
      <x:c r="AG86" t="str">
        <x:f>IF(AA86="","",1+COUNTIF($AA$4:$AA$141,"&gt;"&amp;AA86)+COUNTIFS($AA$4:AA86,AA86)-1)</x:f>
      </x:c>
      <x:c r="AH86" t="str">
        <x:f>IF(AB86="","",1+COUNTIF($AB$4:$AB$141,"&gt;"&amp;AB86)+COUNTIFS($AB$4:AB86,AB86)-1)</x:f>
      </x:c>
      <x:c r="AI86" t="str">
        <x:f>IF(OR(O86=0,I86=""),"",1+COUNTIFS($O$4:$O$141,1,$I$4:$I$141,"&gt;"&amp;I86)+COUNTIFS($O$4:O86,1,$I$4:I86,I86)-1)</x:f>
      </x:c>
      <x:c r="AJ86" t="str">
        <x:f>IF(OR(O86=0,L86=""),"",1+COUNTIFS($O$4:$O$141,1,$L$4:$L$141,"&gt;"&amp;L86)+COUNTIFS($O$4:O86,1,$L$4:L86,L86)-1)</x:f>
      </x:c>
      <x:c r="AK86" t="str">
        <x:f>IF(OR(O86=0,J86="",J86=0),"",1+COUNTIFS($O$4:$O$141,1,$J$4:$J$141,"&lt;"&amp;J86,$J$4:$J$141,"&gt;0")+COUNTIFS($O$4:O86,1,$J$4:J86,J86)-1)</x:f>
      </x:c>
    </x:row>
    <x:row r="87">
      <x:c r="A87" t="inlineStr">
        <x:is>
          <x:t xml:space="preserve">spacexai|grok-4-7|xhigh|reasoning|fallback-na|aa-v4.3.2|snapshot-2026-10-11</x:t>
        </x:is>
      </x:c>
      <x:c r="B87" t="inlineStr">
        <x:is>
          <x:t xml:space="preserve">spacexai|grok-4-7|xhigh|reasoning|fallback-na</x:t>
        </x:is>
      </x:c>
      <x:c r="C87" t="inlineStr">
        <x:is>
          <x:t xml:space="preserve">Grok 4.7</x:t>
        </x:is>
      </x:c>
      <x:c r="D87" t="inlineStr">
        <x:is>
          <x:t xml:space="preserve">SpaceXAI</x:t>
        </x:is>
      </x:c>
      <x:c r="E87" t="inlineStr">
        <x:is>
          <x:t xml:space="preserve">xhigh</x:t>
        </x:is>
      </x:c>
      <x:c r="F87" t="inlineStr">
        <x:is>
          <x:t xml:space="preserve">AA|v4.3.2</x:t>
        </x:is>
      </x:c>
      <x:c r="G87" t="n">
        <x:v>46</x:v>
      </x:c>
      <x:c r="H87" t="n">
        <x:f>IFERROR(INDEX(Benchmark_Versions!$I:$I,MATCH(F87,Benchmark_Versions!$A:$A,0)),1)</x:f>
        <x:v>1</x:v>
      </x:c>
      <x:c r="I87" t="n">
        <x:f>IF(G87="","",G87*H87)</x:f>
        <x:v>46</x:v>
      </x:c>
      <x:c r="J87" s="69" t="n">
        <x:v>1.99</x:v>
      </x:c>
      <x:c r="M87" t="inlineStr">
        <x:is>
          <x:t xml:space="preserve">Tracked</x:t>
        </x:is>
      </x:c>
      <x:c r="N87" t="inlineStr">
        <x:is>
          <x:t xml:space="preserve">limited</x:t>
        </x:is>
      </x:c>
      <x:c r="O87" t="n">
        <x:f>IF(F87&lt;&gt;Controls!$C$12,0,IF(AND(Controls!$C$10="Contender",M87&lt;&gt;"Contender"),0,IF(AND(Controls!$C$10="Contender+Close",NOT(OR(M87="Contender",M87="Close"))),0,IF(AND(Controls!$C$11="Current",NOT(OR(N87="yes",N87="limited"))),0,1))))</x:f>
        <x:v>0</x:v>
      </x:c>
      <x:c r="P87" t="n">
        <x:f>Controls!$C$7</x:f>
        <x:v>40</x:v>
      </x:c>
      <x:c r="Q87" t="n">
        <x:f>IF(I87="","",I87-(P87-1))</x:f>
        <x:v>7</x:v>
      </x:c>
      <x:c r="R87" t="str">
        <x:f>IF(OR(O87=0,Q87&lt;=0,J87="",J87=0),"",Q87/J87)</x:f>
      </x:c>
      <x:c r="S87" t="str">
        <x:f>IF(OR(O87=0,Q87&lt;=0,J87="",Q87=0),"",J87/Q87)</x:f>
      </x:c>
      <x:c r="T87" t="str">
        <x:f>IF(OR(O87=0,Q87&lt;=0,J87="",K87="",J87=0,K87=0),"",Q87/(J87*(K87/60)))</x:f>
      </x:c>
      <x:c r="U87" t="str">
        <x:f>IF(OR(O87=0,I87=""),"",I87/_xlfn.MAXIFS($I$4:$I$141,$O$4:$O$141,1))</x:f>
      </x:c>
      <x:c r="V87" t="str">
        <x:f>IF(OR(O87=0,L87=""),"",L87/_xlfn.MAXIFS($L$4:$L$141,$O$4:$O$141,1))</x:f>
      </x:c>
      <x:c r="W87" t="str">
        <x:f>IF(OR(O87=0,J87=""),"",_xlfn.MINIFS($J$4:$J$141,$O$4:$O$141,1,$J$4:$J$141,"&gt;0")/J87)</x:f>
      </x:c>
      <x:c r="X87" t="str">
        <x:f>IF(R87="","",R87/_xlfn.MAXIFS($R$4:$R$141,$O$4:$O$141,1))</x:f>
      </x:c>
      <x:c r="Y87" t="str">
        <x:f>IF(T87="","",T87/_xlfn.MAXIFS($T$4:$T$141,$O$4:$O$141,1))</x:f>
      </x:c>
      <x:c r="Z87" s="67" t="str">
        <x:f>IF(OR(X87="",Y87=""),"",SQRT(X87*Y87))</x:f>
      </x:c>
      <x:c r="AA87" s="67" t="str">
        <x:f>IF(OR(X87="",Y87=""),"",X87^Controls!$C$8*Y87^Controls!$C$9)</x:f>
      </x:c>
      <x:c r="AB87" s="67" t="str">
        <x:f>IF(OR(X87="",Y87=""),"",X87^Controls!$C$9*Y87^Controls!$C$8)</x:f>
      </x:c>
      <x:c r="AC87" t="str">
        <x:f>IF(OR(U87="",V87=""),"",SQRT(U87*V87))</x:f>
      </x:c>
      <x:c r="AD87" t="n">
        <x:f>IF(OR(I87="",J87="",J87=0),"",I87/J87)</x:f>
        <x:v>23.115577889447238</x:v>
      </x:c>
      <x:c r="AE87" t="str">
        <x:f>IF(OR(I87="",K87="",K87=0),"",I87/K87)</x:f>
      </x:c>
      <x:c r="AF87" t="str">
        <x:f>IF(Z87="","",1+COUNTIF($Z$4:$Z$141,"&gt;"&amp;Z87)+COUNTIFS($Z$4:Z87,Z87)-1)</x:f>
      </x:c>
      <x:c r="AG87" t="str">
        <x:f>IF(AA87="","",1+COUNTIF($AA$4:$AA$141,"&gt;"&amp;AA87)+COUNTIFS($AA$4:AA87,AA87)-1)</x:f>
      </x:c>
      <x:c r="AH87" t="str">
        <x:f>IF(AB87="","",1+COUNTIF($AB$4:$AB$141,"&gt;"&amp;AB87)+COUNTIFS($AB$4:AB87,AB87)-1)</x:f>
      </x:c>
      <x:c r="AI87" t="str">
        <x:f>IF(OR(O87=0,I87=""),"",1+COUNTIFS($O$4:$O$141,1,$I$4:$I$141,"&gt;"&amp;I87)+COUNTIFS($O$4:O87,1,$I$4:I87,I87)-1)</x:f>
      </x:c>
      <x:c r="AJ87" t="str">
        <x:f>IF(OR(O87=0,L87=""),"",1+COUNTIFS($O$4:$O$141,1,$L$4:$L$141,"&gt;"&amp;L87)+COUNTIFS($O$4:O87,1,$L$4:L87,L87)-1)</x:f>
      </x:c>
      <x:c r="AK87" t="str">
        <x:f>IF(OR(O87=0,J87="",J87=0),"",1+COUNTIFS($O$4:$O$141,1,$J$4:$J$141,"&lt;"&amp;J87,$J$4:$J$141,"&gt;0")+COUNTIFS($O$4:O87,1,$J$4:J87,J87)-1)</x:f>
      </x:c>
    </x:row>
    <x:row r="88">
      <x:c r="A88" t="inlineStr">
        <x:is>
          <x:t xml:space="preserve">upstage|solar-mini-4|reasoning|reasoning|fallback-na|aa-v4.3.2|snapshot-2026-10-11</x:t>
        </x:is>
      </x:c>
      <x:c r="B88" t="inlineStr">
        <x:is>
          <x:t xml:space="preserve">upstage|solar-mini-4|reasoning|reasoning|fallback-na</x:t>
        </x:is>
      </x:c>
      <x:c r="C88" t="inlineStr">
        <x:is>
          <x:t xml:space="preserve">Solar Mini 4</x:t>
        </x:is>
      </x:c>
      <x:c r="D88" t="inlineStr">
        <x:is>
          <x:t xml:space="preserve">Upstage</x:t>
        </x:is>
      </x:c>
      <x:c r="E88" t="inlineStr">
        <x:is>
          <x:t xml:space="preserve">reasoning</x:t>
        </x:is>
      </x:c>
      <x:c r="F88" t="inlineStr">
        <x:is>
          <x:t xml:space="preserve">AA|v4.3.2</x:t>
        </x:is>
      </x:c>
      <x:c r="G88" t="n">
        <x:v>24</x:v>
      </x:c>
      <x:c r="H88" t="n">
        <x:f>IFERROR(INDEX(Benchmark_Versions!$I:$I,MATCH(F88,Benchmark_Versions!$A:$A,0)),1)</x:f>
        <x:v>1</x:v>
      </x:c>
      <x:c r="I88" t="n">
        <x:f>IF(G88="","",G88*H88)</x:f>
        <x:v>24</x:v>
      </x:c>
      <x:c r="J88" s="69" t="n">
        <x:v>1.99</x:v>
      </x:c>
      <x:c r="M88" t="inlineStr">
        <x:is>
          <x:t xml:space="preserve">Tracked</x:t>
        </x:is>
      </x:c>
      <x:c r="N88" t="inlineStr">
        <x:is>
          <x:t xml:space="preserve">limited</x:t>
        </x:is>
      </x:c>
      <x:c r="O88" t="n">
        <x:f>IF(F88&lt;&gt;Controls!$C$12,0,IF(AND(Controls!$C$10="Contender",M88&lt;&gt;"Contender"),0,IF(AND(Controls!$C$10="Contender+Close",NOT(OR(M88="Contender",M88="Close"))),0,IF(AND(Controls!$C$11="Current",NOT(OR(N88="yes",N88="limited"))),0,1))))</x:f>
        <x:v>0</x:v>
      </x:c>
      <x:c r="P88" t="n">
        <x:f>Controls!$C$7</x:f>
        <x:v>40</x:v>
      </x:c>
      <x:c r="Q88" t="n">
        <x:f>IF(I88="","",I88-(P88-1))</x:f>
        <x:v>-15</x:v>
      </x:c>
      <x:c r="R88" t="str">
        <x:f>IF(OR(O88=0,Q88&lt;=0,J88="",J88=0),"",Q88/J88)</x:f>
      </x:c>
      <x:c r="S88" t="str">
        <x:f>IF(OR(O88=0,Q88&lt;=0,J88="",Q88=0),"",J88/Q88)</x:f>
      </x:c>
      <x:c r="T88" t="str">
        <x:f>IF(OR(O88=0,Q88&lt;=0,J88="",K88="",J88=0,K88=0),"",Q88/(J88*(K88/60)))</x:f>
      </x:c>
      <x:c r="U88" t="str">
        <x:f>IF(OR(O88=0,I88=""),"",I88/_xlfn.MAXIFS($I$4:$I$141,$O$4:$O$141,1))</x:f>
      </x:c>
      <x:c r="V88" t="str">
        <x:f>IF(OR(O88=0,L88=""),"",L88/_xlfn.MAXIFS($L$4:$L$141,$O$4:$O$141,1))</x:f>
      </x:c>
      <x:c r="W88" t="str">
        <x:f>IF(OR(O88=0,J88=""),"",_xlfn.MINIFS($J$4:$J$141,$O$4:$O$141,1,$J$4:$J$141,"&gt;0")/J88)</x:f>
      </x:c>
      <x:c r="X88" t="str">
        <x:f>IF(R88="","",R88/_xlfn.MAXIFS($R$4:$R$141,$O$4:$O$141,1))</x:f>
      </x:c>
      <x:c r="Y88" t="str">
        <x:f>IF(T88="","",T88/_xlfn.MAXIFS($T$4:$T$141,$O$4:$O$141,1))</x:f>
      </x:c>
      <x:c r="Z88" s="67" t="str">
        <x:f>IF(OR(X88="",Y88=""),"",SQRT(X88*Y88))</x:f>
      </x:c>
      <x:c r="AA88" s="67" t="str">
        <x:f>IF(OR(X88="",Y88=""),"",X88^Controls!$C$8*Y88^Controls!$C$9)</x:f>
      </x:c>
      <x:c r="AB88" s="67" t="str">
        <x:f>IF(OR(X88="",Y88=""),"",X88^Controls!$C$9*Y88^Controls!$C$8)</x:f>
      </x:c>
      <x:c r="AC88" t="str">
        <x:f>IF(OR(U88="",V88=""),"",SQRT(U88*V88))</x:f>
      </x:c>
      <x:c r="AD88" t="n">
        <x:f>IF(OR(I88="",J88="",J88=0),"",I88/J88)</x:f>
        <x:v>12.06030150753769</x:v>
      </x:c>
      <x:c r="AE88" t="str">
        <x:f>IF(OR(I88="",K88="",K88=0),"",I88/K88)</x:f>
      </x:c>
      <x:c r="AF88" t="str">
        <x:f>IF(Z88="","",1+COUNTIF($Z$4:$Z$141,"&gt;"&amp;Z88)+COUNTIFS($Z$4:Z88,Z88)-1)</x:f>
      </x:c>
      <x:c r="AG88" t="str">
        <x:f>IF(AA88="","",1+COUNTIF($AA$4:$AA$141,"&gt;"&amp;AA88)+COUNTIFS($AA$4:AA88,AA88)-1)</x:f>
      </x:c>
      <x:c r="AH88" t="str">
        <x:f>IF(AB88="","",1+COUNTIF($AB$4:$AB$141,"&gt;"&amp;AB88)+COUNTIFS($AB$4:AB88,AB88)-1)</x:f>
      </x:c>
      <x:c r="AI88" t="str">
        <x:f>IF(OR(O88=0,I88=""),"",1+COUNTIFS($O$4:$O$141,1,$I$4:$I$141,"&gt;"&amp;I88)+COUNTIFS($O$4:O88,1,$I$4:I88,I88)-1)</x:f>
      </x:c>
      <x:c r="AJ88" t="str">
        <x:f>IF(OR(O88=0,L88=""),"",1+COUNTIFS($O$4:$O$141,1,$L$4:$L$141,"&gt;"&amp;L88)+COUNTIFS($O$4:O88,1,$L$4:L88,L88)-1)</x:f>
      </x:c>
      <x:c r="AK88" t="str">
        <x:f>IF(OR(O88=0,J88="",J88=0),"",1+COUNTIFS($O$4:$O$141,1,$J$4:$J$141,"&lt;"&amp;J88,$J$4:$J$141,"&gt;0")+COUNTIFS($O$4:O88,1,$J$4:J88,J88)-1)</x:f>
      </x:c>
    </x:row>
    <x:row r="89">
      <x:c r="A89" t="inlineStr">
        <x:is>
          <x:t xml:space="preserve">google|gemini-4-argon|high|reasoning|fallback-na|aa-v4.3.2|snapshot-2026-10-11</x:t>
        </x:is>
      </x:c>
      <x:c r="B89" t="inlineStr">
        <x:is>
          <x:t xml:space="preserve">google|gemini-4-argon|high|reasoning|fallback-na</x:t>
        </x:is>
      </x:c>
      <x:c r="C89" t="inlineStr">
        <x:is>
          <x:t xml:space="preserve">Gemini 4 Argon</x:t>
        </x:is>
      </x:c>
      <x:c r="D89" t="inlineStr">
        <x:is>
          <x:t xml:space="preserve">Google</x:t>
        </x:is>
      </x:c>
      <x:c r="E89" t="inlineStr">
        <x:is>
          <x:t xml:space="preserve">high</x:t>
        </x:is>
      </x:c>
      <x:c r="F89" t="inlineStr">
        <x:is>
          <x:t xml:space="preserve">AA|v4.3.2</x:t>
        </x:is>
      </x:c>
      <x:c r="G89" t="n">
        <x:v>53</x:v>
      </x:c>
      <x:c r="H89" t="n">
        <x:f>IFERROR(INDEX(Benchmark_Versions!$I:$I,MATCH(F89,Benchmark_Versions!$A:$A,0)),1)</x:f>
        <x:v>1</x:v>
      </x:c>
      <x:c r="I89" t="n">
        <x:f>IF(G89="","",G89*H89)</x:f>
        <x:v>53</x:v>
      </x:c>
      <x:c r="J89" s="69" t="n">
        <x:v>1.99</x:v>
      </x:c>
      <x:c r="M89" t="inlineStr">
        <x:is>
          <x:t xml:space="preserve">Tracked</x:t>
        </x:is>
      </x:c>
      <x:c r="N89" t="inlineStr">
        <x:is>
          <x:t xml:space="preserve">limited</x:t>
        </x:is>
      </x:c>
      <x:c r="O89" t="n">
        <x:f>IF(F89&lt;&gt;Controls!$C$12,0,IF(AND(Controls!$C$10="Contender",M89&lt;&gt;"Contender"),0,IF(AND(Controls!$C$10="Contender+Close",NOT(OR(M89="Contender",M89="Close"))),0,IF(AND(Controls!$C$11="Current",NOT(OR(N89="yes",N89="limited"))),0,1))))</x:f>
        <x:v>0</x:v>
      </x:c>
      <x:c r="P89" t="n">
        <x:f>Controls!$C$7</x:f>
        <x:v>40</x:v>
      </x:c>
      <x:c r="Q89" t="n">
        <x:f>IF(I89="","",I89-(P89-1))</x:f>
        <x:v>14</x:v>
      </x:c>
      <x:c r="R89" t="str">
        <x:f>IF(OR(O89=0,Q89&lt;=0,J89="",J89=0),"",Q89/J89)</x:f>
      </x:c>
      <x:c r="S89" t="str">
        <x:f>IF(OR(O89=0,Q89&lt;=0,J89="",Q89=0),"",J89/Q89)</x:f>
      </x:c>
      <x:c r="T89" t="str">
        <x:f>IF(OR(O89=0,Q89&lt;=0,J89="",K89="",J89=0,K89=0),"",Q89/(J89*(K89/60)))</x:f>
      </x:c>
      <x:c r="U89" t="str">
        <x:f>IF(OR(O89=0,I89=""),"",I89/_xlfn.MAXIFS($I$4:$I$141,$O$4:$O$141,1))</x:f>
      </x:c>
      <x:c r="V89" t="str">
        <x:f>IF(OR(O89=0,L89=""),"",L89/_xlfn.MAXIFS($L$4:$L$141,$O$4:$O$141,1))</x:f>
      </x:c>
      <x:c r="W89" t="str">
        <x:f>IF(OR(O89=0,J89=""),"",_xlfn.MINIFS($J$4:$J$141,$O$4:$O$141,1,$J$4:$J$141,"&gt;0")/J89)</x:f>
      </x:c>
      <x:c r="X89" t="str">
        <x:f>IF(R89="","",R89/_xlfn.MAXIFS($R$4:$R$141,$O$4:$O$141,1))</x:f>
      </x:c>
      <x:c r="Y89" t="str">
        <x:f>IF(T89="","",T89/_xlfn.MAXIFS($T$4:$T$141,$O$4:$O$141,1))</x:f>
      </x:c>
      <x:c r="Z89" s="67" t="str">
        <x:f>IF(OR(X89="",Y89=""),"",SQRT(X89*Y89))</x:f>
      </x:c>
      <x:c r="AA89" s="67" t="str">
        <x:f>IF(OR(X89="",Y89=""),"",X89^Controls!$C$8*Y89^Controls!$C$9)</x:f>
      </x:c>
      <x:c r="AB89" s="67" t="str">
        <x:f>IF(OR(X89="",Y89=""),"",X89^Controls!$C$9*Y89^Controls!$C$8)</x:f>
      </x:c>
      <x:c r="AC89" t="str">
        <x:f>IF(OR(U89="",V89=""),"",SQRT(U89*V89))</x:f>
      </x:c>
      <x:c r="AD89" t="n">
        <x:f>IF(OR(I89="",J89="",J89=0),"",I89/J89)</x:f>
        <x:v>26.633165829145728</x:v>
      </x:c>
      <x:c r="AE89" t="str">
        <x:f>IF(OR(I89="",K89="",K89=0),"",I89/K89)</x:f>
      </x:c>
      <x:c r="AF89" t="str">
        <x:f>IF(Z89="","",1+COUNTIF($Z$4:$Z$141,"&gt;"&amp;Z89)+COUNTIFS($Z$4:Z89,Z89)-1)</x:f>
      </x:c>
      <x:c r="AG89" t="str">
        <x:f>IF(AA89="","",1+COUNTIF($AA$4:$AA$141,"&gt;"&amp;AA89)+COUNTIFS($AA$4:AA89,AA89)-1)</x:f>
      </x:c>
      <x:c r="AH89" t="str">
        <x:f>IF(AB89="","",1+COUNTIF($AB$4:$AB$141,"&gt;"&amp;AB89)+COUNTIFS($AB$4:AB89,AB89)-1)</x:f>
      </x:c>
      <x:c r="AI89" t="str">
        <x:f>IF(OR(O89=0,I89=""),"",1+COUNTIFS($O$4:$O$141,1,$I$4:$I$141,"&gt;"&amp;I89)+COUNTIFS($O$4:O89,1,$I$4:I89,I89)-1)</x:f>
      </x:c>
      <x:c r="AJ89" t="str">
        <x:f>IF(OR(O89=0,L89=""),"",1+COUNTIFS($O$4:$O$141,1,$L$4:$L$141,"&gt;"&amp;L89)+COUNTIFS($O$4:O89,1,$L$4:L89,L89)-1)</x:f>
      </x:c>
      <x:c r="AK89" t="str">
        <x:f>IF(OR(O89=0,J89="",J89=0),"",1+COUNTIFS($O$4:$O$141,1,$J$4:$J$141,"&lt;"&amp;J89,$J$4:$J$141,"&gt;0")+COUNTIFS($O$4:O89,1,$J$4:J89,J89)-1)</x:f>
      </x:c>
    </x:row>
    <x:row r="90">
      <x:c r="A90" t="inlineStr">
        <x:is>
          <x:t xml:space="preserve">openai|gpt-6-luna|max|reasoning|fallback-na|aa-v4.3.2|snapshot-2026-10-16</x:t>
        </x:is>
      </x:c>
      <x:c r="B90" t="inlineStr">
        <x:is>
          <x:t xml:space="preserve">openai|gpt-6-luna|max|reasoning|fallback-na</x:t>
        </x:is>
      </x:c>
      <x:c r="C90" t="inlineStr">
        <x:is>
          <x:t xml:space="preserve">GPT-6 Luna</x:t>
        </x:is>
      </x:c>
      <x:c r="D90" t="inlineStr">
        <x:is>
          <x:t xml:space="preserve">Openai</x:t>
        </x:is>
      </x:c>
      <x:c r="E90" t="inlineStr">
        <x:is>
          <x:t xml:space="preserve">max</x:t>
        </x:is>
      </x:c>
      <x:c r="F90" t="inlineStr">
        <x:is>
          <x:t xml:space="preserve">AA|v4.3.2</x:t>
        </x:is>
      </x:c>
      <x:c r="G90" t="n">
        <x:v>38</x:v>
      </x:c>
      <x:c r="H90" t="n">
        <x:f>IFERROR(INDEX(Benchmark_Versions!$I:$I,MATCH(F90,Benchmark_Versions!$A:$A,0)),1)</x:f>
        <x:v>1</x:v>
      </x:c>
      <x:c r="I90" t="n">
        <x:f>IF(G90="","",G90*H90)</x:f>
        <x:v>38</x:v>
      </x:c>
      <x:c r="J90" s="69" t="n">
        <x:v>0.07000000000000001</x:v>
      </x:c>
      <x:c r="L90" t="n">
        <x:v>122.1</x:v>
      </x:c>
      <x:c r="M90" t="inlineStr">
        <x:is>
          <x:t xml:space="preserve">Contender</x:t>
        </x:is>
      </x:c>
      <x:c r="N90" t="inlineStr">
        <x:is>
          <x:t xml:space="preserve">yes</x:t>
        </x:is>
      </x:c>
      <x:c r="O90" t="n">
        <x:f>IF(F90&lt;&gt;Controls!$C$12,0,IF(AND(Controls!$C$10="Contender",M90&lt;&gt;"Contender"),0,IF(AND(Controls!$C$10="Contender+Close",NOT(OR(M90="Contender",M90="Close"))),0,IF(AND(Controls!$C$11="Current",NOT(OR(N90="yes",N90="limited"))),0,1))))</x:f>
        <x:v>1</x:v>
      </x:c>
      <x:c r="P90" t="n">
        <x:f>Controls!$C$7</x:f>
        <x:v>40</x:v>
      </x:c>
      <x:c r="Q90" t="n">
        <x:f>IF(I90="","",I90-(P90-1))</x:f>
        <x:v>-1</x:v>
      </x:c>
      <x:c r="R90" t="str">
        <x:f>IF(OR(O90=0,Q90&lt;=0,J90="",J90=0),"",Q90/J90)</x:f>
      </x:c>
      <x:c r="S90" t="str">
        <x:f>IF(OR(O90=0,Q90&lt;=0,J90="",Q90=0),"",J90/Q90)</x:f>
      </x:c>
      <x:c r="T90" t="str">
        <x:f>IF(OR(O90=0,Q90&lt;=0,J90="",K90="",J90=0,K90=0),"",Q90/(J90*(K90/60)))</x:f>
      </x:c>
      <x:c r="U90" t="n">
        <x:f>IF(OR(O90=0,I90=""),"",I90/_xlfn.MAXIFS($I$4:$I$141,$O$4:$O$141,1))</x:f>
        <x:v>0.6551724137931034</x:v>
      </x:c>
      <x:c r="V90" t="n">
        <x:f>IF(OR(O90=0,L90=""),"",L90/_xlfn.MAXIFS($L$4:$L$141,$O$4:$O$141,1))</x:f>
        <x:v>0.39260450160771704</x:v>
      </x:c>
      <x:c r="W90" t="n">
        <x:f>IF(OR(O90=0,J90=""),"",_xlfn.MINIFS($J$4:$J$141,$O$4:$O$141,1,$J$4:$J$141,"&gt;0")/J90)</x:f>
        <x:v>0.06428571428571428</x:v>
      </x:c>
      <x:c r="X90" t="str">
        <x:f>IF(R90="","",R90/_xlfn.MAXIFS($R$4:$R$141,$O$4:$O$141,1))</x:f>
      </x:c>
      <x:c r="Y90" t="str">
        <x:f>IF(T90="","",T90/_xlfn.MAXIFS($T$4:$T$141,$O$4:$O$141,1))</x:f>
      </x:c>
      <x:c r="Z90" s="67" t="str">
        <x:f>IF(OR(X90="",Y90=""),"",SQRT(X90*Y90))</x:f>
      </x:c>
      <x:c r="AA90" s="67" t="str">
        <x:f>IF(OR(X90="",Y90=""),"",X90^Controls!$C$8*Y90^Controls!$C$9)</x:f>
      </x:c>
      <x:c r="AB90" s="67" t="str">
        <x:f>IF(OR(X90="",Y90=""),"",X90^Controls!$C$9*Y90^Controls!$C$8)</x:f>
      </x:c>
      <x:c r="AC90" t="n">
        <x:f>IF(OR(U90="",V90=""),"",SQRT(U90*V90))</x:f>
        <x:v>0.5071721985522928</x:v>
      </x:c>
      <x:c r="AD90" t="n">
        <x:f>IF(OR(I90="",J90="",J90=0),"",I90/J90)</x:f>
        <x:v>542.8571428571428</x:v>
      </x:c>
      <x:c r="AE90" t="str">
        <x:f>IF(OR(I90="",K90="",K90=0),"",I90/K90)</x:f>
      </x:c>
      <x:c r="AF90" t="str">
        <x:f>IF(Z90="","",1+COUNTIF($Z$4:$Z$141,"&gt;"&amp;Z90)+COUNTIFS($Z$4:Z90,Z90)-1)</x:f>
      </x:c>
      <x:c r="AG90" t="str">
        <x:f>IF(AA90="","",1+COUNTIF($AA$4:$AA$141,"&gt;"&amp;AA90)+COUNTIFS($AA$4:AA90,AA90)-1)</x:f>
      </x:c>
      <x:c r="AH90" t="str">
        <x:f>IF(AB90="","",1+COUNTIF($AB$4:$AB$141,"&gt;"&amp;AB90)+COUNTIFS($AB$4:AB90,AB90)-1)</x:f>
      </x:c>
      <x:c r="AI90" t="n">
        <x:f>IF(OR(O90=0,I90=""),"",1+COUNTIFS($O$4:$O$141,1,$I$4:$I$141,"&gt;"&amp;I90)+COUNTIFS($O$4:O90,1,$I$4:I90,I90)-1)</x:f>
        <x:v>31</x:v>
      </x:c>
      <x:c r="AJ90" t="n">
        <x:f>IF(OR(O90=0,L90=""),"",1+COUNTIFS($O$4:$O$141,1,$L$4:$L$141,"&gt;"&amp;L90)+COUNTIFS($O$4:O90,1,$L$4:L90,L90)-1)</x:f>
        <x:v>15</x:v>
      </x:c>
      <x:c r="AK90" t="n">
        <x:f>IF(OR(O90=0,J90="",J90=0),"",1+COUNTIFS($O$4:$O$141,1,$J$4:$J$141,"&lt;"&amp;J90,$J$4:$J$141,"&gt;0")+COUNTIFS($O$4:O90,1,$J$4:J90,J90)-1)</x:f>
        <x:v>8</x:v>
      </x:c>
    </x:row>
    <x:row r="91">
      <x:c r="A91" t="inlineStr">
        <x:is>
          <x:t xml:space="preserve">openai|gpt-6-astra|max|reasoning|fallback-na|aa-v4.3.2|snapshot-2026-10-16</x:t>
        </x:is>
      </x:c>
      <x:c r="B91" t="inlineStr">
        <x:is>
          <x:t xml:space="preserve">openai|gpt-6-astra|max|reasoning|fallback-na</x:t>
        </x:is>
      </x:c>
      <x:c r="C91" t="inlineStr">
        <x:is>
          <x:t xml:space="preserve">GPT-6 Astra</x:t>
        </x:is>
      </x:c>
      <x:c r="D91" t="inlineStr">
        <x:is>
          <x:t xml:space="preserve">Openai</x:t>
        </x:is>
      </x:c>
      <x:c r="E91" t="inlineStr">
        <x:is>
          <x:t xml:space="preserve">max</x:t>
        </x:is>
      </x:c>
      <x:c r="F91" t="inlineStr">
        <x:is>
          <x:t xml:space="preserve">AA|v4.3.2</x:t>
        </x:is>
      </x:c>
      <x:c r="G91" t="n">
        <x:v>53</x:v>
      </x:c>
      <x:c r="H91" t="n">
        <x:f>IFERROR(INDEX(Benchmark_Versions!$I:$I,MATCH(F91,Benchmark_Versions!$A:$A,0)),1)</x:f>
        <x:v>1</x:v>
      </x:c>
      <x:c r="I91" t="n">
        <x:f>IF(G91="","",G91*H91)</x:f>
        <x:v>53</x:v>
      </x:c>
      <x:c r="J91" s="69" t="n">
        <x:v>3.26</x:v>
      </x:c>
      <x:c r="L91" t="n">
        <x:v>53.7</x:v>
      </x:c>
      <x:c r="M91" t="inlineStr">
        <x:is>
          <x:t xml:space="preserve">Contender</x:t>
        </x:is>
      </x:c>
      <x:c r="N91" t="inlineStr">
        <x:is>
          <x:t xml:space="preserve">yes</x:t>
        </x:is>
      </x:c>
      <x:c r="O91" t="n">
        <x:f>IF(F91&lt;&gt;Controls!$C$12,0,IF(AND(Controls!$C$10="Contender",M91&lt;&gt;"Contender"),0,IF(AND(Controls!$C$10="Contender+Close",NOT(OR(M91="Contender",M91="Close"))),0,IF(AND(Controls!$C$11="Current",NOT(OR(N91="yes",N91="limited"))),0,1))))</x:f>
        <x:v>1</x:v>
      </x:c>
      <x:c r="P91" t="n">
        <x:f>Controls!$C$7</x:f>
        <x:v>40</x:v>
      </x:c>
      <x:c r="Q91" t="n">
        <x:f>IF(I91="","",I91-(P91-1))</x:f>
        <x:v>14</x:v>
      </x:c>
      <x:c r="R91" t="n">
        <x:f>IF(OR(O91=0,Q91&lt;=0,J91="",J91=0),"",Q91/J91)</x:f>
        <x:v>4.294478527607362</x:v>
      </x:c>
      <x:c r="S91" t="n">
        <x:f>IF(OR(O91=0,Q91&lt;=0,J91="",Q91=0),"",J91/Q91)</x:f>
        <x:v>0.23285714285714285</x:v>
      </x:c>
      <x:c r="T91" t="str">
        <x:f>IF(OR(O91=0,Q91&lt;=0,J91="",K91="",J91=0,K91=0),"",Q91/(J91*(K91/60)))</x:f>
      </x:c>
      <x:c r="U91" t="n">
        <x:f>IF(OR(O91=0,I91=""),"",I91/_xlfn.MAXIFS($I$4:$I$141,$O$4:$O$141,1))</x:f>
        <x:v>0.9137931034482759</x:v>
      </x:c>
      <x:c r="V91" t="n">
        <x:f>IF(OR(O91=0,L91=""),"",L91/_xlfn.MAXIFS($L$4:$L$141,$O$4:$O$141,1))</x:f>
        <x:v>0.17266881028938907</x:v>
      </x:c>
      <x:c r="W91" t="n">
        <x:f>IF(OR(O91=0,J91=""),"",_xlfn.MINIFS($J$4:$J$141,$O$4:$O$141,1,$J$4:$J$141,"&gt;0")/J91)</x:f>
        <x:v>0.0013803680981595093</x:v>
      </x:c>
      <x:c r="X91" t="n">
        <x:f>IF(R91="","",R91/_xlfn.MAXIFS($R$4:$R$141,$O$4:$O$141,1))</x:f>
        <x:v>0.35787321063394684</x:v>
      </x:c>
      <x:c r="Y91" t="str">
        <x:f>IF(T91="","",T91/_xlfn.MAXIFS($T$4:$T$141,$O$4:$O$141,1))</x:f>
      </x:c>
      <x:c r="Z91" s="67" t="str">
        <x:f>IF(OR(X91="",Y91=""),"",SQRT(X91*Y91))</x:f>
      </x:c>
      <x:c r="AA91" s="67" t="str">
        <x:f>IF(OR(X91="",Y91=""),"",X91^Controls!$C$8*Y91^Controls!$C$9)</x:f>
      </x:c>
      <x:c r="AB91" s="67" t="str">
        <x:f>IF(OR(X91="",Y91=""),"",X91^Controls!$C$9*Y91^Controls!$C$8)</x:f>
      </x:c>
      <x:c r="AC91" t="n">
        <x:f>IF(OR(U91="",V91=""),"",SQRT(U91*V91))</x:f>
        <x:v>0.39721979812575103</x:v>
      </x:c>
      <x:c r="AD91" t="n">
        <x:f>IF(OR(I91="",J91="",J91=0),"",I91/J91)</x:f>
        <x:v>16.257668711656443</x:v>
      </x:c>
      <x:c r="AE91" t="str">
        <x:f>IF(OR(I91="",K91="",K91=0),"",I91/K91)</x:f>
      </x:c>
      <x:c r="AF91" t="str">
        <x:f>IF(Z91="","",1+COUNTIF($Z$4:$Z$141,"&gt;"&amp;Z91)+COUNTIFS($Z$4:Z91,Z91)-1)</x:f>
      </x:c>
      <x:c r="AG91" t="str">
        <x:f>IF(AA91="","",1+COUNTIF($AA$4:$AA$141,"&gt;"&amp;AA91)+COUNTIFS($AA$4:AA91,AA91)-1)</x:f>
      </x:c>
      <x:c r="AH91" t="str">
        <x:f>IF(AB91="","",1+COUNTIF($AB$4:$AB$141,"&gt;"&amp;AB91)+COUNTIFS($AB$4:AB91,AB91)-1)</x:f>
      </x:c>
      <x:c r="AI91" t="n">
        <x:f>IF(OR(O91=0,I91=""),"",1+COUNTIFS($O$4:$O$141,1,$I$4:$I$141,"&gt;"&amp;I91)+COUNTIFS($O$4:O91,1,$I$4:I91,I91)-1)</x:f>
        <x:v>7</x:v>
      </x:c>
      <x:c r="AJ91" t="n">
        <x:f>IF(OR(O91=0,L91=""),"",1+COUNTIFS($O$4:$O$141,1,$L$4:$L$141,"&gt;"&amp;L91)+COUNTIFS($O$4:O91,1,$L$4:L91,L91)-1)</x:f>
        <x:v>35</x:v>
      </x:c>
      <x:c r="AK91" t="n">
        <x:f>IF(OR(O91=0,J91="",J91=0),"",1+COUNTIFS($O$4:$O$141,1,$J$4:$J$141,"&lt;"&amp;J91,$J$4:$J$141,"&gt;0")+COUNTIFS($O$4:O91,1,$J$4:J91,J91)-1)</x:f>
        <x:v>38</x:v>
      </x:c>
    </x:row>
    <x:row r="92">
      <x:c r="A92" t="inlineStr">
        <x:is>
          <x:t xml:space="preserve">openai|gpt-6-1-sol|max|yes|fallback-na|aa-v4.3.2|snapshot-2026-10-16</x:t>
        </x:is>
      </x:c>
      <x:c r="B92" t="inlineStr">
        <x:is>
          <x:t xml:space="preserve">openai|gpt-6-1-sol|max|yes|fallback-na</x:t>
        </x:is>
      </x:c>
      <x:c r="C92" t="inlineStr">
        <x:is>
          <x:t xml:space="preserve">GPT-6.1 Sol</x:t>
        </x:is>
      </x:c>
      <x:c r="D92" t="inlineStr">
        <x:is>
          <x:t xml:space="preserve">Openai</x:t>
        </x:is>
      </x:c>
      <x:c r="E92" t="inlineStr">
        <x:is>
          <x:t xml:space="preserve">max</x:t>
        </x:is>
      </x:c>
      <x:c r="F92" t="inlineStr">
        <x:is>
          <x:t xml:space="preserve">AA|v4.3.2</x:t>
        </x:is>
      </x:c>
      <x:c r="G92" t="n">
        <x:v>52</x:v>
      </x:c>
      <x:c r="H92" t="n">
        <x:f>IFERROR(INDEX(Benchmark_Versions!$I:$I,MATCH(F92,Benchmark_Versions!$A:$A,0)),1)</x:f>
        <x:v>1</x:v>
      </x:c>
      <x:c r="I92" t="n">
        <x:f>IF(G92="","",G92*H92)</x:f>
        <x:v>52</x:v>
      </x:c>
      <x:c r="J92" s="69" t="n">
        <x:v>0.72</x:v>
      </x:c>
      <x:c r="L92" t="n">
        <x:v>57.1</x:v>
      </x:c>
      <x:c r="M92" t="inlineStr">
        <x:is>
          <x:t xml:space="preserve">Tracked</x:t>
        </x:is>
      </x:c>
      <x:c r="N92" t="inlineStr">
        <x:is>
          <x:t xml:space="preserve">yes</x:t>
        </x:is>
      </x:c>
      <x:c r="O92" t="n">
        <x:f>IF(F92&lt;&gt;Controls!$C$12,0,IF(AND(Controls!$C$10="Contender",M92&lt;&gt;"Contender"),0,IF(AND(Controls!$C$10="Contender+Close",NOT(OR(M92="Contender",M92="Close"))),0,IF(AND(Controls!$C$11="Current",NOT(OR(N92="yes",N92="limited"))),0,1))))</x:f>
        <x:v>0</x:v>
      </x:c>
      <x:c r="P92" t="n">
        <x:f>Controls!$C$7</x:f>
        <x:v>40</x:v>
      </x:c>
      <x:c r="Q92" t="n">
        <x:f>IF(I92="","",I92-(P92-1))</x:f>
        <x:v>13</x:v>
      </x:c>
      <x:c r="R92" t="str">
        <x:f>IF(OR(O92=0,Q92&lt;=0,J92="",J92=0),"",Q92/J92)</x:f>
      </x:c>
      <x:c r="S92" t="str">
        <x:f>IF(OR(O92=0,Q92&lt;=0,J92="",Q92=0),"",J92/Q92)</x:f>
      </x:c>
      <x:c r="T92" t="str">
        <x:f>IF(OR(O92=0,Q92&lt;=0,J92="",K92="",J92=0,K92=0),"",Q92/(J92*(K92/60)))</x:f>
      </x:c>
      <x:c r="U92" t="str">
        <x:f>IF(OR(O92=0,I92=""),"",I92/_xlfn.MAXIFS($I$4:$I$141,$O$4:$O$141,1))</x:f>
      </x:c>
      <x:c r="V92" t="str">
        <x:f>IF(OR(O92=0,L92=""),"",L92/_xlfn.MAXIFS($L$4:$L$141,$O$4:$O$141,1))</x:f>
      </x:c>
      <x:c r="W92" t="str">
        <x:f>IF(OR(O92=0,J92=""),"",_xlfn.MINIFS($J$4:$J$141,$O$4:$O$141,1,$J$4:$J$141,"&gt;0")/J92)</x:f>
      </x:c>
      <x:c r="X92" t="str">
        <x:f>IF(R92="","",R92/_xlfn.MAXIFS($R$4:$R$141,$O$4:$O$141,1))</x:f>
      </x:c>
      <x:c r="Y92" t="str">
        <x:f>IF(T92="","",T92/_xlfn.MAXIFS($T$4:$T$141,$O$4:$O$141,1))</x:f>
      </x:c>
      <x:c r="Z92" s="67" t="str">
        <x:f>IF(OR(X92="",Y92=""),"",SQRT(X92*Y92))</x:f>
      </x:c>
      <x:c r="AA92" s="67" t="str">
        <x:f>IF(OR(X92="",Y92=""),"",X92^Controls!$C$8*Y92^Controls!$C$9)</x:f>
      </x:c>
      <x:c r="AB92" s="67" t="str">
        <x:f>IF(OR(X92="",Y92=""),"",X92^Controls!$C$9*Y92^Controls!$C$8)</x:f>
      </x:c>
      <x:c r="AC92" t="str">
        <x:f>IF(OR(U92="",V92=""),"",SQRT(U92*V92))</x:f>
      </x:c>
      <x:c r="AD92" t="n">
        <x:f>IF(OR(I92="",J92="",J92=0),"",I92/J92)</x:f>
        <x:v>72.22222222222223</x:v>
      </x:c>
      <x:c r="AE92" t="str">
        <x:f>IF(OR(I92="",K92="",K92=0),"",I92/K92)</x:f>
      </x:c>
      <x:c r="AF92" t="str">
        <x:f>IF(Z92="","",1+COUNTIF($Z$4:$Z$141,"&gt;"&amp;Z92)+COUNTIFS($Z$4:Z92,Z92)-1)</x:f>
      </x:c>
      <x:c r="AG92" t="str">
        <x:f>IF(AA92="","",1+COUNTIF($AA$4:$AA$141,"&gt;"&amp;AA92)+COUNTIFS($AA$4:AA92,AA92)-1)</x:f>
      </x:c>
      <x:c r="AH92" t="str">
        <x:f>IF(AB92="","",1+COUNTIF($AB$4:$AB$141,"&gt;"&amp;AB92)+COUNTIFS($AB$4:AB92,AB92)-1)</x:f>
      </x:c>
      <x:c r="AI92" t="str">
        <x:f>IF(OR(O92=0,I92=""),"",1+COUNTIFS($O$4:$O$141,1,$I$4:$I$141,"&gt;"&amp;I92)+COUNTIFS($O$4:O92,1,$I$4:I92,I92)-1)</x:f>
      </x:c>
      <x:c r="AJ92" t="str">
        <x:f>IF(OR(O92=0,L92=""),"",1+COUNTIFS($O$4:$O$141,1,$L$4:$L$141,"&gt;"&amp;L92)+COUNTIFS($O$4:O92,1,$L$4:L92,L92)-1)</x:f>
      </x:c>
      <x:c r="AK92" t="str">
        <x:f>IF(OR(O92=0,J92="",J92=0),"",1+COUNTIFS($O$4:$O$141,1,$J$4:$J$141,"&lt;"&amp;J92,$J$4:$J$141,"&gt;0")+COUNTIFS($O$4:O92,1,$J$4:J92,J92)-1)</x:f>
      </x:c>
    </x:row>
    <x:row r="93">
      <x:c r="A93" t="inlineStr">
        <x:is>
          <x:t xml:space="preserve">google|gemini-4-argon|high|reasoning|fallback-na|aa-v4.3.2|snapshot-2026-10-16</x:t>
        </x:is>
      </x:c>
      <x:c r="B93" t="inlineStr">
        <x:is>
          <x:t xml:space="preserve">google|gemini-4-argon|high|reasoning|fallback-na</x:t>
        </x:is>
      </x:c>
      <x:c r="C93" t="inlineStr">
        <x:is>
          <x:t xml:space="preserve">Gemini 4 Argon</x:t>
        </x:is>
      </x:c>
      <x:c r="D93" t="inlineStr">
        <x:is>
          <x:t xml:space="preserve">Google</x:t>
        </x:is>
      </x:c>
      <x:c r="E93" t="inlineStr">
        <x:is>
          <x:t xml:space="preserve">high</x:t>
        </x:is>
      </x:c>
      <x:c r="F93" t="inlineStr">
        <x:is>
          <x:t xml:space="preserve">AA|v4.3.2</x:t>
        </x:is>
      </x:c>
      <x:c r="G93" t="n">
        <x:v>53</x:v>
      </x:c>
      <x:c r="H93" t="n">
        <x:f>IFERROR(INDEX(Benchmark_Versions!$I:$I,MATCH(F93,Benchmark_Versions!$A:$A,0)),1)</x:f>
        <x:v>1</x:v>
      </x:c>
      <x:c r="I93" t="n">
        <x:f>IF(G93="","",G93*H93)</x:f>
        <x:v>53</x:v>
      </x:c>
      <x:c r="J93" s="69" t="n">
        <x:v>1.99</x:v>
      </x:c>
      <x:c r="M93" t="inlineStr">
        <x:is>
          <x:t xml:space="preserve">Tracked</x:t>
        </x:is>
      </x:c>
      <x:c r="N93" t="inlineStr">
        <x:is>
          <x:t xml:space="preserve">limited</x:t>
        </x:is>
      </x:c>
      <x:c r="O93" t="n">
        <x:f>IF(F93&lt;&gt;Controls!$C$12,0,IF(AND(Controls!$C$10="Contender",M93&lt;&gt;"Contender"),0,IF(AND(Controls!$C$10="Contender+Close",NOT(OR(M93="Contender",M93="Close"))),0,IF(AND(Controls!$C$11="Current",NOT(OR(N93="yes",N93="limited"))),0,1))))</x:f>
        <x:v>0</x:v>
      </x:c>
      <x:c r="P93" t="n">
        <x:f>Controls!$C$7</x:f>
        <x:v>40</x:v>
      </x:c>
      <x:c r="Q93" t="n">
        <x:f>IF(I93="","",I93-(P93-1))</x:f>
        <x:v>14</x:v>
      </x:c>
      <x:c r="R93" t="str">
        <x:f>IF(OR(O93=0,Q93&lt;=0,J93="",J93=0),"",Q93/J93)</x:f>
      </x:c>
      <x:c r="S93" t="str">
        <x:f>IF(OR(O93=0,Q93&lt;=0,J93="",Q93=0),"",J93/Q93)</x:f>
      </x:c>
      <x:c r="T93" t="str">
        <x:f>IF(OR(O93=0,Q93&lt;=0,J93="",K93="",J93=0,K93=0),"",Q93/(J93*(K93/60)))</x:f>
      </x:c>
      <x:c r="U93" t="str">
        <x:f>IF(OR(O93=0,I93=""),"",I93/_xlfn.MAXIFS($I$4:$I$141,$O$4:$O$141,1))</x:f>
      </x:c>
      <x:c r="V93" t="str">
        <x:f>IF(OR(O93=0,L93=""),"",L93/_xlfn.MAXIFS($L$4:$L$141,$O$4:$O$141,1))</x:f>
      </x:c>
      <x:c r="W93" t="str">
        <x:f>IF(OR(O93=0,J93=""),"",_xlfn.MINIFS($J$4:$J$141,$O$4:$O$141,1,$J$4:$J$141,"&gt;0")/J93)</x:f>
      </x:c>
      <x:c r="X93" t="str">
        <x:f>IF(R93="","",R93/_xlfn.MAXIFS($R$4:$R$141,$O$4:$O$141,1))</x:f>
      </x:c>
      <x:c r="Y93" t="str">
        <x:f>IF(T93="","",T93/_xlfn.MAXIFS($T$4:$T$141,$O$4:$O$141,1))</x:f>
      </x:c>
      <x:c r="Z93" s="67" t="str">
        <x:f>IF(OR(X93="",Y93=""),"",SQRT(X93*Y93))</x:f>
      </x:c>
      <x:c r="AA93" s="67" t="str">
        <x:f>IF(OR(X93="",Y93=""),"",X93^Controls!$C$8*Y93^Controls!$C$9)</x:f>
      </x:c>
      <x:c r="AB93" s="67" t="str">
        <x:f>IF(OR(X93="",Y93=""),"",X93^Controls!$C$9*Y93^Controls!$C$8)</x:f>
      </x:c>
      <x:c r="AC93" t="str">
        <x:f>IF(OR(U93="",V93=""),"",SQRT(U93*V93))</x:f>
      </x:c>
      <x:c r="AD93" t="n">
        <x:f>IF(OR(I93="",J93="",J93=0),"",I93/J93)</x:f>
        <x:v>26.633165829145728</x:v>
      </x:c>
      <x:c r="AE93" t="str">
        <x:f>IF(OR(I93="",K93="",K93=0),"",I93/K93)</x:f>
      </x:c>
      <x:c r="AF93" t="str">
        <x:f>IF(Z93="","",1+COUNTIF($Z$4:$Z$141,"&gt;"&amp;Z93)+COUNTIFS($Z$4:Z93,Z93)-1)</x:f>
      </x:c>
      <x:c r="AG93" t="str">
        <x:f>IF(AA93="","",1+COUNTIF($AA$4:$AA$141,"&gt;"&amp;AA93)+COUNTIFS($AA$4:AA93,AA93)-1)</x:f>
      </x:c>
      <x:c r="AH93" t="str">
        <x:f>IF(AB93="","",1+COUNTIF($AB$4:$AB$141,"&gt;"&amp;AB93)+COUNTIFS($AB$4:AB93,AB93)-1)</x:f>
      </x:c>
      <x:c r="AI93" t="str">
        <x:f>IF(OR(O93=0,I93=""),"",1+COUNTIFS($O$4:$O$141,1,$I$4:$I$141,"&gt;"&amp;I93)+COUNTIFS($O$4:O93,1,$I$4:I93,I93)-1)</x:f>
      </x:c>
      <x:c r="AJ93" t="str">
        <x:f>IF(OR(O93=0,L93=""),"",1+COUNTIFS($O$4:$O$141,1,$L$4:$L$141,"&gt;"&amp;L93)+COUNTIFS($O$4:O93,1,$L$4:L93,L93)-1)</x:f>
      </x:c>
      <x:c r="AK93" t="str">
        <x:f>IF(OR(O93=0,J93="",J93=0),"",1+COUNTIFS($O$4:$O$141,1,$J$4:$J$141,"&lt;"&amp;J93,$J$4:$J$141,"&gt;0")+COUNTIFS($O$4:O93,1,$J$4:J93,J93)-1)</x:f>
      </x:c>
    </x:row>
    <x:row r="94">
      <x:c r="A94" t="inlineStr">
        <x:is>
          <x:t xml:space="preserve">anthropic|claude-haiku-5-5|max|yes|fallback-na|aa-v4.3.2|snapshot-2026-10-16</x:t>
        </x:is>
      </x:c>
      <x:c r="B94" t="inlineStr">
        <x:is>
          <x:t xml:space="preserve">anthropic|claude-haiku-5-5|max|yes|fallback-na</x:t>
        </x:is>
      </x:c>
      <x:c r="C94" t="inlineStr">
        <x:is>
          <x:t xml:space="preserve">Claude Haiku 5.5</x:t>
        </x:is>
      </x:c>
      <x:c r="D94" t="inlineStr">
        <x:is>
          <x:t xml:space="preserve">Anthropic</x:t>
        </x:is>
      </x:c>
      <x:c r="E94" t="inlineStr">
        <x:is>
          <x:t xml:space="preserve">max</x:t>
        </x:is>
      </x:c>
      <x:c r="F94" t="inlineStr">
        <x:is>
          <x:t xml:space="preserve">AA|v4.3.2</x:t>
        </x:is>
      </x:c>
      <x:c r="G94" t="n">
        <x:v>43</x:v>
      </x:c>
      <x:c r="H94" t="n">
        <x:f>IFERROR(INDEX(Benchmark_Versions!$I:$I,MATCH(F94,Benchmark_Versions!$A:$A,0)),1)</x:f>
        <x:v>1</x:v>
      </x:c>
      <x:c r="I94" t="n">
        <x:f>IF(G94="","",G94*H94)</x:f>
        <x:v>43</x:v>
      </x:c>
      <x:c r="J94" s="69" t="n">
        <x:v>0.21</x:v>
      </x:c>
      <x:c r="L94" t="n">
        <x:v>238.4</x:v>
      </x:c>
      <x:c r="M94" t="inlineStr">
        <x:is>
          <x:t xml:space="preserve">Tracked</x:t>
        </x:is>
      </x:c>
      <x:c r="N94" t="inlineStr">
        <x:is>
          <x:t xml:space="preserve">yes</x:t>
        </x:is>
      </x:c>
      <x:c r="O94" t="n">
        <x:f>IF(F94&lt;&gt;Controls!$C$12,0,IF(AND(Controls!$C$10="Contender",M94&lt;&gt;"Contender"),0,IF(AND(Controls!$C$10="Contender+Close",NOT(OR(M94="Contender",M94="Close"))),0,IF(AND(Controls!$C$11="Current",NOT(OR(N94="yes",N94="limited"))),0,1))))</x:f>
        <x:v>0</x:v>
      </x:c>
      <x:c r="P94" t="n">
        <x:f>Controls!$C$7</x:f>
        <x:v>40</x:v>
      </x:c>
      <x:c r="Q94" t="n">
        <x:f>IF(I94="","",I94-(P94-1))</x:f>
        <x:v>4</x:v>
      </x:c>
      <x:c r="R94" t="str">
        <x:f>IF(OR(O94=0,Q94&lt;=0,J94="",J94=0),"",Q94/J94)</x:f>
      </x:c>
      <x:c r="S94" t="str">
        <x:f>IF(OR(O94=0,Q94&lt;=0,J94="",Q94=0),"",J94/Q94)</x:f>
      </x:c>
      <x:c r="T94" t="str">
        <x:f>IF(OR(O94=0,Q94&lt;=0,J94="",K94="",J94=0,K94=0),"",Q94/(J94*(K94/60)))</x:f>
      </x:c>
      <x:c r="U94" t="str">
        <x:f>IF(OR(O94=0,I94=""),"",I94/_xlfn.MAXIFS($I$4:$I$141,$O$4:$O$141,1))</x:f>
      </x:c>
      <x:c r="V94" t="str">
        <x:f>IF(OR(O94=0,L94=""),"",L94/_xlfn.MAXIFS($L$4:$L$141,$O$4:$O$141,1))</x:f>
      </x:c>
      <x:c r="W94" t="str">
        <x:f>IF(OR(O94=0,J94=""),"",_xlfn.MINIFS($J$4:$J$141,$O$4:$O$141,1,$J$4:$J$141,"&gt;0")/J94)</x:f>
      </x:c>
      <x:c r="X94" t="str">
        <x:f>IF(R94="","",R94/_xlfn.MAXIFS($R$4:$R$141,$O$4:$O$141,1))</x:f>
      </x:c>
      <x:c r="Y94" t="str">
        <x:f>IF(T94="","",T94/_xlfn.MAXIFS($T$4:$T$141,$O$4:$O$141,1))</x:f>
      </x:c>
      <x:c r="Z94" s="67" t="str">
        <x:f>IF(OR(X94="",Y94=""),"",SQRT(X94*Y94))</x:f>
      </x:c>
      <x:c r="AA94" s="67" t="str">
        <x:f>IF(OR(X94="",Y94=""),"",X94^Controls!$C$8*Y94^Controls!$C$9)</x:f>
      </x:c>
      <x:c r="AB94" s="67" t="str">
        <x:f>IF(OR(X94="",Y94=""),"",X94^Controls!$C$9*Y94^Controls!$C$8)</x:f>
      </x:c>
      <x:c r="AC94" t="str">
        <x:f>IF(OR(U94="",V94=""),"",SQRT(U94*V94))</x:f>
      </x:c>
      <x:c r="AD94" t="n">
        <x:f>IF(OR(I94="",J94="",J94=0),"",I94/J94)</x:f>
        <x:v>204.76190476190476</x:v>
      </x:c>
      <x:c r="AE94" t="str">
        <x:f>IF(OR(I94="",K94="",K94=0),"",I94/K94)</x:f>
      </x:c>
      <x:c r="AF94" t="str">
        <x:f>IF(Z94="","",1+COUNTIF($Z$4:$Z$141,"&gt;"&amp;Z94)+COUNTIFS($Z$4:Z94,Z94)-1)</x:f>
      </x:c>
      <x:c r="AG94" t="str">
        <x:f>IF(AA94="","",1+COUNTIF($AA$4:$AA$141,"&gt;"&amp;AA94)+COUNTIFS($AA$4:AA94,AA94)-1)</x:f>
      </x:c>
      <x:c r="AH94" t="str">
        <x:f>IF(AB94="","",1+COUNTIF($AB$4:$AB$141,"&gt;"&amp;AB94)+COUNTIFS($AB$4:AB94,AB94)-1)</x:f>
      </x:c>
      <x:c r="AI94" t="str">
        <x:f>IF(OR(O94=0,I94=""),"",1+COUNTIFS($O$4:$O$141,1,$I$4:$I$141,"&gt;"&amp;I94)+COUNTIFS($O$4:O94,1,$I$4:I94,I94)-1)</x:f>
      </x:c>
      <x:c r="AJ94" t="str">
        <x:f>IF(OR(O94=0,L94=""),"",1+COUNTIFS($O$4:$O$141,1,$L$4:$L$141,"&gt;"&amp;L94)+COUNTIFS($O$4:O94,1,$L$4:L94,L94)-1)</x:f>
      </x:c>
      <x:c r="AK94" t="str">
        <x:f>IF(OR(O94=0,J94="",J94=0),"",1+COUNTIFS($O$4:$O$141,1,$J$4:$J$141,"&lt;"&amp;J94,$J$4:$J$141,"&gt;0")+COUNTIFS($O$4:O94,1,$J$4:J94,J94)-1)</x:f>
      </x:c>
    </x:row>
    <x:row r="95">
      <x:c r="A95" t="inlineStr">
        <x:is>
          <x:t xml:space="preserve">mistral|mistral-large-4-preview|reasoning|yes|fallback-na|aa-v4.3.2|snapshot-2026-10-16</x:t>
        </x:is>
      </x:c>
      <x:c r="B95" t="inlineStr">
        <x:is>
          <x:t xml:space="preserve">mistral|mistral-large-4-preview|reasoning|yes|fallback-na</x:t>
        </x:is>
      </x:c>
      <x:c r="C95" t="inlineStr">
        <x:is>
          <x:t xml:space="preserve">Mistral Large 4 Preview</x:t>
        </x:is>
      </x:c>
      <x:c r="D95" t="inlineStr">
        <x:is>
          <x:t xml:space="preserve">Mistral</x:t>
        </x:is>
      </x:c>
      <x:c r="E95" t="inlineStr">
        <x:is>
          <x:t xml:space="preserve">reasoning</x:t>
        </x:is>
      </x:c>
      <x:c r="F95" t="inlineStr">
        <x:is>
          <x:t xml:space="preserve">AA|v4.3.2</x:t>
        </x:is>
      </x:c>
      <x:c r="G95" t="n">
        <x:v>38</x:v>
      </x:c>
      <x:c r="H95" t="n">
        <x:f>IFERROR(INDEX(Benchmark_Versions!$I:$I,MATCH(F95,Benchmark_Versions!$A:$A,0)),1)</x:f>
        <x:v>1</x:v>
      </x:c>
      <x:c r="I95" t="n">
        <x:f>IF(G95="","",G95*H95)</x:f>
        <x:v>38</x:v>
      </x:c>
      <x:c r="J95" s="69" t="n">
        <x:v>1.13</x:v>
      </x:c>
      <x:c r="M95" t="inlineStr">
        <x:is>
          <x:t xml:space="preserve">Tracked</x:t>
        </x:is>
      </x:c>
      <x:c r="N95" t="inlineStr">
        <x:is>
          <x:t xml:space="preserve">yes</x:t>
        </x:is>
      </x:c>
      <x:c r="O95" t="n">
        <x:f>IF(F95&lt;&gt;Controls!$C$12,0,IF(AND(Controls!$C$10="Contender",M95&lt;&gt;"Contender"),0,IF(AND(Controls!$C$10="Contender+Close",NOT(OR(M95="Contender",M95="Close"))),0,IF(AND(Controls!$C$11="Current",NOT(OR(N95="yes",N95="limited"))),0,1))))</x:f>
        <x:v>0</x:v>
      </x:c>
      <x:c r="P95" t="n">
        <x:f>Controls!$C$7</x:f>
        <x:v>40</x:v>
      </x:c>
      <x:c r="Q95" t="n">
        <x:f>IF(I95="","",I95-(P95-1))</x:f>
        <x:v>-1</x:v>
      </x:c>
      <x:c r="R95" t="str">
        <x:f>IF(OR(O95=0,Q95&lt;=0,J95="",J95=0),"",Q95/J95)</x:f>
      </x:c>
      <x:c r="S95" t="str">
        <x:f>IF(OR(O95=0,Q95&lt;=0,J95="",Q95=0),"",J95/Q95)</x:f>
      </x:c>
      <x:c r="T95" t="str">
        <x:f>IF(OR(O95=0,Q95&lt;=0,J95="",K95="",J95=0,K95=0),"",Q95/(J95*(K95/60)))</x:f>
      </x:c>
      <x:c r="U95" t="str">
        <x:f>IF(OR(O95=0,I95=""),"",I95/_xlfn.MAXIFS($I$4:$I$141,$O$4:$O$141,1))</x:f>
      </x:c>
      <x:c r="V95" t="str">
        <x:f>IF(OR(O95=0,L95=""),"",L95/_xlfn.MAXIFS($L$4:$L$141,$O$4:$O$141,1))</x:f>
      </x:c>
      <x:c r="W95" t="str">
        <x:f>IF(OR(O95=0,J95=""),"",_xlfn.MINIFS($J$4:$J$141,$O$4:$O$141,1,$J$4:$J$141,"&gt;0")/J95)</x:f>
      </x:c>
      <x:c r="X95" t="str">
        <x:f>IF(R95="","",R95/_xlfn.MAXIFS($R$4:$R$141,$O$4:$O$141,1))</x:f>
      </x:c>
      <x:c r="Y95" t="str">
        <x:f>IF(T95="","",T95/_xlfn.MAXIFS($T$4:$T$141,$O$4:$O$141,1))</x:f>
      </x:c>
      <x:c r="Z95" s="67" t="str">
        <x:f>IF(OR(X95="",Y95=""),"",SQRT(X95*Y95))</x:f>
      </x:c>
      <x:c r="AA95" s="67" t="str">
        <x:f>IF(OR(X95="",Y95=""),"",X95^Controls!$C$8*Y95^Controls!$C$9)</x:f>
      </x:c>
      <x:c r="AB95" s="67" t="str">
        <x:f>IF(OR(X95="",Y95=""),"",X95^Controls!$C$9*Y95^Controls!$C$8)</x:f>
      </x:c>
      <x:c r="AC95" t="str">
        <x:f>IF(OR(U95="",V95=""),"",SQRT(U95*V95))</x:f>
      </x:c>
      <x:c r="AD95" t="n">
        <x:f>IF(OR(I95="",J95="",J95=0),"",I95/J95)</x:f>
        <x:v>33.6283185840708</x:v>
      </x:c>
      <x:c r="AE95" t="str">
        <x:f>IF(OR(I95="",K95="",K95=0),"",I95/K95)</x:f>
      </x:c>
      <x:c r="AF95" t="str">
        <x:f>IF(Z95="","",1+COUNTIF($Z$4:$Z$141,"&gt;"&amp;Z95)+COUNTIFS($Z$4:Z95,Z95)-1)</x:f>
      </x:c>
      <x:c r="AG95" t="str">
        <x:f>IF(AA95="","",1+COUNTIF($AA$4:$AA$141,"&gt;"&amp;AA95)+COUNTIFS($AA$4:AA95,AA95)-1)</x:f>
      </x:c>
      <x:c r="AH95" t="str">
        <x:f>IF(AB95="","",1+COUNTIF($AB$4:$AB$141,"&gt;"&amp;AB95)+COUNTIFS($AB$4:AB95,AB95)-1)</x:f>
      </x:c>
      <x:c r="AI95" t="str">
        <x:f>IF(OR(O95=0,I95=""),"",1+COUNTIFS($O$4:$O$141,1,$I$4:$I$141,"&gt;"&amp;I95)+COUNTIFS($O$4:O95,1,$I$4:I95,I95)-1)</x:f>
      </x:c>
      <x:c r="AJ95" t="str">
        <x:f>IF(OR(O95=0,L95=""),"",1+COUNTIFS($O$4:$O$141,1,$L$4:$L$141,"&gt;"&amp;L95)+COUNTIFS($O$4:O95,1,$L$4:L95,L95)-1)</x:f>
      </x:c>
      <x:c r="AK95" t="str">
        <x:f>IF(OR(O95=0,J95="",J95=0),"",1+COUNTIFS($O$4:$O$141,1,$J$4:$J$141,"&lt;"&amp;J95,$J$4:$J$141,"&gt;0")+COUNTIFS($O$4:O95,1,$J$4:J95,J95)-1)</x:f>
      </x:c>
    </x:row>
    <x:row r="96">
      <x:c r="A96" t="inlineStr">
        <x:is>
          <x:t xml:space="preserve">spacexai|grok-4-7|xhigh|yes|fallback-na|aa-v4.3.2|snapshot-2026-10-16</x:t>
        </x:is>
      </x:c>
      <x:c r="B96" t="inlineStr">
        <x:is>
          <x:t xml:space="preserve">spacexai|grok-4-7|xhigh|yes|fallback-na</x:t>
        </x:is>
      </x:c>
      <x:c r="C96" t="inlineStr">
        <x:is>
          <x:t xml:space="preserve">Grok 4.7</x:t>
        </x:is>
      </x:c>
      <x:c r="D96" t="inlineStr">
        <x:is>
          <x:t xml:space="preserve">Spacexai</x:t>
        </x:is>
      </x:c>
      <x:c r="E96" t="inlineStr">
        <x:is>
          <x:t xml:space="preserve">xhigh</x:t>
        </x:is>
      </x:c>
      <x:c r="F96" t="inlineStr">
        <x:is>
          <x:t xml:space="preserve">AA|v4.3.2</x:t>
        </x:is>
      </x:c>
      <x:c r="G96" t="n">
        <x:v>46</x:v>
      </x:c>
      <x:c r="H96" t="n">
        <x:f>IFERROR(INDEX(Benchmark_Versions!$I:$I,MATCH(F96,Benchmark_Versions!$A:$A,0)),1)</x:f>
        <x:v>1</x:v>
      </x:c>
      <x:c r="I96" t="n">
        <x:f>IF(G96="","",G96*H96)</x:f>
        <x:v>46</x:v>
      </x:c>
      <x:c r="J96" s="69" t="n">
        <x:v>3.74</x:v>
      </x:c>
      <x:c r="L96" t="n">
        <x:v>101.6</x:v>
      </x:c>
      <x:c r="M96" t="inlineStr">
        <x:is>
          <x:t xml:space="preserve">Tracked</x:t>
        </x:is>
      </x:c>
      <x:c r="N96" t="inlineStr">
        <x:is>
          <x:t xml:space="preserve">yes</x:t>
        </x:is>
      </x:c>
      <x:c r="O96" t="n">
        <x:f>IF(F96&lt;&gt;Controls!$C$12,0,IF(AND(Controls!$C$10="Contender",M96&lt;&gt;"Contender"),0,IF(AND(Controls!$C$10="Contender+Close",NOT(OR(M96="Contender",M96="Close"))),0,IF(AND(Controls!$C$11="Current",NOT(OR(N96="yes",N96="limited"))),0,1))))</x:f>
        <x:v>0</x:v>
      </x:c>
      <x:c r="P96" t="n">
        <x:f>Controls!$C$7</x:f>
        <x:v>40</x:v>
      </x:c>
      <x:c r="Q96" t="n">
        <x:f>IF(I96="","",I96-(P96-1))</x:f>
        <x:v>7</x:v>
      </x:c>
      <x:c r="R96" t="str">
        <x:f>IF(OR(O96=0,Q96&lt;=0,J96="",J96=0),"",Q96/J96)</x:f>
      </x:c>
      <x:c r="S96" t="str">
        <x:f>IF(OR(O96=0,Q96&lt;=0,J96="",Q96=0),"",J96/Q96)</x:f>
      </x:c>
      <x:c r="T96" t="str">
        <x:f>IF(OR(O96=0,Q96&lt;=0,J96="",K96="",J96=0,K96=0),"",Q96/(J96*(K96/60)))</x:f>
      </x:c>
      <x:c r="U96" t="str">
        <x:f>IF(OR(O96=0,I96=""),"",I96/_xlfn.MAXIFS($I$4:$I$141,$O$4:$O$141,1))</x:f>
      </x:c>
      <x:c r="V96" t="str">
        <x:f>IF(OR(O96=0,L96=""),"",L96/_xlfn.MAXIFS($L$4:$L$141,$O$4:$O$141,1))</x:f>
      </x:c>
      <x:c r="W96" t="str">
        <x:f>IF(OR(O96=0,J96=""),"",_xlfn.MINIFS($J$4:$J$141,$O$4:$O$141,1,$J$4:$J$141,"&gt;0")/J96)</x:f>
      </x:c>
      <x:c r="X96" t="str">
        <x:f>IF(R96="","",R96/_xlfn.MAXIFS($R$4:$R$141,$O$4:$O$141,1))</x:f>
      </x:c>
      <x:c r="Y96" t="str">
        <x:f>IF(T96="","",T96/_xlfn.MAXIFS($T$4:$T$141,$O$4:$O$141,1))</x:f>
      </x:c>
      <x:c r="Z96" s="67" t="str">
        <x:f>IF(OR(X96="",Y96=""),"",SQRT(X96*Y96))</x:f>
      </x:c>
      <x:c r="AA96" s="67" t="str">
        <x:f>IF(OR(X96="",Y96=""),"",X96^Controls!$C$8*Y96^Controls!$C$9)</x:f>
      </x:c>
      <x:c r="AB96" s="67" t="str">
        <x:f>IF(OR(X96="",Y96=""),"",X96^Controls!$C$9*Y96^Controls!$C$8)</x:f>
      </x:c>
      <x:c r="AC96" t="str">
        <x:f>IF(OR(U96="",V96=""),"",SQRT(U96*V96))</x:f>
      </x:c>
      <x:c r="AD96" t="n">
        <x:f>IF(OR(I96="",J96="",J96=0),"",I96/J96)</x:f>
        <x:v>12.29946524064171</x:v>
      </x:c>
      <x:c r="AE96" t="str">
        <x:f>IF(OR(I96="",K96="",K96=0),"",I96/K96)</x:f>
      </x:c>
      <x:c r="AF96" t="str">
        <x:f>IF(Z96="","",1+COUNTIF($Z$4:$Z$141,"&gt;"&amp;Z96)+COUNTIFS($Z$4:Z96,Z96)-1)</x:f>
      </x:c>
      <x:c r="AG96" t="str">
        <x:f>IF(AA96="","",1+COUNTIF($AA$4:$AA$141,"&gt;"&amp;AA96)+COUNTIFS($AA$4:AA96,AA96)-1)</x:f>
      </x:c>
      <x:c r="AH96" t="str">
        <x:f>IF(AB96="","",1+COUNTIF($AB$4:$AB$141,"&gt;"&amp;AB96)+COUNTIFS($AB$4:AB96,AB96)-1)</x:f>
      </x:c>
      <x:c r="AI96" t="str">
        <x:f>IF(OR(O96=0,I96=""),"",1+COUNTIFS($O$4:$O$141,1,$I$4:$I$141,"&gt;"&amp;I96)+COUNTIFS($O$4:O96,1,$I$4:I96,I96)-1)</x:f>
      </x:c>
      <x:c r="AJ96" t="str">
        <x:f>IF(OR(O96=0,L96=""),"",1+COUNTIFS($O$4:$O$141,1,$L$4:$L$141,"&gt;"&amp;L96)+COUNTIFS($O$4:O96,1,$L$4:L96,L96)-1)</x:f>
      </x:c>
      <x:c r="AK96" t="str">
        <x:f>IF(OR(O96=0,J96="",J96=0),"",1+COUNTIFS($O$4:$O$141,1,$J$4:$J$141,"&lt;"&amp;J96,$J$4:$J$141,"&gt;0")+COUNTIFS($O$4:O96,1,$J$4:J96,J96)-1)</x:f>
      </x:c>
    </x:row>
    <x:row r="97">
      <x:c r="A97" t="inlineStr">
        <x:is>
          <x:t xml:space="preserve">anthropic|claude-sonnet-5.5|max|reasoning|fallback-true|aa-v4.3.2|snapshot-2026-10-16</x:t>
        </x:is>
      </x:c>
      <x:c r="B97" t="inlineStr">
        <x:is>
          <x:t xml:space="preserve">anthropic|claude-sonnet-5.5|max|reasoning|fallback-true</x:t>
        </x:is>
      </x:c>
      <x:c r="C97" t="inlineStr">
        <x:is>
          <x:t xml:space="preserve">Claude Sonnet 5.5</x:t>
        </x:is>
      </x:c>
      <x:c r="D97" t="inlineStr">
        <x:is>
          <x:t xml:space="preserve">Anthropic</x:t>
        </x:is>
      </x:c>
      <x:c r="E97" t="inlineStr">
        <x:is>
          <x:t xml:space="preserve">max</x:t>
        </x:is>
      </x:c>
      <x:c r="F97" t="inlineStr">
        <x:is>
          <x:t xml:space="preserve">AA|v4.3.2</x:t>
        </x:is>
      </x:c>
      <x:c r="G97" t="n">
        <x:v>56</x:v>
      </x:c>
      <x:c r="H97" t="n">
        <x:f>IFERROR(INDEX(Benchmark_Versions!$I:$I,MATCH(F97,Benchmark_Versions!$A:$A,0)),1)</x:f>
        <x:v>1</x:v>
      </x:c>
      <x:c r="I97" t="n">
        <x:f>IF(G97="","",G97*H97)</x:f>
        <x:v>56</x:v>
      </x:c>
      <x:c r="J97" s="69" t="n">
        <x:v>5.46</x:v>
      </x:c>
      <x:c r="L97" t="n">
        <x:v>137.7</x:v>
      </x:c>
      <x:c r="M97" t="inlineStr">
        <x:is>
          <x:t xml:space="preserve">Contender</x:t>
        </x:is>
      </x:c>
      <x:c r="N97" t="inlineStr">
        <x:is>
          <x:t xml:space="preserve">yes</x:t>
        </x:is>
      </x:c>
      <x:c r="O97" t="n">
        <x:f>IF(F97&lt;&gt;Controls!$C$12,0,IF(AND(Controls!$C$10="Contender",M97&lt;&gt;"Contender"),0,IF(AND(Controls!$C$10="Contender+Close",NOT(OR(M97="Contender",M97="Close"))),0,IF(AND(Controls!$C$11="Current",NOT(OR(N97="yes",N97="limited"))),0,1))))</x:f>
        <x:v>1</x:v>
      </x:c>
      <x:c r="P97" t="n">
        <x:f>Controls!$C$7</x:f>
        <x:v>40</x:v>
      </x:c>
      <x:c r="Q97" t="n">
        <x:f>IF(I97="","",I97-(P97-1))</x:f>
        <x:v>17</x:v>
      </x:c>
      <x:c r="R97" t="n">
        <x:f>IF(OR(O97=0,Q97&lt;=0,J97="",J97=0),"",Q97/J97)</x:f>
        <x:v>3.1135531135531136</x:v>
      </x:c>
      <x:c r="S97" t="n">
        <x:f>IF(OR(O97=0,Q97&lt;=0,J97="",Q97=0),"",J97/Q97)</x:f>
        <x:v>0.3211764705882353</x:v>
      </x:c>
      <x:c r="T97" t="str">
        <x:f>IF(OR(O97=0,Q97&lt;=0,J97="",K97="",J97=0,K97=0),"",Q97/(J97*(K97/60)))</x:f>
      </x:c>
      <x:c r="U97" t="n">
        <x:f>IF(OR(O97=0,I97=""),"",I97/_xlfn.MAXIFS($I$4:$I$141,$O$4:$O$141,1))</x:f>
        <x:v>0.9655172413793104</x:v>
      </x:c>
      <x:c r="V97" t="n">
        <x:f>IF(OR(O97=0,L97=""),"",L97/_xlfn.MAXIFS($L$4:$L$141,$O$4:$O$141,1))</x:f>
        <x:v>0.4427652733118971</x:v>
      </x:c>
      <x:c r="W97" t="n">
        <x:f>IF(OR(O97=0,J97=""),"",_xlfn.MINIFS($J$4:$J$141,$O$4:$O$141,1,$J$4:$J$141,"&gt;0")/J97)</x:f>
        <x:v>0.0008241758241758241</x:v>
      </x:c>
      <x:c r="X97" t="n">
        <x:f>IF(R97="","",R97/_xlfn.MAXIFS($R$4:$R$141,$O$4:$O$141,1))</x:f>
        <x:v>0.2594627594627595</x:v>
      </x:c>
      <x:c r="Y97" t="str">
        <x:f>IF(T97="","",T97/_xlfn.MAXIFS($T$4:$T$141,$O$4:$O$141,1))</x:f>
      </x:c>
      <x:c r="Z97" s="67" t="str">
        <x:f>IF(OR(X97="",Y97=""),"",SQRT(X97*Y97))</x:f>
      </x:c>
      <x:c r="AA97" s="67" t="str">
        <x:f>IF(OR(X97="",Y97=""),"",X97^Controls!$C$8*Y97^Controls!$C$9)</x:f>
      </x:c>
      <x:c r="AB97" s="67" t="str">
        <x:f>IF(OR(X97="",Y97=""),"",X97^Controls!$C$9*Y97^Controls!$C$8)</x:f>
      </x:c>
      <x:c r="AC97" t="n">
        <x:f>IF(OR(U97="",V97=""),"",SQRT(U97*V97))</x:f>
        <x:v>0.6538329337580505</x:v>
      </x:c>
      <x:c r="AD97" t="n">
        <x:f>IF(OR(I97="",J97="",J97=0),"",I97/J97)</x:f>
        <x:v>10.256410256410257</x:v>
      </x:c>
      <x:c r="AE97" t="str">
        <x:f>IF(OR(I97="",K97="",K97=0),"",I97/K97)</x:f>
      </x:c>
      <x:c r="AF97" t="str">
        <x:f>IF(Z97="","",1+COUNTIF($Z$4:$Z$141,"&gt;"&amp;Z97)+COUNTIFS($Z$4:Z97,Z97)-1)</x:f>
      </x:c>
      <x:c r="AG97" t="str">
        <x:f>IF(AA97="","",1+COUNTIF($AA$4:$AA$141,"&gt;"&amp;AA97)+COUNTIFS($AA$4:AA97,AA97)-1)</x:f>
      </x:c>
      <x:c r="AH97" t="str">
        <x:f>IF(AB97="","",1+COUNTIF($AB$4:$AB$141,"&gt;"&amp;AB97)+COUNTIFS($AB$4:AB97,AB97)-1)</x:f>
      </x:c>
      <x:c r="AI97" t="n">
        <x:f>IF(OR(O97=0,I97=""),"",1+COUNTIFS($O$4:$O$141,1,$I$4:$I$141,"&gt;"&amp;I97)+COUNTIFS($O$4:O97,1,$I$4:I97,I97)-1)</x:f>
        <x:v>4</x:v>
      </x:c>
      <x:c r="AJ97" t="n">
        <x:f>IF(OR(O97=0,L97=""),"",1+COUNTIFS($O$4:$O$141,1,$L$4:$L$141,"&gt;"&amp;L97)+COUNTIFS($O$4:O97,1,$L$4:L97,L97)-1)</x:f>
        <x:v>14</x:v>
      </x:c>
      <x:c r="AK97" t="n">
        <x:f>IF(OR(O97=0,J97="",J97=0),"",1+COUNTIFS($O$4:$O$141,1,$J$4:$J$141,"&lt;"&amp;J97,$J$4:$J$141,"&gt;0")+COUNTIFS($O$4:O97,1,$J$4:J97,J97)-1)</x:f>
        <x:v>40</x:v>
      </x:c>
    </x:row>
    <x:row r="98">
      <x:c r="A98" t="inlineStr">
        <x:is>
          <x:t xml:space="preserve">openai|gpt-6-sol|max|reasoning|fallback-na|aa-v4.3.2|snapshot-2026-10-16</x:t>
        </x:is>
      </x:c>
      <x:c r="B98" t="inlineStr">
        <x:is>
          <x:t xml:space="preserve">openai|gpt-6-sol|max|reasoning|fallback-na</x:t>
        </x:is>
      </x:c>
      <x:c r="C98" t="inlineStr">
        <x:is>
          <x:t xml:space="preserve">GPT-6 Sol</x:t>
        </x:is>
      </x:c>
      <x:c r="D98" t="inlineStr">
        <x:is>
          <x:t xml:space="preserve">Openai</x:t>
        </x:is>
      </x:c>
      <x:c r="E98" t="inlineStr">
        <x:is>
          <x:t xml:space="preserve">max</x:t>
        </x:is>
      </x:c>
      <x:c r="F98" t="inlineStr">
        <x:is>
          <x:t xml:space="preserve">AA|v4.3.2</x:t>
        </x:is>
      </x:c>
      <x:c r="G98" t="n">
        <x:v>48</x:v>
      </x:c>
      <x:c r="H98" t="n">
        <x:f>IFERROR(INDEX(Benchmark_Versions!$I:$I,MATCH(F98,Benchmark_Versions!$A:$A,0)),1)</x:f>
        <x:v>1</x:v>
      </x:c>
      <x:c r="I98" t="n">
        <x:f>IF(G98="","",G98*H98)</x:f>
        <x:v>48</x:v>
      </x:c>
      <x:c r="J98" s="69" t="n">
        <x:v>1.04</x:v>
      </x:c>
      <x:c r="K98" t="n">
        <x:v>293.81</x:v>
      </x:c>
      <x:c r="L98" t="n">
        <x:v>103</x:v>
      </x:c>
      <x:c r="M98" t="inlineStr">
        <x:is>
          <x:t xml:space="preserve">Contender</x:t>
        </x:is>
      </x:c>
      <x:c r="N98" t="inlineStr">
        <x:is>
          <x:t xml:space="preserve">yes</x:t>
        </x:is>
      </x:c>
      <x:c r="O98" t="n">
        <x:f>IF(F98&lt;&gt;Controls!$C$12,0,IF(AND(Controls!$C$10="Contender",M98&lt;&gt;"Contender"),0,IF(AND(Controls!$C$10="Contender+Close",NOT(OR(M98="Contender",M98="Close"))),0,IF(AND(Controls!$C$11="Current",NOT(OR(N98="yes",N98="limited"))),0,1))))</x:f>
        <x:v>1</x:v>
      </x:c>
      <x:c r="P98" t="n">
        <x:f>Controls!$C$7</x:f>
        <x:v>40</x:v>
      </x:c>
      <x:c r="Q98" t="n">
        <x:f>IF(I98="","",I98-(P98-1))</x:f>
        <x:v>9</x:v>
      </x:c>
      <x:c r="R98" t="n">
        <x:f>IF(OR(O98=0,Q98&lt;=0,J98="",J98=0),"",Q98/J98)</x:f>
        <x:v>8.653846153846153</x:v>
      </x:c>
      <x:c r="S98" t="n">
        <x:f>IF(OR(O98=0,Q98&lt;=0,J98="",Q98=0),"",J98/Q98)</x:f>
        <x:v>0.11555555555555556</x:v>
      </x:c>
      <x:c r="T98" t="n">
        <x:f>IF(OR(O98=0,Q98&lt;=0,J98="",K98="",J98=0,K98=0),"",Q98/(J98*(K98/60)))</x:f>
        <x:v>1.7672331412503632</x:v>
      </x:c>
      <x:c r="U98" t="n">
        <x:f>IF(OR(O98=0,I98=""),"",I98/_xlfn.MAXIFS($I$4:$I$141,$O$4:$O$141,1))</x:f>
        <x:v>0.8275862068965517</x:v>
      </x:c>
      <x:c r="V98" t="n">
        <x:f>IF(OR(O98=0,L98=""),"",L98/_xlfn.MAXIFS($L$4:$L$141,$O$4:$O$141,1))</x:f>
        <x:v>0.3311897106109325</x:v>
      </x:c>
      <x:c r="W98" t="n">
        <x:f>IF(OR(O98=0,J98=""),"",_xlfn.MINIFS($J$4:$J$141,$O$4:$O$141,1,$J$4:$J$141,"&gt;0")/J98)</x:f>
        <x:v>0.004326923076923076</x:v>
      </x:c>
      <x:c r="X98" t="n">
        <x:f>IF(R98="","",R98/_xlfn.MAXIFS($R$4:$R$141,$O$4:$O$141,1))</x:f>
        <x:v>0.7211538461538461</x:v>
      </x:c>
      <x:c r="Y98" t="n">
        <x:f>IF(T98="","",T98/_xlfn.MAXIFS($T$4:$T$141,$O$4:$O$141,1))</x:f>
        <x:v>0.29324204436521917</x:v>
      </x:c>
      <x:c r="Z98" s="67" t="n">
        <x:f>IF(OR(X98="",Y98=""),"",SQRT(X98*Y98))</x:f>
        <x:v>0.45986153149398634</x:v>
      </x:c>
      <x:c r="AA98" s="67" t="n">
        <x:f>IF(OR(X98="",Y98=""),"",X98^Controls!$C$8*Y98^Controls!$C$9)</x:f>
        <x:v>0.45986153149398634</x:v>
      </x:c>
      <x:c r="AB98" s="67" t="n">
        <x:f>IF(OR(X98="",Y98=""),"",X98^Controls!$C$9*Y98^Controls!$C$8)</x:f>
        <x:v>0.45986153149398634</x:v>
      </x:c>
      <x:c r="AC98" t="n">
        <x:f>IF(OR(U98="",V98=""),"",SQRT(U98*V98))</x:f>
        <x:v>0.5235341787960632</x:v>
      </x:c>
      <x:c r="AD98" t="n">
        <x:f>IF(OR(I98="",J98="",J98=0),"",I98/J98)</x:f>
        <x:v>46.15384615384615</x:v>
      </x:c>
      <x:c r="AE98" t="n">
        <x:f>IF(OR(I98="",K98="",K98=0),"",I98/K98)</x:f>
        <x:v>0.16337088594670024</x:v>
      </x:c>
      <x:c r="AF98" t="n">
        <x:f>IF(Z98="","",1+COUNTIF($Z$4:$Z$141,"&gt;"&amp;Z98)+COUNTIFS($Z$4:Z98,Z98)-1)</x:f>
        <x:v>5</x:v>
      </x:c>
      <x:c r="AG98" t="n">
        <x:f>IF(AA98="","",1+COUNTIF($AA$4:$AA$141,"&gt;"&amp;AA98)+COUNTIFS($AA$4:AA98,AA98)-1)</x:f>
        <x:v>5</x:v>
      </x:c>
      <x:c r="AH98" t="n">
        <x:f>IF(AB98="","",1+COUNTIF($AB$4:$AB$141,"&gt;"&amp;AB98)+COUNTIFS($AB$4:AB98,AB98)-1)</x:f>
        <x:v>5</x:v>
      </x:c>
      <x:c r="AI98" t="n">
        <x:f>IF(OR(O98=0,I98=""),"",1+COUNTIFS($O$4:$O$141,1,$I$4:$I$141,"&gt;"&amp;I98)+COUNTIFS($O$4:O98,1,$I$4:I98,I98)-1)</x:f>
        <x:v>15</x:v>
      </x:c>
      <x:c r="AJ98" t="n">
        <x:f>IF(OR(O98=0,L98=""),"",1+COUNTIFS($O$4:$O$141,1,$L$4:$L$141,"&gt;"&amp;L98)+COUNTIFS($O$4:O98,1,$L$4:L98,L98)-1)</x:f>
        <x:v>17</x:v>
      </x:c>
      <x:c r="AK98" t="n">
        <x:f>IF(OR(O98=0,J98="",J98=0),"",1+COUNTIFS($O$4:$O$141,1,$J$4:$J$141,"&lt;"&amp;J98,$J$4:$J$141,"&gt;0")+COUNTIFS($O$4:O98,1,$J$4:J98,J98)-1)</x:f>
        <x:v>24</x:v>
      </x:c>
    </x:row>
    <x:row r="99">
      <x:c r="A99" t="inlineStr">
        <x:is>
          <x:t xml:space="preserve">meta|muse-wonder-full|max|reasoning|fallback-na|aa-v4.3.2|snapshot-2026-10-16</x:t>
        </x:is>
      </x:c>
      <x:c r="B99" t="inlineStr">
        <x:is>
          <x:t xml:space="preserve">meta|muse-wonder-full|max|reasoning|fallback-na</x:t>
        </x:is>
      </x:c>
      <x:c r="C99" t="inlineStr">
        <x:is>
          <x:t xml:space="preserve">Muse Wonder Full</x:t>
        </x:is>
      </x:c>
      <x:c r="D99" t="inlineStr">
        <x:is>
          <x:t xml:space="preserve">Meta</x:t>
        </x:is>
      </x:c>
      <x:c r="E99" t="inlineStr">
        <x:is>
          <x:t xml:space="preserve">max</x:t>
        </x:is>
      </x:c>
      <x:c r="F99" t="inlineStr">
        <x:is>
          <x:t xml:space="preserve">AA|v4.3.2</x:t>
        </x:is>
      </x:c>
      <x:c r="G99" t="n">
        <x:v>56</x:v>
      </x:c>
      <x:c r="H99" t="n">
        <x:f>IFERROR(INDEX(Benchmark_Versions!$I:$I,MATCH(F99,Benchmark_Versions!$A:$A,0)),1)</x:f>
        <x:v>1</x:v>
      </x:c>
      <x:c r="I99" t="n">
        <x:f>IF(G99="","",G99*H99)</x:f>
        <x:v>56</x:v>
      </x:c>
      <x:c r="J99" s="69" t="n"/>
      <x:c r="M99" t="inlineStr">
        <x:is>
          <x:t xml:space="preserve">Tracked</x:t>
        </x:is>
      </x:c>
      <x:c r="N99" t="inlineStr">
        <x:is>
          <x:t xml:space="preserve">yes</x:t>
        </x:is>
      </x:c>
      <x:c r="O99" t="n">
        <x:f>IF(F99&lt;&gt;Controls!$C$12,0,IF(AND(Controls!$C$10="Contender",M99&lt;&gt;"Contender"),0,IF(AND(Controls!$C$10="Contender+Close",NOT(OR(M99="Contender",M99="Close"))),0,IF(AND(Controls!$C$11="Current",NOT(OR(N99="yes",N99="limited"))),0,1))))</x:f>
        <x:v>0</x:v>
      </x:c>
      <x:c r="P99" t="n">
        <x:f>Controls!$C$7</x:f>
        <x:v>40</x:v>
      </x:c>
      <x:c r="Q99" t="n">
        <x:f>IF(I99="","",I99-(P99-1))</x:f>
        <x:v>17</x:v>
      </x:c>
      <x:c r="R99" t="str">
        <x:f>IF(OR(O99=0,Q99&lt;=0,J99="",J99=0),"",Q99/J99)</x:f>
      </x:c>
      <x:c r="S99" t="str">
        <x:f>IF(OR(O99=0,Q99&lt;=0,J99="",Q99=0),"",J99/Q99)</x:f>
      </x:c>
      <x:c r="T99" t="str">
        <x:f>IF(OR(O99=0,Q99&lt;=0,J99="",K99="",J99=0,K99=0),"",Q99/(J99*(K99/60)))</x:f>
      </x:c>
      <x:c r="U99" t="str">
        <x:f>IF(OR(O99=0,I99=""),"",I99/_xlfn.MAXIFS($I$4:$I$141,$O$4:$O$141,1))</x:f>
      </x:c>
      <x:c r="V99" t="str">
        <x:f>IF(OR(O99=0,L99=""),"",L99/_xlfn.MAXIFS($L$4:$L$141,$O$4:$O$141,1))</x:f>
      </x:c>
      <x:c r="W99" t="str">
        <x:f>IF(OR(O99=0,J99=""),"",_xlfn.MINIFS($J$4:$J$141,$O$4:$O$141,1,$J$4:$J$141,"&gt;0")/J99)</x:f>
      </x:c>
      <x:c r="X99" t="str">
        <x:f>IF(R99="","",R99/_xlfn.MAXIFS($R$4:$R$141,$O$4:$O$141,1))</x:f>
      </x:c>
      <x:c r="Y99" t="str">
        <x:f>IF(T99="","",T99/_xlfn.MAXIFS($T$4:$T$141,$O$4:$O$141,1))</x:f>
      </x:c>
      <x:c r="Z99" s="67" t="str">
        <x:f>IF(OR(X99="",Y99=""),"",SQRT(X99*Y99))</x:f>
      </x:c>
      <x:c r="AA99" s="67" t="str">
        <x:f>IF(OR(X99="",Y99=""),"",X99^Controls!$C$8*Y99^Controls!$C$9)</x:f>
      </x:c>
      <x:c r="AB99" s="67" t="str">
        <x:f>IF(OR(X99="",Y99=""),"",X99^Controls!$C$9*Y99^Controls!$C$8)</x:f>
      </x:c>
      <x:c r="AC99" t="str">
        <x:f>IF(OR(U99="",V99=""),"",SQRT(U99*V99))</x:f>
      </x:c>
      <x:c r="AD99" t="str">
        <x:f>IF(OR(I99="",J99="",J99=0),"",I99/J99)</x:f>
      </x:c>
      <x:c r="AE99" t="str">
        <x:f>IF(OR(I99="",K99="",K99=0),"",I99/K99)</x:f>
      </x:c>
      <x:c r="AF99" t="str">
        <x:f>IF(Z99="","",1+COUNTIF($Z$4:$Z$141,"&gt;"&amp;Z99)+COUNTIFS($Z$4:Z99,Z99)-1)</x:f>
      </x:c>
      <x:c r="AG99" t="str">
        <x:f>IF(AA99="","",1+COUNTIF($AA$4:$AA$141,"&gt;"&amp;AA99)+COUNTIFS($AA$4:AA99,AA99)-1)</x:f>
      </x:c>
      <x:c r="AH99" t="str">
        <x:f>IF(AB99="","",1+COUNTIF($AB$4:$AB$141,"&gt;"&amp;AB99)+COUNTIFS($AB$4:AB99,AB99)-1)</x:f>
      </x:c>
      <x:c r="AI99" t="str">
        <x:f>IF(OR(O99=0,I99=""),"",1+COUNTIFS($O$4:$O$141,1,$I$4:$I$141,"&gt;"&amp;I99)+COUNTIFS($O$4:O99,1,$I$4:I99,I99)-1)</x:f>
      </x:c>
      <x:c r="AJ99" t="str">
        <x:f>IF(OR(O99=0,L99=""),"",1+COUNTIFS($O$4:$O$141,1,$L$4:$L$141,"&gt;"&amp;L99)+COUNTIFS($O$4:O99,1,$L$4:L99,L99)-1)</x:f>
      </x:c>
      <x:c r="AK99" t="str">
        <x:f>IF(OR(O99=0,J99="",J99=0),"",1+COUNTIFS($O$4:$O$141,1,$J$4:$J$141,"&lt;"&amp;J99,$J$4:$J$141,"&gt;0")+COUNTIFS($O$4:O99,1,$J$4:J99,J99)-1)</x:f>
      </x:c>
    </x:row>
    <x:row r="100" s="14" customFormat="1">
      <x:c r="A100" t="inlineStr">
        <x:is>
          <x:t xml:space="preserve">deepseek|deepseek-v4.1-flash|non-reasoning|nonreasoning|fallback-na|aa-v4.3.2|snapshot-2026-10-12</x:t>
        </x:is>
      </x:c>
      <x:c r="B100" t="inlineStr">
        <x:is>
          <x:t xml:space="preserve">deepseek|deepseek-v4.1-flash|non-reasoning|nonreasoning|fallback-na</x:t>
        </x:is>
      </x:c>
      <x:c r="C100" t="inlineStr">
        <x:is>
          <x:t xml:space="preserve">DeepSeek V4.1 Flash</x:t>
        </x:is>
      </x:c>
      <x:c r="D100" t="inlineStr">
        <x:is>
          <x:t xml:space="preserve">DeepSeek</x:t>
        </x:is>
      </x:c>
      <x:c r="E100" t="inlineStr">
        <x:is>
          <x:t xml:space="preserve">non-reasoning</x:t>
        </x:is>
      </x:c>
      <x:c r="F100" t="inlineStr">
        <x:is>
          <x:t xml:space="preserve">AA|v4.3.2</x:t>
        </x:is>
      </x:c>
      <x:c r="G100" t="n">
        <x:v>25</x:v>
      </x:c>
      <x:c r="H100" t="n">
        <x:f>IFERROR(INDEX(Benchmark_Versions!$I:$I,MATCH(F100,Benchmark_Versions!$A:$A,0)),1)</x:f>
        <x:v>1</x:v>
      </x:c>
      <x:c r="I100" t="n">
        <x:f>IF(G100="","",G100*H100)</x:f>
        <x:v>25</x:v>
      </x:c>
      <x:c r="J100" s="69" t="n">
        <x:v>0.15</x:v>
      </x:c>
      <x:c r="L100" t="n">
        <x:v>211</x:v>
      </x:c>
      <x:c r="M100" t="inlineStr">
        <x:is>
          <x:t xml:space="preserve">ultra-cheap / fast reasoning</x:t>
        </x:is>
      </x:c>
      <x:c r="N100" t="inlineStr">
        <x:is>
          <x:t xml:space="preserve">yes</x:t>
        </x:is>
      </x:c>
      <x:c r="O100" t="n">
        <x:f>IF(F100&lt;&gt;Controls!$C$12,0,IF(AND(Controls!$C$10="Contender",M100&lt;&gt;"Contender"),0,IF(AND(Controls!$C$10="Contender+Close",NOT(OR(M100="Contender",M100="Close"))),0,IF(AND(Controls!$C$11="Current",NOT(OR(N100="yes",N100="limited"))),0,1))))</x:f>
        <x:v>0</x:v>
      </x:c>
      <x:c r="P100" t="n">
        <x:f>Controls!$C$7</x:f>
        <x:v>40</x:v>
      </x:c>
      <x:c r="Q100" t="n">
        <x:f>IF(I100="","",I100-(P100-1))</x:f>
        <x:v>-14</x:v>
      </x:c>
      <x:c r="R100" t="str">
        <x:f>IF(OR(O100=0,Q100&lt;=0,J100="",J100=0),"",Q100/J100)</x:f>
      </x:c>
      <x:c r="S100" t="str">
        <x:f>IF(OR(O100=0,Q100&lt;=0,J100="",Q100=0),"",J100/Q100)</x:f>
      </x:c>
      <x:c r="T100" t="str">
        <x:f>IF(OR(O100=0,Q100&lt;=0,J100="",K100="",J100=0,K100=0),"",Q100/(J100*(K100/60)))</x:f>
      </x:c>
      <x:c r="U100" t="str">
        <x:f>IF(OR(O100=0,I100=""),"",I100/_xlfn.MAXIFS($I$4:$I$141,$O$4:$O$141,1))</x:f>
      </x:c>
      <x:c r="V100" t="str">
        <x:f>IF(OR(O100=0,L100=""),"",L100/_xlfn.MAXIFS($L$4:$L$141,$O$4:$O$141,1))</x:f>
      </x:c>
      <x:c r="W100" t="str">
        <x:f>IF(OR(O100=0,J100=""),"",_xlfn.MINIFS($J$4:$J$141,$O$4:$O$141,1,$J$4:$J$141,"&gt;0")/J100)</x:f>
      </x:c>
      <x:c r="X100" t="str">
        <x:f>IF(R100="","",R100/_xlfn.MAXIFS($R$4:$R$141,$O$4:$O$141,1))</x:f>
      </x:c>
      <x:c r="Y100" t="str">
        <x:f>IF(T100="","",T100/_xlfn.MAXIFS($T$4:$T$141,$O$4:$O$141,1))</x:f>
      </x:c>
      <x:c r="Z100" s="67" t="str">
        <x:f>IF(OR(X100="",Y100=""),"",SQRT(X100*Y100))</x:f>
      </x:c>
      <x:c r="AA100" s="67" t="str">
        <x:f>IF(OR(X100="",Y100=""),"",X100^Controls!$C$8*Y100^Controls!$C$9)</x:f>
      </x:c>
      <x:c r="AB100" s="67" t="str">
        <x:f>IF(OR(X100="",Y100=""),"",X100^Controls!$C$9*Y100^Controls!$C$8)</x:f>
      </x:c>
      <x:c r="AC100" t="str">
        <x:f>IF(OR(U100="",V100=""),"",SQRT(U100*V100))</x:f>
      </x:c>
      <x:c r="AD100" t="n">
        <x:f>IF(OR(I100="",J100="",J100=0),"",I100/J100)</x:f>
        <x:v>166.66666666666669</x:v>
      </x:c>
      <x:c r="AE100" t="str">
        <x:f>IF(OR(I100="",K100="",K100=0),"",I100/K100)</x:f>
      </x:c>
      <x:c r="AF100" t="str">
        <x:f>IF(Z100="","",1+COUNTIF($Z$4:$Z$141,"&gt;"&amp;Z100)+COUNTIFS($Z$4:Z100,Z100)-1)</x:f>
      </x:c>
      <x:c r="AG100" t="str">
        <x:f>IF(AA100="","",1+COUNTIF($AA$4:$AA$141,"&gt;"&amp;AA100)+COUNTIFS($AA$4:AA100,AA100)-1)</x:f>
      </x:c>
      <x:c r="AH100" t="str">
        <x:f>IF(AB100="","",1+COUNTIF($AB$4:$AB$141,"&gt;"&amp;AB100)+COUNTIFS($AB$4:AB100,AB100)-1)</x:f>
      </x:c>
      <x:c r="AI100" t="str">
        <x:f>IF(OR(O100=0,I100=""),"",1+COUNTIFS($O$4:$O$141,1,$I$4:$I$141,"&gt;"&amp;I100)+COUNTIFS($O$4:O100,1,$I$4:I100,I100)-1)</x:f>
      </x:c>
      <x:c r="AJ100" t="str">
        <x:f>IF(OR(O100=0,L100=""),"",1+COUNTIFS($O$4:$O$141,1,$L$4:$L$141,"&gt;"&amp;L100)+COUNTIFS($O$4:O100,1,$L$4:L100,L100)-1)</x:f>
      </x:c>
      <x:c r="AK100" t="str">
        <x:f>IF(OR(O100=0,J100="",J100=0),"",1+COUNTIFS($O$4:$O$141,1,$J$4:$J$141,"&lt;"&amp;J100,$J$4:$J$141,"&gt;0")+COUNTIFS($O$4:O100,1,$J$4:J100,J100)-1)</x:f>
      </x:c>
    </x:row>
    <x:row r="101" s="14" customFormat="1">
      <x:c r="A101" t="inlineStr">
        <x:is>
          <x:t xml:space="preserve">deepseek|deepseek-v4.1-flash|max|reasoning|fallback-na|aa-v4.3.2|snapshot-2026-10-12</x:t>
        </x:is>
      </x:c>
      <x:c r="B101" t="inlineStr">
        <x:is>
          <x:t xml:space="preserve">deepseek|deepseek-v4.1-flash|max|reasoning|fallback-na</x:t>
        </x:is>
      </x:c>
      <x:c r="C101" t="inlineStr">
        <x:is>
          <x:t xml:space="preserve">DeepSeek V4.1 Flash</x:t>
        </x:is>
      </x:c>
      <x:c r="D101" t="inlineStr">
        <x:is>
          <x:t xml:space="preserve">DeepSeek</x:t>
        </x:is>
      </x:c>
      <x:c r="E101" t="inlineStr">
        <x:is>
          <x:t xml:space="preserve">max</x:t>
        </x:is>
      </x:c>
      <x:c r="F101" t="inlineStr">
        <x:is>
          <x:t xml:space="preserve">AA|v4.3.2</x:t>
        </x:is>
      </x:c>
      <x:c r="G101" t="n">
        <x:v>39</x:v>
      </x:c>
      <x:c r="H101" t="n">
        <x:f>IFERROR(INDEX(Benchmark_Versions!$I:$I,MATCH(F101,Benchmark_Versions!$A:$A,0)),1)</x:f>
        <x:v>1</x:v>
      </x:c>
      <x:c r="I101" t="n">
        <x:f>IF(G101="","",G101*H101)</x:f>
        <x:v>39</x:v>
      </x:c>
      <x:c r="J101" s="69" t="n">
        <x:v>0.27</x:v>
      </x:c>
      <x:c r="L101" t="n">
        <x:v>217</x:v>
      </x:c>
      <x:c r="M101" t="inlineStr">
        <x:is>
          <x:t xml:space="preserve">ultra-cheap / fast reasoning</x:t>
        </x:is>
      </x:c>
      <x:c r="N101" t="inlineStr">
        <x:is>
          <x:t xml:space="preserve">yes</x:t>
        </x:is>
      </x:c>
      <x:c r="O101" t="n">
        <x:f>IF(F101&lt;&gt;Controls!$C$12,0,IF(AND(Controls!$C$10="Contender",M101&lt;&gt;"Contender"),0,IF(AND(Controls!$C$10="Contender+Close",NOT(OR(M101="Contender",M101="Close"))),0,IF(AND(Controls!$C$11="Current",NOT(OR(N101="yes",N101="limited"))),0,1))))</x:f>
        <x:v>0</x:v>
      </x:c>
      <x:c r="P101" t="n">
        <x:f>Controls!$C$7</x:f>
        <x:v>40</x:v>
      </x:c>
      <x:c r="Q101" t="n">
        <x:f>IF(I101="","",I101-(P101-1))</x:f>
        <x:v>0</x:v>
      </x:c>
      <x:c r="R101" t="str">
        <x:f>IF(OR(O101=0,Q101&lt;=0,J101="",J101=0),"",Q101/J101)</x:f>
      </x:c>
      <x:c r="S101" t="str">
        <x:f>IF(OR(O101=0,Q101&lt;=0,J101="",Q101=0),"",J101/Q101)</x:f>
      </x:c>
      <x:c r="T101" t="str">
        <x:f>IF(OR(O101=0,Q101&lt;=0,J101="",K101="",J101=0,K101=0),"",Q101/(J101*(K101/60)))</x:f>
      </x:c>
      <x:c r="U101" t="str">
        <x:f>IF(OR(O101=0,I101=""),"",I101/_xlfn.MAXIFS($I$4:$I$141,$O$4:$O$141,1))</x:f>
      </x:c>
      <x:c r="V101" t="str">
        <x:f>IF(OR(O101=0,L101=""),"",L101/_xlfn.MAXIFS($L$4:$L$141,$O$4:$O$141,1))</x:f>
      </x:c>
      <x:c r="W101" t="str">
        <x:f>IF(OR(O101=0,J101=""),"",_xlfn.MINIFS($J$4:$J$141,$O$4:$O$141,1,$J$4:$J$141,"&gt;0")/J101)</x:f>
      </x:c>
      <x:c r="X101" t="str">
        <x:f>IF(R101="","",R101/_xlfn.MAXIFS($R$4:$R$141,$O$4:$O$141,1))</x:f>
      </x:c>
      <x:c r="Y101" t="str">
        <x:f>IF(T101="","",T101/_xlfn.MAXIFS($T$4:$T$141,$O$4:$O$141,1))</x:f>
      </x:c>
      <x:c r="Z101" s="67" t="str">
        <x:f>IF(OR(X101="",Y101=""),"",SQRT(X101*Y101))</x:f>
      </x:c>
      <x:c r="AA101" s="67" t="str">
        <x:f>IF(OR(X101="",Y101=""),"",X101^Controls!$C$8*Y101^Controls!$C$9)</x:f>
      </x:c>
      <x:c r="AB101" s="67" t="str">
        <x:f>IF(OR(X101="",Y101=""),"",X101^Controls!$C$9*Y101^Controls!$C$8)</x:f>
      </x:c>
      <x:c r="AC101" t="str">
        <x:f>IF(OR(U101="",V101=""),"",SQRT(U101*V101))</x:f>
      </x:c>
      <x:c r="AD101" t="n">
        <x:f>IF(OR(I101="",J101="",J101=0),"",I101/J101)</x:f>
        <x:v>144.44444444444443</x:v>
      </x:c>
      <x:c r="AE101" t="str">
        <x:f>IF(OR(I101="",K101="",K101=0),"",I101/K101)</x:f>
      </x:c>
      <x:c r="AF101" t="str">
        <x:f>IF(Z101="","",1+COUNTIF($Z$4:$Z$141,"&gt;"&amp;Z101)+COUNTIFS($Z$4:Z101,Z101)-1)</x:f>
      </x:c>
      <x:c r="AG101" t="str">
        <x:f>IF(AA101="","",1+COUNTIF($AA$4:$AA$141,"&gt;"&amp;AA101)+COUNTIFS($AA$4:AA101,AA101)-1)</x:f>
      </x:c>
      <x:c r="AH101" t="str">
        <x:f>IF(AB101="","",1+COUNTIF($AB$4:$AB$141,"&gt;"&amp;AB101)+COUNTIFS($AB$4:AB101,AB101)-1)</x:f>
      </x:c>
      <x:c r="AI101" t="str">
        <x:f>IF(OR(O101=0,I101=""),"",1+COUNTIFS($O$4:$O$141,1,$I$4:$I$141,"&gt;"&amp;I101)+COUNTIFS($O$4:O101,1,$I$4:I101,I101)-1)</x:f>
      </x:c>
      <x:c r="AJ101" t="str">
        <x:f>IF(OR(O101=0,L101=""),"",1+COUNTIFS($O$4:$O$141,1,$L$4:$L$141,"&gt;"&amp;L101)+COUNTIFS($O$4:O101,1,$L$4:L101,L101)-1)</x:f>
      </x:c>
      <x:c r="AK101" t="str">
        <x:f>IF(OR(O101=0,J101="",J101=0),"",1+COUNTIFS($O$4:$O$141,1,$J$4:$J$141,"&lt;"&amp;J101,$J$4:$J$141,"&gt;0")+COUNTIFS($O$4:O101,1,$J$4:J101,J101)-1)</x:f>
      </x:c>
    </x:row>
    <x:row r="102" s="14" customFormat="1">
      <x:c r="A102" t="inlineStr">
        <x:is>
          <x:t xml:space="preserve">deepseek|deepseek-v4-pro-0813|non-reasoning|nonreasoning|fallback-na|aa-v4.3.2|snapshot-2026-10-12</x:t>
        </x:is>
      </x:c>
      <x:c r="B102" t="inlineStr">
        <x:is>
          <x:t xml:space="preserve">deepseek|deepseek-v4-pro-0813|non-reasoning|nonreasoning|fallback-na</x:t>
        </x:is>
      </x:c>
      <x:c r="C102" t="inlineStr">
        <x:is>
          <x:t xml:space="preserve">DeepSeek V4 Pro 0813</x:t>
        </x:is>
      </x:c>
      <x:c r="D102" t="inlineStr">
        <x:is>
          <x:t xml:space="preserve">DeepSeek</x:t>
        </x:is>
      </x:c>
      <x:c r="E102" t="inlineStr">
        <x:is>
          <x:t xml:space="preserve">non-reasoning</x:t>
        </x:is>
      </x:c>
      <x:c r="F102" t="inlineStr">
        <x:is>
          <x:t xml:space="preserve">AA|v4.3.2</x:t>
        </x:is>
      </x:c>
      <x:c r="G102" t="n">
        <x:v>20</x:v>
      </x:c>
      <x:c r="H102" t="n">
        <x:f>IFERROR(INDEX(Benchmark_Versions!$I:$I,MATCH(F102,Benchmark_Versions!$A:$A,0)),1)</x:f>
        <x:v>1</x:v>
      </x:c>
      <x:c r="I102" t="n">
        <x:f>IF(G102="","",G102*H102)</x:f>
        <x:v>20</x:v>
      </x:c>
      <x:c r="J102" s="69" t="n">
        <x:v>0.36</x:v>
      </x:c>
      <x:c r="L102" t="n">
        <x:v>85</x:v>
      </x:c>
      <x:c r="M102" t="inlineStr">
        <x:is>
          <x:t xml:space="preserve">Tracked</x:t>
        </x:is>
      </x:c>
      <x:c r="N102" t="inlineStr">
        <x:is>
          <x:t xml:space="preserve">yes</x:t>
        </x:is>
      </x:c>
      <x:c r="O102" t="n">
        <x:f>IF(F102&lt;&gt;Controls!$C$12,0,IF(AND(Controls!$C$10="Contender",M102&lt;&gt;"Contender"),0,IF(AND(Controls!$C$10="Contender+Close",NOT(OR(M102="Contender",M102="Close"))),0,IF(AND(Controls!$C$11="Current",NOT(OR(N102="yes",N102="limited"))),0,1))))</x:f>
        <x:v>0</x:v>
      </x:c>
      <x:c r="P102" t="n">
        <x:f>Controls!$C$7</x:f>
        <x:v>40</x:v>
      </x:c>
      <x:c r="Q102" t="n">
        <x:f>IF(I102="","",I102-(P102-1))</x:f>
        <x:v>-19</x:v>
      </x:c>
      <x:c r="R102" t="str">
        <x:f>IF(OR(O102=0,Q102&lt;=0,J102="",J102=0),"",Q102/J102)</x:f>
      </x:c>
      <x:c r="S102" t="str">
        <x:f>IF(OR(O102=0,Q102&lt;=0,J102="",Q102=0),"",J102/Q102)</x:f>
      </x:c>
      <x:c r="T102" t="str">
        <x:f>IF(OR(O102=0,Q102&lt;=0,J102="",K102="",J102=0,K102=0),"",Q102/(J102*(K102/60)))</x:f>
      </x:c>
      <x:c r="U102" t="str">
        <x:f>IF(OR(O102=0,I102=""),"",I102/_xlfn.MAXIFS($I$4:$I$141,$O$4:$O$141,1))</x:f>
      </x:c>
      <x:c r="V102" t="str">
        <x:f>IF(OR(O102=0,L102=""),"",L102/_xlfn.MAXIFS($L$4:$L$141,$O$4:$O$141,1))</x:f>
      </x:c>
      <x:c r="W102" t="str">
        <x:f>IF(OR(O102=0,J102=""),"",_xlfn.MINIFS($J$4:$J$141,$O$4:$O$141,1,$J$4:$J$141,"&gt;0")/J102)</x:f>
      </x:c>
      <x:c r="X102" t="str">
        <x:f>IF(R102="","",R102/_xlfn.MAXIFS($R$4:$R$141,$O$4:$O$141,1))</x:f>
      </x:c>
      <x:c r="Y102" t="str">
        <x:f>IF(T102="","",T102/_xlfn.MAXIFS($T$4:$T$141,$O$4:$O$141,1))</x:f>
      </x:c>
      <x:c r="Z102" s="67" t="str">
        <x:f>IF(OR(X102="",Y102=""),"",SQRT(X102*Y102))</x:f>
      </x:c>
      <x:c r="AA102" s="67" t="str">
        <x:f>IF(OR(X102="",Y102=""),"",X102^Controls!$C$8*Y102^Controls!$C$9)</x:f>
      </x:c>
      <x:c r="AB102" s="67" t="str">
        <x:f>IF(OR(X102="",Y102=""),"",X102^Controls!$C$9*Y102^Controls!$C$8)</x:f>
      </x:c>
      <x:c r="AC102" t="str">
        <x:f>IF(OR(U102="",V102=""),"",SQRT(U102*V102))</x:f>
      </x:c>
      <x:c r="AD102" t="n">
        <x:f>IF(OR(I102="",J102="",J102=0),"",I102/J102)</x:f>
        <x:v>55.55555555555556</x:v>
      </x:c>
      <x:c r="AE102" t="str">
        <x:f>IF(OR(I102="",K102="",K102=0),"",I102/K102)</x:f>
      </x:c>
      <x:c r="AF102" t="str">
        <x:f>IF(Z102="","",1+COUNTIF($Z$4:$Z$141,"&gt;"&amp;Z102)+COUNTIFS($Z$4:Z102,Z102)-1)</x:f>
      </x:c>
      <x:c r="AG102" t="str">
        <x:f>IF(AA102="","",1+COUNTIF($AA$4:$AA$141,"&gt;"&amp;AA102)+COUNTIFS($AA$4:AA102,AA102)-1)</x:f>
      </x:c>
      <x:c r="AH102" t="str">
        <x:f>IF(AB102="","",1+COUNTIF($AB$4:$AB$141,"&gt;"&amp;AB102)+COUNTIFS($AB$4:AB102,AB102)-1)</x:f>
      </x:c>
      <x:c r="AI102" t="str">
        <x:f>IF(OR(O102=0,I102=""),"",1+COUNTIFS($O$4:$O$141,1,$I$4:$I$141,"&gt;"&amp;I102)+COUNTIFS($O$4:O102,1,$I$4:I102,I102)-1)</x:f>
      </x:c>
      <x:c r="AJ102" t="str">
        <x:f>IF(OR(O102=0,L102=""),"",1+COUNTIFS($O$4:$O$141,1,$L$4:$L$141,"&gt;"&amp;L102)+COUNTIFS($O$4:O102,1,$L$4:L102,L102)-1)</x:f>
      </x:c>
      <x:c r="AK102" t="str">
        <x:f>IF(OR(O102=0,J102="",J102=0),"",1+COUNTIFS($O$4:$O$141,1,$J$4:$J$141,"&lt;"&amp;J102,$J$4:$J$141,"&gt;0")+COUNTIFS($O$4:O102,1,$J$4:J102,J102)-1)</x:f>
      </x:c>
    </x:row>
    <x:row r="103" s="14" customFormat="1">
      <x:c r="A103" t="inlineStr">
        <x:is>
          <x:t xml:space="preserve">deepseek|deepseek-v4-pro-0813|max|reasoning|fallback-na|aa-v4.3.2|snapshot-2026-10-12</x:t>
        </x:is>
      </x:c>
      <x:c r="B103" t="inlineStr">
        <x:is>
          <x:t xml:space="preserve">deepseek|deepseek-v4-pro-0813|max|reasoning|fallback-na</x:t>
        </x:is>
      </x:c>
      <x:c r="C103" t="inlineStr">
        <x:is>
          <x:t xml:space="preserve">DeepSeek V4 Pro 0813</x:t>
        </x:is>
      </x:c>
      <x:c r="D103" t="inlineStr">
        <x:is>
          <x:t xml:space="preserve">DeepSeek</x:t>
        </x:is>
      </x:c>
      <x:c r="E103" t="inlineStr">
        <x:is>
          <x:t xml:space="preserve">max</x:t>
        </x:is>
      </x:c>
      <x:c r="F103" t="inlineStr">
        <x:is>
          <x:t xml:space="preserve">AA|v4.3.2</x:t>
        </x:is>
      </x:c>
      <x:c r="G103" t="n">
        <x:v>36</x:v>
      </x:c>
      <x:c r="H103" t="n">
        <x:f>IFERROR(INDEX(Benchmark_Versions!$I:$I,MATCH(F103,Benchmark_Versions!$A:$A,0)),1)</x:f>
        <x:v>1</x:v>
      </x:c>
      <x:c r="I103" t="n">
        <x:f>IF(G103="","",G103*H103)</x:f>
        <x:v>36</x:v>
      </x:c>
      <x:c r="J103" s="69" t="n">
        <x:v>0.67</x:v>
      </x:c>
      <x:c r="L103" t="n">
        <x:v>93</x:v>
      </x:c>
      <x:c r="M103" t="inlineStr">
        <x:is>
          <x:t xml:space="preserve">Tracked</x:t>
        </x:is>
      </x:c>
      <x:c r="N103" t="inlineStr">
        <x:is>
          <x:t xml:space="preserve">yes</x:t>
        </x:is>
      </x:c>
      <x:c r="O103" t="n">
        <x:f>IF(F103&lt;&gt;Controls!$C$12,0,IF(AND(Controls!$C$10="Contender",M103&lt;&gt;"Contender"),0,IF(AND(Controls!$C$10="Contender+Close",NOT(OR(M103="Contender",M103="Close"))),0,IF(AND(Controls!$C$11="Current",NOT(OR(N103="yes",N103="limited"))),0,1))))</x:f>
        <x:v>0</x:v>
      </x:c>
      <x:c r="P103" t="n">
        <x:f>Controls!$C$7</x:f>
        <x:v>40</x:v>
      </x:c>
      <x:c r="Q103" t="n">
        <x:f>IF(I103="","",I103-(P103-1))</x:f>
        <x:v>-3</x:v>
      </x:c>
      <x:c r="R103" t="str">
        <x:f>IF(OR(O103=0,Q103&lt;=0,J103="",J103=0),"",Q103/J103)</x:f>
      </x:c>
      <x:c r="S103" t="str">
        <x:f>IF(OR(O103=0,Q103&lt;=0,J103="",Q103=0),"",J103/Q103)</x:f>
      </x:c>
      <x:c r="T103" t="str">
        <x:f>IF(OR(O103=0,Q103&lt;=0,J103="",K103="",J103=0,K103=0),"",Q103/(J103*(K103/60)))</x:f>
      </x:c>
      <x:c r="U103" t="str">
        <x:f>IF(OR(O103=0,I103=""),"",I103/_xlfn.MAXIFS($I$4:$I$141,$O$4:$O$141,1))</x:f>
      </x:c>
      <x:c r="V103" t="str">
        <x:f>IF(OR(O103=0,L103=""),"",L103/_xlfn.MAXIFS($L$4:$L$141,$O$4:$O$141,1))</x:f>
      </x:c>
      <x:c r="W103" t="str">
        <x:f>IF(OR(O103=0,J103=""),"",_xlfn.MINIFS($J$4:$J$141,$O$4:$O$141,1,$J$4:$J$141,"&gt;0")/J103)</x:f>
      </x:c>
      <x:c r="X103" t="str">
        <x:f>IF(R103="","",R103/_xlfn.MAXIFS($R$4:$R$141,$O$4:$O$141,1))</x:f>
      </x:c>
      <x:c r="Y103" t="str">
        <x:f>IF(T103="","",T103/_xlfn.MAXIFS($T$4:$T$141,$O$4:$O$141,1))</x:f>
      </x:c>
      <x:c r="Z103" s="67" t="str">
        <x:f>IF(OR(X103="",Y103=""),"",SQRT(X103*Y103))</x:f>
      </x:c>
      <x:c r="AA103" s="67" t="str">
        <x:f>IF(OR(X103="",Y103=""),"",X103^Controls!$C$8*Y103^Controls!$C$9)</x:f>
      </x:c>
      <x:c r="AB103" s="67" t="str">
        <x:f>IF(OR(X103="",Y103=""),"",X103^Controls!$C$9*Y103^Controls!$C$8)</x:f>
      </x:c>
      <x:c r="AC103" t="str">
        <x:f>IF(OR(U103="",V103=""),"",SQRT(U103*V103))</x:f>
      </x:c>
      <x:c r="AD103" t="n">
        <x:f>IF(OR(I103="",J103="",J103=0),"",I103/J103)</x:f>
        <x:v>53.731343283582085</x:v>
      </x:c>
      <x:c r="AE103" t="str">
        <x:f>IF(OR(I103="",K103="",K103=0),"",I103/K103)</x:f>
      </x:c>
      <x:c r="AF103" t="str">
        <x:f>IF(Z103="","",1+COUNTIF($Z$4:$Z$141,"&gt;"&amp;Z103)+COUNTIFS($Z$4:Z103,Z103)-1)</x:f>
      </x:c>
      <x:c r="AG103" t="str">
        <x:f>IF(AA103="","",1+COUNTIF($AA$4:$AA$141,"&gt;"&amp;AA103)+COUNTIFS($AA$4:AA103,AA103)-1)</x:f>
      </x:c>
      <x:c r="AH103" t="str">
        <x:f>IF(AB103="","",1+COUNTIF($AB$4:$AB$141,"&gt;"&amp;AB103)+COUNTIFS($AB$4:AB103,AB103)-1)</x:f>
      </x:c>
      <x:c r="AI103" t="str">
        <x:f>IF(OR(O103=0,I103=""),"",1+COUNTIFS($O$4:$O$141,1,$I$4:$I$141,"&gt;"&amp;I103)+COUNTIFS($O$4:O103,1,$I$4:I103,I103)-1)</x:f>
      </x:c>
      <x:c r="AJ103" t="str">
        <x:f>IF(OR(O103=0,L103=""),"",1+COUNTIFS($O$4:$O$141,1,$L$4:$L$141,"&gt;"&amp;L103)+COUNTIFS($O$4:O103,1,$L$4:L103,L103)-1)</x:f>
      </x:c>
      <x:c r="AK103" t="str">
        <x:f>IF(OR(O103=0,J103="",J103=0),"",1+COUNTIFS($O$4:$O$141,1,$J$4:$J$141,"&lt;"&amp;J103,$J$4:$J$141,"&gt;0")+COUNTIFS($O$4:O103,1,$J$4:J103,J103)-1)</x:f>
      </x:c>
    </x:row>
    <x:row r="104" s="14" customFormat="1">
      <x:c r="A104" t="inlineStr">
        <x:is>
          <x:t xml:space="preserve">z-ai|glm-5.3-flash|reasoning|reasoning|fallback-na|aa-v4.3.2|snapshot-2026-10-12</x:t>
        </x:is>
      </x:c>
      <x:c r="B104" t="inlineStr">
        <x:is>
          <x:t xml:space="preserve">z-ai|glm-5.3-flash|reasoning|reasoning|fallback-na</x:t>
        </x:is>
      </x:c>
      <x:c r="C104" t="inlineStr">
        <x:is>
          <x:t xml:space="preserve">GLM-5.3 Flash</x:t>
        </x:is>
      </x:c>
      <x:c r="D104" t="inlineStr">
        <x:is>
          <x:t xml:space="preserve">Z AI</x:t>
        </x:is>
      </x:c>
      <x:c r="E104" t="inlineStr">
        <x:is>
          <x:t xml:space="preserve">reasoning</x:t>
        </x:is>
      </x:c>
      <x:c r="F104" t="inlineStr">
        <x:is>
          <x:t xml:space="preserve">AA|v4.3.2</x:t>
        </x:is>
      </x:c>
      <x:c r="G104" t="n">
        <x:v>42</x:v>
      </x:c>
      <x:c r="H104" t="n">
        <x:f>IFERROR(INDEX(Benchmark_Versions!$I:$I,MATCH(F104,Benchmark_Versions!$A:$A,0)),1)</x:f>
        <x:v>1</x:v>
      </x:c>
      <x:c r="I104" t="n">
        <x:f>IF(G104="","",G104*H104)</x:f>
        <x:v>42</x:v>
      </x:c>
      <x:c r="J104" s="69" t="n">
        <x:v>0.25</x:v>
      </x:c>
      <x:c r="L104" t="n">
        <x:v>61</x:v>
      </x:c>
      <x:c r="M104" t="inlineStr">
        <x:is>
          <x:t xml:space="preserve">cheap / strong midtier / slower task</x:t>
        </x:is>
      </x:c>
      <x:c r="N104" t="inlineStr">
        <x:is>
          <x:t xml:space="preserve">yes</x:t>
        </x:is>
      </x:c>
      <x:c r="O104" t="n">
        <x:f>IF(F104&lt;&gt;Controls!$C$12,0,IF(AND(Controls!$C$10="Contender",M104&lt;&gt;"Contender"),0,IF(AND(Controls!$C$10="Contender+Close",NOT(OR(M104="Contender",M104="Close"))),0,IF(AND(Controls!$C$11="Current",NOT(OR(N104="yes",N104="limited"))),0,1))))</x:f>
        <x:v>0</x:v>
      </x:c>
      <x:c r="P104" t="n">
        <x:f>Controls!$C$7</x:f>
        <x:v>40</x:v>
      </x:c>
      <x:c r="Q104" t="n">
        <x:f>IF(I104="","",I104-(P104-1))</x:f>
        <x:v>3</x:v>
      </x:c>
      <x:c r="R104" t="str">
        <x:f>IF(OR(O104=0,Q104&lt;=0,J104="",J104=0),"",Q104/J104)</x:f>
      </x:c>
      <x:c r="S104" t="str">
        <x:f>IF(OR(O104=0,Q104&lt;=0,J104="",Q104=0),"",J104/Q104)</x:f>
      </x:c>
      <x:c r="T104" t="str">
        <x:f>IF(OR(O104=0,Q104&lt;=0,J104="",K104="",J104=0,K104=0),"",Q104/(J104*(K104/60)))</x:f>
      </x:c>
      <x:c r="U104" t="str">
        <x:f>IF(OR(O104=0,I104=""),"",I104/_xlfn.MAXIFS($I$4:$I$141,$O$4:$O$141,1))</x:f>
      </x:c>
      <x:c r="V104" t="str">
        <x:f>IF(OR(O104=0,L104=""),"",L104/_xlfn.MAXIFS($L$4:$L$141,$O$4:$O$141,1))</x:f>
      </x:c>
      <x:c r="W104" t="str">
        <x:f>IF(OR(O104=0,J104=""),"",_xlfn.MINIFS($J$4:$J$141,$O$4:$O$141,1,$J$4:$J$141,"&gt;0")/J104)</x:f>
      </x:c>
      <x:c r="X104" t="str">
        <x:f>IF(R104="","",R104/_xlfn.MAXIFS($R$4:$R$141,$O$4:$O$141,1))</x:f>
      </x:c>
      <x:c r="Y104" t="str">
        <x:f>IF(T104="","",T104/_xlfn.MAXIFS($T$4:$T$141,$O$4:$O$141,1))</x:f>
      </x:c>
      <x:c r="Z104" s="67" t="str">
        <x:f>IF(OR(X104="",Y104=""),"",SQRT(X104*Y104))</x:f>
      </x:c>
      <x:c r="AA104" s="67" t="str">
        <x:f>IF(OR(X104="",Y104=""),"",X104^Controls!$C$8*Y104^Controls!$C$9)</x:f>
      </x:c>
      <x:c r="AB104" s="67" t="str">
        <x:f>IF(OR(X104="",Y104=""),"",X104^Controls!$C$9*Y104^Controls!$C$8)</x:f>
      </x:c>
      <x:c r="AC104" t="str">
        <x:f>IF(OR(U104="",V104=""),"",SQRT(U104*V104))</x:f>
      </x:c>
      <x:c r="AD104" t="n">
        <x:f>IF(OR(I104="",J104="",J104=0),"",I104/J104)</x:f>
        <x:v>168</x:v>
      </x:c>
      <x:c r="AE104" t="str">
        <x:f>IF(OR(I104="",K104="",K104=0),"",I104/K104)</x:f>
      </x:c>
      <x:c r="AF104" t="str">
        <x:f>IF(Z104="","",1+COUNTIF($Z$4:$Z$141,"&gt;"&amp;Z104)+COUNTIFS($Z$4:Z104,Z104)-1)</x:f>
      </x:c>
      <x:c r="AG104" t="str">
        <x:f>IF(AA104="","",1+COUNTIF($AA$4:$AA$141,"&gt;"&amp;AA104)+COUNTIFS($AA$4:AA104,AA104)-1)</x:f>
      </x:c>
      <x:c r="AH104" t="str">
        <x:f>IF(AB104="","",1+COUNTIF($AB$4:$AB$141,"&gt;"&amp;AB104)+COUNTIFS($AB$4:AB104,AB104)-1)</x:f>
      </x:c>
      <x:c r="AI104" t="str">
        <x:f>IF(OR(O104=0,I104=""),"",1+COUNTIFS($O$4:$O$141,1,$I$4:$I$141,"&gt;"&amp;I104)+COUNTIFS($O$4:O104,1,$I$4:I104,I104)-1)</x:f>
      </x:c>
      <x:c r="AJ104" t="str">
        <x:f>IF(OR(O104=0,L104=""),"",1+COUNTIFS($O$4:$O$141,1,$L$4:$L$141,"&gt;"&amp;L104)+COUNTIFS($O$4:O104,1,$L$4:L104,L104)-1)</x:f>
      </x:c>
      <x:c r="AK104" t="str">
        <x:f>IF(OR(O104=0,J104="",J104=0),"",1+COUNTIFS($O$4:$O$141,1,$J$4:$J$141,"&lt;"&amp;J104,$J$4:$J$141,"&gt;0")+COUNTIFS($O$4:O104,1,$J$4:J104,J104)-1)</x:f>
      </x:c>
    </x:row>
    <x:row r="105" s="14" customFormat="1">
      <x:c r="A105" t="inlineStr">
        <x:is>
          <x:t xml:space="preserve">z-ai|glm-5.3|low|reasoning|fallback-na|aa-v4.3.2|snapshot-2026-10-12</x:t>
        </x:is>
      </x:c>
      <x:c r="B105" t="inlineStr">
        <x:is>
          <x:t xml:space="preserve">z-ai|glm-5.3|low|reasoning|fallback-na</x:t>
        </x:is>
      </x:c>
      <x:c r="C105" t="inlineStr">
        <x:is>
          <x:t xml:space="preserve">GLM-5.3</x:t>
        </x:is>
      </x:c>
      <x:c r="D105" t="inlineStr">
        <x:is>
          <x:t xml:space="preserve">Z AI</x:t>
        </x:is>
      </x:c>
      <x:c r="E105" t="inlineStr">
        <x:is>
          <x:t xml:space="preserve">low</x:t>
        </x:is>
      </x:c>
      <x:c r="F105" t="inlineStr">
        <x:is>
          <x:t xml:space="preserve">AA|v4.3.2</x:t>
        </x:is>
      </x:c>
      <x:c r="G105" t="n">
        <x:v>34</x:v>
      </x:c>
      <x:c r="H105" t="n">
        <x:f>IFERROR(INDEX(Benchmark_Versions!$I:$I,MATCH(F105,Benchmark_Versions!$A:$A,0)),1)</x:f>
        <x:v>1</x:v>
      </x:c>
      <x:c r="I105" t="n">
        <x:f>IF(G105="","",G105*H105)</x:f>
        <x:v>34</x:v>
      </x:c>
      <x:c r="J105" s="69" t="n">
        <x:v>0.85</x:v>
      </x:c>
      <x:c r="L105" t="n">
        <x:v>75</x:v>
      </x:c>
      <x:c r="M105" t="inlineStr">
        <x:is>
          <x:t xml:space="preserve">historical/replaced</x:t>
        </x:is>
      </x:c>
      <x:c r="N105" t="inlineStr">
        <x:is>
          <x:t xml:space="preserve">yes</x:t>
        </x:is>
      </x:c>
      <x:c r="O105" t="n">
        <x:f>IF(F105&lt;&gt;Controls!$C$12,0,IF(AND(Controls!$C$10="Contender",M105&lt;&gt;"Contender"),0,IF(AND(Controls!$C$10="Contender+Close",NOT(OR(M105="Contender",M105="Close"))),0,IF(AND(Controls!$C$11="Current",NOT(OR(N105="yes",N105="limited"))),0,1))))</x:f>
        <x:v>0</x:v>
      </x:c>
      <x:c r="P105" t="n">
        <x:f>Controls!$C$7</x:f>
        <x:v>40</x:v>
      </x:c>
      <x:c r="Q105" t="n">
        <x:f>IF(I105="","",I105-(P105-1))</x:f>
        <x:v>-5</x:v>
      </x:c>
      <x:c r="R105" t="str">
        <x:f>IF(OR(O105=0,Q105&lt;=0,J105="",J105=0),"",Q105/J105)</x:f>
      </x:c>
      <x:c r="S105" t="str">
        <x:f>IF(OR(O105=0,Q105&lt;=0,J105="",Q105=0),"",J105/Q105)</x:f>
      </x:c>
      <x:c r="T105" t="str">
        <x:f>IF(OR(O105=0,Q105&lt;=0,J105="",K105="",J105=0,K105=0),"",Q105/(J105*(K105/60)))</x:f>
      </x:c>
      <x:c r="U105" t="str">
        <x:f>IF(OR(O105=0,I105=""),"",I105/_xlfn.MAXIFS($I$4:$I$141,$O$4:$O$141,1))</x:f>
      </x:c>
      <x:c r="V105" t="str">
        <x:f>IF(OR(O105=0,L105=""),"",L105/_xlfn.MAXIFS($L$4:$L$141,$O$4:$O$141,1))</x:f>
      </x:c>
      <x:c r="W105" t="str">
        <x:f>IF(OR(O105=0,J105=""),"",_xlfn.MINIFS($J$4:$J$141,$O$4:$O$141,1,$J$4:$J$141,"&gt;0")/J105)</x:f>
      </x:c>
      <x:c r="X105" t="str">
        <x:f>IF(R105="","",R105/_xlfn.MAXIFS($R$4:$R$141,$O$4:$O$141,1))</x:f>
      </x:c>
      <x:c r="Y105" t="str">
        <x:f>IF(T105="","",T105/_xlfn.MAXIFS($T$4:$T$141,$O$4:$O$141,1))</x:f>
      </x:c>
      <x:c r="Z105" s="67" t="str">
        <x:f>IF(OR(X105="",Y105=""),"",SQRT(X105*Y105))</x:f>
      </x:c>
      <x:c r="AA105" s="67" t="str">
        <x:f>IF(OR(X105="",Y105=""),"",X105^Controls!$C$8*Y105^Controls!$C$9)</x:f>
      </x:c>
      <x:c r="AB105" s="67" t="str">
        <x:f>IF(OR(X105="",Y105=""),"",X105^Controls!$C$9*Y105^Controls!$C$8)</x:f>
      </x:c>
      <x:c r="AC105" t="str">
        <x:f>IF(OR(U105="",V105=""),"",SQRT(U105*V105))</x:f>
      </x:c>
      <x:c r="AD105" t="n">
        <x:f>IF(OR(I105="",J105="",J105=0),"",I105/J105)</x:f>
        <x:v>40</x:v>
      </x:c>
      <x:c r="AE105" t="str">
        <x:f>IF(OR(I105="",K105="",K105=0),"",I105/K105)</x:f>
      </x:c>
      <x:c r="AF105" t="str">
        <x:f>IF(Z105="","",1+COUNTIF($Z$4:$Z$141,"&gt;"&amp;Z105)+COUNTIFS($Z$4:Z105,Z105)-1)</x:f>
      </x:c>
      <x:c r="AG105" t="str">
        <x:f>IF(AA105="","",1+COUNTIF($AA$4:$AA$141,"&gt;"&amp;AA105)+COUNTIFS($AA$4:AA105,AA105)-1)</x:f>
      </x:c>
      <x:c r="AH105" t="str">
        <x:f>IF(AB105="","",1+COUNTIF($AB$4:$AB$141,"&gt;"&amp;AB105)+COUNTIFS($AB$4:AB105,AB105)-1)</x:f>
      </x:c>
      <x:c r="AI105" t="str">
        <x:f>IF(OR(O105=0,I105=""),"",1+COUNTIFS($O$4:$O$141,1,$I$4:$I$141,"&gt;"&amp;I105)+COUNTIFS($O$4:O105,1,$I$4:I105,I105)-1)</x:f>
      </x:c>
      <x:c r="AJ105" t="str">
        <x:f>IF(OR(O105=0,L105=""),"",1+COUNTIFS($O$4:$O$141,1,$L$4:$L$141,"&gt;"&amp;L105)+COUNTIFS($O$4:O105,1,$L$4:L105,L105)-1)</x:f>
      </x:c>
      <x:c r="AK105" t="str">
        <x:f>IF(OR(O105=0,J105="",J105=0),"",1+COUNTIFS($O$4:$O$141,1,$J$4:$J$141,"&lt;"&amp;J105,$J$4:$J$141,"&gt;0")+COUNTIFS($O$4:O105,1,$J$4:J105,J105)-1)</x:f>
      </x:c>
    </x:row>
    <x:row r="106" s="14" customFormat="1">
      <x:c r="A106" t="inlineStr">
        <x:is>
          <x:t xml:space="preserve">z-ai|glm-5.3|max|reasoning|fallback-na|aa-v4.3.2|snapshot-2026-10-12</x:t>
        </x:is>
      </x:c>
      <x:c r="B106" t="inlineStr">
        <x:is>
          <x:t xml:space="preserve">z-ai|glm-5.3|max|reasoning|fallback-na</x:t>
        </x:is>
      </x:c>
      <x:c r="C106" t="inlineStr">
        <x:is>
          <x:t xml:space="preserve">GLM-5.3</x:t>
        </x:is>
      </x:c>
      <x:c r="D106" t="inlineStr">
        <x:is>
          <x:t xml:space="preserve">Z AI</x:t>
        </x:is>
      </x:c>
      <x:c r="E106" t="inlineStr">
        <x:is>
          <x:t xml:space="preserve">max</x:t>
        </x:is>
      </x:c>
      <x:c r="F106" t="inlineStr">
        <x:is>
          <x:t xml:space="preserve">AA|v4.3.2</x:t>
        </x:is>
      </x:c>
      <x:c r="G106" t="n">
        <x:v>45</x:v>
      </x:c>
      <x:c r="H106" t="n">
        <x:f>IFERROR(INDEX(Benchmark_Versions!$I:$I,MATCH(F106,Benchmark_Versions!$A:$A,0)),1)</x:f>
        <x:v>1</x:v>
      </x:c>
      <x:c r="I106" t="n">
        <x:f>IF(G106="","",G106*H106)</x:f>
        <x:v>45</x:v>
      </x:c>
      <x:c r="J106" s="69" t="n">
        <x:v>2.01</x:v>
      </x:c>
      <x:c r="L106" t="n">
        <x:v>68</x:v>
      </x:c>
      <x:c r="M106" t="inlineStr">
        <x:is>
          <x:t xml:space="preserve">historical/replaced</x:t>
        </x:is>
      </x:c>
      <x:c r="N106" t="inlineStr">
        <x:is>
          <x:t xml:space="preserve">yes</x:t>
        </x:is>
      </x:c>
      <x:c r="O106" t="n">
        <x:f>IF(F106&lt;&gt;Controls!$C$12,0,IF(AND(Controls!$C$10="Contender",M106&lt;&gt;"Contender"),0,IF(AND(Controls!$C$10="Contender+Close",NOT(OR(M106="Contender",M106="Close"))),0,IF(AND(Controls!$C$11="Current",NOT(OR(N106="yes",N106="limited"))),0,1))))</x:f>
        <x:v>0</x:v>
      </x:c>
      <x:c r="P106" t="n">
        <x:f>Controls!$C$7</x:f>
        <x:v>40</x:v>
      </x:c>
      <x:c r="Q106" t="n">
        <x:f>IF(I106="","",I106-(P106-1))</x:f>
        <x:v>6</x:v>
      </x:c>
      <x:c r="R106" t="str">
        <x:f>IF(OR(O106=0,Q106&lt;=0,J106="",J106=0),"",Q106/J106)</x:f>
      </x:c>
      <x:c r="S106" t="str">
        <x:f>IF(OR(O106=0,Q106&lt;=0,J106="",Q106=0),"",J106/Q106)</x:f>
      </x:c>
      <x:c r="T106" t="str">
        <x:f>IF(OR(O106=0,Q106&lt;=0,J106="",K106="",J106=0,K106=0),"",Q106/(J106*(K106/60)))</x:f>
      </x:c>
      <x:c r="U106" t="str">
        <x:f>IF(OR(O106=0,I106=""),"",I106/_xlfn.MAXIFS($I$4:$I$141,$O$4:$O$141,1))</x:f>
      </x:c>
      <x:c r="V106" t="str">
        <x:f>IF(OR(O106=0,L106=""),"",L106/_xlfn.MAXIFS($L$4:$L$141,$O$4:$O$141,1))</x:f>
      </x:c>
      <x:c r="W106" t="str">
        <x:f>IF(OR(O106=0,J106=""),"",_xlfn.MINIFS($J$4:$J$141,$O$4:$O$141,1,$J$4:$J$141,"&gt;0")/J106)</x:f>
      </x:c>
      <x:c r="X106" t="str">
        <x:f>IF(R106="","",R106/_xlfn.MAXIFS($R$4:$R$141,$O$4:$O$141,1))</x:f>
      </x:c>
      <x:c r="Y106" t="str">
        <x:f>IF(T106="","",T106/_xlfn.MAXIFS($T$4:$T$141,$O$4:$O$141,1))</x:f>
      </x:c>
      <x:c r="Z106" s="67" t="str">
        <x:f>IF(OR(X106="",Y106=""),"",SQRT(X106*Y106))</x:f>
      </x:c>
      <x:c r="AA106" s="67" t="str">
        <x:f>IF(OR(X106="",Y106=""),"",X106^Controls!$C$8*Y106^Controls!$C$9)</x:f>
      </x:c>
      <x:c r="AB106" s="67" t="str">
        <x:f>IF(OR(X106="",Y106=""),"",X106^Controls!$C$9*Y106^Controls!$C$8)</x:f>
      </x:c>
      <x:c r="AC106" t="str">
        <x:f>IF(OR(U106="",V106=""),"",SQRT(U106*V106))</x:f>
      </x:c>
      <x:c r="AD106" t="n">
        <x:f>IF(OR(I106="",J106="",J106=0),"",I106/J106)</x:f>
        <x:v>22.38805970149254</x:v>
      </x:c>
      <x:c r="AE106" t="str">
        <x:f>IF(OR(I106="",K106="",K106=0),"",I106/K106)</x:f>
      </x:c>
      <x:c r="AF106" t="str">
        <x:f>IF(Z106="","",1+COUNTIF($Z$4:$Z$141,"&gt;"&amp;Z106)+COUNTIFS($Z$4:Z106,Z106)-1)</x:f>
      </x:c>
      <x:c r="AG106" t="str">
        <x:f>IF(AA106="","",1+COUNTIF($AA$4:$AA$141,"&gt;"&amp;AA106)+COUNTIFS($AA$4:AA106,AA106)-1)</x:f>
      </x:c>
      <x:c r="AH106" t="str">
        <x:f>IF(AB106="","",1+COUNTIF($AB$4:$AB$141,"&gt;"&amp;AB106)+COUNTIFS($AB$4:AB106,AB106)-1)</x:f>
      </x:c>
      <x:c r="AI106" t="str">
        <x:f>IF(OR(O106=0,I106=""),"",1+COUNTIFS($O$4:$O$141,1,$I$4:$I$141,"&gt;"&amp;I106)+COUNTIFS($O$4:O106,1,$I$4:I106,I106)-1)</x:f>
      </x:c>
      <x:c r="AJ106" t="str">
        <x:f>IF(OR(O106=0,L106=""),"",1+COUNTIFS($O$4:$O$141,1,$L$4:$L$141,"&gt;"&amp;L106)+COUNTIFS($O$4:O106,1,$L$4:L106,L106)-1)</x:f>
      </x:c>
      <x:c r="AK106" t="str">
        <x:f>IF(OR(O106=0,J106="",J106=0),"",1+COUNTIFS($O$4:$O$141,1,$J$4:$J$141,"&lt;"&amp;J106,$J$4:$J$141,"&gt;0")+COUNTIFS($O$4:O106,1,$J$4:J106,J106)-1)</x:f>
      </x:c>
    </x:row>
    <x:row r="107" s="14" customFormat="1">
      <x:c r="A107" t="inlineStr">
        <x:is>
          <x:t xml:space="preserve">xiaomi|mimo-v2-6-pro|reasoning|yes|fallback-na|aa-v4.3.2|snapshot-2026-10-12</x:t>
        </x:is>
      </x:c>
      <x:c r="B107" t="inlineStr">
        <x:is>
          <x:t xml:space="preserve">xiaomi|mimo-v2-6-pro|reasoning|yes|fallback-na</x:t>
        </x:is>
      </x:c>
      <x:c r="C107" t="inlineStr">
        <x:is>
          <x:t xml:space="preserve">MiMo-V2.6-Pro</x:t>
        </x:is>
      </x:c>
      <x:c r="D107" t="inlineStr">
        <x:is>
          <x:t xml:space="preserve">Xiaomi</x:t>
        </x:is>
      </x:c>
      <x:c r="E107" t="inlineStr">
        <x:is>
          <x:t xml:space="preserve">reasoning</x:t>
        </x:is>
      </x:c>
      <x:c r="F107" t="inlineStr">
        <x:is>
          <x:t xml:space="preserve">AA|v4.3.2</x:t>
        </x:is>
      </x:c>
      <x:c r="G107" t="n">
        <x:v>46</x:v>
      </x:c>
      <x:c r="H107" t="n">
        <x:f>IFERROR(INDEX(Benchmark_Versions!$I:$I,MATCH(F107,Benchmark_Versions!$A:$A,0)),1)</x:f>
        <x:v>1</x:v>
      </x:c>
      <x:c r="I107" t="n">
        <x:f>IF(G107="","",G107*H107)</x:f>
        <x:v>46</x:v>
      </x:c>
      <x:c r="J107" s="69" t="n">
        <x:v>0.13</x:v>
      </x:c>
      <x:c r="L107" t="n">
        <x:v>43</x:v>
      </x:c>
      <x:c r="M107" t="inlineStr">
        <x:is>
          <x:t xml:space="preserve">new release / awaiting source-backed assessment</x:t>
        </x:is>
      </x:c>
      <x:c r="N107" t="inlineStr">
        <x:is>
          <x:t xml:space="preserve">yes</x:t>
        </x:is>
      </x:c>
      <x:c r="O107" t="n">
        <x:f>IF(F107&lt;&gt;Controls!$C$12,0,IF(AND(Controls!$C$10="Contender",M107&lt;&gt;"Contender"),0,IF(AND(Controls!$C$10="Contender+Close",NOT(OR(M107="Contender",M107="Close"))),0,IF(AND(Controls!$C$11="Current",NOT(OR(N107="yes",N107="limited"))),0,1))))</x:f>
        <x:v>0</x:v>
      </x:c>
      <x:c r="P107" t="n">
        <x:f>Controls!$C$7</x:f>
        <x:v>40</x:v>
      </x:c>
      <x:c r="Q107" t="n">
        <x:f>IF(I107="","",I107-(P107-1))</x:f>
        <x:v>7</x:v>
      </x:c>
      <x:c r="R107" t="str">
        <x:f>IF(OR(O107=0,Q107&lt;=0,J107="",J107=0),"",Q107/J107)</x:f>
      </x:c>
      <x:c r="S107" t="str">
        <x:f>IF(OR(O107=0,Q107&lt;=0,J107="",Q107=0),"",J107/Q107)</x:f>
      </x:c>
      <x:c r="T107" t="str">
        <x:f>IF(OR(O107=0,Q107&lt;=0,J107="",K107="",J107=0,K107=0),"",Q107/(J107*(K107/60)))</x:f>
      </x:c>
      <x:c r="U107" t="str">
        <x:f>IF(OR(O107=0,I107=""),"",I107/_xlfn.MAXIFS($I$4:$I$141,$O$4:$O$141,1))</x:f>
      </x:c>
      <x:c r="V107" t="str">
        <x:f>IF(OR(O107=0,L107=""),"",L107/_xlfn.MAXIFS($L$4:$L$141,$O$4:$O$141,1))</x:f>
      </x:c>
      <x:c r="W107" t="str">
        <x:f>IF(OR(O107=0,J107=""),"",_xlfn.MINIFS($J$4:$J$141,$O$4:$O$141,1,$J$4:$J$141,"&gt;0")/J107)</x:f>
      </x:c>
      <x:c r="X107" t="str">
        <x:f>IF(R107="","",R107/_xlfn.MAXIFS($R$4:$R$141,$O$4:$O$141,1))</x:f>
      </x:c>
      <x:c r="Y107" t="str">
        <x:f>IF(T107="","",T107/_xlfn.MAXIFS($T$4:$T$141,$O$4:$O$141,1))</x:f>
      </x:c>
      <x:c r="Z107" s="67" t="str">
        <x:f>IF(OR(X107="",Y107=""),"",SQRT(X107*Y107))</x:f>
      </x:c>
      <x:c r="AA107" s="67" t="str">
        <x:f>IF(OR(X107="",Y107=""),"",X107^Controls!$C$8*Y107^Controls!$C$9)</x:f>
      </x:c>
      <x:c r="AB107" s="67" t="str">
        <x:f>IF(OR(X107="",Y107=""),"",X107^Controls!$C$9*Y107^Controls!$C$8)</x:f>
      </x:c>
      <x:c r="AC107" t="str">
        <x:f>IF(OR(U107="",V107=""),"",SQRT(U107*V107))</x:f>
      </x:c>
      <x:c r="AD107" t="n">
        <x:f>IF(OR(I107="",J107="",J107=0),"",I107/J107)</x:f>
        <x:v>353.8461538461538</x:v>
      </x:c>
      <x:c r="AE107" t="str">
        <x:f>IF(OR(I107="",K107="",K107=0),"",I107/K107)</x:f>
      </x:c>
      <x:c r="AF107" t="str">
        <x:f>IF(Z107="","",1+COUNTIF($Z$4:$Z$141,"&gt;"&amp;Z107)+COUNTIFS($Z$4:Z107,Z107)-1)</x:f>
      </x:c>
      <x:c r="AG107" t="str">
        <x:f>IF(AA107="","",1+COUNTIF($AA$4:$AA$141,"&gt;"&amp;AA107)+COUNTIFS($AA$4:AA107,AA107)-1)</x:f>
      </x:c>
      <x:c r="AH107" t="str">
        <x:f>IF(AB107="","",1+COUNTIF($AB$4:$AB$141,"&gt;"&amp;AB107)+COUNTIFS($AB$4:AB107,AB107)-1)</x:f>
      </x:c>
      <x:c r="AI107" t="str">
        <x:f>IF(OR(O107=0,I107=""),"",1+COUNTIFS($O$4:$O$141,1,$I$4:$I$141,"&gt;"&amp;I107)+COUNTIFS($O$4:O107,1,$I$4:I107,I107)-1)</x:f>
      </x:c>
      <x:c r="AJ107" t="str">
        <x:f>IF(OR(O107=0,L107=""),"",1+COUNTIFS($O$4:$O$141,1,$L$4:$L$141,"&gt;"&amp;L107)+COUNTIFS($O$4:O107,1,$L$4:L107,L107)-1)</x:f>
      </x:c>
      <x:c r="AK107" t="str">
        <x:f>IF(OR(O107=0,J107="",J107=0),"",1+COUNTIFS($O$4:$O$141,1,$J$4:$J$141,"&lt;"&amp;J107,$J$4:$J$141,"&gt;0")+COUNTIFS($O$4:O107,1,$J$4:J107,J107)-1)</x:f>
      </x:c>
    </x:row>
    <x:row r="108" s="14" customFormat="1">
      <x:c r="A108" t="inlineStr">
        <x:is>
          <x:t xml:space="preserve">xiaomi|mimo-v2.6-flash|reasoning|reasoning|fallback-na|aa-v4.3.2|snapshot-2026-10-12</x:t>
        </x:is>
      </x:c>
      <x:c r="B108" t="inlineStr">
        <x:is>
          <x:t xml:space="preserve">xiaomi|mimo-v2.6-flash|reasoning|reasoning|fallback-na</x:t>
        </x:is>
      </x:c>
      <x:c r="C108" t="inlineStr">
        <x:is>
          <x:t xml:space="preserve">MiMo-V2.6-Flash</x:t>
        </x:is>
      </x:c>
      <x:c r="D108" t="inlineStr">
        <x:is>
          <x:t xml:space="preserve">Xiaomi</x:t>
        </x:is>
      </x:c>
      <x:c r="E108" t="inlineStr">
        <x:is>
          <x:t xml:space="preserve">reasoning</x:t>
        </x:is>
      </x:c>
      <x:c r="F108" t="inlineStr">
        <x:is>
          <x:t xml:space="preserve">AA|v4.3.2</x:t>
        </x:is>
      </x:c>
      <x:c r="G108" t="n">
        <x:v>38</x:v>
      </x:c>
      <x:c r="H108" t="n">
        <x:f>IFERROR(INDEX(Benchmark_Versions!$I:$I,MATCH(F108,Benchmark_Versions!$A:$A,0)),1)</x:f>
        <x:v>1</x:v>
      </x:c>
      <x:c r="I108" t="n">
        <x:f>IF(G108="","",G108*H108)</x:f>
        <x:v>38</x:v>
      </x:c>
      <x:c r="J108" s="69" t="n">
        <x:v>0.06</x:v>
      </x:c>
      <x:c r="L108" t="n">
        <x:v>49</x:v>
      </x:c>
      <x:c r="M108" t="inlineStr">
        <x:is>
          <x:t xml:space="preserve">ultra-cheap / long-running reasoner</x:t>
        </x:is>
      </x:c>
      <x:c r="N108" t="inlineStr">
        <x:is>
          <x:t xml:space="preserve">yes</x:t>
        </x:is>
      </x:c>
      <x:c r="O108" t="n">
        <x:f>IF(F108&lt;&gt;Controls!$C$12,0,IF(AND(Controls!$C$10="Contender",M108&lt;&gt;"Contender"),0,IF(AND(Controls!$C$10="Contender+Close",NOT(OR(M108="Contender",M108="Close"))),0,IF(AND(Controls!$C$11="Current",NOT(OR(N108="yes",N108="limited"))),0,1))))</x:f>
        <x:v>0</x:v>
      </x:c>
      <x:c r="P108" t="n">
        <x:f>Controls!$C$7</x:f>
        <x:v>40</x:v>
      </x:c>
      <x:c r="Q108" t="n">
        <x:f>IF(I108="","",I108-(P108-1))</x:f>
        <x:v>-1</x:v>
      </x:c>
      <x:c r="R108" t="str">
        <x:f>IF(OR(O108=0,Q108&lt;=0,J108="",J108=0),"",Q108/J108)</x:f>
      </x:c>
      <x:c r="S108" t="str">
        <x:f>IF(OR(O108=0,Q108&lt;=0,J108="",Q108=0),"",J108/Q108)</x:f>
      </x:c>
      <x:c r="T108" t="str">
        <x:f>IF(OR(O108=0,Q108&lt;=0,J108="",K108="",J108=0,K108=0),"",Q108/(J108*(K108/60)))</x:f>
      </x:c>
      <x:c r="U108" t="str">
        <x:f>IF(OR(O108=0,I108=""),"",I108/_xlfn.MAXIFS($I$4:$I$141,$O$4:$O$141,1))</x:f>
      </x:c>
      <x:c r="V108" t="str">
        <x:f>IF(OR(O108=0,L108=""),"",L108/_xlfn.MAXIFS($L$4:$L$141,$O$4:$O$141,1))</x:f>
      </x:c>
      <x:c r="W108" t="str">
        <x:f>IF(OR(O108=0,J108=""),"",_xlfn.MINIFS($J$4:$J$141,$O$4:$O$141,1,$J$4:$J$141,"&gt;0")/J108)</x:f>
      </x:c>
      <x:c r="X108" t="str">
        <x:f>IF(R108="","",R108/_xlfn.MAXIFS($R$4:$R$141,$O$4:$O$141,1))</x:f>
      </x:c>
      <x:c r="Y108" t="str">
        <x:f>IF(T108="","",T108/_xlfn.MAXIFS($T$4:$T$141,$O$4:$O$141,1))</x:f>
      </x:c>
      <x:c r="Z108" s="67" t="str">
        <x:f>IF(OR(X108="",Y108=""),"",SQRT(X108*Y108))</x:f>
      </x:c>
      <x:c r="AA108" s="67" t="str">
        <x:f>IF(OR(X108="",Y108=""),"",X108^Controls!$C$8*Y108^Controls!$C$9)</x:f>
      </x:c>
      <x:c r="AB108" s="67" t="str">
        <x:f>IF(OR(X108="",Y108=""),"",X108^Controls!$C$9*Y108^Controls!$C$8)</x:f>
      </x:c>
      <x:c r="AC108" t="str">
        <x:f>IF(OR(U108="",V108=""),"",SQRT(U108*V108))</x:f>
      </x:c>
      <x:c r="AD108" t="n">
        <x:f>IF(OR(I108="",J108="",J108=0),"",I108/J108)</x:f>
        <x:v>633.3333333333334</x:v>
      </x:c>
      <x:c r="AE108" t="str">
        <x:f>IF(OR(I108="",K108="",K108=0),"",I108/K108)</x:f>
      </x:c>
      <x:c r="AF108" t="str">
        <x:f>IF(Z108="","",1+COUNTIF($Z$4:$Z$141,"&gt;"&amp;Z108)+COUNTIFS($Z$4:Z108,Z108)-1)</x:f>
      </x:c>
      <x:c r="AG108" t="str">
        <x:f>IF(AA108="","",1+COUNTIF($AA$4:$AA$141,"&gt;"&amp;AA108)+COUNTIFS($AA$4:AA108,AA108)-1)</x:f>
      </x:c>
      <x:c r="AH108" t="str">
        <x:f>IF(AB108="","",1+COUNTIF($AB$4:$AB$141,"&gt;"&amp;AB108)+COUNTIFS($AB$4:AB108,AB108)-1)</x:f>
      </x:c>
      <x:c r="AI108" t="str">
        <x:f>IF(OR(O108=0,I108=""),"",1+COUNTIFS($O$4:$O$141,1,$I$4:$I$141,"&gt;"&amp;I108)+COUNTIFS($O$4:O108,1,$I$4:I108,I108)-1)</x:f>
      </x:c>
      <x:c r="AJ108" t="str">
        <x:f>IF(OR(O108=0,L108=""),"",1+COUNTIFS($O$4:$O$141,1,$L$4:$L$141,"&gt;"&amp;L108)+COUNTIFS($O$4:O108,1,$L$4:L108,L108)-1)</x:f>
      </x:c>
      <x:c r="AK108" t="str">
        <x:f>IF(OR(O108=0,J108="",J108=0),"",1+COUNTIFS($O$4:$O$141,1,$J$4:$J$141,"&lt;"&amp;J108,$J$4:$J$141,"&gt;0")+COUNTIFS($O$4:O108,1,$J$4:J108,J108)-1)</x:f>
      </x:c>
    </x:row>
    <x:row r="109" s="14" customFormat="1">
      <x:c r="A109" t="inlineStr">
        <x:is>
          <x:t xml:space="preserve">meta|muse-wonder|max|reasoning|fallback-na|aa-v4.3.2|snapshot-2026-10-16</x:t>
        </x:is>
      </x:c>
      <x:c r="B109" t="inlineStr">
        <x:is>
          <x:t xml:space="preserve">meta|muse-wonder|max|reasoning|fallback-na</x:t>
        </x:is>
      </x:c>
      <x:c r="C109" t="inlineStr">
        <x:is>
          <x:t xml:space="preserve">Muse Wonder</x:t>
        </x:is>
      </x:c>
      <x:c r="D109" t="inlineStr">
        <x:is>
          <x:t xml:space="preserve">Meta</x:t>
        </x:is>
      </x:c>
      <x:c r="E109" t="inlineStr">
        <x:is>
          <x:t xml:space="preserve">max</x:t>
        </x:is>
      </x:c>
      <x:c r="F109" t="inlineStr">
        <x:is>
          <x:t xml:space="preserve">AA|v4.3.2</x:t>
        </x:is>
      </x:c>
      <x:c r="G109" t="n">
        <x:v>52</x:v>
      </x:c>
      <x:c r="H109" t="n">
        <x:f>IFERROR(INDEX(Benchmark_Versions!$I:$I,MATCH(F109,Benchmark_Versions!$A:$A,0)),1)</x:f>
        <x:v>1</x:v>
      </x:c>
      <x:c r="I109" t="n">
        <x:f>IF(G109="","",G109*H109)</x:f>
        <x:v>52</x:v>
      </x:c>
      <x:c r="J109" s="69" t="n">
        <x:v>4.52</x:v>
      </x:c>
      <x:c r="L109" t="n">
        <x:v>183.9</x:v>
      </x:c>
      <x:c r="M109" t="inlineStr">
        <x:is>
          <x:t xml:space="preserve">Tracked</x:t>
        </x:is>
      </x:c>
      <x:c r="N109" t="inlineStr">
        <x:is>
          <x:t xml:space="preserve">yes</x:t>
        </x:is>
      </x:c>
      <x:c r="O109" t="n">
        <x:f>IF(F109&lt;&gt;Controls!$C$12,0,IF(AND(Controls!$C$10="Contender",M109&lt;&gt;"Contender"),0,IF(AND(Controls!$C$10="Contender+Close",NOT(OR(M109="Contender",M109="Close"))),0,IF(AND(Controls!$C$11="Current",NOT(OR(N109="yes",N109="limited"))),0,1))))</x:f>
        <x:v>0</x:v>
      </x:c>
      <x:c r="P109" t="n">
        <x:f>Controls!$C$7</x:f>
        <x:v>40</x:v>
      </x:c>
      <x:c r="Q109" t="n">
        <x:f>IF(I109="","",I109-(P109-1))</x:f>
        <x:v>13</x:v>
      </x:c>
      <x:c r="R109" t="str">
        <x:f>IF(OR(O109=0,Q109&lt;=0,J109="",J109=0),"",Q109/J109)</x:f>
      </x:c>
      <x:c r="S109" t="str">
        <x:f>IF(OR(O109=0,Q109&lt;=0,J109="",Q109=0),"",J109/Q109)</x:f>
      </x:c>
      <x:c r="T109" t="str">
        <x:f>IF(OR(O109=0,Q109&lt;=0,J109="",K109="",J109=0,K109=0),"",Q109/(J109*(K109/60)))</x:f>
      </x:c>
      <x:c r="U109" t="str">
        <x:f>IF(OR(O109=0,I109=""),"",I109/_xlfn.MAXIFS($I$4:$I$141,$O$4:$O$141,1))</x:f>
      </x:c>
      <x:c r="V109" t="str">
        <x:f>IF(OR(O109=0,L109=""),"",L109/_xlfn.MAXIFS($L$4:$L$141,$O$4:$O$141,1))</x:f>
      </x:c>
      <x:c r="W109" t="str">
        <x:f>IF(OR(O109=0,J109=""),"",_xlfn.MINIFS($J$4:$J$141,$O$4:$O$141,1,$J$4:$J$141,"&gt;0")/J109)</x:f>
      </x:c>
      <x:c r="X109" t="str">
        <x:f>IF(R109="","",R109/_xlfn.MAXIFS($R$4:$R$141,$O$4:$O$141,1))</x:f>
      </x:c>
      <x:c r="Y109" t="str">
        <x:f>IF(T109="","",T109/_xlfn.MAXIFS($T$4:$T$141,$O$4:$O$141,1))</x:f>
      </x:c>
      <x:c r="Z109" s="67" t="str">
        <x:f>IF(OR(X109="",Y109=""),"",SQRT(X109*Y109))</x:f>
      </x:c>
      <x:c r="AA109" s="67" t="str">
        <x:f>IF(OR(X109="",Y109=""),"",X109^Controls!$C$8*Y109^Controls!$C$9)</x:f>
      </x:c>
      <x:c r="AB109" s="67" t="str">
        <x:f>IF(OR(X109="",Y109=""),"",X109^Controls!$C$9*Y109^Controls!$C$8)</x:f>
      </x:c>
      <x:c r="AC109" t="str">
        <x:f>IF(OR(U109="",V109=""),"",SQRT(U109*V109))</x:f>
      </x:c>
      <x:c r="AD109" t="n">
        <x:f>IF(OR(I109="",J109="",J109=0),"",I109/J109)</x:f>
        <x:v>11.504424778761063</x:v>
      </x:c>
      <x:c r="AE109" t="str">
        <x:f>IF(OR(I109="",K109="",K109=0),"",I109/K109)</x:f>
      </x:c>
      <x:c r="AF109" t="str">
        <x:f>IF(Z109="","",1+COUNTIF($Z$4:$Z$141,"&gt;"&amp;Z109)+COUNTIFS($Z$4:Z109,Z109)-1)</x:f>
      </x:c>
      <x:c r="AG109" t="str">
        <x:f>IF(AA109="","",1+COUNTIF($AA$4:$AA$141,"&gt;"&amp;AA109)+COUNTIFS($AA$4:AA109,AA109)-1)</x:f>
      </x:c>
      <x:c r="AH109" t="str">
        <x:f>IF(AB109="","",1+COUNTIF($AB$4:$AB$141,"&gt;"&amp;AB109)+COUNTIFS($AB$4:AB109,AB109)-1)</x:f>
      </x:c>
      <x:c r="AI109" t="str">
        <x:f>IF(OR(O109=0,I109=""),"",1+COUNTIFS($O$4:$O$141,1,$I$4:$I$141,"&gt;"&amp;I109)+COUNTIFS($O$4:O109,1,$I$4:I109,I109)-1)</x:f>
      </x:c>
      <x:c r="AJ109" t="str">
        <x:f>IF(OR(O109=0,L109=""),"",1+COUNTIFS($O$4:$O$141,1,$L$4:$L$141,"&gt;"&amp;L109)+COUNTIFS($O$4:O109,1,$L$4:L109,L109)-1)</x:f>
      </x:c>
      <x:c r="AK109" t="str">
        <x:f>IF(OR(O109=0,J109="",J109=0),"",1+COUNTIFS($O$4:$O$141,1,$J$4:$J$141,"&lt;"&amp;J109,$J$4:$J$141,"&gt;0")+COUNTIFS($O$4:O109,1,$J$4:J109,J109)-1)</x:f>
      </x:c>
    </x:row>
    <x:row r="110" s="14" customFormat="1">
      <x:c r="A110" t="inlineStr">
        <x:is>
          <x:t xml:space="preserve">openai|gpt-6-1-sol|xhigh|yes|fallback-na|aa-v4.3.2|snapshot-2026-10-16</x:t>
        </x:is>
      </x:c>
      <x:c r="B110" t="inlineStr">
        <x:is>
          <x:t xml:space="preserve">openai|gpt-6-1-sol|xhigh|yes|fallback-na</x:t>
        </x:is>
      </x:c>
      <x:c r="C110" t="inlineStr">
        <x:is>
          <x:t xml:space="preserve">GPT-6.1 Sol</x:t>
        </x:is>
      </x:c>
      <x:c r="D110" t="inlineStr">
        <x:is>
          <x:t xml:space="preserve">OpenAI</x:t>
        </x:is>
      </x:c>
      <x:c r="E110" t="inlineStr">
        <x:is>
          <x:t xml:space="preserve">xhigh</x:t>
        </x:is>
      </x:c>
      <x:c r="F110" t="inlineStr">
        <x:is>
          <x:t xml:space="preserve">AA|v4.3.2</x:t>
        </x:is>
      </x:c>
      <x:c r="G110" t="n">
        <x:v>51</x:v>
      </x:c>
      <x:c r="H110" t="n">
        <x:f>IFERROR(INDEX(Benchmark_Versions!$I:$I,MATCH(F110,Benchmark_Versions!$A:$A,0)),1)</x:f>
        <x:v>1</x:v>
      </x:c>
      <x:c r="I110" t="n">
        <x:f>IF(G110="","",G110*H110)</x:f>
        <x:v>51</x:v>
      </x:c>
      <x:c r="J110" s="69" t="n">
        <x:v>0.39</x:v>
      </x:c>
      <x:c r="L110" t="n">
        <x:v>56.7</x:v>
      </x:c>
      <x:c r="M110" t="inlineStr">
        <x:is>
          <x:t xml:space="preserve">new release / awaiting source-backed assessment</x:t>
        </x:is>
      </x:c>
      <x:c r="N110" t="inlineStr">
        <x:is>
          <x:t xml:space="preserve">yes</x:t>
        </x:is>
      </x:c>
      <x:c r="O110" t="n">
        <x:f>IF(F110&lt;&gt;Controls!$C$12,0,IF(AND(Controls!$C$10="Contender",M110&lt;&gt;"Contender"),0,IF(AND(Controls!$C$10="Contender+Close",NOT(OR(M110="Contender",M110="Close"))),0,IF(AND(Controls!$C$11="Current",NOT(OR(N110="yes",N110="limited"))),0,1))))</x:f>
        <x:v>0</x:v>
      </x:c>
      <x:c r="P110" t="n">
        <x:f>Controls!$C$7</x:f>
        <x:v>40</x:v>
      </x:c>
      <x:c r="Q110" t="n">
        <x:f>IF(I110="","",I110-(P110-1))</x:f>
        <x:v>12</x:v>
      </x:c>
      <x:c r="R110" t="str">
        <x:f>IF(OR(O110=0,Q110&lt;=0,J110="",J110=0),"",Q110/J110)</x:f>
      </x:c>
      <x:c r="S110" t="str">
        <x:f>IF(OR(O110=0,Q110&lt;=0,J110="",Q110=0),"",J110/Q110)</x:f>
      </x:c>
      <x:c r="T110" t="str">
        <x:f>IF(OR(O110=0,Q110&lt;=0,J110="",K110="",J110=0,K110=0),"",Q110/(J110*(K110/60)))</x:f>
      </x:c>
      <x:c r="U110" t="str">
        <x:f>IF(OR(O110=0,I110=""),"",I110/_xlfn.MAXIFS($I$4:$I$141,$O$4:$O$141,1))</x:f>
      </x:c>
      <x:c r="V110" t="str">
        <x:f>IF(OR(O110=0,L110=""),"",L110/_xlfn.MAXIFS($L$4:$L$141,$O$4:$O$141,1))</x:f>
      </x:c>
      <x:c r="W110" t="str">
        <x:f>IF(OR(O110=0,J110=""),"",_xlfn.MINIFS($J$4:$J$141,$O$4:$O$141,1,$J$4:$J$141,"&gt;0")/J110)</x:f>
      </x:c>
      <x:c r="X110" t="str">
        <x:f>IF(R110="","",R110/_xlfn.MAXIFS($R$4:$R$141,$O$4:$O$141,1))</x:f>
      </x:c>
      <x:c r="Y110" t="str">
        <x:f>IF(T110="","",T110/_xlfn.MAXIFS($T$4:$T$141,$O$4:$O$141,1))</x:f>
      </x:c>
      <x:c r="Z110" s="67" t="str">
        <x:f>IF(OR(X110="",Y110=""),"",SQRT(X110*Y110))</x:f>
      </x:c>
      <x:c r="AA110" s="67" t="str">
        <x:f>IF(OR(X110="",Y110=""),"",X110^Controls!$C$8*Y110^Controls!$C$9)</x:f>
      </x:c>
      <x:c r="AB110" s="67" t="str">
        <x:f>IF(OR(X110="",Y110=""),"",X110^Controls!$C$9*Y110^Controls!$C$8)</x:f>
      </x:c>
      <x:c r="AC110" t="str">
        <x:f>IF(OR(U110="",V110=""),"",SQRT(U110*V110))</x:f>
      </x:c>
      <x:c r="AD110" t="n">
        <x:f>IF(OR(I110="",J110="",J110=0),"",I110/J110)</x:f>
        <x:v>130.76923076923077</x:v>
      </x:c>
      <x:c r="AE110" t="str">
        <x:f>IF(OR(I110="",K110="",K110=0),"",I110/K110)</x:f>
      </x:c>
      <x:c r="AF110" t="str">
        <x:f>IF(Z110="","",1+COUNTIF($Z$4:$Z$141,"&gt;"&amp;Z110)+COUNTIFS($Z$4:Z110,Z110)-1)</x:f>
      </x:c>
      <x:c r="AG110" t="str">
        <x:f>IF(AA110="","",1+COUNTIF($AA$4:$AA$141,"&gt;"&amp;AA110)+COUNTIFS($AA$4:AA110,AA110)-1)</x:f>
      </x:c>
      <x:c r="AH110" t="str">
        <x:f>IF(AB110="","",1+COUNTIF($AB$4:$AB$141,"&gt;"&amp;AB110)+COUNTIFS($AB$4:AB110,AB110)-1)</x:f>
      </x:c>
      <x:c r="AI110" t="str">
        <x:f>IF(OR(O110=0,I110=""),"",1+COUNTIFS($O$4:$O$141,1,$I$4:$I$141,"&gt;"&amp;I110)+COUNTIFS($O$4:O110,1,$I$4:I110,I110)-1)</x:f>
      </x:c>
      <x:c r="AJ110" t="str">
        <x:f>IF(OR(O110=0,L110=""),"",1+COUNTIFS($O$4:$O$141,1,$L$4:$L$141,"&gt;"&amp;L110)+COUNTIFS($O$4:O110,1,$L$4:L110,L110)-1)</x:f>
      </x:c>
      <x:c r="AK110" t="str">
        <x:f>IF(OR(O110=0,J110="",J110=0),"",1+COUNTIFS($O$4:$O$141,1,$J$4:$J$141,"&lt;"&amp;J110,$J$4:$J$141,"&gt;0")+COUNTIFS($O$4:O110,1,$J$4:J110,J110)-1)</x:f>
      </x:c>
    </x:row>
    <x:row r="111" s="14" customFormat="1">
      <x:c r="A111" t="inlineStr">
        <x:is>
          <x:t xml:space="preserve">openai|gpt-6-1-sol|high|yes|fallback-na|aa-v4.3.2|snapshot-2026-10-16</x:t>
        </x:is>
      </x:c>
      <x:c r="B111" t="inlineStr">
        <x:is>
          <x:t xml:space="preserve">openai|gpt-6-1-sol|high|yes|fallback-na</x:t>
        </x:is>
      </x:c>
      <x:c r="C111" t="inlineStr">
        <x:is>
          <x:t xml:space="preserve">GPT-6.1 Sol</x:t>
        </x:is>
      </x:c>
      <x:c r="D111" t="inlineStr">
        <x:is>
          <x:t xml:space="preserve">OpenAI</x:t>
        </x:is>
      </x:c>
      <x:c r="E111" t="inlineStr">
        <x:is>
          <x:t xml:space="preserve">high</x:t>
        </x:is>
      </x:c>
      <x:c r="F111" t="inlineStr">
        <x:is>
          <x:t xml:space="preserve">AA|v4.3.2</x:t>
        </x:is>
      </x:c>
      <x:c r="G111" t="n">
        <x:v>50</x:v>
      </x:c>
      <x:c r="H111" t="n">
        <x:f>IFERROR(INDEX(Benchmark_Versions!$I:$I,MATCH(F111,Benchmark_Versions!$A:$A,0)),1)</x:f>
        <x:v>1</x:v>
      </x:c>
      <x:c r="I111" t="n">
        <x:f>IF(G111="","",G111*H111)</x:f>
        <x:v>50</x:v>
      </x:c>
      <x:c r="J111" s="69" t="n">
        <x:v>0.32</x:v>
      </x:c>
      <x:c r="L111" t="n">
        <x:v>58.2</x:v>
      </x:c>
      <x:c r="M111" t="inlineStr">
        <x:is>
          <x:t xml:space="preserve">new release / awaiting source-backed assessment</x:t>
        </x:is>
      </x:c>
      <x:c r="N111" t="inlineStr">
        <x:is>
          <x:t xml:space="preserve">yes</x:t>
        </x:is>
      </x:c>
      <x:c r="O111" t="n">
        <x:f>IF(F111&lt;&gt;Controls!$C$12,0,IF(AND(Controls!$C$10="Contender",M111&lt;&gt;"Contender"),0,IF(AND(Controls!$C$10="Contender+Close",NOT(OR(M111="Contender",M111="Close"))),0,IF(AND(Controls!$C$11="Current",NOT(OR(N111="yes",N111="limited"))),0,1))))</x:f>
        <x:v>0</x:v>
      </x:c>
      <x:c r="P111" t="n">
        <x:f>Controls!$C$7</x:f>
        <x:v>40</x:v>
      </x:c>
      <x:c r="Q111" t="n">
        <x:f>IF(I111="","",I111-(P111-1))</x:f>
        <x:v>11</x:v>
      </x:c>
      <x:c r="R111" t="str">
        <x:f>IF(OR(O111=0,Q111&lt;=0,J111="",J111=0),"",Q111/J111)</x:f>
      </x:c>
      <x:c r="S111" t="str">
        <x:f>IF(OR(O111=0,Q111&lt;=0,J111="",Q111=0),"",J111/Q111)</x:f>
      </x:c>
      <x:c r="T111" t="str">
        <x:f>IF(OR(O111=0,Q111&lt;=0,J111="",K111="",J111=0,K111=0),"",Q111/(J111*(K111/60)))</x:f>
      </x:c>
      <x:c r="U111" t="str">
        <x:f>IF(OR(O111=0,I111=""),"",I111/_xlfn.MAXIFS($I$4:$I$141,$O$4:$O$141,1))</x:f>
      </x:c>
      <x:c r="V111" t="str">
        <x:f>IF(OR(O111=0,L111=""),"",L111/_xlfn.MAXIFS($L$4:$L$141,$O$4:$O$141,1))</x:f>
      </x:c>
      <x:c r="W111" t="str">
        <x:f>IF(OR(O111=0,J111=""),"",_xlfn.MINIFS($J$4:$J$141,$O$4:$O$141,1,$J$4:$J$141,"&gt;0")/J111)</x:f>
      </x:c>
      <x:c r="X111" t="str">
        <x:f>IF(R111="","",R111/_xlfn.MAXIFS($R$4:$R$141,$O$4:$O$141,1))</x:f>
      </x:c>
      <x:c r="Y111" t="str">
        <x:f>IF(T111="","",T111/_xlfn.MAXIFS($T$4:$T$141,$O$4:$O$141,1))</x:f>
      </x:c>
      <x:c r="Z111" s="67" t="str">
        <x:f>IF(OR(X111="",Y111=""),"",SQRT(X111*Y111))</x:f>
      </x:c>
      <x:c r="AA111" s="67" t="str">
        <x:f>IF(OR(X111="",Y111=""),"",X111^Controls!$C$8*Y111^Controls!$C$9)</x:f>
      </x:c>
      <x:c r="AB111" s="67" t="str">
        <x:f>IF(OR(X111="",Y111=""),"",X111^Controls!$C$9*Y111^Controls!$C$8)</x:f>
      </x:c>
      <x:c r="AC111" t="str">
        <x:f>IF(OR(U111="",V111=""),"",SQRT(U111*V111))</x:f>
      </x:c>
      <x:c r="AD111" t="n">
        <x:f>IF(OR(I111="",J111="",J111=0),"",I111/J111)</x:f>
        <x:v>156.25</x:v>
      </x:c>
      <x:c r="AE111" t="str">
        <x:f>IF(OR(I111="",K111="",K111=0),"",I111/K111)</x:f>
      </x:c>
      <x:c r="AF111" t="str">
        <x:f>IF(Z111="","",1+COUNTIF($Z$4:$Z$141,"&gt;"&amp;Z111)+COUNTIFS($Z$4:Z111,Z111)-1)</x:f>
      </x:c>
      <x:c r="AG111" t="str">
        <x:f>IF(AA111="","",1+COUNTIF($AA$4:$AA$141,"&gt;"&amp;AA111)+COUNTIFS($AA$4:AA111,AA111)-1)</x:f>
      </x:c>
      <x:c r="AH111" t="str">
        <x:f>IF(AB111="","",1+COUNTIF($AB$4:$AB$141,"&gt;"&amp;AB111)+COUNTIFS($AB$4:AB111,AB111)-1)</x:f>
      </x:c>
      <x:c r="AI111" t="str">
        <x:f>IF(OR(O111=0,I111=""),"",1+COUNTIFS($O$4:$O$141,1,$I$4:$I$141,"&gt;"&amp;I111)+COUNTIFS($O$4:O111,1,$I$4:I111,I111)-1)</x:f>
      </x:c>
      <x:c r="AJ111" t="str">
        <x:f>IF(OR(O111=0,L111=""),"",1+COUNTIFS($O$4:$O$141,1,$L$4:$L$141,"&gt;"&amp;L111)+COUNTIFS($O$4:O111,1,$L$4:L111,L111)-1)</x:f>
      </x:c>
      <x:c r="AK111" t="str">
        <x:f>IF(OR(O111=0,J111="",J111=0),"",1+COUNTIFS($O$4:$O$141,1,$J$4:$J$141,"&lt;"&amp;J111,$J$4:$J$141,"&gt;0")+COUNTIFS($O$4:O111,1,$J$4:J111,J111)-1)</x:f>
      </x:c>
    </x:row>
    <x:row r="112" s="14" customFormat="1">
      <x:c r="A112" t="inlineStr">
        <x:is>
          <x:t xml:space="preserve">openai|gpt-6-1-sol|medium|yes|fallback-na|aa-v4.3.2|snapshot-2026-10-16</x:t>
        </x:is>
      </x:c>
      <x:c r="B112" t="inlineStr">
        <x:is>
          <x:t xml:space="preserve">openai|gpt-6-1-sol|medium|yes|fallback-na</x:t>
        </x:is>
      </x:c>
      <x:c r="C112" t="inlineStr">
        <x:is>
          <x:t xml:space="preserve">GPT-6.1 Sol</x:t>
        </x:is>
      </x:c>
      <x:c r="D112" t="inlineStr">
        <x:is>
          <x:t xml:space="preserve">OpenAI</x:t>
        </x:is>
      </x:c>
      <x:c r="E112" t="inlineStr">
        <x:is>
          <x:t xml:space="preserve">medium</x:t>
        </x:is>
      </x:c>
      <x:c r="F112" t="inlineStr">
        <x:is>
          <x:t xml:space="preserve">AA|v4.3.2</x:t>
        </x:is>
      </x:c>
      <x:c r="G112" t="n">
        <x:v>48</x:v>
      </x:c>
      <x:c r="H112" t="n">
        <x:f>IFERROR(INDEX(Benchmark_Versions!$I:$I,MATCH(F112,Benchmark_Versions!$A:$A,0)),1)</x:f>
        <x:v>1</x:v>
      </x:c>
      <x:c r="I112" t="n">
        <x:f>IF(G112="","",G112*H112)</x:f>
        <x:v>48</x:v>
      </x:c>
      <x:c r="J112" s="69" t="n">
        <x:v>0.21</x:v>
      </x:c>
      <x:c r="L112" t="n">
        <x:v>50.7</x:v>
      </x:c>
      <x:c r="M112" t="inlineStr">
        <x:is>
          <x:t xml:space="preserve">new release / awaiting source-backed assessment</x:t>
        </x:is>
      </x:c>
      <x:c r="N112" t="inlineStr">
        <x:is>
          <x:t xml:space="preserve">yes</x:t>
        </x:is>
      </x:c>
      <x:c r="O112" t="n">
        <x:f>IF(F112&lt;&gt;Controls!$C$12,0,IF(AND(Controls!$C$10="Contender",M112&lt;&gt;"Contender"),0,IF(AND(Controls!$C$10="Contender+Close",NOT(OR(M112="Contender",M112="Close"))),0,IF(AND(Controls!$C$11="Current",NOT(OR(N112="yes",N112="limited"))),0,1))))</x:f>
        <x:v>0</x:v>
      </x:c>
      <x:c r="P112" t="n">
        <x:f>Controls!$C$7</x:f>
        <x:v>40</x:v>
      </x:c>
      <x:c r="Q112" t="n">
        <x:f>IF(I112="","",I112-(P112-1))</x:f>
        <x:v>9</x:v>
      </x:c>
      <x:c r="R112" t="str">
        <x:f>IF(OR(O112=0,Q112&lt;=0,J112="",J112=0),"",Q112/J112)</x:f>
      </x:c>
      <x:c r="S112" t="str">
        <x:f>IF(OR(O112=0,Q112&lt;=0,J112="",Q112=0),"",J112/Q112)</x:f>
      </x:c>
      <x:c r="T112" t="str">
        <x:f>IF(OR(O112=0,Q112&lt;=0,J112="",K112="",J112=0,K112=0),"",Q112/(J112*(K112/60)))</x:f>
      </x:c>
      <x:c r="U112" t="str">
        <x:f>IF(OR(O112=0,I112=""),"",I112/_xlfn.MAXIFS($I$4:$I$141,$O$4:$O$141,1))</x:f>
      </x:c>
      <x:c r="V112" t="str">
        <x:f>IF(OR(O112=0,L112=""),"",L112/_xlfn.MAXIFS($L$4:$L$141,$O$4:$O$141,1))</x:f>
      </x:c>
      <x:c r="W112" t="str">
        <x:f>IF(OR(O112=0,J112=""),"",_xlfn.MINIFS($J$4:$J$141,$O$4:$O$141,1,$J$4:$J$141,"&gt;0")/J112)</x:f>
      </x:c>
      <x:c r="X112" t="str">
        <x:f>IF(R112="","",R112/_xlfn.MAXIFS($R$4:$R$141,$O$4:$O$141,1))</x:f>
      </x:c>
      <x:c r="Y112" t="str">
        <x:f>IF(T112="","",T112/_xlfn.MAXIFS($T$4:$T$141,$O$4:$O$141,1))</x:f>
      </x:c>
      <x:c r="Z112" s="67" t="str">
        <x:f>IF(OR(X112="",Y112=""),"",SQRT(X112*Y112))</x:f>
      </x:c>
      <x:c r="AA112" s="67" t="str">
        <x:f>IF(OR(X112="",Y112=""),"",X112^Controls!$C$8*Y112^Controls!$C$9)</x:f>
      </x:c>
      <x:c r="AB112" s="67" t="str">
        <x:f>IF(OR(X112="",Y112=""),"",X112^Controls!$C$9*Y112^Controls!$C$8)</x:f>
      </x:c>
      <x:c r="AC112" t="str">
        <x:f>IF(OR(U112="",V112=""),"",SQRT(U112*V112))</x:f>
      </x:c>
      <x:c r="AD112" t="n">
        <x:f>IF(OR(I112="",J112="",J112=0),"",I112/J112)</x:f>
        <x:v>228.57142857142858</x:v>
      </x:c>
      <x:c r="AE112" t="str">
        <x:f>IF(OR(I112="",K112="",K112=0),"",I112/K112)</x:f>
      </x:c>
      <x:c r="AF112" t="str">
        <x:f>IF(Z112="","",1+COUNTIF($Z$4:$Z$141,"&gt;"&amp;Z112)+COUNTIFS($Z$4:Z112,Z112)-1)</x:f>
      </x:c>
      <x:c r="AG112" t="str">
        <x:f>IF(AA112="","",1+COUNTIF($AA$4:$AA$141,"&gt;"&amp;AA112)+COUNTIFS($AA$4:AA112,AA112)-1)</x:f>
      </x:c>
      <x:c r="AH112" t="str">
        <x:f>IF(AB112="","",1+COUNTIF($AB$4:$AB$141,"&gt;"&amp;AB112)+COUNTIFS($AB$4:AB112,AB112)-1)</x:f>
      </x:c>
      <x:c r="AI112" t="str">
        <x:f>IF(OR(O112=0,I112=""),"",1+COUNTIFS($O$4:$O$141,1,$I$4:$I$141,"&gt;"&amp;I112)+COUNTIFS($O$4:O112,1,$I$4:I112,I112)-1)</x:f>
      </x:c>
      <x:c r="AJ112" t="str">
        <x:f>IF(OR(O112=0,L112=""),"",1+COUNTIFS($O$4:$O$141,1,$L$4:$L$141,"&gt;"&amp;L112)+COUNTIFS($O$4:O112,1,$L$4:L112,L112)-1)</x:f>
      </x:c>
      <x:c r="AK112" t="str">
        <x:f>IF(OR(O112=0,J112="",J112=0),"",1+COUNTIFS($O$4:$O$141,1,$J$4:$J$141,"&lt;"&amp;J112,$J$4:$J$141,"&gt;0")+COUNTIFS($O$4:O112,1,$J$4:J112,J112)-1)</x:f>
      </x:c>
    </x:row>
    <x:row r="113" s="14" customFormat="1">
      <x:c r="A113" t="inlineStr">
        <x:is>
          <x:t xml:space="preserve">openai|gpt-6-1-sol|low|yes|fallback-na|aa-v4.3.2|snapshot-2026-10-16</x:t>
        </x:is>
      </x:c>
      <x:c r="B113" t="inlineStr">
        <x:is>
          <x:t xml:space="preserve">openai|gpt-6-1-sol|low|yes|fallback-na</x:t>
        </x:is>
      </x:c>
      <x:c r="C113" t="inlineStr">
        <x:is>
          <x:t xml:space="preserve">GPT-6.1 Sol</x:t>
        </x:is>
      </x:c>
      <x:c r="D113" t="inlineStr">
        <x:is>
          <x:t xml:space="preserve">OpenAI</x:t>
        </x:is>
      </x:c>
      <x:c r="E113" t="inlineStr">
        <x:is>
          <x:t xml:space="preserve">low</x:t>
        </x:is>
      </x:c>
      <x:c r="F113" t="inlineStr">
        <x:is>
          <x:t xml:space="preserve">AA|v4.3.2</x:t>
        </x:is>
      </x:c>
      <x:c r="G113" t="n">
        <x:v>42</x:v>
      </x:c>
      <x:c r="H113" t="n">
        <x:f>IFERROR(INDEX(Benchmark_Versions!$I:$I,MATCH(F113,Benchmark_Versions!$A:$A,0)),1)</x:f>
        <x:v>1</x:v>
      </x:c>
      <x:c r="I113" t="n">
        <x:f>IF(G113="","",G113*H113)</x:f>
        <x:v>42</x:v>
      </x:c>
      <x:c r="J113" s="69" t="n">
        <x:v>0.13</x:v>
      </x:c>
      <x:c r="L113" t="n">
        <x:v>50.8</x:v>
      </x:c>
      <x:c r="M113" t="inlineStr">
        <x:is>
          <x:t xml:space="preserve">new release / awaiting source-backed assessment</x:t>
        </x:is>
      </x:c>
      <x:c r="N113" t="inlineStr">
        <x:is>
          <x:t xml:space="preserve">yes</x:t>
        </x:is>
      </x:c>
      <x:c r="O113" t="n">
        <x:f>IF(F113&lt;&gt;Controls!$C$12,0,IF(AND(Controls!$C$10="Contender",M113&lt;&gt;"Contender"),0,IF(AND(Controls!$C$10="Contender+Close",NOT(OR(M113="Contender",M113="Close"))),0,IF(AND(Controls!$C$11="Current",NOT(OR(N113="yes",N113="limited"))),0,1))))</x:f>
        <x:v>0</x:v>
      </x:c>
      <x:c r="P113" t="n">
        <x:f>Controls!$C$7</x:f>
        <x:v>40</x:v>
      </x:c>
      <x:c r="Q113" t="n">
        <x:f>IF(I113="","",I113-(P113-1))</x:f>
        <x:v>3</x:v>
      </x:c>
      <x:c r="R113" t="str">
        <x:f>IF(OR(O113=0,Q113&lt;=0,J113="",J113=0),"",Q113/J113)</x:f>
      </x:c>
      <x:c r="S113" t="str">
        <x:f>IF(OR(O113=0,Q113&lt;=0,J113="",Q113=0),"",J113/Q113)</x:f>
      </x:c>
      <x:c r="T113" t="str">
        <x:f>IF(OR(O113=0,Q113&lt;=0,J113="",K113="",J113=0,K113=0),"",Q113/(J113*(K113/60)))</x:f>
      </x:c>
      <x:c r="U113" t="str">
        <x:f>IF(OR(O113=0,I113=""),"",I113/_xlfn.MAXIFS($I$4:$I$141,$O$4:$O$141,1))</x:f>
      </x:c>
      <x:c r="V113" t="str">
        <x:f>IF(OR(O113=0,L113=""),"",L113/_xlfn.MAXIFS($L$4:$L$141,$O$4:$O$141,1))</x:f>
      </x:c>
      <x:c r="W113" t="str">
        <x:f>IF(OR(O113=0,J113=""),"",_xlfn.MINIFS($J$4:$J$141,$O$4:$O$141,1,$J$4:$J$141,"&gt;0")/J113)</x:f>
      </x:c>
      <x:c r="X113" t="str">
        <x:f>IF(R113="","",R113/_xlfn.MAXIFS($R$4:$R$141,$O$4:$O$141,1))</x:f>
      </x:c>
      <x:c r="Y113" t="str">
        <x:f>IF(T113="","",T113/_xlfn.MAXIFS($T$4:$T$141,$O$4:$O$141,1))</x:f>
      </x:c>
      <x:c r="Z113" s="67" t="str">
        <x:f>IF(OR(X113="",Y113=""),"",SQRT(X113*Y113))</x:f>
      </x:c>
      <x:c r="AA113" s="67" t="str">
        <x:f>IF(OR(X113="",Y113=""),"",X113^Controls!$C$8*Y113^Controls!$C$9)</x:f>
      </x:c>
      <x:c r="AB113" s="67" t="str">
        <x:f>IF(OR(X113="",Y113=""),"",X113^Controls!$C$9*Y113^Controls!$C$8)</x:f>
      </x:c>
      <x:c r="AC113" t="str">
        <x:f>IF(OR(U113="",V113=""),"",SQRT(U113*V113))</x:f>
      </x:c>
      <x:c r="AD113" t="n">
        <x:f>IF(OR(I113="",J113="",J113=0),"",I113/J113)</x:f>
        <x:v>323.07692307692304</x:v>
      </x:c>
      <x:c r="AE113" t="str">
        <x:f>IF(OR(I113="",K113="",K113=0),"",I113/K113)</x:f>
      </x:c>
      <x:c r="AF113" t="str">
        <x:f>IF(Z113="","",1+COUNTIF($Z$4:$Z$141,"&gt;"&amp;Z113)+COUNTIFS($Z$4:Z113,Z113)-1)</x:f>
      </x:c>
      <x:c r="AG113" t="str">
        <x:f>IF(AA113="","",1+COUNTIF($AA$4:$AA$141,"&gt;"&amp;AA113)+COUNTIFS($AA$4:AA113,AA113)-1)</x:f>
      </x:c>
      <x:c r="AH113" t="str">
        <x:f>IF(AB113="","",1+COUNTIF($AB$4:$AB$141,"&gt;"&amp;AB113)+COUNTIFS($AB$4:AB113,AB113)-1)</x:f>
      </x:c>
      <x:c r="AI113" t="str">
        <x:f>IF(OR(O113=0,I113=""),"",1+COUNTIFS($O$4:$O$141,1,$I$4:$I$141,"&gt;"&amp;I113)+COUNTIFS($O$4:O113,1,$I$4:I113,I113)-1)</x:f>
      </x:c>
      <x:c r="AJ113" t="str">
        <x:f>IF(OR(O113=0,L113=""),"",1+COUNTIFS($O$4:$O$141,1,$L$4:$L$141,"&gt;"&amp;L113)+COUNTIFS($O$4:O113,1,$L$4:L113,L113)-1)</x:f>
      </x:c>
      <x:c r="AK113" t="str">
        <x:f>IF(OR(O113=0,J113="",J113=0),"",1+COUNTIFS($O$4:$O$141,1,$J$4:$J$141,"&lt;"&amp;J113,$J$4:$J$141,"&gt;0")+COUNTIFS($O$4:O113,1,$J$4:J113,J113)-1)</x:f>
      </x:c>
    </x:row>
    <x:row r="114" s="14" customFormat="1">
      <x:c r="A114" t="inlineStr">
        <x:is>
          <x:t xml:space="preserve">openai|gpt-6-astra|xhigh|reasoning|fallback-na|aa-v4.3.2|snapshot-2026-10-16</x:t>
        </x:is>
      </x:c>
      <x:c r="B114" t="inlineStr">
        <x:is>
          <x:t xml:space="preserve">openai|gpt-6-astra|xhigh|reasoning|fallback-na</x:t>
        </x:is>
      </x:c>
      <x:c r="C114" t="inlineStr">
        <x:is>
          <x:t xml:space="preserve">GPT-6 Astra</x:t>
        </x:is>
      </x:c>
      <x:c r="D114" t="inlineStr">
        <x:is>
          <x:t xml:space="preserve">OpenAI</x:t>
        </x:is>
      </x:c>
      <x:c r="E114" t="inlineStr">
        <x:is>
          <x:t xml:space="preserve">xhigh</x:t>
        </x:is>
      </x:c>
      <x:c r="F114" t="inlineStr">
        <x:is>
          <x:t xml:space="preserve">AA|v4.3.2</x:t>
        </x:is>
      </x:c>
      <x:c r="G114" t="n">
        <x:v>52</x:v>
      </x:c>
      <x:c r="H114" t="n">
        <x:f>IFERROR(INDEX(Benchmark_Versions!$I:$I,MATCH(F114,Benchmark_Versions!$A:$A,0)),1)</x:f>
        <x:v>1</x:v>
      </x:c>
      <x:c r="I114" t="n">
        <x:f>IF(G114="","",G114*H114)</x:f>
        <x:v>52</x:v>
      </x:c>
      <x:c r="J114" s="69" t="n">
        <x:v>2.31</x:v>
      </x:c>
      <x:c r="L114" t="n">
        <x:v>52.5</x:v>
      </x:c>
      <x:c r="M114" t="inlineStr">
        <x:is>
          <x:t xml:space="preserve">frontier / expensive / slow</x:t>
        </x:is>
      </x:c>
      <x:c r="N114" t="inlineStr">
        <x:is>
          <x:t xml:space="preserve">yes</x:t>
        </x:is>
      </x:c>
      <x:c r="O114" t="n">
        <x:f>IF(F114&lt;&gt;Controls!$C$12,0,IF(AND(Controls!$C$10="Contender",M114&lt;&gt;"Contender"),0,IF(AND(Controls!$C$10="Contender+Close",NOT(OR(M114="Contender",M114="Close"))),0,IF(AND(Controls!$C$11="Current",NOT(OR(N114="yes",N114="limited"))),0,1))))</x:f>
        <x:v>0</x:v>
      </x:c>
      <x:c r="P114" t="n">
        <x:f>Controls!$C$7</x:f>
        <x:v>40</x:v>
      </x:c>
      <x:c r="Q114" t="n">
        <x:f>IF(I114="","",I114-(P114-1))</x:f>
        <x:v>13</x:v>
      </x:c>
      <x:c r="R114" t="str">
        <x:f>IF(OR(O114=0,Q114&lt;=0,J114="",J114=0),"",Q114/J114)</x:f>
      </x:c>
      <x:c r="S114" t="str">
        <x:f>IF(OR(O114=0,Q114&lt;=0,J114="",Q114=0),"",J114/Q114)</x:f>
      </x:c>
      <x:c r="T114" t="str">
        <x:f>IF(OR(O114=0,Q114&lt;=0,J114="",K114="",J114=0,K114=0),"",Q114/(J114*(K114/60)))</x:f>
      </x:c>
      <x:c r="U114" t="str">
        <x:f>IF(OR(O114=0,I114=""),"",I114/_xlfn.MAXIFS($I$4:$I$141,$O$4:$O$141,1))</x:f>
      </x:c>
      <x:c r="V114" t="str">
        <x:f>IF(OR(O114=0,L114=""),"",L114/_xlfn.MAXIFS($L$4:$L$141,$O$4:$O$141,1))</x:f>
      </x:c>
      <x:c r="W114" t="str">
        <x:f>IF(OR(O114=0,J114=""),"",_xlfn.MINIFS($J$4:$J$141,$O$4:$O$141,1,$J$4:$J$141,"&gt;0")/J114)</x:f>
      </x:c>
      <x:c r="X114" t="str">
        <x:f>IF(R114="","",R114/_xlfn.MAXIFS($R$4:$R$141,$O$4:$O$141,1))</x:f>
      </x:c>
      <x:c r="Y114" t="str">
        <x:f>IF(T114="","",T114/_xlfn.MAXIFS($T$4:$T$141,$O$4:$O$141,1))</x:f>
      </x:c>
      <x:c r="Z114" s="67" t="str">
        <x:f>IF(OR(X114="",Y114=""),"",SQRT(X114*Y114))</x:f>
      </x:c>
      <x:c r="AA114" s="67" t="str">
        <x:f>IF(OR(X114="",Y114=""),"",X114^Controls!$C$8*Y114^Controls!$C$9)</x:f>
      </x:c>
      <x:c r="AB114" s="67" t="str">
        <x:f>IF(OR(X114="",Y114=""),"",X114^Controls!$C$9*Y114^Controls!$C$8)</x:f>
      </x:c>
      <x:c r="AC114" t="str">
        <x:f>IF(OR(U114="",V114=""),"",SQRT(U114*V114))</x:f>
      </x:c>
      <x:c r="AD114" t="n">
        <x:f>IF(OR(I114="",J114="",J114=0),"",I114/J114)</x:f>
        <x:v>22.51082251082251</x:v>
      </x:c>
      <x:c r="AE114" t="str">
        <x:f>IF(OR(I114="",K114="",K114=0),"",I114/K114)</x:f>
      </x:c>
      <x:c r="AF114" t="str">
        <x:f>IF(Z114="","",1+COUNTIF($Z$4:$Z$141,"&gt;"&amp;Z114)+COUNTIFS($Z$4:Z114,Z114)-1)</x:f>
      </x:c>
      <x:c r="AG114" t="str">
        <x:f>IF(AA114="","",1+COUNTIF($AA$4:$AA$141,"&gt;"&amp;AA114)+COUNTIFS($AA$4:AA114,AA114)-1)</x:f>
      </x:c>
      <x:c r="AH114" t="str">
        <x:f>IF(AB114="","",1+COUNTIF($AB$4:$AB$141,"&gt;"&amp;AB114)+COUNTIFS($AB$4:AB114,AB114)-1)</x:f>
      </x:c>
      <x:c r="AI114" t="str">
        <x:f>IF(OR(O114=0,I114=""),"",1+COUNTIFS($O$4:$O$141,1,$I$4:$I$141,"&gt;"&amp;I114)+COUNTIFS($O$4:O114,1,$I$4:I114,I114)-1)</x:f>
      </x:c>
      <x:c r="AJ114" t="str">
        <x:f>IF(OR(O114=0,L114=""),"",1+COUNTIFS($O$4:$O$141,1,$L$4:$L$141,"&gt;"&amp;L114)+COUNTIFS($O$4:O114,1,$L$4:L114,L114)-1)</x:f>
      </x:c>
      <x:c r="AK114" t="str">
        <x:f>IF(OR(O114=0,J114="",J114=0),"",1+COUNTIFS($O$4:$O$141,1,$J$4:$J$141,"&lt;"&amp;J114,$J$4:$J$141,"&gt;0")+COUNTIFS($O$4:O114,1,$J$4:J114,J114)-1)</x:f>
      </x:c>
    </x:row>
    <x:row r="115" s="14" customFormat="1">
      <x:c r="A115" t="inlineStr">
        <x:is>
          <x:t xml:space="preserve">openai|gpt-6-astra|high|reasoning|fallback-na|aa-v4.3.2|snapshot-2026-10-16</x:t>
        </x:is>
      </x:c>
      <x:c r="B115" t="inlineStr">
        <x:is>
          <x:t xml:space="preserve">openai|gpt-6-astra|high|reasoning|fallback-na</x:t>
        </x:is>
      </x:c>
      <x:c r="C115" t="inlineStr">
        <x:is>
          <x:t xml:space="preserve">GPT-6 Astra</x:t>
        </x:is>
      </x:c>
      <x:c r="D115" t="inlineStr">
        <x:is>
          <x:t xml:space="preserve">OpenAI</x:t>
        </x:is>
      </x:c>
      <x:c r="E115" t="inlineStr">
        <x:is>
          <x:t xml:space="preserve">high</x:t>
        </x:is>
      </x:c>
      <x:c r="F115" t="inlineStr">
        <x:is>
          <x:t xml:space="preserve">AA|v4.3.2</x:t>
        </x:is>
      </x:c>
      <x:c r="G115" t="n">
        <x:v>51</x:v>
      </x:c>
      <x:c r="H115" t="n">
        <x:f>IFERROR(INDEX(Benchmark_Versions!$I:$I,MATCH(F115,Benchmark_Versions!$A:$A,0)),1)</x:f>
        <x:v>1</x:v>
      </x:c>
      <x:c r="I115" t="n">
        <x:f>IF(G115="","",G115*H115)</x:f>
        <x:v>51</x:v>
      </x:c>
      <x:c r="J115" s="69" t="n">
        <x:v>1.73</x:v>
      </x:c>
      <x:c r="L115" t="n">
        <x:v>52.1</x:v>
      </x:c>
      <x:c r="M115" t="inlineStr">
        <x:is>
          <x:t xml:space="preserve">frontier / expensive / slow</x:t>
        </x:is>
      </x:c>
      <x:c r="N115" t="inlineStr">
        <x:is>
          <x:t xml:space="preserve">yes</x:t>
        </x:is>
      </x:c>
      <x:c r="O115" t="n">
        <x:f>IF(F115&lt;&gt;Controls!$C$12,0,IF(AND(Controls!$C$10="Contender",M115&lt;&gt;"Contender"),0,IF(AND(Controls!$C$10="Contender+Close",NOT(OR(M115="Contender",M115="Close"))),0,IF(AND(Controls!$C$11="Current",NOT(OR(N115="yes",N115="limited"))),0,1))))</x:f>
        <x:v>0</x:v>
      </x:c>
      <x:c r="P115" t="n">
        <x:f>Controls!$C$7</x:f>
        <x:v>40</x:v>
      </x:c>
      <x:c r="Q115" t="n">
        <x:f>IF(I115="","",I115-(P115-1))</x:f>
        <x:v>12</x:v>
      </x:c>
      <x:c r="R115" t="str">
        <x:f>IF(OR(O115=0,Q115&lt;=0,J115="",J115=0),"",Q115/J115)</x:f>
      </x:c>
      <x:c r="S115" t="str">
        <x:f>IF(OR(O115=0,Q115&lt;=0,J115="",Q115=0),"",J115/Q115)</x:f>
      </x:c>
      <x:c r="T115" t="str">
        <x:f>IF(OR(O115=0,Q115&lt;=0,J115="",K115="",J115=0,K115=0),"",Q115/(J115*(K115/60)))</x:f>
      </x:c>
      <x:c r="U115" t="str">
        <x:f>IF(OR(O115=0,I115=""),"",I115/_xlfn.MAXIFS($I$4:$I$141,$O$4:$O$141,1))</x:f>
      </x:c>
      <x:c r="V115" t="str">
        <x:f>IF(OR(O115=0,L115=""),"",L115/_xlfn.MAXIFS($L$4:$L$141,$O$4:$O$141,1))</x:f>
      </x:c>
      <x:c r="W115" t="str">
        <x:f>IF(OR(O115=0,J115=""),"",_xlfn.MINIFS($J$4:$J$141,$O$4:$O$141,1,$J$4:$J$141,"&gt;0")/J115)</x:f>
      </x:c>
      <x:c r="X115" t="str">
        <x:f>IF(R115="","",R115/_xlfn.MAXIFS($R$4:$R$141,$O$4:$O$141,1))</x:f>
      </x:c>
      <x:c r="Y115" t="str">
        <x:f>IF(T115="","",T115/_xlfn.MAXIFS($T$4:$T$141,$O$4:$O$141,1))</x:f>
      </x:c>
      <x:c r="Z115" s="67" t="str">
        <x:f>IF(OR(X115="",Y115=""),"",SQRT(X115*Y115))</x:f>
      </x:c>
      <x:c r="AA115" s="67" t="str">
        <x:f>IF(OR(X115="",Y115=""),"",X115^Controls!$C$8*Y115^Controls!$C$9)</x:f>
      </x:c>
      <x:c r="AB115" s="67" t="str">
        <x:f>IF(OR(X115="",Y115=""),"",X115^Controls!$C$9*Y115^Controls!$C$8)</x:f>
      </x:c>
      <x:c r="AC115" t="str">
        <x:f>IF(OR(U115="",V115=""),"",SQRT(U115*V115))</x:f>
      </x:c>
      <x:c r="AD115" t="n">
        <x:f>IF(OR(I115="",J115="",J115=0),"",I115/J115)</x:f>
        <x:v>29.479768786127167</x:v>
      </x:c>
      <x:c r="AE115" t="str">
        <x:f>IF(OR(I115="",K115="",K115=0),"",I115/K115)</x:f>
      </x:c>
      <x:c r="AF115" t="str">
        <x:f>IF(Z115="","",1+COUNTIF($Z$4:$Z$141,"&gt;"&amp;Z115)+COUNTIFS($Z$4:Z115,Z115)-1)</x:f>
      </x:c>
      <x:c r="AG115" t="str">
        <x:f>IF(AA115="","",1+COUNTIF($AA$4:$AA$141,"&gt;"&amp;AA115)+COUNTIFS($AA$4:AA115,AA115)-1)</x:f>
      </x:c>
      <x:c r="AH115" t="str">
        <x:f>IF(AB115="","",1+COUNTIF($AB$4:$AB$141,"&gt;"&amp;AB115)+COUNTIFS($AB$4:AB115,AB115)-1)</x:f>
      </x:c>
      <x:c r="AI115" t="str">
        <x:f>IF(OR(O115=0,I115=""),"",1+COUNTIFS($O$4:$O$141,1,$I$4:$I$141,"&gt;"&amp;I115)+COUNTIFS($O$4:O115,1,$I$4:I115,I115)-1)</x:f>
      </x:c>
      <x:c r="AJ115" t="str">
        <x:f>IF(OR(O115=0,L115=""),"",1+COUNTIFS($O$4:$O$141,1,$L$4:$L$141,"&gt;"&amp;L115)+COUNTIFS($O$4:O115,1,$L$4:L115,L115)-1)</x:f>
      </x:c>
      <x:c r="AK115" t="str">
        <x:f>IF(OR(O115=0,J115="",J115=0),"",1+COUNTIFS($O$4:$O$141,1,$J$4:$J$141,"&lt;"&amp;J115,$J$4:$J$141,"&gt;0")+COUNTIFS($O$4:O115,1,$J$4:J115,J115)-1)</x:f>
      </x:c>
    </x:row>
    <x:row r="116" s="14" customFormat="1">
      <x:c r="A116" t="inlineStr">
        <x:is>
          <x:t xml:space="preserve">openai|gpt-6-astra|medium|reasoning|fallback-na|aa-v4.3.2|snapshot-2026-10-16</x:t>
        </x:is>
      </x:c>
      <x:c r="B116" t="inlineStr">
        <x:is>
          <x:t xml:space="preserve">openai|gpt-6-astra|medium|reasoning|fallback-na</x:t>
        </x:is>
      </x:c>
      <x:c r="C116" t="inlineStr">
        <x:is>
          <x:t xml:space="preserve">GPT-6 Astra</x:t>
        </x:is>
      </x:c>
      <x:c r="D116" t="inlineStr">
        <x:is>
          <x:t xml:space="preserve">OpenAI</x:t>
        </x:is>
      </x:c>
      <x:c r="E116" t="inlineStr">
        <x:is>
          <x:t xml:space="preserve">medium</x:t>
        </x:is>
      </x:c>
      <x:c r="F116" t="inlineStr">
        <x:is>
          <x:t xml:space="preserve">AA|v4.3.2</x:t>
        </x:is>
      </x:c>
      <x:c r="G116" t="n">
        <x:v>50</x:v>
      </x:c>
      <x:c r="H116" t="n">
        <x:f>IFERROR(INDEX(Benchmark_Versions!$I:$I,MATCH(F116,Benchmark_Versions!$A:$A,0)),1)</x:f>
        <x:v>1</x:v>
      </x:c>
      <x:c r="I116" t="n">
        <x:f>IF(G116="","",G116*H116)</x:f>
        <x:v>50</x:v>
      </x:c>
      <x:c r="J116" s="69" t="n">
        <x:v>1.54</x:v>
      </x:c>
      <x:c r="L116" t="n">
        <x:v>49.7</x:v>
      </x:c>
      <x:c r="M116" t="inlineStr">
        <x:is>
          <x:t xml:space="preserve">frontier / expensive / slow</x:t>
        </x:is>
      </x:c>
      <x:c r="N116" t="inlineStr">
        <x:is>
          <x:t xml:space="preserve">yes</x:t>
        </x:is>
      </x:c>
      <x:c r="O116" t="n">
        <x:f>IF(F116&lt;&gt;Controls!$C$12,0,IF(AND(Controls!$C$10="Contender",M116&lt;&gt;"Contender"),0,IF(AND(Controls!$C$10="Contender+Close",NOT(OR(M116="Contender",M116="Close"))),0,IF(AND(Controls!$C$11="Current",NOT(OR(N116="yes",N116="limited"))),0,1))))</x:f>
        <x:v>0</x:v>
      </x:c>
      <x:c r="P116" t="n">
        <x:f>Controls!$C$7</x:f>
        <x:v>40</x:v>
      </x:c>
      <x:c r="Q116" t="n">
        <x:f>IF(I116="","",I116-(P116-1))</x:f>
        <x:v>11</x:v>
      </x:c>
      <x:c r="R116" t="str">
        <x:f>IF(OR(O116=0,Q116&lt;=0,J116="",J116=0),"",Q116/J116)</x:f>
      </x:c>
      <x:c r="S116" t="str">
        <x:f>IF(OR(O116=0,Q116&lt;=0,J116="",Q116=0),"",J116/Q116)</x:f>
      </x:c>
      <x:c r="T116" t="str">
        <x:f>IF(OR(O116=0,Q116&lt;=0,J116="",K116="",J116=0,K116=0),"",Q116/(J116*(K116/60)))</x:f>
      </x:c>
      <x:c r="U116" t="str">
        <x:f>IF(OR(O116=0,I116=""),"",I116/_xlfn.MAXIFS($I$4:$I$141,$O$4:$O$141,1))</x:f>
      </x:c>
      <x:c r="V116" t="str">
        <x:f>IF(OR(O116=0,L116=""),"",L116/_xlfn.MAXIFS($L$4:$L$141,$O$4:$O$141,1))</x:f>
      </x:c>
      <x:c r="W116" t="str">
        <x:f>IF(OR(O116=0,J116=""),"",_xlfn.MINIFS($J$4:$J$141,$O$4:$O$141,1,$J$4:$J$141,"&gt;0")/J116)</x:f>
      </x:c>
      <x:c r="X116" t="str">
        <x:f>IF(R116="","",R116/_xlfn.MAXIFS($R$4:$R$141,$O$4:$O$141,1))</x:f>
      </x:c>
      <x:c r="Y116" t="str">
        <x:f>IF(T116="","",T116/_xlfn.MAXIFS($T$4:$T$141,$O$4:$O$141,1))</x:f>
      </x:c>
      <x:c r="Z116" s="67" t="str">
        <x:f>IF(OR(X116="",Y116=""),"",SQRT(X116*Y116))</x:f>
      </x:c>
      <x:c r="AA116" s="67" t="str">
        <x:f>IF(OR(X116="",Y116=""),"",X116^Controls!$C$8*Y116^Controls!$C$9)</x:f>
      </x:c>
      <x:c r="AB116" s="67" t="str">
        <x:f>IF(OR(X116="",Y116=""),"",X116^Controls!$C$9*Y116^Controls!$C$8)</x:f>
      </x:c>
      <x:c r="AC116" t="str">
        <x:f>IF(OR(U116="",V116=""),"",SQRT(U116*V116))</x:f>
      </x:c>
      <x:c r="AD116" t="n">
        <x:f>IF(OR(I116="",J116="",J116=0),"",I116/J116)</x:f>
        <x:v>32.467532467532465</x:v>
      </x:c>
      <x:c r="AE116" t="str">
        <x:f>IF(OR(I116="",K116="",K116=0),"",I116/K116)</x:f>
      </x:c>
      <x:c r="AF116" t="str">
        <x:f>IF(Z116="","",1+COUNTIF($Z$4:$Z$141,"&gt;"&amp;Z116)+COUNTIFS($Z$4:Z116,Z116)-1)</x:f>
      </x:c>
      <x:c r="AG116" t="str">
        <x:f>IF(AA116="","",1+COUNTIF($AA$4:$AA$141,"&gt;"&amp;AA116)+COUNTIFS($AA$4:AA116,AA116)-1)</x:f>
      </x:c>
      <x:c r="AH116" t="str">
        <x:f>IF(AB116="","",1+COUNTIF($AB$4:$AB$141,"&gt;"&amp;AB116)+COUNTIFS($AB$4:AB116,AB116)-1)</x:f>
      </x:c>
      <x:c r="AI116" t="str">
        <x:f>IF(OR(O116=0,I116=""),"",1+COUNTIFS($O$4:$O$141,1,$I$4:$I$141,"&gt;"&amp;I116)+COUNTIFS($O$4:O116,1,$I$4:I116,I116)-1)</x:f>
      </x:c>
      <x:c r="AJ116" t="str">
        <x:f>IF(OR(O116=0,L116=""),"",1+COUNTIFS($O$4:$O$141,1,$L$4:$L$141,"&gt;"&amp;L116)+COUNTIFS($O$4:O116,1,$L$4:L116,L116)-1)</x:f>
      </x:c>
      <x:c r="AK116" t="str">
        <x:f>IF(OR(O116=0,J116="",J116=0),"",1+COUNTIFS($O$4:$O$141,1,$J$4:$J$141,"&lt;"&amp;J116,$J$4:$J$141,"&gt;0")+COUNTIFS($O$4:O116,1,$J$4:J116,J116)-1)</x:f>
      </x:c>
    </x:row>
    <x:row r="117" s="14" customFormat="1">
      <x:c r="A117" t="inlineStr">
        <x:is>
          <x:t xml:space="preserve">openai|gpt-6-astra|low|reasoning|fallback-na|aa-v4.3.2|snapshot-2026-10-16</x:t>
        </x:is>
      </x:c>
      <x:c r="B117" t="inlineStr">
        <x:is>
          <x:t xml:space="preserve">openai|gpt-6-astra|low|reasoning|fallback-na</x:t>
        </x:is>
      </x:c>
      <x:c r="C117" t="inlineStr">
        <x:is>
          <x:t xml:space="preserve">GPT-6 Astra</x:t>
        </x:is>
      </x:c>
      <x:c r="D117" t="inlineStr">
        <x:is>
          <x:t xml:space="preserve">OpenAI</x:t>
        </x:is>
      </x:c>
      <x:c r="E117" t="inlineStr">
        <x:is>
          <x:t xml:space="preserve">low</x:t>
        </x:is>
      </x:c>
      <x:c r="F117" t="inlineStr">
        <x:is>
          <x:t xml:space="preserve">AA|v4.3.2</x:t>
        </x:is>
      </x:c>
      <x:c r="G117" t="n">
        <x:v>46</x:v>
      </x:c>
      <x:c r="H117" t="n">
        <x:f>IFERROR(INDEX(Benchmark_Versions!$I:$I,MATCH(F117,Benchmark_Versions!$A:$A,0)),1)</x:f>
        <x:v>1</x:v>
      </x:c>
      <x:c r="I117" t="n">
        <x:f>IF(G117="","",G117*H117)</x:f>
        <x:v>46</x:v>
      </x:c>
      <x:c r="J117" s="69" t="n">
        <x:v>0.82</x:v>
      </x:c>
      <x:c r="L117" t="n">
        <x:v>50.5</x:v>
      </x:c>
      <x:c r="M117" t="inlineStr">
        <x:is>
          <x:t xml:space="preserve">frontier / expensive / slow</x:t>
        </x:is>
      </x:c>
      <x:c r="N117" t="inlineStr">
        <x:is>
          <x:t xml:space="preserve">yes</x:t>
        </x:is>
      </x:c>
      <x:c r="O117" t="n">
        <x:f>IF(F117&lt;&gt;Controls!$C$12,0,IF(AND(Controls!$C$10="Contender",M117&lt;&gt;"Contender"),0,IF(AND(Controls!$C$10="Contender+Close",NOT(OR(M117="Contender",M117="Close"))),0,IF(AND(Controls!$C$11="Current",NOT(OR(N117="yes",N117="limited"))),0,1))))</x:f>
        <x:v>0</x:v>
      </x:c>
      <x:c r="P117" t="n">
        <x:f>Controls!$C$7</x:f>
        <x:v>40</x:v>
      </x:c>
      <x:c r="Q117" t="n">
        <x:f>IF(I117="","",I117-(P117-1))</x:f>
        <x:v>7</x:v>
      </x:c>
      <x:c r="R117" t="str">
        <x:f>IF(OR(O117=0,Q117&lt;=0,J117="",J117=0),"",Q117/J117)</x:f>
      </x:c>
      <x:c r="S117" t="str">
        <x:f>IF(OR(O117=0,Q117&lt;=0,J117="",Q117=0),"",J117/Q117)</x:f>
      </x:c>
      <x:c r="T117" t="str">
        <x:f>IF(OR(O117=0,Q117&lt;=0,J117="",K117="",J117=0,K117=0),"",Q117/(J117*(K117/60)))</x:f>
      </x:c>
      <x:c r="U117" t="str">
        <x:f>IF(OR(O117=0,I117=""),"",I117/_xlfn.MAXIFS($I$4:$I$141,$O$4:$O$141,1))</x:f>
      </x:c>
      <x:c r="V117" t="str">
        <x:f>IF(OR(O117=0,L117=""),"",L117/_xlfn.MAXIFS($L$4:$L$141,$O$4:$O$141,1))</x:f>
      </x:c>
      <x:c r="W117" t="str">
        <x:f>IF(OR(O117=0,J117=""),"",_xlfn.MINIFS($J$4:$J$141,$O$4:$O$141,1,$J$4:$J$141,"&gt;0")/J117)</x:f>
      </x:c>
      <x:c r="X117" t="str">
        <x:f>IF(R117="","",R117/_xlfn.MAXIFS($R$4:$R$141,$O$4:$O$141,1))</x:f>
      </x:c>
      <x:c r="Y117" t="str">
        <x:f>IF(T117="","",T117/_xlfn.MAXIFS($T$4:$T$141,$O$4:$O$141,1))</x:f>
      </x:c>
      <x:c r="Z117" s="67" t="str">
        <x:f>IF(OR(X117="",Y117=""),"",SQRT(X117*Y117))</x:f>
      </x:c>
      <x:c r="AA117" s="67" t="str">
        <x:f>IF(OR(X117="",Y117=""),"",X117^Controls!$C$8*Y117^Controls!$C$9)</x:f>
      </x:c>
      <x:c r="AB117" s="67" t="str">
        <x:f>IF(OR(X117="",Y117=""),"",X117^Controls!$C$9*Y117^Controls!$C$8)</x:f>
      </x:c>
      <x:c r="AC117" t="str">
        <x:f>IF(OR(U117="",V117=""),"",SQRT(U117*V117))</x:f>
      </x:c>
      <x:c r="AD117" t="n">
        <x:f>IF(OR(I117="",J117="",J117=0),"",I117/J117)</x:f>
        <x:v>56.09756097560976</x:v>
      </x:c>
      <x:c r="AE117" t="str">
        <x:f>IF(OR(I117="",K117="",K117=0),"",I117/K117)</x:f>
      </x:c>
      <x:c r="AF117" t="str">
        <x:f>IF(Z117="","",1+COUNTIF($Z$4:$Z$141,"&gt;"&amp;Z117)+COUNTIFS($Z$4:Z117,Z117)-1)</x:f>
      </x:c>
      <x:c r="AG117" t="str">
        <x:f>IF(AA117="","",1+COUNTIF($AA$4:$AA$141,"&gt;"&amp;AA117)+COUNTIFS($AA$4:AA117,AA117)-1)</x:f>
      </x:c>
      <x:c r="AH117" t="str">
        <x:f>IF(AB117="","",1+COUNTIF($AB$4:$AB$141,"&gt;"&amp;AB117)+COUNTIFS($AB$4:AB117,AB117)-1)</x:f>
      </x:c>
      <x:c r="AI117" t="str">
        <x:f>IF(OR(O117=0,I117=""),"",1+COUNTIFS($O$4:$O$141,1,$I$4:$I$141,"&gt;"&amp;I117)+COUNTIFS($O$4:O117,1,$I$4:I117,I117)-1)</x:f>
      </x:c>
      <x:c r="AJ117" t="str">
        <x:f>IF(OR(O117=0,L117=""),"",1+COUNTIFS($O$4:$O$141,1,$L$4:$L$141,"&gt;"&amp;L117)+COUNTIFS($O$4:O117,1,$L$4:L117,L117)-1)</x:f>
      </x:c>
      <x:c r="AK117" t="str">
        <x:f>IF(OR(O117=0,J117="",J117=0),"",1+COUNTIFS($O$4:$O$141,1,$J$4:$J$141,"&lt;"&amp;J117,$J$4:$J$141,"&gt;0")+COUNTIFS($O$4:O117,1,$J$4:J117,J117)-1)</x:f>
      </x:c>
    </x:row>
    <x:row r="118" s="14" customFormat="1">
      <x:c r="A118" t="inlineStr">
        <x:is>
          <x:t xml:space="preserve">openai|gpt-6-luna|xhigh|reasoning|fallback-na|aa-v4.3.2|snapshot-2026-10-16</x:t>
        </x:is>
      </x:c>
      <x:c r="B118" t="inlineStr">
        <x:is>
          <x:t xml:space="preserve">openai|gpt-6-luna|xhigh|reasoning|fallback-na</x:t>
        </x:is>
      </x:c>
      <x:c r="C118" t="inlineStr">
        <x:is>
          <x:t xml:space="preserve">GPT-6 Luna</x:t>
        </x:is>
      </x:c>
      <x:c r="D118" t="inlineStr">
        <x:is>
          <x:t xml:space="preserve">OpenAI</x:t>
        </x:is>
      </x:c>
      <x:c r="E118" t="inlineStr">
        <x:is>
          <x:t xml:space="preserve">xhigh</x:t>
        </x:is>
      </x:c>
      <x:c r="F118" t="inlineStr">
        <x:is>
          <x:t xml:space="preserve">AA|v4.3.2</x:t>
        </x:is>
      </x:c>
      <x:c r="G118" t="n">
        <x:v>35</x:v>
      </x:c>
      <x:c r="H118" t="n">
        <x:f>IFERROR(INDEX(Benchmark_Versions!$I:$I,MATCH(F118,Benchmark_Versions!$A:$A,0)),1)</x:f>
        <x:v>1</x:v>
      </x:c>
      <x:c r="I118" t="n">
        <x:f>IF(G118="","",G118*H118)</x:f>
        <x:v>35</x:v>
      </x:c>
      <x:c r="J118" s="69" t="n">
        <x:v>0.04</x:v>
      </x:c>
      <x:c r="L118" t="n">
        <x:v>114.7</x:v>
      </x:c>
      <x:c r="M118" t="inlineStr">
        <x:is>
          <x:t xml:space="preserve">fast-cheap / capable midtier</x:t>
        </x:is>
      </x:c>
      <x:c r="N118" t="inlineStr">
        <x:is>
          <x:t xml:space="preserve">yes</x:t>
        </x:is>
      </x:c>
      <x:c r="O118" t="n">
        <x:f>IF(F118&lt;&gt;Controls!$C$12,0,IF(AND(Controls!$C$10="Contender",M118&lt;&gt;"Contender"),0,IF(AND(Controls!$C$10="Contender+Close",NOT(OR(M118="Contender",M118="Close"))),0,IF(AND(Controls!$C$11="Current",NOT(OR(N118="yes",N118="limited"))),0,1))))</x:f>
        <x:v>0</x:v>
      </x:c>
      <x:c r="P118" t="n">
        <x:f>Controls!$C$7</x:f>
        <x:v>40</x:v>
      </x:c>
      <x:c r="Q118" t="n">
        <x:f>IF(I118="","",I118-(P118-1))</x:f>
        <x:v>-4</x:v>
      </x:c>
      <x:c r="R118" t="str">
        <x:f>IF(OR(O118=0,Q118&lt;=0,J118="",J118=0),"",Q118/J118)</x:f>
      </x:c>
      <x:c r="S118" t="str">
        <x:f>IF(OR(O118=0,Q118&lt;=0,J118="",Q118=0),"",J118/Q118)</x:f>
      </x:c>
      <x:c r="T118" t="str">
        <x:f>IF(OR(O118=0,Q118&lt;=0,J118="",K118="",J118=0,K118=0),"",Q118/(J118*(K118/60)))</x:f>
      </x:c>
      <x:c r="U118" t="str">
        <x:f>IF(OR(O118=0,I118=""),"",I118/_xlfn.MAXIFS($I$4:$I$141,$O$4:$O$141,1))</x:f>
      </x:c>
      <x:c r="V118" t="str">
        <x:f>IF(OR(O118=0,L118=""),"",L118/_xlfn.MAXIFS($L$4:$L$141,$O$4:$O$141,1))</x:f>
      </x:c>
      <x:c r="W118" t="str">
        <x:f>IF(OR(O118=0,J118=""),"",_xlfn.MINIFS($J$4:$J$141,$O$4:$O$141,1,$J$4:$J$141,"&gt;0")/J118)</x:f>
      </x:c>
      <x:c r="X118" t="str">
        <x:f>IF(R118="","",R118/_xlfn.MAXIFS($R$4:$R$141,$O$4:$O$141,1))</x:f>
      </x:c>
      <x:c r="Y118" t="str">
        <x:f>IF(T118="","",T118/_xlfn.MAXIFS($T$4:$T$141,$O$4:$O$141,1))</x:f>
      </x:c>
      <x:c r="Z118" s="67" t="str">
        <x:f>IF(OR(X118="",Y118=""),"",SQRT(X118*Y118))</x:f>
      </x:c>
      <x:c r="AA118" s="67" t="str">
        <x:f>IF(OR(X118="",Y118=""),"",X118^Controls!$C$8*Y118^Controls!$C$9)</x:f>
      </x:c>
      <x:c r="AB118" s="67" t="str">
        <x:f>IF(OR(X118="",Y118=""),"",X118^Controls!$C$9*Y118^Controls!$C$8)</x:f>
      </x:c>
      <x:c r="AC118" t="str">
        <x:f>IF(OR(U118="",V118=""),"",SQRT(U118*V118))</x:f>
      </x:c>
      <x:c r="AD118" t="n">
        <x:f>IF(OR(I118="",J118="",J118=0),"",I118/J118)</x:f>
        <x:v>875</x:v>
      </x:c>
      <x:c r="AE118" t="str">
        <x:f>IF(OR(I118="",K118="",K118=0),"",I118/K118)</x:f>
      </x:c>
      <x:c r="AF118" t="str">
        <x:f>IF(Z118="","",1+COUNTIF($Z$4:$Z$141,"&gt;"&amp;Z118)+COUNTIFS($Z$4:Z118,Z118)-1)</x:f>
      </x:c>
      <x:c r="AG118" t="str">
        <x:f>IF(AA118="","",1+COUNTIF($AA$4:$AA$141,"&gt;"&amp;AA118)+COUNTIFS($AA$4:AA118,AA118)-1)</x:f>
      </x:c>
      <x:c r="AH118" t="str">
        <x:f>IF(AB118="","",1+COUNTIF($AB$4:$AB$141,"&gt;"&amp;AB118)+COUNTIFS($AB$4:AB118,AB118)-1)</x:f>
      </x:c>
      <x:c r="AI118" t="str">
        <x:f>IF(OR(O118=0,I118=""),"",1+COUNTIFS($O$4:$O$141,1,$I$4:$I$141,"&gt;"&amp;I118)+COUNTIFS($O$4:O118,1,$I$4:I118,I118)-1)</x:f>
      </x:c>
      <x:c r="AJ118" t="str">
        <x:f>IF(OR(O118=0,L118=""),"",1+COUNTIFS($O$4:$O$141,1,$L$4:$L$141,"&gt;"&amp;L118)+COUNTIFS($O$4:O118,1,$L$4:L118,L118)-1)</x:f>
      </x:c>
      <x:c r="AK118" t="str">
        <x:f>IF(OR(O118=0,J118="",J118=0),"",1+COUNTIFS($O$4:$O$141,1,$J$4:$J$141,"&lt;"&amp;J118,$J$4:$J$141,"&gt;0")+COUNTIFS($O$4:O118,1,$J$4:J118,J118)-1)</x:f>
      </x:c>
    </x:row>
    <x:row r="119" s="14" customFormat="1">
      <x:c r="A119" t="inlineStr">
        <x:is>
          <x:t xml:space="preserve">openai|gpt-6-luna|high|reasoning|fallback-na|aa-v4.3.2|snapshot-2026-10-16</x:t>
        </x:is>
      </x:c>
      <x:c r="B119" t="inlineStr">
        <x:is>
          <x:t xml:space="preserve">openai|gpt-6-luna|high|reasoning|fallback-na</x:t>
        </x:is>
      </x:c>
      <x:c r="C119" t="inlineStr">
        <x:is>
          <x:t xml:space="preserve">GPT-6 Luna</x:t>
        </x:is>
      </x:c>
      <x:c r="D119" t="inlineStr">
        <x:is>
          <x:t xml:space="preserve">OpenAI</x:t>
        </x:is>
      </x:c>
      <x:c r="E119" t="inlineStr">
        <x:is>
          <x:t xml:space="preserve">high</x:t>
        </x:is>
      </x:c>
      <x:c r="F119" t="inlineStr">
        <x:is>
          <x:t xml:space="preserve">AA|v4.3.2</x:t>
        </x:is>
      </x:c>
      <x:c r="G119" t="n">
        <x:v>33</x:v>
      </x:c>
      <x:c r="H119" t="n">
        <x:f>IFERROR(INDEX(Benchmark_Versions!$I:$I,MATCH(F119,Benchmark_Versions!$A:$A,0)),1)</x:f>
        <x:v>1</x:v>
      </x:c>
      <x:c r="I119" t="n">
        <x:f>IF(G119="","",G119*H119)</x:f>
        <x:v>33</x:v>
      </x:c>
      <x:c r="J119" s="69" t="n">
        <x:v>0.03</x:v>
      </x:c>
      <x:c r="L119" t="n">
        <x:v>120.2</x:v>
      </x:c>
      <x:c r="M119" t="inlineStr">
        <x:is>
          <x:t xml:space="preserve">fast-cheap / capable midtier</x:t>
        </x:is>
      </x:c>
      <x:c r="N119" t="inlineStr">
        <x:is>
          <x:t xml:space="preserve">yes</x:t>
        </x:is>
      </x:c>
      <x:c r="O119" t="n">
        <x:f>IF(F119&lt;&gt;Controls!$C$12,0,IF(AND(Controls!$C$10="Contender",M119&lt;&gt;"Contender"),0,IF(AND(Controls!$C$10="Contender+Close",NOT(OR(M119="Contender",M119="Close"))),0,IF(AND(Controls!$C$11="Current",NOT(OR(N119="yes",N119="limited"))),0,1))))</x:f>
        <x:v>0</x:v>
      </x:c>
      <x:c r="P119" t="n">
        <x:f>Controls!$C$7</x:f>
        <x:v>40</x:v>
      </x:c>
      <x:c r="Q119" t="n">
        <x:f>IF(I119="","",I119-(P119-1))</x:f>
        <x:v>-6</x:v>
      </x:c>
      <x:c r="R119" t="str">
        <x:f>IF(OR(O119=0,Q119&lt;=0,J119="",J119=0),"",Q119/J119)</x:f>
      </x:c>
      <x:c r="S119" t="str">
        <x:f>IF(OR(O119=0,Q119&lt;=0,J119="",Q119=0),"",J119/Q119)</x:f>
      </x:c>
      <x:c r="T119" t="str">
        <x:f>IF(OR(O119=0,Q119&lt;=0,J119="",K119="",J119=0,K119=0),"",Q119/(J119*(K119/60)))</x:f>
      </x:c>
      <x:c r="U119" t="str">
        <x:f>IF(OR(O119=0,I119=""),"",I119/_xlfn.MAXIFS($I$4:$I$141,$O$4:$O$141,1))</x:f>
      </x:c>
      <x:c r="V119" t="str">
        <x:f>IF(OR(O119=0,L119=""),"",L119/_xlfn.MAXIFS($L$4:$L$141,$O$4:$O$141,1))</x:f>
      </x:c>
      <x:c r="W119" t="str">
        <x:f>IF(OR(O119=0,J119=""),"",_xlfn.MINIFS($J$4:$J$141,$O$4:$O$141,1,$J$4:$J$141,"&gt;0")/J119)</x:f>
      </x:c>
      <x:c r="X119" t="str">
        <x:f>IF(R119="","",R119/_xlfn.MAXIFS($R$4:$R$141,$O$4:$O$141,1))</x:f>
      </x:c>
      <x:c r="Y119" t="str">
        <x:f>IF(T119="","",T119/_xlfn.MAXIFS($T$4:$T$141,$O$4:$O$141,1))</x:f>
      </x:c>
      <x:c r="Z119" s="67" t="str">
        <x:f>IF(OR(X119="",Y119=""),"",SQRT(X119*Y119))</x:f>
      </x:c>
      <x:c r="AA119" s="67" t="str">
        <x:f>IF(OR(X119="",Y119=""),"",X119^Controls!$C$8*Y119^Controls!$C$9)</x:f>
      </x:c>
      <x:c r="AB119" s="67" t="str">
        <x:f>IF(OR(X119="",Y119=""),"",X119^Controls!$C$9*Y119^Controls!$C$8)</x:f>
      </x:c>
      <x:c r="AC119" t="str">
        <x:f>IF(OR(U119="",V119=""),"",SQRT(U119*V119))</x:f>
      </x:c>
      <x:c r="AD119" t="n">
        <x:f>IF(OR(I119="",J119="",J119=0),"",I119/J119)</x:f>
        <x:v>1100</x:v>
      </x:c>
      <x:c r="AE119" t="str">
        <x:f>IF(OR(I119="",K119="",K119=0),"",I119/K119)</x:f>
      </x:c>
      <x:c r="AF119" t="str">
        <x:f>IF(Z119="","",1+COUNTIF($Z$4:$Z$141,"&gt;"&amp;Z119)+COUNTIFS($Z$4:Z119,Z119)-1)</x:f>
      </x:c>
      <x:c r="AG119" t="str">
        <x:f>IF(AA119="","",1+COUNTIF($AA$4:$AA$141,"&gt;"&amp;AA119)+COUNTIFS($AA$4:AA119,AA119)-1)</x:f>
      </x:c>
      <x:c r="AH119" t="str">
        <x:f>IF(AB119="","",1+COUNTIF($AB$4:$AB$141,"&gt;"&amp;AB119)+COUNTIFS($AB$4:AB119,AB119)-1)</x:f>
      </x:c>
      <x:c r="AI119" t="str">
        <x:f>IF(OR(O119=0,I119=""),"",1+COUNTIFS($O$4:$O$141,1,$I$4:$I$141,"&gt;"&amp;I119)+COUNTIFS($O$4:O119,1,$I$4:I119,I119)-1)</x:f>
      </x:c>
      <x:c r="AJ119" t="str">
        <x:f>IF(OR(O119=0,L119=""),"",1+COUNTIFS($O$4:$O$141,1,$L$4:$L$141,"&gt;"&amp;L119)+COUNTIFS($O$4:O119,1,$L$4:L119,L119)-1)</x:f>
      </x:c>
      <x:c r="AK119" t="str">
        <x:f>IF(OR(O119=0,J119="",J119=0),"",1+COUNTIFS($O$4:$O$141,1,$J$4:$J$141,"&lt;"&amp;J119,$J$4:$J$141,"&gt;0")+COUNTIFS($O$4:O119,1,$J$4:J119,J119)-1)</x:f>
      </x:c>
    </x:row>
    <x:row r="120" s="14" customFormat="1">
      <x:c r="A120" t="inlineStr">
        <x:is>
          <x:t xml:space="preserve">openai|gpt-6-luna|medium|reasoning|fallback-na|aa-v4.3.2|snapshot-2026-10-16</x:t>
        </x:is>
      </x:c>
      <x:c r="B120" t="inlineStr">
        <x:is>
          <x:t xml:space="preserve">openai|gpt-6-luna|medium|reasoning|fallback-na</x:t>
        </x:is>
      </x:c>
      <x:c r="C120" t="inlineStr">
        <x:is>
          <x:t xml:space="preserve">GPT-6 Luna</x:t>
        </x:is>
      </x:c>
      <x:c r="D120" t="inlineStr">
        <x:is>
          <x:t xml:space="preserve">OpenAI</x:t>
        </x:is>
      </x:c>
      <x:c r="E120" t="inlineStr">
        <x:is>
          <x:t xml:space="preserve">medium</x:t>
        </x:is>
      </x:c>
      <x:c r="F120" t="inlineStr">
        <x:is>
          <x:t xml:space="preserve">AA|v4.3.2</x:t>
        </x:is>
      </x:c>
      <x:c r="G120" t="n">
        <x:v>30</x:v>
      </x:c>
      <x:c r="H120" t="n">
        <x:f>IFERROR(INDEX(Benchmark_Versions!$I:$I,MATCH(F120,Benchmark_Versions!$A:$A,0)),1)</x:f>
        <x:v>1</x:v>
      </x:c>
      <x:c r="I120" t="n">
        <x:f>IF(G120="","",G120*H120)</x:f>
        <x:v>30</x:v>
      </x:c>
      <x:c r="J120" s="69" t="n">
        <x:v>0.02</x:v>
      </x:c>
      <x:c r="M120" t="inlineStr">
        <x:is>
          <x:t xml:space="preserve">fast-cheap / capable midtier</x:t>
        </x:is>
      </x:c>
      <x:c r="N120" t="inlineStr">
        <x:is>
          <x:t xml:space="preserve">yes</x:t>
        </x:is>
      </x:c>
      <x:c r="O120" t="n">
        <x:f>IF(F120&lt;&gt;Controls!$C$12,0,IF(AND(Controls!$C$10="Contender",M120&lt;&gt;"Contender"),0,IF(AND(Controls!$C$10="Contender+Close",NOT(OR(M120="Contender",M120="Close"))),0,IF(AND(Controls!$C$11="Current",NOT(OR(N120="yes",N120="limited"))),0,1))))</x:f>
        <x:v>0</x:v>
      </x:c>
      <x:c r="P120" t="n">
        <x:f>Controls!$C$7</x:f>
        <x:v>40</x:v>
      </x:c>
      <x:c r="Q120" t="n">
        <x:f>IF(I120="","",I120-(P120-1))</x:f>
        <x:v>-9</x:v>
      </x:c>
      <x:c r="R120" t="str">
        <x:f>IF(OR(O120=0,Q120&lt;=0,J120="",J120=0),"",Q120/J120)</x:f>
      </x:c>
      <x:c r="S120" t="str">
        <x:f>IF(OR(O120=0,Q120&lt;=0,J120="",Q120=0),"",J120/Q120)</x:f>
      </x:c>
      <x:c r="T120" t="str">
        <x:f>IF(OR(O120=0,Q120&lt;=0,J120="",K120="",J120=0,K120=0),"",Q120/(J120*(K120/60)))</x:f>
      </x:c>
      <x:c r="U120" t="str">
        <x:f>IF(OR(O120=0,I120=""),"",I120/_xlfn.MAXIFS($I$4:$I$141,$O$4:$O$141,1))</x:f>
      </x:c>
      <x:c r="V120" t="str">
        <x:f>IF(OR(O120=0,L120=""),"",L120/_xlfn.MAXIFS($L$4:$L$141,$O$4:$O$141,1))</x:f>
      </x:c>
      <x:c r="W120" t="str">
        <x:f>IF(OR(O120=0,J120=""),"",_xlfn.MINIFS($J$4:$J$141,$O$4:$O$141,1,$J$4:$J$141,"&gt;0")/J120)</x:f>
      </x:c>
      <x:c r="X120" t="str">
        <x:f>IF(R120="","",R120/_xlfn.MAXIFS($R$4:$R$141,$O$4:$O$141,1))</x:f>
      </x:c>
      <x:c r="Y120" t="str">
        <x:f>IF(T120="","",T120/_xlfn.MAXIFS($T$4:$T$141,$O$4:$O$141,1))</x:f>
      </x:c>
      <x:c r="Z120" s="67" t="str">
        <x:f>IF(OR(X120="",Y120=""),"",SQRT(X120*Y120))</x:f>
      </x:c>
      <x:c r="AA120" s="67" t="str">
        <x:f>IF(OR(X120="",Y120=""),"",X120^Controls!$C$8*Y120^Controls!$C$9)</x:f>
      </x:c>
      <x:c r="AB120" s="67" t="str">
        <x:f>IF(OR(X120="",Y120=""),"",X120^Controls!$C$9*Y120^Controls!$C$8)</x:f>
      </x:c>
      <x:c r="AC120" t="str">
        <x:f>IF(OR(U120="",V120=""),"",SQRT(U120*V120))</x:f>
      </x:c>
      <x:c r="AD120" t="n">
        <x:f>IF(OR(I120="",J120="",J120=0),"",I120/J120)</x:f>
        <x:v>1500</x:v>
      </x:c>
      <x:c r="AE120" t="str">
        <x:f>IF(OR(I120="",K120="",K120=0),"",I120/K120)</x:f>
      </x:c>
      <x:c r="AF120" t="str">
        <x:f>IF(Z120="","",1+COUNTIF($Z$4:$Z$141,"&gt;"&amp;Z120)+COUNTIFS($Z$4:Z120,Z120)-1)</x:f>
      </x:c>
      <x:c r="AG120" t="str">
        <x:f>IF(AA120="","",1+COUNTIF($AA$4:$AA$141,"&gt;"&amp;AA120)+COUNTIFS($AA$4:AA120,AA120)-1)</x:f>
      </x:c>
      <x:c r="AH120" t="str">
        <x:f>IF(AB120="","",1+COUNTIF($AB$4:$AB$141,"&gt;"&amp;AB120)+COUNTIFS($AB$4:AB120,AB120)-1)</x:f>
      </x:c>
      <x:c r="AI120" t="str">
        <x:f>IF(OR(O120=0,I120=""),"",1+COUNTIFS($O$4:$O$141,1,$I$4:$I$141,"&gt;"&amp;I120)+COUNTIFS($O$4:O120,1,$I$4:I120,I120)-1)</x:f>
      </x:c>
      <x:c r="AJ120" t="str">
        <x:f>IF(OR(O120=0,L120=""),"",1+COUNTIFS($O$4:$O$141,1,$L$4:$L$141,"&gt;"&amp;L120)+COUNTIFS($O$4:O120,1,$L$4:L120,L120)-1)</x:f>
      </x:c>
      <x:c r="AK120" t="str">
        <x:f>IF(OR(O120=0,J120="",J120=0),"",1+COUNTIFS($O$4:$O$141,1,$J$4:$J$141,"&lt;"&amp;J120,$J$4:$J$141,"&gt;0")+COUNTIFS($O$4:O120,1,$J$4:J120,J120)-1)</x:f>
      </x:c>
    </x:row>
    <x:row r="121" s="14" customFormat="1">
      <x:c r="A121" t="inlineStr">
        <x:is>
          <x:t xml:space="preserve">openai|gpt-6-luna|low|reasoning|fallback-na|aa-v4.3.2|snapshot-2026-10-16</x:t>
        </x:is>
      </x:c>
      <x:c r="B121" t="inlineStr">
        <x:is>
          <x:t xml:space="preserve">openai|gpt-6-luna|low|reasoning|fallback-na</x:t>
        </x:is>
      </x:c>
      <x:c r="C121" t="inlineStr">
        <x:is>
          <x:t xml:space="preserve">GPT-6 Luna</x:t>
        </x:is>
      </x:c>
      <x:c r="D121" t="inlineStr">
        <x:is>
          <x:t xml:space="preserve">OpenAI</x:t>
        </x:is>
      </x:c>
      <x:c r="E121" t="inlineStr">
        <x:is>
          <x:t xml:space="preserve">low</x:t>
        </x:is>
      </x:c>
      <x:c r="F121" t="inlineStr">
        <x:is>
          <x:t xml:space="preserve">AA|v4.3.2</x:t>
        </x:is>
      </x:c>
      <x:c r="G121" t="n">
        <x:v>22</x:v>
      </x:c>
      <x:c r="H121" t="n">
        <x:f>IFERROR(INDEX(Benchmark_Versions!$I:$I,MATCH(F121,Benchmark_Versions!$A:$A,0)),1)</x:f>
        <x:v>1</x:v>
      </x:c>
      <x:c r="I121" t="n">
        <x:f>IF(G121="","",G121*H121)</x:f>
        <x:v>22</x:v>
      </x:c>
      <x:c r="J121" s="69" t="n">
        <x:v>0.0045</x:v>
      </x:c>
      <x:c r="L121" t="n">
        <x:v>117.9</x:v>
      </x:c>
      <x:c r="M121" t="inlineStr">
        <x:is>
          <x:t xml:space="preserve">fast-cheap / capable midtier</x:t>
        </x:is>
      </x:c>
      <x:c r="N121" t="inlineStr">
        <x:is>
          <x:t xml:space="preserve">yes</x:t>
        </x:is>
      </x:c>
      <x:c r="O121" t="n">
        <x:f>IF(F121&lt;&gt;Controls!$C$12,0,IF(AND(Controls!$C$10="Contender",M121&lt;&gt;"Contender"),0,IF(AND(Controls!$C$10="Contender+Close",NOT(OR(M121="Contender",M121="Close"))),0,IF(AND(Controls!$C$11="Current",NOT(OR(N121="yes",N121="limited"))),0,1))))</x:f>
        <x:v>0</x:v>
      </x:c>
      <x:c r="P121" t="n">
        <x:f>Controls!$C$7</x:f>
        <x:v>40</x:v>
      </x:c>
      <x:c r="Q121" t="n">
        <x:f>IF(I121="","",I121-(P121-1))</x:f>
        <x:v>-17</x:v>
      </x:c>
      <x:c r="R121" t="str">
        <x:f>IF(OR(O121=0,Q121&lt;=0,J121="",J121=0),"",Q121/J121)</x:f>
      </x:c>
      <x:c r="S121" t="str">
        <x:f>IF(OR(O121=0,Q121&lt;=0,J121="",Q121=0),"",J121/Q121)</x:f>
      </x:c>
      <x:c r="T121" t="str">
        <x:f>IF(OR(O121=0,Q121&lt;=0,J121="",K121="",J121=0,K121=0),"",Q121/(J121*(K121/60)))</x:f>
      </x:c>
      <x:c r="U121" t="str">
        <x:f>IF(OR(O121=0,I121=""),"",I121/_xlfn.MAXIFS($I$4:$I$141,$O$4:$O$141,1))</x:f>
      </x:c>
      <x:c r="V121" t="str">
        <x:f>IF(OR(O121=0,L121=""),"",L121/_xlfn.MAXIFS($L$4:$L$141,$O$4:$O$141,1))</x:f>
      </x:c>
      <x:c r="W121" t="str">
        <x:f>IF(OR(O121=0,J121=""),"",_xlfn.MINIFS($J$4:$J$141,$O$4:$O$141,1,$J$4:$J$141,"&gt;0")/J121)</x:f>
      </x:c>
      <x:c r="X121" t="str">
        <x:f>IF(R121="","",R121/_xlfn.MAXIFS($R$4:$R$141,$O$4:$O$141,1))</x:f>
      </x:c>
      <x:c r="Y121" t="str">
        <x:f>IF(T121="","",T121/_xlfn.MAXIFS($T$4:$T$141,$O$4:$O$141,1))</x:f>
      </x:c>
      <x:c r="Z121" s="67" t="str">
        <x:f>IF(OR(X121="",Y121=""),"",SQRT(X121*Y121))</x:f>
      </x:c>
      <x:c r="AA121" s="67" t="str">
        <x:f>IF(OR(X121="",Y121=""),"",X121^Controls!$C$8*Y121^Controls!$C$9)</x:f>
      </x:c>
      <x:c r="AB121" s="67" t="str">
        <x:f>IF(OR(X121="",Y121=""),"",X121^Controls!$C$9*Y121^Controls!$C$8)</x:f>
      </x:c>
      <x:c r="AC121" t="str">
        <x:f>IF(OR(U121="",V121=""),"",SQRT(U121*V121))</x:f>
      </x:c>
      <x:c r="AD121" t="n">
        <x:f>IF(OR(I121="",J121="",J121=0),"",I121/J121)</x:f>
        <x:v>4888.88888888889</x:v>
      </x:c>
      <x:c r="AE121" t="str">
        <x:f>IF(OR(I121="",K121="",K121=0),"",I121/K121)</x:f>
      </x:c>
      <x:c r="AF121" t="str">
        <x:f>IF(Z121="","",1+COUNTIF($Z$4:$Z$141,"&gt;"&amp;Z121)+COUNTIFS($Z$4:Z121,Z121)-1)</x:f>
      </x:c>
      <x:c r="AG121" t="str">
        <x:f>IF(AA121="","",1+COUNTIF($AA$4:$AA$141,"&gt;"&amp;AA121)+COUNTIFS($AA$4:AA121,AA121)-1)</x:f>
      </x:c>
      <x:c r="AH121" t="str">
        <x:f>IF(AB121="","",1+COUNTIF($AB$4:$AB$141,"&gt;"&amp;AB121)+COUNTIFS($AB$4:AB121,AB121)-1)</x:f>
      </x:c>
      <x:c r="AI121" t="str">
        <x:f>IF(OR(O121=0,I121=""),"",1+COUNTIFS($O$4:$O$141,1,$I$4:$I$141,"&gt;"&amp;I121)+COUNTIFS($O$4:O121,1,$I$4:I121,I121)-1)</x:f>
      </x:c>
      <x:c r="AJ121" t="str">
        <x:f>IF(OR(O121=0,L121=""),"",1+COUNTIFS($O$4:$O$141,1,$L$4:$L$141,"&gt;"&amp;L121)+COUNTIFS($O$4:O121,1,$L$4:L121,L121)-1)</x:f>
      </x:c>
      <x:c r="AK121" t="str">
        <x:f>IF(OR(O121=0,J121="",J121=0),"",1+COUNTIFS($O$4:$O$141,1,$J$4:$J$141,"&lt;"&amp;J121,$J$4:$J$141,"&gt;0")+COUNTIFS($O$4:O121,1,$J$4:J121,J121)-1)</x:f>
      </x:c>
    </x:row>
    <x:row r="122" s="14" customFormat="1">
      <x:c r="A122" t="inlineStr">
        <x:is>
          <x:t xml:space="preserve">openai|gpt-6-luna|non-reasoning|nonreasoning|fallback-na|aa-v4.3.2|snapshot-2026-10-16</x:t>
        </x:is>
      </x:c>
      <x:c r="B122" t="inlineStr">
        <x:is>
          <x:t xml:space="preserve">openai|gpt-6-luna|non-reasoning|nonreasoning|fallback-na</x:t>
        </x:is>
      </x:c>
      <x:c r="C122" t="inlineStr">
        <x:is>
          <x:t xml:space="preserve">GPT-6 Luna</x:t>
        </x:is>
      </x:c>
      <x:c r="D122" t="inlineStr">
        <x:is>
          <x:t xml:space="preserve">OpenAI</x:t>
        </x:is>
      </x:c>
      <x:c r="E122" t="inlineStr">
        <x:is>
          <x:t xml:space="preserve">non-reasoning</x:t>
        </x:is>
      </x:c>
      <x:c r="F122" t="inlineStr">
        <x:is>
          <x:t xml:space="preserve">AA|v4.3.2</x:t>
        </x:is>
      </x:c>
      <x:c r="G122" t="n">
        <x:v>18</x:v>
      </x:c>
      <x:c r="H122" t="n">
        <x:f>IFERROR(INDEX(Benchmark_Versions!$I:$I,MATCH(F122,Benchmark_Versions!$A:$A,0)),1)</x:f>
        <x:v>1</x:v>
      </x:c>
      <x:c r="I122" t="n">
        <x:f>IF(G122="","",G122*H122)</x:f>
        <x:v>18</x:v>
      </x:c>
      <x:c r="J122" s="69" t="n">
        <x:v>0.01</x:v>
      </x:c>
      <x:c r="L122" t="n">
        <x:v>113</x:v>
      </x:c>
      <x:c r="M122" t="inlineStr">
        <x:is>
          <x:t xml:space="preserve">fast-cheap / capable midtier</x:t>
        </x:is>
      </x:c>
      <x:c r="N122" t="inlineStr">
        <x:is>
          <x:t xml:space="preserve">yes</x:t>
        </x:is>
      </x:c>
      <x:c r="O122" t="n">
        <x:f>IF(F122&lt;&gt;Controls!$C$12,0,IF(AND(Controls!$C$10="Contender",M122&lt;&gt;"Contender"),0,IF(AND(Controls!$C$10="Contender+Close",NOT(OR(M122="Contender",M122="Close"))),0,IF(AND(Controls!$C$11="Current",NOT(OR(N122="yes",N122="limited"))),0,1))))</x:f>
        <x:v>0</x:v>
      </x:c>
      <x:c r="P122" t="n">
        <x:f>Controls!$C$7</x:f>
        <x:v>40</x:v>
      </x:c>
      <x:c r="Q122" t="n">
        <x:f>IF(I122="","",I122-(P122-1))</x:f>
        <x:v>-21</x:v>
      </x:c>
      <x:c r="R122" t="str">
        <x:f>IF(OR(O122=0,Q122&lt;=0,J122="",J122=0),"",Q122/J122)</x:f>
      </x:c>
      <x:c r="S122" t="str">
        <x:f>IF(OR(O122=0,Q122&lt;=0,J122="",Q122=0),"",J122/Q122)</x:f>
      </x:c>
      <x:c r="T122" t="str">
        <x:f>IF(OR(O122=0,Q122&lt;=0,J122="",K122="",J122=0,K122=0),"",Q122/(J122*(K122/60)))</x:f>
      </x:c>
      <x:c r="U122" t="str">
        <x:f>IF(OR(O122=0,I122=""),"",I122/_xlfn.MAXIFS($I$4:$I$141,$O$4:$O$141,1))</x:f>
      </x:c>
      <x:c r="V122" t="str">
        <x:f>IF(OR(O122=0,L122=""),"",L122/_xlfn.MAXIFS($L$4:$L$141,$O$4:$O$141,1))</x:f>
      </x:c>
      <x:c r="W122" t="str">
        <x:f>IF(OR(O122=0,J122=""),"",_xlfn.MINIFS($J$4:$J$141,$O$4:$O$141,1,$J$4:$J$141,"&gt;0")/J122)</x:f>
      </x:c>
      <x:c r="X122" t="str">
        <x:f>IF(R122="","",R122/_xlfn.MAXIFS($R$4:$R$141,$O$4:$O$141,1))</x:f>
      </x:c>
      <x:c r="Y122" t="str">
        <x:f>IF(T122="","",T122/_xlfn.MAXIFS($T$4:$T$141,$O$4:$O$141,1))</x:f>
      </x:c>
      <x:c r="Z122" s="67" t="str">
        <x:f>IF(OR(X122="",Y122=""),"",SQRT(X122*Y122))</x:f>
      </x:c>
      <x:c r="AA122" s="67" t="str">
        <x:f>IF(OR(X122="",Y122=""),"",X122^Controls!$C$8*Y122^Controls!$C$9)</x:f>
      </x:c>
      <x:c r="AB122" s="67" t="str">
        <x:f>IF(OR(X122="",Y122=""),"",X122^Controls!$C$9*Y122^Controls!$C$8)</x:f>
      </x:c>
      <x:c r="AC122" t="str">
        <x:f>IF(OR(U122="",V122=""),"",SQRT(U122*V122))</x:f>
      </x:c>
      <x:c r="AD122" t="n">
        <x:f>IF(OR(I122="",J122="",J122=0),"",I122/J122)</x:f>
        <x:v>1800</x:v>
      </x:c>
      <x:c r="AE122" t="str">
        <x:f>IF(OR(I122="",K122="",K122=0),"",I122/K122)</x:f>
      </x:c>
      <x:c r="AF122" t="str">
        <x:f>IF(Z122="","",1+COUNTIF($Z$4:$Z$141,"&gt;"&amp;Z122)+COUNTIFS($Z$4:Z122,Z122)-1)</x:f>
      </x:c>
      <x:c r="AG122" t="str">
        <x:f>IF(AA122="","",1+COUNTIF($AA$4:$AA$141,"&gt;"&amp;AA122)+COUNTIFS($AA$4:AA122,AA122)-1)</x:f>
      </x:c>
      <x:c r="AH122" t="str">
        <x:f>IF(AB122="","",1+COUNTIF($AB$4:$AB$141,"&gt;"&amp;AB122)+COUNTIFS($AB$4:AB122,AB122)-1)</x:f>
      </x:c>
      <x:c r="AI122" t="str">
        <x:f>IF(OR(O122=0,I122=""),"",1+COUNTIFS($O$4:$O$141,1,$I$4:$I$141,"&gt;"&amp;I122)+COUNTIFS($O$4:O122,1,$I$4:I122,I122)-1)</x:f>
      </x:c>
      <x:c r="AJ122" t="str">
        <x:f>IF(OR(O122=0,L122=""),"",1+COUNTIFS($O$4:$O$141,1,$L$4:$L$141,"&gt;"&amp;L122)+COUNTIFS($O$4:O122,1,$L$4:L122,L122)-1)</x:f>
      </x:c>
      <x:c r="AK122" t="str">
        <x:f>IF(OR(O122=0,J122="",J122=0),"",1+COUNTIFS($O$4:$O$141,1,$J$4:$J$141,"&lt;"&amp;J122,$J$4:$J$141,"&gt;0")+COUNTIFS($O$4:O122,1,$J$4:J122,J122)-1)</x:f>
      </x:c>
    </x:row>
    <x:row r="123" s="14" customFormat="1">
      <x:c r="A123" t="inlineStr">
        <x:is>
          <x:t xml:space="preserve">anthropic|claude-opus-5.5|max|reasoning|fallback-true|aa-v4.3.2|snapshot-2026-10-16</x:t>
        </x:is>
      </x:c>
      <x:c r="B123" t="inlineStr">
        <x:is>
          <x:t xml:space="preserve">anthropic|claude-opus-5.5|max|reasoning|fallback-true</x:t>
        </x:is>
      </x:c>
      <x:c r="C123" t="inlineStr">
        <x:is>
          <x:t xml:space="preserve">Claude Opus 5.5</x:t>
        </x:is>
      </x:c>
      <x:c r="D123" t="inlineStr">
        <x:is>
          <x:t xml:space="preserve">Anthropic</x:t>
        </x:is>
      </x:c>
      <x:c r="E123" t="inlineStr">
        <x:is>
          <x:t xml:space="preserve">max</x:t>
        </x:is>
      </x:c>
      <x:c r="F123" t="inlineStr">
        <x:is>
          <x:t xml:space="preserve">AA|v4.3.2</x:t>
        </x:is>
      </x:c>
      <x:c r="G123" t="n">
        <x:v>58</x:v>
      </x:c>
      <x:c r="H123" t="n">
        <x:f>IFERROR(INDEX(Benchmark_Versions!$I:$I,MATCH(F123,Benchmark_Versions!$A:$A,0)),1)</x:f>
        <x:v>1</x:v>
      </x:c>
      <x:c r="I123" t="n">
        <x:f>IF(G123="","",G123*H123)</x:f>
        <x:v>58</x:v>
      </x:c>
      <x:c r="J123" s="69" t="n">
        <x:v>5.98</x:v>
      </x:c>
      <x:c r="L123" t="n">
        <x:v>96.8</x:v>
      </x:c>
      <x:c r="M123" t="inlineStr">
        <x:is>
          <x:t xml:space="preserve">frontier / judgment-heavy</x:t>
        </x:is>
      </x:c>
      <x:c r="N123" t="inlineStr">
        <x:is>
          <x:t xml:space="preserve">yes</x:t>
        </x:is>
      </x:c>
      <x:c r="O123" t="n">
        <x:f>IF(F123&lt;&gt;Controls!$C$12,0,IF(AND(Controls!$C$10="Contender",M123&lt;&gt;"Contender"),0,IF(AND(Controls!$C$10="Contender+Close",NOT(OR(M123="Contender",M123="Close"))),0,IF(AND(Controls!$C$11="Current",NOT(OR(N123="yes",N123="limited"))),0,1))))</x:f>
        <x:v>0</x:v>
      </x:c>
      <x:c r="P123" t="n">
        <x:f>Controls!$C$7</x:f>
        <x:v>40</x:v>
      </x:c>
      <x:c r="Q123" t="n">
        <x:f>IF(I123="","",I123-(P123-1))</x:f>
        <x:v>19</x:v>
      </x:c>
      <x:c r="R123" t="str">
        <x:f>IF(OR(O123=0,Q123&lt;=0,J123="",J123=0),"",Q123/J123)</x:f>
      </x:c>
      <x:c r="S123" t="str">
        <x:f>IF(OR(O123=0,Q123&lt;=0,J123="",Q123=0),"",J123/Q123)</x:f>
      </x:c>
      <x:c r="T123" t="str">
        <x:f>IF(OR(O123=0,Q123&lt;=0,J123="",K123="",J123=0,K123=0),"",Q123/(J123*(K123/60)))</x:f>
      </x:c>
      <x:c r="U123" t="str">
        <x:f>IF(OR(O123=0,I123=""),"",I123/_xlfn.MAXIFS($I$4:$I$141,$O$4:$O$141,1))</x:f>
      </x:c>
      <x:c r="V123" t="str">
        <x:f>IF(OR(O123=0,L123=""),"",L123/_xlfn.MAXIFS($L$4:$L$141,$O$4:$O$141,1))</x:f>
      </x:c>
      <x:c r="W123" t="str">
        <x:f>IF(OR(O123=0,J123=""),"",_xlfn.MINIFS($J$4:$J$141,$O$4:$O$141,1,$J$4:$J$141,"&gt;0")/J123)</x:f>
      </x:c>
      <x:c r="X123" t="str">
        <x:f>IF(R123="","",R123/_xlfn.MAXIFS($R$4:$R$141,$O$4:$O$141,1))</x:f>
      </x:c>
      <x:c r="Y123" t="str">
        <x:f>IF(T123="","",T123/_xlfn.MAXIFS($T$4:$T$141,$O$4:$O$141,1))</x:f>
      </x:c>
      <x:c r="Z123" s="67" t="str">
        <x:f>IF(OR(X123="",Y123=""),"",SQRT(X123*Y123))</x:f>
      </x:c>
      <x:c r="AA123" s="67" t="str">
        <x:f>IF(OR(X123="",Y123=""),"",X123^Controls!$C$8*Y123^Controls!$C$9)</x:f>
      </x:c>
      <x:c r="AB123" s="67" t="str">
        <x:f>IF(OR(X123="",Y123=""),"",X123^Controls!$C$9*Y123^Controls!$C$8)</x:f>
      </x:c>
      <x:c r="AC123" t="str">
        <x:f>IF(OR(U123="",V123=""),"",SQRT(U123*V123))</x:f>
      </x:c>
      <x:c r="AD123" t="n">
        <x:f>IF(OR(I123="",J123="",J123=0),"",I123/J123)</x:f>
        <x:v>9.698996655518394</x:v>
      </x:c>
      <x:c r="AE123" t="str">
        <x:f>IF(OR(I123="",K123="",K123=0),"",I123/K123)</x:f>
      </x:c>
      <x:c r="AF123" t="str">
        <x:f>IF(Z123="","",1+COUNTIF($Z$4:$Z$141,"&gt;"&amp;Z123)+COUNTIFS($Z$4:Z123,Z123)-1)</x:f>
      </x:c>
      <x:c r="AG123" t="str">
        <x:f>IF(AA123="","",1+COUNTIF($AA$4:$AA$141,"&gt;"&amp;AA123)+COUNTIFS($AA$4:AA123,AA123)-1)</x:f>
      </x:c>
      <x:c r="AH123" t="str">
        <x:f>IF(AB123="","",1+COUNTIF($AB$4:$AB$141,"&gt;"&amp;AB123)+COUNTIFS($AB$4:AB123,AB123)-1)</x:f>
      </x:c>
      <x:c r="AI123" t="str">
        <x:f>IF(OR(O123=0,I123=""),"",1+COUNTIFS($O$4:$O$141,1,$I$4:$I$141,"&gt;"&amp;I123)+COUNTIFS($O$4:O123,1,$I$4:I123,I123)-1)</x:f>
      </x:c>
      <x:c r="AJ123" t="str">
        <x:f>IF(OR(O123=0,L123=""),"",1+COUNTIFS($O$4:$O$141,1,$L$4:$L$141,"&gt;"&amp;L123)+COUNTIFS($O$4:O123,1,$L$4:L123,L123)-1)</x:f>
      </x:c>
      <x:c r="AK123" t="str">
        <x:f>IF(OR(O123=0,J123="",J123=0),"",1+COUNTIFS($O$4:$O$141,1,$J$4:$J$141,"&lt;"&amp;J123,$J$4:$J$141,"&gt;0")+COUNTIFS($O$4:O123,1,$J$4:J123,J123)-1)</x:f>
      </x:c>
    </x:row>
    <x:row r="124" s="14" customFormat="1">
      <x:c r="A124" t="inlineStr">
        <x:is>
          <x:t xml:space="preserve">anthropic|claude-opus-5.5|xhigh|reasoning|fallback-true|aa-v4.3.2|snapshot-2026-10-16</x:t>
        </x:is>
      </x:c>
      <x:c r="B124" t="inlineStr">
        <x:is>
          <x:t xml:space="preserve">anthropic|claude-opus-5.5|xhigh|reasoning|fallback-true</x:t>
        </x:is>
      </x:c>
      <x:c r="C124" t="inlineStr">
        <x:is>
          <x:t xml:space="preserve">Claude Opus 5.5</x:t>
        </x:is>
      </x:c>
      <x:c r="D124" t="inlineStr">
        <x:is>
          <x:t xml:space="preserve">Anthropic</x:t>
        </x:is>
      </x:c>
      <x:c r="E124" t="inlineStr">
        <x:is>
          <x:t xml:space="preserve">xhigh</x:t>
        </x:is>
      </x:c>
      <x:c r="F124" t="inlineStr">
        <x:is>
          <x:t xml:space="preserve">AA|v4.3.2</x:t>
        </x:is>
      </x:c>
      <x:c r="G124" t="n">
        <x:v>56</x:v>
      </x:c>
      <x:c r="H124" t="n">
        <x:f>IFERROR(INDEX(Benchmark_Versions!$I:$I,MATCH(F124,Benchmark_Versions!$A:$A,0)),1)</x:f>
        <x:v>1</x:v>
      </x:c>
      <x:c r="I124" t="n">
        <x:f>IF(G124="","",G124*H124)</x:f>
        <x:v>56</x:v>
      </x:c>
      <x:c r="J124" s="69" t="n">
        <x:v>3.46</x:v>
      </x:c>
      <x:c r="L124" t="n">
        <x:v>85.5</x:v>
      </x:c>
      <x:c r="M124" t="inlineStr">
        <x:is>
          <x:t xml:space="preserve">frontier / judgment-heavy</x:t>
        </x:is>
      </x:c>
      <x:c r="N124" t="inlineStr">
        <x:is>
          <x:t xml:space="preserve">yes</x:t>
        </x:is>
      </x:c>
      <x:c r="O124" t="n">
        <x:f>IF(F124&lt;&gt;Controls!$C$12,0,IF(AND(Controls!$C$10="Contender",M124&lt;&gt;"Contender"),0,IF(AND(Controls!$C$10="Contender+Close",NOT(OR(M124="Contender",M124="Close"))),0,IF(AND(Controls!$C$11="Current",NOT(OR(N124="yes",N124="limited"))),0,1))))</x:f>
        <x:v>0</x:v>
      </x:c>
      <x:c r="P124" t="n">
        <x:f>Controls!$C$7</x:f>
        <x:v>40</x:v>
      </x:c>
      <x:c r="Q124" t="n">
        <x:f>IF(I124="","",I124-(P124-1))</x:f>
        <x:v>17</x:v>
      </x:c>
      <x:c r="R124" t="str">
        <x:f>IF(OR(O124=0,Q124&lt;=0,J124="",J124=0),"",Q124/J124)</x:f>
      </x:c>
      <x:c r="S124" t="str">
        <x:f>IF(OR(O124=0,Q124&lt;=0,J124="",Q124=0),"",J124/Q124)</x:f>
      </x:c>
      <x:c r="T124" t="str">
        <x:f>IF(OR(O124=0,Q124&lt;=0,J124="",K124="",J124=0,K124=0),"",Q124/(J124*(K124/60)))</x:f>
      </x:c>
      <x:c r="U124" t="str">
        <x:f>IF(OR(O124=0,I124=""),"",I124/_xlfn.MAXIFS($I$4:$I$141,$O$4:$O$141,1))</x:f>
      </x:c>
      <x:c r="V124" t="str">
        <x:f>IF(OR(O124=0,L124=""),"",L124/_xlfn.MAXIFS($L$4:$L$141,$O$4:$O$141,1))</x:f>
      </x:c>
      <x:c r="W124" t="str">
        <x:f>IF(OR(O124=0,J124=""),"",_xlfn.MINIFS($J$4:$J$141,$O$4:$O$141,1,$J$4:$J$141,"&gt;0")/J124)</x:f>
      </x:c>
      <x:c r="X124" t="str">
        <x:f>IF(R124="","",R124/_xlfn.MAXIFS($R$4:$R$141,$O$4:$O$141,1))</x:f>
      </x:c>
      <x:c r="Y124" t="str">
        <x:f>IF(T124="","",T124/_xlfn.MAXIFS($T$4:$T$141,$O$4:$O$141,1))</x:f>
      </x:c>
      <x:c r="Z124" s="67" t="str">
        <x:f>IF(OR(X124="",Y124=""),"",SQRT(X124*Y124))</x:f>
      </x:c>
      <x:c r="AA124" s="67" t="str">
        <x:f>IF(OR(X124="",Y124=""),"",X124^Controls!$C$8*Y124^Controls!$C$9)</x:f>
      </x:c>
      <x:c r="AB124" s="67" t="str">
        <x:f>IF(OR(X124="",Y124=""),"",X124^Controls!$C$9*Y124^Controls!$C$8)</x:f>
      </x:c>
      <x:c r="AC124" t="str">
        <x:f>IF(OR(U124="",V124=""),"",SQRT(U124*V124))</x:f>
      </x:c>
      <x:c r="AD124" t="n">
        <x:f>IF(OR(I124="",J124="",J124=0),"",I124/J124)</x:f>
        <x:v>16.184971098265898</x:v>
      </x:c>
      <x:c r="AE124" t="str">
        <x:f>IF(OR(I124="",K124="",K124=0),"",I124/K124)</x:f>
      </x:c>
      <x:c r="AF124" t="str">
        <x:f>IF(Z124="","",1+COUNTIF($Z$4:$Z$141,"&gt;"&amp;Z124)+COUNTIFS($Z$4:Z124,Z124)-1)</x:f>
      </x:c>
      <x:c r="AG124" t="str">
        <x:f>IF(AA124="","",1+COUNTIF($AA$4:$AA$141,"&gt;"&amp;AA124)+COUNTIFS($AA$4:AA124,AA124)-1)</x:f>
      </x:c>
      <x:c r="AH124" t="str">
        <x:f>IF(AB124="","",1+COUNTIF($AB$4:$AB$141,"&gt;"&amp;AB124)+COUNTIFS($AB$4:AB124,AB124)-1)</x:f>
      </x:c>
      <x:c r="AI124" t="str">
        <x:f>IF(OR(O124=0,I124=""),"",1+COUNTIFS($O$4:$O$141,1,$I$4:$I$141,"&gt;"&amp;I124)+COUNTIFS($O$4:O124,1,$I$4:I124,I124)-1)</x:f>
      </x:c>
      <x:c r="AJ124" t="str">
        <x:f>IF(OR(O124=0,L124=""),"",1+COUNTIFS($O$4:$O$141,1,$L$4:$L$141,"&gt;"&amp;L124)+COUNTIFS($O$4:O124,1,$L$4:L124,L124)-1)</x:f>
      </x:c>
      <x:c r="AK124" t="str">
        <x:f>IF(OR(O124=0,J124="",J124=0),"",1+COUNTIFS($O$4:$O$141,1,$J$4:$J$141,"&lt;"&amp;J124,$J$4:$J$141,"&gt;0")+COUNTIFS($O$4:O124,1,$J$4:J124,J124)-1)</x:f>
      </x:c>
    </x:row>
    <x:row r="125" s="14" customFormat="1">
      <x:c r="A125" t="inlineStr">
        <x:is>
          <x:t xml:space="preserve">anthropic|claude-opus-5.5|high|reasoning|fallback-true|aa-v4.3.2|snapshot-2026-10-16</x:t>
        </x:is>
      </x:c>
      <x:c r="B125" t="inlineStr">
        <x:is>
          <x:t xml:space="preserve">anthropic|claude-opus-5.5|high|reasoning|fallback-true</x:t>
        </x:is>
      </x:c>
      <x:c r="C125" t="inlineStr">
        <x:is>
          <x:t xml:space="preserve">Claude Opus 5.5</x:t>
        </x:is>
      </x:c>
      <x:c r="D125" t="inlineStr">
        <x:is>
          <x:t xml:space="preserve">Anthropic</x:t>
        </x:is>
      </x:c>
      <x:c r="E125" t="inlineStr">
        <x:is>
          <x:t xml:space="preserve">high</x:t>
        </x:is>
      </x:c>
      <x:c r="F125" t="inlineStr">
        <x:is>
          <x:t xml:space="preserve">AA|v4.3.2</x:t>
        </x:is>
      </x:c>
      <x:c r="G125" t="n">
        <x:v>54</x:v>
      </x:c>
      <x:c r="H125" t="n">
        <x:f>IFERROR(INDEX(Benchmark_Versions!$I:$I,MATCH(F125,Benchmark_Versions!$A:$A,0)),1)</x:f>
        <x:v>1</x:v>
      </x:c>
      <x:c r="I125" t="n">
        <x:f>IF(G125="","",G125*H125)</x:f>
        <x:v>54</x:v>
      </x:c>
      <x:c r="J125" s="69" t="n">
        <x:v>1.82</x:v>
      </x:c>
      <x:c r="L125" t="n">
        <x:v>86.8</x:v>
      </x:c>
      <x:c r="M125" t="inlineStr">
        <x:is>
          <x:t xml:space="preserve">frontier / judgment-heavy</x:t>
        </x:is>
      </x:c>
      <x:c r="N125" t="inlineStr">
        <x:is>
          <x:t xml:space="preserve">yes</x:t>
        </x:is>
      </x:c>
      <x:c r="O125" t="n">
        <x:f>IF(F125&lt;&gt;Controls!$C$12,0,IF(AND(Controls!$C$10="Contender",M125&lt;&gt;"Contender"),0,IF(AND(Controls!$C$10="Contender+Close",NOT(OR(M125="Contender",M125="Close"))),0,IF(AND(Controls!$C$11="Current",NOT(OR(N125="yes",N125="limited"))),0,1))))</x:f>
        <x:v>0</x:v>
      </x:c>
      <x:c r="P125" t="n">
        <x:f>Controls!$C$7</x:f>
        <x:v>40</x:v>
      </x:c>
      <x:c r="Q125" t="n">
        <x:f>IF(I125="","",I125-(P125-1))</x:f>
        <x:v>15</x:v>
      </x:c>
      <x:c r="R125" t="str">
        <x:f>IF(OR(O125=0,Q125&lt;=0,J125="",J125=0),"",Q125/J125)</x:f>
      </x:c>
      <x:c r="S125" t="str">
        <x:f>IF(OR(O125=0,Q125&lt;=0,J125="",Q125=0),"",J125/Q125)</x:f>
      </x:c>
      <x:c r="T125" t="str">
        <x:f>IF(OR(O125=0,Q125&lt;=0,J125="",K125="",J125=0,K125=0),"",Q125/(J125*(K125/60)))</x:f>
      </x:c>
      <x:c r="U125" t="str">
        <x:f>IF(OR(O125=0,I125=""),"",I125/_xlfn.MAXIFS($I$4:$I$141,$O$4:$O$141,1))</x:f>
      </x:c>
      <x:c r="V125" t="str">
        <x:f>IF(OR(O125=0,L125=""),"",L125/_xlfn.MAXIFS($L$4:$L$141,$O$4:$O$141,1))</x:f>
      </x:c>
      <x:c r="W125" t="str">
        <x:f>IF(OR(O125=0,J125=""),"",_xlfn.MINIFS($J$4:$J$141,$O$4:$O$141,1,$J$4:$J$141,"&gt;0")/J125)</x:f>
      </x:c>
      <x:c r="X125" t="str">
        <x:f>IF(R125="","",R125/_xlfn.MAXIFS($R$4:$R$141,$O$4:$O$141,1))</x:f>
      </x:c>
      <x:c r="Y125" t="str">
        <x:f>IF(T125="","",T125/_xlfn.MAXIFS($T$4:$T$141,$O$4:$O$141,1))</x:f>
      </x:c>
      <x:c r="Z125" s="67" t="str">
        <x:f>IF(OR(X125="",Y125=""),"",SQRT(X125*Y125))</x:f>
      </x:c>
      <x:c r="AA125" s="67" t="str">
        <x:f>IF(OR(X125="",Y125=""),"",X125^Controls!$C$8*Y125^Controls!$C$9)</x:f>
      </x:c>
      <x:c r="AB125" s="67" t="str">
        <x:f>IF(OR(X125="",Y125=""),"",X125^Controls!$C$9*Y125^Controls!$C$8)</x:f>
      </x:c>
      <x:c r="AC125" t="str">
        <x:f>IF(OR(U125="",V125=""),"",SQRT(U125*V125))</x:f>
      </x:c>
      <x:c r="AD125" t="n">
        <x:f>IF(OR(I125="",J125="",J125=0),"",I125/J125)</x:f>
        <x:v>29.670329670329668</x:v>
      </x:c>
      <x:c r="AE125" t="str">
        <x:f>IF(OR(I125="",K125="",K125=0),"",I125/K125)</x:f>
      </x:c>
      <x:c r="AF125" t="str">
        <x:f>IF(Z125="","",1+COUNTIF($Z$4:$Z$141,"&gt;"&amp;Z125)+COUNTIFS($Z$4:Z125,Z125)-1)</x:f>
      </x:c>
      <x:c r="AG125" t="str">
        <x:f>IF(AA125="","",1+COUNTIF($AA$4:$AA$141,"&gt;"&amp;AA125)+COUNTIFS($AA$4:AA125,AA125)-1)</x:f>
      </x:c>
      <x:c r="AH125" t="str">
        <x:f>IF(AB125="","",1+COUNTIF($AB$4:$AB$141,"&gt;"&amp;AB125)+COUNTIFS($AB$4:AB125,AB125)-1)</x:f>
      </x:c>
      <x:c r="AI125" t="str">
        <x:f>IF(OR(O125=0,I125=""),"",1+COUNTIFS($O$4:$O$141,1,$I$4:$I$141,"&gt;"&amp;I125)+COUNTIFS($O$4:O125,1,$I$4:I125,I125)-1)</x:f>
      </x:c>
      <x:c r="AJ125" t="str">
        <x:f>IF(OR(O125=0,L125=""),"",1+COUNTIFS($O$4:$O$141,1,$L$4:$L$141,"&gt;"&amp;L125)+COUNTIFS($O$4:O125,1,$L$4:L125,L125)-1)</x:f>
      </x:c>
      <x:c r="AK125" t="str">
        <x:f>IF(OR(O125=0,J125="",J125=0),"",1+COUNTIFS($O$4:$O$141,1,$J$4:$J$141,"&lt;"&amp;J125,$J$4:$J$141,"&gt;0")+COUNTIFS($O$4:O125,1,$J$4:J125,J125)-1)</x:f>
      </x:c>
    </x:row>
    <x:row r="126" s="14" customFormat="1">
      <x:c r="A126" t="inlineStr">
        <x:is>
          <x:t xml:space="preserve">anthropic|claude-opus-5.5|medium|reasoning|fallback-true|aa-v4.3.2|snapshot-2026-10-16</x:t>
        </x:is>
      </x:c>
      <x:c r="B126" t="inlineStr">
        <x:is>
          <x:t xml:space="preserve">anthropic|claude-opus-5.5|medium|reasoning|fallback-true</x:t>
        </x:is>
      </x:c>
      <x:c r="C126" t="inlineStr">
        <x:is>
          <x:t xml:space="preserve">Claude Opus 5.5</x:t>
        </x:is>
      </x:c>
      <x:c r="D126" t="inlineStr">
        <x:is>
          <x:t xml:space="preserve">Anthropic</x:t>
        </x:is>
      </x:c>
      <x:c r="E126" t="inlineStr">
        <x:is>
          <x:t xml:space="preserve">medium</x:t>
        </x:is>
      </x:c>
      <x:c r="F126" t="inlineStr">
        <x:is>
          <x:t xml:space="preserve">AA|v4.3.2</x:t>
        </x:is>
      </x:c>
      <x:c r="G126" t="n">
        <x:v>51</x:v>
      </x:c>
      <x:c r="H126" t="n">
        <x:f>IFERROR(INDEX(Benchmark_Versions!$I:$I,MATCH(F126,Benchmark_Versions!$A:$A,0)),1)</x:f>
        <x:v>1</x:v>
      </x:c>
      <x:c r="I126" t="n">
        <x:f>IF(G126="","",G126*H126)</x:f>
        <x:v>51</x:v>
      </x:c>
      <x:c r="J126" s="69" t="n">
        <x:v>1.34</x:v>
      </x:c>
      <x:c r="L126" t="n">
        <x:v>88.40000000000001</x:v>
      </x:c>
      <x:c r="M126" t="inlineStr">
        <x:is>
          <x:t xml:space="preserve">frontier / judgment-heavy</x:t>
        </x:is>
      </x:c>
      <x:c r="N126" t="inlineStr">
        <x:is>
          <x:t xml:space="preserve">yes</x:t>
        </x:is>
      </x:c>
      <x:c r="O126" t="n">
        <x:f>IF(F126&lt;&gt;Controls!$C$12,0,IF(AND(Controls!$C$10="Contender",M126&lt;&gt;"Contender"),0,IF(AND(Controls!$C$10="Contender+Close",NOT(OR(M126="Contender",M126="Close"))),0,IF(AND(Controls!$C$11="Current",NOT(OR(N126="yes",N126="limited"))),0,1))))</x:f>
        <x:v>0</x:v>
      </x:c>
      <x:c r="P126" t="n">
        <x:f>Controls!$C$7</x:f>
        <x:v>40</x:v>
      </x:c>
      <x:c r="Q126" t="n">
        <x:f>IF(I126="","",I126-(P126-1))</x:f>
        <x:v>12</x:v>
      </x:c>
      <x:c r="R126" t="str">
        <x:f>IF(OR(O126=0,Q126&lt;=0,J126="",J126=0),"",Q126/J126)</x:f>
      </x:c>
      <x:c r="S126" t="str">
        <x:f>IF(OR(O126=0,Q126&lt;=0,J126="",Q126=0),"",J126/Q126)</x:f>
      </x:c>
      <x:c r="T126" t="str">
        <x:f>IF(OR(O126=0,Q126&lt;=0,J126="",K126="",J126=0,K126=0),"",Q126/(J126*(K126/60)))</x:f>
      </x:c>
      <x:c r="U126" t="str">
        <x:f>IF(OR(O126=0,I126=""),"",I126/_xlfn.MAXIFS($I$4:$I$141,$O$4:$O$141,1))</x:f>
      </x:c>
      <x:c r="V126" t="str">
        <x:f>IF(OR(O126=0,L126=""),"",L126/_xlfn.MAXIFS($L$4:$L$141,$O$4:$O$141,1))</x:f>
      </x:c>
      <x:c r="W126" t="str">
        <x:f>IF(OR(O126=0,J126=""),"",_xlfn.MINIFS($J$4:$J$141,$O$4:$O$141,1,$J$4:$J$141,"&gt;0")/J126)</x:f>
      </x:c>
      <x:c r="X126" t="str">
        <x:f>IF(R126="","",R126/_xlfn.MAXIFS($R$4:$R$141,$O$4:$O$141,1))</x:f>
      </x:c>
      <x:c r="Y126" t="str">
        <x:f>IF(T126="","",T126/_xlfn.MAXIFS($T$4:$T$141,$O$4:$O$141,1))</x:f>
      </x:c>
      <x:c r="Z126" s="67" t="str">
        <x:f>IF(OR(X126="",Y126=""),"",SQRT(X126*Y126))</x:f>
      </x:c>
      <x:c r="AA126" s="67" t="str">
        <x:f>IF(OR(X126="",Y126=""),"",X126^Controls!$C$8*Y126^Controls!$C$9)</x:f>
      </x:c>
      <x:c r="AB126" s="67" t="str">
        <x:f>IF(OR(X126="",Y126=""),"",X126^Controls!$C$9*Y126^Controls!$C$8)</x:f>
      </x:c>
      <x:c r="AC126" t="str">
        <x:f>IF(OR(U126="",V126=""),"",SQRT(U126*V126))</x:f>
      </x:c>
      <x:c r="AD126" t="n">
        <x:f>IF(OR(I126="",J126="",J126=0),"",I126/J126)</x:f>
        <x:v>38.059701492537314</x:v>
      </x:c>
      <x:c r="AE126" t="str">
        <x:f>IF(OR(I126="",K126="",K126=0),"",I126/K126)</x:f>
      </x:c>
      <x:c r="AF126" t="str">
        <x:f>IF(Z126="","",1+COUNTIF($Z$4:$Z$141,"&gt;"&amp;Z126)+COUNTIFS($Z$4:Z126,Z126)-1)</x:f>
      </x:c>
      <x:c r="AG126" t="str">
        <x:f>IF(AA126="","",1+COUNTIF($AA$4:$AA$141,"&gt;"&amp;AA126)+COUNTIFS($AA$4:AA126,AA126)-1)</x:f>
      </x:c>
      <x:c r="AH126" t="str">
        <x:f>IF(AB126="","",1+COUNTIF($AB$4:$AB$141,"&gt;"&amp;AB126)+COUNTIFS($AB$4:AB126,AB126)-1)</x:f>
      </x:c>
      <x:c r="AI126" t="str">
        <x:f>IF(OR(O126=0,I126=""),"",1+COUNTIFS($O$4:$O$141,1,$I$4:$I$141,"&gt;"&amp;I126)+COUNTIFS($O$4:O126,1,$I$4:I126,I126)-1)</x:f>
      </x:c>
      <x:c r="AJ126" t="str">
        <x:f>IF(OR(O126=0,L126=""),"",1+COUNTIFS($O$4:$O$141,1,$L$4:$L$141,"&gt;"&amp;L126)+COUNTIFS($O$4:O126,1,$L$4:L126,L126)-1)</x:f>
      </x:c>
      <x:c r="AK126" t="str">
        <x:f>IF(OR(O126=0,J126="",J126=0),"",1+COUNTIFS($O$4:$O$141,1,$J$4:$J$141,"&lt;"&amp;J126,$J$4:$J$141,"&gt;0")+COUNTIFS($O$4:O126,1,$J$4:J126,J126)-1)</x:f>
      </x:c>
    </x:row>
    <x:row r="127" s="14" customFormat="1">
      <x:c r="A127" t="inlineStr">
        <x:is>
          <x:t xml:space="preserve">anthropic|claude-opus-5.5|low|reasoning|fallback-true|aa-v4.3.2|snapshot-2026-10-16</x:t>
        </x:is>
      </x:c>
      <x:c r="B127" t="inlineStr">
        <x:is>
          <x:t xml:space="preserve">anthropic|claude-opus-5.5|low|reasoning|fallback-true</x:t>
        </x:is>
      </x:c>
      <x:c r="C127" t="inlineStr">
        <x:is>
          <x:t xml:space="preserve">Claude Opus 5.5</x:t>
        </x:is>
      </x:c>
      <x:c r="D127" t="inlineStr">
        <x:is>
          <x:t xml:space="preserve">Anthropic</x:t>
        </x:is>
      </x:c>
      <x:c r="E127" t="inlineStr">
        <x:is>
          <x:t xml:space="preserve">low</x:t>
        </x:is>
      </x:c>
      <x:c r="F127" t="inlineStr">
        <x:is>
          <x:t xml:space="preserve">AA|v4.3.2</x:t>
        </x:is>
      </x:c>
      <x:c r="G127" t="n">
        <x:v>42</x:v>
      </x:c>
      <x:c r="H127" t="n">
        <x:f>IFERROR(INDEX(Benchmark_Versions!$I:$I,MATCH(F127,Benchmark_Versions!$A:$A,0)),1)</x:f>
        <x:v>1</x:v>
      </x:c>
      <x:c r="I127" t="n">
        <x:f>IF(G127="","",G127*H127)</x:f>
        <x:v>42</x:v>
      </x:c>
      <x:c r="J127" s="69" t="n">
        <x:v>0.55</x:v>
      </x:c>
      <x:c r="L127" t="n">
        <x:v>88.7</x:v>
      </x:c>
      <x:c r="M127" t="inlineStr">
        <x:is>
          <x:t xml:space="preserve">frontier / judgment-heavy</x:t>
        </x:is>
      </x:c>
      <x:c r="N127" t="inlineStr">
        <x:is>
          <x:t xml:space="preserve">yes</x:t>
        </x:is>
      </x:c>
      <x:c r="O127" t="n">
        <x:f>IF(F127&lt;&gt;Controls!$C$12,0,IF(AND(Controls!$C$10="Contender",M127&lt;&gt;"Contender"),0,IF(AND(Controls!$C$10="Contender+Close",NOT(OR(M127="Contender",M127="Close"))),0,IF(AND(Controls!$C$11="Current",NOT(OR(N127="yes",N127="limited"))),0,1))))</x:f>
        <x:v>0</x:v>
      </x:c>
      <x:c r="P127" t="n">
        <x:f>Controls!$C$7</x:f>
        <x:v>40</x:v>
      </x:c>
      <x:c r="Q127" t="n">
        <x:f>IF(I127="","",I127-(P127-1))</x:f>
        <x:v>3</x:v>
      </x:c>
      <x:c r="R127" t="str">
        <x:f>IF(OR(O127=0,Q127&lt;=0,J127="",J127=0),"",Q127/J127)</x:f>
      </x:c>
      <x:c r="S127" t="str">
        <x:f>IF(OR(O127=0,Q127&lt;=0,J127="",Q127=0),"",J127/Q127)</x:f>
      </x:c>
      <x:c r="T127" t="str">
        <x:f>IF(OR(O127=0,Q127&lt;=0,J127="",K127="",J127=0,K127=0),"",Q127/(J127*(K127/60)))</x:f>
      </x:c>
      <x:c r="U127" t="str">
        <x:f>IF(OR(O127=0,I127=""),"",I127/_xlfn.MAXIFS($I$4:$I$141,$O$4:$O$141,1))</x:f>
      </x:c>
      <x:c r="V127" t="str">
        <x:f>IF(OR(O127=0,L127=""),"",L127/_xlfn.MAXIFS($L$4:$L$141,$O$4:$O$141,1))</x:f>
      </x:c>
      <x:c r="W127" t="str">
        <x:f>IF(OR(O127=0,J127=""),"",_xlfn.MINIFS($J$4:$J$141,$O$4:$O$141,1,$J$4:$J$141,"&gt;0")/J127)</x:f>
      </x:c>
      <x:c r="X127" t="str">
        <x:f>IF(R127="","",R127/_xlfn.MAXIFS($R$4:$R$141,$O$4:$O$141,1))</x:f>
      </x:c>
      <x:c r="Y127" t="str">
        <x:f>IF(T127="","",T127/_xlfn.MAXIFS($T$4:$T$141,$O$4:$O$141,1))</x:f>
      </x:c>
      <x:c r="Z127" s="67" t="str">
        <x:f>IF(OR(X127="",Y127=""),"",SQRT(X127*Y127))</x:f>
      </x:c>
      <x:c r="AA127" s="67" t="str">
        <x:f>IF(OR(X127="",Y127=""),"",X127^Controls!$C$8*Y127^Controls!$C$9)</x:f>
      </x:c>
      <x:c r="AB127" s="67" t="str">
        <x:f>IF(OR(X127="",Y127=""),"",X127^Controls!$C$9*Y127^Controls!$C$8)</x:f>
      </x:c>
      <x:c r="AC127" t="str">
        <x:f>IF(OR(U127="",V127=""),"",SQRT(U127*V127))</x:f>
      </x:c>
      <x:c r="AD127" t="n">
        <x:f>IF(OR(I127="",J127="",J127=0),"",I127/J127)</x:f>
        <x:v>76.36363636363636</x:v>
      </x:c>
      <x:c r="AE127" t="str">
        <x:f>IF(OR(I127="",K127="",K127=0),"",I127/K127)</x:f>
      </x:c>
      <x:c r="AF127" t="str">
        <x:f>IF(Z127="","",1+COUNTIF($Z$4:$Z$141,"&gt;"&amp;Z127)+COUNTIFS($Z$4:Z127,Z127)-1)</x:f>
      </x:c>
      <x:c r="AG127" t="str">
        <x:f>IF(AA127="","",1+COUNTIF($AA$4:$AA$141,"&gt;"&amp;AA127)+COUNTIFS($AA$4:AA127,AA127)-1)</x:f>
      </x:c>
      <x:c r="AH127" t="str">
        <x:f>IF(AB127="","",1+COUNTIF($AB$4:$AB$141,"&gt;"&amp;AB127)+COUNTIFS($AB$4:AB127,AB127)-1)</x:f>
      </x:c>
      <x:c r="AI127" t="str">
        <x:f>IF(OR(O127=0,I127=""),"",1+COUNTIFS($O$4:$O$141,1,$I$4:$I$141,"&gt;"&amp;I127)+COUNTIFS($O$4:O127,1,$I$4:I127,I127)-1)</x:f>
      </x:c>
      <x:c r="AJ127" t="str">
        <x:f>IF(OR(O127=0,L127=""),"",1+COUNTIFS($O$4:$O$141,1,$L$4:$L$141,"&gt;"&amp;L127)+COUNTIFS($O$4:O127,1,$L$4:L127,L127)-1)</x:f>
      </x:c>
      <x:c r="AK127" t="str">
        <x:f>IF(OR(O127=0,J127="",J127=0),"",1+COUNTIFS($O$4:$O$141,1,$J$4:$J$141,"&lt;"&amp;J127,$J$4:$J$141,"&gt;0")+COUNTIFS($O$4:O127,1,$J$4:J127,J127)-1)</x:f>
      </x:c>
    </x:row>
    <x:row r="128" s="14" customFormat="1">
      <x:c r="A128" t="inlineStr">
        <x:is>
          <x:t xml:space="preserve">anthropic|claude-sonnet-5.5|xhigh|reasoning|fallback-true|aa-v4.3.2|snapshot-2026-10-16</x:t>
        </x:is>
      </x:c>
      <x:c r="B128" t="inlineStr">
        <x:is>
          <x:t xml:space="preserve">anthropic|claude-sonnet-5.5|xhigh|reasoning|fallback-true</x:t>
        </x:is>
      </x:c>
      <x:c r="C128" t="inlineStr">
        <x:is>
          <x:t xml:space="preserve">Claude Sonnet 5.5</x:t>
        </x:is>
      </x:c>
      <x:c r="D128" t="inlineStr">
        <x:is>
          <x:t xml:space="preserve">Anthropic</x:t>
        </x:is>
      </x:c>
      <x:c r="E128" t="inlineStr">
        <x:is>
          <x:t xml:space="preserve">xhigh</x:t>
        </x:is>
      </x:c>
      <x:c r="F128" t="inlineStr">
        <x:is>
          <x:t xml:space="preserve">AA|v4.3.2</x:t>
        </x:is>
      </x:c>
      <x:c r="G128" t="n">
        <x:v>52</x:v>
      </x:c>
      <x:c r="H128" t="n">
        <x:f>IFERROR(INDEX(Benchmark_Versions!$I:$I,MATCH(F128,Benchmark_Versions!$A:$A,0)),1)</x:f>
        <x:v>1</x:v>
      </x:c>
      <x:c r="I128" t="n">
        <x:f>IF(G128="","",G128*H128)</x:f>
        <x:v>52</x:v>
      </x:c>
      <x:c r="J128" s="69" t="n">
        <x:v>2.01</x:v>
      </x:c>
      <x:c r="L128" t="n">
        <x:v>114.3</x:v>
      </x:c>
      <x:c r="M128" t="inlineStr">
        <x:is>
          <x:t xml:space="preserve">smart-fast / premium mid-high</x:t>
        </x:is>
      </x:c>
      <x:c r="N128" t="inlineStr">
        <x:is>
          <x:t xml:space="preserve">yes</x:t>
        </x:is>
      </x:c>
      <x:c r="O128" t="n">
        <x:f>IF(F128&lt;&gt;Controls!$C$12,0,IF(AND(Controls!$C$10="Contender",M128&lt;&gt;"Contender"),0,IF(AND(Controls!$C$10="Contender+Close",NOT(OR(M128="Contender",M128="Close"))),0,IF(AND(Controls!$C$11="Current",NOT(OR(N128="yes",N128="limited"))),0,1))))</x:f>
        <x:v>0</x:v>
      </x:c>
      <x:c r="P128" t="n">
        <x:f>Controls!$C$7</x:f>
        <x:v>40</x:v>
      </x:c>
      <x:c r="Q128" t="n">
        <x:f>IF(I128="","",I128-(P128-1))</x:f>
        <x:v>13</x:v>
      </x:c>
      <x:c r="R128" t="str">
        <x:f>IF(OR(O128=0,Q128&lt;=0,J128="",J128=0),"",Q128/J128)</x:f>
      </x:c>
      <x:c r="S128" t="str">
        <x:f>IF(OR(O128=0,Q128&lt;=0,J128="",Q128=0),"",J128/Q128)</x:f>
      </x:c>
      <x:c r="T128" t="str">
        <x:f>IF(OR(O128=0,Q128&lt;=0,J128="",K128="",J128=0,K128=0),"",Q128/(J128*(K128/60)))</x:f>
      </x:c>
      <x:c r="U128" t="str">
        <x:f>IF(OR(O128=0,I128=""),"",I128/_xlfn.MAXIFS($I$4:$I$141,$O$4:$O$141,1))</x:f>
      </x:c>
      <x:c r="V128" t="str">
        <x:f>IF(OR(O128=0,L128=""),"",L128/_xlfn.MAXIFS($L$4:$L$141,$O$4:$O$141,1))</x:f>
      </x:c>
      <x:c r="W128" t="str">
        <x:f>IF(OR(O128=0,J128=""),"",_xlfn.MINIFS($J$4:$J$141,$O$4:$O$141,1,$J$4:$J$141,"&gt;0")/J128)</x:f>
      </x:c>
      <x:c r="X128" t="str">
        <x:f>IF(R128="","",R128/_xlfn.MAXIFS($R$4:$R$141,$O$4:$O$141,1))</x:f>
      </x:c>
      <x:c r="Y128" t="str">
        <x:f>IF(T128="","",T128/_xlfn.MAXIFS($T$4:$T$141,$O$4:$O$141,1))</x:f>
      </x:c>
      <x:c r="Z128" s="67" t="str">
        <x:f>IF(OR(X128="",Y128=""),"",SQRT(X128*Y128))</x:f>
      </x:c>
      <x:c r="AA128" s="67" t="str">
        <x:f>IF(OR(X128="",Y128=""),"",X128^Controls!$C$8*Y128^Controls!$C$9)</x:f>
      </x:c>
      <x:c r="AB128" s="67" t="str">
        <x:f>IF(OR(X128="",Y128=""),"",X128^Controls!$C$9*Y128^Controls!$C$8)</x:f>
      </x:c>
      <x:c r="AC128" t="str">
        <x:f>IF(OR(U128="",V128=""),"",SQRT(U128*V128))</x:f>
      </x:c>
      <x:c r="AD128" t="n">
        <x:f>IF(OR(I128="",J128="",J128=0),"",I128/J128)</x:f>
        <x:v>25.870646766169155</x:v>
      </x:c>
      <x:c r="AE128" t="str">
        <x:f>IF(OR(I128="",K128="",K128=0),"",I128/K128)</x:f>
      </x:c>
      <x:c r="AF128" t="str">
        <x:f>IF(Z128="","",1+COUNTIF($Z$4:$Z$141,"&gt;"&amp;Z128)+COUNTIFS($Z$4:Z128,Z128)-1)</x:f>
      </x:c>
      <x:c r="AG128" t="str">
        <x:f>IF(AA128="","",1+COUNTIF($AA$4:$AA$141,"&gt;"&amp;AA128)+COUNTIFS($AA$4:AA128,AA128)-1)</x:f>
      </x:c>
      <x:c r="AH128" t="str">
        <x:f>IF(AB128="","",1+COUNTIF($AB$4:$AB$141,"&gt;"&amp;AB128)+COUNTIFS($AB$4:AB128,AB128)-1)</x:f>
      </x:c>
      <x:c r="AI128" t="str">
        <x:f>IF(OR(O128=0,I128=""),"",1+COUNTIFS($O$4:$O$141,1,$I$4:$I$141,"&gt;"&amp;I128)+COUNTIFS($O$4:O128,1,$I$4:I128,I128)-1)</x:f>
      </x:c>
      <x:c r="AJ128" t="str">
        <x:f>IF(OR(O128=0,L128=""),"",1+COUNTIFS($O$4:$O$141,1,$L$4:$L$141,"&gt;"&amp;L128)+COUNTIFS($O$4:O128,1,$L$4:L128,L128)-1)</x:f>
      </x:c>
      <x:c r="AK128" t="str">
        <x:f>IF(OR(O128=0,J128="",J128=0),"",1+COUNTIFS($O$4:$O$141,1,$J$4:$J$141,"&lt;"&amp;J128,$J$4:$J$141,"&gt;0")+COUNTIFS($O$4:O128,1,$J$4:J128,J128)-1)</x:f>
      </x:c>
    </x:row>
    <x:row r="129" s="14" customFormat="1">
      <x:c r="A129" t="inlineStr">
        <x:is>
          <x:t xml:space="preserve">anthropic|claude-sonnet-5.5|high|reasoning|fallback-true|aa-v4.3.2|snapshot-2026-10-16</x:t>
        </x:is>
      </x:c>
      <x:c r="B129" t="inlineStr">
        <x:is>
          <x:t xml:space="preserve">anthropic|claude-sonnet-5.5|high|reasoning|fallback-true</x:t>
        </x:is>
      </x:c>
      <x:c r="C129" t="inlineStr">
        <x:is>
          <x:t xml:space="preserve">Claude Sonnet 5.5</x:t>
        </x:is>
      </x:c>
      <x:c r="D129" t="inlineStr">
        <x:is>
          <x:t xml:space="preserve">Anthropic</x:t>
        </x:is>
      </x:c>
      <x:c r="E129" t="inlineStr">
        <x:is>
          <x:t xml:space="preserve">high</x:t>
        </x:is>
      </x:c>
      <x:c r="F129" t="inlineStr">
        <x:is>
          <x:t xml:space="preserve">AA|v4.3.2</x:t>
        </x:is>
      </x:c>
      <x:c r="G129" t="n">
        <x:v>47</x:v>
      </x:c>
      <x:c r="H129" t="n">
        <x:f>IFERROR(INDEX(Benchmark_Versions!$I:$I,MATCH(F129,Benchmark_Versions!$A:$A,0)),1)</x:f>
        <x:v>1</x:v>
      </x:c>
      <x:c r="I129" t="n">
        <x:f>IF(G129="","",G129*H129)</x:f>
        <x:v>47</x:v>
      </x:c>
      <x:c r="J129" s="69" t="n">
        <x:v>0.88</x:v>
      </x:c>
      <x:c r="L129" t="n">
        <x:v>112.9</x:v>
      </x:c>
      <x:c r="M129" t="inlineStr">
        <x:is>
          <x:t xml:space="preserve">smart-fast / premium mid-high</x:t>
        </x:is>
      </x:c>
      <x:c r="N129" t="inlineStr">
        <x:is>
          <x:t xml:space="preserve">yes</x:t>
        </x:is>
      </x:c>
      <x:c r="O129" t="n">
        <x:f>IF(F129&lt;&gt;Controls!$C$12,0,IF(AND(Controls!$C$10="Contender",M129&lt;&gt;"Contender"),0,IF(AND(Controls!$C$10="Contender+Close",NOT(OR(M129="Contender",M129="Close"))),0,IF(AND(Controls!$C$11="Current",NOT(OR(N129="yes",N129="limited"))),0,1))))</x:f>
        <x:v>0</x:v>
      </x:c>
      <x:c r="P129" t="n">
        <x:f>Controls!$C$7</x:f>
        <x:v>40</x:v>
      </x:c>
      <x:c r="Q129" t="n">
        <x:f>IF(I129="","",I129-(P129-1))</x:f>
        <x:v>8</x:v>
      </x:c>
      <x:c r="R129" t="str">
        <x:f>IF(OR(O129=0,Q129&lt;=0,J129="",J129=0),"",Q129/J129)</x:f>
      </x:c>
      <x:c r="S129" t="str">
        <x:f>IF(OR(O129=0,Q129&lt;=0,J129="",Q129=0),"",J129/Q129)</x:f>
      </x:c>
      <x:c r="T129" t="str">
        <x:f>IF(OR(O129=0,Q129&lt;=0,J129="",K129="",J129=0,K129=0),"",Q129/(J129*(K129/60)))</x:f>
      </x:c>
      <x:c r="U129" t="str">
        <x:f>IF(OR(O129=0,I129=""),"",I129/_xlfn.MAXIFS($I$4:$I$141,$O$4:$O$141,1))</x:f>
      </x:c>
      <x:c r="V129" t="str">
        <x:f>IF(OR(O129=0,L129=""),"",L129/_xlfn.MAXIFS($L$4:$L$141,$O$4:$O$141,1))</x:f>
      </x:c>
      <x:c r="W129" t="str">
        <x:f>IF(OR(O129=0,J129=""),"",_xlfn.MINIFS($J$4:$J$141,$O$4:$O$141,1,$J$4:$J$141,"&gt;0")/J129)</x:f>
      </x:c>
      <x:c r="X129" t="str">
        <x:f>IF(R129="","",R129/_xlfn.MAXIFS($R$4:$R$141,$O$4:$O$141,1))</x:f>
      </x:c>
      <x:c r="Y129" t="str">
        <x:f>IF(T129="","",T129/_xlfn.MAXIFS($T$4:$T$141,$O$4:$O$141,1))</x:f>
      </x:c>
      <x:c r="Z129" s="67" t="str">
        <x:f>IF(OR(X129="",Y129=""),"",SQRT(X129*Y129))</x:f>
      </x:c>
      <x:c r="AA129" s="67" t="str">
        <x:f>IF(OR(X129="",Y129=""),"",X129^Controls!$C$8*Y129^Controls!$C$9)</x:f>
      </x:c>
      <x:c r="AB129" s="67" t="str">
        <x:f>IF(OR(X129="",Y129=""),"",X129^Controls!$C$9*Y129^Controls!$C$8)</x:f>
      </x:c>
      <x:c r="AC129" t="str">
        <x:f>IF(OR(U129="",V129=""),"",SQRT(U129*V129))</x:f>
      </x:c>
      <x:c r="AD129" t="n">
        <x:f>IF(OR(I129="",J129="",J129=0),"",I129/J129)</x:f>
        <x:v>53.40909090909091</x:v>
      </x:c>
      <x:c r="AE129" t="str">
        <x:f>IF(OR(I129="",K129="",K129=0),"",I129/K129)</x:f>
      </x:c>
      <x:c r="AF129" t="str">
        <x:f>IF(Z129="","",1+COUNTIF($Z$4:$Z$141,"&gt;"&amp;Z129)+COUNTIFS($Z$4:Z129,Z129)-1)</x:f>
      </x:c>
      <x:c r="AG129" t="str">
        <x:f>IF(AA129="","",1+COUNTIF($AA$4:$AA$141,"&gt;"&amp;AA129)+COUNTIFS($AA$4:AA129,AA129)-1)</x:f>
      </x:c>
      <x:c r="AH129" t="str">
        <x:f>IF(AB129="","",1+COUNTIF($AB$4:$AB$141,"&gt;"&amp;AB129)+COUNTIFS($AB$4:AB129,AB129)-1)</x:f>
      </x:c>
      <x:c r="AI129" t="str">
        <x:f>IF(OR(O129=0,I129=""),"",1+COUNTIFS($O$4:$O$141,1,$I$4:$I$141,"&gt;"&amp;I129)+COUNTIFS($O$4:O129,1,$I$4:I129,I129)-1)</x:f>
      </x:c>
      <x:c r="AJ129" t="str">
        <x:f>IF(OR(O129=0,L129=""),"",1+COUNTIFS($O$4:$O$141,1,$L$4:$L$141,"&gt;"&amp;L129)+COUNTIFS($O$4:O129,1,$L$4:L129,L129)-1)</x:f>
      </x:c>
      <x:c r="AK129" t="str">
        <x:f>IF(OR(O129=0,J129="",J129=0),"",1+COUNTIFS($O$4:$O$141,1,$J$4:$J$141,"&lt;"&amp;J129,$J$4:$J$141,"&gt;0")+COUNTIFS($O$4:O129,1,$J$4:J129,J129)-1)</x:f>
      </x:c>
    </x:row>
    <x:row r="130" s="14" customFormat="1">
      <x:c r="A130" t="inlineStr">
        <x:is>
          <x:t xml:space="preserve">anthropic|claude-sonnet-5.5|medium|reasoning|fallback-true|aa-v4.3.2|snapshot-2026-10-16</x:t>
        </x:is>
      </x:c>
      <x:c r="B130" t="inlineStr">
        <x:is>
          <x:t xml:space="preserve">anthropic|claude-sonnet-5.5|medium|reasoning|fallback-true</x:t>
        </x:is>
      </x:c>
      <x:c r="C130" t="inlineStr">
        <x:is>
          <x:t xml:space="preserve">Claude Sonnet 5.5</x:t>
        </x:is>
      </x:c>
      <x:c r="D130" t="inlineStr">
        <x:is>
          <x:t xml:space="preserve">Anthropic</x:t>
        </x:is>
      </x:c>
      <x:c r="E130" t="inlineStr">
        <x:is>
          <x:t xml:space="preserve">medium</x:t>
        </x:is>
      </x:c>
      <x:c r="F130" t="inlineStr">
        <x:is>
          <x:t xml:space="preserve">AA|v4.3.2</x:t>
        </x:is>
      </x:c>
      <x:c r="G130" t="n">
        <x:v>41</x:v>
      </x:c>
      <x:c r="H130" t="n">
        <x:f>IFERROR(INDEX(Benchmark_Versions!$I:$I,MATCH(F130,Benchmark_Versions!$A:$A,0)),1)</x:f>
        <x:v>1</x:v>
      </x:c>
      <x:c r="I130" t="n">
        <x:f>IF(G130="","",G130*H130)</x:f>
        <x:v>41</x:v>
      </x:c>
      <x:c r="J130" s="69" t="n">
        <x:v>0.48</x:v>
      </x:c>
      <x:c r="L130" t="n">
        <x:v>118.3</x:v>
      </x:c>
      <x:c r="M130" t="inlineStr">
        <x:is>
          <x:t xml:space="preserve">smart-fast / premium mid-high</x:t>
        </x:is>
      </x:c>
      <x:c r="N130" t="inlineStr">
        <x:is>
          <x:t xml:space="preserve">yes</x:t>
        </x:is>
      </x:c>
      <x:c r="O130" t="n">
        <x:f>IF(F130&lt;&gt;Controls!$C$12,0,IF(AND(Controls!$C$10="Contender",M130&lt;&gt;"Contender"),0,IF(AND(Controls!$C$10="Contender+Close",NOT(OR(M130="Contender",M130="Close"))),0,IF(AND(Controls!$C$11="Current",NOT(OR(N130="yes",N130="limited"))),0,1))))</x:f>
        <x:v>0</x:v>
      </x:c>
      <x:c r="P130" t="n">
        <x:f>Controls!$C$7</x:f>
        <x:v>40</x:v>
      </x:c>
      <x:c r="Q130" t="n">
        <x:f>IF(I130="","",I130-(P130-1))</x:f>
        <x:v>2</x:v>
      </x:c>
      <x:c r="R130" t="str">
        <x:f>IF(OR(O130=0,Q130&lt;=0,J130="",J130=0),"",Q130/J130)</x:f>
      </x:c>
      <x:c r="S130" t="str">
        <x:f>IF(OR(O130=0,Q130&lt;=0,J130="",Q130=0),"",J130/Q130)</x:f>
      </x:c>
      <x:c r="T130" t="str">
        <x:f>IF(OR(O130=0,Q130&lt;=0,J130="",K130="",J130=0,K130=0),"",Q130/(J130*(K130/60)))</x:f>
      </x:c>
      <x:c r="U130" t="str">
        <x:f>IF(OR(O130=0,I130=""),"",I130/_xlfn.MAXIFS($I$4:$I$141,$O$4:$O$141,1))</x:f>
      </x:c>
      <x:c r="V130" t="str">
        <x:f>IF(OR(O130=0,L130=""),"",L130/_xlfn.MAXIFS($L$4:$L$141,$O$4:$O$141,1))</x:f>
      </x:c>
      <x:c r="W130" t="str">
        <x:f>IF(OR(O130=0,J130=""),"",_xlfn.MINIFS($J$4:$J$141,$O$4:$O$141,1,$J$4:$J$141,"&gt;0")/J130)</x:f>
      </x:c>
      <x:c r="X130" t="str">
        <x:f>IF(R130="","",R130/_xlfn.MAXIFS($R$4:$R$141,$O$4:$O$141,1))</x:f>
      </x:c>
      <x:c r="Y130" t="str">
        <x:f>IF(T130="","",T130/_xlfn.MAXIFS($T$4:$T$141,$O$4:$O$141,1))</x:f>
      </x:c>
      <x:c r="Z130" s="67" t="str">
        <x:f>IF(OR(X130="",Y130=""),"",SQRT(X130*Y130))</x:f>
      </x:c>
      <x:c r="AA130" s="67" t="str">
        <x:f>IF(OR(X130="",Y130=""),"",X130^Controls!$C$8*Y130^Controls!$C$9)</x:f>
      </x:c>
      <x:c r="AB130" s="67" t="str">
        <x:f>IF(OR(X130="",Y130=""),"",X130^Controls!$C$9*Y130^Controls!$C$8)</x:f>
      </x:c>
      <x:c r="AC130" t="str">
        <x:f>IF(OR(U130="",V130=""),"",SQRT(U130*V130))</x:f>
      </x:c>
      <x:c r="AD130" t="n">
        <x:f>IF(OR(I130="",J130="",J130=0),"",I130/J130)</x:f>
        <x:v>85.41666666666667</x:v>
      </x:c>
      <x:c r="AE130" t="str">
        <x:f>IF(OR(I130="",K130="",K130=0),"",I130/K130)</x:f>
      </x:c>
      <x:c r="AF130" t="str">
        <x:f>IF(Z130="","",1+COUNTIF($Z$4:$Z$141,"&gt;"&amp;Z130)+COUNTIFS($Z$4:Z130,Z130)-1)</x:f>
      </x:c>
      <x:c r="AG130" t="str">
        <x:f>IF(AA130="","",1+COUNTIF($AA$4:$AA$141,"&gt;"&amp;AA130)+COUNTIFS($AA$4:AA130,AA130)-1)</x:f>
      </x:c>
      <x:c r="AH130" t="str">
        <x:f>IF(AB130="","",1+COUNTIF($AB$4:$AB$141,"&gt;"&amp;AB130)+COUNTIFS($AB$4:AB130,AB130)-1)</x:f>
      </x:c>
      <x:c r="AI130" t="str">
        <x:f>IF(OR(O130=0,I130=""),"",1+COUNTIFS($O$4:$O$141,1,$I$4:$I$141,"&gt;"&amp;I130)+COUNTIFS($O$4:O130,1,$I$4:I130,I130)-1)</x:f>
      </x:c>
      <x:c r="AJ130" t="str">
        <x:f>IF(OR(O130=0,L130=""),"",1+COUNTIFS($O$4:$O$141,1,$L$4:$L$141,"&gt;"&amp;L130)+COUNTIFS($O$4:O130,1,$L$4:L130,L130)-1)</x:f>
      </x:c>
      <x:c r="AK130" t="str">
        <x:f>IF(OR(O130=0,J130="",J130=0),"",1+COUNTIFS($O$4:$O$141,1,$J$4:$J$141,"&lt;"&amp;J130,$J$4:$J$141,"&gt;0")+COUNTIFS($O$4:O130,1,$J$4:J130,J130)-1)</x:f>
      </x:c>
    </x:row>
    <x:row r="131" s="14" customFormat="1">
      <x:c r="A131" t="inlineStr">
        <x:is>
          <x:t xml:space="preserve">anthropic|claude-sonnet-5.5|low|reasoning|fallback-true|aa-v4.3.2|snapshot-2026-10-16</x:t>
        </x:is>
      </x:c>
      <x:c r="B131" t="inlineStr">
        <x:is>
          <x:t xml:space="preserve">anthropic|claude-sonnet-5.5|low|reasoning|fallback-true</x:t>
        </x:is>
      </x:c>
      <x:c r="C131" t="inlineStr">
        <x:is>
          <x:t xml:space="preserve">Claude Sonnet 5.5</x:t>
        </x:is>
      </x:c>
      <x:c r="D131" t="inlineStr">
        <x:is>
          <x:t xml:space="preserve">Anthropic</x:t>
        </x:is>
      </x:c>
      <x:c r="E131" t="inlineStr">
        <x:is>
          <x:t xml:space="preserve">low</x:t>
        </x:is>
      </x:c>
      <x:c r="F131" t="inlineStr">
        <x:is>
          <x:t xml:space="preserve">AA|v4.3.2</x:t>
        </x:is>
      </x:c>
      <x:c r="G131" t="n">
        <x:v>36</x:v>
      </x:c>
      <x:c r="H131" t="n">
        <x:f>IFERROR(INDEX(Benchmark_Versions!$I:$I,MATCH(F131,Benchmark_Versions!$A:$A,0)),1)</x:f>
        <x:v>1</x:v>
      </x:c>
      <x:c r="I131" t="n">
        <x:f>IF(G131="","",G131*H131)</x:f>
        <x:v>36</x:v>
      </x:c>
      <x:c r="J131" s="69" t="n">
        <x:v>0.35</x:v>
      </x:c>
      <x:c r="L131" t="n">
        <x:v>112.3</x:v>
      </x:c>
      <x:c r="M131" t="inlineStr">
        <x:is>
          <x:t xml:space="preserve">smart-fast / premium mid-high</x:t>
        </x:is>
      </x:c>
      <x:c r="N131" t="inlineStr">
        <x:is>
          <x:t xml:space="preserve">yes</x:t>
        </x:is>
      </x:c>
      <x:c r="O131" t="n">
        <x:f>IF(F131&lt;&gt;Controls!$C$12,0,IF(AND(Controls!$C$10="Contender",M131&lt;&gt;"Contender"),0,IF(AND(Controls!$C$10="Contender+Close",NOT(OR(M131="Contender",M131="Close"))),0,IF(AND(Controls!$C$11="Current",NOT(OR(N131="yes",N131="limited"))),0,1))))</x:f>
        <x:v>0</x:v>
      </x:c>
      <x:c r="P131" t="n">
        <x:f>Controls!$C$7</x:f>
        <x:v>40</x:v>
      </x:c>
      <x:c r="Q131" t="n">
        <x:f>IF(I131="","",I131-(P131-1))</x:f>
        <x:v>-3</x:v>
      </x:c>
      <x:c r="R131" t="str">
        <x:f>IF(OR(O131=0,Q131&lt;=0,J131="",J131=0),"",Q131/J131)</x:f>
      </x:c>
      <x:c r="S131" t="str">
        <x:f>IF(OR(O131=0,Q131&lt;=0,J131="",Q131=0),"",J131/Q131)</x:f>
      </x:c>
      <x:c r="T131" t="str">
        <x:f>IF(OR(O131=0,Q131&lt;=0,J131="",K131="",J131=0,K131=0),"",Q131/(J131*(K131/60)))</x:f>
      </x:c>
      <x:c r="U131" t="str">
        <x:f>IF(OR(O131=0,I131=""),"",I131/_xlfn.MAXIFS($I$4:$I$141,$O$4:$O$141,1))</x:f>
      </x:c>
      <x:c r="V131" t="str">
        <x:f>IF(OR(O131=0,L131=""),"",L131/_xlfn.MAXIFS($L$4:$L$141,$O$4:$O$141,1))</x:f>
      </x:c>
      <x:c r="W131" t="str">
        <x:f>IF(OR(O131=0,J131=""),"",_xlfn.MINIFS($J$4:$J$141,$O$4:$O$141,1,$J$4:$J$141,"&gt;0")/J131)</x:f>
      </x:c>
      <x:c r="X131" t="str">
        <x:f>IF(R131="","",R131/_xlfn.MAXIFS($R$4:$R$141,$O$4:$O$141,1))</x:f>
      </x:c>
      <x:c r="Y131" t="str">
        <x:f>IF(T131="","",T131/_xlfn.MAXIFS($T$4:$T$141,$O$4:$O$141,1))</x:f>
      </x:c>
      <x:c r="Z131" s="67" t="str">
        <x:f>IF(OR(X131="",Y131=""),"",SQRT(X131*Y131))</x:f>
      </x:c>
      <x:c r="AA131" s="67" t="str">
        <x:f>IF(OR(X131="",Y131=""),"",X131^Controls!$C$8*Y131^Controls!$C$9)</x:f>
      </x:c>
      <x:c r="AB131" s="67" t="str">
        <x:f>IF(OR(X131="",Y131=""),"",X131^Controls!$C$9*Y131^Controls!$C$8)</x:f>
      </x:c>
      <x:c r="AC131" t="str">
        <x:f>IF(OR(U131="",V131=""),"",SQRT(U131*V131))</x:f>
      </x:c>
      <x:c r="AD131" t="n">
        <x:f>IF(OR(I131="",J131="",J131=0),"",I131/J131)</x:f>
        <x:v>102.85714285714286</x:v>
      </x:c>
      <x:c r="AE131" t="str">
        <x:f>IF(OR(I131="",K131="",K131=0),"",I131/K131)</x:f>
      </x:c>
      <x:c r="AF131" t="str">
        <x:f>IF(Z131="","",1+COUNTIF($Z$4:$Z$141,"&gt;"&amp;Z131)+COUNTIFS($Z$4:Z131,Z131)-1)</x:f>
      </x:c>
      <x:c r="AG131" t="str">
        <x:f>IF(AA131="","",1+COUNTIF($AA$4:$AA$141,"&gt;"&amp;AA131)+COUNTIFS($AA$4:AA131,AA131)-1)</x:f>
      </x:c>
      <x:c r="AH131" t="str">
        <x:f>IF(AB131="","",1+COUNTIF($AB$4:$AB$141,"&gt;"&amp;AB131)+COUNTIFS($AB$4:AB131,AB131)-1)</x:f>
      </x:c>
      <x:c r="AI131" t="str">
        <x:f>IF(OR(O131=0,I131=""),"",1+COUNTIFS($O$4:$O$141,1,$I$4:$I$141,"&gt;"&amp;I131)+COUNTIFS($O$4:O131,1,$I$4:I131,I131)-1)</x:f>
      </x:c>
      <x:c r="AJ131" t="str">
        <x:f>IF(OR(O131=0,L131=""),"",1+COUNTIFS($O$4:$O$141,1,$L$4:$L$141,"&gt;"&amp;L131)+COUNTIFS($O$4:O131,1,$L$4:L131,L131)-1)</x:f>
      </x:c>
      <x:c r="AK131" t="str">
        <x:f>IF(OR(O131=0,J131="",J131=0),"",1+COUNTIFS($O$4:$O$141,1,$J$4:$J$141,"&lt;"&amp;J131,$J$4:$J$141,"&gt;0")+COUNTIFS($O$4:O131,1,$J$4:J131,J131)-1)</x:f>
      </x:c>
    </x:row>
    <x:row r="132" s="14" customFormat="1">
      <x:c r="A132" t="inlineStr">
        <x:is>
          <x:t xml:space="preserve">openai|gpt-5-6-terra|max|reasoning|fallback-na|aa-v4.3.2|snapshot-2026-10-16</x:t>
        </x:is>
      </x:c>
      <x:c r="B132" t="inlineStr">
        <x:is>
          <x:t xml:space="preserve">openai|gpt-5-6-terra|max|reasoning|fallback-na</x:t>
        </x:is>
      </x:c>
      <x:c r="C132" t="inlineStr">
        <x:is>
          <x:t xml:space="preserve">GPT-5.6 Terra</x:t>
        </x:is>
      </x:c>
      <x:c r="D132" t="inlineStr">
        <x:is>
          <x:t xml:space="preserve">OpenAI</x:t>
        </x:is>
      </x:c>
      <x:c r="E132" t="inlineStr">
        <x:is>
          <x:t xml:space="preserve">max</x:t>
        </x:is>
      </x:c>
      <x:c r="F132" t="inlineStr">
        <x:is>
          <x:t xml:space="preserve">AA|v4.3.2</x:t>
        </x:is>
      </x:c>
      <x:c r="G132" t="n">
        <x:v>42</x:v>
      </x:c>
      <x:c r="H132" t="n">
        <x:f>IFERROR(INDEX(Benchmark_Versions!$I:$I,MATCH(F132,Benchmark_Versions!$A:$A,0)),1)</x:f>
        <x:v>1</x:v>
      </x:c>
      <x:c r="I132" t="n">
        <x:f>IF(G132="","",G132*H132)</x:f>
        <x:v>42</x:v>
      </x:c>
      <x:c r="J132" s="69" t="n">
        <x:v>1.4</x:v>
      </x:c>
      <x:c r="L132" t="n">
        <x:v>133.9</x:v>
      </x:c>
      <x:c r="M132" t="inlineStr">
        <x:is>
          <x:t xml:space="preserve">Tracked</x:t>
        </x:is>
      </x:c>
      <x:c r="N132" t="inlineStr">
        <x:is>
          <x:t xml:space="preserve">yes</x:t>
        </x:is>
      </x:c>
      <x:c r="O132" t="n">
        <x:f>IF(F132&lt;&gt;Controls!$C$12,0,IF(AND(Controls!$C$10="Contender",M132&lt;&gt;"Contender"),0,IF(AND(Controls!$C$10="Contender+Close",NOT(OR(M132="Contender",M132="Close"))),0,IF(AND(Controls!$C$11="Current",NOT(OR(N132="yes",N132="limited"))),0,1))))</x:f>
        <x:v>0</x:v>
      </x:c>
      <x:c r="P132" t="n">
        <x:f>Controls!$C$7</x:f>
        <x:v>40</x:v>
      </x:c>
      <x:c r="Q132" t="n">
        <x:f>IF(I132="","",I132-(P132-1))</x:f>
        <x:v>3</x:v>
      </x:c>
      <x:c r="R132" t="str">
        <x:f>IF(OR(O132=0,Q132&lt;=0,J132="",J132=0),"",Q132/J132)</x:f>
      </x:c>
      <x:c r="S132" t="str">
        <x:f>IF(OR(O132=0,Q132&lt;=0,J132="",Q132=0),"",J132/Q132)</x:f>
      </x:c>
      <x:c r="T132" t="str">
        <x:f>IF(OR(O132=0,Q132&lt;=0,J132="",K132="",J132=0,K132=0),"",Q132/(J132*(K132/60)))</x:f>
      </x:c>
      <x:c r="U132" t="str">
        <x:f>IF(OR(O132=0,I132=""),"",I132/_xlfn.MAXIFS($I$4:$I$141,$O$4:$O$141,1))</x:f>
      </x:c>
      <x:c r="V132" t="str">
        <x:f>IF(OR(O132=0,L132=""),"",L132/_xlfn.MAXIFS($L$4:$L$141,$O$4:$O$141,1))</x:f>
      </x:c>
      <x:c r="W132" t="str">
        <x:f>IF(OR(O132=0,J132=""),"",_xlfn.MINIFS($J$4:$J$141,$O$4:$O$141,1,$J$4:$J$141,"&gt;0")/J132)</x:f>
      </x:c>
      <x:c r="X132" t="str">
        <x:f>IF(R132="","",R132/_xlfn.MAXIFS($R$4:$R$141,$O$4:$O$141,1))</x:f>
      </x:c>
      <x:c r="Y132" t="str">
        <x:f>IF(T132="","",T132/_xlfn.MAXIFS($T$4:$T$141,$O$4:$O$141,1))</x:f>
      </x:c>
      <x:c r="Z132" s="67" t="str">
        <x:f>IF(OR(X132="",Y132=""),"",SQRT(X132*Y132))</x:f>
      </x:c>
      <x:c r="AA132" s="67" t="str">
        <x:f>IF(OR(X132="",Y132=""),"",X132^Controls!$C$8*Y132^Controls!$C$9)</x:f>
      </x:c>
      <x:c r="AB132" s="67" t="str">
        <x:f>IF(OR(X132="",Y132=""),"",X132^Controls!$C$9*Y132^Controls!$C$8)</x:f>
      </x:c>
      <x:c r="AC132" t="str">
        <x:f>IF(OR(U132="",V132=""),"",SQRT(U132*V132))</x:f>
      </x:c>
      <x:c r="AD132" t="n">
        <x:f>IF(OR(I132="",J132="",J132=0),"",I132/J132)</x:f>
        <x:v>30.000000000000004</x:v>
      </x:c>
      <x:c r="AE132" t="str">
        <x:f>IF(OR(I132="",K132="",K132=0),"",I132/K132)</x:f>
      </x:c>
      <x:c r="AF132" t="str">
        <x:f>IF(Z132="","",1+COUNTIF($Z$4:$Z$141,"&gt;"&amp;Z132)+COUNTIFS($Z$4:Z132,Z132)-1)</x:f>
      </x:c>
      <x:c r="AG132" t="str">
        <x:f>IF(AA132="","",1+COUNTIF($AA$4:$AA$141,"&gt;"&amp;AA132)+COUNTIFS($AA$4:AA132,AA132)-1)</x:f>
      </x:c>
      <x:c r="AH132" t="str">
        <x:f>IF(AB132="","",1+COUNTIF($AB$4:$AB$141,"&gt;"&amp;AB132)+COUNTIFS($AB$4:AB132,AB132)-1)</x:f>
      </x:c>
      <x:c r="AI132" t="str">
        <x:f>IF(OR(O132=0,I132=""),"",1+COUNTIFS($O$4:$O$141,1,$I$4:$I$141,"&gt;"&amp;I132)+COUNTIFS($O$4:O132,1,$I$4:I132,I132)-1)</x:f>
      </x:c>
      <x:c r="AJ132" t="str">
        <x:f>IF(OR(O132=0,L132=""),"",1+COUNTIFS($O$4:$O$141,1,$L$4:$L$141,"&gt;"&amp;L132)+COUNTIFS($O$4:O132,1,$L$4:L132,L132)-1)</x:f>
      </x:c>
      <x:c r="AK132" t="str">
        <x:f>IF(OR(O132=0,J132="",J132=0),"",1+COUNTIFS($O$4:$O$141,1,$J$4:$J$141,"&lt;"&amp;J132,$J$4:$J$141,"&gt;0")+COUNTIFS($O$4:O132,1,$J$4:J132,J132)-1)</x:f>
      </x:c>
    </x:row>
    <x:row r="133" s="14" customFormat="1">
      <x:c r="A133" t="inlineStr">
        <x:is>
          <x:t xml:space="preserve">openai|gpt-5-6-terra|xhigh|reasoning|fallback-na|aa-v4.3.2|snapshot-2026-10-16</x:t>
        </x:is>
      </x:c>
      <x:c r="B133" t="inlineStr">
        <x:is>
          <x:t xml:space="preserve">openai|gpt-5-6-terra|xhigh|reasoning|fallback-na</x:t>
        </x:is>
      </x:c>
      <x:c r="C133" t="inlineStr">
        <x:is>
          <x:t xml:space="preserve">GPT-5.6 Terra</x:t>
        </x:is>
      </x:c>
      <x:c r="D133" t="inlineStr">
        <x:is>
          <x:t xml:space="preserve">OpenAI</x:t>
        </x:is>
      </x:c>
      <x:c r="E133" t="inlineStr">
        <x:is>
          <x:t xml:space="preserve">xhigh</x:t>
        </x:is>
      </x:c>
      <x:c r="F133" t="inlineStr">
        <x:is>
          <x:t xml:space="preserve">AA|v4.3.2</x:t>
        </x:is>
      </x:c>
      <x:c r="G133" t="n">
        <x:v>38</x:v>
      </x:c>
      <x:c r="H133" t="n">
        <x:f>IFERROR(INDEX(Benchmark_Versions!$I:$I,MATCH(F133,Benchmark_Versions!$A:$A,0)),1)</x:f>
        <x:v>1</x:v>
      </x:c>
      <x:c r="I133" t="n">
        <x:f>IF(G133="","",G133*H133)</x:f>
        <x:v>38</x:v>
      </x:c>
      <x:c r="J133" s="69" t="n">
        <x:v>0.63</x:v>
      </x:c>
      <x:c r="L133" t="n">
        <x:v>130.6</x:v>
      </x:c>
      <x:c r="M133" t="inlineStr">
        <x:is>
          <x:t xml:space="preserve">Tracked</x:t>
        </x:is>
      </x:c>
      <x:c r="N133" t="inlineStr">
        <x:is>
          <x:t xml:space="preserve">yes</x:t>
        </x:is>
      </x:c>
      <x:c r="O133" t="n">
        <x:f>IF(F133&lt;&gt;Controls!$C$12,0,IF(AND(Controls!$C$10="Contender",M133&lt;&gt;"Contender"),0,IF(AND(Controls!$C$10="Contender+Close",NOT(OR(M133="Contender",M133="Close"))),0,IF(AND(Controls!$C$11="Current",NOT(OR(N133="yes",N133="limited"))),0,1))))</x:f>
        <x:v>0</x:v>
      </x:c>
      <x:c r="P133" t="n">
        <x:f>Controls!$C$7</x:f>
        <x:v>40</x:v>
      </x:c>
      <x:c r="Q133" t="n">
        <x:f>IF(I133="","",I133-(P133-1))</x:f>
        <x:v>-1</x:v>
      </x:c>
      <x:c r="R133" t="str">
        <x:f>IF(OR(O133=0,Q133&lt;=0,J133="",J133=0),"",Q133/J133)</x:f>
      </x:c>
      <x:c r="S133" t="str">
        <x:f>IF(OR(O133=0,Q133&lt;=0,J133="",Q133=0),"",J133/Q133)</x:f>
      </x:c>
      <x:c r="T133" t="str">
        <x:f>IF(OR(O133=0,Q133&lt;=0,J133="",K133="",J133=0,K133=0),"",Q133/(J133*(K133/60)))</x:f>
      </x:c>
      <x:c r="U133" t="str">
        <x:f>IF(OR(O133=0,I133=""),"",I133/_xlfn.MAXIFS($I$4:$I$141,$O$4:$O$141,1))</x:f>
      </x:c>
      <x:c r="V133" t="str">
        <x:f>IF(OR(O133=0,L133=""),"",L133/_xlfn.MAXIFS($L$4:$L$141,$O$4:$O$141,1))</x:f>
      </x:c>
      <x:c r="W133" t="str">
        <x:f>IF(OR(O133=0,J133=""),"",_xlfn.MINIFS($J$4:$J$141,$O$4:$O$141,1,$J$4:$J$141,"&gt;0")/J133)</x:f>
      </x:c>
      <x:c r="X133" t="str">
        <x:f>IF(R133="","",R133/_xlfn.MAXIFS($R$4:$R$141,$O$4:$O$141,1))</x:f>
      </x:c>
      <x:c r="Y133" t="str">
        <x:f>IF(T133="","",T133/_xlfn.MAXIFS($T$4:$T$141,$O$4:$O$141,1))</x:f>
      </x:c>
      <x:c r="Z133" s="67" t="str">
        <x:f>IF(OR(X133="",Y133=""),"",SQRT(X133*Y133))</x:f>
      </x:c>
      <x:c r="AA133" s="67" t="str">
        <x:f>IF(OR(X133="",Y133=""),"",X133^Controls!$C$8*Y133^Controls!$C$9)</x:f>
      </x:c>
      <x:c r="AB133" s="67" t="str">
        <x:f>IF(OR(X133="",Y133=""),"",X133^Controls!$C$9*Y133^Controls!$C$8)</x:f>
      </x:c>
      <x:c r="AC133" t="str">
        <x:f>IF(OR(U133="",V133=""),"",SQRT(U133*V133))</x:f>
      </x:c>
      <x:c r="AD133" t="n">
        <x:f>IF(OR(I133="",J133="",J133=0),"",I133/J133)</x:f>
        <x:v>60.317460317460316</x:v>
      </x:c>
      <x:c r="AE133" t="str">
        <x:f>IF(OR(I133="",K133="",K133=0),"",I133/K133)</x:f>
      </x:c>
      <x:c r="AF133" t="str">
        <x:f>IF(Z133="","",1+COUNTIF($Z$4:$Z$141,"&gt;"&amp;Z133)+COUNTIFS($Z$4:Z133,Z133)-1)</x:f>
      </x:c>
      <x:c r="AG133" t="str">
        <x:f>IF(AA133="","",1+COUNTIF($AA$4:$AA$141,"&gt;"&amp;AA133)+COUNTIFS($AA$4:AA133,AA133)-1)</x:f>
      </x:c>
      <x:c r="AH133" t="str">
        <x:f>IF(AB133="","",1+COUNTIF($AB$4:$AB$141,"&gt;"&amp;AB133)+COUNTIFS($AB$4:AB133,AB133)-1)</x:f>
      </x:c>
      <x:c r="AI133" t="str">
        <x:f>IF(OR(O133=0,I133=""),"",1+COUNTIFS($O$4:$O$141,1,$I$4:$I$141,"&gt;"&amp;I133)+COUNTIFS($O$4:O133,1,$I$4:I133,I133)-1)</x:f>
      </x:c>
      <x:c r="AJ133" t="str">
        <x:f>IF(OR(O133=0,L133=""),"",1+COUNTIFS($O$4:$O$141,1,$L$4:$L$141,"&gt;"&amp;L133)+COUNTIFS($O$4:O133,1,$L$4:L133,L133)-1)</x:f>
      </x:c>
      <x:c r="AK133" t="str">
        <x:f>IF(OR(O133=0,J133="",J133=0),"",1+COUNTIFS($O$4:$O$141,1,$J$4:$J$141,"&lt;"&amp;J133,$J$4:$J$141,"&gt;0")+COUNTIFS($O$4:O133,1,$J$4:J133,J133)-1)</x:f>
      </x:c>
    </x:row>
    <x:row r="134" s="14" customFormat="1">
      <x:c r="A134" t="inlineStr">
        <x:is>
          <x:t xml:space="preserve">openai|gpt-5-6-terra|high|reasoning|fallback-na|aa-v4.3.2|snapshot-2026-10-16</x:t>
        </x:is>
      </x:c>
      <x:c r="B134" t="inlineStr">
        <x:is>
          <x:t xml:space="preserve">openai|gpt-5-6-terra|high|reasoning|fallback-na</x:t>
        </x:is>
      </x:c>
      <x:c r="C134" t="inlineStr">
        <x:is>
          <x:t xml:space="preserve">GPT-5.6 Terra</x:t>
        </x:is>
      </x:c>
      <x:c r="D134" t="inlineStr">
        <x:is>
          <x:t xml:space="preserve">OpenAI</x:t>
        </x:is>
      </x:c>
      <x:c r="E134" t="inlineStr">
        <x:is>
          <x:t xml:space="preserve">high</x:t>
        </x:is>
      </x:c>
      <x:c r="F134" t="inlineStr">
        <x:is>
          <x:t xml:space="preserve">AA|v4.3.2</x:t>
        </x:is>
      </x:c>
      <x:c r="G134" t="n">
        <x:v>34</x:v>
      </x:c>
      <x:c r="H134" t="n">
        <x:f>IFERROR(INDEX(Benchmark_Versions!$I:$I,MATCH(F134,Benchmark_Versions!$A:$A,0)),1)</x:f>
        <x:v>1</x:v>
      </x:c>
      <x:c r="I134" t="n">
        <x:f>IF(G134="","",G134*H134)</x:f>
        <x:v>34</x:v>
      </x:c>
      <x:c r="J134" s="69" t="n">
        <x:v>0.34</x:v>
      </x:c>
      <x:c r="L134" t="n">
        <x:v>114.1</x:v>
      </x:c>
      <x:c r="M134" t="inlineStr">
        <x:is>
          <x:t xml:space="preserve">Tracked</x:t>
        </x:is>
      </x:c>
      <x:c r="N134" t="inlineStr">
        <x:is>
          <x:t xml:space="preserve">yes</x:t>
        </x:is>
      </x:c>
      <x:c r="O134" t="n">
        <x:f>IF(F134&lt;&gt;Controls!$C$12,0,IF(AND(Controls!$C$10="Contender",M134&lt;&gt;"Contender"),0,IF(AND(Controls!$C$10="Contender+Close",NOT(OR(M134="Contender",M134="Close"))),0,IF(AND(Controls!$C$11="Current",NOT(OR(N134="yes",N134="limited"))),0,1))))</x:f>
        <x:v>0</x:v>
      </x:c>
      <x:c r="P134" t="n">
        <x:f>Controls!$C$7</x:f>
        <x:v>40</x:v>
      </x:c>
      <x:c r="Q134" t="n">
        <x:f>IF(I134="","",I134-(P134-1))</x:f>
        <x:v>-5</x:v>
      </x:c>
      <x:c r="R134" t="str">
        <x:f>IF(OR(O134=0,Q134&lt;=0,J134="",J134=0),"",Q134/J134)</x:f>
      </x:c>
      <x:c r="S134" t="str">
        <x:f>IF(OR(O134=0,Q134&lt;=0,J134="",Q134=0),"",J134/Q134)</x:f>
      </x:c>
      <x:c r="T134" t="str">
        <x:f>IF(OR(O134=0,Q134&lt;=0,J134="",K134="",J134=0,K134=0),"",Q134/(J134*(K134/60)))</x:f>
      </x:c>
      <x:c r="U134" t="str">
        <x:f>IF(OR(O134=0,I134=""),"",I134/_xlfn.MAXIFS($I$4:$I$141,$O$4:$O$141,1))</x:f>
      </x:c>
      <x:c r="V134" t="str">
        <x:f>IF(OR(O134=0,L134=""),"",L134/_xlfn.MAXIFS($L$4:$L$141,$O$4:$O$141,1))</x:f>
      </x:c>
      <x:c r="W134" t="str">
        <x:f>IF(OR(O134=0,J134=""),"",_xlfn.MINIFS($J$4:$J$141,$O$4:$O$141,1,$J$4:$J$141,"&gt;0")/J134)</x:f>
      </x:c>
      <x:c r="X134" t="str">
        <x:f>IF(R134="","",R134/_xlfn.MAXIFS($R$4:$R$141,$O$4:$O$141,1))</x:f>
      </x:c>
      <x:c r="Y134" t="str">
        <x:f>IF(T134="","",T134/_xlfn.MAXIFS($T$4:$T$141,$O$4:$O$141,1))</x:f>
      </x:c>
      <x:c r="Z134" s="67" t="str">
        <x:f>IF(OR(X134="",Y134=""),"",SQRT(X134*Y134))</x:f>
      </x:c>
      <x:c r="AA134" s="67" t="str">
        <x:f>IF(OR(X134="",Y134=""),"",X134^Controls!$C$8*Y134^Controls!$C$9)</x:f>
      </x:c>
      <x:c r="AB134" s="67" t="str">
        <x:f>IF(OR(X134="",Y134=""),"",X134^Controls!$C$9*Y134^Controls!$C$8)</x:f>
      </x:c>
      <x:c r="AC134" t="str">
        <x:f>IF(OR(U134="",V134=""),"",SQRT(U134*V134))</x:f>
      </x:c>
      <x:c r="AD134" t="n">
        <x:f>IF(OR(I134="",J134="",J134=0),"",I134/J134)</x:f>
        <x:v>99.99999999999999</x:v>
      </x:c>
      <x:c r="AE134" t="str">
        <x:f>IF(OR(I134="",K134="",K134=0),"",I134/K134)</x:f>
      </x:c>
      <x:c r="AF134" t="str">
        <x:f>IF(Z134="","",1+COUNTIF($Z$4:$Z$141,"&gt;"&amp;Z134)+COUNTIFS($Z$4:Z134,Z134)-1)</x:f>
      </x:c>
      <x:c r="AG134" t="str">
        <x:f>IF(AA134="","",1+COUNTIF($AA$4:$AA$141,"&gt;"&amp;AA134)+COUNTIFS($AA$4:AA134,AA134)-1)</x:f>
      </x:c>
      <x:c r="AH134" t="str">
        <x:f>IF(AB134="","",1+COUNTIF($AB$4:$AB$141,"&gt;"&amp;AB134)+COUNTIFS($AB$4:AB134,AB134)-1)</x:f>
      </x:c>
      <x:c r="AI134" t="str">
        <x:f>IF(OR(O134=0,I134=""),"",1+COUNTIFS($O$4:$O$141,1,$I$4:$I$141,"&gt;"&amp;I134)+COUNTIFS($O$4:O134,1,$I$4:I134,I134)-1)</x:f>
      </x:c>
      <x:c r="AJ134" t="str">
        <x:f>IF(OR(O134=0,L134=""),"",1+COUNTIFS($O$4:$O$141,1,$L$4:$L$141,"&gt;"&amp;L134)+COUNTIFS($O$4:O134,1,$L$4:L134,L134)-1)</x:f>
      </x:c>
      <x:c r="AK134" t="str">
        <x:f>IF(OR(O134=0,J134="",J134=0),"",1+COUNTIFS($O$4:$O$141,1,$J$4:$J$141,"&lt;"&amp;J134,$J$4:$J$141,"&gt;0")+COUNTIFS($O$4:O134,1,$J$4:J134,J134)-1)</x:f>
      </x:c>
    </x:row>
    <x:row r="135" s="14" customFormat="1">
      <x:c r="A135" t="inlineStr">
        <x:is>
          <x:t xml:space="preserve">openai|gpt-5-6-terra|medium|reasoning|fallback-na|aa-v4.3.2|snapshot-2026-10-16</x:t>
        </x:is>
      </x:c>
      <x:c r="B135" t="inlineStr">
        <x:is>
          <x:t xml:space="preserve">openai|gpt-5-6-terra|medium|reasoning|fallback-na</x:t>
        </x:is>
      </x:c>
      <x:c r="C135" t="inlineStr">
        <x:is>
          <x:t xml:space="preserve">GPT-5.6 Terra</x:t>
        </x:is>
      </x:c>
      <x:c r="D135" t="inlineStr">
        <x:is>
          <x:t xml:space="preserve">OpenAI</x:t>
        </x:is>
      </x:c>
      <x:c r="E135" t="inlineStr">
        <x:is>
          <x:t xml:space="preserve">medium</x:t>
        </x:is>
      </x:c>
      <x:c r="F135" t="inlineStr">
        <x:is>
          <x:t xml:space="preserve">AA|v4.3.2</x:t>
        </x:is>
      </x:c>
      <x:c r="G135" t="n">
        <x:v>30</x:v>
      </x:c>
      <x:c r="H135" t="n">
        <x:f>IFERROR(INDEX(Benchmark_Versions!$I:$I,MATCH(F135,Benchmark_Versions!$A:$A,0)),1)</x:f>
        <x:v>1</x:v>
      </x:c>
      <x:c r="I135" t="n">
        <x:f>IF(G135="","",G135*H135)</x:f>
        <x:v>30</x:v>
      </x:c>
      <x:c r="J135" s="69" t="n">
        <x:v>0.18</x:v>
      </x:c>
      <x:c r="L135" t="n">
        <x:v>108.2</x:v>
      </x:c>
      <x:c r="M135" t="inlineStr">
        <x:is>
          <x:t xml:space="preserve">Tracked</x:t>
        </x:is>
      </x:c>
      <x:c r="N135" t="inlineStr">
        <x:is>
          <x:t xml:space="preserve">yes</x:t>
        </x:is>
      </x:c>
      <x:c r="O135" t="n">
        <x:f>IF(F135&lt;&gt;Controls!$C$12,0,IF(AND(Controls!$C$10="Contender",M135&lt;&gt;"Contender"),0,IF(AND(Controls!$C$10="Contender+Close",NOT(OR(M135="Contender",M135="Close"))),0,IF(AND(Controls!$C$11="Current",NOT(OR(N135="yes",N135="limited"))),0,1))))</x:f>
        <x:v>0</x:v>
      </x:c>
      <x:c r="P135" t="n">
        <x:f>Controls!$C$7</x:f>
        <x:v>40</x:v>
      </x:c>
      <x:c r="Q135" t="n">
        <x:f>IF(I135="","",I135-(P135-1))</x:f>
        <x:v>-9</x:v>
      </x:c>
      <x:c r="R135" t="str">
        <x:f>IF(OR(O135=0,Q135&lt;=0,J135="",J135=0),"",Q135/J135)</x:f>
      </x:c>
      <x:c r="S135" t="str">
        <x:f>IF(OR(O135=0,Q135&lt;=0,J135="",Q135=0),"",J135/Q135)</x:f>
      </x:c>
      <x:c r="T135" t="str">
        <x:f>IF(OR(O135=0,Q135&lt;=0,J135="",K135="",J135=0,K135=0),"",Q135/(J135*(K135/60)))</x:f>
      </x:c>
      <x:c r="U135" t="str">
        <x:f>IF(OR(O135=0,I135=""),"",I135/_xlfn.MAXIFS($I$4:$I$141,$O$4:$O$141,1))</x:f>
      </x:c>
      <x:c r="V135" t="str">
        <x:f>IF(OR(O135=0,L135=""),"",L135/_xlfn.MAXIFS($L$4:$L$141,$O$4:$O$141,1))</x:f>
      </x:c>
      <x:c r="W135" t="str">
        <x:f>IF(OR(O135=0,J135=""),"",_xlfn.MINIFS($J$4:$J$141,$O$4:$O$141,1,$J$4:$J$141,"&gt;0")/J135)</x:f>
      </x:c>
      <x:c r="X135" t="str">
        <x:f>IF(R135="","",R135/_xlfn.MAXIFS($R$4:$R$141,$O$4:$O$141,1))</x:f>
      </x:c>
      <x:c r="Y135" t="str">
        <x:f>IF(T135="","",T135/_xlfn.MAXIFS($T$4:$T$141,$O$4:$O$141,1))</x:f>
      </x:c>
      <x:c r="Z135" s="67" t="str">
        <x:f>IF(OR(X135="",Y135=""),"",SQRT(X135*Y135))</x:f>
      </x:c>
      <x:c r="AA135" s="67" t="str">
        <x:f>IF(OR(X135="",Y135=""),"",X135^Controls!$C$8*Y135^Controls!$C$9)</x:f>
      </x:c>
      <x:c r="AB135" s="67" t="str">
        <x:f>IF(OR(X135="",Y135=""),"",X135^Controls!$C$9*Y135^Controls!$C$8)</x:f>
      </x:c>
      <x:c r="AC135" t="str">
        <x:f>IF(OR(U135="",V135=""),"",SQRT(U135*V135))</x:f>
      </x:c>
      <x:c r="AD135" t="n">
        <x:f>IF(OR(I135="",J135="",J135=0),"",I135/J135)</x:f>
        <x:v>166.66666666666669</x:v>
      </x:c>
      <x:c r="AE135" t="str">
        <x:f>IF(OR(I135="",K135="",K135=0),"",I135/K135)</x:f>
      </x:c>
      <x:c r="AF135" t="str">
        <x:f>IF(Z135="","",1+COUNTIF($Z$4:$Z$141,"&gt;"&amp;Z135)+COUNTIFS($Z$4:Z135,Z135)-1)</x:f>
      </x:c>
      <x:c r="AG135" t="str">
        <x:f>IF(AA135="","",1+COUNTIF($AA$4:$AA$141,"&gt;"&amp;AA135)+COUNTIFS($AA$4:AA135,AA135)-1)</x:f>
      </x:c>
      <x:c r="AH135" t="str">
        <x:f>IF(AB135="","",1+COUNTIF($AB$4:$AB$141,"&gt;"&amp;AB135)+COUNTIFS($AB$4:AB135,AB135)-1)</x:f>
      </x:c>
      <x:c r="AI135" t="str">
        <x:f>IF(OR(O135=0,I135=""),"",1+COUNTIFS($O$4:$O$141,1,$I$4:$I$141,"&gt;"&amp;I135)+COUNTIFS($O$4:O135,1,$I$4:I135,I135)-1)</x:f>
      </x:c>
      <x:c r="AJ135" t="str">
        <x:f>IF(OR(O135=0,L135=""),"",1+COUNTIFS($O$4:$O$141,1,$L$4:$L$141,"&gt;"&amp;L135)+COUNTIFS($O$4:O135,1,$L$4:L135,L135)-1)</x:f>
      </x:c>
      <x:c r="AK135" t="str">
        <x:f>IF(OR(O135=0,J135="",J135=0),"",1+COUNTIFS($O$4:$O$141,1,$J$4:$J$141,"&lt;"&amp;J135,$J$4:$J$141,"&gt;0")+COUNTIFS($O$4:O135,1,$J$4:J135,J135)-1)</x:f>
      </x:c>
    </x:row>
    <x:row r="136" s="14" customFormat="1">
      <x:c r="A136" t="inlineStr">
        <x:is>
          <x:t xml:space="preserve">openai|gpt-5-6-terra|low|reasoning|fallback-na|aa-v4.3.2|snapshot-2026-10-16</x:t>
        </x:is>
      </x:c>
      <x:c r="B136" t="inlineStr">
        <x:is>
          <x:t xml:space="preserve">openai|gpt-5-6-terra|low|reasoning|fallback-na</x:t>
        </x:is>
      </x:c>
      <x:c r="C136" t="inlineStr">
        <x:is>
          <x:t xml:space="preserve">GPT-5.6 Terra</x:t>
        </x:is>
      </x:c>
      <x:c r="D136" t="inlineStr">
        <x:is>
          <x:t xml:space="preserve">OpenAI</x:t>
        </x:is>
      </x:c>
      <x:c r="E136" t="inlineStr">
        <x:is>
          <x:t xml:space="preserve">low</x:t>
        </x:is>
      </x:c>
      <x:c r="F136" t="inlineStr">
        <x:is>
          <x:t xml:space="preserve">AA|v4.3.2</x:t>
        </x:is>
      </x:c>
      <x:c r="G136" t="n">
        <x:v>27</x:v>
      </x:c>
      <x:c r="H136" t="n">
        <x:f>IFERROR(INDEX(Benchmark_Versions!$I:$I,MATCH(F136,Benchmark_Versions!$A:$A,0)),1)</x:f>
        <x:v>1</x:v>
      </x:c>
      <x:c r="I136" t="n">
        <x:f>IF(G136="","",G136*H136)</x:f>
        <x:v>27</x:v>
      </x:c>
      <x:c r="J136" s="69" t="n">
        <x:v>0.14</x:v>
      </x:c>
      <x:c r="L136" t="n">
        <x:v>108.7</x:v>
      </x:c>
      <x:c r="M136" t="inlineStr">
        <x:is>
          <x:t xml:space="preserve">Tracked</x:t>
        </x:is>
      </x:c>
      <x:c r="N136" t="inlineStr">
        <x:is>
          <x:t xml:space="preserve">yes</x:t>
        </x:is>
      </x:c>
      <x:c r="O136" t="n">
        <x:f>IF(F136&lt;&gt;Controls!$C$12,0,IF(AND(Controls!$C$10="Contender",M136&lt;&gt;"Contender"),0,IF(AND(Controls!$C$10="Contender+Close",NOT(OR(M136="Contender",M136="Close"))),0,IF(AND(Controls!$C$11="Current",NOT(OR(N136="yes",N136="limited"))),0,1))))</x:f>
        <x:v>0</x:v>
      </x:c>
      <x:c r="P136" t="n">
        <x:f>Controls!$C$7</x:f>
        <x:v>40</x:v>
      </x:c>
      <x:c r="Q136" t="n">
        <x:f>IF(I136="","",I136-(P136-1))</x:f>
        <x:v>-12</x:v>
      </x:c>
      <x:c r="R136" t="str">
        <x:f>IF(OR(O136=0,Q136&lt;=0,J136="",J136=0),"",Q136/J136)</x:f>
      </x:c>
      <x:c r="S136" t="str">
        <x:f>IF(OR(O136=0,Q136&lt;=0,J136="",Q136=0),"",J136/Q136)</x:f>
      </x:c>
      <x:c r="T136" t="str">
        <x:f>IF(OR(O136=0,Q136&lt;=0,J136="",K136="",J136=0,K136=0),"",Q136/(J136*(K136/60)))</x:f>
      </x:c>
      <x:c r="U136" t="str">
        <x:f>IF(OR(O136=0,I136=""),"",I136/_xlfn.MAXIFS($I$4:$I$141,$O$4:$O$141,1))</x:f>
      </x:c>
      <x:c r="V136" t="str">
        <x:f>IF(OR(O136=0,L136=""),"",L136/_xlfn.MAXIFS($L$4:$L$141,$O$4:$O$141,1))</x:f>
      </x:c>
      <x:c r="W136" t="str">
        <x:f>IF(OR(O136=0,J136=""),"",_xlfn.MINIFS($J$4:$J$141,$O$4:$O$141,1,$J$4:$J$141,"&gt;0")/J136)</x:f>
      </x:c>
      <x:c r="X136" t="str">
        <x:f>IF(R136="","",R136/_xlfn.MAXIFS($R$4:$R$141,$O$4:$O$141,1))</x:f>
      </x:c>
      <x:c r="Y136" t="str">
        <x:f>IF(T136="","",T136/_xlfn.MAXIFS($T$4:$T$141,$O$4:$O$141,1))</x:f>
      </x:c>
      <x:c r="Z136" s="67" t="str">
        <x:f>IF(OR(X136="",Y136=""),"",SQRT(X136*Y136))</x:f>
      </x:c>
      <x:c r="AA136" s="67" t="str">
        <x:f>IF(OR(X136="",Y136=""),"",X136^Controls!$C$8*Y136^Controls!$C$9)</x:f>
      </x:c>
      <x:c r="AB136" s="67" t="str">
        <x:f>IF(OR(X136="",Y136=""),"",X136^Controls!$C$9*Y136^Controls!$C$8)</x:f>
      </x:c>
      <x:c r="AC136" t="str">
        <x:f>IF(OR(U136="",V136=""),"",SQRT(U136*V136))</x:f>
      </x:c>
      <x:c r="AD136" t="n">
        <x:f>IF(OR(I136="",J136="",J136=0),"",I136/J136)</x:f>
        <x:v>192.85714285714283</x:v>
      </x:c>
      <x:c r="AE136" t="str">
        <x:f>IF(OR(I136="",K136="",K136=0),"",I136/K136)</x:f>
      </x:c>
      <x:c r="AF136" t="str">
        <x:f>IF(Z136="","",1+COUNTIF($Z$4:$Z$141,"&gt;"&amp;Z136)+COUNTIFS($Z$4:Z136,Z136)-1)</x:f>
      </x:c>
      <x:c r="AG136" t="str">
        <x:f>IF(AA136="","",1+COUNTIF($AA$4:$AA$141,"&gt;"&amp;AA136)+COUNTIFS($AA$4:AA136,AA136)-1)</x:f>
      </x:c>
      <x:c r="AH136" t="str">
        <x:f>IF(AB136="","",1+COUNTIF($AB$4:$AB$141,"&gt;"&amp;AB136)+COUNTIFS($AB$4:AB136,AB136)-1)</x:f>
      </x:c>
      <x:c r="AI136" t="str">
        <x:f>IF(OR(O136=0,I136=""),"",1+COUNTIFS($O$4:$O$141,1,$I$4:$I$141,"&gt;"&amp;I136)+COUNTIFS($O$4:O136,1,$I$4:I136,I136)-1)</x:f>
      </x:c>
      <x:c r="AJ136" t="str">
        <x:f>IF(OR(O136=0,L136=""),"",1+COUNTIFS($O$4:$O$141,1,$L$4:$L$141,"&gt;"&amp;L136)+COUNTIFS($O$4:O136,1,$L$4:L136,L136)-1)</x:f>
      </x:c>
      <x:c r="AK136" t="str">
        <x:f>IF(OR(O136=0,J136="",J136=0),"",1+COUNTIFS($O$4:$O$141,1,$J$4:$J$141,"&lt;"&amp;J136,$J$4:$J$141,"&gt;0")+COUNTIFS($O$4:O136,1,$J$4:J136,J136)-1)</x:f>
      </x:c>
    </x:row>
    <x:row r="137" s="14" customFormat="1">
      <x:c r="A137" t="inlineStr">
        <x:is>
          <x:t xml:space="preserve">openai|gpt-5-6-terra|non-reasoning|nonreasoning|fallback-na|aa-v4.3.2|snapshot-2026-10-16</x:t>
        </x:is>
      </x:c>
      <x:c r="B137" t="inlineStr">
        <x:is>
          <x:t xml:space="preserve">openai|gpt-5-6-terra|non-reasoning|nonreasoning|fallback-na</x:t>
        </x:is>
      </x:c>
      <x:c r="C137" t="inlineStr">
        <x:is>
          <x:t xml:space="preserve">GPT-5.6 Terra</x:t>
        </x:is>
      </x:c>
      <x:c r="D137" t="inlineStr">
        <x:is>
          <x:t xml:space="preserve">OpenAI</x:t>
        </x:is>
      </x:c>
      <x:c r="E137" t="inlineStr">
        <x:is>
          <x:t xml:space="preserve">non-reasoning</x:t>
        </x:is>
      </x:c>
      <x:c r="F137" t="inlineStr">
        <x:is>
          <x:t xml:space="preserve">AA|v4.3.2</x:t>
        </x:is>
      </x:c>
      <x:c r="G137" t="n">
        <x:v>21</x:v>
      </x:c>
      <x:c r="H137" t="n">
        <x:f>IFERROR(INDEX(Benchmark_Versions!$I:$I,MATCH(F137,Benchmark_Versions!$A:$A,0)),1)</x:f>
        <x:v>1</x:v>
      </x:c>
      <x:c r="I137" t="n">
        <x:f>IF(G137="","",G137*H137)</x:f>
        <x:v>21</x:v>
      </x:c>
      <x:c r="J137" s="69" t="n">
        <x:v>0.14</x:v>
      </x:c>
      <x:c r="L137" t="n">
        <x:v>121.1</x:v>
      </x:c>
      <x:c r="M137" t="inlineStr">
        <x:is>
          <x:t xml:space="preserve">Tracked</x:t>
        </x:is>
      </x:c>
      <x:c r="N137" t="inlineStr">
        <x:is>
          <x:t xml:space="preserve">yes</x:t>
        </x:is>
      </x:c>
      <x:c r="O137" t="n">
        <x:f>IF(F137&lt;&gt;Controls!$C$12,0,IF(AND(Controls!$C$10="Contender",M137&lt;&gt;"Contender"),0,IF(AND(Controls!$C$10="Contender+Close",NOT(OR(M137="Contender",M137="Close"))),0,IF(AND(Controls!$C$11="Current",NOT(OR(N137="yes",N137="limited"))),0,1))))</x:f>
        <x:v>0</x:v>
      </x:c>
      <x:c r="P137" t="n">
        <x:f>Controls!$C$7</x:f>
        <x:v>40</x:v>
      </x:c>
      <x:c r="Q137" t="n">
        <x:f>IF(I137="","",I137-(P137-1))</x:f>
        <x:v>-18</x:v>
      </x:c>
      <x:c r="R137" t="str">
        <x:f>IF(OR(O137=0,Q137&lt;=0,J137="",J137=0),"",Q137/J137)</x:f>
      </x:c>
      <x:c r="S137" t="str">
        <x:f>IF(OR(O137=0,Q137&lt;=0,J137="",Q137=0),"",J137/Q137)</x:f>
      </x:c>
      <x:c r="T137" t="str">
        <x:f>IF(OR(O137=0,Q137&lt;=0,J137="",K137="",J137=0,K137=0),"",Q137/(J137*(K137/60)))</x:f>
      </x:c>
      <x:c r="U137" t="str">
        <x:f>IF(OR(O137=0,I137=""),"",I137/_xlfn.MAXIFS($I$4:$I$141,$O$4:$O$141,1))</x:f>
      </x:c>
      <x:c r="V137" t="str">
        <x:f>IF(OR(O137=0,L137=""),"",L137/_xlfn.MAXIFS($L$4:$L$141,$O$4:$O$141,1))</x:f>
      </x:c>
      <x:c r="W137" t="str">
        <x:f>IF(OR(O137=0,J137=""),"",_xlfn.MINIFS($J$4:$J$141,$O$4:$O$141,1,$J$4:$J$141,"&gt;0")/J137)</x:f>
      </x:c>
      <x:c r="X137" t="str">
        <x:f>IF(R137="","",R137/_xlfn.MAXIFS($R$4:$R$141,$O$4:$O$141,1))</x:f>
      </x:c>
      <x:c r="Y137" t="str">
        <x:f>IF(T137="","",T137/_xlfn.MAXIFS($T$4:$T$141,$O$4:$O$141,1))</x:f>
      </x:c>
      <x:c r="Z137" s="67" t="str">
        <x:f>IF(OR(X137="",Y137=""),"",SQRT(X137*Y137))</x:f>
      </x:c>
      <x:c r="AA137" s="67" t="str">
        <x:f>IF(OR(X137="",Y137=""),"",X137^Controls!$C$8*Y137^Controls!$C$9)</x:f>
      </x:c>
      <x:c r="AB137" s="67" t="str">
        <x:f>IF(OR(X137="",Y137=""),"",X137^Controls!$C$9*Y137^Controls!$C$8)</x:f>
      </x:c>
      <x:c r="AC137" t="str">
        <x:f>IF(OR(U137="",V137=""),"",SQRT(U137*V137))</x:f>
      </x:c>
      <x:c r="AD137" t="n">
        <x:f>IF(OR(I137="",J137="",J137=0),"",I137/J137)</x:f>
        <x:v>149.99999999999997</x:v>
      </x:c>
      <x:c r="AE137" t="str">
        <x:f>IF(OR(I137="",K137="",K137=0),"",I137/K137)</x:f>
      </x:c>
      <x:c r="AF137" t="str">
        <x:f>IF(Z137="","",1+COUNTIF($Z$4:$Z$141,"&gt;"&amp;Z137)+COUNTIFS($Z$4:Z137,Z137)-1)</x:f>
      </x:c>
      <x:c r="AG137" t="str">
        <x:f>IF(AA137="","",1+COUNTIF($AA$4:$AA$141,"&gt;"&amp;AA137)+COUNTIFS($AA$4:AA137,AA137)-1)</x:f>
      </x:c>
      <x:c r="AH137" t="str">
        <x:f>IF(AB137="","",1+COUNTIF($AB$4:$AB$141,"&gt;"&amp;AB137)+COUNTIFS($AB$4:AB137,AB137)-1)</x:f>
      </x:c>
      <x:c r="AI137" t="str">
        <x:f>IF(OR(O137=0,I137=""),"",1+COUNTIFS($O$4:$O$141,1,$I$4:$I$141,"&gt;"&amp;I137)+COUNTIFS($O$4:O137,1,$I$4:I137,I137)-1)</x:f>
      </x:c>
      <x:c r="AJ137" t="str">
        <x:f>IF(OR(O137=0,L137=""),"",1+COUNTIFS($O$4:$O$141,1,$L$4:$L$141,"&gt;"&amp;L137)+COUNTIFS($O$4:O137,1,$L$4:L137,L137)-1)</x:f>
      </x:c>
      <x:c r="AK137" t="str">
        <x:f>IF(OR(O137=0,J137="",J137=0),"",1+COUNTIFS($O$4:$O$141,1,$J$4:$J$141,"&lt;"&amp;J137,$J$4:$J$141,"&gt;0")+COUNTIFS($O$4:O137,1,$J$4:J137,J137)-1)</x:f>
      </x:c>
    </x:row>
    <x:row r="138" s="14" customFormat="1">
      <x:c r="A138" t="inlineStr">
        <x:is>
          <x:t xml:space="preserve">anthropic|claude-haiku-5-5|xhigh|yes|fallback-na|aa-v4.3.2|snapshot-2026-10-16</x:t>
        </x:is>
      </x:c>
      <x:c r="B138" t="inlineStr">
        <x:is>
          <x:t xml:space="preserve">anthropic|claude-haiku-5-5|xhigh|yes|fallback-na</x:t>
        </x:is>
      </x:c>
      <x:c r="C138" t="inlineStr">
        <x:is>
          <x:t xml:space="preserve">Claude Haiku 5.5</x:t>
        </x:is>
      </x:c>
      <x:c r="D138" t="inlineStr">
        <x:is>
          <x:t xml:space="preserve">Anthropic</x:t>
        </x:is>
      </x:c>
      <x:c r="E138" t="inlineStr">
        <x:is>
          <x:t xml:space="preserve">xhigh</x:t>
        </x:is>
      </x:c>
      <x:c r="F138" t="inlineStr">
        <x:is>
          <x:t xml:space="preserve">AA|v4.3.2</x:t>
        </x:is>
      </x:c>
      <x:c r="G138" t="n">
        <x:v>41</x:v>
      </x:c>
      <x:c r="H138" t="n">
        <x:f>IFERROR(INDEX(Benchmark_Versions!$I:$I,MATCH(F138,Benchmark_Versions!$A:$A,0)),1)</x:f>
        <x:v>1</x:v>
      </x:c>
      <x:c r="I138" t="n">
        <x:f>IF(G138="","",G138*H138)</x:f>
        <x:v>41</x:v>
      </x:c>
      <x:c r="J138" s="69" t="n">
        <x:v>0.12</x:v>
      </x:c>
      <x:c r="L138" t="n">
        <x:v>190.2</x:v>
      </x:c>
      <x:c r="M138" t="inlineStr">
        <x:is>
          <x:t xml:space="preserve">new release / awaiting source-backed assessment</x:t>
        </x:is>
      </x:c>
      <x:c r="N138" t="inlineStr">
        <x:is>
          <x:t xml:space="preserve">yes</x:t>
        </x:is>
      </x:c>
      <x:c r="O138" t="n">
        <x:f>IF(F138&lt;&gt;Controls!$C$12,0,IF(AND(Controls!$C$10="Contender",M138&lt;&gt;"Contender"),0,IF(AND(Controls!$C$10="Contender+Close",NOT(OR(M138="Contender",M138="Close"))),0,IF(AND(Controls!$C$11="Current",NOT(OR(N138="yes",N138="limited"))),0,1))))</x:f>
        <x:v>0</x:v>
      </x:c>
      <x:c r="P138" t="n">
        <x:f>Controls!$C$7</x:f>
        <x:v>40</x:v>
      </x:c>
      <x:c r="Q138" t="n">
        <x:f>IF(I138="","",I138-(P138-1))</x:f>
        <x:v>2</x:v>
      </x:c>
      <x:c r="R138" t="str">
        <x:f>IF(OR(O138=0,Q138&lt;=0,J138="",J138=0),"",Q138/J138)</x:f>
      </x:c>
      <x:c r="S138" t="str">
        <x:f>IF(OR(O138=0,Q138&lt;=0,J138="",Q138=0),"",J138/Q138)</x:f>
      </x:c>
      <x:c r="T138" t="str">
        <x:f>IF(OR(O138=0,Q138&lt;=0,J138="",K138="",J138=0,K138=0),"",Q138/(J138*(K138/60)))</x:f>
      </x:c>
      <x:c r="U138" t="str">
        <x:f>IF(OR(O138=0,I138=""),"",I138/_xlfn.MAXIFS($I$4:$I$141,$O$4:$O$141,1))</x:f>
      </x:c>
      <x:c r="V138" t="str">
        <x:f>IF(OR(O138=0,L138=""),"",L138/_xlfn.MAXIFS($L$4:$L$141,$O$4:$O$141,1))</x:f>
      </x:c>
      <x:c r="W138" t="str">
        <x:f>IF(OR(O138=0,J138=""),"",_xlfn.MINIFS($J$4:$J$141,$O$4:$O$141,1,$J$4:$J$141,"&gt;0")/J138)</x:f>
      </x:c>
      <x:c r="X138" t="str">
        <x:f>IF(R138="","",R138/_xlfn.MAXIFS($R$4:$R$141,$O$4:$O$141,1))</x:f>
      </x:c>
      <x:c r="Y138" t="str">
        <x:f>IF(T138="","",T138/_xlfn.MAXIFS($T$4:$T$141,$O$4:$O$141,1))</x:f>
      </x:c>
      <x:c r="Z138" s="67" t="str">
        <x:f>IF(OR(X138="",Y138=""),"",SQRT(X138*Y138))</x:f>
      </x:c>
      <x:c r="AA138" s="67" t="str">
        <x:f>IF(OR(X138="",Y138=""),"",X138^Controls!$C$8*Y138^Controls!$C$9)</x:f>
      </x:c>
      <x:c r="AB138" s="67" t="str">
        <x:f>IF(OR(X138="",Y138=""),"",X138^Controls!$C$9*Y138^Controls!$C$8)</x:f>
      </x:c>
      <x:c r="AC138" t="str">
        <x:f>IF(OR(U138="",V138=""),"",SQRT(U138*V138))</x:f>
      </x:c>
      <x:c r="AD138" t="n">
        <x:f>IF(OR(I138="",J138="",J138=0),"",I138/J138)</x:f>
        <x:v>341.6666666666667</x:v>
      </x:c>
      <x:c r="AE138" t="str">
        <x:f>IF(OR(I138="",K138="",K138=0),"",I138/K138)</x:f>
      </x:c>
      <x:c r="AF138" t="str">
        <x:f>IF(Z138="","",1+COUNTIF($Z$4:$Z$141,"&gt;"&amp;Z138)+COUNTIFS($Z$4:Z138,Z138)-1)</x:f>
      </x:c>
      <x:c r="AG138" t="str">
        <x:f>IF(AA138="","",1+COUNTIF($AA$4:$AA$141,"&gt;"&amp;AA138)+COUNTIFS($AA$4:AA138,AA138)-1)</x:f>
      </x:c>
      <x:c r="AH138" t="str">
        <x:f>IF(AB138="","",1+COUNTIF($AB$4:$AB$141,"&gt;"&amp;AB138)+COUNTIFS($AB$4:AB138,AB138)-1)</x:f>
      </x:c>
      <x:c r="AI138" t="str">
        <x:f>IF(OR(O138=0,I138=""),"",1+COUNTIFS($O$4:$O$141,1,$I$4:$I$141,"&gt;"&amp;I138)+COUNTIFS($O$4:O138,1,$I$4:I138,I138)-1)</x:f>
      </x:c>
      <x:c r="AJ138" t="str">
        <x:f>IF(OR(O138=0,L138=""),"",1+COUNTIFS($O$4:$O$141,1,$L$4:$L$141,"&gt;"&amp;L138)+COUNTIFS($O$4:O138,1,$L$4:L138,L138)-1)</x:f>
      </x:c>
      <x:c r="AK138" t="str">
        <x:f>IF(OR(O138=0,J138="",J138=0),"",1+COUNTIFS($O$4:$O$141,1,$J$4:$J$141,"&lt;"&amp;J138,$J$4:$J$141,"&gt;0")+COUNTIFS($O$4:O138,1,$J$4:J138,J138)-1)</x:f>
      </x:c>
    </x:row>
    <x:row r="139" s="14" customFormat="1">
      <x:c r="A139" t="inlineStr">
        <x:is>
          <x:t xml:space="preserve">anthropic|claude-haiku-5-5|high|yes|fallback-na|aa-v4.3.2|snapshot-2026-10-16</x:t>
        </x:is>
      </x:c>
      <x:c r="B139" t="inlineStr">
        <x:is>
          <x:t xml:space="preserve">anthropic|claude-haiku-5-5|high|yes|fallback-na</x:t>
        </x:is>
      </x:c>
      <x:c r="C139" t="inlineStr">
        <x:is>
          <x:t xml:space="preserve">Claude Haiku 5.5</x:t>
        </x:is>
      </x:c>
      <x:c r="D139" t="inlineStr">
        <x:is>
          <x:t xml:space="preserve">Anthropic</x:t>
        </x:is>
      </x:c>
      <x:c r="E139" t="inlineStr">
        <x:is>
          <x:t xml:space="preserve">high</x:t>
        </x:is>
      </x:c>
      <x:c r="F139" t="inlineStr">
        <x:is>
          <x:t xml:space="preserve">AA|v4.3.2</x:t>
        </x:is>
      </x:c>
      <x:c r="G139" t="n">
        <x:v>38</x:v>
      </x:c>
      <x:c r="H139" t="n">
        <x:f>IFERROR(INDEX(Benchmark_Versions!$I:$I,MATCH(F139,Benchmark_Versions!$A:$A,0)),1)</x:f>
        <x:v>1</x:v>
      </x:c>
      <x:c r="I139" t="n">
        <x:f>IF(G139="","",G139*H139)</x:f>
        <x:v>38</x:v>
      </x:c>
      <x:c r="J139" s="69" t="n">
        <x:v>0.08</x:v>
      </x:c>
      <x:c r="L139" t="n">
        <x:v>182.2</x:v>
      </x:c>
      <x:c r="M139" t="inlineStr">
        <x:is>
          <x:t xml:space="preserve">new release / awaiting source-backed assessment</x:t>
        </x:is>
      </x:c>
      <x:c r="N139" t="inlineStr">
        <x:is>
          <x:t xml:space="preserve">yes</x:t>
        </x:is>
      </x:c>
      <x:c r="O139" t="n">
        <x:f>IF(F139&lt;&gt;Controls!$C$12,0,IF(AND(Controls!$C$10="Contender",M139&lt;&gt;"Contender"),0,IF(AND(Controls!$C$10="Contender+Close",NOT(OR(M139="Contender",M139="Close"))),0,IF(AND(Controls!$C$11="Current",NOT(OR(N139="yes",N139="limited"))),0,1))))</x:f>
        <x:v>0</x:v>
      </x:c>
      <x:c r="P139" t="n">
        <x:f>Controls!$C$7</x:f>
        <x:v>40</x:v>
      </x:c>
      <x:c r="Q139" t="n">
        <x:f>IF(I139="","",I139-(P139-1))</x:f>
        <x:v>-1</x:v>
      </x:c>
      <x:c r="R139" t="str">
        <x:f>IF(OR(O139=0,Q139&lt;=0,J139="",J139=0),"",Q139/J139)</x:f>
      </x:c>
      <x:c r="S139" t="str">
        <x:f>IF(OR(O139=0,Q139&lt;=0,J139="",Q139=0),"",J139/Q139)</x:f>
      </x:c>
      <x:c r="T139" t="str">
        <x:f>IF(OR(O139=0,Q139&lt;=0,J139="",K139="",J139=0,K139=0),"",Q139/(J139*(K139/60)))</x:f>
      </x:c>
      <x:c r="U139" t="str">
        <x:f>IF(OR(O139=0,I139=""),"",I139/_xlfn.MAXIFS($I$4:$I$141,$O$4:$O$141,1))</x:f>
      </x:c>
      <x:c r="V139" t="str">
        <x:f>IF(OR(O139=0,L139=""),"",L139/_xlfn.MAXIFS($L$4:$L$141,$O$4:$O$141,1))</x:f>
      </x:c>
      <x:c r="W139" t="str">
        <x:f>IF(OR(O139=0,J139=""),"",_xlfn.MINIFS($J$4:$J$141,$O$4:$O$141,1,$J$4:$J$141,"&gt;0")/J139)</x:f>
      </x:c>
      <x:c r="X139" t="str">
        <x:f>IF(R139="","",R139/_xlfn.MAXIFS($R$4:$R$141,$O$4:$O$141,1))</x:f>
      </x:c>
      <x:c r="Y139" t="str">
        <x:f>IF(T139="","",T139/_xlfn.MAXIFS($T$4:$T$141,$O$4:$O$141,1))</x:f>
      </x:c>
      <x:c r="Z139" s="67" t="str">
        <x:f>IF(OR(X139="",Y139=""),"",SQRT(X139*Y139))</x:f>
      </x:c>
      <x:c r="AA139" s="67" t="str">
        <x:f>IF(OR(X139="",Y139=""),"",X139^Controls!$C$8*Y139^Controls!$C$9)</x:f>
      </x:c>
      <x:c r="AB139" s="67" t="str">
        <x:f>IF(OR(X139="",Y139=""),"",X139^Controls!$C$9*Y139^Controls!$C$8)</x:f>
      </x:c>
      <x:c r="AC139" t="str">
        <x:f>IF(OR(U139="",V139=""),"",SQRT(U139*V139))</x:f>
      </x:c>
      <x:c r="AD139" t="n">
        <x:f>IF(OR(I139="",J139="",J139=0),"",I139/J139)</x:f>
        <x:v>475</x:v>
      </x:c>
      <x:c r="AE139" t="str">
        <x:f>IF(OR(I139="",K139="",K139=0),"",I139/K139)</x:f>
      </x:c>
      <x:c r="AF139" t="str">
        <x:f>IF(Z139="","",1+COUNTIF($Z$4:$Z$141,"&gt;"&amp;Z139)+COUNTIFS($Z$4:Z139,Z139)-1)</x:f>
      </x:c>
      <x:c r="AG139" t="str">
        <x:f>IF(AA139="","",1+COUNTIF($AA$4:$AA$141,"&gt;"&amp;AA139)+COUNTIFS($AA$4:AA139,AA139)-1)</x:f>
      </x:c>
      <x:c r="AH139" t="str">
        <x:f>IF(AB139="","",1+COUNTIF($AB$4:$AB$141,"&gt;"&amp;AB139)+COUNTIFS($AB$4:AB139,AB139)-1)</x:f>
      </x:c>
      <x:c r="AI139" t="str">
        <x:f>IF(OR(O139=0,I139=""),"",1+COUNTIFS($O$4:$O$141,1,$I$4:$I$141,"&gt;"&amp;I139)+COUNTIFS($O$4:O139,1,$I$4:I139,I139)-1)</x:f>
      </x:c>
      <x:c r="AJ139" t="str">
        <x:f>IF(OR(O139=0,L139=""),"",1+COUNTIFS($O$4:$O$141,1,$L$4:$L$141,"&gt;"&amp;L139)+COUNTIFS($O$4:O139,1,$L$4:L139,L139)-1)</x:f>
      </x:c>
      <x:c r="AK139" t="str">
        <x:f>IF(OR(O139=0,J139="",J139=0),"",1+COUNTIFS($O$4:$O$141,1,$J$4:$J$141,"&lt;"&amp;J139,$J$4:$J$141,"&gt;0")+COUNTIFS($O$4:O139,1,$J$4:J139,J139)-1)</x:f>
      </x:c>
    </x:row>
    <x:row r="140" s="14" customFormat="1">
      <x:c r="A140" t="inlineStr">
        <x:is>
          <x:t xml:space="preserve">anthropic|claude-haiku-5-5|medium|yes|fallback-na|aa-v4.3.2|snapshot-2026-10-16</x:t>
        </x:is>
      </x:c>
      <x:c r="B140" t="inlineStr">
        <x:is>
          <x:t xml:space="preserve">anthropic|claude-haiku-5-5|medium|yes|fallback-na</x:t>
        </x:is>
      </x:c>
      <x:c r="C140" t="inlineStr">
        <x:is>
          <x:t xml:space="preserve">Claude Haiku 5.5</x:t>
        </x:is>
      </x:c>
      <x:c r="D140" t="inlineStr">
        <x:is>
          <x:t xml:space="preserve">Anthropic</x:t>
        </x:is>
      </x:c>
      <x:c r="E140" t="inlineStr">
        <x:is>
          <x:t xml:space="preserve">medium</x:t>
        </x:is>
      </x:c>
      <x:c r="F140" t="inlineStr">
        <x:is>
          <x:t xml:space="preserve">AA|v4.3.2</x:t>
        </x:is>
      </x:c>
      <x:c r="G140" t="n">
        <x:v>34</x:v>
      </x:c>
      <x:c r="H140" t="n">
        <x:f>IFERROR(INDEX(Benchmark_Versions!$I:$I,MATCH(F140,Benchmark_Versions!$A:$A,0)),1)</x:f>
        <x:v>1</x:v>
      </x:c>
      <x:c r="I140" t="n">
        <x:f>IF(G140="","",G140*H140)</x:f>
        <x:v>34</x:v>
      </x:c>
      <x:c r="J140" s="69" t="n">
        <x:v>0.05</x:v>
      </x:c>
      <x:c r="L140" t="n">
        <x:v>186.8</x:v>
      </x:c>
      <x:c r="M140" t="inlineStr">
        <x:is>
          <x:t xml:space="preserve">new release / awaiting source-backed assessment</x:t>
        </x:is>
      </x:c>
      <x:c r="N140" t="inlineStr">
        <x:is>
          <x:t xml:space="preserve">yes</x:t>
        </x:is>
      </x:c>
      <x:c r="O140" t="n">
        <x:f>IF(F140&lt;&gt;Controls!$C$12,0,IF(AND(Controls!$C$10="Contender",M140&lt;&gt;"Contender"),0,IF(AND(Controls!$C$10="Contender+Close",NOT(OR(M140="Contender",M140="Close"))),0,IF(AND(Controls!$C$11="Current",NOT(OR(N140="yes",N140="limited"))),0,1))))</x:f>
        <x:v>0</x:v>
      </x:c>
      <x:c r="P140" t="n">
        <x:f>Controls!$C$7</x:f>
        <x:v>40</x:v>
      </x:c>
      <x:c r="Q140" t="n">
        <x:f>IF(I140="","",I140-(P140-1))</x:f>
        <x:v>-5</x:v>
      </x:c>
      <x:c r="R140" t="str">
        <x:f>IF(OR(O140=0,Q140&lt;=0,J140="",J140=0),"",Q140/J140)</x:f>
      </x:c>
      <x:c r="S140" t="str">
        <x:f>IF(OR(O140=0,Q140&lt;=0,J140="",Q140=0),"",J140/Q140)</x:f>
      </x:c>
      <x:c r="T140" t="str">
        <x:f>IF(OR(O140=0,Q140&lt;=0,J140="",K140="",J140=0,K140=0),"",Q140/(J140*(K140/60)))</x:f>
      </x:c>
      <x:c r="U140" t="str">
        <x:f>IF(OR(O140=0,I140=""),"",I140/_xlfn.MAXIFS($I$4:$I$141,$O$4:$O$141,1))</x:f>
      </x:c>
      <x:c r="V140" t="str">
        <x:f>IF(OR(O140=0,L140=""),"",L140/_xlfn.MAXIFS($L$4:$L$141,$O$4:$O$141,1))</x:f>
      </x:c>
      <x:c r="W140" t="str">
        <x:f>IF(OR(O140=0,J140=""),"",_xlfn.MINIFS($J$4:$J$141,$O$4:$O$141,1,$J$4:$J$141,"&gt;0")/J140)</x:f>
      </x:c>
      <x:c r="X140" t="str">
        <x:f>IF(R140="","",R140/_xlfn.MAXIFS($R$4:$R$141,$O$4:$O$141,1))</x:f>
      </x:c>
      <x:c r="Y140" t="str">
        <x:f>IF(T140="","",T140/_xlfn.MAXIFS($T$4:$T$141,$O$4:$O$141,1))</x:f>
      </x:c>
      <x:c r="Z140" s="67" t="str">
        <x:f>IF(OR(X140="",Y140=""),"",SQRT(X140*Y140))</x:f>
      </x:c>
      <x:c r="AA140" s="67" t="str">
        <x:f>IF(OR(X140="",Y140=""),"",X140^Controls!$C$8*Y140^Controls!$C$9)</x:f>
      </x:c>
      <x:c r="AB140" s="67" t="str">
        <x:f>IF(OR(X140="",Y140=""),"",X140^Controls!$C$9*Y140^Controls!$C$8)</x:f>
      </x:c>
      <x:c r="AC140" t="str">
        <x:f>IF(OR(U140="",V140=""),"",SQRT(U140*V140))</x:f>
      </x:c>
      <x:c r="AD140" t="n">
        <x:f>IF(OR(I140="",J140="",J140=0),"",I140/J140)</x:f>
        <x:v>680</x:v>
      </x:c>
      <x:c r="AE140" t="str">
        <x:f>IF(OR(I140="",K140="",K140=0),"",I140/K140)</x:f>
      </x:c>
      <x:c r="AF140" t="str">
        <x:f>IF(Z140="","",1+COUNTIF($Z$4:$Z$141,"&gt;"&amp;Z140)+COUNTIFS($Z$4:Z140,Z140)-1)</x:f>
      </x:c>
      <x:c r="AG140" t="str">
        <x:f>IF(AA140="","",1+COUNTIF($AA$4:$AA$141,"&gt;"&amp;AA140)+COUNTIFS($AA$4:AA140,AA140)-1)</x:f>
      </x:c>
      <x:c r="AH140" t="str">
        <x:f>IF(AB140="","",1+COUNTIF($AB$4:$AB$141,"&gt;"&amp;AB140)+COUNTIFS($AB$4:AB140,AB140)-1)</x:f>
      </x:c>
      <x:c r="AI140" t="str">
        <x:f>IF(OR(O140=0,I140=""),"",1+COUNTIFS($O$4:$O$141,1,$I$4:$I$141,"&gt;"&amp;I140)+COUNTIFS($O$4:O140,1,$I$4:I140,I140)-1)</x:f>
      </x:c>
      <x:c r="AJ140" t="str">
        <x:f>IF(OR(O140=0,L140=""),"",1+COUNTIFS($O$4:$O$141,1,$L$4:$L$141,"&gt;"&amp;L140)+COUNTIFS($O$4:O140,1,$L$4:L140,L140)-1)</x:f>
      </x:c>
      <x:c r="AK140" t="str">
        <x:f>IF(OR(O140=0,J140="",J140=0),"",1+COUNTIFS($O$4:$O$141,1,$J$4:$J$141,"&lt;"&amp;J140,$J$4:$J$141,"&gt;0")+COUNTIFS($O$4:O140,1,$J$4:J140,J140)-1)</x:f>
      </x:c>
    </x:row>
    <x:row r="141" s="14" customFormat="1">
      <x:c r="A141" t="inlineStr">
        <x:is>
          <x:t xml:space="preserve">anthropic|claude-haiku-5-5|low|yes|fallback-na|aa-v4.3.2|snapshot-2026-10-16</x:t>
        </x:is>
      </x:c>
      <x:c r="B141" t="inlineStr">
        <x:is>
          <x:t xml:space="preserve">anthropic|claude-haiku-5-5|low|yes|fallback-na</x:t>
        </x:is>
      </x:c>
      <x:c r="C141" t="inlineStr">
        <x:is>
          <x:t xml:space="preserve">Claude Haiku 5.5</x:t>
        </x:is>
      </x:c>
      <x:c r="D141" t="inlineStr">
        <x:is>
          <x:t xml:space="preserve">Anthropic</x:t>
        </x:is>
      </x:c>
      <x:c r="E141" t="inlineStr">
        <x:is>
          <x:t xml:space="preserve">low</x:t>
        </x:is>
      </x:c>
      <x:c r="F141" t="inlineStr">
        <x:is>
          <x:t xml:space="preserve">AA|v4.3.2</x:t>
        </x:is>
      </x:c>
      <x:c r="G141" t="n">
        <x:v>29</x:v>
      </x:c>
      <x:c r="H141" t="n">
        <x:f>IFERROR(INDEX(Benchmark_Versions!$I:$I,MATCH(F141,Benchmark_Versions!$A:$A,0)),1)</x:f>
        <x:v>1</x:v>
      </x:c>
      <x:c r="I141" t="n">
        <x:f>IF(G141="","",G141*H141)</x:f>
        <x:v>29</x:v>
      </x:c>
      <x:c r="J141" s="69" t="n">
        <x:v>0.02</x:v>
      </x:c>
      <x:c r="L141" t="n">
        <x:v>186.5</x:v>
      </x:c>
      <x:c r="M141" t="inlineStr">
        <x:is>
          <x:t xml:space="preserve">new release / awaiting source-backed assessment</x:t>
        </x:is>
      </x:c>
      <x:c r="N141" t="inlineStr">
        <x:is>
          <x:t xml:space="preserve">yes</x:t>
        </x:is>
      </x:c>
      <x:c r="O141" t="n">
        <x:f>IF(F141&lt;&gt;Controls!$C$12,0,IF(AND(Controls!$C$10="Contender",M141&lt;&gt;"Contender"),0,IF(AND(Controls!$C$10="Contender+Close",NOT(OR(M141="Contender",M141="Close"))),0,IF(AND(Controls!$C$11="Current",NOT(OR(N141="yes",N141="limited"))),0,1))))</x:f>
        <x:v>0</x:v>
      </x:c>
      <x:c r="P141" t="n">
        <x:f>Controls!$C$7</x:f>
        <x:v>40</x:v>
      </x:c>
      <x:c r="Q141" t="n">
        <x:f>IF(I141="","",I141-(P141-1))</x:f>
        <x:v>-10</x:v>
      </x:c>
      <x:c r="R141" t="str">
        <x:f>IF(OR(O141=0,Q141&lt;=0,J141="",J141=0),"",Q141/J141)</x:f>
      </x:c>
      <x:c r="S141" t="str">
        <x:f>IF(OR(O141=0,Q141&lt;=0,J141="",Q141=0),"",J141/Q141)</x:f>
      </x:c>
      <x:c r="T141" t="str">
        <x:f>IF(OR(O141=0,Q141&lt;=0,J141="",K141="",J141=0,K141=0),"",Q141/(J141*(K141/60)))</x:f>
      </x:c>
      <x:c r="U141" t="str">
        <x:f>IF(OR(O141=0,I141=""),"",I141/_xlfn.MAXIFS($I$4:$I$141,$O$4:$O$141,1))</x:f>
      </x:c>
      <x:c r="V141" t="str">
        <x:f>IF(OR(O141=0,L141=""),"",L141/_xlfn.MAXIFS($L$4:$L$141,$O$4:$O$141,1))</x:f>
      </x:c>
      <x:c r="W141" t="str">
        <x:f>IF(OR(O141=0,J141=""),"",_xlfn.MINIFS($J$4:$J$141,$O$4:$O$141,1,$J$4:$J$141,"&gt;0")/J141)</x:f>
      </x:c>
      <x:c r="X141" t="str">
        <x:f>IF(R141="","",R141/_xlfn.MAXIFS($R$4:$R$141,$O$4:$O$141,1))</x:f>
      </x:c>
      <x:c r="Y141" t="str">
        <x:f>IF(T141="","",T141/_xlfn.MAXIFS($T$4:$T$141,$O$4:$O$141,1))</x:f>
      </x:c>
      <x:c r="Z141" s="67" t="str">
        <x:f>IF(OR(X141="",Y141=""),"",SQRT(X141*Y141))</x:f>
      </x:c>
      <x:c r="AA141" s="67" t="str">
        <x:f>IF(OR(X141="",Y141=""),"",X141^Controls!$C$8*Y141^Controls!$C$9)</x:f>
      </x:c>
      <x:c r="AB141" s="67" t="str">
        <x:f>IF(OR(X141="",Y141=""),"",X141^Controls!$C$9*Y141^Controls!$C$8)</x:f>
      </x:c>
      <x:c r="AC141" t="str">
        <x:f>IF(OR(U141="",V141=""),"",SQRT(U141*V141))</x:f>
      </x:c>
      <x:c r="AD141" t="n">
        <x:f>IF(OR(I141="",J141="",J141=0),"",I141/J141)</x:f>
        <x:v>1450</x:v>
      </x:c>
      <x:c r="AE141" t="str">
        <x:f>IF(OR(I141="",K141="",K141=0),"",I141/K141)</x:f>
      </x:c>
      <x:c r="AF141" t="str">
        <x:f>IF(Z141="","",1+COUNTIF($Z$4:$Z$141,"&gt;"&amp;Z141)+COUNTIFS($Z$4:Z141,Z141)-1)</x:f>
      </x:c>
      <x:c r="AG141" t="str">
        <x:f>IF(AA141="","",1+COUNTIF($AA$4:$AA$141,"&gt;"&amp;AA141)+COUNTIFS($AA$4:AA141,AA141)-1)</x:f>
      </x:c>
      <x:c r="AH141" t="str">
        <x:f>IF(AB141="","",1+COUNTIF($AB$4:$AB$141,"&gt;"&amp;AB141)+COUNTIFS($AB$4:AB141,AB141)-1)</x:f>
      </x:c>
      <x:c r="AI141" t="str">
        <x:f>IF(OR(O141=0,I141=""),"",1+COUNTIFS($O$4:$O$141,1,$I$4:$I$141,"&gt;"&amp;I141)+COUNTIFS($O$4:O141,1,$I$4:I141,I141)-1)</x:f>
      </x:c>
      <x:c r="AJ141" t="str">
        <x:f>IF(OR(O141=0,L141=""),"",1+COUNTIFS($O$4:$O$141,1,$L$4:$L$141,"&gt;"&amp;L141)+COUNTIFS($O$4:O141,1,$L$4:L141,L141)-1)</x:f>
      </x:c>
      <x:c r="AK141" t="str">
        <x:f>IF(OR(O141=0,J141="",J141=0),"",1+COUNTIFS($O$4:$O$141,1,$J$4:$J$141,"&lt;"&amp;J141,$J$4:$J$141,"&gt;0")+COUNTIFS($O$4:O141,1,$J$4:J141,J141)-1)</x:f>
      </x:c>
    </x:row>
  </x:sheetData>
  <x:mergeCells>
    <x:mergeCell ref="A1:AK1"/>
  </x:mergeCells>
  <x:conditionalFormatting sqref="I4:I74">
    <x:cfRule type="colorScale" priority="1">
      <x:colorScale>
        <x:cfvo type="min"/>
        <x:cfvo type="percentile" val="50"/>
        <x:cfvo type="max"/>
        <x:color rgb="FFF8696B"/>
        <x:color rgb="FFFFEB84"/>
        <x:color rgb="FF63BE7B"/>
      </x:colorScale>
    </x:cfRule>
  </x:conditionalFormatting>
  <x:conditionalFormatting sqref="Z4:AB74">
    <x:cfRule type="colorScale" priority="2">
      <x:colorScale>
        <x:cfvo type="min"/>
        <x:cfvo type="percentile" val="50"/>
        <x:cfvo type="max"/>
        <x:color rgb="FFF8696B"/>
        <x:color rgb="FFFFEB84"/>
        <x:color rgb="FF63BE7B"/>
      </x:colorScale>
    </x:cfRule>
  </x:conditionalFormatting>
  <x:pageMargins left="0.7" right="0.7" top="0.75" bottom="0.75" header="0.3" footer="0.3"/>
</x:worksheet>
</file>

<file path=xl/worksheets/sheet8.xml><?xml version="1.0" encoding="utf-8"?>
<x:worksheet xmlns:x="http://schemas.openxmlformats.org/spreadsheetml/2006/main">
  <x:sheetFormatPr baseColWidth="8" defaultRowHeight="15"/>
  <x:cols>
    <x:col min="1" max="1" width="28" style="14" customWidth="1"/>
    <x:col min="2" max="2" width="20" style="14" customWidth="1"/>
    <x:col min="3" max="3" width="20" style="14" customWidth="1"/>
    <x:col min="4" max="4" width="20" style="14" customWidth="1"/>
    <x:col min="5" max="5" width="20" style="14" customWidth="1"/>
    <x:col min="6" max="6" width="20" style="14" customWidth="1"/>
    <x:col min="7" max="7" width="20" style="14" customWidth="1"/>
    <x:col min="8" max="8" width="20" style="14" customWidth="1"/>
    <x:col min="9" max="9" width="20" style="14" customWidth="1"/>
    <x:col min="10" max="10" width="20" style="14" customWidth="1"/>
    <x:col min="11" max="11" width="20" style="14" customWidth="1"/>
    <x:col min="12" max="12" width="20" style="14" customWidth="1"/>
    <x:col min="13" max="13" width="20" style="14" customWidth="1"/>
    <x:col min="14" max="14" width="22" style="14" customWidth="1"/>
    <x:col min="15" max="15" width="22" style="14" customWidth="1"/>
    <x:col min="16" max="16" width="58" style="14" customWidth="1"/>
  </x:cols>
  <x:sheetData>
    <x:row r="1">
      <x:c r="A1" s="23" t="inlineStr">
        <x:is>
          <x:t xml:space="preserve">Plan Value: Single-Model / Single-Effort Full-Usage Scenarios</x:t>
        </x:is>
      </x:c>
      <x:c r="B1" s="15" t="n"/>
      <x:c r="C1" s="15" t="n"/>
      <x:c r="D1" s="15" t="n"/>
      <x:c r="E1" s="15" t="n"/>
      <x:c r="F1" s="15" t="n"/>
      <x:c r="G1" s="15" t="n"/>
      <x:c r="H1" s="15" t="n"/>
      <x:c r="I1" s="15" t="n"/>
      <x:c r="J1" s="15" t="n"/>
      <x:c r="K1" s="15" t="n"/>
      <x:c r="L1" s="15" t="n"/>
      <x:c r="M1" s="15" t="n"/>
      <x:c r="N1" s="15" t="n"/>
    </x:row>
    <x:row r="3">
      <x:c r="A3" s="6" t="inlineStr">
        <x:is>
          <x:t xml:space="preserve">Plan</x:t>
        </x:is>
      </x:c>
      <x:c r="B3" s="6" t="inlineStr">
        <x:is>
          <x:t xml:space="preserve">Price/mo</x:t>
        </x:is>
      </x:c>
      <x:c r="C3" s="6" t="inlineStr">
        <x:is>
          <x:t xml:space="preserve">Best intelligence</x:t>
        </x:is>
      </x:c>
      <x:c r="D3" s="6" t="inlineStr">
        <x:is>
          <x:t xml:space="preserve">Best speed</x:t>
        </x:is>
      </x:c>
      <x:c r="E3" s="6" t="inlineStr">
        <x:is>
          <x:t xml:space="preserve">Best speed×intel</x:t>
        </x:is>
      </x:c>
      <x:c r="F3" s="6" t="inlineStr">
        <x:is>
          <x:t xml:space="preserve">Best intel/$task</x:t>
        </x:is>
      </x:c>
      <x:c r="G3" s="6" t="inlineStr">
        <x:is>
          <x:t xml:space="preserve">Best balanced value</x:t>
        </x:is>
      </x:c>
      <x:c r="H3" s="6" t="inlineStr">
        <x:is>
          <x:t xml:space="preserve">Best smart-favored</x:t>
        </x:is>
      </x:c>
      <x:c r="I3" s="6" t="inlineStr">
        <x:is>
          <x:t xml:space="preserve">Best speed-favored</x:t>
        </x:is>
      </x:c>
      <x:c r="J3" s="6" t="inlineStr">
        <x:is>
          <x:t xml:space="preserve">Max API-spend equivalent</x:t>
        </x:is>
      </x:c>
      <x:c r="K3" s="6" t="inlineStr">
        <x:is>
          <x:t xml:space="preserve">API-spend equivalent / plan $</x:t>
        </x:is>
      </x:c>
      <x:c r="L3" s="6" t="inlineStr">
        <x:is>
          <x:t xml:space="preserve">Lowest AA $/task</x:t>
        </x:is>
      </x:c>
      <x:c r="M3" s="6" t="inlineStr">
        <x:is>
          <x:t xml:space="preserve">Confidence</x:t>
        </x:is>
      </x:c>
      <x:c r="N3" s="6" t="inlineStr">
        <x:is>
          <x:t xml:space="preserve">plan_id</x:t>
        </x:is>
      </x:c>
      <x:c r="O3" s="6" t="inlineStr">
        <x:is>
          <x:t xml:space="preserve">Raw prompt×AA-cost proxy high</x:t>
        </x:is>
      </x:c>
      <x:c r="P3" s="6" t="inlineStr">
        <x:is>
          <x:t xml:space="preserve">Proxy warning</x:t>
        </x:is>
      </x:c>
    </x:row>
    <x:row r="4">
      <x:c r="A4" s="12" t="inlineStr">
        <x:is>
          <x:t xml:space="preserve">Go</x:t>
        </x:is>
      </x:c>
      <x:c r="B4" s="70" t="n">
        <x:v>10</x:v>
      </x:c>
      <x:c r="C4" s="12" t="inlineStr">
        <x:is>
          <x:t xml:space="preserve">Muse Spark 1.3</x:t>
        </x:is>
      </x:c>
      <x:c r="D4" s="12" t="inlineStr">
        <x:is>
          <x:t xml:space="preserve">DeepSeek V4.1 Flash</x:t>
        </x:is>
      </x:c>
      <x:c r="E4" s="12" t="inlineStr">
        <x:is>
          <x:t xml:space="preserve">Muse Spark 1.3</x:t>
        </x:is>
      </x:c>
      <x:c r="F4" s="12" t="inlineStr">
        <x:is>
          <x:t xml:space="preserve">GPT-6 Luna</x:t>
        </x:is>
      </x:c>
      <x:c r="G4" s="12" t="inlineStr">
        <x:is>
          <x:t xml:space="preserve">Muse Spark 1.3</x:t>
        </x:is>
      </x:c>
      <x:c r="H4" s="12" t="inlineStr">
        <x:is>
          <x:t xml:space="preserve">Muse Spark 1.3</x:t>
        </x:is>
      </x:c>
      <x:c r="I4" s="12" t="inlineStr">
        <x:is>
          <x:t xml:space="preserve">Muse Spark 1.3</x:t>
        </x:is>
      </x:c>
      <x:c r="J4" s="70" t="n">
        <x:f>IF(COUNTIFS(Subscription_Value!$A$2:$A$125,$N4,Subscription_Value!$S$2:$S$125,"&gt;0")=0,"",_xlfn.MAXIFS(Subscription_Value!$S$2:$S$125,Subscription_Value!$A$2:$A$125,$N4))</x:f>
        <x:v>60</x:v>
      </x:c>
      <x:c r="K4" s="71" t="n">
        <x:f>IF(OR(J4="",B4=0),"",J4/B4)</x:f>
        <x:v>6</x:v>
      </x:c>
      <x:c r="L4" s="12" t="inlineStr">
        <x:is>
          <x:t xml:space="preserve">GPT-6 Luna</x:t>
        </x:is>
      </x:c>
      <x:c r="M4" s="12" t="inlineStr">
        <x:is>
          <x:t xml:space="preserve">high</x:t>
        </x:is>
      </x:c>
      <x:c r="N4" s="12" t="inlineStr">
        <x:is>
          <x:t xml:space="preserve">opencode-go</x:t>
        </x:is>
      </x:c>
      <x:c r="O4" s="70" t="n">
        <x:f>IFERROR(_xlfn.MAXIFS(Subscription_Value!$AE$2:$AE$125,Subscription_Value!$A$2:$A$125,$N4),"")</x:f>
        <x:v>0</x:v>
      </x:c>
      <x:c r="P4" s="12" t="inlineStr">
        <x:is>
          <x:t xml:space="preserve">Not API-equivalent; assumes every prompt/message consumes one full AA task. Treat as an upper-bound diagnostic only.</x:t>
        </x:is>
      </x:c>
    </x:row>
    <x:row r="5">
      <x:c r="A5" s="12" t="inlineStr">
        <x:is>
          <x:t xml:space="preserve">Go Plus</x:t>
        </x:is>
      </x:c>
      <x:c r="B5" s="70" t="n">
        <x:v>40</x:v>
      </x:c>
      <x:c r="C5" s="12" t="inlineStr">
        <x:is>
          <x:t xml:space="preserve">Muse Spark 1.3</x:t>
        </x:is>
      </x:c>
      <x:c r="D5" s="12" t="inlineStr">
        <x:is>
          <x:t xml:space="preserve">DeepSeek V4.1 Flash</x:t>
        </x:is>
      </x:c>
      <x:c r="E5" s="12" t="inlineStr">
        <x:is>
          <x:t xml:space="preserve">Muse Spark 1.3</x:t>
        </x:is>
      </x:c>
      <x:c r="F5" s="12" t="inlineStr">
        <x:is>
          <x:t xml:space="preserve">GPT-6 Luna</x:t>
        </x:is>
      </x:c>
      <x:c r="G5" s="12" t="inlineStr">
        <x:is>
          <x:t xml:space="preserve">MiniMax-M3</x:t>
        </x:is>
      </x:c>
      <x:c r="H5" s="12" t="inlineStr">
        <x:is>
          <x:t xml:space="preserve">Muse Spark 1.3</x:t>
        </x:is>
      </x:c>
      <x:c r="I5" s="12" t="inlineStr">
        <x:is>
          <x:t xml:space="preserve">MiniMax-M3</x:t>
        </x:is>
      </x:c>
      <x:c r="J5" s="70" t="n">
        <x:f>IF(COUNTIFS(Subscription_Value!$A$2:$A$125,$N5,Subscription_Value!$S$2:$S$125,"&gt;0")=0,"",_xlfn.MAXIFS(Subscription_Value!$S$2:$S$125,Subscription_Value!$A$2:$A$125,$N5))</x:f>
        <x:v>180</x:v>
      </x:c>
      <x:c r="K5" s="71" t="n">
        <x:f>IF(OR(J5="",B5=0),"",J5/B5)</x:f>
        <x:v>4.5</x:v>
      </x:c>
      <x:c r="L5" s="12" t="inlineStr">
        <x:is>
          <x:t xml:space="preserve">GPT-6 Luna</x:t>
        </x:is>
      </x:c>
      <x:c r="M5" s="12" t="inlineStr">
        <x:is>
          <x:t xml:space="preserve">high</x:t>
        </x:is>
      </x:c>
      <x:c r="N5" s="12" t="inlineStr">
        <x:is>
          <x:t xml:space="preserve">opencode-go-plus</x:t>
        </x:is>
      </x:c>
      <x:c r="O5" s="70" t="n">
        <x:f>IFERROR(_xlfn.MAXIFS(Subscription_Value!$AE$2:$AE$125,Subscription_Value!$A$2:$A$125,$N5),"")</x:f>
        <x:v>0</x:v>
      </x:c>
      <x:c r="P5" s="12" t="inlineStr">
        <x:is>
          <x:t xml:space="preserve">Not API-equivalent; assumes every prompt/message consumes one full AA task. Treat as an upper-bound diagnostic only.</x:t>
        </x:is>
      </x:c>
    </x:row>
    <x:row r="6">
      <x:c r="A6" s="12" t="inlineStr">
        <x:is>
          <x:t xml:space="preserve">ChatGPT Plus</x:t>
        </x:is>
      </x:c>
      <x:c r="B6" s="70" t="n">
        <x:v>20</x:v>
      </x:c>
      <x:c r="C6" s="12" t="inlineStr">
        <x:is>
          <x:t xml:space="preserve">GPT-6 Astra</x:t>
        </x:is>
      </x:c>
      <x:c r="D6" s="12" t="inlineStr">
        <x:is>
          <x:t xml:space="preserve">GPT-6 Luna</x:t>
        </x:is>
      </x:c>
      <x:c r="E6" s="12" t="inlineStr">
        <x:is>
          <x:t xml:space="preserve">GPT-6 Luna</x:t>
        </x:is>
      </x:c>
      <x:c r="F6" s="12" t="inlineStr">
        <x:is>
          <x:t xml:space="preserve">GPT-6 Luna</x:t>
        </x:is>
      </x:c>
      <x:c r="G6" s="12" t="str"/>
      <x:c r="H6" s="12" t="str"/>
      <x:c r="I6" s="12" t="str"/>
      <x:c r="J6" s="70" t="str">
        <x:f>IF(COUNTIFS(Subscription_Value!$A$2:$A$125,$N6,Subscription_Value!$S$2:$S$125,"&gt;0")=0,"",_xlfn.MAXIFS(Subscription_Value!$S$2:$S$125,Subscription_Value!$A$2:$A$125,$N6))</x:f>
      </x:c>
      <x:c r="K6" s="71" t="str">
        <x:f>IF(OR(J6="",B6=0),"",J6/B6)</x:f>
      </x:c>
      <x:c r="L6" s="12" t="inlineStr">
        <x:is>
          <x:t xml:space="preserve">GPT-6 Luna</x:t>
        </x:is>
      </x:c>
      <x:c r="M6" s="12" t="inlineStr">
        <x:is>
          <x:t xml:space="preserve">medium</x:t>
        </x:is>
      </x:c>
      <x:c r="N6" s="12" t="inlineStr">
        <x:is>
          <x:t xml:space="preserve">chatgpt-plus</x:t>
        </x:is>
      </x:c>
      <x:c r="O6" s="70" t="n">
        <x:f>IFERROR(_xlfn.MAXIFS(Subscription_Value!$AE$2:$AE$125,Subscription_Value!$A$2:$A$125,$N6),"")</x:f>
        <x:v>30240.000000000004</x:v>
      </x:c>
      <x:c r="P6" s="12" t="inlineStr">
        <x:is>
          <x:t xml:space="preserve">Not API-equivalent; assumes every prompt/message consumes one full AA task. Treat as an upper-bound diagnostic only.</x:t>
        </x:is>
      </x:c>
    </x:row>
    <x:row r="7">
      <x:c r="A7" s="12" t="inlineStr">
        <x:is>
          <x:t xml:space="preserve">ChatGPT Pro $100</x:t>
        </x:is>
      </x:c>
      <x:c r="B7" s="70" t="n">
        <x:v>100</x:v>
      </x:c>
      <x:c r="C7" s="12" t="inlineStr">
        <x:is>
          <x:t xml:space="preserve">GPT-6 Astra</x:t>
        </x:is>
      </x:c>
      <x:c r="D7" s="12" t="inlineStr">
        <x:is>
          <x:t xml:space="preserve">GPT-6 Luna</x:t>
        </x:is>
      </x:c>
      <x:c r="E7" s="12" t="inlineStr">
        <x:is>
          <x:t xml:space="preserve">GPT-6 Luna</x:t>
        </x:is>
      </x:c>
      <x:c r="F7" s="12" t="inlineStr">
        <x:is>
          <x:t xml:space="preserve">GPT-6 Luna</x:t>
        </x:is>
      </x:c>
      <x:c r="G7" s="12" t="str"/>
      <x:c r="H7" s="12" t="str"/>
      <x:c r="I7" s="12" t="str"/>
      <x:c r="J7" s="70" t="str">
        <x:f>IF(COUNTIFS(Subscription_Value!$A$2:$A$125,$N7,Subscription_Value!$S$2:$S$125,"&gt;0")=0,"",_xlfn.MAXIFS(Subscription_Value!$S$2:$S$125,Subscription_Value!$A$2:$A$125,$N7))</x:f>
      </x:c>
      <x:c r="K7" s="71" t="str">
        <x:f>IF(OR(J7="",B7=0),"",J7/B7)</x:f>
      </x:c>
      <x:c r="L7" s="12" t="inlineStr">
        <x:is>
          <x:t xml:space="preserve">GPT-6 Luna</x:t>
        </x:is>
      </x:c>
      <x:c r="M7" s="12" t="inlineStr">
        <x:is>
          <x:t xml:space="preserve">medium</x:t>
        </x:is>
      </x:c>
      <x:c r="N7" s="12" t="inlineStr">
        <x:is>
          <x:t xml:space="preserve">chatgpt-pro-5x</x:t>
        </x:is>
      </x:c>
      <x:c r="O7" s="70" t="n">
        <x:f>IFERROR(_xlfn.MAXIFS(Subscription_Value!$AE$2:$AE$125,Subscription_Value!$A$2:$A$125,$N7),"")</x:f>
        <x:v>151200</x:v>
      </x:c>
      <x:c r="P7" s="12" t="inlineStr">
        <x:is>
          <x:t xml:space="preserve">Not API-equivalent; assumes every prompt/message consumes one full AA task. Treat as an upper-bound diagnostic only.</x:t>
        </x:is>
      </x:c>
    </x:row>
    <x:row r="8">
      <x:c r="A8" s="12" t="inlineStr">
        <x:is>
          <x:t xml:space="preserve">ChatGPT Pro $200</x:t>
        </x:is>
      </x:c>
      <x:c r="B8" s="70" t="n">
        <x:v>200</x:v>
      </x:c>
      <x:c r="C8" s="12" t="inlineStr">
        <x:is>
          <x:t xml:space="preserve">GPT-6 Astra</x:t>
        </x:is>
      </x:c>
      <x:c r="D8" s="12" t="inlineStr">
        <x:is>
          <x:t xml:space="preserve">GPT-6 Luna</x:t>
        </x:is>
      </x:c>
      <x:c r="E8" s="12" t="inlineStr">
        <x:is>
          <x:t xml:space="preserve">GPT-6 Luna</x:t>
        </x:is>
      </x:c>
      <x:c r="F8" s="12" t="inlineStr">
        <x:is>
          <x:t xml:space="preserve">GPT-6 Luna</x:t>
        </x:is>
      </x:c>
      <x:c r="G8" s="12" t="str"/>
      <x:c r="H8" s="12" t="str"/>
      <x:c r="I8" s="12" t="str"/>
      <x:c r="J8" s="70" t="str">
        <x:f>IF(COUNTIFS(Subscription_Value!$A$2:$A$125,$N8,Subscription_Value!$S$2:$S$125,"&gt;0")=0,"",_xlfn.MAXIFS(Subscription_Value!$S$2:$S$125,Subscription_Value!$A$2:$A$125,$N8))</x:f>
      </x:c>
      <x:c r="K8" s="71" t="str">
        <x:f>IF(OR(J8="",B8=0),"",J8/B8)</x:f>
      </x:c>
      <x:c r="L8" s="12" t="inlineStr">
        <x:is>
          <x:t xml:space="preserve">GPT-6 Luna</x:t>
        </x:is>
      </x:c>
      <x:c r="M8" s="12" t="inlineStr">
        <x:is>
          <x:t xml:space="preserve">medium</x:t>
        </x:is>
      </x:c>
      <x:c r="N8" s="12" t="inlineStr">
        <x:is>
          <x:t xml:space="preserve">chatgpt-pro-20x</x:t>
        </x:is>
      </x:c>
      <x:c r="O8" s="70" t="n">
        <x:f>IFERROR(_xlfn.MAXIFS(Subscription_Value!$AE$2:$AE$125,Subscription_Value!$A$2:$A$125,$N8),"")</x:f>
        <x:v>604800</x:v>
      </x:c>
      <x:c r="P8" s="12" t="inlineStr">
        <x:is>
          <x:t xml:space="preserve">Not API-equivalent; assumes every prompt/message consumes one full AA task. Treat as an upper-bound diagnostic only.</x:t>
        </x:is>
      </x:c>
    </x:row>
    <x:row r="9">
      <x:c r="A9" s="12" t="inlineStr">
        <x:is>
          <x:t xml:space="preserve">Claude Pro</x:t>
        </x:is>
      </x:c>
      <x:c r="B9" s="70" t="n">
        <x:v>20</x:v>
      </x:c>
      <x:c r="C9" s="12" t="inlineStr">
        <x:is>
          <x:t xml:space="preserve">Claude Sonnet 5.5</x:t>
        </x:is>
      </x:c>
      <x:c r="D9" s="12" t="inlineStr">
        <x:is>
          <x:t xml:space="preserve">Claude Sonnet 5.5</x:t>
        </x:is>
      </x:c>
      <x:c r="E9" s="12" t="inlineStr">
        <x:is>
          <x:t xml:space="preserve">Claude Sonnet 5.5</x:t>
        </x:is>
      </x:c>
      <x:c r="F9" s="12" t="inlineStr">
        <x:is>
          <x:t xml:space="preserve">Claude Sonnet 5.5</x:t>
        </x:is>
      </x:c>
      <x:c r="G9" s="12" t="str"/>
      <x:c r="H9" s="12" t="str"/>
      <x:c r="I9" s="12" t="str"/>
      <x:c r="J9" s="70" t="str">
        <x:f>IF(COUNTIFS(Subscription_Value!$A$2:$A$125,$N9,Subscription_Value!$S$2:$S$125,"&gt;0")=0,"",_xlfn.MAXIFS(Subscription_Value!$S$2:$S$125,Subscription_Value!$A$2:$A$125,$N9))</x:f>
      </x:c>
      <x:c r="K9" s="71" t="str">
        <x:f>IF(OR(J9="",B9=0),"",J9/B9)</x:f>
      </x:c>
      <x:c r="L9" s="12" t="inlineStr">
        <x:is>
          <x:t xml:space="preserve">Claude Sonnet 5.5</x:t>
        </x:is>
      </x:c>
      <x:c r="M9" s="12" t="inlineStr">
        <x:is>
          <x:t xml:space="preserve">medium</x:t>
        </x:is>
      </x:c>
      <x:c r="N9" s="12" t="inlineStr">
        <x:is>
          <x:t xml:space="preserve">claude-pro</x:t>
        </x:is>
      </x:c>
      <x:c r="O9" s="70" t="n">
        <x:f>IFERROR(_xlfn.MAXIFS(Subscription_Value!$AE$2:$AE$125,Subscription_Value!$A$2:$A$125,$N9),"")</x:f>
        <x:v>2764.7999999999997</x:v>
      </x:c>
      <x:c r="P9" s="12" t="inlineStr">
        <x:is>
          <x:t xml:space="preserve">Not API-equivalent; assumes every prompt/message consumes one full AA task. Treat as an upper-bound diagnostic only.</x:t>
        </x:is>
      </x:c>
    </x:row>
    <x:row r="10">
      <x:c r="A10" s="12" t="inlineStr">
        <x:is>
          <x:t xml:space="preserve">Claude Max 5x</x:t>
        </x:is>
      </x:c>
      <x:c r="B10" s="70" t="n">
        <x:v>100</x:v>
      </x:c>
      <x:c r="C10" s="12" t="inlineStr">
        <x:is>
          <x:t xml:space="preserve">Claude Opus 5.5</x:t>
        </x:is>
      </x:c>
      <x:c r="D10" s="12" t="inlineStr">
        <x:is>
          <x:t xml:space="preserve">Claude Sonnet 5.5</x:t>
        </x:is>
      </x:c>
      <x:c r="E10" s="12" t="inlineStr">
        <x:is>
          <x:t xml:space="preserve">Claude Sonnet 5.5</x:t>
        </x:is>
      </x:c>
      <x:c r="F10" s="12" t="inlineStr">
        <x:is>
          <x:t xml:space="preserve">Claude Sonnet 5.5</x:t>
        </x:is>
      </x:c>
      <x:c r="G10" s="12" t="str"/>
      <x:c r="H10" s="12" t="str"/>
      <x:c r="I10" s="12" t="str"/>
      <x:c r="J10" s="70" t="str">
        <x:f>IF(COUNTIFS(Subscription_Value!$A$2:$A$125,$N10,Subscription_Value!$S$2:$S$125,"&gt;0")=0,"",_xlfn.MAXIFS(Subscription_Value!$S$2:$S$125,Subscription_Value!$A$2:$A$125,$N10))</x:f>
      </x:c>
      <x:c r="K10" s="71" t="str">
        <x:f>IF(OR(J10="",B10=0),"",J10/B10)</x:f>
      </x:c>
      <x:c r="L10" s="12" t="inlineStr">
        <x:is>
          <x:t xml:space="preserve">Claude Sonnet 5.5</x:t>
        </x:is>
      </x:c>
      <x:c r="M10" s="12" t="inlineStr">
        <x:is>
          <x:t xml:space="preserve">medium</x:t>
        </x:is>
      </x:c>
      <x:c r="N10" s="12" t="inlineStr">
        <x:is>
          <x:t xml:space="preserve">claude-max-5x</x:t>
        </x:is>
      </x:c>
      <x:c r="O10" s="70" t="n">
        <x:f>IFERROR(_xlfn.MAXIFS(Subscription_Value!$AE$2:$AE$125,Subscription_Value!$A$2:$A$125,$N10),"")</x:f>
        <x:v>13824</x:v>
      </x:c>
      <x:c r="P10" s="12" t="inlineStr">
        <x:is>
          <x:t xml:space="preserve">Not API-equivalent; assumes every prompt/message consumes one full AA task. Treat as an upper-bound diagnostic only.</x:t>
        </x:is>
      </x:c>
    </x:row>
    <x:row r="11">
      <x:c r="A11" s="12" t="inlineStr">
        <x:is>
          <x:t xml:space="preserve">Claude Max 20x</x:t>
        </x:is>
      </x:c>
      <x:c r="B11" s="70" t="n">
        <x:v>200</x:v>
      </x:c>
      <x:c r="C11" s="12" t="inlineStr">
        <x:is>
          <x:t xml:space="preserve">Claude Opus 5.5</x:t>
        </x:is>
      </x:c>
      <x:c r="D11" s="12" t="inlineStr">
        <x:is>
          <x:t xml:space="preserve">Claude Sonnet 5.5</x:t>
        </x:is>
      </x:c>
      <x:c r="E11" s="12" t="inlineStr">
        <x:is>
          <x:t xml:space="preserve">Claude Sonnet 5.5</x:t>
        </x:is>
      </x:c>
      <x:c r="F11" s="12" t="inlineStr">
        <x:is>
          <x:t xml:space="preserve">Claude Sonnet 5.5</x:t>
        </x:is>
      </x:c>
      <x:c r="G11" s="12" t="str"/>
      <x:c r="H11" s="12" t="str"/>
      <x:c r="I11" s="12" t="str"/>
      <x:c r="J11" s="70" t="str">
        <x:f>IF(COUNTIFS(Subscription_Value!$A$2:$A$125,$N11,Subscription_Value!$S$2:$S$125,"&gt;0")=0,"",_xlfn.MAXIFS(Subscription_Value!$S$2:$S$125,Subscription_Value!$A$2:$A$125,$N11))</x:f>
      </x:c>
      <x:c r="K11" s="71" t="str">
        <x:f>IF(OR(J11="",B11=0),"",J11/B11)</x:f>
      </x:c>
      <x:c r="L11" s="12" t="inlineStr">
        <x:is>
          <x:t xml:space="preserve">Claude Sonnet 5.5</x:t>
        </x:is>
      </x:c>
      <x:c r="M11" s="12" t="inlineStr">
        <x:is>
          <x:t xml:space="preserve">medium</x:t>
        </x:is>
      </x:c>
      <x:c r="N11" s="12" t="inlineStr">
        <x:is>
          <x:t xml:space="preserve">claude-max-20x</x:t>
        </x:is>
      </x:c>
      <x:c r="O11" s="70" t="n">
        <x:f>IFERROR(_xlfn.MAXIFS(Subscription_Value!$AE$2:$AE$125,Subscription_Value!$A$2:$A$125,$N11),"")</x:f>
        <x:v>55296</x:v>
      </x:c>
      <x:c r="P11" s="12" t="inlineStr">
        <x:is>
          <x:t xml:space="preserve">Not API-equivalent; assumes every prompt/message consumes one full AA task. Treat as an upper-bound diagnostic only.</x:t>
        </x:is>
      </x:c>
    </x:row>
    <x:row r="12">
      <x:c r="A12" s="12" t="inlineStr">
        <x:is>
          <x:t xml:space="preserve">Muse Code Everyday</x:t>
        </x:is>
      </x:c>
      <x:c r="B12" s="70" t="n">
        <x:v>5</x:v>
      </x:c>
      <x:c r="C12" s="12" t="inlineStr">
        <x:is>
          <x:t xml:space="preserve">Muse Spark 1.3</x:t>
        </x:is>
      </x:c>
      <x:c r="D12" s="12" t="inlineStr">
        <x:is>
          <x:t xml:space="preserve">Muse Spark 1.3</x:t>
        </x:is>
      </x:c>
      <x:c r="E12" s="12" t="inlineStr">
        <x:is>
          <x:t xml:space="preserve">Muse Spark 1.3</x:t>
        </x:is>
      </x:c>
      <x:c r="F12" s="12" t="inlineStr">
        <x:is>
          <x:t xml:space="preserve">Muse Spark 1.3</x:t>
        </x:is>
      </x:c>
      <x:c r="G12" s="12" t="str"/>
      <x:c r="H12" s="12" t="str"/>
      <x:c r="I12" s="12" t="str"/>
      <x:c r="J12" s="70" t="str">
        <x:f>IF(COUNTIFS(Subscription_Value!$A$2:$A$125,$N12,Subscription_Value!$S$2:$S$125,"&gt;0")=0,"",_xlfn.MAXIFS(Subscription_Value!$S$2:$S$125,Subscription_Value!$A$2:$A$125,$N12))</x:f>
      </x:c>
      <x:c r="K12" s="71" t="str">
        <x:f>IF(OR(J12="",B12=0),"",J12/B12)</x:f>
      </x:c>
      <x:c r="L12" s="12" t="inlineStr">
        <x:is>
          <x:t xml:space="preserve">Muse Spark 1.3</x:t>
        </x:is>
      </x:c>
      <x:c r="M12" s="12" t="inlineStr">
        <x:is>
          <x:t xml:space="preserve">medium</x:t>
        </x:is>
      </x:c>
      <x:c r="N12" s="12" t="inlineStr">
        <x:is>
          <x:t xml:space="preserve">muse-everyday</x:t>
        </x:is>
      </x:c>
      <x:c r="O12" s="70" t="n">
        <x:f>IFERROR(_xlfn.MAXIFS(Subscription_Value!$AE$2:$AE$125,Subscription_Value!$A$2:$A$125,$N12),"")</x:f>
        <x:v>9864</x:v>
      </x:c>
      <x:c r="P12" s="12" t="inlineStr">
        <x:is>
          <x:t xml:space="preserve">Not API-equivalent; assumes every prompt/message consumes one full AA task. Treat as an upper-bound diagnostic only.</x:t>
        </x:is>
      </x:c>
    </x:row>
    <x:row r="13">
      <x:c r="A13" s="12" t="inlineStr">
        <x:is>
          <x:t xml:space="preserve">Muse Code High</x:t>
        </x:is>
      </x:c>
      <x:c r="B13" s="70" t="n">
        <x:v>15</x:v>
      </x:c>
      <x:c r="C13" s="12" t="inlineStr">
        <x:is>
          <x:t xml:space="preserve">Muse Spark 1.3</x:t>
        </x:is>
      </x:c>
      <x:c r="D13" s="12" t="inlineStr">
        <x:is>
          <x:t xml:space="preserve">Muse Spark 1.3</x:t>
        </x:is>
      </x:c>
      <x:c r="E13" s="12" t="inlineStr">
        <x:is>
          <x:t xml:space="preserve">Muse Spark 1.3</x:t>
        </x:is>
      </x:c>
      <x:c r="F13" s="12" t="inlineStr">
        <x:is>
          <x:t xml:space="preserve">Muse Spark 1.3</x:t>
        </x:is>
      </x:c>
      <x:c r="G13" s="12" t="str"/>
      <x:c r="H13" s="12" t="str"/>
      <x:c r="I13" s="12" t="str"/>
      <x:c r="J13" s="70" t="str">
        <x:f>IF(COUNTIFS(Subscription_Value!$A$2:$A$125,$N13,Subscription_Value!$S$2:$S$125,"&gt;0")=0,"",_xlfn.MAXIFS(Subscription_Value!$S$2:$S$125,Subscription_Value!$A$2:$A$125,$N13))</x:f>
      </x:c>
      <x:c r="K13" s="71" t="str">
        <x:f>IF(OR(J13="",B13=0),"",J13/B13)</x:f>
      </x:c>
      <x:c r="L13" s="12" t="inlineStr">
        <x:is>
          <x:t xml:space="preserve">Muse Spark 1.3</x:t>
        </x:is>
      </x:c>
      <x:c r="M13" s="12" t="inlineStr">
        <x:is>
          <x:t xml:space="preserve">medium</x:t>
        </x:is>
      </x:c>
      <x:c r="N13" s="12" t="inlineStr">
        <x:is>
          <x:t xml:space="preserve">muse-high</x:t>
        </x:is>
      </x:c>
      <x:c r="O13" s="70" t="n">
        <x:f>IFERROR(_xlfn.MAXIFS(Subscription_Value!$AE$2:$AE$125,Subscription_Value!$A$2:$A$125,$N13),"")</x:f>
        <x:v>49320.00000000001</x:v>
      </x:c>
      <x:c r="P13" s="12" t="inlineStr">
        <x:is>
          <x:t xml:space="preserve">Not API-equivalent; assumes every prompt/message consumes one full AA task. Treat as an upper-bound diagnostic only.</x:t>
        </x:is>
      </x:c>
    </x:row>
    <x:row r="14">
      <x:c r="A14" s="12" t="inlineStr">
        <x:is>
          <x:t xml:space="preserve">Muse Code Power</x:t>
        </x:is>
      </x:c>
      <x:c r="B14" s="70" t="n">
        <x:v>50</x:v>
      </x:c>
      <x:c r="C14" s="12" t="inlineStr">
        <x:is>
          <x:t xml:space="preserve">Muse Spark 1.3</x:t>
        </x:is>
      </x:c>
      <x:c r="D14" s="12" t="inlineStr">
        <x:is>
          <x:t xml:space="preserve">Muse Spark 1.3</x:t>
        </x:is>
      </x:c>
      <x:c r="E14" s="12" t="inlineStr">
        <x:is>
          <x:t xml:space="preserve">Muse Spark 1.3</x:t>
        </x:is>
      </x:c>
      <x:c r="F14" s="12" t="inlineStr">
        <x:is>
          <x:t xml:space="preserve">Muse Spark 1.3</x:t>
        </x:is>
      </x:c>
      <x:c r="G14" s="12" t="str"/>
      <x:c r="H14" s="12" t="str"/>
      <x:c r="I14" s="12" t="str"/>
      <x:c r="J14" s="70" t="str">
        <x:f>IF(COUNTIFS(Subscription_Value!$A$2:$A$125,$N14,Subscription_Value!$S$2:$S$125,"&gt;0")=0,"",_xlfn.MAXIFS(Subscription_Value!$S$2:$S$125,Subscription_Value!$A$2:$A$125,$N14))</x:f>
      </x:c>
      <x:c r="K14" s="71" t="str">
        <x:f>IF(OR(J14="",B14=0),"",J14/B14)</x:f>
      </x:c>
      <x:c r="L14" s="12" t="inlineStr">
        <x:is>
          <x:t xml:space="preserve">Muse Spark 1.3</x:t>
        </x:is>
      </x:c>
      <x:c r="M14" s="12" t="inlineStr">
        <x:is>
          <x:t xml:space="preserve">medium</x:t>
        </x:is>
      </x:c>
      <x:c r="N14" s="12" t="inlineStr">
        <x:is>
          <x:t xml:space="preserve">muse-power</x:t>
        </x:is>
      </x:c>
      <x:c r="O14" s="70" t="n">
        <x:f>IFERROR(_xlfn.MAXIFS(Subscription_Value!$AE$2:$AE$125,Subscription_Value!$A$2:$A$125,$N14),"")</x:f>
        <x:v>197280.00000000003</x:v>
      </x:c>
      <x:c r="P14" s="12" t="inlineStr">
        <x:is>
          <x:t xml:space="preserve">Not API-equivalent; assumes every prompt/message consumes one full AA task. Treat as an upper-bound diagnostic only.</x:t>
        </x:is>
      </x:c>
    </x:row>
    <x:row r="15">
      <x:c r="A15" s="12" t="inlineStr">
        <x:is>
          <x:t xml:space="preserve">Google AI Pro</x:t>
        </x:is>
      </x:c>
      <x:c r="B15" s="70" t="n">
        <x:v>19.99</x:v>
      </x:c>
      <x:c r="C15" s="12" t="inlineStr">
        <x:is>
          <x:t xml:space="preserve">Gemini 3.8 Flash</x:t>
        </x:is>
      </x:c>
      <x:c r="D15" s="12" t="inlineStr">
        <x:is>
          <x:t xml:space="preserve">Gemini 3.8 Flash</x:t>
        </x:is>
      </x:c>
      <x:c r="E15" s="12" t="inlineStr">
        <x:is>
          <x:t xml:space="preserve">Gemini 3.8 Flash</x:t>
        </x:is>
      </x:c>
      <x:c r="F15" s="12" t="inlineStr">
        <x:is>
          <x:t xml:space="preserve">Gemini 3.8 Flash</x:t>
        </x:is>
      </x:c>
      <x:c r="G15" s="12" t="str"/>
      <x:c r="H15" s="12" t="str"/>
      <x:c r="I15" s="12" t="str"/>
      <x:c r="J15" s="70" t="str">
        <x:f>IF(COUNTIFS(Subscription_Value!$A$2:$A$125,$N15,Subscription_Value!$S$2:$S$125,"&gt;0")=0,"",_xlfn.MAXIFS(Subscription_Value!$S$2:$S$125,Subscription_Value!$A$2:$A$125,$N15))</x:f>
      </x:c>
      <x:c r="K15" s="71" t="str">
        <x:f>IF(OR(J15="",B15=0),"",J15/B15)</x:f>
      </x:c>
      <x:c r="L15" s="12" t="inlineStr">
        <x:is>
          <x:t xml:space="preserve">Gemini 3.8 Flash</x:t>
        </x:is>
      </x:c>
      <x:c r="M15" s="12" t="inlineStr">
        <x:is>
          <x:t xml:space="preserve">low</x:t>
        </x:is>
      </x:c>
      <x:c r="N15" s="12" t="inlineStr">
        <x:is>
          <x:t xml:space="preserve">google-ai-pro</x:t>
        </x:is>
      </x:c>
      <x:c r="O15" s="70" t="n">
        <x:f>IFERROR(_xlfn.MAXIFS(Subscription_Value!$AE$2:$AE$125,Subscription_Value!$A$2:$A$125,$N15),"")</x:f>
        <x:v>0</x:v>
      </x:c>
      <x:c r="P15" s="12" t="inlineStr">
        <x:is>
          <x:t xml:space="preserve">Not API-equivalent; assumes every prompt/message consumes one full AA task. Treat as an upper-bound diagnostic only.</x:t>
        </x:is>
      </x:c>
    </x:row>
    <x:row r="16">
      <x:c r="A16" s="12" t="inlineStr">
        <x:is>
          <x:t xml:space="preserve">$20 API budget</x:t>
        </x:is>
      </x:c>
      <x:c r="B16" s="70" t="n">
        <x:v>20</x:v>
      </x:c>
      <x:c r="C16" s="12" t="inlineStr">
        <x:is>
          <x:t xml:space="preserve">Claude Opus 5.5</x:t>
        </x:is>
      </x:c>
      <x:c r="D16" s="12" t="inlineStr">
        <x:is>
          <x:t xml:space="preserve">Gemini 3.8 Flash</x:t>
        </x:is>
      </x:c>
      <x:c r="E16" s="12" t="inlineStr">
        <x:is>
          <x:t xml:space="preserve">Gemini 3.8 Flash</x:t>
        </x:is>
      </x:c>
      <x:c r="F16" s="12" t="inlineStr">
        <x:is>
          <x:t xml:space="preserve">GPT-6 Luna</x:t>
        </x:is>
      </x:c>
      <x:c r="G16" s="12" t="inlineStr">
        <x:is>
          <x:t xml:space="preserve">Gemini 3.8 Flash</x:t>
        </x:is>
      </x:c>
      <x:c r="H16" s="12" t="inlineStr">
        <x:is>
          <x:t xml:space="preserve">Gemini 3.8 Flash</x:t>
        </x:is>
      </x:c>
      <x:c r="I16" s="12" t="inlineStr">
        <x:is>
          <x:t xml:space="preserve">Gemini 3.8 Flash</x:t>
        </x:is>
      </x:c>
      <x:c r="J16" s="70" t="n">
        <x:f>IF(COUNTIFS(Subscription_Value!$A$2:$A$125,$N16,Subscription_Value!$S$2:$S$125,"&gt;0")=0,"",_xlfn.MAXIFS(Subscription_Value!$S$2:$S$125,Subscription_Value!$A$2:$A$125,$N16))</x:f>
        <x:v>20</x:v>
      </x:c>
      <x:c r="K16" s="71" t="n">
        <x:f>IF(OR(J16="",B16=0),"",J16/B16)</x:f>
        <x:v>1</x:v>
      </x:c>
      <x:c r="L16" s="12" t="inlineStr">
        <x:is>
          <x:t xml:space="preserve">GPT-6 Luna</x:t>
        </x:is>
      </x:c>
      <x:c r="M16" s="12" t="inlineStr">
        <x:is>
          <x:t xml:space="preserve">high</x:t>
        </x:is>
      </x:c>
      <x:c r="N16" s="12" t="inlineStr">
        <x:is>
          <x:t xml:space="preserve">direct-api-20</x:t>
        </x:is>
      </x:c>
      <x:c r="O16" s="70" t="n">
        <x:f>IFERROR(_xlfn.MAXIFS(Subscription_Value!$AE$2:$AE$125,Subscription_Value!$A$2:$A$125,$N16),"")</x:f>
        <x:v>0</x:v>
      </x:c>
      <x:c r="P16" s="12" t="inlineStr">
        <x:is>
          <x:t xml:space="preserve">Not API-equivalent; assumes every prompt/message consumes one full AA task. Treat as an upper-bound diagnostic only.</x:t>
        </x:is>
      </x:c>
    </x:row>
    <x:row r="18">
      <x:c r="A18" s="57" t="inlineStr">
        <x:is>
          <x:t xml:space="preserve">Winner names are snapshot display labels selected from the same source metrics. Numeric scoring/value calculations remain formulas on Rankings, Run_Metrics, Threshold_Metrics, and Subscription_Value.</x:t>
        </x:is>
      </x:c>
      <x:c r="B18" s="15" t="n"/>
      <x:c r="C18" s="15" t="n"/>
      <x:c r="D18" s="15" t="n"/>
      <x:c r="E18" s="15" t="n"/>
      <x:c r="F18" s="15" t="n"/>
      <x:c r="G18" s="15" t="n"/>
      <x:c r="H18" s="15" t="n"/>
      <x:c r="I18" s="15" t="n"/>
      <x:c r="J18" s="15" t="n"/>
      <x:c r="K18" s="15" t="n"/>
      <x:c r="L18" s="15" t="n"/>
      <x:c r="M18" s="15" t="n"/>
      <x:c r="N18" s="15" t="n"/>
      <x:c r="O18" s="15" t="n"/>
      <x:c r="P18" s="15" t="n"/>
    </x:row>
    <x:row r="19">
      <x:c r="A19" s="15" t="n"/>
      <x:c r="P19" s="15" t="n"/>
    </x:row>
    <x:row r="20">
      <x:c r="A20" s="15" t="n"/>
      <x:c r="B20" s="15" t="n"/>
      <x:c r="C20" s="15" t="n"/>
      <x:c r="D20" s="15" t="n"/>
      <x:c r="E20" s="15" t="n"/>
      <x:c r="F20" s="15" t="n"/>
      <x:c r="G20" s="15" t="n"/>
      <x:c r="H20" s="15" t="n"/>
      <x:c r="I20" s="15" t="n"/>
      <x:c r="J20" s="15" t="n"/>
      <x:c r="K20" s="15" t="n"/>
      <x:c r="L20" s="15" t="n"/>
      <x:c r="M20" s="15" t="n"/>
      <x:c r="N20" s="15" t="n"/>
      <x:c r="O20" s="15" t="n"/>
      <x:c r="P20" s="15" t="n"/>
    </x:row>
  </x:sheetData>
  <x:mergeCells>
    <x:mergeCell ref="A18:P20"/>
    <x:mergeCell ref="A1:N1"/>
  </x:mergeCells>
  <x:pageMargins left="0.7" right="0.7" top="0.75" bottom="0.75" header="0.3" footer="0.3"/>
</x:worksheet>
</file>

<file path=xl/worksheets/sheet9.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24" style="14" customWidth="1"/>
    <x:col min="9" max="9" width="24" style="14" customWidth="1"/>
    <x:col min="10" max="10" width="45" style="14" customWidth="1"/>
  </x:cols>
  <x:sheetData>
    <x:row r="1">
      <x:c r="A1" s="23" t="inlineStr">
        <x:is>
          <x:t xml:space="preserve">Winner Titles Across Model Universes</x:t>
        </x:is>
      </x:c>
      <x:c r="B1" s="15" t="n"/>
      <x:c r="C1" s="15" t="n"/>
      <x:c r="D1" s="15" t="n"/>
      <x:c r="E1" s="15" t="n"/>
      <x:c r="F1" s="15" t="n"/>
      <x:c r="G1" s="15" t="n"/>
      <x:c r="H1" s="15" t="n"/>
      <x:c r="I1" s="15" t="n"/>
      <x:c r="J1" s="15" t="n"/>
    </x:row>
    <x:row r="3">
      <x:c r="A3" s="6" t="inlineStr">
        <x:is>
          <x:t xml:space="preserve">Universe</x:t>
        </x:is>
      </x:c>
      <x:c r="B3" s="6" t="inlineStr">
        <x:is>
          <x:t xml:space="preserve">Highest intelligence</x:t>
        </x:is>
      </x:c>
      <x:c r="C3" s="6" t="inlineStr">
        <x:is>
          <x:t xml:space="preserve">Highest speed</x:t>
        </x:is>
      </x:c>
      <x:c r="D3" s="6" t="inlineStr">
        <x:is>
          <x:t xml:space="preserve">Best speed×intel</x:t>
        </x:is>
      </x:c>
      <x:c r="E3" s="6" t="inlineStr">
        <x:is>
          <x:t xml:space="preserve">Best raw intel/$</x:t>
        </x:is>
      </x:c>
      <x:c r="F3" s="6" t="inlineStr">
        <x:is>
          <x:t xml:space="preserve">Best threshold-balanced</x:t>
        </x:is>
      </x:c>
      <x:c r="G3" s="6" t="inlineStr">
        <x:is>
          <x:t xml:space="preserve">Best smart-favored</x:t>
        </x:is>
      </x:c>
      <x:c r="H3" s="6" t="inlineStr">
        <x:is>
          <x:t xml:space="preserve">Best speed-favored</x:t>
        </x:is>
      </x:c>
      <x:c r="I3" s="6" t="inlineStr">
        <x:is>
          <x:t xml:space="preserve">Lowest AA $/task</x:t>
        </x:is>
      </x:c>
      <x:c r="J3" s="6" t="inlineStr">
        <x:is>
          <x:t xml:space="preserve">Notes</x:t>
        </x:is>
      </x:c>
    </x:row>
    <x:row r="4">
      <x:c r="A4" s="12" t="inlineStr">
        <x:is>
          <x:t xml:space="preserve">Current eligible contenders</x:t>
        </x:is>
      </x:c>
      <x:c r="B4" s="12" t="str">
        <x:f>IFERROR(INDEX(Rankings!$C:$C,MATCH(1,Rankings!$AI:$AI,0)),"")</x:f>
        <x:v>Claude Opus 5.5</x:v>
      </x:c>
      <x:c r="C4" s="12" t="str">
        <x:f>IFERROR(INDEX(Rankings!$C:$C,MATCH(1,Rankings!$AJ:$AJ,0)),"")</x:f>
        <x:v>Gemini 3.8 Flash</x:v>
      </x:c>
      <x:c r="D4" s="12" t="str">
        <x:f>IFERROR(INDEX(Rankings!$C$4:$C$141,MATCH(_xlfn.MAXIFS(Rankings!$AC$4:$AC$141,Rankings!$O$4:$O$141,1),Rankings!$AC$4:$AC$141,0)),"")</x:f>
        <x:v>Gemini 3.8 Flash</x:v>
      </x:c>
      <x:c r="E4" s="12" t="str">
        <x:f>IFERROR(INDEX(Rankings!$C$4:$C$141,MATCH(_xlfn.MAXIFS(Rankings!$AD$4:$AD$141,Rankings!$O$4:$O$141,1),Rankings!$AD$4:$AD$141,0)),"")</x:f>
        <x:v>GPT-6 Luna</x:v>
      </x:c>
      <x:c r="F4" s="12" t="str">
        <x:f>IFERROR(INDEX(Rankings!$C:$C,MATCH(1,Rankings!$AF:$AF,0)),"")</x:f>
        <x:v>GPT-6 Sol</x:v>
      </x:c>
      <x:c r="G4" s="12" t="str">
        <x:f>IFERROR(INDEX(Rankings!$C:$C,MATCH(1,Rankings!$AG:$AG,0)),"")</x:f>
        <x:v>GPT-6 Sol</x:v>
      </x:c>
      <x:c r="H4" s="12" t="str">
        <x:f>IFERROR(INDEX(Rankings!$C:$C,MATCH(1,Rankings!$AH:$AH,0)),"")</x:f>
        <x:v>GPT-6 Sol</x:v>
      </x:c>
      <x:c r="I4" s="12" t="str">
        <x:f>IFERROR(INDEX(Rankings!$C:$C,MATCH(1,Rankings!$AK:$AK,0)),"")</x:f>
        <x:v>GPT-6 Luna</x:v>
      </x:c>
      <x:c r="J4" s="12" t="inlineStr">
        <x:is>
          <x:t xml:space="preserve">Uses active Controls profile and usability target.</x:t>
        </x:is>
      </x:c>
    </x:row>
    <x:row r="5">
      <x:c r="A5" s="12" t="inlineStr">
        <x:is>
          <x:t xml:space="preserve">Any tracked subscription model</x:t>
        </x:is>
      </x:c>
      <x:c r="B5" s="12" t="str">
        <x:f>IFERROR(INDEX(Subscription_Value!$E$2:$E$125,MATCH(MAX(Subscription_Value!$H$2:$H$125),Subscription_Value!$H$2:$H$125,0)),"")</x:f>
        <x:v>Claude Opus 5.5</x:v>
      </x:c>
      <x:c r="C5" s="12" t="str">
        <x:f>IFERROR(INDEX(Subscription_Value!$E$2:$E$125,MATCH(MAX(Subscription_Value!$I$2:$I$125),Subscription_Value!$I$2:$I$125,0)),"")</x:f>
        <x:v>Gemini 3.8 Flash</x:v>
      </x:c>
      <x:c r="D5" s="12" t="str">
        <x:f>IFERROR(LET(v,Subscription_Value!$H$2:$H$125*Subscription_Value!$I$2:$I$125,INDEX(Subscription_Value!$E$2:$E$125,MATCH(MAX(v),v,0))),"")</x:f>
      </x:c>
      <x:c r="E5" s="12" t="str">
        <x:f>IFERROR(LET(v,Subscription_Value!$H$2:$H$125/Subscription_Value!$J$2:$J$125,INDEX(Subscription_Value!$E$2:$E$125,MATCH(MAX(v),v,0))),"")</x:f>
      </x:c>
      <x:c r="F5" s="12" t="str">
        <x:f>IFERROR(INDEX(Subscription_Value!$E$2:$E$125,MATCH(MAX(Subscription_Value!$Z$2:$Z$125),Subscription_Value!$Z$2:$Z$125,0)),"")</x:f>
        <x:v>Muse Spark 1.3</x:v>
      </x:c>
      <x:c r="G5" s="12" t="str">
        <x:f>IFERROR(INDEX(Subscription_Value!$E$2:$E$125,MATCH(MAX(Subscription_Value!$AA$2:$AA$125),Subscription_Value!$AA$2:$AA$125,0)),"")</x:f>
        <x:v>Muse Spark 1.3</x:v>
      </x:c>
      <x:c r="H5" s="12" t="str">
        <x:f>IFERROR(INDEX(Subscription_Value!$E$2:$E$125,MATCH(MAX(Subscription_Value!$AB$2:$AB$125),Subscription_Value!$AB$2:$AB$125,0)),"")</x:f>
        <x:v>Muse Spark 1.3</x:v>
      </x:c>
      <x:c r="I5" s="12" t="str">
        <x:f>IFERROR(INDEX(Subscription_Value!$E$2:$E$125,MATCH(_xlfn.MINIFS(Subscription_Value!$J$2:$J$125,Subscription_Value!$J$2:$J$125,"&gt;0"),Subscription_Value!$J$2:$J$125,0)),"")</x:f>
        <x:v>GPT-6 Luna</x:v>
      </x:c>
      <x:c r="J5" s="12" t="inlineStr">
        <x:is>
          <x:t xml:space="preserve">Includes direct API analytical baseline + tracked consumer subscriptions.</x:t>
        </x:is>
      </x:c>
    </x:row>
    <x:row r="6">
      <x:c r="A6" s="12" t="inlineStr">
        <x:is>
          <x:t xml:space="preserve">All AA rows (ignoring controls)</x:t>
        </x:is>
      </x:c>
      <x:c r="B6" s="12" t="str">
        <x:f>IFERROR(INDEX(Rankings!$C$4:$C$141,MATCH(MAX(Rankings!$I$4:$I$141),Rankings!$I$4:$I$141,0)),"")</x:f>
        <x:v>Claude Opus 5.5</x:v>
      </x:c>
      <x:c r="C6" s="12" t="str">
        <x:f>IFERROR(INDEX(Rankings!$C$4:$C$141,MATCH(MAX(Rankings!$L$4:$L$141),Rankings!$L$4:$L$141,0)),"")</x:f>
        <x:v>Gemini 3.8 Flash</x:v>
      </x:c>
      <x:c r="D6" s="12" t="str">
        <x:f>IFERROR(LET(v,Rankings!$I$4:$I$141*Rankings!$L$4:$L$141,INDEX(Rankings!$C$4:$C$141,MATCH(MAX(v),v,0))),"")</x:f>
      </x:c>
      <x:c r="E6" s="12" t="str">
        <x:f>IFERROR(LET(v,Rankings!$I$4:$I$141/Rankings!$J$4:$J$141,INDEX(Rankings!$C$4:$C$141,MATCH(MAX(v),v,0))),"")</x:f>
      </x:c>
      <x:c r="F6" s="12" t="inlineStr">
        <x:is>
          <x:t xml:space="preserve">n/a</x:t>
        </x:is>
      </x:c>
      <x:c r="G6" s="12" t="inlineStr">
        <x:is>
          <x:t xml:space="preserve">n/a</x:t>
        </x:is>
      </x:c>
      <x:c r="H6" s="12" t="inlineStr">
        <x:is>
          <x:t xml:space="preserve">n/a</x:t>
        </x:is>
      </x:c>
      <x:c r="I6" s="12" t="str">
        <x:f>IFERROR(INDEX(Rankings!$C$4:$C$141,MATCH(_xlfn.MINIFS(Rankings!$J$4:$J$141,Rankings!$J$4:$J$141,"&gt;0"),Rankings!$J$4:$J$141,0)),"")</x:f>
        <x:v>GPT-6 Luna</x:v>
      </x:c>
      <x:c r="J6" s="12" t="inlineStr">
        <x:is>
          <x:t xml:space="preserve">No current-status/usability filtering.</x:t>
        </x:is>
      </x:c>
    </x:row>
  </x:sheetData>
  <x:mergeCells>
    <x:mergeCell ref="A1:J1"/>
  </x:mergeCells>
  <x:pageMargins left="0.7" right="0.7" top="0.75" bottom="0.75" header="0.3" footer="0.3"/>
</x:worksheet>
</file>

<file path=xl/worksheets/sheet10.xml><?xml version="1.0" encoding="utf-8"?>
<x:worksheet xmlns:x="http://schemas.openxmlformats.org/spreadsheetml/2006/main">
  <x:sheetFormatPr baseColWidth="8" defaultRowHeight="15"/>
  <x:cols>
    <x:col min="1" max="1" width="34" style="14" customWidth="1"/>
    <x:col min="2" max="2" width="26" style="14" customWidth="1"/>
    <x:col min="3" max="3" width="26" style="14" customWidth="1"/>
    <x:col min="6" max="6" width="70" style="14" customWidth="1"/>
  </x:cols>
  <x:sheetData>
    <x:row r="1">
      <x:c r="A1" s="23" t="inlineStr">
        <x:is>
          <x:t xml:space="preserve">Controls, Profiles &amp; Reproducibility</x:t>
        </x:is>
      </x:c>
      <x:c r="B1" s="15" t="n"/>
      <x:c r="C1" s="15" t="n"/>
      <x:c r="D1" s="15" t="n"/>
      <x:c r="E1" s="15" t="n"/>
      <x:c r="F1" s="15" t="n"/>
    </x:row>
    <x:row r="3">
      <x:c r="A3" s="6" t="inlineStr">
        <x:is>
          <x:t xml:space="preserve">Control</x:t>
        </x:is>
      </x:c>
      <x:c r="B3" s="6" t="inlineStr">
        <x:is>
          <x:t xml:space="preserve">Override / Selected</x:t>
        </x:is>
      </x:c>
      <x:c r="C3" s="6" t="inlineStr">
        <x:is>
          <x:t xml:space="preserve">Effective</x:t>
        </x:is>
      </x:c>
      <x:c r="E3" s="6" t="inlineStr">
        <x:is>
          <x:t xml:space="preserve">Action</x:t>
        </x:is>
      </x:c>
      <x:c r="F3" s="6" t="inlineStr">
        <x:is>
          <x:t xml:space="preserve">How</x:t>
        </x:is>
      </x:c>
    </x:row>
    <x:row r="4">
      <x:c r="A4" s="26" t="inlineStr">
        <x:is>
          <x:t xml:space="preserve">Active profile</x:t>
        </x:is>
      </x:c>
      <x:c r="B4" s="16" t="inlineStr">
        <x:is>
          <x:t xml:space="preserve">Default</x:t>
        </x:is>
      </x:c>
      <x:c r="C4" t="str">
        <x:f>B4</x:f>
        <x:v>Default</x:v>
      </x:c>
      <x:c r="E4" s="26" t="inlineStr">
        <x:is>
          <x:t xml:space="preserve">Reset</x:t>
        </x:is>
      </x:c>
      <x:c r="F4" t="inlineStr">
        <x:is>
          <x:t xml:space="preserve">Select Default and clear override cells.</x:t>
        </x:is>
      </x:c>
    </x:row>
    <x:row r="5">
      <x:c r="A5" s="26" t="inlineStr">
        <x:is>
          <x:t xml:space="preserve">Top N</x:t>
        </x:is>
      </x:c>
      <x:c r="B5" s="16" t="n">
        <x:v>10</x:v>
      </x:c>
      <x:c r="C5" t="n">
        <x:f>B5</x:f>
        <x:v>10</x:v>
      </x:c>
      <x:c r="E5" s="26" t="inlineStr">
        <x:is>
          <x:t xml:space="preserve">Save a profile</x:t>
        </x:is>
      </x:c>
      <x:c r="F5" t="inlineStr">
        <x:is>
          <x:t xml:space="preserve">Copy effective values into a new row on _Control_Profiles.</x:t>
        </x:is>
      </x:c>
    </x:row>
    <x:row r="6">
      <x:c r="A6" s="26" t="inlineStr">
        <x:is>
          <x:t xml:space="preserve">Usability target override</x:t>
        </x:is>
      </x:c>
      <x:c r="B6" s="16" t="str"/>
      <x:c r="C6" t="n">
        <x:f>IF(B6="",INDEX(_Control_Profiles!$B$2:$B$8,MATCH(C4,_Control_Profiles!$A$2:$A$8,0)),B6)</x:f>
        <x:v>40</x:v>
      </x:c>
      <x:c r="E6" s="26" t="inlineStr">
        <x:is>
          <x:t xml:space="preserve">History</x:t>
        </x:is>
      </x:c>
      <x:c r="F6" t="inlineStr">
        <x:is>
          <x:t xml:space="preserve">Config_History records workbook-build defaults; append on future updates.</x:t>
        </x:is>
      </x:c>
    </x:row>
    <x:row r="7">
      <x:c r="A7" s="26" t="inlineStr">
        <x:is>
          <x:t xml:space="preserve">Target (effective)</x:t>
        </x:is>
      </x:c>
      <x:c r="B7" s="16" t="str"/>
      <x:c r="C7" t="n">
        <x:f>C6</x:f>
        <x:v>40</x:v>
      </x:c>
      <x:c r="E7" s="26" t="inlineStr">
        <x:is>
          <x:t xml:space="preserve">Macro note</x:t>
        </x:is>
      </x:c>
      <x:c r="F7" t="inlineStr">
        <x:is>
          <x:t xml:space="preserve">A true persistent Save/Reset button requires VBA; this workbook stays portable/macro-free.</x:t>
        </x:is>
      </x:c>
    </x:row>
    <x:row r="8">
      <x:c r="A8" s="26" t="inlineStr">
        <x:is>
          <x:t xml:space="preserve">Intelligence weight override</x:t>
        </x:is>
      </x:c>
      <x:c r="B8" s="16" t="str"/>
      <x:c r="C8" t="n">
        <x:f>IF(B8="",INDEX(_Control_Profiles!$C$2:$C$8,MATCH(C4,_Control_Profiles!$A$2:$A$8,0)),B8)</x:f>
        <x:v>0.5</x:v>
      </x:c>
      <x:c r="E8" s="26" t="inlineStr">
        <x:is>
          <x:t xml:space="preserve">Input convention</x:t>
        </x:is>
      </x:c>
      <x:c r="F8" t="inlineStr">
        <x:is>
          <x:t xml:space="preserve">Yellow cells are intended user-editable controls.</x:t>
        </x:is>
      </x:c>
    </x:row>
    <x:row r="9">
      <x:c r="A9" s="26" t="inlineStr">
        <x:is>
          <x:t xml:space="preserve">Speed weight override</x:t>
        </x:is>
      </x:c>
      <x:c r="B9" s="16" t="str"/>
      <x:c r="C9" t="n">
        <x:f>IF(B9="",INDEX(_Control_Profiles!$D$2:$D$8,MATCH(C4,_Control_Profiles!$A$2:$A$8,0)),B9)</x:f>
        <x:v>0.5</x:v>
      </x:c>
    </x:row>
    <x:row r="10">
      <x:c r="A10" s="26" t="inlineStr">
        <x:is>
          <x:t xml:space="preserve">Status filter override</x:t>
        </x:is>
      </x:c>
      <x:c r="B10" s="16" t="str"/>
      <x:c r="C10" t="str">
        <x:f>IF(B10="",INDEX(_Control_Profiles!$E$2:$E$8,MATCH(C4,_Control_Profiles!$A$2:$A$8,0)),B10)</x:f>
        <x:v>Contender+Close</x:v>
      </x:c>
    </x:row>
    <x:row r="11">
      <x:c r="A11" s="26" t="inlineStr">
        <x:is>
          <x:t xml:space="preserve">Availability filter override</x:t>
        </x:is>
      </x:c>
      <x:c r="B11" s="16" t="str"/>
      <x:c r="C11" t="str">
        <x:f>IF(B11="",INDEX(_Control_Profiles!$F$2:$F$8,MATCH(C4,_Control_Profiles!$A$2:$A$8,0)),B11)</x:f>
        <x:v>Current</x:v>
      </x:c>
    </x:row>
    <x:row r="12">
      <x:c r="A12" s="26" t="inlineStr">
        <x:is>
          <x:t xml:space="preserve">Benchmark version</x:t>
        </x:is>
      </x:c>
      <x:c r="B12" s="16" t="inlineStr">
        <x:is>
          <x:t xml:space="preserve">AA|v4.3.2</x:t>
        </x:is>
      </x:c>
      <x:c r="C12" t="str">
        <x:f>B12</x:f>
        <x:v>AA|v4.3.2</x:v>
      </x:c>
    </x:row>
  </x:sheetData>
  <x:mergeCells>
    <x:mergeCell ref="A1:F1"/>
  </x:mergeCells>
  <x:dataValidations count="5">
    <x:dataValidation type="list" allowBlank="0" showDropDown="0" showInputMessage="0" showErrorMessage="0" sqref="B4">
      <x:formula1>"Default,Smart,Speed,Frontier,Cheap,Reviewer,All"</x:formula1>
    </x:dataValidation>
    <x:dataValidation type="list" allowBlank="0" showDropDown="0" showInputMessage="0" showErrorMessage="0" sqref="B5">
      <x:formula1>"5,10,15,20"</x:formula1>
    </x:dataValidation>
    <x:dataValidation type="list" allowBlank="0" showDropDown="0" showInputMessage="0" showErrorMessage="0" sqref="B10">
      <x:formula1>",Contender,Contender+Close,All"</x:formula1>
    </x:dataValidation>
    <x:dataValidation type="list" allowBlank="0" showDropDown="0" showInputMessage="0" showErrorMessage="0" sqref="B11">
      <x:formula1>",Current,All"</x:formula1>
    </x:dataValidation>
    <x:dataValidation type="list" allowBlank="0" showDropDown="0" showInputMessage="0" showErrorMessage="0" sqref="B12">
      <x:formula1>"AA|v4.3.2"</x:formula1>
    </x:dataValidation>
  </x:dataValidations>
  <x:pageMargins left="0.7" right="0.7" top="0.75" bottom="0.75" header="0.3" footer="0.3"/>
</x:worksheet>
</file>

<file path=xl/worksheets/sheet11.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48" style="14" customWidth="1"/>
  </x:cols>
  <x:sheetData>
    <x:row r="1">
      <x:c r="A1" s="6" t="inlineStr">
        <x:is>
          <x:t xml:space="preserve">Profile</x:t>
        </x:is>
      </x:c>
      <x:c r="B1" s="6" t="inlineStr">
        <x:is>
          <x:t xml:space="preserve">Target</x:t>
        </x:is>
      </x:c>
      <x:c r="C1" s="6" t="inlineStr">
        <x:is>
          <x:t xml:space="preserve">IntelWeight</x:t>
        </x:is>
      </x:c>
      <x:c r="D1" s="6" t="inlineStr">
        <x:is>
          <x:t xml:space="preserve">SpeedWeight</x:t>
        </x:is>
      </x:c>
      <x:c r="E1" s="6" t="inlineStr">
        <x:is>
          <x:t xml:space="preserve">StatusFilter</x:t>
        </x:is>
      </x:c>
      <x:c r="F1" s="6" t="inlineStr">
        <x:is>
          <x:t xml:space="preserve">AvailabilityFilter</x:t>
        </x:is>
      </x:c>
      <x:c r="G1" s="6" t="inlineStr">
        <x:is>
          <x:t xml:space="preserve">Description</x:t>
        </x:is>
      </x:c>
    </x:row>
    <x:row r="2">
      <x:c r="A2" t="inlineStr">
        <x:is>
          <x:t xml:space="preserve">Default</x:t>
        </x:is>
      </x:c>
      <x:c r="B2" t="n">
        <x:v>40</x:v>
      </x:c>
      <x:c r="C2" t="n">
        <x:v>0.5</x:v>
      </x:c>
      <x:c r="D2" t="n">
        <x:v>0.5</x:v>
      </x:c>
      <x:c r="E2" t="inlineStr">
        <x:is>
          <x:t xml:space="preserve">Contender+Close</x:t>
        </x:is>
      </x:c>
      <x:c r="F2" t="inlineStr">
        <x:is>
          <x:t xml:space="preserve">Current</x:t>
        </x:is>
      </x:c>
      <x:c r="G2" t="inlineStr">
        <x:is>
          <x:t xml:space="preserve">Balanced current shortlist</x:t>
        </x:is>
      </x:c>
    </x:row>
    <x:row r="3">
      <x:c r="A3" t="inlineStr">
        <x:is>
          <x:t xml:space="preserve">Smart</x:t>
        </x:is>
      </x:c>
      <x:c r="B3" t="n">
        <x:v>40</x:v>
      </x:c>
      <x:c r="C3" t="n">
        <x:v>0.75</x:v>
      </x:c>
      <x:c r="D3" t="n">
        <x:v>0.25</x:v>
      </x:c>
      <x:c r="E3" t="inlineStr">
        <x:is>
          <x:t xml:space="preserve">Contender+Close</x:t>
        </x:is>
      </x:c>
      <x:c r="F3" t="inlineStr">
        <x:is>
          <x:t xml:space="preserve">Current</x:t>
        </x:is>
      </x:c>
      <x:c r="G3" t="inlineStr">
        <x:is>
          <x:t xml:space="preserve">Prefer intelligence above usability bar</x:t>
        </x:is>
      </x:c>
    </x:row>
    <x:row r="4">
      <x:c r="A4" t="inlineStr">
        <x:is>
          <x:t xml:space="preserve">Speed</x:t>
        </x:is>
      </x:c>
      <x:c r="B4" t="n">
        <x:v>35</x:v>
      </x:c>
      <x:c r="C4" t="n">
        <x:v>0.25</x:v>
      </x:c>
      <x:c r="D4" t="n">
        <x:v>0.75</x:v>
      </x:c>
      <x:c r="E4" t="inlineStr">
        <x:is>
          <x:t xml:space="preserve">Contender+Close</x:t>
        </x:is>
      </x:c>
      <x:c r="F4" t="inlineStr">
        <x:is>
          <x:t xml:space="preserve">Current</x:t>
        </x:is>
      </x:c>
      <x:c r="G4" t="inlineStr">
        <x:is>
          <x:t xml:space="preserve">Prefer speed/iteration throughput</x:t>
        </x:is>
      </x:c>
    </x:row>
    <x:row r="5">
      <x:c r="A5" t="inlineStr">
        <x:is>
          <x:t xml:space="preserve">Frontier</x:t>
        </x:is>
      </x:c>
      <x:c r="B5" t="n">
        <x:v>45</x:v>
      </x:c>
      <x:c r="C5" t="n">
        <x:v>0.85</x:v>
      </x:c>
      <x:c r="D5" t="n">
        <x:v>0.15</x:v>
      </x:c>
      <x:c r="E5" t="inlineStr">
        <x:is>
          <x:t xml:space="preserve">Contender</x:t>
        </x:is>
      </x:c>
      <x:c r="F5" t="inlineStr">
        <x:is>
          <x:t xml:space="preserve">Current</x:t>
        </x:is>
      </x:c>
      <x:c r="G5" t="inlineStr">
        <x:is>
          <x:t xml:space="preserve">Correctness-heavy frontier board</x:t>
        </x:is>
      </x:c>
    </x:row>
    <x:row r="6">
      <x:c r="A6" t="inlineStr">
        <x:is>
          <x:t xml:space="preserve">Cheap</x:t>
        </x:is>
      </x:c>
      <x:c r="B6" t="n">
        <x:v>30</x:v>
      </x:c>
      <x:c r="C6" t="n">
        <x:v>0.4</x:v>
      </x:c>
      <x:c r="D6" t="n">
        <x:v>0.6</x:v>
      </x:c>
      <x:c r="E6" t="inlineStr">
        <x:is>
          <x:t xml:space="preserve">Contender+Close</x:t>
        </x:is>
      </x:c>
      <x:c r="F6" t="inlineStr">
        <x:is>
          <x:t xml:space="preserve">Current</x:t>
        </x:is>
      </x:c>
      <x:c r="G6" t="inlineStr">
        <x:is>
          <x:t xml:space="preserve">Cheap workers with escalation expected</x:t>
        </x:is>
      </x:c>
    </x:row>
    <x:row r="7">
      <x:c r="A7" t="inlineStr">
        <x:is>
          <x:t xml:space="preserve">Reviewer</x:t>
        </x:is>
      </x:c>
      <x:c r="B7" t="n">
        <x:v>40</x:v>
      </x:c>
      <x:c r="C7" t="n">
        <x:v>0.7</x:v>
      </x:c>
      <x:c r="D7" t="n">
        <x:v>0.3</x:v>
      </x:c>
      <x:c r="E7" t="inlineStr">
        <x:is>
          <x:t xml:space="preserve">Contender+Close</x:t>
        </x:is>
      </x:c>
      <x:c r="F7" t="inlineStr">
        <x:is>
          <x:t xml:space="preserve">Current</x:t>
        </x:is>
      </x:c>
      <x:c r="G7" t="inlineStr">
        <x:is>
          <x:t xml:space="preserve">Reviewer/judgment-biased</x:t>
        </x:is>
      </x:c>
    </x:row>
    <x:row r="8">
      <x:c r="A8" t="inlineStr">
        <x:is>
          <x:t xml:space="preserve">All</x:t>
        </x:is>
      </x:c>
      <x:c r="B8" t="n">
        <x:v>0</x:v>
      </x:c>
      <x:c r="C8" t="n">
        <x:v>0.5</x:v>
      </x:c>
      <x:c r="D8" t="n">
        <x:v>0.5</x:v>
      </x:c>
      <x:c r="E8" t="inlineStr">
        <x:is>
          <x:t xml:space="preserve">All</x:t>
        </x:is>
      </x:c>
      <x:c r="F8" t="inlineStr">
        <x:is>
          <x:t xml:space="preserve">All</x:t>
        </x:is>
      </x:c>
      <x:c r="G8" t="inlineStr">
        <x:is>
          <x:t xml:space="preserve">No editorial filtering</x:t>
        </x:is>
      </x:c>
    </x:row>
  </x:sheetData>
  <x:pageMargins left="0.7" right="0.7" top="0.75" bottom="0.75" header="0.3" footer="0.3"/>
</x:worksheet>
</file>

<file path=xl/worksheets/sheet12.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20" style="14" customWidth="1"/>
    <x:col min="5" max="5" width="20" style="14" customWidth="1"/>
    <x:col min="6" max="6" width="20" style="14" customWidth="1"/>
    <x:col min="7" max="7" width="20" style="14" customWidth="1"/>
    <x:col min="8" max="8" width="20" style="14" customWidth="1"/>
    <x:col min="9" max="9" width="20" style="14" customWidth="1"/>
    <x:col min="10" max="10" width="68" style="14" customWidth="1"/>
  </x:cols>
  <x:sheetData>
    <x:row r="1">
      <x:c r="A1" s="6" t="inlineStr">
        <x:is>
          <x:t xml:space="preserve">model_key</x:t>
        </x:is>
      </x:c>
      <x:c r="B1" s="6" t="inlineStr">
        <x:is>
          <x:t xml:space="preserve">creator</x:t>
        </x:is>
      </x:c>
      <x:c r="C1" s="6" t="inlineStr">
        <x:is>
          <x:t xml:space="preserve">family</x:t>
        </x:is>
      </x:c>
      <x:c r="D1" s="6" t="inlineStr">
        <x:is>
          <x:t xml:space="preserve">release_date</x:t>
        </x:is>
      </x:c>
      <x:c r="E1" s="6" t="inlineStr">
        <x:is>
          <x:t xml:space="preserve">context_window_tokens</x:t>
        </x:is>
      </x:c>
      <x:c r="F1" s="6" t="inlineStr">
        <x:is>
          <x:t xml:space="preserve">knowledge_cutoff</x:t>
        </x:is>
      </x:c>
      <x:c r="G1" s="6" t="inlineStr">
        <x:is>
          <x:t xml:space="preserve">currently_available</x:t>
        </x:is>
      </x:c>
      <x:c r="H1" s="6" t="inlineStr">
        <x:is>
          <x:t xml:space="preserve">decom_details</x:t>
        </x:is>
      </x:c>
      <x:c r="I1" s="6" t="inlineStr">
        <x:is>
          <x:t xml:space="preserve">pending_decom_timeframe</x:t>
        </x:is>
      </x:c>
      <x:c r="J1" s="6" t="inlineStr">
        <x:is>
          <x:t xml:space="preserve">primary_source_url</x:t>
        </x:is>
      </x:c>
    </x:row>
    <x:row r="2">
      <x:c r="A2" s="12" t="inlineStr">
        <x:is>
          <x:t xml:space="preserve">openai|gpt-6-luna</x:t>
        </x:is>
      </x:c>
      <x:c r="B2" s="12" t="inlineStr">
        <x:is>
          <x:t xml:space="preserve">OpenAI</x:t>
        </x:is>
      </x:c>
      <x:c r="C2" s="12" t="inlineStr">
        <x:is>
          <x:t xml:space="preserve">GPT-6 Luna</x:t>
        </x:is>
      </x:c>
      <x:c r="D2" s="12" t="inlineStr">
        <x:is>
          <x:t xml:space="preserve">2026-09</x:t>
        </x:is>
      </x:c>
      <x:c r="E2" s="12" t="n">
        <x:v>1000000</x:v>
      </x:c>
      <x:c r="F2" s="12" t="n"/>
      <x:c r="G2" s="12" t="inlineStr">
        <x:is>
          <x:t xml:space="preserve">yes</x:t>
        </x:is>
      </x:c>
      <x:c r="H2" s="12" t="n"/>
      <x:c r="I2" s="12" t="n"/>
      <x:c r="J2" s="12" t="inlineStr">
        <x:is>
          <x:t xml:space="preserve">https://artificialanalysis.ai/models/releases/comparisons/gpt-6-luna-vs-gpt-6-sol</x:t>
        </x:is>
      </x:c>
    </x:row>
    <x:row r="3">
      <x:c r="A3" s="12" t="inlineStr">
        <x:is>
          <x:t xml:space="preserve">openai|gpt-6-sol</x:t>
        </x:is>
      </x:c>
      <x:c r="B3" s="12" t="inlineStr">
        <x:is>
          <x:t xml:space="preserve">OpenAI</x:t>
        </x:is>
      </x:c>
      <x:c r="C3" s="12" t="inlineStr">
        <x:is>
          <x:t xml:space="preserve">GPT-6 Sol</x:t>
        </x:is>
      </x:c>
      <x:c r="D3" s="12" t="inlineStr">
        <x:is>
          <x:t xml:space="preserve">2026-09</x:t>
        </x:is>
      </x:c>
      <x:c r="E3" s="12" t="n">
        <x:v>872000</x:v>
      </x:c>
      <x:c r="F3" s="12" t="n"/>
      <x:c r="G3" s="12" t="inlineStr">
        <x:is>
          <x:t xml:space="preserve">yes</x:t>
        </x:is>
      </x:c>
      <x:c r="H3" s="12" t="n"/>
      <x:c r="I3" s="12" t="n"/>
      <x:c r="J3" s="12" t="inlineStr">
        <x:is>
          <x:t xml:space="preserve">https://artificialanalysis.ai/models/releases/comparisons/gpt-6-luna-vs-gpt-6-sol</x:t>
        </x:is>
      </x:c>
    </x:row>
    <x:row r="4">
      <x:c r="A4" s="12" t="inlineStr">
        <x:is>
          <x:t xml:space="preserve">openai|gpt-6-astra</x:t>
        </x:is>
      </x:c>
      <x:c r="B4" s="12" t="inlineStr">
        <x:is>
          <x:t xml:space="preserve">OpenAI</x:t>
        </x:is>
      </x:c>
      <x:c r="C4" s="12" t="inlineStr">
        <x:is>
          <x:t xml:space="preserve">GPT-6 Astra</x:t>
        </x:is>
      </x:c>
      <x:c r="D4" s="12" t="inlineStr">
        <x:is>
          <x:t xml:space="preserve">2026-09</x:t>
        </x:is>
      </x:c>
      <x:c r="E4" s="12" t="n">
        <x:v>1000000</x:v>
      </x:c>
      <x:c r="F4" s="12" t="inlineStr">
        <x:is>
          <x:t xml:space="preserve">2026-04</x:t>
        </x:is>
      </x:c>
      <x:c r="G4" s="12" t="inlineStr">
        <x:is>
          <x:t xml:space="preserve">yes</x:t>
        </x:is>
      </x:c>
      <x:c r="H4" s="12" t="n"/>
      <x:c r="I4" s="12" t="n"/>
      <x:c r="J4" s="12" t="inlineStr">
        <x:is>
          <x:t xml:space="preserve">https://artificialanalysis.ai/models/releases/comparisons/gpt-6-sol-vs-gpt-6-astra</x:t>
        </x:is>
      </x:c>
    </x:row>
    <x:row r="5">
      <x:c r="A5" s="12" t="inlineStr">
        <x:is>
          <x:t xml:space="preserve">openai|gpt-5-6-luna</x:t>
        </x:is>
      </x:c>
      <x:c r="B5" s="12" t="inlineStr">
        <x:is>
          <x:t xml:space="preserve">OpenAI</x:t>
        </x:is>
      </x:c>
      <x:c r="C5" s="12" t="inlineStr">
        <x:is>
          <x:t xml:space="preserve">GPT-5.6 Luna</x:t>
        </x:is>
      </x:c>
      <x:c r="D5" s="12" t="inlineStr">
        <x:is>
          <x:t xml:space="preserve">2026-07</x:t>
        </x:is>
      </x:c>
      <x:c r="E5" s="12" t="n">
        <x:v>1000000</x:v>
      </x:c>
      <x:c r="F5" s="12" t="n"/>
      <x:c r="G5" s="12" t="inlineStr">
        <x:is>
          <x:t xml:space="preserve">yes</x:t>
        </x:is>
      </x:c>
      <x:c r="H5" s="12" t="inlineStr">
        <x:is>
          <x:t xml:space="preserve">Older generation; current AA page still lists active providers. Vendor decommission date not verified.</x:t>
        </x:is>
      </x:c>
      <x:c r="I5" s="12" t="n"/>
      <x:c r="J5" s="12" t="inlineStr">
        <x:is>
          <x:t xml:space="preserve">https://artificialanalysis.ai/models/releases/gpt-5-6-luna</x:t>
        </x:is>
      </x:c>
    </x:row>
    <x:row r="6">
      <x:c r="A6" s="12" t="inlineStr">
        <x:is>
          <x:t xml:space="preserve">openai|gpt-5-6-sol</x:t>
        </x:is>
      </x:c>
      <x:c r="B6" s="12" t="inlineStr">
        <x:is>
          <x:t xml:space="preserve">OpenAI</x:t>
        </x:is>
      </x:c>
      <x:c r="C6" s="12" t="inlineStr">
        <x:is>
          <x:t xml:space="preserve">GPT-5.6 Sol</x:t>
        </x:is>
      </x:c>
      <x:c r="D6" s="12" t="inlineStr">
        <x:is>
          <x:t xml:space="preserve">2026-07</x:t>
        </x:is>
      </x:c>
      <x:c r="E6" s="12" t="n">
        <x:v>1000000</x:v>
      </x:c>
      <x:c r="F6" s="12" t="n"/>
      <x:c r="G6" s="12" t="inlineStr">
        <x:is>
          <x:t xml:space="preserve">yes</x:t>
        </x:is>
      </x:c>
      <x:c r="H6" s="12" t="inlineStr">
        <x:is>
          <x:t xml:space="preserve">Older generation; current AA page still lists active providers. Vendor decommission date not verified.</x:t>
        </x:is>
      </x:c>
      <x:c r="I6" s="12" t="n"/>
      <x:c r="J6" s="12" t="inlineStr">
        <x:is>
          <x:t xml:space="preserve">https://artificialanalysis.ai/models/releases/gpt-5-6-sol</x:t>
        </x:is>
      </x:c>
    </x:row>
    <x:row r="7">
      <x:c r="A7" s="12" t="inlineStr">
        <x:is>
          <x:t xml:space="preserve">anthropic|claude-sonnet-5-5</x:t>
        </x:is>
      </x:c>
      <x:c r="B7" s="12" t="inlineStr">
        <x:is>
          <x:t xml:space="preserve">Anthropic</x:t>
        </x:is>
      </x:c>
      <x:c r="C7" s="12" t="inlineStr">
        <x:is>
          <x:t xml:space="preserve">Claude Sonnet 5.5</x:t>
        </x:is>
      </x:c>
      <x:c r="D7" s="12" t="inlineStr">
        <x:is>
          <x:t xml:space="preserve">2026-09-28</x:t>
        </x:is>
      </x:c>
      <x:c r="E7" s="12" t="n">
        <x:v>1000000</x:v>
      </x:c>
      <x:c r="F7" s="12" t="n"/>
      <x:c r="G7" s="12" t="inlineStr">
        <x:is>
          <x:t xml:space="preserve">yes</x:t>
        </x:is>
      </x:c>
      <x:c r="H7" s="12" t="n"/>
      <x:c r="I7" s="12" t="n"/>
      <x:c r="J7" s="12" t="inlineStr">
        <x:is>
          <x:t xml:space="preserve">https://artificialanalysis.ai/models/releases/claude-sonnet-5-5</x:t>
        </x:is>
      </x:c>
    </x:row>
    <x:row r="8">
      <x:c r="A8" s="12" t="inlineStr">
        <x:is>
          <x:t xml:space="preserve">anthropic|claude-opus-5-5</x:t>
        </x:is>
      </x:c>
      <x:c r="B8" s="12" t="inlineStr">
        <x:is>
          <x:t xml:space="preserve">Anthropic</x:t>
        </x:is>
      </x:c>
      <x:c r="C8" s="12" t="inlineStr">
        <x:is>
          <x:t xml:space="preserve">Claude Opus 5.5</x:t>
        </x:is>
      </x:c>
      <x:c r="D8" s="12" t="inlineStr">
        <x:is>
          <x:t xml:space="preserve">2026-09</x:t>
        </x:is>
      </x:c>
      <x:c r="E8" s="12" t="n">
        <x:v>1000000</x:v>
      </x:c>
      <x:c r="F8" s="12" t="n"/>
      <x:c r="G8" s="12" t="inlineStr">
        <x:is>
          <x:t xml:space="preserve">yes</x:t>
        </x:is>
      </x:c>
      <x:c r="H8" s="12" t="n"/>
      <x:c r="I8" s="12" t="n"/>
      <x:c r="J8" s="12" t="inlineStr">
        <x:is>
          <x:t xml:space="preserve">https://artificialanalysis.ai/models/releases/claude-opus-5-5</x:t>
        </x:is>
      </x:c>
    </x:row>
    <x:row r="9">
      <x:c r="A9" s="12" t="inlineStr">
        <x:is>
          <x:t xml:space="preserve">anthropic|claude-opus-5</x:t>
        </x:is>
      </x:c>
      <x:c r="B9" s="12" t="inlineStr">
        <x:is>
          <x:t xml:space="preserve">Anthropic</x:t>
        </x:is>
      </x:c>
      <x:c r="C9" s="12" t="inlineStr">
        <x:is>
          <x:t xml:space="preserve">Claude Opus 5</x:t>
        </x:is>
      </x:c>
      <x:c r="D9" s="12" t="inlineStr">
        <x:is>
          <x:t xml:space="preserve">2026-07</x:t>
        </x:is>
      </x:c>
      <x:c r="E9" s="12" t="n">
        <x:v>1000000</x:v>
      </x:c>
      <x:c r="F9" s="12" t="n"/>
      <x:c r="G9" s="12" t="inlineStr">
        <x:is>
          <x:t xml:space="preserve">yes</x:t>
        </x:is>
      </x:c>
      <x:c r="H9" s="12" t="inlineStr">
        <x:is>
          <x:t xml:space="preserve">Prior Anthropic frontier generation; AA still lists API providers.</x:t>
        </x:is>
      </x:c>
      <x:c r="I9" s="12" t="n"/>
      <x:c r="J9" s="12" t="inlineStr">
        <x:is>
          <x:t xml:space="preserve">https://artificialanalysis.ai/models/releases/claude-opus-5</x:t>
        </x:is>
      </x:c>
    </x:row>
    <x:row r="10">
      <x:c r="A10" s="12" t="inlineStr">
        <x:is>
          <x:t xml:space="preserve">anthropic|claude-sonnet-5</x:t>
        </x:is>
      </x:c>
      <x:c r="B10" s="12" t="inlineStr">
        <x:is>
          <x:t xml:space="preserve">Anthropic</x:t>
        </x:is>
      </x:c>
      <x:c r="C10" s="12" t="inlineStr">
        <x:is>
          <x:t xml:space="preserve">Claude Sonnet 5</x:t>
        </x:is>
      </x:c>
      <x:c r="D10" s="12" t="inlineStr">
        <x:is>
          <x:t xml:space="preserve">2026-06</x:t>
        </x:is>
      </x:c>
      <x:c r="E10" s="12" t="n">
        <x:v>1000000</x:v>
      </x:c>
      <x:c r="F10" s="12" t="n"/>
      <x:c r="G10" s="12" t="inlineStr">
        <x:is>
          <x:t xml:space="preserve">yes</x:t>
        </x:is>
      </x:c>
      <x:c r="H10" s="12" t="inlineStr">
        <x:is>
          <x:t xml:space="preserve">Prior Anthropic frontier generation; AA still lists API providers.</x:t>
        </x:is>
      </x:c>
      <x:c r="I10" s="12" t="n"/>
      <x:c r="J10" s="12" t="inlineStr">
        <x:is>
          <x:t xml:space="preserve">https://artificialanalysis.ai/models/releases/claude-sonnet-5</x:t>
        </x:is>
      </x:c>
    </x:row>
    <x:row r="11">
      <x:c r="A11" s="12" t="inlineStr">
        <x:is>
          <x:t xml:space="preserve">anthropic|claude-4-5-haiku</x:t>
        </x:is>
      </x:c>
      <x:c r="B11" s="12" t="inlineStr">
        <x:is>
          <x:t xml:space="preserve">Anthropic</x:t>
        </x:is>
      </x:c>
      <x:c r="C11" s="12" t="inlineStr">
        <x:is>
          <x:t xml:space="preserve">Claude 4.5 Haiku</x:t>
        </x:is>
      </x:c>
      <x:c r="D11" s="12" t="inlineStr">
        <x:is>
          <x:t xml:space="preserve">2025-10</x:t>
        </x:is>
      </x:c>
      <x:c r="E11" s="12" t="n">
        <x:v>200000</x:v>
      </x:c>
      <x:c r="F11" s="12" t="inlineStr">
        <x:is>
          <x:t xml:space="preserve">2025-07-01</x:t>
        </x:is>
      </x:c>
      <x:c r="G11" s="12" t="inlineStr">
        <x:is>
          <x:t xml:space="preserve">yes</x:t>
        </x:is>
      </x:c>
      <x:c r="H11" s="12" t="inlineStr">
        <x:is>
          <x:t xml:space="preserve">Earliest cutoff generation requested; active providers listed by AA.</x:t>
        </x:is>
      </x:c>
      <x:c r="I11" s="12" t="n"/>
      <x:c r="J11" s="12" t="inlineStr">
        <x:is>
          <x:t xml:space="preserve">https://artificialanalysis.ai/models/releases/claude-4-5-haiku</x:t>
        </x:is>
      </x:c>
    </x:row>
    <x:row r="12">
      <x:c r="A12" s="12" t="inlineStr">
        <x:is>
          <x:t xml:space="preserve">anthropic|claude-opus-4-5</x:t>
        </x:is>
      </x:c>
      <x:c r="B12" s="12" t="inlineStr">
        <x:is>
          <x:t xml:space="preserve">Anthropic</x:t>
        </x:is>
      </x:c>
      <x:c r="C12" s="12" t="inlineStr">
        <x:is>
          <x:t xml:space="preserve">Claude Opus 4.5</x:t>
        </x:is>
      </x:c>
      <x:c r="D12" s="12" t="inlineStr">
        <x:is>
          <x:t xml:space="preserve">2025-11</x:t>
        </x:is>
      </x:c>
      <x:c r="E12" s="12" t="n">
        <x:v>200000</x:v>
      </x:c>
      <x:c r="F12" s="12" t="n"/>
      <x:c r="G12" s="12" t="inlineStr">
        <x:is>
          <x:t xml:space="preserve">yes</x:t>
        </x:is>
      </x:c>
      <x:c r="H12" s="12" t="inlineStr">
        <x:is>
          <x:t xml:space="preserve">One additional Anthropic generation back; active providers listed by AA.</x:t>
        </x:is>
      </x:c>
      <x:c r="I12" s="12" t="n"/>
      <x:c r="J12" s="12" t="inlineStr">
        <x:is>
          <x:t xml:space="preserve">https://artificialanalysis.ai/models/releases/claude-opus-4-5</x:t>
        </x:is>
      </x:c>
    </x:row>
    <x:row r="13">
      <x:c r="A13" s="12" t="inlineStr">
        <x:is>
          <x:t xml:space="preserve">z-ai|glm-5-3-flash</x:t>
        </x:is>
      </x:c>
      <x:c r="B13" s="12" t="inlineStr">
        <x:is>
          <x:t xml:space="preserve">Z AI</x:t>
        </x:is>
      </x:c>
      <x:c r="C13" s="12" t="inlineStr">
        <x:is>
          <x:t xml:space="preserve">GLM-5.3 Flash</x:t>
        </x:is>
      </x:c>
      <x:c r="D13" s="12" t="inlineStr">
        <x:is>
          <x:t xml:space="preserve">2026-08</x:t>
        </x:is>
      </x:c>
      <x:c r="E13" s="12" t="n">
        <x:v>1000000</x:v>
      </x:c>
      <x:c r="F13" s="12" t="n"/>
      <x:c r="G13" s="12" t="inlineStr">
        <x:is>
          <x:t xml:space="preserve">yes</x:t>
        </x:is>
      </x:c>
      <x:c r="H13" s="12" t="n"/>
      <x:c r="I13" s="12" t="n"/>
      <x:c r="J13" s="12" t="inlineStr">
        <x:is>
          <x:t xml:space="preserve">https://artificialanalysis.ai/models/comparisons/glm-5-3-flash-vs-qwen3-8-flash-next</x:t>
        </x:is>
      </x:c>
    </x:row>
    <x:row r="14">
      <x:c r="A14" s="12" t="inlineStr">
        <x:is>
          <x:t xml:space="preserve">alibaba|qwen3-8-flash-next</x:t>
        </x:is>
      </x:c>
      <x:c r="B14" s="12" t="inlineStr">
        <x:is>
          <x:t xml:space="preserve">Alibaba</x:t>
        </x:is>
      </x:c>
      <x:c r="C14" s="12" t="inlineStr">
        <x:is>
          <x:t xml:space="preserve">Qwen3.8-Flash-Next</x:t>
        </x:is>
      </x:c>
      <x:c r="D14" s="12" t="inlineStr">
        <x:is>
          <x:t xml:space="preserve">2026-08</x:t>
        </x:is>
      </x:c>
      <x:c r="E14" s="12" t="n">
        <x:v>256000</x:v>
      </x:c>
      <x:c r="F14" s="12" t="n"/>
      <x:c r="G14" s="12" t="inlineStr">
        <x:is>
          <x:t xml:space="preserve">yes</x:t>
        </x:is>
      </x:c>
      <x:c r="H14" s="12" t="n"/>
      <x:c r="I14" s="12" t="n"/>
      <x:c r="J14" s="12" t="inlineStr">
        <x:is>
          <x:t xml:space="preserve">https://artificialanalysis.ai/models/comparisons/glm-5-3-flash-vs-qwen3-8-flash-next</x:t>
        </x:is>
      </x:c>
    </x:row>
    <x:row r="15">
      <x:c r="A15" s="12" t="inlineStr">
        <x:is>
          <x:t xml:space="preserve">xiaomi|mimo-v2-6-flash</x:t>
        </x:is>
      </x:c>
      <x:c r="B15" s="12" t="inlineStr">
        <x:is>
          <x:t xml:space="preserve">Xiaomi</x:t>
        </x:is>
      </x:c>
      <x:c r="C15" s="12" t="inlineStr">
        <x:is>
          <x:t xml:space="preserve">MiMo-V2.6-Flash</x:t>
        </x:is>
      </x:c>
      <x:c r="D15" s="12" t="inlineStr">
        <x:is>
          <x:t xml:space="preserve">2026-09</x:t>
        </x:is>
      </x:c>
      <x:c r="E15" s="12" t="n">
        <x:v>1000000</x:v>
      </x:c>
      <x:c r="F15" s="12" t="n"/>
      <x:c r="G15" s="12" t="inlineStr">
        <x:is>
          <x:t xml:space="preserve">yes</x:t>
        </x:is>
      </x:c>
      <x:c r="H15" s="12" t="n"/>
      <x:c r="I15" s="12" t="n"/>
      <x:c r="J15" s="12" t="inlineStr">
        <x:is>
          <x:t xml:space="preserve">https://artificialanalysis.ai/models/comparisons/mimo-v2-6-flash-vs-minimax-m3</x:t>
        </x:is>
      </x:c>
    </x:row>
    <x:row r="16">
      <x:c r="A16" s="12" t="inlineStr">
        <x:is>
          <x:t xml:space="preserve">minimax|minimax-m3</x:t>
        </x:is>
      </x:c>
      <x:c r="B16" s="12" t="inlineStr">
        <x:is>
          <x:t xml:space="preserve">MiniMax</x:t>
        </x:is>
      </x:c>
      <x:c r="C16" s="12" t="inlineStr">
        <x:is>
          <x:t xml:space="preserve">MiniMax-M3</x:t>
        </x:is>
      </x:c>
      <x:c r="D16" s="12" t="inlineStr">
        <x:is>
          <x:t xml:space="preserve">2026-06</x:t>
        </x:is>
      </x:c>
      <x:c r="E16" s="12" t="n">
        <x:v>1000000</x:v>
      </x:c>
      <x:c r="F16" s="12" t="n"/>
      <x:c r="G16" s="12" t="inlineStr">
        <x:is>
          <x:t xml:space="preserve">yes</x:t>
        </x:is>
      </x:c>
      <x:c r="H16" s="12" t="n"/>
      <x:c r="I16" s="12" t="n"/>
      <x:c r="J16" s="12" t="inlineStr">
        <x:is>
          <x:t xml:space="preserve">https://artificialanalysis.ai/models/comparisons/mimo-v2-6-flash-vs-minimax-m3</x:t>
        </x:is>
      </x:c>
    </x:row>
    <x:row r="17">
      <x:c r="A17" s="12" t="inlineStr">
        <x:is>
          <x:t xml:space="preserve">meta|muse-spark-1-3</x:t>
        </x:is>
      </x:c>
      <x:c r="B17" s="12" t="inlineStr">
        <x:is>
          <x:t xml:space="preserve">Meta</x:t>
        </x:is>
      </x:c>
      <x:c r="C17" s="12" t="inlineStr">
        <x:is>
          <x:t xml:space="preserve">Muse Spark 1.3</x:t>
        </x:is>
      </x:c>
      <x:c r="D17" s="12" t="inlineStr">
        <x:is>
          <x:t xml:space="preserve">2026-09</x:t>
        </x:is>
      </x:c>
      <x:c r="E17" s="12" t="n">
        <x:v>1000000</x:v>
      </x:c>
      <x:c r="F17" s="12" t="n"/>
      <x:c r="G17" s="12" t="inlineStr">
        <x:is>
          <x:t xml:space="preserve">yes</x:t>
        </x:is>
      </x:c>
      <x:c r="H17" s="12" t="n"/>
      <x:c r="I17" s="12" t="n"/>
      <x:c r="J17" s="12" t="inlineStr">
        <x:is>
          <x:t xml:space="preserve">https://artificialanalysis.ai/models/comparisons/muse-spark-1-3-vs-gemini-3-8-flash</x:t>
        </x:is>
      </x:c>
    </x:row>
    <x:row r="18">
      <x:c r="A18" s="12" t="inlineStr">
        <x:is>
          <x:t xml:space="preserve">google|gemini-3-8-flash</x:t>
        </x:is>
      </x:c>
      <x:c r="B18" s="12" t="inlineStr">
        <x:is>
          <x:t xml:space="preserve">Google</x:t>
        </x:is>
      </x:c>
      <x:c r="C18" s="12" t="inlineStr">
        <x:is>
          <x:t xml:space="preserve">Gemini 3.8 Flash</x:t>
        </x:is>
      </x:c>
      <x:c r="D18" s="12" t="inlineStr">
        <x:is>
          <x:t xml:space="preserve">2026-09</x:t>
        </x:is>
      </x:c>
      <x:c r="E18" s="12" t="n">
        <x:v>1000000</x:v>
      </x:c>
      <x:c r="F18" s="12" t="n"/>
      <x:c r="G18" s="12" t="inlineStr">
        <x:is>
          <x:t xml:space="preserve">yes</x:t>
        </x:is>
      </x:c>
      <x:c r="H18" s="12" t="n"/>
      <x:c r="I18" s="12" t="n"/>
      <x:c r="J18" s="12" t="inlineStr">
        <x:is>
          <x:t xml:space="preserve">https://artificialanalysis.ai/models/comparisons/muse-spark-1-3-vs-gemini-3-8-flash</x:t>
        </x:is>
      </x:c>
    </x:row>
    <x:row r="19">
      <x:c r="A19" s="12" t="inlineStr">
        <x:is>
          <x:t xml:space="preserve">deepseek|deepseek-v4-1-flash</x:t>
        </x:is>
      </x:c>
      <x:c r="B19" s="12" t="inlineStr">
        <x:is>
          <x:t xml:space="preserve">DeepSeek</x:t>
        </x:is>
      </x:c>
      <x:c r="C19" s="12" t="inlineStr">
        <x:is>
          <x:t xml:space="preserve">DeepSeek V4.1 Flash</x:t>
        </x:is>
      </x:c>
      <x:c r="D19" s="12" t="inlineStr">
        <x:is>
          <x:t xml:space="preserve">2026-09</x:t>
        </x:is>
      </x:c>
      <x:c r="E19" s="12" t="n">
        <x:v>1000000</x:v>
      </x:c>
      <x:c r="F19" s="12" t="n"/>
      <x:c r="G19" s="12" t="inlineStr">
        <x:is>
          <x:t xml:space="preserve">yes</x:t>
        </x:is>
      </x:c>
      <x:c r="H19" s="12" t="n"/>
      <x:c r="I19" s="12" t="n"/>
      <x:c r="J19" s="12" t="inlineStr">
        <x:is>
          <x:t xml:space="preserve">https://artificialanalysis.ai/models/deepseek-v4-1-flash</x:t>
        </x:is>
      </x:c>
    </x:row>
    <x:row r="20">
      <x:c r="A20" s="12" t="inlineStr">
        <x:is>
          <x:t xml:space="preserve">z-ai|glm-5-3</x:t>
        </x:is>
      </x:c>
      <x:c r="B20" s="12" t="inlineStr">
        <x:is>
          <x:t xml:space="preserve">Z AI</x:t>
        </x:is>
      </x:c>
      <x:c r="C20" s="12" t="inlineStr">
        <x:is>
          <x:t xml:space="preserve">GLM-5.3</x:t>
        </x:is>
      </x:c>
      <x:c r="D20" s="12" t="inlineStr">
        <x:is>
          <x:t xml:space="preserve">2026-08</x:t>
        </x:is>
      </x:c>
      <x:c r="E20" s="12" t="n">
        <x:v>1000000</x:v>
      </x:c>
      <x:c r="F20" s="12" t="n"/>
      <x:c r="G20" s="12" t="inlineStr">
        <x:is>
          <x:t xml:space="preserve">yes</x:t>
        </x:is>
      </x:c>
      <x:c r="H20" s="12" t="n"/>
      <x:c r="I20" s="12" t="n"/>
      <x:c r="J20" s="12" t="inlineStr">
        <x:is>
          <x:t xml:space="preserve">https://artificialanalysis.ai/models/creators/z-ai</x:t>
        </x:is>
      </x:c>
    </x:row>
    <x:row r="21">
      <x:c r="A21" s="12" t="inlineStr">
        <x:is>
          <x:t xml:space="preserve">alibaba|qwen3-8-max-0902</x:t>
        </x:is>
      </x:c>
      <x:c r="B21" s="12" t="inlineStr">
        <x:is>
          <x:t xml:space="preserve">Alibaba</x:t>
        </x:is>
      </x:c>
      <x:c r="C21" s="12" t="inlineStr">
        <x:is>
          <x:t xml:space="preserve">Qwen3.8 Max 0902</x:t>
        </x:is>
      </x:c>
      <x:c r="D21" s="12" t="inlineStr">
        <x:is>
          <x:t xml:space="preserve">2026-09</x:t>
        </x:is>
      </x:c>
      <x:c r="E21" s="12" t="n">
        <x:v>1000000</x:v>
      </x:c>
      <x:c r="F21" s="12" t="n"/>
      <x:c r="G21" s="12" t="inlineStr">
        <x:is>
          <x:t xml:space="preserve">yes</x:t>
        </x:is>
      </x:c>
      <x:c r="H21" s="12" t="n"/>
      <x:c r="I21" s="12" t="n"/>
      <x:c r="J21" s="12" t="inlineStr">
        <x:is>
          <x:t xml:space="preserve">https://artificialanalysis.ai/models/creators/alibaba</x:t>
        </x:is>
      </x:c>
    </x:row>
    <x:row r="22">
      <x:c r="A22" s="12" t="inlineStr">
        <x:is>
          <x:t xml:space="preserve">alibaba|qwen3-8-27b</x:t>
        </x:is>
      </x:c>
      <x:c r="B22" s="12" t="inlineStr">
        <x:is>
          <x:t xml:space="preserve">Alibaba</x:t>
        </x:is>
      </x:c>
      <x:c r="C22" s="12" t="inlineStr">
        <x:is>
          <x:t xml:space="preserve">Qwen3.8 27B</x:t>
        </x:is>
      </x:c>
      <x:c r="D22" s="12" t="inlineStr">
        <x:is>
          <x:t xml:space="preserve">2026-09</x:t>
        </x:is>
      </x:c>
      <x:c r="E22" s="12" t="n">
        <x:v>262144</x:v>
      </x:c>
      <x:c r="F22" s="12" t="n"/>
      <x:c r="G22" s="12" t="inlineStr">
        <x:is>
          <x:t xml:space="preserve">yes</x:t>
        </x:is>
      </x:c>
      <x:c r="H22" s="12" t="n"/>
      <x:c r="I22" s="12" t="n"/>
      <x:c r="J22" s="12" t="inlineStr">
        <x:is>
          <x:t xml:space="preserve">https://artificialanalysis.ai/models/creators/alibaba</x:t>
        </x:is>
      </x:c>
    </x:row>
    <x:row r="23">
      <x:c r="A23" s="12" t="inlineStr">
        <x:is>
          <x:t xml:space="preserve">kimi|kimi-k3</x:t>
        </x:is>
      </x:c>
      <x:c r="B23" s="12" t="inlineStr">
        <x:is>
          <x:t xml:space="preserve">Kimi</x:t>
        </x:is>
      </x:c>
      <x:c r="C23" s="12" t="inlineStr">
        <x:is>
          <x:t xml:space="preserve">Kimi K3</x:t>
        </x:is>
      </x:c>
      <x:c r="D23" s="12" t="inlineStr">
        <x:is>
          <x:t xml:space="preserve">2026-09</x:t>
        </x:is>
      </x:c>
      <x:c r="E23" s="12" t="n">
        <x:v>1000000</x:v>
      </x:c>
      <x:c r="F23" s="12" t="n"/>
      <x:c r="G23" s="12" t="inlineStr">
        <x:is>
          <x:t xml:space="preserve">yes</x:t>
        </x:is>
      </x:c>
      <x:c r="H23" s="12" t="n"/>
      <x:c r="I23" s="12" t="n"/>
      <x:c r="J23" s="12" t="inlineStr">
        <x:is>
          <x:t xml:space="preserve">https://artificialanalysis.ai/models/comparisons/mimo-v2-6-flash-vs-kimi-k3</x:t>
        </x:is>
      </x:c>
    </x:row>
    <x:row r="24">
      <x:c r="A24" s="12" t="inlineStr">
        <x:is>
          <x:t xml:space="preserve">google|gemini-4-argon</x:t>
        </x:is>
      </x:c>
      <x:c r="B24" s="12" t="inlineStr">
        <x:is>
          <x:t xml:space="preserve">Google</x:t>
        </x:is>
      </x:c>
      <x:c r="C24" s="12" t="inlineStr">
        <x:is>
          <x:t xml:space="preserve">Gemini 4 Argon</x:t>
        </x:is>
      </x:c>
      <x:c r="D24" s="12" t="inlineStr">
        <x:is>
          <x:t xml:space="preserve">2026-09</x:t>
        </x:is>
      </x:c>
      <x:c r="E24" s="12" t="n">
        <x:v>1000000</x:v>
      </x:c>
      <x:c r="F24" s="12" t="n"/>
      <x:c r="G24" s="12" t="inlineStr">
        <x:is>
          <x:t xml:space="preserve">yes</x:t>
        </x:is>
      </x:c>
      <x:c r="H24" s="12" t="n"/>
      <x:c r="I24" s="12" t="n"/>
      <x:c r="J24" s="12" t="inlineStr">
        <x:is>
          <x:t xml:space="preserve">https://ai.google.dev/gemini-api/docs/models/gemini-4-argon</x:t>
        </x:is>
      </x:c>
    </x:row>
    <x:row r="25">
      <x:c r="A25" t="inlineStr">
        <x:is>
          <x:t xml:space="preserve">openai|gpt-6-1-sol</x:t>
        </x:is>
      </x:c>
      <x:c r="B25" t="inlineStr">
        <x:is>
          <x:t xml:space="preserve">OpenAI</x:t>
        </x:is>
      </x:c>
      <x:c r="C25" t="inlineStr">
        <x:is>
          <x:t xml:space="preserve">GPT-6.1 Sol</x:t>
        </x:is>
      </x:c>
      <x:c r="D25" t="inlineStr">
        <x:is>
          <x:t xml:space="preserve">2026-09-29</x:t>
        </x:is>
      </x:c>
      <x:c r="E25" t="n">
        <x:v>1000000</x:v>
      </x:c>
      <x:c r="G25" t="inlineStr">
        <x:is>
          <x:t xml:space="preserve">yes</x:t>
        </x:is>
      </x:c>
      <x:c r="J25" t="inlineStr">
        <x:is>
          <x:t xml:space="preserve">https://openai.com/index/gpt-6-astra/</x:t>
        </x:is>
      </x:c>
    </x:row>
    <x:row r="26">
      <x:c r="A26" t="inlineStr">
        <x:is>
          <x:t xml:space="preserve">anthropic|claude-haiku-5-5</x:t>
        </x:is>
      </x:c>
      <x:c r="B26" t="inlineStr">
        <x:is>
          <x:t xml:space="preserve">Anthropic</x:t>
        </x:is>
      </x:c>
      <x:c r="C26" t="inlineStr">
        <x:is>
          <x:t xml:space="preserve">Claude Haiku 5.5</x:t>
        </x:is>
      </x:c>
      <x:c r="D26" t="inlineStr">
        <x:is>
          <x:t xml:space="preserve">2026-10-07</x:t>
        </x:is>
      </x:c>
      <x:c r="E26" t="n">
        <x:v>1000000</x:v>
      </x:c>
      <x:c r="G26" t="inlineStr">
        <x:is>
          <x:t xml:space="preserve">yes</x:t>
        </x:is>
      </x:c>
      <x:c r="J26" t="inlineStr">
        <x:is>
          <x:t xml:space="preserve">https://www.anthropic.com/claude-haiku-5-5</x:t>
        </x:is>
      </x:c>
    </x:row>
    <x:row r="27">
      <x:c r="A27" t="inlineStr">
        <x:is>
          <x:t xml:space="preserve">mistral|mistral-large-4-preview</x:t>
        </x:is>
      </x:c>
      <x:c r="B27" t="inlineStr">
        <x:is>
          <x:t xml:space="preserve">Mistral</x:t>
        </x:is>
      </x:c>
      <x:c r="C27" t="inlineStr">
        <x:is>
          <x:t xml:space="preserve">Mistral Large 4 Preview</x:t>
        </x:is>
      </x:c>
      <x:c r="D27" t="inlineStr">
        <x:is>
          <x:t xml:space="preserve">2026-10-06</x:t>
        </x:is>
      </x:c>
      <x:c r="E27" t="n">
        <x:v>520000</x:v>
      </x:c>
      <x:c r="G27" t="inlineStr">
        <x:is>
          <x:t xml:space="preserve">limited</x:t>
        </x:is>
      </x:c>
      <x:c r="H27" t="inlineStr">
        <x:is>
          <x:t xml:space="preserve">Public API preview. Artificial Analysis page summary reports 524k while its FAQ rounds to 520k; reconcile in Benchmark_Followups.</x:t>
        </x:is>
      </x:c>
      <x:c r="I27" t="inlineStr">
        <x:is>
          <x:t xml:space="preserve">Mistral planned open-weight release later in October 2026; verify before changing availability.</x:t>
        </x:is>
      </x:c>
      <x:c r="J27" t="inlineStr">
        <x:is>
          <x:t xml:space="preserve">https://mistral.ai/news/mistral-large-4/</x:t>
        </x:is>
      </x:c>
    </x:row>
    <x:row r="28">
      <x:c r="A28" t="inlineStr">
        <x:is>
          <x:t xml:space="preserve">spacexai|grok-4-7</x:t>
        </x:is>
      </x:c>
      <x:c r="B28" t="inlineStr">
        <x:is>
          <x:t xml:space="preserve">SpaceXAI</x:t>
        </x:is>
      </x:c>
      <x:c r="C28" t="inlineStr">
        <x:is>
          <x:t xml:space="preserve">Grok 4.7</x:t>
        </x:is>
      </x:c>
      <x:c r="D28" t="inlineStr">
        <x:is>
          <x:t xml:space="preserve">2026-09-21</x:t>
        </x:is>
      </x:c>
      <x:c r="E28" t="n">
        <x:v>500000</x:v>
      </x:c>
      <x:c r="G28" t="inlineStr">
        <x:is>
          <x:t xml:space="preserve">yes</x:t>
        </x:is>
      </x:c>
      <x:c r="J28" t="inlineStr">
        <x:is>
          <x:t xml:space="preserve">https://x.ai/news/grok-4-7</x:t>
        </x:is>
      </x:c>
    </x:row>
    <x:row r="29">
      <x:c r="A29" t="inlineStr">
        <x:is>
          <x:t xml:space="preserve">upstage|solar-mini-4</x:t>
        </x:is>
      </x:c>
      <x:c r="B29" t="inlineStr">
        <x:is>
          <x:t xml:space="preserve">Upstage</x:t>
        </x:is>
      </x:c>
      <x:c r="C29" t="inlineStr">
        <x:is>
          <x:t xml:space="preserve">Solar Mini 4</x:t>
        </x:is>
      </x:c>
      <x:c r="D29" t="inlineStr">
        <x:is>
          <x:t xml:space="preserve">2026-09-22</x:t>
        </x:is>
      </x:c>
      <x:c r="E29" t="n">
        <x:v>512000</x:v>
      </x:c>
      <x:c r="F29" t="inlineStr">
        <x:is>
          <x:t xml:space="preserve">2026-02</x:t>
        </x:is>
      </x:c>
      <x:c r="G29" t="inlineStr">
        <x:is>
          <x:t xml:space="preserve">yes</x:t>
        </x:is>
      </x:c>
      <x:c r="H29" t="inlineStr">
        <x:is>
          <x:t xml:space="preserve">Official Upstage launch page states 512K context. Artificial Analysis current page states 1M; discrepancy is open in Benchmark_Followups.</x:t>
        </x:is>
      </x:c>
      <x:c r="J29" t="inlineStr">
        <x:is>
          <x:t xml:space="preserve">https://www.upstage.ai/blog/en/solar-mini-4</x:t>
        </x:is>
      </x:c>
    </x:row>
    <x:row r="30">
      <x:c r="A30" t="inlineStr">
        <x:is>
          <x:t xml:space="preserve">xiaomi|mimo-v2-6-pro</x:t>
        </x:is>
      </x:c>
      <x:c r="B30" t="inlineStr">
        <x:is>
          <x:t xml:space="preserve">Xiaomi</x:t>
        </x:is>
      </x:c>
      <x:c r="C30" t="inlineStr">
        <x:is>
          <x:t xml:space="preserve">MiMo-V2.6-Pro</x:t>
        </x:is>
      </x:c>
      <x:c r="D30" t="inlineStr">
        <x:is>
          <x:t xml:space="preserve">2026-09-22</x:t>
        </x:is>
      </x:c>
      <x:c r="G30" t="inlineStr">
        <x:is>
          <x:t xml:space="preserve">yes</x:t>
        </x:is>
      </x:c>
      <x:c r="H30" t="inlineStr">
        <x:is>
          <x:t xml:space="preserve">Released as part of Xiaomi MiMo-V2.6 series. Independent AA model page retrieval failed on 2026-10-11; no score imported.</x:t>
        </x:is>
      </x:c>
      <x:c r="J30" t="inlineStr">
        <x:is>
          <x:t xml:space="preserve">https://mimo.xiaomi.com/mimo-v2-6</x:t>
        </x:is>
      </x:c>
    </x:row>
    <x:row r="31">
      <x:c r="A31" t="inlineStr">
        <x:is>
          <x:t xml:space="preserve">google|gemini-3-8-flash-cyber</x:t>
        </x:is>
      </x:c>
      <x:c r="B31" t="inlineStr">
        <x:is>
          <x:t xml:space="preserve">Google</x:t>
        </x:is>
      </x:c>
      <x:c r="C31" t="inlineStr">
        <x:is>
          <x:t xml:space="preserve">Gemini 3.8 Flash Cyber</x:t>
        </x:is>
      </x:c>
      <x:c r="D31" t="inlineStr">
        <x:is>
          <x:t xml:space="preserve">2026-09-16</x:t>
        </x:is>
      </x:c>
      <x:c r="G31" t="inlineStr">
        <x:is>
          <x:t xml:space="preserve">limited</x:t>
        </x:is>
      </x:c>
      <x:c r="H31" t="inlineStr">
        <x:is>
          <x:t xml:space="preserve">Restricted to trusted defenders through Fairwind; do not treat as generally available.</x:t>
        </x:is>
      </x:c>
      <x:c r="J31" t="inlineStr">
        <x:is>
          <x:t xml:space="preserve">https://docs.cloud.google.com/gemini-enterprise-agent-platform/models/model-versions</x:t>
        </x:is>
      </x:c>
    </x:row>
    <x:row r="32">
      <x:c r="A32" t="inlineStr">
        <x:is>
          <x:t xml:space="preserve">meta|muse-wonder-full</x:t>
        </x:is>
      </x:c>
      <x:c r="B32" t="inlineStr">
        <x:is>
          <x:t xml:space="preserve">Meta</x:t>
        </x:is>
      </x:c>
      <x:c r="C32" t="inlineStr">
        <x:is>
          <x:t xml:space="preserve">Muse Wonder Full</x:t>
        </x:is>
      </x:c>
      <x:c r="D32" t="inlineStr">
        <x:is>
          <x:t xml:space="preserve">2026-10-12</x:t>
        </x:is>
      </x:c>
      <x:c r="E32" t="n">
        <x:v>1000000</x:v>
      </x:c>
      <x:c r="G32" t="inlineStr">
        <x:is>
          <x:t xml:space="preserve">yes</x:t>
        </x:is>
      </x:c>
      <x:c r="J32" t="inlineStr">
        <x:is>
          <x:t xml:space="preserve">https://dev.meta.ai/resources/blog/build-with-muse-wonder</x:t>
        </x:is>
      </x:c>
    </x:row>
    <x:row r="33" s="14" customFormat="1">
      <x:c r="A33" t="inlineStr">
        <x:is>
          <x:t xml:space="preserve">meta|muse-wonder</x:t>
        </x:is>
      </x:c>
      <x:c r="B33" t="inlineStr">
        <x:is>
          <x:t xml:space="preserve">Meta</x:t>
        </x:is>
      </x:c>
      <x:c r="C33" t="inlineStr">
        <x:is>
          <x:t xml:space="preserve">Muse Wonder</x:t>
        </x:is>
      </x:c>
      <x:c r="D33" t="inlineStr">
        <x:is>
          <x:t xml:space="preserve">2026-10-12</x:t>
        </x:is>
      </x:c>
      <x:c r="E33" t="n">
        <x:v>1000000</x:v>
      </x:c>
      <x:c r="G33" t="inlineStr">
        <x:is>
          <x:t xml:space="preserve">yes</x:t>
        </x:is>
      </x:c>
      <x:c r="J33" t="inlineStr">
        <x:is>
          <x:t xml:space="preserve">https://dev.meta.ai/resources/blog/build-with-muse-wonder</x:t>
        </x:is>
      </x:c>
    </x:row>
    <x:row r="34" s="14" customFormat="1">
      <x:c r="A34" t="inlineStr">
        <x:is>
          <x:t xml:space="preserve">deepseek|deepseek-v4-pro-0813</x:t>
        </x:is>
      </x:c>
      <x:c r="B34" t="inlineStr">
        <x:is>
          <x:t xml:space="preserve">DeepSeek</x:t>
        </x:is>
      </x:c>
      <x:c r="C34" t="inlineStr">
        <x:is>
          <x:t xml:space="preserve">DeepSeek V4 Pro 0813</x:t>
        </x:is>
      </x:c>
      <x:c r="G34" t="inlineStr">
        <x:is>
          <x:t xml:space="preserve">yes</x:t>
        </x:is>
      </x:c>
      <x:c r="J34" t="inlineStr">
        <x:is>
          <x:t xml:space="preserve">https://artificialanalysis.ai/models/deepseek-v4-pro-non-reasoning</x:t>
        </x:is>
      </x:c>
    </x:row>
    <x:row r="35" s="14" customFormat="1">
      <x:c r="A35" t="inlineStr">
        <x:is>
          <x:t xml:space="preserve">openai|gpt-5-6-terra</x:t>
        </x:is>
      </x:c>
      <x:c r="B35" t="inlineStr">
        <x:is>
          <x:t xml:space="preserve">OpenAI</x:t>
        </x:is>
      </x:c>
      <x:c r="C35" t="inlineStr">
        <x:is>
          <x:t xml:space="preserve">GPT-5.6 Terra</x:t>
        </x:is>
      </x:c>
      <x:c r="G35" t="inlineStr">
        <x:is>
          <x:t xml:space="preserve">yes</x:t>
        </x:is>
      </x:c>
      <x:c r="J35" t="inlineStr">
        <x:is>
          <x:t xml:space="preserve">https://artificialanalysis.ai/models/gpt-5-6-terra</x:t>
        </x:is>
      </x:c>
    </x:row>
    <x:row r="36" s="14" customFormat="1">
      <x:c r="A36" t="inlineStr">
        <x:is>
          <x:t xml:space="preserve">deepseek|deepseek-v4-flash-0731</x:t>
        </x:is>
      </x:c>
      <x:c r="B36" t="inlineStr">
        <x:is>
          <x:t xml:space="preserve">DeepSeek</x:t>
        </x:is>
      </x:c>
      <x:c r="C36" t="inlineStr">
        <x:is>
          <x:t xml:space="preserve">DeepSeek V4 Flash 0731</x:t>
        </x:is>
      </x:c>
      <x:c r="H36" t="inlineStr">
        <x:is>
          <x:t xml:space="preserve">Coding Agent Index label is V4 Flash 0731; kept separate from current workbook V4.1 Flash. Release/availability metadata not inferred.</x:t>
        </x:is>
      </x:c>
      <x:c r="J36" t="inlineStr">
        <x:is>
          <x:t xml:space="preserve">https://artificialanalysis.ai/agents/coding-agents/comparisons/codex-vs-muse-code</x:t>
        </x:is>
      </x:c>
    </x:row>
    <x:row r="37" s="14" customFormat="1">
      <x:c r="A37" t="inlineStr">
        <x:is>
          <x:t xml:space="preserve">google|gemini-3-1-pro-preview</x:t>
        </x:is>
      </x:c>
      <x:c r="B37" t="inlineStr">
        <x:is>
          <x:t xml:space="preserve">Google</x:t>
        </x:is>
      </x:c>
      <x:c r="C37" t="inlineStr">
        <x:is>
          <x:t xml:space="preserve">Gemini 3.1 Pro Preview</x:t>
        </x:is>
      </x:c>
      <x:c r="D37" t="inlineStr">
        <x:is>
          <x:t xml:space="preserve">2026-02</x:t>
        </x:is>
      </x:c>
      <x:c r="E37" t="n">
        <x:v>1048576</x:v>
      </x:c>
      <x:c r="G37" t="inlineStr">
        <x:is>
          <x:t xml:space="preserve">yes</x:t>
        </x:is>
      </x:c>
      <x:c r="J37" t="inlineStr">
        <x:is>
          <x:t xml:space="preserve">https://ai.google.dev/gemini-api/docs/models/gemini-3.1-pro-preview</x:t>
        </x:is>
      </x:c>
    </x:row>
    <x:row r="38">
      <x:c r="A38" t="inlineStr">
        <x:is>
          <x:t xml:space="preserve">google|gemini-3-5-flash</x:t>
        </x:is>
      </x:c>
      <x:c r="B38" t="inlineStr">
        <x:is>
          <x:t xml:space="preserve">Google</x:t>
        </x:is>
      </x:c>
      <x:c r="C38" t="inlineStr">
        <x:is>
          <x:t xml:space="preserve">Gemini 3.5 Flash</x:t>
        </x:is>
      </x:c>
      <x:c r="D38" t="inlineStr">
        <x:is>
          <x:t xml:space="preserve">2026-05</x:t>
        </x:is>
      </x:c>
      <x:c r="E38" t="n">
        <x:v>1048576</x:v>
      </x:c>
      <x:c r="G38" t="inlineStr">
        <x:is>
          <x:t xml:space="preserve">no</x:t>
        </x:is>
      </x:c>
      <x:c r="H38" t="inlineStr">
        <x:is>
          <x:t xml:space="preserve">Deprecated; Google states API requests to this ID route to Gemini 3.6 Flash.</x:t>
        </x:is>
      </x:c>
      <x:c r="J38" t="inlineStr">
        <x:is>
          <x:t xml:space="preserve">https://ai.google.dev/gemini-api/docs/models/gemini-3.5-flash</x:t>
        </x:is>
      </x:c>
    </x:row>
  </x:sheetData>
  <x:pageMargins left="0.7" right="0.7" top="0.75" bottom="0.75" header="0.3" footer="0.3"/>
</x:worksheet>
</file>

<file path=xl/worksheets/sheet13.xml><?xml version="1.0" encoding="utf-8"?>
<x:worksheet xmlns:x="http://schemas.openxmlformats.org/spreadsheetml/2006/main">
  <x:sheetFormatPr baseColWidth="8" defaultRowHeight="15"/>
  <x:cols>
    <x:col min="1" max="1" width="46" style="14" customWidth="1"/>
    <x:col min="2" max="2" width="46" style="14" customWidth="1"/>
    <x:col min="3" max="3" width="18" style="14" customWidth="1"/>
    <x:col min="4" max="4" width="18" style="14" customWidth="1"/>
    <x:col min="5" max="5" width="18" style="14" customWidth="1"/>
    <x:col min="6" max="6" width="18" style="14" customWidth="1"/>
    <x:col min="7" max="7" width="18" style="14" customWidth="1"/>
  </x:cols>
  <x:sheetData>
    <x:row r="1">
      <x:c r="A1" s="6" t="inlineStr">
        <x:is>
          <x:t xml:space="preserve">model_variant_key</x:t>
        </x:is>
      </x:c>
      <x:c r="B1" s="6" t="inlineStr">
        <x:is>
          <x:t xml:space="preserve">model_key</x:t>
        </x:is>
      </x:c>
      <x:c r="C1" s="6" t="inlineStr">
        <x:is>
          <x:t xml:space="preserve">effort</x:t>
        </x:is>
      </x:c>
      <x:c r="D1" s="6" t="inlineStr">
        <x:is>
          <x:t xml:space="preserve">reasoning</x:t>
        </x:is>
      </x:c>
      <x:c r="E1" s="6" t="inlineStr">
        <x:is>
          <x:t xml:space="preserve">fallback</x:t>
        </x:is>
      </x:c>
      <x:c r="F1" s="6" t="inlineStr">
        <x:is>
          <x:t xml:space="preserve">currently_available</x:t>
        </x:is>
      </x:c>
      <x:c r="G1" s="6" t="inlineStr">
        <x:is>
          <x:t xml:space="preserve">release_date</x:t>
        </x:is>
      </x:c>
    </x:row>
    <x:row r="2">
      <x:c r="A2" t="inlineStr">
        <x:is>
          <x:t xml:space="preserve">openai|gpt-6-luna|non-reasoning|nonreasoning|fallback-na</x:t>
        </x:is>
      </x:c>
      <x:c r="B2" t="inlineStr">
        <x:is>
          <x:t xml:space="preserve">openai|gpt-6-luna</x:t>
        </x:is>
      </x:c>
      <x:c r="C2" t="inlineStr">
        <x:is>
          <x:t xml:space="preserve">non-reasoning</x:t>
        </x:is>
      </x:c>
      <x:c r="D2" t="inlineStr">
        <x:is>
          <x:t xml:space="preserve">no</x:t>
        </x:is>
      </x:c>
      <x:c r="F2" t="inlineStr">
        <x:is>
          <x:t xml:space="preserve">yes</x:t>
        </x:is>
      </x:c>
      <x:c r="G2" t="inlineStr">
        <x:is>
          <x:t xml:space="preserve">2026-09</x:t>
        </x:is>
      </x:c>
    </x:row>
    <x:row r="3">
      <x:c r="A3" t="inlineStr">
        <x:is>
          <x:t xml:space="preserve">openai|gpt-6-luna|low|reasoning|fallback-na</x:t>
        </x:is>
      </x:c>
      <x:c r="B3" t="inlineStr">
        <x:is>
          <x:t xml:space="preserve">openai|gpt-6-luna</x:t>
        </x:is>
      </x:c>
      <x:c r="C3" t="inlineStr">
        <x:is>
          <x:t xml:space="preserve">low</x:t>
        </x:is>
      </x:c>
      <x:c r="D3" t="inlineStr">
        <x:is>
          <x:t xml:space="preserve">yes</x:t>
        </x:is>
      </x:c>
      <x:c r="F3" t="inlineStr">
        <x:is>
          <x:t xml:space="preserve">yes</x:t>
        </x:is>
      </x:c>
      <x:c r="G3" t="inlineStr">
        <x:is>
          <x:t xml:space="preserve">2026-09</x:t>
        </x:is>
      </x:c>
    </x:row>
    <x:row r="4">
      <x:c r="A4" t="inlineStr">
        <x:is>
          <x:t xml:space="preserve">openai|gpt-6-luna|medium|reasoning|fallback-na</x:t>
        </x:is>
      </x:c>
      <x:c r="B4" t="inlineStr">
        <x:is>
          <x:t xml:space="preserve">openai|gpt-6-luna</x:t>
        </x:is>
      </x:c>
      <x:c r="C4" t="inlineStr">
        <x:is>
          <x:t xml:space="preserve">medium</x:t>
        </x:is>
      </x:c>
      <x:c r="D4" t="inlineStr">
        <x:is>
          <x:t xml:space="preserve">yes</x:t>
        </x:is>
      </x:c>
      <x:c r="F4" t="inlineStr">
        <x:is>
          <x:t xml:space="preserve">yes</x:t>
        </x:is>
      </x:c>
      <x:c r="G4" t="inlineStr">
        <x:is>
          <x:t xml:space="preserve">2026-09</x:t>
        </x:is>
      </x:c>
    </x:row>
    <x:row r="5">
      <x:c r="A5" t="inlineStr">
        <x:is>
          <x:t xml:space="preserve">openai|gpt-6-luna|high|reasoning|fallback-na</x:t>
        </x:is>
      </x:c>
      <x:c r="B5" t="inlineStr">
        <x:is>
          <x:t xml:space="preserve">openai|gpt-6-luna</x:t>
        </x:is>
      </x:c>
      <x:c r="C5" t="inlineStr">
        <x:is>
          <x:t xml:space="preserve">high</x:t>
        </x:is>
      </x:c>
      <x:c r="D5" t="inlineStr">
        <x:is>
          <x:t xml:space="preserve">yes</x:t>
        </x:is>
      </x:c>
      <x:c r="F5" t="inlineStr">
        <x:is>
          <x:t xml:space="preserve">yes</x:t>
        </x:is>
      </x:c>
      <x:c r="G5" t="inlineStr">
        <x:is>
          <x:t xml:space="preserve">2026-09</x:t>
        </x:is>
      </x:c>
    </x:row>
    <x:row r="6">
      <x:c r="A6" t="inlineStr">
        <x:is>
          <x:t xml:space="preserve">openai|gpt-6-luna|xhigh|reasoning|fallback-na</x:t>
        </x:is>
      </x:c>
      <x:c r="B6" t="inlineStr">
        <x:is>
          <x:t xml:space="preserve">openai|gpt-6-luna</x:t>
        </x:is>
      </x:c>
      <x:c r="C6" t="inlineStr">
        <x:is>
          <x:t xml:space="preserve">xhigh</x:t>
        </x:is>
      </x:c>
      <x:c r="D6" t="inlineStr">
        <x:is>
          <x:t xml:space="preserve">yes</x:t>
        </x:is>
      </x:c>
      <x:c r="F6" t="inlineStr">
        <x:is>
          <x:t xml:space="preserve">yes</x:t>
        </x:is>
      </x:c>
      <x:c r="G6" t="inlineStr">
        <x:is>
          <x:t xml:space="preserve">2026-09</x:t>
        </x:is>
      </x:c>
    </x:row>
    <x:row r="7">
      <x:c r="A7" t="inlineStr">
        <x:is>
          <x:t xml:space="preserve">openai|gpt-6-luna|max|reasoning|fallback-na</x:t>
        </x:is>
      </x:c>
      <x:c r="B7" t="inlineStr">
        <x:is>
          <x:t xml:space="preserve">openai|gpt-6-luna</x:t>
        </x:is>
      </x:c>
      <x:c r="C7" t="inlineStr">
        <x:is>
          <x:t xml:space="preserve">max</x:t>
        </x:is>
      </x:c>
      <x:c r="D7" t="inlineStr">
        <x:is>
          <x:t xml:space="preserve">yes</x:t>
        </x:is>
      </x:c>
      <x:c r="F7" t="inlineStr">
        <x:is>
          <x:t xml:space="preserve">yes</x:t>
        </x:is>
      </x:c>
      <x:c r="G7" t="inlineStr">
        <x:is>
          <x:t xml:space="preserve">2026-09</x:t>
        </x:is>
      </x:c>
    </x:row>
    <x:row r="8">
      <x:c r="A8" t="inlineStr">
        <x:is>
          <x:t xml:space="preserve">openai|gpt-6-sol|non-reasoning|nonreasoning|fallback-na</x:t>
        </x:is>
      </x:c>
      <x:c r="B8" t="inlineStr">
        <x:is>
          <x:t xml:space="preserve">openai|gpt-6-sol</x:t>
        </x:is>
      </x:c>
      <x:c r="C8" t="inlineStr">
        <x:is>
          <x:t xml:space="preserve">non-reasoning</x:t>
        </x:is>
      </x:c>
      <x:c r="D8" t="inlineStr">
        <x:is>
          <x:t xml:space="preserve">no</x:t>
        </x:is>
      </x:c>
      <x:c r="F8" t="inlineStr">
        <x:is>
          <x:t xml:space="preserve">yes</x:t>
        </x:is>
      </x:c>
      <x:c r="G8" t="inlineStr">
        <x:is>
          <x:t xml:space="preserve">2026-09</x:t>
        </x:is>
      </x:c>
    </x:row>
    <x:row r="9">
      <x:c r="A9" t="inlineStr">
        <x:is>
          <x:t xml:space="preserve">openai|gpt-6-sol|low|reasoning|fallback-na</x:t>
        </x:is>
      </x:c>
      <x:c r="B9" t="inlineStr">
        <x:is>
          <x:t xml:space="preserve">openai|gpt-6-sol</x:t>
        </x:is>
      </x:c>
      <x:c r="C9" t="inlineStr">
        <x:is>
          <x:t xml:space="preserve">low</x:t>
        </x:is>
      </x:c>
      <x:c r="D9" t="inlineStr">
        <x:is>
          <x:t xml:space="preserve">yes</x:t>
        </x:is>
      </x:c>
      <x:c r="F9" t="inlineStr">
        <x:is>
          <x:t xml:space="preserve">yes</x:t>
        </x:is>
      </x:c>
      <x:c r="G9" t="inlineStr">
        <x:is>
          <x:t xml:space="preserve">2026-09</x:t>
        </x:is>
      </x:c>
    </x:row>
    <x:row r="10">
      <x:c r="A10" t="inlineStr">
        <x:is>
          <x:t xml:space="preserve">openai|gpt-6-sol|medium|reasoning|fallback-na</x:t>
        </x:is>
      </x:c>
      <x:c r="B10" t="inlineStr">
        <x:is>
          <x:t xml:space="preserve">openai|gpt-6-sol</x:t>
        </x:is>
      </x:c>
      <x:c r="C10" t="inlineStr">
        <x:is>
          <x:t xml:space="preserve">medium</x:t>
        </x:is>
      </x:c>
      <x:c r="D10" t="inlineStr">
        <x:is>
          <x:t xml:space="preserve">yes</x:t>
        </x:is>
      </x:c>
      <x:c r="F10" t="inlineStr">
        <x:is>
          <x:t xml:space="preserve">yes</x:t>
        </x:is>
      </x:c>
      <x:c r="G10" t="inlineStr">
        <x:is>
          <x:t xml:space="preserve">2026-09</x:t>
        </x:is>
      </x:c>
    </x:row>
    <x:row r="11">
      <x:c r="A11" t="inlineStr">
        <x:is>
          <x:t xml:space="preserve">openai|gpt-6-sol|high|reasoning|fallback-na</x:t>
        </x:is>
      </x:c>
      <x:c r="B11" t="inlineStr">
        <x:is>
          <x:t xml:space="preserve">openai|gpt-6-sol</x:t>
        </x:is>
      </x:c>
      <x:c r="C11" t="inlineStr">
        <x:is>
          <x:t xml:space="preserve">high</x:t>
        </x:is>
      </x:c>
      <x:c r="D11" t="inlineStr">
        <x:is>
          <x:t xml:space="preserve">yes</x:t>
        </x:is>
      </x:c>
      <x:c r="F11" t="inlineStr">
        <x:is>
          <x:t xml:space="preserve">yes</x:t>
        </x:is>
      </x:c>
      <x:c r="G11" t="inlineStr">
        <x:is>
          <x:t xml:space="preserve">2026-09</x:t>
        </x:is>
      </x:c>
    </x:row>
    <x:row r="12">
      <x:c r="A12" t="inlineStr">
        <x:is>
          <x:t xml:space="preserve">openai|gpt-6-sol|xhigh|reasoning|fallback-na</x:t>
        </x:is>
      </x:c>
      <x:c r="B12" t="inlineStr">
        <x:is>
          <x:t xml:space="preserve">openai|gpt-6-sol</x:t>
        </x:is>
      </x:c>
      <x:c r="C12" t="inlineStr">
        <x:is>
          <x:t xml:space="preserve">xhigh</x:t>
        </x:is>
      </x:c>
      <x:c r="D12" t="inlineStr">
        <x:is>
          <x:t xml:space="preserve">yes</x:t>
        </x:is>
      </x:c>
      <x:c r="F12" t="inlineStr">
        <x:is>
          <x:t xml:space="preserve">yes</x:t>
        </x:is>
      </x:c>
      <x:c r="G12" t="inlineStr">
        <x:is>
          <x:t xml:space="preserve">2026-09</x:t>
        </x:is>
      </x:c>
    </x:row>
    <x:row r="13">
      <x:c r="A13" t="inlineStr">
        <x:is>
          <x:t xml:space="preserve">openai|gpt-6-sol|max|reasoning|fallback-na</x:t>
        </x:is>
      </x:c>
      <x:c r="B13" t="inlineStr">
        <x:is>
          <x:t xml:space="preserve">openai|gpt-6-sol</x:t>
        </x:is>
      </x:c>
      <x:c r="C13" t="inlineStr">
        <x:is>
          <x:t xml:space="preserve">max</x:t>
        </x:is>
      </x:c>
      <x:c r="D13" t="inlineStr">
        <x:is>
          <x:t xml:space="preserve">yes</x:t>
        </x:is>
      </x:c>
      <x:c r="F13" t="inlineStr">
        <x:is>
          <x:t xml:space="preserve">yes</x:t>
        </x:is>
      </x:c>
      <x:c r="G13" t="inlineStr">
        <x:is>
          <x:t xml:space="preserve">2026-09</x:t>
        </x:is>
      </x:c>
    </x:row>
    <x:row r="14">
      <x:c r="A14" t="inlineStr">
        <x:is>
          <x:t xml:space="preserve">openai|gpt-6-astra|low|reasoning|fallback-na</x:t>
        </x:is>
      </x:c>
      <x:c r="B14" t="inlineStr">
        <x:is>
          <x:t xml:space="preserve">openai|gpt-6-astra</x:t>
        </x:is>
      </x:c>
      <x:c r="C14" t="inlineStr">
        <x:is>
          <x:t xml:space="preserve">low</x:t>
        </x:is>
      </x:c>
      <x:c r="D14" t="inlineStr">
        <x:is>
          <x:t xml:space="preserve">yes</x:t>
        </x:is>
      </x:c>
      <x:c r="F14" t="inlineStr">
        <x:is>
          <x:t xml:space="preserve">yes</x:t>
        </x:is>
      </x:c>
      <x:c r="G14" t="inlineStr">
        <x:is>
          <x:t xml:space="preserve">2026-09</x:t>
        </x:is>
      </x:c>
    </x:row>
    <x:row r="15">
      <x:c r="A15" t="inlineStr">
        <x:is>
          <x:t xml:space="preserve">openai|gpt-6-astra|medium|reasoning|fallback-na</x:t>
        </x:is>
      </x:c>
      <x:c r="B15" t="inlineStr">
        <x:is>
          <x:t xml:space="preserve">openai|gpt-6-astra</x:t>
        </x:is>
      </x:c>
      <x:c r="C15" t="inlineStr">
        <x:is>
          <x:t xml:space="preserve">medium</x:t>
        </x:is>
      </x:c>
      <x:c r="D15" t="inlineStr">
        <x:is>
          <x:t xml:space="preserve">yes</x:t>
        </x:is>
      </x:c>
      <x:c r="F15" t="inlineStr">
        <x:is>
          <x:t xml:space="preserve">yes</x:t>
        </x:is>
      </x:c>
      <x:c r="G15" t="inlineStr">
        <x:is>
          <x:t xml:space="preserve">2026-09</x:t>
        </x:is>
      </x:c>
    </x:row>
    <x:row r="16">
      <x:c r="A16" t="inlineStr">
        <x:is>
          <x:t xml:space="preserve">openai|gpt-6-astra|high|reasoning|fallback-na</x:t>
        </x:is>
      </x:c>
      <x:c r="B16" t="inlineStr">
        <x:is>
          <x:t xml:space="preserve">openai|gpt-6-astra</x:t>
        </x:is>
      </x:c>
      <x:c r="C16" t="inlineStr">
        <x:is>
          <x:t xml:space="preserve">high</x:t>
        </x:is>
      </x:c>
      <x:c r="D16" t="inlineStr">
        <x:is>
          <x:t xml:space="preserve">yes</x:t>
        </x:is>
      </x:c>
      <x:c r="F16" t="inlineStr">
        <x:is>
          <x:t xml:space="preserve">yes</x:t>
        </x:is>
      </x:c>
      <x:c r="G16" t="inlineStr">
        <x:is>
          <x:t xml:space="preserve">2026-09</x:t>
        </x:is>
      </x:c>
    </x:row>
    <x:row r="17">
      <x:c r="A17" t="inlineStr">
        <x:is>
          <x:t xml:space="preserve">openai|gpt-6-astra|xhigh|reasoning|fallback-na</x:t>
        </x:is>
      </x:c>
      <x:c r="B17" t="inlineStr">
        <x:is>
          <x:t xml:space="preserve">openai|gpt-6-astra</x:t>
        </x:is>
      </x:c>
      <x:c r="C17" t="inlineStr">
        <x:is>
          <x:t xml:space="preserve">xhigh</x:t>
        </x:is>
      </x:c>
      <x:c r="D17" t="inlineStr">
        <x:is>
          <x:t xml:space="preserve">yes</x:t>
        </x:is>
      </x:c>
      <x:c r="F17" t="inlineStr">
        <x:is>
          <x:t xml:space="preserve">yes</x:t>
        </x:is>
      </x:c>
      <x:c r="G17" t="inlineStr">
        <x:is>
          <x:t xml:space="preserve">2026-09</x:t>
        </x:is>
      </x:c>
    </x:row>
    <x:row r="18">
      <x:c r="A18" t="inlineStr">
        <x:is>
          <x:t xml:space="preserve">openai|gpt-6-astra|max|reasoning|fallback-na</x:t>
        </x:is>
      </x:c>
      <x:c r="B18" t="inlineStr">
        <x:is>
          <x:t xml:space="preserve">openai|gpt-6-astra</x:t>
        </x:is>
      </x:c>
      <x:c r="C18" t="inlineStr">
        <x:is>
          <x:t xml:space="preserve">max</x:t>
        </x:is>
      </x:c>
      <x:c r="D18" t="inlineStr">
        <x:is>
          <x:t xml:space="preserve">yes</x:t>
        </x:is>
      </x:c>
      <x:c r="F18" t="inlineStr">
        <x:is>
          <x:t xml:space="preserve">yes</x:t>
        </x:is>
      </x:c>
      <x:c r="G18" t="inlineStr">
        <x:is>
          <x:t xml:space="preserve">2026-09</x:t>
        </x:is>
      </x:c>
    </x:row>
    <x:row r="19">
      <x:c r="A19" t="inlineStr">
        <x:is>
          <x:t xml:space="preserve">openai|gpt-5.6-luna|non-reasoning|nonreasoning|fallback-na</x:t>
        </x:is>
      </x:c>
      <x:c r="B19" t="inlineStr">
        <x:is>
          <x:t xml:space="preserve">openai|gpt-5-6-luna</x:t>
        </x:is>
      </x:c>
      <x:c r="C19" t="inlineStr">
        <x:is>
          <x:t xml:space="preserve">non-reasoning</x:t>
        </x:is>
      </x:c>
      <x:c r="D19" t="inlineStr">
        <x:is>
          <x:t xml:space="preserve">no</x:t>
        </x:is>
      </x:c>
      <x:c r="F19" t="inlineStr">
        <x:is>
          <x:t xml:space="preserve">yes</x:t>
        </x:is>
      </x:c>
      <x:c r="G19" t="inlineStr">
        <x:is>
          <x:t xml:space="preserve">2026-07</x:t>
        </x:is>
      </x:c>
    </x:row>
    <x:row r="20">
      <x:c r="A20" t="inlineStr">
        <x:is>
          <x:t xml:space="preserve">openai|gpt-5.6-luna|low|reasoning|fallback-na</x:t>
        </x:is>
      </x:c>
      <x:c r="B20" t="inlineStr">
        <x:is>
          <x:t xml:space="preserve">openai|gpt-5-6-luna</x:t>
        </x:is>
      </x:c>
      <x:c r="C20" t="inlineStr">
        <x:is>
          <x:t xml:space="preserve">low</x:t>
        </x:is>
      </x:c>
      <x:c r="D20" t="inlineStr">
        <x:is>
          <x:t xml:space="preserve">yes</x:t>
        </x:is>
      </x:c>
      <x:c r="F20" t="inlineStr">
        <x:is>
          <x:t xml:space="preserve">yes</x:t>
        </x:is>
      </x:c>
      <x:c r="G20" t="inlineStr">
        <x:is>
          <x:t xml:space="preserve">2026-07</x:t>
        </x:is>
      </x:c>
    </x:row>
    <x:row r="21">
      <x:c r="A21" t="inlineStr">
        <x:is>
          <x:t xml:space="preserve">openai|gpt-5.6-luna|medium|reasoning|fallback-na</x:t>
        </x:is>
      </x:c>
      <x:c r="B21" t="inlineStr">
        <x:is>
          <x:t xml:space="preserve">openai|gpt-5-6-luna</x:t>
        </x:is>
      </x:c>
      <x:c r="C21" t="inlineStr">
        <x:is>
          <x:t xml:space="preserve">medium</x:t>
        </x:is>
      </x:c>
      <x:c r="D21" t="inlineStr">
        <x:is>
          <x:t xml:space="preserve">yes</x:t>
        </x:is>
      </x:c>
      <x:c r="F21" t="inlineStr">
        <x:is>
          <x:t xml:space="preserve">yes</x:t>
        </x:is>
      </x:c>
      <x:c r="G21" t="inlineStr">
        <x:is>
          <x:t xml:space="preserve">2026-07</x:t>
        </x:is>
      </x:c>
    </x:row>
    <x:row r="22">
      <x:c r="A22" t="inlineStr">
        <x:is>
          <x:t xml:space="preserve">openai|gpt-5.6-luna|high|reasoning|fallback-na</x:t>
        </x:is>
      </x:c>
      <x:c r="B22" t="inlineStr">
        <x:is>
          <x:t xml:space="preserve">openai|gpt-5-6-luna</x:t>
        </x:is>
      </x:c>
      <x:c r="C22" t="inlineStr">
        <x:is>
          <x:t xml:space="preserve">high</x:t>
        </x:is>
      </x:c>
      <x:c r="D22" t="inlineStr">
        <x:is>
          <x:t xml:space="preserve">yes</x:t>
        </x:is>
      </x:c>
      <x:c r="F22" t="inlineStr">
        <x:is>
          <x:t xml:space="preserve">yes</x:t>
        </x:is>
      </x:c>
      <x:c r="G22" t="inlineStr">
        <x:is>
          <x:t xml:space="preserve">2026-07</x:t>
        </x:is>
      </x:c>
    </x:row>
    <x:row r="23">
      <x:c r="A23" t="inlineStr">
        <x:is>
          <x:t xml:space="preserve">openai|gpt-5.6-luna|xhigh|reasoning|fallback-na</x:t>
        </x:is>
      </x:c>
      <x:c r="B23" t="inlineStr">
        <x:is>
          <x:t xml:space="preserve">openai|gpt-5-6-luna</x:t>
        </x:is>
      </x:c>
      <x:c r="C23" t="inlineStr">
        <x:is>
          <x:t xml:space="preserve">xhigh</x:t>
        </x:is>
      </x:c>
      <x:c r="D23" t="inlineStr">
        <x:is>
          <x:t xml:space="preserve">yes</x:t>
        </x:is>
      </x:c>
      <x:c r="F23" t="inlineStr">
        <x:is>
          <x:t xml:space="preserve">yes</x:t>
        </x:is>
      </x:c>
      <x:c r="G23" t="inlineStr">
        <x:is>
          <x:t xml:space="preserve">2026-07</x:t>
        </x:is>
      </x:c>
    </x:row>
    <x:row r="24">
      <x:c r="A24" t="inlineStr">
        <x:is>
          <x:t xml:space="preserve">openai|gpt-5.6-luna|max|reasoning|fallback-na</x:t>
        </x:is>
      </x:c>
      <x:c r="B24" t="inlineStr">
        <x:is>
          <x:t xml:space="preserve">openai|gpt-5-6-luna</x:t>
        </x:is>
      </x:c>
      <x:c r="C24" t="inlineStr">
        <x:is>
          <x:t xml:space="preserve">max</x:t>
        </x:is>
      </x:c>
      <x:c r="D24" t="inlineStr">
        <x:is>
          <x:t xml:space="preserve">yes</x:t>
        </x:is>
      </x:c>
      <x:c r="F24" t="inlineStr">
        <x:is>
          <x:t xml:space="preserve">yes</x:t>
        </x:is>
      </x:c>
      <x:c r="G24" t="inlineStr">
        <x:is>
          <x:t xml:space="preserve">2026-07</x:t>
        </x:is>
      </x:c>
    </x:row>
    <x:row r="25">
      <x:c r="A25" t="inlineStr">
        <x:is>
          <x:t xml:space="preserve">openai|gpt-5.6-sol|non-reasoning|nonreasoning|fallback-na</x:t>
        </x:is>
      </x:c>
      <x:c r="B25" t="inlineStr">
        <x:is>
          <x:t xml:space="preserve">openai|gpt-5-6-sol</x:t>
        </x:is>
      </x:c>
      <x:c r="C25" t="inlineStr">
        <x:is>
          <x:t xml:space="preserve">non-reasoning</x:t>
        </x:is>
      </x:c>
      <x:c r="D25" t="inlineStr">
        <x:is>
          <x:t xml:space="preserve">no</x:t>
        </x:is>
      </x:c>
      <x:c r="F25" t="inlineStr">
        <x:is>
          <x:t xml:space="preserve">yes</x:t>
        </x:is>
      </x:c>
      <x:c r="G25" t="inlineStr">
        <x:is>
          <x:t xml:space="preserve">2026-07</x:t>
        </x:is>
      </x:c>
    </x:row>
    <x:row r="26">
      <x:c r="A26" t="inlineStr">
        <x:is>
          <x:t xml:space="preserve">openai|gpt-5.6-sol|low|reasoning|fallback-na</x:t>
        </x:is>
      </x:c>
      <x:c r="B26" t="inlineStr">
        <x:is>
          <x:t xml:space="preserve">openai|gpt-5-6-sol</x:t>
        </x:is>
      </x:c>
      <x:c r="C26" t="inlineStr">
        <x:is>
          <x:t xml:space="preserve">low</x:t>
        </x:is>
      </x:c>
      <x:c r="D26" t="inlineStr">
        <x:is>
          <x:t xml:space="preserve">yes</x:t>
        </x:is>
      </x:c>
      <x:c r="F26" t="inlineStr">
        <x:is>
          <x:t xml:space="preserve">yes</x:t>
        </x:is>
      </x:c>
      <x:c r="G26" t="inlineStr">
        <x:is>
          <x:t xml:space="preserve">2026-07</x:t>
        </x:is>
      </x:c>
    </x:row>
    <x:row r="27">
      <x:c r="A27" t="inlineStr">
        <x:is>
          <x:t xml:space="preserve">openai|gpt-5.6-sol|medium|reasoning|fallback-na</x:t>
        </x:is>
      </x:c>
      <x:c r="B27" t="inlineStr">
        <x:is>
          <x:t xml:space="preserve">openai|gpt-5-6-sol</x:t>
        </x:is>
      </x:c>
      <x:c r="C27" t="inlineStr">
        <x:is>
          <x:t xml:space="preserve">medium</x:t>
        </x:is>
      </x:c>
      <x:c r="D27" t="inlineStr">
        <x:is>
          <x:t xml:space="preserve">yes</x:t>
        </x:is>
      </x:c>
      <x:c r="F27" t="inlineStr">
        <x:is>
          <x:t xml:space="preserve">yes</x:t>
        </x:is>
      </x:c>
      <x:c r="G27" t="inlineStr">
        <x:is>
          <x:t xml:space="preserve">2026-07</x:t>
        </x:is>
      </x:c>
    </x:row>
    <x:row r="28">
      <x:c r="A28" t="inlineStr">
        <x:is>
          <x:t xml:space="preserve">openai|gpt-5.6-sol|high|reasoning|fallback-na</x:t>
        </x:is>
      </x:c>
      <x:c r="B28" t="inlineStr">
        <x:is>
          <x:t xml:space="preserve">openai|gpt-5-6-sol</x:t>
        </x:is>
      </x:c>
      <x:c r="C28" t="inlineStr">
        <x:is>
          <x:t xml:space="preserve">high</x:t>
        </x:is>
      </x:c>
      <x:c r="D28" t="inlineStr">
        <x:is>
          <x:t xml:space="preserve">yes</x:t>
        </x:is>
      </x:c>
      <x:c r="F28" t="inlineStr">
        <x:is>
          <x:t xml:space="preserve">yes</x:t>
        </x:is>
      </x:c>
      <x:c r="G28" t="inlineStr">
        <x:is>
          <x:t xml:space="preserve">2026-07</x:t>
        </x:is>
      </x:c>
    </x:row>
    <x:row r="29">
      <x:c r="A29" t="inlineStr">
        <x:is>
          <x:t xml:space="preserve">openai|gpt-5.6-sol|xhigh|reasoning|fallback-na</x:t>
        </x:is>
      </x:c>
      <x:c r="B29" t="inlineStr">
        <x:is>
          <x:t xml:space="preserve">openai|gpt-5-6-sol</x:t>
        </x:is>
      </x:c>
      <x:c r="C29" t="inlineStr">
        <x:is>
          <x:t xml:space="preserve">xhigh</x:t>
        </x:is>
      </x:c>
      <x:c r="D29" t="inlineStr">
        <x:is>
          <x:t xml:space="preserve">yes</x:t>
        </x:is>
      </x:c>
      <x:c r="F29" t="inlineStr">
        <x:is>
          <x:t xml:space="preserve">yes</x:t>
        </x:is>
      </x:c>
      <x:c r="G29" t="inlineStr">
        <x:is>
          <x:t xml:space="preserve">2026-07</x:t>
        </x:is>
      </x:c>
    </x:row>
    <x:row r="30">
      <x:c r="A30" t="inlineStr">
        <x:is>
          <x:t xml:space="preserve">openai|gpt-5.6-sol|max|reasoning|fallback-na</x:t>
        </x:is>
      </x:c>
      <x:c r="B30" t="inlineStr">
        <x:is>
          <x:t xml:space="preserve">openai|gpt-5-6-sol</x:t>
        </x:is>
      </x:c>
      <x:c r="C30" t="inlineStr">
        <x:is>
          <x:t xml:space="preserve">max</x:t>
        </x:is>
      </x:c>
      <x:c r="D30" t="inlineStr">
        <x:is>
          <x:t xml:space="preserve">yes</x:t>
        </x:is>
      </x:c>
      <x:c r="F30" t="inlineStr">
        <x:is>
          <x:t xml:space="preserve">yes</x:t>
        </x:is>
      </x:c>
      <x:c r="G30" t="inlineStr">
        <x:is>
          <x:t xml:space="preserve">2026-07</x:t>
        </x:is>
      </x:c>
    </x:row>
    <x:row r="31">
      <x:c r="A31" t="inlineStr">
        <x:is>
          <x:t xml:space="preserve">anthropic|claude-sonnet-5.5|low|reasoning|fallback-true</x:t>
        </x:is>
      </x:c>
      <x:c r="B31" t="inlineStr">
        <x:is>
          <x:t xml:space="preserve">anthropic|claude-sonnet-5-5</x:t>
        </x:is>
      </x:c>
      <x:c r="C31" t="inlineStr">
        <x:is>
          <x:t xml:space="preserve">low</x:t>
        </x:is>
      </x:c>
      <x:c r="D31" t="inlineStr">
        <x:is>
          <x:t xml:space="preserve">yes</x:t>
        </x:is>
      </x:c>
      <x:c r="E31" t="b">
        <x:v>1</x:v>
      </x:c>
      <x:c r="F31" t="inlineStr">
        <x:is>
          <x:t xml:space="preserve">yes</x:t>
        </x:is>
      </x:c>
      <x:c r="G31" t="inlineStr">
        <x:is>
          <x:t xml:space="preserve">2026-09-28</x:t>
        </x:is>
      </x:c>
    </x:row>
    <x:row r="32">
      <x:c r="A32" t="inlineStr">
        <x:is>
          <x:t xml:space="preserve">anthropic|claude-sonnet-5.5|medium|reasoning|fallback-true</x:t>
        </x:is>
      </x:c>
      <x:c r="B32" t="inlineStr">
        <x:is>
          <x:t xml:space="preserve">anthropic|claude-sonnet-5-5</x:t>
        </x:is>
      </x:c>
      <x:c r="C32" t="inlineStr">
        <x:is>
          <x:t xml:space="preserve">medium</x:t>
        </x:is>
      </x:c>
      <x:c r="D32" t="inlineStr">
        <x:is>
          <x:t xml:space="preserve">yes</x:t>
        </x:is>
      </x:c>
      <x:c r="E32" t="b">
        <x:v>1</x:v>
      </x:c>
      <x:c r="F32" t="inlineStr">
        <x:is>
          <x:t xml:space="preserve">yes</x:t>
        </x:is>
      </x:c>
      <x:c r="G32" t="inlineStr">
        <x:is>
          <x:t xml:space="preserve">2026-09-28</x:t>
        </x:is>
      </x:c>
    </x:row>
    <x:row r="33">
      <x:c r="A33" t="inlineStr">
        <x:is>
          <x:t xml:space="preserve">anthropic|claude-sonnet-5.5|high|reasoning|fallback-true</x:t>
        </x:is>
      </x:c>
      <x:c r="B33" t="inlineStr">
        <x:is>
          <x:t xml:space="preserve">anthropic|claude-sonnet-5-5</x:t>
        </x:is>
      </x:c>
      <x:c r="C33" t="inlineStr">
        <x:is>
          <x:t xml:space="preserve">high</x:t>
        </x:is>
      </x:c>
      <x:c r="D33" t="inlineStr">
        <x:is>
          <x:t xml:space="preserve">yes</x:t>
        </x:is>
      </x:c>
      <x:c r="E33" t="b">
        <x:v>1</x:v>
      </x:c>
      <x:c r="F33" t="inlineStr">
        <x:is>
          <x:t xml:space="preserve">yes</x:t>
        </x:is>
      </x:c>
      <x:c r="G33" t="inlineStr">
        <x:is>
          <x:t xml:space="preserve">2026-09-28</x:t>
        </x:is>
      </x:c>
    </x:row>
    <x:row r="34">
      <x:c r="A34" t="inlineStr">
        <x:is>
          <x:t xml:space="preserve">anthropic|claude-sonnet-5.5|xhigh|reasoning|fallback-true</x:t>
        </x:is>
      </x:c>
      <x:c r="B34" t="inlineStr">
        <x:is>
          <x:t xml:space="preserve">anthropic|claude-sonnet-5-5</x:t>
        </x:is>
      </x:c>
      <x:c r="C34" t="inlineStr">
        <x:is>
          <x:t xml:space="preserve">xhigh</x:t>
        </x:is>
      </x:c>
      <x:c r="D34" t="inlineStr">
        <x:is>
          <x:t xml:space="preserve">yes</x:t>
        </x:is>
      </x:c>
      <x:c r="E34" t="b">
        <x:v>1</x:v>
      </x:c>
      <x:c r="F34" t="inlineStr">
        <x:is>
          <x:t xml:space="preserve">yes</x:t>
        </x:is>
      </x:c>
      <x:c r="G34" t="inlineStr">
        <x:is>
          <x:t xml:space="preserve">2026-09-28</x:t>
        </x:is>
      </x:c>
    </x:row>
    <x:row r="35">
      <x:c r="A35" t="inlineStr">
        <x:is>
          <x:t xml:space="preserve">anthropic|claude-sonnet-5.5|max|reasoning|fallback-true</x:t>
        </x:is>
      </x:c>
      <x:c r="B35" t="inlineStr">
        <x:is>
          <x:t xml:space="preserve">anthropic|claude-sonnet-5-5</x:t>
        </x:is>
      </x:c>
      <x:c r="C35" t="inlineStr">
        <x:is>
          <x:t xml:space="preserve">max</x:t>
        </x:is>
      </x:c>
      <x:c r="D35" t="inlineStr">
        <x:is>
          <x:t xml:space="preserve">yes</x:t>
        </x:is>
      </x:c>
      <x:c r="E35" t="b">
        <x:v>1</x:v>
      </x:c>
      <x:c r="F35" t="inlineStr">
        <x:is>
          <x:t xml:space="preserve">yes</x:t>
        </x:is>
      </x:c>
      <x:c r="G35" t="inlineStr">
        <x:is>
          <x:t xml:space="preserve">2026-09-28</x:t>
        </x:is>
      </x:c>
    </x:row>
    <x:row r="36">
      <x:c r="A36" t="inlineStr">
        <x:is>
          <x:t xml:space="preserve">anthropic|claude-opus-5.5|low|reasoning|fallback-true</x:t>
        </x:is>
      </x:c>
      <x:c r="B36" t="inlineStr">
        <x:is>
          <x:t xml:space="preserve">anthropic|claude-opus-5-5</x:t>
        </x:is>
      </x:c>
      <x:c r="C36" t="inlineStr">
        <x:is>
          <x:t xml:space="preserve">low</x:t>
        </x:is>
      </x:c>
      <x:c r="D36" t="inlineStr">
        <x:is>
          <x:t xml:space="preserve">yes</x:t>
        </x:is>
      </x:c>
      <x:c r="E36" t="b">
        <x:v>1</x:v>
      </x:c>
      <x:c r="F36" t="inlineStr">
        <x:is>
          <x:t xml:space="preserve">yes</x:t>
        </x:is>
      </x:c>
      <x:c r="G36" t="inlineStr">
        <x:is>
          <x:t xml:space="preserve">2026-09</x:t>
        </x:is>
      </x:c>
    </x:row>
    <x:row r="37">
      <x:c r="A37" t="inlineStr">
        <x:is>
          <x:t xml:space="preserve">anthropic|claude-opus-5.5|medium|reasoning|fallback-true</x:t>
        </x:is>
      </x:c>
      <x:c r="B37" t="inlineStr">
        <x:is>
          <x:t xml:space="preserve">anthropic|claude-opus-5-5</x:t>
        </x:is>
      </x:c>
      <x:c r="C37" t="inlineStr">
        <x:is>
          <x:t xml:space="preserve">medium</x:t>
        </x:is>
      </x:c>
      <x:c r="D37" t="inlineStr">
        <x:is>
          <x:t xml:space="preserve">yes</x:t>
        </x:is>
      </x:c>
      <x:c r="E37" t="b">
        <x:v>1</x:v>
      </x:c>
      <x:c r="F37" t="inlineStr">
        <x:is>
          <x:t xml:space="preserve">yes</x:t>
        </x:is>
      </x:c>
      <x:c r="G37" t="inlineStr">
        <x:is>
          <x:t xml:space="preserve">2026-09</x:t>
        </x:is>
      </x:c>
    </x:row>
    <x:row r="38">
      <x:c r="A38" t="inlineStr">
        <x:is>
          <x:t xml:space="preserve">anthropic|claude-opus-5.5|high|reasoning|fallback-true</x:t>
        </x:is>
      </x:c>
      <x:c r="B38" t="inlineStr">
        <x:is>
          <x:t xml:space="preserve">anthropic|claude-opus-5-5</x:t>
        </x:is>
      </x:c>
      <x:c r="C38" t="inlineStr">
        <x:is>
          <x:t xml:space="preserve">high</x:t>
        </x:is>
      </x:c>
      <x:c r="D38" t="inlineStr">
        <x:is>
          <x:t xml:space="preserve">yes</x:t>
        </x:is>
      </x:c>
      <x:c r="E38" t="b">
        <x:v>1</x:v>
      </x:c>
      <x:c r="F38" t="inlineStr">
        <x:is>
          <x:t xml:space="preserve">yes</x:t>
        </x:is>
      </x:c>
      <x:c r="G38" t="inlineStr">
        <x:is>
          <x:t xml:space="preserve">2026-09</x:t>
        </x:is>
      </x:c>
    </x:row>
    <x:row r="39">
      <x:c r="A39" t="inlineStr">
        <x:is>
          <x:t xml:space="preserve">anthropic|claude-opus-5.5|xhigh|reasoning|fallback-true</x:t>
        </x:is>
      </x:c>
      <x:c r="B39" t="inlineStr">
        <x:is>
          <x:t xml:space="preserve">anthropic|claude-opus-5-5</x:t>
        </x:is>
      </x:c>
      <x:c r="C39" t="inlineStr">
        <x:is>
          <x:t xml:space="preserve">xhigh</x:t>
        </x:is>
      </x:c>
      <x:c r="D39" t="inlineStr">
        <x:is>
          <x:t xml:space="preserve">yes</x:t>
        </x:is>
      </x:c>
      <x:c r="E39" t="b">
        <x:v>1</x:v>
      </x:c>
      <x:c r="F39" t="inlineStr">
        <x:is>
          <x:t xml:space="preserve">yes</x:t>
        </x:is>
      </x:c>
      <x:c r="G39" t="inlineStr">
        <x:is>
          <x:t xml:space="preserve">2026-09</x:t>
        </x:is>
      </x:c>
    </x:row>
    <x:row r="40">
      <x:c r="A40" t="inlineStr">
        <x:is>
          <x:t xml:space="preserve">anthropic|claude-opus-5.5|max|reasoning|fallback-true</x:t>
        </x:is>
      </x:c>
      <x:c r="B40" t="inlineStr">
        <x:is>
          <x:t xml:space="preserve">anthropic|claude-opus-5-5</x:t>
        </x:is>
      </x:c>
      <x:c r="C40" t="inlineStr">
        <x:is>
          <x:t xml:space="preserve">max</x:t>
        </x:is>
      </x:c>
      <x:c r="D40" t="inlineStr">
        <x:is>
          <x:t xml:space="preserve">yes</x:t>
        </x:is>
      </x:c>
      <x:c r="E40" t="b">
        <x:v>1</x:v>
      </x:c>
      <x:c r="F40" t="inlineStr">
        <x:is>
          <x:t xml:space="preserve">yes</x:t>
        </x:is>
      </x:c>
      <x:c r="G40" t="inlineStr">
        <x:is>
          <x:t xml:space="preserve">2026-09</x:t>
        </x:is>
      </x:c>
    </x:row>
    <x:row r="41">
      <x:c r="A41" t="inlineStr">
        <x:is>
          <x:t xml:space="preserve">anthropic|claude-opus-5|low|reasoning|fallback-na</x:t>
        </x:is>
      </x:c>
      <x:c r="B41" t="inlineStr">
        <x:is>
          <x:t xml:space="preserve">anthropic|claude-opus-5</x:t>
        </x:is>
      </x:c>
      <x:c r="C41" t="inlineStr">
        <x:is>
          <x:t xml:space="preserve">low</x:t>
        </x:is>
      </x:c>
      <x:c r="D41" t="inlineStr">
        <x:is>
          <x:t xml:space="preserve">yes</x:t>
        </x:is>
      </x:c>
      <x:c r="F41" t="inlineStr">
        <x:is>
          <x:t xml:space="preserve">yes</x:t>
        </x:is>
      </x:c>
      <x:c r="G41" t="inlineStr">
        <x:is>
          <x:t xml:space="preserve">2026-07</x:t>
        </x:is>
      </x:c>
    </x:row>
    <x:row r="42">
      <x:c r="A42" t="inlineStr">
        <x:is>
          <x:t xml:space="preserve">anthropic|claude-opus-5|medium|reasoning|fallback-na</x:t>
        </x:is>
      </x:c>
      <x:c r="B42" t="inlineStr">
        <x:is>
          <x:t xml:space="preserve">anthropic|claude-opus-5</x:t>
        </x:is>
      </x:c>
      <x:c r="C42" t="inlineStr">
        <x:is>
          <x:t xml:space="preserve">medium</x:t>
        </x:is>
      </x:c>
      <x:c r="D42" t="inlineStr">
        <x:is>
          <x:t xml:space="preserve">yes</x:t>
        </x:is>
      </x:c>
      <x:c r="F42" t="inlineStr">
        <x:is>
          <x:t xml:space="preserve">yes</x:t>
        </x:is>
      </x:c>
      <x:c r="G42" t="inlineStr">
        <x:is>
          <x:t xml:space="preserve">2026-07</x:t>
        </x:is>
      </x:c>
    </x:row>
    <x:row r="43">
      <x:c r="A43" t="inlineStr">
        <x:is>
          <x:t xml:space="preserve">anthropic|claude-opus-5|high|reasoning|fallback-na</x:t>
        </x:is>
      </x:c>
      <x:c r="B43" t="inlineStr">
        <x:is>
          <x:t xml:space="preserve">anthropic|claude-opus-5</x:t>
        </x:is>
      </x:c>
      <x:c r="C43" t="inlineStr">
        <x:is>
          <x:t xml:space="preserve">high</x:t>
        </x:is>
      </x:c>
      <x:c r="D43" t="inlineStr">
        <x:is>
          <x:t xml:space="preserve">yes</x:t>
        </x:is>
      </x:c>
      <x:c r="F43" t="inlineStr">
        <x:is>
          <x:t xml:space="preserve">yes</x:t>
        </x:is>
      </x:c>
      <x:c r="G43" t="inlineStr">
        <x:is>
          <x:t xml:space="preserve">2026-07</x:t>
        </x:is>
      </x:c>
    </x:row>
    <x:row r="44">
      <x:c r="A44" t="inlineStr">
        <x:is>
          <x:t xml:space="preserve">anthropic|claude-opus-5|xhigh|reasoning|fallback-na</x:t>
        </x:is>
      </x:c>
      <x:c r="B44" t="inlineStr">
        <x:is>
          <x:t xml:space="preserve">anthropic|claude-opus-5</x:t>
        </x:is>
      </x:c>
      <x:c r="C44" t="inlineStr">
        <x:is>
          <x:t xml:space="preserve">xhigh</x:t>
        </x:is>
      </x:c>
      <x:c r="D44" t="inlineStr">
        <x:is>
          <x:t xml:space="preserve">yes</x:t>
        </x:is>
      </x:c>
      <x:c r="F44" t="inlineStr">
        <x:is>
          <x:t xml:space="preserve">yes</x:t>
        </x:is>
      </x:c>
      <x:c r="G44" t="inlineStr">
        <x:is>
          <x:t xml:space="preserve">2026-07</x:t>
        </x:is>
      </x:c>
    </x:row>
    <x:row r="45">
      <x:c r="A45" t="inlineStr">
        <x:is>
          <x:t xml:space="preserve">anthropic|claude-opus-5|max|reasoning|fallback-na</x:t>
        </x:is>
      </x:c>
      <x:c r="B45" t="inlineStr">
        <x:is>
          <x:t xml:space="preserve">anthropic|claude-opus-5</x:t>
        </x:is>
      </x:c>
      <x:c r="C45" t="inlineStr">
        <x:is>
          <x:t xml:space="preserve">max</x:t>
        </x:is>
      </x:c>
      <x:c r="D45" t="inlineStr">
        <x:is>
          <x:t xml:space="preserve">yes</x:t>
        </x:is>
      </x:c>
      <x:c r="F45" t="inlineStr">
        <x:is>
          <x:t xml:space="preserve">yes</x:t>
        </x:is>
      </x:c>
      <x:c r="G45" t="inlineStr">
        <x:is>
          <x:t xml:space="preserve">2026-07</x:t>
        </x:is>
      </x:c>
    </x:row>
    <x:row r="46">
      <x:c r="A46" t="inlineStr">
        <x:is>
          <x:t xml:space="preserve">anthropic|claude-sonnet-5|non-reasoning|nonreasoning|fallback-na</x:t>
        </x:is>
      </x:c>
      <x:c r="B46" t="inlineStr">
        <x:is>
          <x:t xml:space="preserve">anthropic|claude-sonnet-5</x:t>
        </x:is>
      </x:c>
      <x:c r="C46" t="inlineStr">
        <x:is>
          <x:t xml:space="preserve">non-reasoning</x:t>
        </x:is>
      </x:c>
      <x:c r="D46" t="inlineStr">
        <x:is>
          <x:t xml:space="preserve">no</x:t>
        </x:is>
      </x:c>
      <x:c r="F46" t="inlineStr">
        <x:is>
          <x:t xml:space="preserve">yes</x:t>
        </x:is>
      </x:c>
      <x:c r="G46" t="inlineStr">
        <x:is>
          <x:t xml:space="preserve">2026-06</x:t>
        </x:is>
      </x:c>
    </x:row>
    <x:row r="47">
      <x:c r="A47" t="inlineStr">
        <x:is>
          <x:t xml:space="preserve">anthropic|claude-sonnet-5|low|reasoning|fallback-na</x:t>
        </x:is>
      </x:c>
      <x:c r="B47" t="inlineStr">
        <x:is>
          <x:t xml:space="preserve">anthropic|claude-sonnet-5</x:t>
        </x:is>
      </x:c>
      <x:c r="C47" t="inlineStr">
        <x:is>
          <x:t xml:space="preserve">low</x:t>
        </x:is>
      </x:c>
      <x:c r="D47" t="inlineStr">
        <x:is>
          <x:t xml:space="preserve">yes</x:t>
        </x:is>
      </x:c>
      <x:c r="F47" t="inlineStr">
        <x:is>
          <x:t xml:space="preserve">yes</x:t>
        </x:is>
      </x:c>
      <x:c r="G47" t="inlineStr">
        <x:is>
          <x:t xml:space="preserve">2026-06</x:t>
        </x:is>
      </x:c>
    </x:row>
    <x:row r="48">
      <x:c r="A48" t="inlineStr">
        <x:is>
          <x:t xml:space="preserve">anthropic|claude-sonnet-5|medium|reasoning|fallback-na</x:t>
        </x:is>
      </x:c>
      <x:c r="B48" t="inlineStr">
        <x:is>
          <x:t xml:space="preserve">anthropic|claude-sonnet-5</x:t>
        </x:is>
      </x:c>
      <x:c r="C48" t="inlineStr">
        <x:is>
          <x:t xml:space="preserve">medium</x:t>
        </x:is>
      </x:c>
      <x:c r="D48" t="inlineStr">
        <x:is>
          <x:t xml:space="preserve">yes</x:t>
        </x:is>
      </x:c>
      <x:c r="F48" t="inlineStr">
        <x:is>
          <x:t xml:space="preserve">yes</x:t>
        </x:is>
      </x:c>
      <x:c r="G48" t="inlineStr">
        <x:is>
          <x:t xml:space="preserve">2026-06</x:t>
        </x:is>
      </x:c>
    </x:row>
    <x:row r="49">
      <x:c r="A49" t="inlineStr">
        <x:is>
          <x:t xml:space="preserve">anthropic|claude-sonnet-5|high|reasoning|fallback-na</x:t>
        </x:is>
      </x:c>
      <x:c r="B49" t="inlineStr">
        <x:is>
          <x:t xml:space="preserve">anthropic|claude-sonnet-5</x:t>
        </x:is>
      </x:c>
      <x:c r="C49" t="inlineStr">
        <x:is>
          <x:t xml:space="preserve">high</x:t>
        </x:is>
      </x:c>
      <x:c r="D49" t="inlineStr">
        <x:is>
          <x:t xml:space="preserve">yes</x:t>
        </x:is>
      </x:c>
      <x:c r="F49" t="inlineStr">
        <x:is>
          <x:t xml:space="preserve">yes</x:t>
        </x:is>
      </x:c>
      <x:c r="G49" t="inlineStr">
        <x:is>
          <x:t xml:space="preserve">2026-06</x:t>
        </x:is>
      </x:c>
    </x:row>
    <x:row r="50">
      <x:c r="A50" t="inlineStr">
        <x:is>
          <x:t xml:space="preserve">anthropic|claude-sonnet-5|xhigh|reasoning|fallback-na</x:t>
        </x:is>
      </x:c>
      <x:c r="B50" t="inlineStr">
        <x:is>
          <x:t xml:space="preserve">anthropic|claude-sonnet-5</x:t>
        </x:is>
      </x:c>
      <x:c r="C50" t="inlineStr">
        <x:is>
          <x:t xml:space="preserve">xhigh</x:t>
        </x:is>
      </x:c>
      <x:c r="D50" t="inlineStr">
        <x:is>
          <x:t xml:space="preserve">yes</x:t>
        </x:is>
      </x:c>
      <x:c r="F50" t="inlineStr">
        <x:is>
          <x:t xml:space="preserve">yes</x:t>
        </x:is>
      </x:c>
      <x:c r="G50" t="inlineStr">
        <x:is>
          <x:t xml:space="preserve">2026-06</x:t>
        </x:is>
      </x:c>
    </x:row>
    <x:row r="51">
      <x:c r="A51" t="inlineStr">
        <x:is>
          <x:t xml:space="preserve">anthropic|claude-sonnet-5|max|reasoning|fallback-na</x:t>
        </x:is>
      </x:c>
      <x:c r="B51" t="inlineStr">
        <x:is>
          <x:t xml:space="preserve">anthropic|claude-sonnet-5</x:t>
        </x:is>
      </x:c>
      <x:c r="C51" t="inlineStr">
        <x:is>
          <x:t xml:space="preserve">max</x:t>
        </x:is>
      </x:c>
      <x:c r="D51" t="inlineStr">
        <x:is>
          <x:t xml:space="preserve">yes</x:t>
        </x:is>
      </x:c>
      <x:c r="F51" t="inlineStr">
        <x:is>
          <x:t xml:space="preserve">yes</x:t>
        </x:is>
      </x:c>
      <x:c r="G51" t="inlineStr">
        <x:is>
          <x:t xml:space="preserve">2026-06</x:t>
        </x:is>
      </x:c>
    </x:row>
    <x:row r="52">
      <x:c r="A52" t="inlineStr">
        <x:is>
          <x:t xml:space="preserve">anthropic|claude-4.5-haiku|non-reasoning|nonreasoning|fallback-na</x:t>
        </x:is>
      </x:c>
      <x:c r="B52" t="inlineStr">
        <x:is>
          <x:t xml:space="preserve">anthropic|claude-4-5-haiku</x:t>
        </x:is>
      </x:c>
      <x:c r="C52" t="inlineStr">
        <x:is>
          <x:t xml:space="preserve">non-reasoning</x:t>
        </x:is>
      </x:c>
      <x:c r="D52" t="inlineStr">
        <x:is>
          <x:t xml:space="preserve">no</x:t>
        </x:is>
      </x:c>
      <x:c r="F52" t="inlineStr">
        <x:is>
          <x:t xml:space="preserve">yes</x:t>
        </x:is>
      </x:c>
      <x:c r="G52" t="inlineStr">
        <x:is>
          <x:t xml:space="preserve">2025-10</x:t>
        </x:is>
      </x:c>
    </x:row>
    <x:row r="53">
      <x:c r="A53" t="inlineStr">
        <x:is>
          <x:t xml:space="preserve">anthropic|claude-4.5-haiku|reasoning|reasoning|fallback-na</x:t>
        </x:is>
      </x:c>
      <x:c r="B53" t="inlineStr">
        <x:is>
          <x:t xml:space="preserve">anthropic|claude-4-5-haiku</x:t>
        </x:is>
      </x:c>
      <x:c r="C53" t="inlineStr">
        <x:is>
          <x:t xml:space="preserve">reasoning</x:t>
        </x:is>
      </x:c>
      <x:c r="D53" t="inlineStr">
        <x:is>
          <x:t xml:space="preserve">yes</x:t>
        </x:is>
      </x:c>
      <x:c r="F53" t="inlineStr">
        <x:is>
          <x:t xml:space="preserve">yes</x:t>
        </x:is>
      </x:c>
      <x:c r="G53" t="inlineStr">
        <x:is>
          <x:t xml:space="preserve">2025-10</x:t>
        </x:is>
      </x:c>
    </x:row>
    <x:row r="54">
      <x:c r="A54" t="inlineStr">
        <x:is>
          <x:t xml:space="preserve">anthropic|claude-opus-4.5|non-reasoning|nonreasoning|fallback-na</x:t>
        </x:is>
      </x:c>
      <x:c r="B54" t="inlineStr">
        <x:is>
          <x:t xml:space="preserve">anthropic|claude-opus-4-5</x:t>
        </x:is>
      </x:c>
      <x:c r="C54" t="inlineStr">
        <x:is>
          <x:t xml:space="preserve">non-reasoning</x:t>
        </x:is>
      </x:c>
      <x:c r="D54" t="inlineStr">
        <x:is>
          <x:t xml:space="preserve">no</x:t>
        </x:is>
      </x:c>
      <x:c r="F54" t="inlineStr">
        <x:is>
          <x:t xml:space="preserve">yes</x:t>
        </x:is>
      </x:c>
      <x:c r="G54" t="inlineStr">
        <x:is>
          <x:t xml:space="preserve">2025-11</x:t>
        </x:is>
      </x:c>
    </x:row>
    <x:row r="55">
      <x:c r="A55" t="inlineStr">
        <x:is>
          <x:t xml:space="preserve">anthropic|claude-opus-4.5|reasoning|reasoning|fallback-na</x:t>
        </x:is>
      </x:c>
      <x:c r="B55" t="inlineStr">
        <x:is>
          <x:t xml:space="preserve">anthropic|claude-opus-4-5</x:t>
        </x:is>
      </x:c>
      <x:c r="C55" t="inlineStr">
        <x:is>
          <x:t xml:space="preserve">reasoning</x:t>
        </x:is>
      </x:c>
      <x:c r="D55" t="inlineStr">
        <x:is>
          <x:t xml:space="preserve">yes</x:t>
        </x:is>
      </x:c>
      <x:c r="F55" t="inlineStr">
        <x:is>
          <x:t xml:space="preserve">yes</x:t>
        </x:is>
      </x:c>
      <x:c r="G55" t="inlineStr">
        <x:is>
          <x:t xml:space="preserve">2025-11</x:t>
        </x:is>
      </x:c>
    </x:row>
    <x:row r="56">
      <x:c r="A56" t="inlineStr">
        <x:is>
          <x:t xml:space="preserve">z-ai|glm-5.3-flash|reasoning|reasoning|fallback-na</x:t>
        </x:is>
      </x:c>
      <x:c r="B56" t="inlineStr">
        <x:is>
          <x:t xml:space="preserve">z-ai|glm-5-3-flash</x:t>
        </x:is>
      </x:c>
      <x:c r="C56" t="inlineStr">
        <x:is>
          <x:t xml:space="preserve">reasoning</x:t>
        </x:is>
      </x:c>
      <x:c r="D56" t="inlineStr">
        <x:is>
          <x:t xml:space="preserve">yes</x:t>
        </x:is>
      </x:c>
      <x:c r="F56" t="inlineStr">
        <x:is>
          <x:t xml:space="preserve">yes</x:t>
        </x:is>
      </x:c>
      <x:c r="G56" t="inlineStr">
        <x:is>
          <x:t xml:space="preserve">2026-08</x:t>
        </x:is>
      </x:c>
    </x:row>
    <x:row r="57">
      <x:c r="A57" t="inlineStr">
        <x:is>
          <x:t xml:space="preserve">alibaba|qwen3.8-flash-next|reasoning|reasoning|fallback-na</x:t>
        </x:is>
      </x:c>
      <x:c r="B57" t="inlineStr">
        <x:is>
          <x:t xml:space="preserve">alibaba|qwen3-8-flash-next</x:t>
        </x:is>
      </x:c>
      <x:c r="C57" t="inlineStr">
        <x:is>
          <x:t xml:space="preserve">reasoning</x:t>
        </x:is>
      </x:c>
      <x:c r="D57" t="inlineStr">
        <x:is>
          <x:t xml:space="preserve">yes</x:t>
        </x:is>
      </x:c>
      <x:c r="F57" t="inlineStr">
        <x:is>
          <x:t xml:space="preserve">yes</x:t>
        </x:is>
      </x:c>
      <x:c r="G57" t="inlineStr">
        <x:is>
          <x:t xml:space="preserve">2026-08</x:t>
        </x:is>
      </x:c>
    </x:row>
    <x:row r="58">
      <x:c r="A58" t="inlineStr">
        <x:is>
          <x:t xml:space="preserve">xiaomi|mimo-v2.6-flash|reasoning|reasoning|fallback-na</x:t>
        </x:is>
      </x:c>
      <x:c r="B58" t="inlineStr">
        <x:is>
          <x:t xml:space="preserve">xiaomi|mimo-v2-6-flash</x:t>
        </x:is>
      </x:c>
      <x:c r="C58" t="inlineStr">
        <x:is>
          <x:t xml:space="preserve">reasoning</x:t>
        </x:is>
      </x:c>
      <x:c r="D58" t="inlineStr">
        <x:is>
          <x:t xml:space="preserve">yes</x:t>
        </x:is>
      </x:c>
      <x:c r="F58" t="inlineStr">
        <x:is>
          <x:t xml:space="preserve">yes</x:t>
        </x:is>
      </x:c>
      <x:c r="G58" t="inlineStr">
        <x:is>
          <x:t xml:space="preserve">2026-09</x:t>
        </x:is>
      </x:c>
    </x:row>
    <x:row r="59">
      <x:c r="A59" t="inlineStr">
        <x:is>
          <x:t xml:space="preserve">minimax|minimax-m3|reasoning|reasoning|fallback-na</x:t>
        </x:is>
      </x:c>
      <x:c r="B59" t="inlineStr">
        <x:is>
          <x:t xml:space="preserve">minimax|minimax-m3</x:t>
        </x:is>
      </x:c>
      <x:c r="C59" t="inlineStr">
        <x:is>
          <x:t xml:space="preserve">reasoning</x:t>
        </x:is>
      </x:c>
      <x:c r="D59" t="inlineStr">
        <x:is>
          <x:t xml:space="preserve">yes</x:t>
        </x:is>
      </x:c>
      <x:c r="F59" t="inlineStr">
        <x:is>
          <x:t xml:space="preserve">yes</x:t>
        </x:is>
      </x:c>
      <x:c r="G59" t="inlineStr">
        <x:is>
          <x:t xml:space="preserve">2026-06</x:t>
        </x:is>
      </x:c>
    </x:row>
    <x:row r="60">
      <x:c r="A60" t="inlineStr">
        <x:is>
          <x:t xml:space="preserve">meta|muse-spark-1.3|xhigh|reasoning|fallback-na</x:t>
        </x:is>
      </x:c>
      <x:c r="B60" t="inlineStr">
        <x:is>
          <x:t xml:space="preserve">meta|muse-spark-1-3</x:t>
        </x:is>
      </x:c>
      <x:c r="C60" t="inlineStr">
        <x:is>
          <x:t xml:space="preserve">xhigh</x:t>
        </x:is>
      </x:c>
      <x:c r="D60" t="inlineStr">
        <x:is>
          <x:t xml:space="preserve">yes</x:t>
        </x:is>
      </x:c>
      <x:c r="F60" t="inlineStr">
        <x:is>
          <x:t xml:space="preserve">yes</x:t>
        </x:is>
      </x:c>
      <x:c r="G60" t="inlineStr">
        <x:is>
          <x:t xml:space="preserve">2026-09</x:t>
        </x:is>
      </x:c>
    </x:row>
    <x:row r="61">
      <x:c r="A61" t="inlineStr">
        <x:is>
          <x:t xml:space="preserve">meta|muse-spark-1.3|max|reasoning|fallback-na</x:t>
        </x:is>
      </x:c>
      <x:c r="B61" t="inlineStr">
        <x:is>
          <x:t xml:space="preserve">meta|muse-spark-1-3</x:t>
        </x:is>
      </x:c>
      <x:c r="C61" t="inlineStr">
        <x:is>
          <x:t xml:space="preserve">max</x:t>
        </x:is>
      </x:c>
      <x:c r="D61" t="inlineStr">
        <x:is>
          <x:t xml:space="preserve">yes</x:t>
        </x:is>
      </x:c>
      <x:c r="F61" t="inlineStr">
        <x:is>
          <x:t xml:space="preserve">yes</x:t>
        </x:is>
      </x:c>
      <x:c r="G61" t="inlineStr">
        <x:is>
          <x:t xml:space="preserve">2026-09</x:t>
        </x:is>
      </x:c>
    </x:row>
    <x:row r="62">
      <x:c r="A62" t="inlineStr">
        <x:is>
          <x:t xml:space="preserve">google|gemini-3.8-flash|low|reasoning|fallback-na</x:t>
        </x:is>
      </x:c>
      <x:c r="B62" t="inlineStr">
        <x:is>
          <x:t xml:space="preserve">google|gemini-3-8-flash</x:t>
        </x:is>
      </x:c>
      <x:c r="C62" t="inlineStr">
        <x:is>
          <x:t xml:space="preserve">low</x:t>
        </x:is>
      </x:c>
      <x:c r="D62" t="inlineStr">
        <x:is>
          <x:t xml:space="preserve">yes</x:t>
        </x:is>
      </x:c>
      <x:c r="F62" t="inlineStr">
        <x:is>
          <x:t xml:space="preserve">yes</x:t>
        </x:is>
      </x:c>
      <x:c r="G62" t="inlineStr">
        <x:is>
          <x:t xml:space="preserve">2026-09</x:t>
        </x:is>
      </x:c>
    </x:row>
    <x:row r="63">
      <x:c r="A63" t="inlineStr">
        <x:is>
          <x:t xml:space="preserve">google|gemini-3.8-flash|medium|reasoning|fallback-na</x:t>
        </x:is>
      </x:c>
      <x:c r="B63" t="inlineStr">
        <x:is>
          <x:t xml:space="preserve">google|gemini-3-8-flash</x:t>
        </x:is>
      </x:c>
      <x:c r="C63" t="inlineStr">
        <x:is>
          <x:t xml:space="preserve">medium</x:t>
        </x:is>
      </x:c>
      <x:c r="D63" t="inlineStr">
        <x:is>
          <x:t xml:space="preserve">yes</x:t>
        </x:is>
      </x:c>
      <x:c r="F63" t="inlineStr">
        <x:is>
          <x:t xml:space="preserve">yes</x:t>
        </x:is>
      </x:c>
      <x:c r="G63" t="inlineStr">
        <x:is>
          <x:t xml:space="preserve">2026-09</x:t>
        </x:is>
      </x:c>
    </x:row>
    <x:row r="64">
      <x:c r="A64" t="inlineStr">
        <x:is>
          <x:t xml:space="preserve">google|gemini-3.8-flash|high|reasoning|fallback-na</x:t>
        </x:is>
      </x:c>
      <x:c r="B64" t="inlineStr">
        <x:is>
          <x:t xml:space="preserve">google|gemini-3-8-flash</x:t>
        </x:is>
      </x:c>
      <x:c r="C64" t="inlineStr">
        <x:is>
          <x:t xml:space="preserve">high</x:t>
        </x:is>
      </x:c>
      <x:c r="D64" t="inlineStr">
        <x:is>
          <x:t xml:space="preserve">yes</x:t>
        </x:is>
      </x:c>
      <x:c r="F64" t="inlineStr">
        <x:is>
          <x:t xml:space="preserve">yes</x:t>
        </x:is>
      </x:c>
      <x:c r="G64" t="inlineStr">
        <x:is>
          <x:t xml:space="preserve">2026-09</x:t>
        </x:is>
      </x:c>
    </x:row>
    <x:row r="65">
      <x:c r="A65" t="inlineStr">
        <x:is>
          <x:t xml:space="preserve">deepseek|deepseek-v4.1-flash|non-reasoning|nonreasoning|fallback-na</x:t>
        </x:is>
      </x:c>
      <x:c r="B65" t="inlineStr">
        <x:is>
          <x:t xml:space="preserve">deepseek|deepseek-v4-1-flash</x:t>
        </x:is>
      </x:c>
      <x:c r="C65" t="inlineStr">
        <x:is>
          <x:t xml:space="preserve">non-reasoning</x:t>
        </x:is>
      </x:c>
      <x:c r="D65" t="inlineStr">
        <x:is>
          <x:t xml:space="preserve">no</x:t>
        </x:is>
      </x:c>
      <x:c r="F65" t="inlineStr">
        <x:is>
          <x:t xml:space="preserve">yes</x:t>
        </x:is>
      </x:c>
      <x:c r="G65" t="inlineStr">
        <x:is>
          <x:t xml:space="preserve">2026-09</x:t>
        </x:is>
      </x:c>
    </x:row>
    <x:row r="66">
      <x:c r="A66" t="inlineStr">
        <x:is>
          <x:t xml:space="preserve">deepseek|deepseek-v4.1-flash|max|reasoning|fallback-na</x:t>
        </x:is>
      </x:c>
      <x:c r="B66" t="inlineStr">
        <x:is>
          <x:t xml:space="preserve">deepseek|deepseek-v4-1-flash</x:t>
        </x:is>
      </x:c>
      <x:c r="C66" t="inlineStr">
        <x:is>
          <x:t xml:space="preserve">max</x:t>
        </x:is>
      </x:c>
      <x:c r="D66" t="inlineStr">
        <x:is>
          <x:t xml:space="preserve">yes</x:t>
        </x:is>
      </x:c>
      <x:c r="F66" t="inlineStr">
        <x:is>
          <x:t xml:space="preserve">yes</x:t>
        </x:is>
      </x:c>
      <x:c r="G66" t="inlineStr">
        <x:is>
          <x:t xml:space="preserve">2026-09</x:t>
        </x:is>
      </x:c>
    </x:row>
    <x:row r="67">
      <x:c r="A67" t="inlineStr">
        <x:is>
          <x:t xml:space="preserve">z-ai|glm-5.3|low|reasoning|fallback-na</x:t>
        </x:is>
      </x:c>
      <x:c r="B67" t="inlineStr">
        <x:is>
          <x:t xml:space="preserve">z-ai|glm-5-3</x:t>
        </x:is>
      </x:c>
      <x:c r="C67" t="inlineStr">
        <x:is>
          <x:t xml:space="preserve">low</x:t>
        </x:is>
      </x:c>
      <x:c r="D67" t="inlineStr">
        <x:is>
          <x:t xml:space="preserve">yes</x:t>
        </x:is>
      </x:c>
      <x:c r="F67" t="inlineStr">
        <x:is>
          <x:t xml:space="preserve">yes</x:t>
        </x:is>
      </x:c>
      <x:c r="G67" t="inlineStr">
        <x:is>
          <x:t xml:space="preserve">2026-08</x:t>
        </x:is>
      </x:c>
    </x:row>
    <x:row r="68">
      <x:c r="A68" t="inlineStr">
        <x:is>
          <x:t xml:space="preserve">z-ai|glm-5.3|max|reasoning|fallback-na</x:t>
        </x:is>
      </x:c>
      <x:c r="B68" t="inlineStr">
        <x:is>
          <x:t xml:space="preserve">z-ai|glm-5-3</x:t>
        </x:is>
      </x:c>
      <x:c r="C68" t="inlineStr">
        <x:is>
          <x:t xml:space="preserve">max</x:t>
        </x:is>
      </x:c>
      <x:c r="D68" t="inlineStr">
        <x:is>
          <x:t xml:space="preserve">yes</x:t>
        </x:is>
      </x:c>
      <x:c r="F68" t="inlineStr">
        <x:is>
          <x:t xml:space="preserve">yes</x:t>
        </x:is>
      </x:c>
      <x:c r="G68" t="inlineStr">
        <x:is>
          <x:t xml:space="preserve">2026-08</x:t>
        </x:is>
      </x:c>
    </x:row>
    <x:row r="69">
      <x:c r="A69" t="inlineStr">
        <x:is>
          <x:t xml:space="preserve">alibaba|qwen3.8-max-0902|reasoning|reasoning|fallback-na</x:t>
        </x:is>
      </x:c>
      <x:c r="B69" t="inlineStr">
        <x:is>
          <x:t xml:space="preserve">alibaba|qwen3-8-max-0902</x:t>
        </x:is>
      </x:c>
      <x:c r="C69" t="inlineStr">
        <x:is>
          <x:t xml:space="preserve">reasoning</x:t>
        </x:is>
      </x:c>
      <x:c r="D69" t="inlineStr">
        <x:is>
          <x:t xml:space="preserve">yes</x:t>
        </x:is>
      </x:c>
      <x:c r="F69" t="inlineStr">
        <x:is>
          <x:t xml:space="preserve">yes</x:t>
        </x:is>
      </x:c>
      <x:c r="G69" t="inlineStr">
        <x:is>
          <x:t xml:space="preserve">2026-09</x:t>
        </x:is>
      </x:c>
    </x:row>
    <x:row r="70">
      <x:c r="A70" t="inlineStr">
        <x:is>
          <x:t xml:space="preserve">alibaba|qwen3.8-27b|medium|reasoning|fallback-na</x:t>
        </x:is>
      </x:c>
      <x:c r="B70" t="inlineStr">
        <x:is>
          <x:t xml:space="preserve">alibaba|qwen3-8-27b</x:t>
        </x:is>
      </x:c>
      <x:c r="C70" t="inlineStr">
        <x:is>
          <x:t xml:space="preserve">medium</x:t>
        </x:is>
      </x:c>
      <x:c r="D70" t="inlineStr">
        <x:is>
          <x:t xml:space="preserve">yes</x:t>
        </x:is>
      </x:c>
      <x:c r="F70" t="inlineStr">
        <x:is>
          <x:t xml:space="preserve">yes</x:t>
        </x:is>
      </x:c>
      <x:c r="G70" t="inlineStr">
        <x:is>
          <x:t xml:space="preserve">2026-09</x:t>
        </x:is>
      </x:c>
    </x:row>
    <x:row r="71">
      <x:c r="A71" t="inlineStr">
        <x:is>
          <x:t xml:space="preserve">alibaba|qwen3.8-27b|xhigh|reasoning|fallback-na</x:t>
        </x:is>
      </x:c>
      <x:c r="B71" t="inlineStr">
        <x:is>
          <x:t xml:space="preserve">alibaba|qwen3-8-27b</x:t>
        </x:is>
      </x:c>
      <x:c r="C71" t="inlineStr">
        <x:is>
          <x:t xml:space="preserve">xhigh</x:t>
        </x:is>
      </x:c>
      <x:c r="D71" t="inlineStr">
        <x:is>
          <x:t xml:space="preserve">yes</x:t>
        </x:is>
      </x:c>
      <x:c r="F71" t="inlineStr">
        <x:is>
          <x:t xml:space="preserve">yes</x:t>
        </x:is>
      </x:c>
      <x:c r="G71" t="inlineStr">
        <x:is>
          <x:t xml:space="preserve">2026-09</x:t>
        </x:is>
      </x:c>
    </x:row>
    <x:row r="72">
      <x:c r="A72" t="inlineStr">
        <x:is>
          <x:t xml:space="preserve">kimi|kimi-k3|max|reasoning|fallback-na</x:t>
        </x:is>
      </x:c>
      <x:c r="B72" t="inlineStr">
        <x:is>
          <x:t xml:space="preserve">kimi|kimi-k3</x:t>
        </x:is>
      </x:c>
      <x:c r="C72" t="inlineStr">
        <x:is>
          <x:t xml:space="preserve">max</x:t>
        </x:is>
      </x:c>
      <x:c r="D72" t="inlineStr">
        <x:is>
          <x:t xml:space="preserve">yes</x:t>
        </x:is>
      </x:c>
      <x:c r="F72" t="inlineStr">
        <x:is>
          <x:t xml:space="preserve">yes</x:t>
        </x:is>
      </x:c>
      <x:c r="G72" t="inlineStr">
        <x:is>
          <x:t xml:space="preserve">2026-09</x:t>
        </x:is>
      </x:c>
    </x:row>
    <x:row r="73">
      <x:c r="A73" t="inlineStr">
        <x:is>
          <x:t xml:space="preserve">google|gemini-4-argon|high|reasoning|fallback-na</x:t>
        </x:is>
      </x:c>
      <x:c r="B73" t="inlineStr">
        <x:is>
          <x:t xml:space="preserve">google|gemini-4-argon</x:t>
        </x:is>
      </x:c>
      <x:c r="C73" t="inlineStr">
        <x:is>
          <x:t xml:space="preserve">high</x:t>
        </x:is>
      </x:c>
      <x:c r="D73" t="inlineStr">
        <x:is>
          <x:t xml:space="preserve">yes</x:t>
        </x:is>
      </x:c>
      <x:c r="F73" t="inlineStr">
        <x:is>
          <x:t xml:space="preserve">yes</x:t>
        </x:is>
      </x:c>
      <x:c r="G73" t="inlineStr">
        <x:is>
          <x:t xml:space="preserve">2026-09</x:t>
        </x:is>
      </x:c>
    </x:row>
    <x:row r="74">
      <x:c r="A74" t="inlineStr">
        <x:is>
          <x:t xml:space="preserve">openai|gpt-6-1-sol|low|yes|fallback-na</x:t>
        </x:is>
      </x:c>
      <x:c r="B74" t="inlineStr">
        <x:is>
          <x:t xml:space="preserve">openai|gpt-6-1-sol</x:t>
        </x:is>
      </x:c>
      <x:c r="C74" t="inlineStr">
        <x:is>
          <x:t xml:space="preserve">low</x:t>
        </x:is>
      </x:c>
      <x:c r="D74" t="inlineStr">
        <x:is>
          <x:t xml:space="preserve">yes</x:t>
        </x:is>
      </x:c>
      <x:c r="F74" t="inlineStr">
        <x:is>
          <x:t xml:space="preserve">yes</x:t>
        </x:is>
      </x:c>
      <x:c r="G74" t="inlineStr">
        <x:is>
          <x:t xml:space="preserve">2026-09-29</x:t>
        </x:is>
      </x:c>
    </x:row>
    <x:row r="75">
      <x:c r="A75" t="inlineStr">
        <x:is>
          <x:t xml:space="preserve">openai|gpt-6-1-sol|medium|yes|fallback-na</x:t>
        </x:is>
      </x:c>
      <x:c r="B75" t="inlineStr">
        <x:is>
          <x:t xml:space="preserve">openai|gpt-6-1-sol</x:t>
        </x:is>
      </x:c>
      <x:c r="C75" t="inlineStr">
        <x:is>
          <x:t xml:space="preserve">medium</x:t>
        </x:is>
      </x:c>
      <x:c r="D75" t="inlineStr">
        <x:is>
          <x:t xml:space="preserve">yes</x:t>
        </x:is>
      </x:c>
      <x:c r="F75" t="inlineStr">
        <x:is>
          <x:t xml:space="preserve">yes</x:t>
        </x:is>
      </x:c>
      <x:c r="G75" t="inlineStr">
        <x:is>
          <x:t xml:space="preserve">2026-09-29</x:t>
        </x:is>
      </x:c>
    </x:row>
    <x:row r="76">
      <x:c r="A76" t="inlineStr">
        <x:is>
          <x:t xml:space="preserve">openai|gpt-6-1-sol|high|yes|fallback-na</x:t>
        </x:is>
      </x:c>
      <x:c r="B76" t="inlineStr">
        <x:is>
          <x:t xml:space="preserve">openai|gpt-6-1-sol</x:t>
        </x:is>
      </x:c>
      <x:c r="C76" t="inlineStr">
        <x:is>
          <x:t xml:space="preserve">high</x:t>
        </x:is>
      </x:c>
      <x:c r="D76" t="inlineStr">
        <x:is>
          <x:t xml:space="preserve">yes</x:t>
        </x:is>
      </x:c>
      <x:c r="F76" t="inlineStr">
        <x:is>
          <x:t xml:space="preserve">yes</x:t>
        </x:is>
      </x:c>
      <x:c r="G76" t="inlineStr">
        <x:is>
          <x:t xml:space="preserve">2026-09-29</x:t>
        </x:is>
      </x:c>
    </x:row>
    <x:row r="77">
      <x:c r="A77" t="inlineStr">
        <x:is>
          <x:t xml:space="preserve">openai|gpt-6-1-sol|xhigh|yes|fallback-na</x:t>
        </x:is>
      </x:c>
      <x:c r="B77" t="inlineStr">
        <x:is>
          <x:t xml:space="preserve">openai|gpt-6-1-sol</x:t>
        </x:is>
      </x:c>
      <x:c r="C77" t="inlineStr">
        <x:is>
          <x:t xml:space="preserve">xhigh</x:t>
        </x:is>
      </x:c>
      <x:c r="D77" t="inlineStr">
        <x:is>
          <x:t xml:space="preserve">yes</x:t>
        </x:is>
      </x:c>
      <x:c r="F77" t="inlineStr">
        <x:is>
          <x:t xml:space="preserve">yes</x:t>
        </x:is>
      </x:c>
      <x:c r="G77" t="inlineStr">
        <x:is>
          <x:t xml:space="preserve">2026-09-29</x:t>
        </x:is>
      </x:c>
    </x:row>
    <x:row r="78">
      <x:c r="A78" t="inlineStr">
        <x:is>
          <x:t xml:space="preserve">openai|gpt-6-1-sol|max|yes|fallback-na</x:t>
        </x:is>
      </x:c>
      <x:c r="B78" t="inlineStr">
        <x:is>
          <x:t xml:space="preserve">openai|gpt-6-1-sol</x:t>
        </x:is>
      </x:c>
      <x:c r="C78" t="inlineStr">
        <x:is>
          <x:t xml:space="preserve">max</x:t>
        </x:is>
      </x:c>
      <x:c r="D78" t="inlineStr">
        <x:is>
          <x:t xml:space="preserve">yes</x:t>
        </x:is>
      </x:c>
      <x:c r="F78" t="inlineStr">
        <x:is>
          <x:t xml:space="preserve">yes</x:t>
        </x:is>
      </x:c>
      <x:c r="G78" t="inlineStr">
        <x:is>
          <x:t xml:space="preserve">2026-09-29</x:t>
        </x:is>
      </x:c>
    </x:row>
    <x:row r="79">
      <x:c r="A79" t="inlineStr">
        <x:is>
          <x:t xml:space="preserve">anthropic|claude-haiku-5-5|low|yes|fallback-na</x:t>
        </x:is>
      </x:c>
      <x:c r="B79" t="inlineStr">
        <x:is>
          <x:t xml:space="preserve">anthropic|claude-haiku-5-5</x:t>
        </x:is>
      </x:c>
      <x:c r="C79" t="inlineStr">
        <x:is>
          <x:t xml:space="preserve">low</x:t>
        </x:is>
      </x:c>
      <x:c r="D79" t="inlineStr">
        <x:is>
          <x:t xml:space="preserve">yes</x:t>
        </x:is>
      </x:c>
      <x:c r="F79" t="inlineStr">
        <x:is>
          <x:t xml:space="preserve">yes</x:t>
        </x:is>
      </x:c>
      <x:c r="G79" t="inlineStr">
        <x:is>
          <x:t xml:space="preserve">2026-10-07</x:t>
        </x:is>
      </x:c>
    </x:row>
    <x:row r="80">
      <x:c r="A80" t="inlineStr">
        <x:is>
          <x:t xml:space="preserve">anthropic|claude-haiku-5-5|medium|yes|fallback-na</x:t>
        </x:is>
      </x:c>
      <x:c r="B80" t="inlineStr">
        <x:is>
          <x:t xml:space="preserve">anthropic|claude-haiku-5-5</x:t>
        </x:is>
      </x:c>
      <x:c r="C80" t="inlineStr">
        <x:is>
          <x:t xml:space="preserve">medium</x:t>
        </x:is>
      </x:c>
      <x:c r="D80" t="inlineStr">
        <x:is>
          <x:t xml:space="preserve">yes</x:t>
        </x:is>
      </x:c>
      <x:c r="F80" t="inlineStr">
        <x:is>
          <x:t xml:space="preserve">yes</x:t>
        </x:is>
      </x:c>
      <x:c r="G80" t="inlineStr">
        <x:is>
          <x:t xml:space="preserve">2026-10-07</x:t>
        </x:is>
      </x:c>
    </x:row>
    <x:row r="81">
      <x:c r="A81" t="inlineStr">
        <x:is>
          <x:t xml:space="preserve">anthropic|claude-haiku-5-5|high|yes|fallback-na</x:t>
        </x:is>
      </x:c>
      <x:c r="B81" t="inlineStr">
        <x:is>
          <x:t xml:space="preserve">anthropic|claude-haiku-5-5</x:t>
        </x:is>
      </x:c>
      <x:c r="C81" t="inlineStr">
        <x:is>
          <x:t xml:space="preserve">high</x:t>
        </x:is>
      </x:c>
      <x:c r="D81" t="inlineStr">
        <x:is>
          <x:t xml:space="preserve">yes</x:t>
        </x:is>
      </x:c>
      <x:c r="F81" t="inlineStr">
        <x:is>
          <x:t xml:space="preserve">yes</x:t>
        </x:is>
      </x:c>
      <x:c r="G81" t="inlineStr">
        <x:is>
          <x:t xml:space="preserve">2026-10-07</x:t>
        </x:is>
      </x:c>
    </x:row>
    <x:row r="82">
      <x:c r="A82" t="inlineStr">
        <x:is>
          <x:t xml:space="preserve">anthropic|claude-haiku-5-5|xhigh|yes|fallback-na</x:t>
        </x:is>
      </x:c>
      <x:c r="B82" t="inlineStr">
        <x:is>
          <x:t xml:space="preserve">anthropic|claude-haiku-5-5</x:t>
        </x:is>
      </x:c>
      <x:c r="C82" t="inlineStr">
        <x:is>
          <x:t xml:space="preserve">xhigh</x:t>
        </x:is>
      </x:c>
      <x:c r="D82" t="inlineStr">
        <x:is>
          <x:t xml:space="preserve">yes</x:t>
        </x:is>
      </x:c>
      <x:c r="F82" t="inlineStr">
        <x:is>
          <x:t xml:space="preserve">yes</x:t>
        </x:is>
      </x:c>
      <x:c r="G82" t="inlineStr">
        <x:is>
          <x:t xml:space="preserve">2026-10-07</x:t>
        </x:is>
      </x:c>
    </x:row>
    <x:row r="83">
      <x:c r="A83" t="inlineStr">
        <x:is>
          <x:t xml:space="preserve">anthropic|claude-haiku-5-5|max|yes|fallback-na</x:t>
        </x:is>
      </x:c>
      <x:c r="B83" t="inlineStr">
        <x:is>
          <x:t xml:space="preserve">anthropic|claude-haiku-5-5</x:t>
        </x:is>
      </x:c>
      <x:c r="C83" t="inlineStr">
        <x:is>
          <x:t xml:space="preserve">max</x:t>
        </x:is>
      </x:c>
      <x:c r="D83" t="inlineStr">
        <x:is>
          <x:t xml:space="preserve">yes</x:t>
        </x:is>
      </x:c>
      <x:c r="F83" t="inlineStr">
        <x:is>
          <x:t xml:space="preserve">yes</x:t>
        </x:is>
      </x:c>
      <x:c r="G83" t="inlineStr">
        <x:is>
          <x:t xml:space="preserve">2026-10-07</x:t>
        </x:is>
      </x:c>
    </x:row>
    <x:row r="84">
      <x:c r="A84" t="inlineStr">
        <x:is>
          <x:t xml:space="preserve">mistral|mistral-large-4-preview|reasoning|yes|fallback-na</x:t>
        </x:is>
      </x:c>
      <x:c r="B84" t="inlineStr">
        <x:is>
          <x:t xml:space="preserve">mistral|mistral-large-4-preview</x:t>
        </x:is>
      </x:c>
      <x:c r="C84" t="inlineStr">
        <x:is>
          <x:t xml:space="preserve">reasoning</x:t>
        </x:is>
      </x:c>
      <x:c r="D84" t="inlineStr">
        <x:is>
          <x:t xml:space="preserve">yes</x:t>
        </x:is>
      </x:c>
      <x:c r="F84" t="inlineStr">
        <x:is>
          <x:t xml:space="preserve">limited</x:t>
        </x:is>
      </x:c>
      <x:c r="G84" t="inlineStr">
        <x:is>
          <x:t xml:space="preserve">2026-10-06</x:t>
        </x:is>
      </x:c>
    </x:row>
    <x:row r="85">
      <x:c r="A85" t="inlineStr">
        <x:is>
          <x:t xml:space="preserve">spacexai|grok-4-7|xhigh|yes|fallback-na</x:t>
        </x:is>
      </x:c>
      <x:c r="B85" t="inlineStr">
        <x:is>
          <x:t xml:space="preserve">spacexai|grok-4-7</x:t>
        </x:is>
      </x:c>
      <x:c r="C85" t="inlineStr">
        <x:is>
          <x:t xml:space="preserve">xhigh</x:t>
        </x:is>
      </x:c>
      <x:c r="D85" t="inlineStr">
        <x:is>
          <x:t xml:space="preserve">yes</x:t>
        </x:is>
      </x:c>
      <x:c r="F85" t="inlineStr">
        <x:is>
          <x:t xml:space="preserve">yes</x:t>
        </x:is>
      </x:c>
      <x:c r="G85" t="inlineStr">
        <x:is>
          <x:t xml:space="preserve">2026-09-21</x:t>
        </x:is>
      </x:c>
    </x:row>
    <x:row r="86">
      <x:c r="A86" t="inlineStr">
        <x:is>
          <x:t xml:space="preserve">upstage|solar-mini-4|reasoning|yes|fallback-na</x:t>
        </x:is>
      </x:c>
      <x:c r="B86" t="inlineStr">
        <x:is>
          <x:t xml:space="preserve">upstage|solar-mini-4</x:t>
        </x:is>
      </x:c>
      <x:c r="C86" t="inlineStr">
        <x:is>
          <x:t xml:space="preserve">reasoning</x:t>
        </x:is>
      </x:c>
      <x:c r="D86" t="inlineStr">
        <x:is>
          <x:t xml:space="preserve">yes</x:t>
        </x:is>
      </x:c>
      <x:c r="F86" t="inlineStr">
        <x:is>
          <x:t xml:space="preserve">yes</x:t>
        </x:is>
      </x:c>
      <x:c r="G86" t="inlineStr">
        <x:is>
          <x:t xml:space="preserve">2026-09-22</x:t>
        </x:is>
      </x:c>
    </x:row>
    <x:row r="87">
      <x:c r="A87" t="inlineStr">
        <x:is>
          <x:t xml:space="preserve">xiaomi|mimo-v2-6-pro|reasoning|yes|fallback-na</x:t>
        </x:is>
      </x:c>
      <x:c r="B87" t="inlineStr">
        <x:is>
          <x:t xml:space="preserve">xiaomi|mimo-v2-6-pro</x:t>
        </x:is>
      </x:c>
      <x:c r="C87" t="inlineStr">
        <x:is>
          <x:t xml:space="preserve">reasoning</x:t>
        </x:is>
      </x:c>
      <x:c r="D87" t="inlineStr">
        <x:is>
          <x:t xml:space="preserve">yes</x:t>
        </x:is>
      </x:c>
      <x:c r="F87" t="inlineStr">
        <x:is>
          <x:t xml:space="preserve">yes</x:t>
        </x:is>
      </x:c>
      <x:c r="G87" t="inlineStr">
        <x:is>
          <x:t xml:space="preserve">2026-09-22</x:t>
        </x:is>
      </x:c>
    </x:row>
    <x:row r="88">
      <x:c r="A88" t="inlineStr">
        <x:is>
          <x:t xml:space="preserve">google|gemini-3-8-flash-cyber|trusted-preview|unknown|fallback-na</x:t>
        </x:is>
      </x:c>
      <x:c r="B88" t="inlineStr">
        <x:is>
          <x:t xml:space="preserve">google|gemini-3-8-flash-cyber</x:t>
        </x:is>
      </x:c>
      <x:c r="C88" t="inlineStr">
        <x:is>
          <x:t xml:space="preserve">trusted-preview</x:t>
        </x:is>
      </x:c>
      <x:c r="D88" t="inlineStr">
        <x:is>
          <x:t xml:space="preserve">unknown</x:t>
        </x:is>
      </x:c>
      <x:c r="F88" t="inlineStr">
        <x:is>
          <x:t xml:space="preserve">limited</x:t>
        </x:is>
      </x:c>
      <x:c r="G88" t="inlineStr">
        <x:is>
          <x:t xml:space="preserve">2026-09-16</x:t>
        </x:is>
      </x:c>
    </x:row>
    <x:row r="89" s="14" customFormat="1">
      <x:c r="A89" t="inlineStr">
        <x:is>
          <x:t xml:space="preserve">meta|muse-wonder-full|max|reasoning|fallback-na</x:t>
        </x:is>
      </x:c>
      <x:c r="B89" t="inlineStr">
        <x:is>
          <x:t xml:space="preserve">meta|muse-wonder-full</x:t>
        </x:is>
      </x:c>
      <x:c r="C89" t="inlineStr">
        <x:is>
          <x:t xml:space="preserve">max</x:t>
        </x:is>
      </x:c>
      <x:c r="D89" t="inlineStr">
        <x:is>
          <x:t xml:space="preserve">yes</x:t>
        </x:is>
      </x:c>
      <x:c r="F89" t="inlineStr">
        <x:is>
          <x:t xml:space="preserve">yes</x:t>
        </x:is>
      </x:c>
      <x:c r="G89" t="inlineStr">
        <x:is>
          <x:t xml:space="preserve">2026-10-12</x:t>
        </x:is>
      </x:c>
    </x:row>
    <x:row r="90" s="14" customFormat="1">
      <x:c r="A90" t="inlineStr">
        <x:is>
          <x:t xml:space="preserve">deepseek|deepseek-v4-pro-0813|non-reasoning|nonreasoning|fallback-na</x:t>
        </x:is>
      </x:c>
      <x:c r="B90" t="inlineStr">
        <x:is>
          <x:t xml:space="preserve">deepseek|deepseek-v4-pro-0813</x:t>
        </x:is>
      </x:c>
      <x:c r="C90" t="inlineStr">
        <x:is>
          <x:t xml:space="preserve">non-reasoning</x:t>
        </x:is>
      </x:c>
      <x:c r="D90" t="inlineStr">
        <x:is>
          <x:t xml:space="preserve">no</x:t>
        </x:is>
      </x:c>
      <x:c r="F90" t="inlineStr">
        <x:is>
          <x:t xml:space="preserve">yes</x:t>
        </x:is>
      </x:c>
    </x:row>
    <x:row r="91" s="14" customFormat="1">
      <x:c r="A91" t="inlineStr">
        <x:is>
          <x:t xml:space="preserve">deepseek|deepseek-v4-pro-0813|max|reasoning|fallback-na</x:t>
        </x:is>
      </x:c>
      <x:c r="B91" t="inlineStr">
        <x:is>
          <x:t xml:space="preserve">deepseek|deepseek-v4-pro-0813</x:t>
        </x:is>
      </x:c>
      <x:c r="C91" t="inlineStr">
        <x:is>
          <x:t xml:space="preserve">max</x:t>
        </x:is>
      </x:c>
      <x:c r="D91" t="inlineStr">
        <x:is>
          <x:t xml:space="preserve">yes</x:t>
        </x:is>
      </x:c>
      <x:c r="F91" t="inlineStr">
        <x:is>
          <x:t xml:space="preserve">yes</x:t>
        </x:is>
      </x:c>
    </x:row>
    <x:row r="92" s="14" customFormat="1">
      <x:c r="A92" t="inlineStr">
        <x:is>
          <x:t xml:space="preserve">meta|muse-wonder|max|reasoning|fallback-na</x:t>
        </x:is>
      </x:c>
      <x:c r="B92" t="inlineStr">
        <x:is>
          <x:t xml:space="preserve">meta|muse-wonder</x:t>
        </x:is>
      </x:c>
      <x:c r="C92" t="inlineStr">
        <x:is>
          <x:t xml:space="preserve">max</x:t>
        </x:is>
      </x:c>
      <x:c r="D92" t="inlineStr">
        <x:is>
          <x:t xml:space="preserve">yes</x:t>
        </x:is>
      </x:c>
      <x:c r="F92" t="inlineStr">
        <x:is>
          <x:t xml:space="preserve">yes</x:t>
        </x:is>
      </x:c>
      <x:c r="G92" t="inlineStr">
        <x:is>
          <x:t xml:space="preserve">2026-10-12</x:t>
        </x:is>
      </x:c>
    </x:row>
    <x:row r="93" s="14" customFormat="1">
      <x:c r="A93" t="inlineStr">
        <x:is>
          <x:t xml:space="preserve">openai|gpt-5-6-terra|max|reasoning|fallback-na</x:t>
        </x:is>
      </x:c>
      <x:c r="B93" t="inlineStr">
        <x:is>
          <x:t xml:space="preserve">openai|gpt-5-6-terra</x:t>
        </x:is>
      </x:c>
      <x:c r="C93" t="inlineStr">
        <x:is>
          <x:t xml:space="preserve">max</x:t>
        </x:is>
      </x:c>
      <x:c r="D93" t="inlineStr">
        <x:is>
          <x:t xml:space="preserve">yes</x:t>
        </x:is>
      </x:c>
      <x:c r="F93" t="inlineStr">
        <x:is>
          <x:t xml:space="preserve">yes</x:t>
        </x:is>
      </x:c>
    </x:row>
    <x:row r="94" s="14" customFormat="1">
      <x:c r="A94" t="inlineStr">
        <x:is>
          <x:t xml:space="preserve">openai|gpt-5-6-terra|xhigh|reasoning|fallback-na</x:t>
        </x:is>
      </x:c>
      <x:c r="B94" t="inlineStr">
        <x:is>
          <x:t xml:space="preserve">openai|gpt-5-6-terra</x:t>
        </x:is>
      </x:c>
      <x:c r="C94" t="inlineStr">
        <x:is>
          <x:t xml:space="preserve">xhigh</x:t>
        </x:is>
      </x:c>
      <x:c r="D94" t="inlineStr">
        <x:is>
          <x:t xml:space="preserve">yes</x:t>
        </x:is>
      </x:c>
      <x:c r="F94" t="inlineStr">
        <x:is>
          <x:t xml:space="preserve">yes</x:t>
        </x:is>
      </x:c>
    </x:row>
    <x:row r="95" s="14" customFormat="1">
      <x:c r="A95" t="inlineStr">
        <x:is>
          <x:t xml:space="preserve">openai|gpt-5-6-terra|high|reasoning|fallback-na</x:t>
        </x:is>
      </x:c>
      <x:c r="B95" t="inlineStr">
        <x:is>
          <x:t xml:space="preserve">openai|gpt-5-6-terra</x:t>
        </x:is>
      </x:c>
      <x:c r="C95" t="inlineStr">
        <x:is>
          <x:t xml:space="preserve">high</x:t>
        </x:is>
      </x:c>
      <x:c r="D95" t="inlineStr">
        <x:is>
          <x:t xml:space="preserve">yes</x:t>
        </x:is>
      </x:c>
      <x:c r="F95" t="inlineStr">
        <x:is>
          <x:t xml:space="preserve">yes</x:t>
        </x:is>
      </x:c>
    </x:row>
    <x:row r="96" s="14" customFormat="1">
      <x:c r="A96" t="inlineStr">
        <x:is>
          <x:t xml:space="preserve">openai|gpt-5-6-terra|medium|reasoning|fallback-na</x:t>
        </x:is>
      </x:c>
      <x:c r="B96" t="inlineStr">
        <x:is>
          <x:t xml:space="preserve">openai|gpt-5-6-terra</x:t>
        </x:is>
      </x:c>
      <x:c r="C96" t="inlineStr">
        <x:is>
          <x:t xml:space="preserve">medium</x:t>
        </x:is>
      </x:c>
      <x:c r="D96" t="inlineStr">
        <x:is>
          <x:t xml:space="preserve">yes</x:t>
        </x:is>
      </x:c>
      <x:c r="F96" t="inlineStr">
        <x:is>
          <x:t xml:space="preserve">yes</x:t>
        </x:is>
      </x:c>
    </x:row>
    <x:row r="97" s="14" customFormat="1">
      <x:c r="A97" t="inlineStr">
        <x:is>
          <x:t xml:space="preserve">openai|gpt-5-6-terra|low|reasoning|fallback-na</x:t>
        </x:is>
      </x:c>
      <x:c r="B97" t="inlineStr">
        <x:is>
          <x:t xml:space="preserve">openai|gpt-5-6-terra</x:t>
        </x:is>
      </x:c>
      <x:c r="C97" t="inlineStr">
        <x:is>
          <x:t xml:space="preserve">low</x:t>
        </x:is>
      </x:c>
      <x:c r="D97" t="inlineStr">
        <x:is>
          <x:t xml:space="preserve">yes</x:t>
        </x:is>
      </x:c>
      <x:c r="F97" t="inlineStr">
        <x:is>
          <x:t xml:space="preserve">yes</x:t>
        </x:is>
      </x:c>
    </x:row>
    <x:row r="98" s="14" customFormat="1">
      <x:c r="A98" t="inlineStr">
        <x:is>
          <x:t xml:space="preserve">openai|gpt-5-6-terra|non-reasoning|nonreasoning|fallback-na</x:t>
        </x:is>
      </x:c>
      <x:c r="B98" t="inlineStr">
        <x:is>
          <x:t xml:space="preserve">openai|gpt-5-6-terra</x:t>
        </x:is>
      </x:c>
      <x:c r="C98" t="inlineStr">
        <x:is>
          <x:t xml:space="preserve">non-reasoning</x:t>
        </x:is>
      </x:c>
      <x:c r="D98" t="inlineStr">
        <x:is>
          <x:t xml:space="preserve">no</x:t>
        </x:is>
      </x:c>
      <x:c r="F98" t="inlineStr">
        <x:is>
          <x:t xml:space="preserve">yes</x:t>
        </x:is>
      </x:c>
    </x:row>
    <x:row r="99">
      <x:c r="A99" t="inlineStr">
        <x:is>
          <x:t xml:space="preserve">deepseek|deepseek-v4-flash-0731|max|reasoning|fallback-na</x:t>
        </x:is>
      </x:c>
      <x:c r="B99" t="inlineStr">
        <x:is>
          <x:t xml:space="preserve">deepseek|deepseek-v4-flash-0731</x:t>
        </x:is>
      </x:c>
      <x:c r="C99" t="inlineStr">
        <x:is>
          <x:t xml:space="preserve">max</x:t>
        </x:is>
      </x:c>
      <x:c r="D99" t="inlineStr">
        <x:is>
          <x:t xml:space="preserve">yes</x:t>
        </x:is>
      </x:c>
    </x:row>
    <x:row r="100">
      <x:c r="A100" t="inlineStr">
        <x:is>
          <x:t xml:space="preserve">z-ai|glm-5-3|not-stated|reasoning-unknown|fallback-na</x:t>
        </x:is>
      </x:c>
      <x:c r="B100" t="inlineStr">
        <x:is>
          <x:t xml:space="preserve">z-ai|glm-5-3</x:t>
        </x:is>
      </x:c>
      <x:c r="C100" t="inlineStr">
        <x:is>
          <x:t xml:space="preserve">not-stated</x:t>
        </x:is>
      </x:c>
      <x:c r="D100" t="inlineStr">
        <x:is>
          <x:t xml:space="preserve">not stated</x:t>
        </x:is>
      </x:c>
    </x:row>
    <x:row r="101" s="14" customFormat="1">
      <x:c r="A101" t="inlineStr">
        <x:is>
          <x:t xml:space="preserve">google|gemini-4-argon|not-stated|reasoning-unknown|fallback-na</x:t>
        </x:is>
      </x:c>
      <x:c r="B101" t="inlineStr">
        <x:is>
          <x:t xml:space="preserve">google|gemini-4-argon</x:t>
        </x:is>
      </x:c>
      <x:c r="C101" t="inlineStr">
        <x:is>
          <x:t xml:space="preserve">not-stated</x:t>
        </x:is>
      </x:c>
      <x:c r="D101" t="inlineStr">
        <x:is>
          <x:t xml:space="preserve">not stated</x:t>
        </x:is>
      </x:c>
    </x:row>
    <x:row r="102" s="14" customFormat="1">
      <x:c r="A102" t="inlineStr">
        <x:is>
          <x:t xml:space="preserve">google|gemini-4-argon|low|reasoning|fallback-na</x:t>
        </x:is>
      </x:c>
      <x:c r="B102" t="inlineStr">
        <x:is>
          <x:t xml:space="preserve">google|gemini-4-argon</x:t>
        </x:is>
      </x:c>
      <x:c r="C102" t="inlineStr">
        <x:is>
          <x:t xml:space="preserve">low</x:t>
        </x:is>
      </x:c>
      <x:c r="D102" t="inlineStr">
        <x:is>
          <x:t xml:space="preserve">yes</x:t>
        </x:is>
      </x:c>
      <x:c r="F102" t="inlineStr">
        <x:is>
          <x:t xml:space="preserve">yes</x:t>
        </x:is>
      </x:c>
      <x:c r="G102" t="inlineStr">
        <x:is>
          <x:t xml:space="preserve">2026-09</x:t>
        </x:is>
      </x:c>
    </x:row>
    <x:row r="103" s="14" customFormat="1">
      <x:c r="A103" t="inlineStr">
        <x:is>
          <x:t xml:space="preserve">google|gemini-3-1-pro-preview|not-stated|reasoning|fallback-na</x:t>
        </x:is>
      </x:c>
      <x:c r="B103" t="inlineStr">
        <x:is>
          <x:t xml:space="preserve">google|gemini-3-1-pro-preview</x:t>
        </x:is>
      </x:c>
      <x:c r="C103" t="inlineStr">
        <x:is>
          <x:t xml:space="preserve">not-stated</x:t>
        </x:is>
      </x:c>
      <x:c r="D103" t="inlineStr">
        <x:is>
          <x:t xml:space="preserve">yes</x:t>
        </x:is>
      </x:c>
      <x:c r="F103" t="inlineStr">
        <x:is>
          <x:t xml:space="preserve">yes</x:t>
        </x:is>
      </x:c>
      <x:c r="G103" t="inlineStr">
        <x:is>
          <x:t xml:space="preserve">2026-02</x:t>
        </x:is>
      </x:c>
    </x:row>
    <x:row r="104" s="14" customFormat="1">
      <x:c r="A104" t="inlineStr">
        <x:is>
          <x:t xml:space="preserve">google|gemini-3-5-flash|high|reasoning|fallback-na</x:t>
        </x:is>
      </x:c>
      <x:c r="B104" t="inlineStr">
        <x:is>
          <x:t xml:space="preserve">google|gemini-3-5-flash</x:t>
        </x:is>
      </x:c>
      <x:c r="C104" t="inlineStr">
        <x:is>
          <x:t xml:space="preserve">high</x:t>
        </x:is>
      </x:c>
      <x:c r="D104" t="inlineStr">
        <x:is>
          <x:t xml:space="preserve">yes</x:t>
        </x:is>
      </x:c>
      <x:c r="F104" t="inlineStr">
        <x:is>
          <x:t xml:space="preserve">no</x:t>
        </x:is>
      </x:c>
      <x:c r="G104" t="inlineStr">
        <x:is>
          <x:t xml:space="preserve">2026-05</x:t>
        </x:is>
      </x:c>
    </x:row>
    <x:row r="105">
      <x:c r="A105" t="inlineStr">
        <x:is>
          <x:t xml:space="preserve">google|gemini-3-1-pro-preview|high|reasoning|fallback-na</x:t>
        </x:is>
      </x:c>
      <x:c r="B105" t="inlineStr">
        <x:is>
          <x:t xml:space="preserve">google|gemini-3-1-pro-preview</x:t>
        </x:is>
      </x:c>
      <x:c r="C105" t="inlineStr">
        <x:is>
          <x:t xml:space="preserve">high</x:t>
        </x:is>
      </x:c>
      <x:c r="D105" t="inlineStr">
        <x:is>
          <x:t xml:space="preserve">yes</x:t>
        </x:is>
      </x:c>
      <x:c r="E105" t="inlineStr">
        <x:is>
          <x:t xml:space="preserve">fallback-na</x:t>
        </x:is>
      </x:c>
      <x:c r="F105" t="inlineStr">
        <x:is>
          <x:t xml:space="preserve">yes</x:t>
        </x:is>
      </x:c>
      <x:c r="G105" t="inlineStr">
        <x:is>
          <x:t xml:space="preserve">2026-02</x:t>
        </x:is>
      </x:c>
    </x:row>
  </x:sheetData>
  <x:pageMargins left="0.7" right="0.7" top="0.75" bottom="0.75" header="0.3" footer="0.3"/>
</x:worksheet>
</file>

<file path=xl/worksheets/sheet14.xml><?xml version="1.0" encoding="utf-8"?>
<x:worksheet xmlns:x="http://schemas.openxmlformats.org/spreadsheetml/2006/main">
  <x:sheetFormatPr baseColWidth="8" defaultRowHeight="15"/>
  <x:cols>
    <x:col min="1" max="1" width="28" style="14" customWidth="1"/>
    <x:col min="2" max="2" width="28" style="14" customWidth="1"/>
    <x:col min="3" max="3" width="20" style="14" customWidth="1"/>
    <x:col min="4" max="4" width="20" style="14" customWidth="1"/>
    <x:col min="5" max="5" width="20" style="14" customWidth="1"/>
    <x:col min="6" max="6" width="20" style="14" customWidth="1"/>
    <x:col min="7" max="7" width="12" style="14" customWidth="1"/>
    <x:col min="8" max="8" width="12" style="14" customWidth="1"/>
    <x:col min="9" max="9" width="12" style="14" customWidth="1"/>
    <x:col min="10" max="10" width="12" style="14" customWidth="1"/>
    <x:col min="11" max="11" width="12" style="14" customWidth="1"/>
    <x:col min="12" max="12" width="12" style="14" customWidth="1"/>
    <x:col min="13" max="13" width="12" style="14" customWidth="1"/>
    <x:col min="14" max="14" width="12" style="14" customWidth="1"/>
    <x:col min="15" max="15" width="12" style="14" customWidth="1"/>
    <x:col min="16" max="16" width="12" style="14" customWidth="1"/>
    <x:col min="17" max="17" width="12" style="14" customWidth="1"/>
    <x:col min="18" max="18" width="12" style="14" customWidth="1"/>
    <x:col min="19" max="19" width="12" style="14" customWidth="1"/>
    <x:col min="20" max="20" width="12" style="14" customWidth="1"/>
    <x:col min="21" max="21" width="12" style="14" customWidth="1"/>
    <x:col min="22" max="22" width="12" style="14" customWidth="1"/>
    <x:col min="23" max="23" width="12" style="14" customWidth="1"/>
    <x:col min="24" max="24" width="12" style="14" customWidth="1"/>
    <x:col min="25" max="25" width="12" style="14" customWidth="1"/>
    <x:col min="26" max="26" width="12" style="14" customWidth="1"/>
    <x:col min="27" max="27" width="12" style="14" customWidth="1"/>
    <x:col min="28" max="28" width="12" style="14" customWidth="1"/>
    <x:col min="29" max="29" width="12" style="14" customWidth="1"/>
    <x:col min="30" max="30" width="12" style="14" customWidth="1"/>
    <x:col min="31" max="31" width="45" style="14" customWidth="1"/>
    <x:col min="32" max="32" width="45" style="14" customWidth="1"/>
    <x:col min="33" max="33" width="45" style="14" customWidth="1"/>
    <x:col min="34" max="34" width="45" style="14" customWidth="1"/>
  </x:cols>
  <x:sheetData>
    <x:row r="1">
      <x:c r="A1" s="6" t="inlineStr">
        <x:is>
          <x:t xml:space="preserve">model_key</x:t>
        </x:is>
      </x:c>
      <x:c r="B1" s="6" t="inlineStr">
        <x:is>
          <x:t xml:space="preserve">family</x:t>
        </x:is>
      </x:c>
      <x:c r="C1" s="6" t="inlineStr">
        <x:is>
          <x:t xml:space="preserve">current_status</x:t>
        </x:is>
      </x:c>
      <x:c r="D1" s="6" t="inlineStr">
        <x:is>
          <x:t xml:space="preserve">replaced_by</x:t>
        </x:is>
      </x:c>
      <x:c r="E1" s="6" t="inlineStr">
        <x:is>
          <x:t xml:space="preserve">current_tier</x:t>
        </x:is>
      </x:c>
      <x:c r="F1" s="6" t="inlineStr">
        <x:is>
          <x:t xml:space="preserve">prime_tier</x:t>
        </x:is>
      </x:c>
      <x:c r="G1" s="6" t="inlineStr">
        <x:is>
          <x:t xml:space="preserve">intel_1_5</x:t>
        </x:is>
      </x:c>
      <x:c r="H1" s="6" t="inlineStr">
        <x:is>
          <x:t xml:space="preserve">speed_1_5</x:t>
        </x:is>
      </x:c>
      <x:c r="I1" s="6" t="inlineStr">
        <x:is>
          <x:t xml:space="preserve">cost_value_1_5</x:t>
        </x:is>
      </x:c>
      <x:c r="J1" s="6" t="inlineStr">
        <x:is>
          <x:t xml:space="preserve">instruction_following_1_5</x:t>
        </x:is>
      </x:c>
      <x:c r="K1" s="6" t="inlineStr">
        <x:is>
          <x:t xml:space="preserve">confabulation_risk_1_5</x:t>
        </x:is>
      </x:c>
      <x:c r="L1" s="6" t="inlineStr">
        <x:is>
          <x:t xml:space="preserve">loop_risk_1_5</x:t>
        </x:is>
      </x:c>
      <x:c r="M1" s="6" t="inlineStr">
        <x:is>
          <x:t xml:space="preserve">distraction_risk_1_5</x:t>
        </x:is>
      </x:c>
      <x:c r="N1" s="6" t="inlineStr">
        <x:is>
          <x:t xml:space="preserve">eagerness_1_5</x:t>
        </x:is>
      </x:c>
      <x:c r="O1" s="6" t="inlineStr">
        <x:is>
          <x:t xml:space="preserve">caution_1_5</x:t>
        </x:is>
      </x:c>
      <x:c r="P1" s="6" t="inlineStr">
        <x:is>
          <x:t xml:space="preserve">overthinking_1_5</x:t>
        </x:is>
      </x:c>
      <x:c r="Q1" s="6" t="inlineStr">
        <x:is>
          <x:t xml:space="preserve">role_mechanical_change</x:t>
        </x:is>
      </x:c>
      <x:c r="R1" s="6" t="inlineStr">
        <x:is>
          <x:t xml:space="preserve">role_explore_codebase</x:t>
        </x:is>
      </x:c>
      <x:c r="S1" s="6" t="inlineStr">
        <x:is>
          <x:t xml:space="preserve">role_complex_planning</x:t>
        </x:is>
      </x:c>
      <x:c r="T1" s="6" t="inlineStr">
        <x:is>
          <x:t xml:space="preserve">role_architecture</x:t>
        </x:is>
      </x:c>
      <x:c r="U1" s="6" t="inlineStr">
        <x:is>
          <x:t xml:space="preserve">role_complex_implementation</x:t>
        </x:is>
      </x:c>
      <x:c r="V1" s="6" t="inlineStr">
        <x:is>
          <x:t xml:space="preserve">role_moderate_implementation</x:t>
        </x:is>
      </x:c>
      <x:c r="W1" s="6" t="inlineStr">
        <x:is>
          <x:t xml:space="preserve">role_simple_implementation</x:t>
        </x:is>
      </x:c>
      <x:c r="X1" s="6" t="inlineStr">
        <x:is>
          <x:t xml:space="preserve">role_simple_tasks</x:t>
        </x:is>
      </x:c>
      <x:c r="Y1" s="6" t="inlineStr">
        <x:is>
          <x:t xml:space="preserve">role_reviewer</x:t>
        </x:is>
      </x:c>
      <x:c r="Z1" s="6" t="inlineStr">
        <x:is>
          <x:t xml:space="preserve">role_designer</x:t>
        </x:is>
      </x:c>
      <x:c r="AA1" s="6" t="inlineStr">
        <x:is>
          <x:t xml:space="preserve">role_troubleshoot_light</x:t>
        </x:is>
      </x:c>
      <x:c r="AB1" s="6" t="inlineStr">
        <x:is>
          <x:t xml:space="preserve">role_troubleshoot_medium</x:t>
        </x:is>
      </x:c>
      <x:c r="AC1" s="6" t="inlineStr">
        <x:is>
          <x:t xml:space="preserve">role_troubleshoot_hard</x:t>
        </x:is>
      </x:c>
      <x:c r="AD1" s="6" t="inlineStr">
        <x:is>
          <x:t xml:space="preserve">role_non_coding_conversation</x:t>
        </x:is>
      </x:c>
      <x:c r="AE1" s="6" t="inlineStr">
        <x:is>
          <x:t xml:space="preserve">prime_or_current_use</x:t>
        </x:is>
      </x:c>
      <x:c r="AF1" s="6" t="inlineStr">
        <x:is>
          <x:t xml:space="preserve">assessment_notes</x:t>
        </x:is>
      </x:c>
      <x:c r="AG1" s="6" t="inlineStr">
        <x:is>
          <x:t xml:space="preserve">assessment_confidence</x:t>
        </x:is>
      </x:c>
      <x:c r="AH1" s="6" t="inlineStr">
        <x:is>
          <x:t xml:space="preserve">assessment_date</x:t>
        </x:is>
      </x:c>
    </x:row>
    <x:row r="2">
      <x:c r="A2" s="12" t="inlineStr">
        <x:is>
          <x:t xml:space="preserve">openai|gpt-6-luna</x:t>
        </x:is>
      </x:c>
      <x:c r="B2" s="12" t="inlineStr">
        <x:is>
          <x:t xml:space="preserve">GPT-6 Luna</x:t>
        </x:is>
      </x:c>
      <x:c r="C2" s="12" t="inlineStr">
        <x:is>
          <x:t xml:space="preserve">Contender</x:t>
        </x:is>
      </x:c>
      <x:c r="D2" s="12" t="str"/>
      <x:c r="E2" s="12" t="inlineStr">
        <x:is>
          <x:t xml:space="preserve">fast-cheap / capable midtier</x:t>
        </x:is>
      </x:c>
      <x:c r="F2" s="12" t="inlineStr">
        <x:is>
          <x:t xml:space="preserve">fast-cheap / capable midtier</x:t>
        </x:is>
      </x:c>
      <x:c r="G2" s="12" t="n">
        <x:v>3</x:v>
      </x:c>
      <x:c r="H2" s="12" t="n">
        <x:v>4</x:v>
      </x:c>
      <x:c r="I2" s="12" t="n">
        <x:v>5</x:v>
      </x:c>
      <x:c r="J2" s="12" t="n">
        <x:v>4</x:v>
      </x:c>
      <x:c r="K2" s="12" t="n">
        <x:v>3</x:v>
      </x:c>
      <x:c r="L2" s="12" t="n">
        <x:v>3</x:v>
      </x:c>
      <x:c r="M2" s="12" t="n">
        <x:v>3</x:v>
      </x:c>
      <x:c r="N2" s="12" t="n">
        <x:v>4</x:v>
      </x:c>
      <x:c r="O2" s="12" t="n">
        <x:v>3</x:v>
      </x:c>
      <x:c r="P2" s="12" t="n">
        <x:v>2</x:v>
      </x:c>
      <x:c r="Q2" s="12" t="n">
        <x:v>5</x:v>
      </x:c>
      <x:c r="R2" s="12" t="n">
        <x:v>4</x:v>
      </x:c>
      <x:c r="S2" s="12" t="n">
        <x:v>3</x:v>
      </x:c>
      <x:c r="T2" s="12" t="n">
        <x:v>3</x:v>
      </x:c>
      <x:c r="U2" s="12" t="n">
        <x:v>3</x:v>
      </x:c>
      <x:c r="V2" s="12" t="n">
        <x:v>4</x:v>
      </x:c>
      <x:c r="W2" s="12" t="n">
        <x:v>5</x:v>
      </x:c>
      <x:c r="X2" s="12" t="n">
        <x:v>5</x:v>
      </x:c>
      <x:c r="Y2" s="12" t="n">
        <x:v>4</x:v>
      </x:c>
      <x:c r="Z2" s="12" t="n">
        <x:v>3</x:v>
      </x:c>
      <x:c r="AA2" s="12" t="n">
        <x:v>5</x:v>
      </x:c>
      <x:c r="AB2" s="12" t="n">
        <x:v>4</x:v>
      </x:c>
      <x:c r="AC2" s="12" t="n">
        <x:v>3</x:v>
      </x:c>
      <x:c r="AD2" s="12" t="n">
        <x:v>4</x:v>
      </x:c>
      <x:c r="AE2" s="12" t="inlineStr">
        <x:is>
          <x:t xml:space="preserve">mechanical through moderate implementation</x:t>
        </x:is>
      </x:c>
      <x:c r="AF2" s="12" t="inlineStr">
        <x:is>
          <x:t xml:space="preserve">Excellent throughput; can get confused or pursue a wrong side path on subtle long-horizon work.</x:t>
        </x:is>
      </x:c>
      <x:c r="AG2" s="12" t="inlineStr">
        <x:is>
          <x:t xml:space="preserve">high</x:t>
        </x:is>
      </x:c>
      <x:c r="AH2" s="12" t="inlineStr">
        <x:is>
          <x:t xml:space="preserve">2026-09-29</x:t>
        </x:is>
      </x:c>
    </x:row>
    <x:row r="3">
      <x:c r="A3" s="12" t="inlineStr">
        <x:is>
          <x:t xml:space="preserve">openai|gpt-6-sol</x:t>
        </x:is>
      </x:c>
      <x:c r="B3" s="12" t="inlineStr">
        <x:is>
          <x:t xml:space="preserve">GPT-6 Sol</x:t>
        </x:is>
      </x:c>
      <x:c r="C3" s="12" t="inlineStr">
        <x:is>
          <x:t xml:space="preserve">Contender</x:t>
        </x:is>
      </x:c>
      <x:c r="D3" s="12" t="str"/>
      <x:c r="E3" s="12" t="inlineStr">
        <x:is>
          <x:t xml:space="preserve">frontier-lite / strong generalist</x:t>
        </x:is>
      </x:c>
      <x:c r="F3" s="12" t="inlineStr">
        <x:is>
          <x:t xml:space="preserve">frontier-lite / strong generalist</x:t>
        </x:is>
      </x:c>
      <x:c r="G3" s="12" t="n">
        <x:v>5</x:v>
      </x:c>
      <x:c r="H3" s="12" t="n">
        <x:v>3</x:v>
      </x:c>
      <x:c r="I3" s="12" t="n">
        <x:v>2</x:v>
      </x:c>
      <x:c r="J3" s="12" t="n">
        <x:v>5</x:v>
      </x:c>
      <x:c r="K3" s="12" t="n">
        <x:v>2</x:v>
      </x:c>
      <x:c r="L3" s="12" t="n">
        <x:v>2</x:v>
      </x:c>
      <x:c r="M3" s="12" t="n">
        <x:v>2</x:v>
      </x:c>
      <x:c r="N3" s="12" t="n">
        <x:v>3</x:v>
      </x:c>
      <x:c r="O3" s="12" t="n">
        <x:v>4</x:v>
      </x:c>
      <x:c r="P3" s="12" t="n">
        <x:v>4</x:v>
      </x:c>
      <x:c r="Q3" s="12" t="n">
        <x:v>4</x:v>
      </x:c>
      <x:c r="R3" s="12" t="n">
        <x:v>4</x:v>
      </x:c>
      <x:c r="S3" s="12" t="n">
        <x:v>5</x:v>
      </x:c>
      <x:c r="T3" s="12" t="n">
        <x:v>5</x:v>
      </x:c>
      <x:c r="U3" s="12" t="n">
        <x:v>5</x:v>
      </x:c>
      <x:c r="V3" s="12" t="n">
        <x:v>5</x:v>
      </x:c>
      <x:c r="W3" s="12" t="n">
        <x:v>4</x:v>
      </x:c>
      <x:c r="X3" s="12" t="n">
        <x:v>3</x:v>
      </x:c>
      <x:c r="Y3" s="12" t="n">
        <x:v>5</x:v>
      </x:c>
      <x:c r="Z3" s="12" t="n">
        <x:v>4</x:v>
      </x:c>
      <x:c r="AA3" s="12" t="n">
        <x:v>5</x:v>
      </x:c>
      <x:c r="AB3" s="12" t="n">
        <x:v>5</x:v>
      </x:c>
      <x:c r="AC3" s="12" t="n">
        <x:v>5</x:v>
      </x:c>
      <x:c r="AD3" s="12" t="n">
        <x:v>4</x:v>
      </x:c>
      <x:c r="AE3" s="12" t="inlineStr">
        <x:is>
          <x:t xml:space="preserve">hard implementation / architecture / review</x:t>
        </x:is>
      </x:c>
      <x:c r="AF3" s="12" t="inlineStr">
        <x:is>
          <x:t xml:space="preserve">Strong default when Luna-tier workers become unreliable.</x:t>
        </x:is>
      </x:c>
      <x:c r="AG3" s="12" t="inlineStr">
        <x:is>
          <x:t xml:space="preserve">high</x:t>
        </x:is>
      </x:c>
      <x:c r="AH3" s="12" t="inlineStr">
        <x:is>
          <x:t xml:space="preserve">2026-09-29</x:t>
        </x:is>
      </x:c>
    </x:row>
    <x:row r="4">
      <x:c r="A4" s="12" t="inlineStr">
        <x:is>
          <x:t xml:space="preserve">openai|gpt-6-astra</x:t>
        </x:is>
      </x:c>
      <x:c r="B4" s="12" t="inlineStr">
        <x:is>
          <x:t xml:space="preserve">GPT-6 Astra</x:t>
        </x:is>
      </x:c>
      <x:c r="C4" s="12" t="inlineStr">
        <x:is>
          <x:t xml:space="preserve">Contender</x:t>
        </x:is>
      </x:c>
      <x:c r="D4" s="12" t="str"/>
      <x:c r="E4" s="12" t="inlineStr">
        <x:is>
          <x:t xml:space="preserve">frontier / expensive / slow</x:t>
        </x:is>
      </x:c>
      <x:c r="F4" s="12" t="inlineStr">
        <x:is>
          <x:t xml:space="preserve">frontier / expensive / slow</x:t>
        </x:is>
      </x:c>
      <x:c r="G4" s="12" t="n">
        <x:v>5</x:v>
      </x:c>
      <x:c r="H4" s="12" t="n">
        <x:v>2</x:v>
      </x:c>
      <x:c r="I4" s="12" t="n">
        <x:v>1</x:v>
      </x:c>
      <x:c r="J4" s="12" t="n">
        <x:v>5</x:v>
      </x:c>
      <x:c r="K4" s="12" t="n">
        <x:v>1</x:v>
      </x:c>
      <x:c r="L4" s="12" t="n">
        <x:v>1</x:v>
      </x:c>
      <x:c r="M4" s="12" t="n">
        <x:v>1</x:v>
      </x:c>
      <x:c r="N4" s="12" t="n">
        <x:v>2</x:v>
      </x:c>
      <x:c r="O4" s="12" t="n">
        <x:v>5</x:v>
      </x:c>
      <x:c r="P4" s="12" t="n">
        <x:v>5</x:v>
      </x:c>
      <x:c r="Q4" s="12" t="n">
        <x:v>3</x:v>
      </x:c>
      <x:c r="R4" s="12" t="n">
        <x:v>3</x:v>
      </x:c>
      <x:c r="S4" s="12" t="n">
        <x:v>5</x:v>
      </x:c>
      <x:c r="T4" s="12" t="n">
        <x:v>5</x:v>
      </x:c>
      <x:c r="U4" s="12" t="n">
        <x:v>5</x:v>
      </x:c>
      <x:c r="V4" s="12" t="n">
        <x:v>5</x:v>
      </x:c>
      <x:c r="W4" s="12" t="n">
        <x:v>4</x:v>
      </x:c>
      <x:c r="X4" s="12" t="n">
        <x:v>2</x:v>
      </x:c>
      <x:c r="Y4" s="12" t="n">
        <x:v>5</x:v>
      </x:c>
      <x:c r="Z4" s="12" t="n">
        <x:v>4</x:v>
      </x:c>
      <x:c r="AA4" s="12" t="n">
        <x:v>4</x:v>
      </x:c>
      <x:c r="AB4" s="12" t="n">
        <x:v>5</x:v>
      </x:c>
      <x:c r="AC4" s="12" t="n">
        <x:v>5</x:v>
      </x:c>
      <x:c r="AD4" s="12" t="n">
        <x:v>4</x:v>
      </x:c>
      <x:c r="AE4" s="12" t="inlineStr">
        <x:is>
          <x:t xml:space="preserve">frontier knot-untangling / hardest debugging</x:t>
        </x:is>
      </x:c>
      <x:c r="AF4" s="12" t="inlineStr">
        <x:is>
          <x:t xml:space="preserve">Can solve poorly specified subtle tasks; excessive for routine exploration.</x:t>
        </x:is>
      </x:c>
      <x:c r="AG4" s="12" t="inlineStr">
        <x:is>
          <x:t xml:space="preserve">high</x:t>
        </x:is>
      </x:c>
      <x:c r="AH4" s="12" t="inlineStr">
        <x:is>
          <x:t xml:space="preserve">2026-09-29</x:t>
        </x:is>
      </x:c>
    </x:row>
    <x:row r="5">
      <x:c r="A5" s="12" t="inlineStr">
        <x:is>
          <x:t xml:space="preserve">openai|gpt-5-6-luna</x:t>
        </x:is>
      </x:c>
      <x:c r="B5" s="12" t="inlineStr">
        <x:is>
          <x:t xml:space="preserve">GPT-5.6 Luna</x:t>
        </x:is>
      </x:c>
      <x:c r="C5" s="12" t="inlineStr">
        <x:is>
          <x:t xml:space="preserve">Historical</x:t>
        </x:is>
      </x:c>
      <x:c r="D5" s="12" t="inlineStr">
        <x:is>
          <x:t xml:space="preserve">GPT-6 Luna</x:t>
        </x:is>
      </x:c>
      <x:c r="E5" s="12" t="inlineStr">
        <x:is>
          <x:t xml:space="preserve">historical/replaced</x:t>
        </x:is>
      </x:c>
      <x:c r="F5" s="12" t="inlineStr">
        <x:is>
          <x:t xml:space="preserve">historical</x:t>
        </x:is>
      </x:c>
      <x:c r="G5" s="12" t="n"/>
      <x:c r="H5" s="12" t="n"/>
      <x:c r="I5" s="12" t="n"/>
      <x:c r="J5" s="12" t="n"/>
      <x:c r="K5" s="12" t="n"/>
      <x:c r="L5" s="12" t="n"/>
      <x:c r="M5" s="12" t="n"/>
      <x:c r="N5" s="12" t="n"/>
      <x:c r="O5" s="12" t="n"/>
      <x:c r="P5" s="12" t="n"/>
      <x:c r="Q5" s="12" t="n"/>
      <x:c r="R5" s="12" t="n"/>
      <x:c r="S5" s="12" t="n"/>
      <x:c r="T5" s="12" t="n"/>
      <x:c r="U5" s="12" t="n"/>
      <x:c r="V5" s="12" t="n"/>
      <x:c r="W5" s="12" t="n"/>
      <x:c r="X5" s="12" t="n"/>
      <x:c r="Y5" s="12" t="n"/>
      <x:c r="Z5" s="12" t="n"/>
      <x:c r="AA5" s="12" t="n"/>
      <x:c r="AB5" s="12" t="n"/>
      <x:c r="AC5" s="12" t="n"/>
      <x:c r="AD5" s="12" t="n"/>
      <x:c r="AE5" s="12" t="inlineStr">
        <x:is>
          <x:t xml:space="preserve">historical comparison baseline</x:t>
        </x:is>
      </x:c>
      <x:c r="AF5" s="12" t="inlineStr">
        <x:is>
          <x:t xml:space="preserve">Retained for longitudinal benchmark/version comparison.</x:t>
        </x:is>
      </x:c>
      <x:c r="AG5" s="12" t="inlineStr">
        <x:is>
          <x:t xml:space="preserve">medium</x:t>
        </x:is>
      </x:c>
      <x:c r="AH5" s="12" t="inlineStr">
        <x:is>
          <x:t xml:space="preserve">2026-09-29</x:t>
        </x:is>
      </x:c>
    </x:row>
    <x:row r="6">
      <x:c r="A6" s="12" t="inlineStr">
        <x:is>
          <x:t xml:space="preserve">openai|gpt-5-6-sol</x:t>
        </x:is>
      </x:c>
      <x:c r="B6" s="12" t="inlineStr">
        <x:is>
          <x:t xml:space="preserve">GPT-5.6 Sol</x:t>
        </x:is>
      </x:c>
      <x:c r="C6" s="12" t="inlineStr">
        <x:is>
          <x:t xml:space="preserve">Historical</x:t>
        </x:is>
      </x:c>
      <x:c r="D6" s="12" t="inlineStr">
        <x:is>
          <x:t xml:space="preserve">GPT-6 Sol</x:t>
        </x:is>
      </x:c>
      <x:c r="E6" s="12" t="inlineStr">
        <x:is>
          <x:t xml:space="preserve">historical/replaced</x:t>
        </x:is>
      </x:c>
      <x:c r="F6" s="12" t="inlineStr">
        <x:is>
          <x:t xml:space="preserve">historical</x:t>
        </x:is>
      </x:c>
      <x:c r="G6" s="12" t="n"/>
      <x:c r="H6" s="12" t="n"/>
      <x:c r="I6" s="12" t="n"/>
      <x:c r="J6" s="12" t="n"/>
      <x:c r="K6" s="12" t="n"/>
      <x:c r="L6" s="12" t="n"/>
      <x:c r="M6" s="12" t="n"/>
      <x:c r="N6" s="12" t="n"/>
      <x:c r="O6" s="12" t="n"/>
      <x:c r="P6" s="12" t="n"/>
      <x:c r="Q6" s="12" t="n"/>
      <x:c r="R6" s="12" t="n"/>
      <x:c r="S6" s="12" t="n"/>
      <x:c r="T6" s="12" t="n"/>
      <x:c r="U6" s="12" t="n"/>
      <x:c r="V6" s="12" t="n"/>
      <x:c r="W6" s="12" t="n"/>
      <x:c r="X6" s="12" t="n"/>
      <x:c r="Y6" s="12" t="n"/>
      <x:c r="Z6" s="12" t="n"/>
      <x:c r="AA6" s="12" t="n"/>
      <x:c r="AB6" s="12" t="n"/>
      <x:c r="AC6" s="12" t="n"/>
      <x:c r="AD6" s="12" t="n"/>
      <x:c r="AE6" s="12" t="inlineStr">
        <x:is>
          <x:t xml:space="preserve">historical comparison baseline</x:t>
        </x:is>
      </x:c>
      <x:c r="AF6" s="12" t="inlineStr">
        <x:is>
          <x:t xml:space="preserve">Retained for longitudinal benchmark/version comparison.</x:t>
        </x:is>
      </x:c>
      <x:c r="AG6" s="12" t="inlineStr">
        <x:is>
          <x:t xml:space="preserve">medium</x:t>
        </x:is>
      </x:c>
      <x:c r="AH6" s="12" t="inlineStr">
        <x:is>
          <x:t xml:space="preserve">2026-09-29</x:t>
        </x:is>
      </x:c>
    </x:row>
    <x:row r="7">
      <x:c r="A7" s="12" t="inlineStr">
        <x:is>
          <x:t xml:space="preserve">anthropic|claude-sonnet-5-5</x:t>
        </x:is>
      </x:c>
      <x:c r="B7" s="12" t="inlineStr">
        <x:is>
          <x:t xml:space="preserve">Claude Sonnet 5.5</x:t>
        </x:is>
      </x:c>
      <x:c r="C7" s="12" t="inlineStr">
        <x:is>
          <x:t xml:space="preserve">Contender</x:t>
        </x:is>
      </x:c>
      <x:c r="D7" s="12" t="str"/>
      <x:c r="E7" s="12" t="inlineStr">
        <x:is>
          <x:t xml:space="preserve">smart-fast / premium mid-high</x:t>
        </x:is>
      </x:c>
      <x:c r="F7" s="12" t="inlineStr">
        <x:is>
          <x:t xml:space="preserve">smart-fast / premium mid-high</x:t>
        </x:is>
      </x:c>
      <x:c r="G7" s="12" t="n">
        <x:v>5</x:v>
      </x:c>
      <x:c r="H7" s="12" t="n">
        <x:v>4</x:v>
      </x:c>
      <x:c r="I7" s="12" t="n">
        <x:v>3</x:v>
      </x:c>
      <x:c r="J7" s="12" t="n">
        <x:v>5</x:v>
      </x:c>
      <x:c r="K7" s="12" t="n">
        <x:v>2</x:v>
      </x:c>
      <x:c r="L7" s="12" t="n">
        <x:v>2</x:v>
      </x:c>
      <x:c r="M7" s="12" t="n">
        <x:v>2</x:v>
      </x:c>
      <x:c r="N7" s="12" t="n">
        <x:v>4</x:v>
      </x:c>
      <x:c r="O7" s="12" t="n">
        <x:v>4</x:v>
      </x:c>
      <x:c r="P7" s="12" t="n">
        <x:v>3</x:v>
      </x:c>
      <x:c r="Q7" s="12" t="n">
        <x:v>5</x:v>
      </x:c>
      <x:c r="R7" s="12" t="n">
        <x:v>5</x:v>
      </x:c>
      <x:c r="S7" s="12" t="n">
        <x:v>4</x:v>
      </x:c>
      <x:c r="T7" s="12" t="n">
        <x:v>4</x:v>
      </x:c>
      <x:c r="U7" s="12" t="n">
        <x:v>5</x:v>
      </x:c>
      <x:c r="V7" s="12" t="n">
        <x:v>5</x:v>
      </x:c>
      <x:c r="W7" s="12" t="n">
        <x:v>5</x:v>
      </x:c>
      <x:c r="X7" s="12" t="n">
        <x:v>4</x:v>
      </x:c>
      <x:c r="Y7" s="12" t="n">
        <x:v>5</x:v>
      </x:c>
      <x:c r="Z7" s="12" t="n">
        <x:v>5</x:v>
      </x:c>
      <x:c r="AA7" s="12" t="n">
        <x:v>5</x:v>
      </x:c>
      <x:c r="AB7" s="12" t="n">
        <x:v>5</x:v>
      </x:c>
      <x:c r="AC7" s="12" t="n">
        <x:v>4</x:v>
      </x:c>
      <x:c r="AD7" s="12" t="n">
        <x:v>5</x:v>
      </x:c>
      <x:c r="AE7" s="12" t="inlineStr">
        <x:is>
          <x:t xml:space="preserve">daily-driver coding / reviewer / design</x:t>
        </x:is>
      </x:c>
      <x:c r="AF7" s="12" t="inlineStr">
        <x:is>
          <x:t xml:space="preserve">One of the best general balances of intelligence, collaboration, and speed.</x:t>
        </x:is>
      </x:c>
      <x:c r="AG7" s="12" t="inlineStr">
        <x:is>
          <x:t xml:space="preserve">high</x:t>
        </x:is>
      </x:c>
      <x:c r="AH7" s="12" t="inlineStr">
        <x:is>
          <x:t xml:space="preserve">2026-09-29</x:t>
        </x:is>
      </x:c>
    </x:row>
    <x:row r="8">
      <x:c r="A8" s="12" t="inlineStr">
        <x:is>
          <x:t xml:space="preserve">anthropic|claude-opus-5-5</x:t>
        </x:is>
      </x:c>
      <x:c r="B8" s="12" t="inlineStr">
        <x:is>
          <x:t xml:space="preserve">Claude Opus 5.5</x:t>
        </x:is>
      </x:c>
      <x:c r="C8" s="12" t="inlineStr">
        <x:is>
          <x:t xml:space="preserve">Contender</x:t>
        </x:is>
      </x:c>
      <x:c r="D8" s="12" t="str"/>
      <x:c r="E8" s="12" t="inlineStr">
        <x:is>
          <x:t xml:space="preserve">frontier / judgment-heavy</x:t>
        </x:is>
      </x:c>
      <x:c r="F8" s="12" t="inlineStr">
        <x:is>
          <x:t xml:space="preserve">frontier / judgment-heavy</x:t>
        </x:is>
      </x:c>
      <x:c r="G8" s="12" t="n">
        <x:v>5</x:v>
      </x:c>
      <x:c r="H8" s="12" t="n">
        <x:v>3</x:v>
      </x:c>
      <x:c r="I8" s="12" t="n">
        <x:v>1</x:v>
      </x:c>
      <x:c r="J8" s="12" t="n">
        <x:v>5</x:v>
      </x:c>
      <x:c r="K8" s="12" t="n">
        <x:v>1</x:v>
      </x:c>
      <x:c r="L8" s="12" t="n">
        <x:v>1</x:v>
      </x:c>
      <x:c r="M8" s="12" t="n">
        <x:v>1</x:v>
      </x:c>
      <x:c r="N8" s="12" t="n">
        <x:v>2</x:v>
      </x:c>
      <x:c r="O8" s="12" t="n">
        <x:v>5</x:v>
      </x:c>
      <x:c r="P8" s="12" t="n">
        <x:v>4</x:v>
      </x:c>
      <x:c r="Q8" s="12" t="n">
        <x:v>3</x:v>
      </x:c>
      <x:c r="R8" s="12" t="n">
        <x:v>4</x:v>
      </x:c>
      <x:c r="S8" s="12" t="n">
        <x:v>5</x:v>
      </x:c>
      <x:c r="T8" s="12" t="n">
        <x:v>5</x:v>
      </x:c>
      <x:c r="U8" s="12" t="n">
        <x:v>5</x:v>
      </x:c>
      <x:c r="V8" s="12" t="n">
        <x:v>5</x:v>
      </x:c>
      <x:c r="W8" s="12" t="n">
        <x:v>4</x:v>
      </x:c>
      <x:c r="X8" s="12" t="n">
        <x:v>2</x:v>
      </x:c>
      <x:c r="Y8" s="12" t="n">
        <x:v>5</x:v>
      </x:c>
      <x:c r="Z8" s="12" t="n">
        <x:v>5</x:v>
      </x:c>
      <x:c r="AA8" s="12" t="n">
        <x:v>4</x:v>
      </x:c>
      <x:c r="AB8" s="12" t="n">
        <x:v>5</x:v>
      </x:c>
      <x:c r="AC8" s="12" t="n">
        <x:v>5</x:v>
      </x:c>
      <x:c r="AD8" s="12" t="n">
        <x:v>5</x:v>
      </x:c>
      <x:c r="AE8" s="12" t="inlineStr">
        <x:is>
          <x:t xml:space="preserve">ambiguous high-context architecture/review</x:t>
        </x:is>
      </x:c>
      <x:c r="AF8" s="12" t="inlineStr">
        <x:is>
          <x:t xml:space="preserve">Sustained judgment is excellent; poor economics for trivial work.</x:t>
        </x:is>
      </x:c>
      <x:c r="AG8" s="12" t="inlineStr">
        <x:is>
          <x:t xml:space="preserve">high</x:t>
        </x:is>
      </x:c>
      <x:c r="AH8" s="12" t="inlineStr">
        <x:is>
          <x:t xml:space="preserve">2026-09-29</x:t>
        </x:is>
      </x:c>
    </x:row>
    <x:row r="9">
      <x:c r="A9" s="12" t="inlineStr">
        <x:is>
          <x:t xml:space="preserve">anthropic|claude-opus-5</x:t>
        </x:is>
      </x:c>
      <x:c r="B9" s="12" t="inlineStr">
        <x:is>
          <x:t xml:space="preserve">Claude Opus 5</x:t>
        </x:is>
      </x:c>
      <x:c r="C9" s="12" t="inlineStr">
        <x:is>
          <x:t xml:space="preserve">Historical</x:t>
        </x:is>
      </x:c>
      <x:c r="D9" s="12" t="inlineStr">
        <x:is>
          <x:t xml:space="preserve">Claude Opus 5.5</x:t>
        </x:is>
      </x:c>
      <x:c r="E9" s="12" t="inlineStr">
        <x:is>
          <x:t xml:space="preserve">historical/replaced</x:t>
        </x:is>
      </x:c>
      <x:c r="F9" s="12" t="inlineStr">
        <x:is>
          <x:t xml:space="preserve">historical</x:t>
        </x:is>
      </x:c>
      <x:c r="G9" s="12" t="n"/>
      <x:c r="H9" s="12" t="n"/>
      <x:c r="I9" s="12" t="n"/>
      <x:c r="J9" s="12" t="n"/>
      <x:c r="K9" s="12" t="n"/>
      <x:c r="L9" s="12" t="n"/>
      <x:c r="M9" s="12" t="n"/>
      <x:c r="N9" s="12" t="n"/>
      <x:c r="O9" s="12" t="n"/>
      <x:c r="P9" s="12" t="n"/>
      <x:c r="Q9" s="12" t="n"/>
      <x:c r="R9" s="12" t="n"/>
      <x:c r="S9" s="12" t="n"/>
      <x:c r="T9" s="12" t="n"/>
      <x:c r="U9" s="12" t="n"/>
      <x:c r="V9" s="12" t="n"/>
      <x:c r="W9" s="12" t="n"/>
      <x:c r="X9" s="12" t="n"/>
      <x:c r="Y9" s="12" t="n"/>
      <x:c r="Z9" s="12" t="n"/>
      <x:c r="AA9" s="12" t="n"/>
      <x:c r="AB9" s="12" t="n"/>
      <x:c r="AC9" s="12" t="n"/>
      <x:c r="AD9" s="12" t="n"/>
      <x:c r="AE9" s="12" t="inlineStr">
        <x:is>
          <x:t xml:space="preserve">historical comparison baseline</x:t>
        </x:is>
      </x:c>
      <x:c r="AF9" s="12" t="inlineStr">
        <x:is>
          <x:t xml:space="preserve">Retained for longitudinal benchmark/version comparison.</x:t>
        </x:is>
      </x:c>
      <x:c r="AG9" s="12" t="inlineStr">
        <x:is>
          <x:t xml:space="preserve">medium</x:t>
        </x:is>
      </x:c>
      <x:c r="AH9" s="12" t="inlineStr">
        <x:is>
          <x:t xml:space="preserve">2026-09-29</x:t>
        </x:is>
      </x:c>
    </x:row>
    <x:row r="10">
      <x:c r="A10" s="12" t="inlineStr">
        <x:is>
          <x:t xml:space="preserve">anthropic|claude-sonnet-5</x:t>
        </x:is>
      </x:c>
      <x:c r="B10" s="12" t="inlineStr">
        <x:is>
          <x:t xml:space="preserve">Claude Sonnet 5</x:t>
        </x:is>
      </x:c>
      <x:c r="C10" s="12" t="inlineStr">
        <x:is>
          <x:t xml:space="preserve">Historical</x:t>
        </x:is>
      </x:c>
      <x:c r="D10" s="12" t="inlineStr">
        <x:is>
          <x:t xml:space="preserve">Claude Sonnet 5.5</x:t>
        </x:is>
      </x:c>
      <x:c r="E10" s="12" t="inlineStr">
        <x:is>
          <x:t xml:space="preserve">historical/replaced</x:t>
        </x:is>
      </x:c>
      <x:c r="F10" s="12" t="inlineStr">
        <x:is>
          <x:t xml:space="preserve">historical</x:t>
        </x:is>
      </x:c>
      <x:c r="G10" s="12" t="n"/>
      <x:c r="H10" s="12" t="n"/>
      <x:c r="I10" s="12" t="n"/>
      <x:c r="J10" s="12" t="n"/>
      <x:c r="K10" s="12" t="n"/>
      <x:c r="L10" s="12" t="n"/>
      <x:c r="M10" s="12" t="n"/>
      <x:c r="N10" s="12" t="n"/>
      <x:c r="O10" s="12" t="n"/>
      <x:c r="P10" s="12" t="n"/>
      <x:c r="Q10" s="12" t="n"/>
      <x:c r="R10" s="12" t="n"/>
      <x:c r="S10" s="12" t="n"/>
      <x:c r="T10" s="12" t="n"/>
      <x:c r="U10" s="12" t="n"/>
      <x:c r="V10" s="12" t="n"/>
      <x:c r="W10" s="12" t="n"/>
      <x:c r="X10" s="12" t="n"/>
      <x:c r="Y10" s="12" t="n"/>
      <x:c r="Z10" s="12" t="n"/>
      <x:c r="AA10" s="12" t="n"/>
      <x:c r="AB10" s="12" t="n"/>
      <x:c r="AC10" s="12" t="n"/>
      <x:c r="AD10" s="12" t="n"/>
      <x:c r="AE10" s="12" t="inlineStr">
        <x:is>
          <x:t xml:space="preserve">historical comparison baseline</x:t>
        </x:is>
      </x:c>
      <x:c r="AF10" s="12" t="inlineStr">
        <x:is>
          <x:t xml:space="preserve">Retained for longitudinal benchmark/version comparison.</x:t>
        </x:is>
      </x:c>
      <x:c r="AG10" s="12" t="inlineStr">
        <x:is>
          <x:t xml:space="preserve">medium</x:t>
        </x:is>
      </x:c>
      <x:c r="AH10" s="12" t="inlineStr">
        <x:is>
          <x:t xml:space="preserve">2026-09-29</x:t>
        </x:is>
      </x:c>
    </x:row>
    <x:row r="11">
      <x:c r="A11" s="12" t="inlineStr">
        <x:is>
          <x:t xml:space="preserve">anthropic|claude-4-5-haiku</x:t>
        </x:is>
      </x:c>
      <x:c r="B11" s="12" t="inlineStr">
        <x:is>
          <x:t xml:space="preserve">Claude 4.5 Haiku</x:t>
        </x:is>
      </x:c>
      <x:c r="C11" s="12" t="inlineStr">
        <x:is>
          <x:t xml:space="preserve">Historical</x:t>
        </x:is>
      </x:c>
      <x:c r="D11" s="12" t="inlineStr">
        <x:is>
          <x:t xml:space="preserve">newer Haiku generation</x:t>
        </x:is>
      </x:c>
      <x:c r="E11" s="12" t="inlineStr">
        <x:is>
          <x:t xml:space="preserve">historical/replaced</x:t>
        </x:is>
      </x:c>
      <x:c r="F11" s="12" t="inlineStr">
        <x:is>
          <x:t xml:space="preserve">historical</x:t>
        </x:is>
      </x:c>
      <x:c r="G11" s="12" t="n"/>
      <x:c r="H11" s="12" t="n"/>
      <x:c r="I11" s="12" t="n"/>
      <x:c r="J11" s="12" t="n"/>
      <x:c r="K11" s="12" t="n"/>
      <x:c r="L11" s="12" t="n"/>
      <x:c r="M11" s="12" t="n"/>
      <x:c r="N11" s="12" t="n"/>
      <x:c r="O11" s="12" t="n"/>
      <x:c r="P11" s="12" t="n"/>
      <x:c r="Q11" s="12" t="n"/>
      <x:c r="R11" s="12" t="n"/>
      <x:c r="S11" s="12" t="n"/>
      <x:c r="T11" s="12" t="n"/>
      <x:c r="U11" s="12" t="n"/>
      <x:c r="V11" s="12" t="n"/>
      <x:c r="W11" s="12" t="n"/>
      <x:c r="X11" s="12" t="n"/>
      <x:c r="Y11" s="12" t="n"/>
      <x:c r="Z11" s="12" t="n"/>
      <x:c r="AA11" s="12" t="n"/>
      <x:c r="AB11" s="12" t="n"/>
      <x:c r="AC11" s="12" t="n"/>
      <x:c r="AD11" s="12" t="n"/>
      <x:c r="AE11" s="12" t="inlineStr">
        <x:is>
          <x:t xml:space="preserve">historical comparison baseline</x:t>
        </x:is>
      </x:c>
      <x:c r="AF11" s="12" t="inlineStr">
        <x:is>
          <x:t xml:space="preserve">Retained for longitudinal benchmark/version comparison.</x:t>
        </x:is>
      </x:c>
      <x:c r="AG11" s="12" t="inlineStr">
        <x:is>
          <x:t xml:space="preserve">medium</x:t>
        </x:is>
      </x:c>
      <x:c r="AH11" s="12" t="inlineStr">
        <x:is>
          <x:t xml:space="preserve">2026-09-29</x:t>
        </x:is>
      </x:c>
    </x:row>
    <x:row r="12">
      <x:c r="A12" s="12" t="inlineStr">
        <x:is>
          <x:t xml:space="preserve">anthropic|claude-opus-4-5</x:t>
        </x:is>
      </x:c>
      <x:c r="B12" s="12" t="inlineStr">
        <x:is>
          <x:t xml:space="preserve">Claude Opus 4.5</x:t>
        </x:is>
      </x:c>
      <x:c r="C12" s="12" t="inlineStr">
        <x:is>
          <x:t xml:space="preserve">Historical</x:t>
        </x:is>
      </x:c>
      <x:c r="D12" s="12" t="str"/>
      <x:c r="E12" s="12" t="inlineStr">
        <x:is>
          <x:t xml:space="preserve">historical/replaced</x:t>
        </x:is>
      </x:c>
      <x:c r="F12" s="12" t="inlineStr">
        <x:is>
          <x:t xml:space="preserve">historical</x:t>
        </x:is>
      </x:c>
      <x:c r="G12" s="12" t="n"/>
      <x:c r="H12" s="12" t="n"/>
      <x:c r="I12" s="12" t="n"/>
      <x:c r="J12" s="12" t="n"/>
      <x:c r="K12" s="12" t="n"/>
      <x:c r="L12" s="12" t="n"/>
      <x:c r="M12" s="12" t="n"/>
      <x:c r="N12" s="12" t="n"/>
      <x:c r="O12" s="12" t="n"/>
      <x:c r="P12" s="12" t="n"/>
      <x:c r="Q12" s="12" t="n"/>
      <x:c r="R12" s="12" t="n"/>
      <x:c r="S12" s="12" t="n"/>
      <x:c r="T12" s="12" t="n"/>
      <x:c r="U12" s="12" t="n"/>
      <x:c r="V12" s="12" t="n"/>
      <x:c r="W12" s="12" t="n"/>
      <x:c r="X12" s="12" t="n"/>
      <x:c r="Y12" s="12" t="n"/>
      <x:c r="Z12" s="12" t="n"/>
      <x:c r="AA12" s="12" t="n"/>
      <x:c r="AB12" s="12" t="n"/>
      <x:c r="AC12" s="12" t="n"/>
      <x:c r="AD12" s="12" t="n"/>
      <x:c r="AE12" s="12" t="inlineStr">
        <x:is>
          <x:t xml:space="preserve">historical comparison baseline</x:t>
        </x:is>
      </x:c>
      <x:c r="AF12" s="12" t="inlineStr">
        <x:is>
          <x:t xml:space="preserve">Retained for longitudinal benchmark/version comparison.</x:t>
        </x:is>
      </x:c>
      <x:c r="AG12" s="12" t="inlineStr">
        <x:is>
          <x:t xml:space="preserve">medium</x:t>
        </x:is>
      </x:c>
      <x:c r="AH12" s="12" t="inlineStr">
        <x:is>
          <x:t xml:space="preserve">2026-09-29</x:t>
        </x:is>
      </x:c>
    </x:row>
    <x:row r="13">
      <x:c r="A13" s="12" t="inlineStr">
        <x:is>
          <x:t xml:space="preserve">z-ai|glm-5-3-flash</x:t>
        </x:is>
      </x:c>
      <x:c r="B13" s="12" t="inlineStr">
        <x:is>
          <x:t xml:space="preserve">GLM-5.3 Flash</x:t>
        </x:is>
      </x:c>
      <x:c r="C13" s="12" t="inlineStr">
        <x:is>
          <x:t xml:space="preserve">Contender</x:t>
        </x:is>
      </x:c>
      <x:c r="D13" s="12" t="str"/>
      <x:c r="E13" s="12" t="inlineStr">
        <x:is>
          <x:t xml:space="preserve">cheap / strong midtier / slower task</x:t>
        </x:is>
      </x:c>
      <x:c r="F13" s="12" t="inlineStr">
        <x:is>
          <x:t xml:space="preserve">cheap / strong midtier / slower task</x:t>
        </x:is>
      </x:c>
      <x:c r="G13" s="12" t="n">
        <x:v>4</x:v>
      </x:c>
      <x:c r="H13" s="12" t="n">
        <x:v>3</x:v>
      </x:c>
      <x:c r="I13" s="12" t="n">
        <x:v>5</x:v>
      </x:c>
      <x:c r="J13" s="12" t="n">
        <x:v>3</x:v>
      </x:c>
      <x:c r="K13" s="12" t="n">
        <x:v>3</x:v>
      </x:c>
      <x:c r="L13" s="12" t="n">
        <x:v>4</x:v>
      </x:c>
      <x:c r="M13" s="12" t="n">
        <x:v>4</x:v>
      </x:c>
      <x:c r="N13" s="12" t="n">
        <x:v>5</x:v>
      </x:c>
      <x:c r="O13" s="12" t="n">
        <x:v>2</x:v>
      </x:c>
      <x:c r="P13" s="12" t="n">
        <x:v>4</x:v>
      </x:c>
      <x:c r="Q13" s="12" t="n">
        <x:v>5</x:v>
      </x:c>
      <x:c r="R13" s="12" t="n">
        <x:v>4</x:v>
      </x:c>
      <x:c r="S13" s="12" t="n">
        <x:v>4</x:v>
      </x:c>
      <x:c r="T13" s="12" t="n">
        <x:v>3</x:v>
      </x:c>
      <x:c r="U13" s="12" t="n">
        <x:v>4</x:v>
      </x:c>
      <x:c r="V13" s="12" t="n">
        <x:v>5</x:v>
      </x:c>
      <x:c r="W13" s="12" t="n">
        <x:v>5</x:v>
      </x:c>
      <x:c r="X13" s="12" t="n">
        <x:v>5</x:v>
      </x:c>
      <x:c r="Y13" s="12" t="n">
        <x:v>4</x:v>
      </x:c>
      <x:c r="Z13" s="12" t="n">
        <x:v>3</x:v>
      </x:c>
      <x:c r="AA13" s="12" t="n">
        <x:v>5</x:v>
      </x:c>
      <x:c r="AB13" s="12" t="n">
        <x:v>4</x:v>
      </x:c>
      <x:c r="AC13" s="12" t="n">
        <x:v>3</x:v>
      </x:c>
      <x:c r="AD13" s="12" t="n">
        <x:v>3</x:v>
      </x:c>
      <x:c r="AE13" s="12" t="inlineStr">
        <x:is>
          <x:t xml:space="preserve">cheap implementation / reviewer subagent</x:t>
        </x:is>
      </x:c>
      <x:c r="AF13" s="12" t="inlineStr">
        <x:is>
          <x:t xml:space="preserve">Can spend too long following a plausible wrong branch.</x:t>
        </x:is>
      </x:c>
      <x:c r="AG13" s="12" t="inlineStr">
        <x:is>
          <x:t xml:space="preserve">medium</x:t>
        </x:is>
      </x:c>
      <x:c r="AH13" s="12" t="inlineStr">
        <x:is>
          <x:t xml:space="preserve">2026-09-29</x:t>
        </x:is>
      </x:c>
    </x:row>
    <x:row r="14">
      <x:c r="A14" s="12" t="inlineStr">
        <x:is>
          <x:t xml:space="preserve">alibaba|qwen3-8-flash-next</x:t>
        </x:is>
      </x:c>
      <x:c r="B14" s="12" t="inlineStr">
        <x:is>
          <x:t xml:space="preserve">Qwen3.8-Flash-Next</x:t>
        </x:is>
      </x:c>
      <x:c r="C14" s="12" t="inlineStr">
        <x:is>
          <x:t xml:space="preserve">Close</x:t>
        </x:is>
      </x:c>
      <x:c r="D14" s="12" t="str"/>
      <x:c r="E14" s="12" t="inlineStr">
        <x:is>
          <x:t xml:space="preserve">cheap / smart / token-heavy</x:t>
        </x:is>
      </x:c>
      <x:c r="F14" s="12" t="inlineStr">
        <x:is>
          <x:t xml:space="preserve">cheap / smart / token-heavy</x:t>
        </x:is>
      </x:c>
      <x:c r="G14" s="12" t="n">
        <x:v>4</x:v>
      </x:c>
      <x:c r="H14" s="12" t="n">
        <x:v>3</x:v>
      </x:c>
      <x:c r="I14" s="12" t="n">
        <x:v>4</x:v>
      </x:c>
      <x:c r="J14" s="12" t="n">
        <x:v>3</x:v>
      </x:c>
      <x:c r="K14" s="12" t="n">
        <x:v>3</x:v>
      </x:c>
      <x:c r="L14" s="12" t="n">
        <x:v>4</x:v>
      </x:c>
      <x:c r="M14" s="12" t="n">
        <x:v>4</x:v>
      </x:c>
      <x:c r="N14" s="12" t="n">
        <x:v>5</x:v>
      </x:c>
      <x:c r="O14" s="12" t="n">
        <x:v>2</x:v>
      </x:c>
      <x:c r="P14" s="12" t="n">
        <x:v>5</x:v>
      </x:c>
      <x:c r="Q14" s="12" t="n">
        <x:v>4</x:v>
      </x:c>
      <x:c r="R14" s="12" t="n">
        <x:v>4</x:v>
      </x:c>
      <x:c r="S14" s="12" t="n">
        <x:v>4</x:v>
      </x:c>
      <x:c r="T14" s="12" t="n">
        <x:v>3</x:v>
      </x:c>
      <x:c r="U14" s="12" t="n">
        <x:v>4</x:v>
      </x:c>
      <x:c r="V14" s="12" t="n">
        <x:v>4</x:v>
      </x:c>
      <x:c r="W14" s="12" t="n">
        <x:v>4</x:v>
      </x:c>
      <x:c r="X14" s="12" t="n">
        <x:v>4</x:v>
      </x:c>
      <x:c r="Y14" s="12" t="n">
        <x:v>4</x:v>
      </x:c>
      <x:c r="Z14" s="12" t="n">
        <x:v>3</x:v>
      </x:c>
      <x:c r="AA14" s="12" t="n">
        <x:v>4</x:v>
      </x:c>
      <x:c r="AB14" s="12" t="n">
        <x:v>4</x:v>
      </x:c>
      <x:c r="AC14" s="12" t="n">
        <x:v>3</x:v>
      </x:c>
      <x:c r="AD14" s="12" t="n">
        <x:v>3</x:v>
      </x:c>
      <x:c r="AE14" s="12" t="inlineStr">
        <x:is>
          <x:t xml:space="preserve">budget reasoning when latency is secondary</x:t>
        </x:is>
      </x:c>
      <x:c r="AF14" s="12" t="inlineStr">
        <x:is>
          <x:t xml:space="preserve">Good score/cost but very token-heavy AA tasks.</x:t>
        </x:is>
      </x:c>
      <x:c r="AG14" s="12" t="inlineStr">
        <x:is>
          <x:t xml:space="preserve">medium</x:t>
        </x:is>
      </x:c>
      <x:c r="AH14" s="12" t="inlineStr">
        <x:is>
          <x:t xml:space="preserve">2026-09-29</x:t>
        </x:is>
      </x:c>
    </x:row>
    <x:row r="15">
      <x:c r="A15" s="12" t="inlineStr">
        <x:is>
          <x:t xml:space="preserve">xiaomi|mimo-v2-6-flash</x:t>
        </x:is>
      </x:c>
      <x:c r="B15" s="12" t="inlineStr">
        <x:is>
          <x:t xml:space="preserve">MiMo-V2.6-Flash</x:t>
        </x:is>
      </x:c>
      <x:c r="C15" s="12" t="inlineStr">
        <x:is>
          <x:t xml:space="preserve">Contender</x:t>
        </x:is>
      </x:c>
      <x:c r="D15" s="12" t="str"/>
      <x:c r="E15" s="12" t="inlineStr">
        <x:is>
          <x:t xml:space="preserve">ultra-cheap / long-running reasoner</x:t>
        </x:is>
      </x:c>
      <x:c r="F15" s="12" t="inlineStr">
        <x:is>
          <x:t xml:space="preserve">ultra-cheap / long-running reasoner</x:t>
        </x:is>
      </x:c>
      <x:c r="G15" s="12" t="n">
        <x:v>4</x:v>
      </x:c>
      <x:c r="H15" s="12" t="n">
        <x:v>3</x:v>
      </x:c>
      <x:c r="I15" s="12" t="n">
        <x:v>5</x:v>
      </x:c>
      <x:c r="J15" s="12" t="n">
        <x:v>3</x:v>
      </x:c>
      <x:c r="K15" s="12" t="n">
        <x:v>3</x:v>
      </x:c>
      <x:c r="L15" s="12" t="n">
        <x:v>4</x:v>
      </x:c>
      <x:c r="M15" s="12" t="n">
        <x:v>4</x:v>
      </x:c>
      <x:c r="N15" s="12" t="n">
        <x:v>5</x:v>
      </x:c>
      <x:c r="O15" s="12" t="n">
        <x:v>2</x:v>
      </x:c>
      <x:c r="P15" s="12" t="n">
        <x:v>5</x:v>
      </x:c>
      <x:c r="Q15" s="12" t="n">
        <x:v>5</x:v>
      </x:c>
      <x:c r="R15" s="12" t="n">
        <x:v>4</x:v>
      </x:c>
      <x:c r="S15" s="12" t="n">
        <x:v>3</x:v>
      </x:c>
      <x:c r="T15" s="12" t="n">
        <x:v>3</x:v>
      </x:c>
      <x:c r="U15" s="12" t="n">
        <x:v>4</x:v>
      </x:c>
      <x:c r="V15" s="12" t="n">
        <x:v>5</x:v>
      </x:c>
      <x:c r="W15" s="12" t="n">
        <x:v>5</x:v>
      </x:c>
      <x:c r="X15" s="12" t="n">
        <x:v>5</x:v>
      </x:c>
      <x:c r="Y15" s="12" t="n">
        <x:v>3</x:v>
      </x:c>
      <x:c r="Z15" s="12" t="n">
        <x:v>3</x:v>
      </x:c>
      <x:c r="AA15" s="12" t="n">
        <x:v>5</x:v>
      </x:c>
      <x:c r="AB15" s="12" t="n">
        <x:v>4</x:v>
      </x:c>
      <x:c r="AC15" s="12" t="n">
        <x:v>3</x:v>
      </x:c>
      <x:c r="AD15" s="12" t="n">
        <x:v>3</x:v>
      </x:c>
      <x:c r="AE15" s="12" t="inlineStr">
        <x:is>
          <x:t xml:space="preserve">high-volume implementation subagent</x:t>
        </x:is>
      </x:c>
      <x:c r="AF15" s="12" t="inlineStr">
        <x:is>
          <x:t xml:space="preserve">Cheap dollars, not necessarily cheap wall time.</x:t>
        </x:is>
      </x:c>
      <x:c r="AG15" s="12" t="inlineStr">
        <x:is>
          <x:t xml:space="preserve">medium</x:t>
        </x:is>
      </x:c>
      <x:c r="AH15" s="12" t="inlineStr">
        <x:is>
          <x:t xml:space="preserve">2026-09-29</x:t>
        </x:is>
      </x:c>
    </x:row>
    <x:row r="16">
      <x:c r="A16" s="12" t="inlineStr">
        <x:is>
          <x:t xml:space="preserve">minimax|minimax-m3</x:t>
        </x:is>
      </x:c>
      <x:c r="B16" s="12" t="inlineStr">
        <x:is>
          <x:t xml:space="preserve">MiniMax-M3</x:t>
        </x:is>
      </x:c>
      <x:c r="C16" s="12" t="inlineStr">
        <x:is>
          <x:t xml:space="preserve">Close</x:t>
        </x:is>
      </x:c>
      <x:c r="D16" s="12" t="str"/>
      <x:c r="E16" s="12" t="inlineStr">
        <x:is>
          <x:t xml:space="preserve">very fast / cheaper / lower intelligence</x:t>
        </x:is>
      </x:c>
      <x:c r="F16" s="12" t="inlineStr">
        <x:is>
          <x:t xml:space="preserve">very fast / cheaper / lower intelligence</x:t>
        </x:is>
      </x:c>
      <x:c r="G16" s="12" t="n">
        <x:v>3</x:v>
      </x:c>
      <x:c r="H16" s="12" t="n">
        <x:v>5</x:v>
      </x:c>
      <x:c r="I16" s="12" t="n">
        <x:v>4</x:v>
      </x:c>
      <x:c r="J16" s="12" t="n">
        <x:v>3</x:v>
      </x:c>
      <x:c r="K16" s="12" t="n">
        <x:v>4</x:v>
      </x:c>
      <x:c r="L16" s="12" t="n">
        <x:v>3</x:v>
      </x:c>
      <x:c r="M16" s="12" t="n">
        <x:v>3</x:v>
      </x:c>
      <x:c r="N16" s="12" t="n">
        <x:v>5</x:v>
      </x:c>
      <x:c r="O16" s="12" t="n">
        <x:v>2</x:v>
      </x:c>
      <x:c r="P16" s="12" t="n">
        <x:v>2</x:v>
      </x:c>
      <x:c r="Q16" s="12" t="n">
        <x:v>5</x:v>
      </x:c>
      <x:c r="R16" s="12" t="n">
        <x:v>4</x:v>
      </x:c>
      <x:c r="S16" s="12" t="n">
        <x:v>2</x:v>
      </x:c>
      <x:c r="T16" s="12" t="n">
        <x:v>2</x:v>
      </x:c>
      <x:c r="U16" s="12" t="n">
        <x:v>3</x:v>
      </x:c>
      <x:c r="V16" s="12" t="n">
        <x:v>4</x:v>
      </x:c>
      <x:c r="W16" s="12" t="n">
        <x:v>5</x:v>
      </x:c>
      <x:c r="X16" s="12" t="n">
        <x:v>5</x:v>
      </x:c>
      <x:c r="Y16" s="12" t="n">
        <x:v>3</x:v>
      </x:c>
      <x:c r="Z16" s="12" t="n">
        <x:v>3</x:v>
      </x:c>
      <x:c r="AA16" s="12" t="n">
        <x:v>5</x:v>
      </x:c>
      <x:c r="AB16" s="12" t="n">
        <x:v>3</x:v>
      </x:c>
      <x:c r="AC16" s="12" t="n">
        <x:v>2</x:v>
      </x:c>
      <x:c r="AD16" s="12" t="n">
        <x:v>3</x:v>
      </x:c>
      <x:c r="AE16" s="12" t="inlineStr">
        <x:is>
          <x:t xml:space="preserve">fast simple/moderate implementation</x:t>
        </x:is>
      </x:c>
      <x:c r="AF16" s="12" t="inlineStr">
        <x:is>
          <x:t xml:space="preserve">Intelligence ceiling makes subtle architecture/debugging risky.</x:t>
        </x:is>
      </x:c>
      <x:c r="AG16" s="12" t="inlineStr">
        <x:is>
          <x:t xml:space="preserve">medium</x:t>
        </x:is>
      </x:c>
      <x:c r="AH16" s="12" t="inlineStr">
        <x:is>
          <x:t xml:space="preserve">2026-09-29</x:t>
        </x:is>
      </x:c>
    </x:row>
    <x:row r="17">
      <x:c r="A17" s="12" t="inlineStr">
        <x:is>
          <x:t xml:space="preserve">meta|muse-spark-1-3</x:t>
        </x:is>
      </x:c>
      <x:c r="B17" s="12" t="inlineStr">
        <x:is>
          <x:t xml:space="preserve">Muse Spark 1.3</x:t>
        </x:is>
      </x:c>
      <x:c r="C17" s="12" t="inlineStr">
        <x:is>
          <x:t xml:space="preserve">Contender</x:t>
        </x:is>
      </x:c>
      <x:c r="D17" s="12" t="str"/>
      <x:c r="E17" s="12" t="inlineStr">
        <x:is>
          <x:t xml:space="preserve">extremely fast / strong / cheap</x:t>
        </x:is>
      </x:c>
      <x:c r="F17" s="12" t="inlineStr">
        <x:is>
          <x:t xml:space="preserve">extremely fast / strong / cheap</x:t>
        </x:is>
      </x:c>
      <x:c r="G17" s="12" t="n">
        <x:v>4</x:v>
      </x:c>
      <x:c r="H17" s="12" t="n">
        <x:v>5</x:v>
      </x:c>
      <x:c r="I17" s="12" t="n">
        <x:v>5</x:v>
      </x:c>
      <x:c r="J17" s="12" t="n">
        <x:v>4</x:v>
      </x:c>
      <x:c r="K17" s="12" t="n">
        <x:v>3</x:v>
      </x:c>
      <x:c r="L17" s="12" t="n">
        <x:v>2</x:v>
      </x:c>
      <x:c r="M17" s="12" t="n">
        <x:v>2</x:v>
      </x:c>
      <x:c r="N17" s="12" t="n">
        <x:v>5</x:v>
      </x:c>
      <x:c r="O17" s="12" t="n">
        <x:v>2</x:v>
      </x:c>
      <x:c r="P17" s="12" t="n">
        <x:v>2</x:v>
      </x:c>
      <x:c r="Q17" s="12" t="n">
        <x:v>5</x:v>
      </x:c>
      <x:c r="R17" s="12" t="n">
        <x:v>5</x:v>
      </x:c>
      <x:c r="S17" s="12" t="n">
        <x:v>4</x:v>
      </x:c>
      <x:c r="T17" s="12" t="n">
        <x:v>4</x:v>
      </x:c>
      <x:c r="U17" s="12" t="n">
        <x:v>4</x:v>
      </x:c>
      <x:c r="V17" s="12" t="n">
        <x:v>5</x:v>
      </x:c>
      <x:c r="W17" s="12" t="n">
        <x:v>5</x:v>
      </x:c>
      <x:c r="X17" s="12" t="n">
        <x:v>5</x:v>
      </x:c>
      <x:c r="Y17" s="12" t="n">
        <x:v>4</x:v>
      </x:c>
      <x:c r="Z17" s="12" t="n">
        <x:v>4</x:v>
      </x:c>
      <x:c r="AA17" s="12" t="n">
        <x:v>5</x:v>
      </x:c>
      <x:c r="AB17" s="12" t="n">
        <x:v>5</x:v>
      </x:c>
      <x:c r="AC17" s="12" t="n">
        <x:v>4</x:v>
      </x:c>
      <x:c r="AD17" s="12" t="n">
        <x:v>4</x:v>
      </x:c>
      <x:c r="AE17" s="12" t="inlineStr">
        <x:is>
          <x:t xml:space="preserve">rapid implementation / exploration</x:t>
        </x:is>
      </x:c>
      <x:c r="AF17" s="12" t="inlineStr">
        <x:is>
          <x:t xml:space="preserve">Excellent speed/intelligence mix; ecosystem maturity is the main caveat.</x:t>
        </x:is>
      </x:c>
      <x:c r="AG17" s="12" t="inlineStr">
        <x:is>
          <x:t xml:space="preserve">medium</x:t>
        </x:is>
      </x:c>
      <x:c r="AH17" s="12" t="inlineStr">
        <x:is>
          <x:t xml:space="preserve">2026-09-29</x:t>
        </x:is>
      </x:c>
    </x:row>
    <x:row r="18">
      <x:c r="A18" s="12" t="inlineStr">
        <x:is>
          <x:t xml:space="preserve">google|gemini-3-8-flash</x:t>
        </x:is>
      </x:c>
      <x:c r="B18" s="12" t="inlineStr">
        <x:is>
          <x:t xml:space="preserve">Gemini 3.8 Flash</x:t>
        </x:is>
      </x:c>
      <x:c r="C18" s="12" t="inlineStr">
        <x:is>
          <x:t xml:space="preserve">Contender</x:t>
        </x:is>
      </x:c>
      <x:c r="D18" s="12" t="str"/>
      <x:c r="E18" s="12" t="inlineStr">
        <x:is>
          <x:t xml:space="preserve">fastest / strong / task-cost heavier</x:t>
        </x:is>
      </x:c>
      <x:c r="F18" s="12" t="inlineStr">
        <x:is>
          <x:t xml:space="preserve">fastest / strong / task-cost heavier</x:t>
        </x:is>
      </x:c>
      <x:c r="G18" s="12" t="n">
        <x:v>4</x:v>
      </x:c>
      <x:c r="H18" s="12" t="n">
        <x:v>5</x:v>
      </x:c>
      <x:c r="I18" s="12" t="n">
        <x:v>3</x:v>
      </x:c>
      <x:c r="J18" s="12" t="n">
        <x:v>4</x:v>
      </x:c>
      <x:c r="K18" s="12" t="n">
        <x:v>3</x:v>
      </x:c>
      <x:c r="L18" s="12" t="n">
        <x:v>3</x:v>
      </x:c>
      <x:c r="M18" s="12" t="n">
        <x:v>3</x:v>
      </x:c>
      <x:c r="N18" s="12" t="n">
        <x:v>5</x:v>
      </x:c>
      <x:c r="O18" s="12" t="n">
        <x:v>3</x:v>
      </x:c>
      <x:c r="P18" s="12" t="n">
        <x:v>4</x:v>
      </x:c>
      <x:c r="Q18" s="12" t="n">
        <x:v>5</x:v>
      </x:c>
      <x:c r="R18" s="12" t="n">
        <x:v>5</x:v>
      </x:c>
      <x:c r="S18" s="12" t="n">
        <x:v>4</x:v>
      </x:c>
      <x:c r="T18" s="12" t="n">
        <x:v>4</x:v>
      </x:c>
      <x:c r="U18" s="12" t="n">
        <x:v>4</x:v>
      </x:c>
      <x:c r="V18" s="12" t="n">
        <x:v>5</x:v>
      </x:c>
      <x:c r="W18" s="12" t="n">
        <x:v>5</x:v>
      </x:c>
      <x:c r="X18" s="12" t="n">
        <x:v>5</x:v>
      </x:c>
      <x:c r="Y18" s="12" t="n">
        <x:v>4</x:v>
      </x:c>
      <x:c r="Z18" s="12" t="n">
        <x:v>5</x:v>
      </x:c>
      <x:c r="AA18" s="12" t="n">
        <x:v>5</x:v>
      </x:c>
      <x:c r="AB18" s="12" t="n">
        <x:v>5</x:v>
      </x:c>
      <x:c r="AC18" s="12" t="n">
        <x:v>4</x:v>
      </x:c>
      <x:c r="AD18" s="12" t="n">
        <x:v>4</x:v>
      </x:c>
      <x:c r="AE18" s="12" t="inlineStr">
        <x:is>
          <x:t xml:space="preserve">fast multimodal exploration / implementation</x:t>
        </x:is>
      </x:c>
      <x:c r="AF18" s="12" t="inlineStr">
        <x:is>
          <x:t xml:space="preserve">Very fast reasoning; can also waste tokens quickly when trajectory is wrong.</x:t>
        </x:is>
      </x:c>
      <x:c r="AG18" s="12" t="inlineStr">
        <x:is>
          <x:t xml:space="preserve">medium</x:t>
        </x:is>
      </x:c>
      <x:c r="AH18" s="12" t="inlineStr">
        <x:is>
          <x:t xml:space="preserve">2026-09-29</x:t>
        </x:is>
      </x:c>
    </x:row>
    <x:row r="19">
      <x:c r="A19" s="12" t="inlineStr">
        <x:is>
          <x:t xml:space="preserve">deepseek|deepseek-v4-1-flash</x:t>
        </x:is>
      </x:c>
      <x:c r="B19" s="12" t="inlineStr">
        <x:is>
          <x:t xml:space="preserve">DeepSeek V4.1 Flash</x:t>
        </x:is>
      </x:c>
      <x:c r="C19" s="12" t="inlineStr">
        <x:is>
          <x:t xml:space="preserve">Contender</x:t>
        </x:is>
      </x:c>
      <x:c r="D19" s="12" t="str"/>
      <x:c r="E19" s="12" t="inlineStr">
        <x:is>
          <x:t xml:space="preserve">ultra-cheap / fast reasoning</x:t>
        </x:is>
      </x:c>
      <x:c r="F19" s="12" t="inlineStr">
        <x:is>
          <x:t xml:space="preserve">ultra-cheap / fast reasoning</x:t>
        </x:is>
      </x:c>
      <x:c r="G19" s="12" t="n">
        <x:v>4</x:v>
      </x:c>
      <x:c r="H19" s="12" t="n">
        <x:v>5</x:v>
      </x:c>
      <x:c r="I19" s="12" t="n">
        <x:v>5</x:v>
      </x:c>
      <x:c r="J19" s="12" t="n">
        <x:v>3</x:v>
      </x:c>
      <x:c r="K19" s="12" t="n">
        <x:v>3</x:v>
      </x:c>
      <x:c r="L19" s="12" t="n">
        <x:v>3</x:v>
      </x:c>
      <x:c r="M19" s="12" t="n">
        <x:v>3</x:v>
      </x:c>
      <x:c r="N19" s="12" t="n">
        <x:v>5</x:v>
      </x:c>
      <x:c r="O19" s="12" t="n">
        <x:v>2</x:v>
      </x:c>
      <x:c r="P19" s="12" t="n">
        <x:v>3</x:v>
      </x:c>
      <x:c r="Q19" s="12" t="n">
        <x:v>5</x:v>
      </x:c>
      <x:c r="R19" s="12" t="n">
        <x:v>4</x:v>
      </x:c>
      <x:c r="S19" s="12" t="n">
        <x:v>3</x:v>
      </x:c>
      <x:c r="T19" s="12" t="n">
        <x:v>3</x:v>
      </x:c>
      <x:c r="U19" s="12" t="n">
        <x:v>4</x:v>
      </x:c>
      <x:c r="V19" s="12" t="n">
        <x:v>5</x:v>
      </x:c>
      <x:c r="W19" s="12" t="n">
        <x:v>5</x:v>
      </x:c>
      <x:c r="X19" s="12" t="n">
        <x:v>5</x:v>
      </x:c>
      <x:c r="Y19" s="12" t="n">
        <x:v>4</x:v>
      </x:c>
      <x:c r="Z19" s="12" t="n">
        <x:v>2</x:v>
      </x:c>
      <x:c r="AA19" s="12" t="n">
        <x:v>5</x:v>
      </x:c>
      <x:c r="AB19" s="12" t="n">
        <x:v>4</x:v>
      </x:c>
      <x:c r="AC19" s="12" t="n">
        <x:v>3</x:v>
      </x:c>
      <x:c r="AD19" s="12" t="n">
        <x:v>3</x:v>
      </x:c>
      <x:c r="AE19" s="12" t="inlineStr">
        <x:is>
          <x:t xml:space="preserve">parallel subagent / routine-moderate implementation</x:t>
        </x:is>
      </x:c>
      <x:c r="AF19" s="12" t="inlineStr">
        <x:is>
          <x:t xml:space="preserve">Very strong economics; subtle ambiguous work benefits from reviewer escalation.</x:t>
        </x:is>
      </x:c>
      <x:c r="AG19" s="12" t="inlineStr">
        <x:is>
          <x:t xml:space="preserve">medium</x:t>
        </x:is>
      </x:c>
      <x:c r="AH19" s="12" t="inlineStr">
        <x:is>
          <x:t xml:space="preserve">2026-09-29</x:t>
        </x:is>
      </x:c>
    </x:row>
    <x:row r="20">
      <x:c r="A20" s="12" t="inlineStr">
        <x:is>
          <x:t xml:space="preserve">z-ai|glm-5-3</x:t>
        </x:is>
      </x:c>
      <x:c r="B20" s="12" t="inlineStr">
        <x:is>
          <x:t xml:space="preserve">GLM-5.3</x:t>
        </x:is>
      </x:c>
      <x:c r="C20" s="12" t="inlineStr">
        <x:is>
          <x:t xml:space="preserve">Historical</x:t>
        </x:is>
      </x:c>
      <x:c r="D20" s="12" t="str"/>
      <x:c r="E20" s="12" t="inlineStr">
        <x:is>
          <x:t xml:space="preserve">historical/replaced</x:t>
        </x:is>
      </x:c>
      <x:c r="F20" s="12" t="inlineStr">
        <x:is>
          <x:t xml:space="preserve">historical</x:t>
        </x:is>
      </x:c>
      <x:c r="G20" s="12" t="n"/>
      <x:c r="H20" s="12" t="n"/>
      <x:c r="I20" s="12" t="n"/>
      <x:c r="J20" s="12" t="n"/>
      <x:c r="K20" s="12" t="n"/>
      <x:c r="L20" s="12" t="n"/>
      <x:c r="M20" s="12" t="n"/>
      <x:c r="N20" s="12" t="n"/>
      <x:c r="O20" s="12" t="n"/>
      <x:c r="P20" s="12" t="n"/>
      <x:c r="Q20" s="12" t="n"/>
      <x:c r="R20" s="12" t="n"/>
      <x:c r="S20" s="12" t="n"/>
      <x:c r="T20" s="12" t="n"/>
      <x:c r="U20" s="12" t="n"/>
      <x:c r="V20" s="12" t="n"/>
      <x:c r="W20" s="12" t="n"/>
      <x:c r="X20" s="12" t="n"/>
      <x:c r="Y20" s="12" t="n"/>
      <x:c r="Z20" s="12" t="n"/>
      <x:c r="AA20" s="12" t="n"/>
      <x:c r="AB20" s="12" t="n"/>
      <x:c r="AC20" s="12" t="n"/>
      <x:c r="AD20" s="12" t="n"/>
      <x:c r="AE20" s="12" t="inlineStr">
        <x:is>
          <x:t xml:space="preserve">historical comparison baseline</x:t>
        </x:is>
      </x:c>
      <x:c r="AF20" s="12" t="inlineStr">
        <x:is>
          <x:t xml:space="preserve">Retained for longitudinal benchmark/version comparison.</x:t>
        </x:is>
      </x:c>
      <x:c r="AG20" s="12" t="inlineStr">
        <x:is>
          <x:t xml:space="preserve">medium</x:t>
        </x:is>
      </x:c>
      <x:c r="AH20" s="12" t="inlineStr">
        <x:is>
          <x:t xml:space="preserve">2026-09-29</x:t>
        </x:is>
      </x:c>
    </x:row>
    <x:row r="21">
      <x:c r="A21" s="12" t="inlineStr">
        <x:is>
          <x:t xml:space="preserve">alibaba|qwen3-8-max-0902</x:t>
        </x:is>
      </x:c>
      <x:c r="B21" s="12" t="inlineStr">
        <x:is>
          <x:t xml:space="preserve">Qwen3.8 Max 0902</x:t>
        </x:is>
      </x:c>
      <x:c r="C21" s="12" t="inlineStr">
        <x:is>
          <x:t xml:space="preserve">Historical</x:t>
        </x:is>
      </x:c>
      <x:c r="D21" s="12" t="str"/>
      <x:c r="E21" s="12" t="inlineStr">
        <x:is>
          <x:t xml:space="preserve">historical/replaced</x:t>
        </x:is>
      </x:c>
      <x:c r="F21" s="12" t="inlineStr">
        <x:is>
          <x:t xml:space="preserve">historical</x:t>
        </x:is>
      </x:c>
      <x:c r="G21" s="12" t="n"/>
      <x:c r="H21" s="12" t="n"/>
      <x:c r="I21" s="12" t="n"/>
      <x:c r="J21" s="12" t="n"/>
      <x:c r="K21" s="12" t="n"/>
      <x:c r="L21" s="12" t="n"/>
      <x:c r="M21" s="12" t="n"/>
      <x:c r="N21" s="12" t="n"/>
      <x:c r="O21" s="12" t="n"/>
      <x:c r="P21" s="12" t="n"/>
      <x:c r="Q21" s="12" t="n"/>
      <x:c r="R21" s="12" t="n"/>
      <x:c r="S21" s="12" t="n"/>
      <x:c r="T21" s="12" t="n"/>
      <x:c r="U21" s="12" t="n"/>
      <x:c r="V21" s="12" t="n"/>
      <x:c r="W21" s="12" t="n"/>
      <x:c r="X21" s="12" t="n"/>
      <x:c r="Y21" s="12" t="n"/>
      <x:c r="Z21" s="12" t="n"/>
      <x:c r="AA21" s="12" t="n"/>
      <x:c r="AB21" s="12" t="n"/>
      <x:c r="AC21" s="12" t="n"/>
      <x:c r="AD21" s="12" t="n"/>
      <x:c r="AE21" s="12" t="inlineStr">
        <x:is>
          <x:t xml:space="preserve">historical comparison baseline</x:t>
        </x:is>
      </x:c>
      <x:c r="AF21" s="12" t="inlineStr">
        <x:is>
          <x:t xml:space="preserve">Retained for longitudinal benchmark/version comparison.</x:t>
        </x:is>
      </x:c>
      <x:c r="AG21" s="12" t="inlineStr">
        <x:is>
          <x:t xml:space="preserve">medium</x:t>
        </x:is>
      </x:c>
      <x:c r="AH21" s="12" t="inlineStr">
        <x:is>
          <x:t xml:space="preserve">2026-09-29</x:t>
        </x:is>
      </x:c>
    </x:row>
    <x:row r="22">
      <x:c r="A22" s="12" t="inlineStr">
        <x:is>
          <x:t xml:space="preserve">alibaba|qwen3-8-27b</x:t>
        </x:is>
      </x:c>
      <x:c r="B22" s="12" t="inlineStr">
        <x:is>
          <x:t xml:space="preserve">Qwen3.8 27B</x:t>
        </x:is>
      </x:c>
      <x:c r="C22" s="12" t="inlineStr">
        <x:is>
          <x:t xml:space="preserve">Historical</x:t>
        </x:is>
      </x:c>
      <x:c r="D22" s="12" t="str"/>
      <x:c r="E22" s="12" t="inlineStr">
        <x:is>
          <x:t xml:space="preserve">historical/replaced</x:t>
        </x:is>
      </x:c>
      <x:c r="F22" s="12" t="inlineStr">
        <x:is>
          <x:t xml:space="preserve">historical</x:t>
        </x:is>
      </x:c>
      <x:c r="G22" s="12" t="n"/>
      <x:c r="H22" s="12" t="n"/>
      <x:c r="I22" s="12" t="n"/>
      <x:c r="J22" s="12" t="n"/>
      <x:c r="K22" s="12" t="n"/>
      <x:c r="L22" s="12" t="n"/>
      <x:c r="M22" s="12" t="n"/>
      <x:c r="N22" s="12" t="n"/>
      <x:c r="O22" s="12" t="n"/>
      <x:c r="P22" s="12" t="n"/>
      <x:c r="Q22" s="12" t="n"/>
      <x:c r="R22" s="12" t="n"/>
      <x:c r="S22" s="12" t="n"/>
      <x:c r="T22" s="12" t="n"/>
      <x:c r="U22" s="12" t="n"/>
      <x:c r="V22" s="12" t="n"/>
      <x:c r="W22" s="12" t="n"/>
      <x:c r="X22" s="12" t="n"/>
      <x:c r="Y22" s="12" t="n"/>
      <x:c r="Z22" s="12" t="n"/>
      <x:c r="AA22" s="12" t="n"/>
      <x:c r="AB22" s="12" t="n"/>
      <x:c r="AC22" s="12" t="n"/>
      <x:c r="AD22" s="12" t="n"/>
      <x:c r="AE22" s="12" t="inlineStr">
        <x:is>
          <x:t xml:space="preserve">historical comparison baseline</x:t>
        </x:is>
      </x:c>
      <x:c r="AF22" s="12" t="inlineStr">
        <x:is>
          <x:t xml:space="preserve">Retained for longitudinal benchmark/version comparison.</x:t>
        </x:is>
      </x:c>
      <x:c r="AG22" s="12" t="inlineStr">
        <x:is>
          <x:t xml:space="preserve">medium</x:t>
        </x:is>
      </x:c>
      <x:c r="AH22" s="12" t="inlineStr">
        <x:is>
          <x:t xml:space="preserve">2026-09-29</x:t>
        </x:is>
      </x:c>
    </x:row>
    <x:row r="23">
      <x:c r="A23" s="12" t="inlineStr">
        <x:is>
          <x:t xml:space="preserve">kimi|kimi-k3</x:t>
        </x:is>
      </x:c>
      <x:c r="B23" s="12" t="inlineStr">
        <x:is>
          <x:t xml:space="preserve">Kimi K3</x:t>
        </x:is>
      </x:c>
      <x:c r="C23" s="12" t="inlineStr">
        <x:is>
          <x:t xml:space="preserve">Contender</x:t>
        </x:is>
      </x:c>
      <x:c r="D23" s="12" t="str"/>
      <x:c r="E23" s="12" t="inlineStr">
        <x:is>
          <x:t xml:space="preserve">smart / premium open-model</x:t>
        </x:is>
      </x:c>
      <x:c r="F23" s="12" t="inlineStr">
        <x:is>
          <x:t xml:space="preserve">smart / premium open-model</x:t>
        </x:is>
      </x:c>
      <x:c r="G23" s="12" t="n">
        <x:v>4</x:v>
      </x:c>
      <x:c r="H23" s="12" t="n">
        <x:v>3</x:v>
      </x:c>
      <x:c r="I23" s="12" t="n">
        <x:v>2</x:v>
      </x:c>
      <x:c r="J23" s="12" t="n">
        <x:v>4</x:v>
      </x:c>
      <x:c r="K23" s="12" t="n">
        <x:v>2</x:v>
      </x:c>
      <x:c r="L23" s="12" t="n">
        <x:v>3</x:v>
      </x:c>
      <x:c r="M23" s="12" t="n">
        <x:v>3</x:v>
      </x:c>
      <x:c r="N23" s="12" t="n">
        <x:v>4</x:v>
      </x:c>
      <x:c r="O23" s="12" t="n">
        <x:v>3</x:v>
      </x:c>
      <x:c r="P23" s="12" t="n">
        <x:v>4</x:v>
      </x:c>
      <x:c r="Q23" s="12" t="n">
        <x:v>4</x:v>
      </x:c>
      <x:c r="R23" s="12" t="n">
        <x:v>5</x:v>
      </x:c>
      <x:c r="S23" s="12" t="n">
        <x:v>4</x:v>
      </x:c>
      <x:c r="T23" s="12" t="n">
        <x:v>4</x:v>
      </x:c>
      <x:c r="U23" s="12" t="n">
        <x:v>4</x:v>
      </x:c>
      <x:c r="V23" s="12" t="n">
        <x:v>5</x:v>
      </x:c>
      <x:c r="W23" s="12" t="n">
        <x:v>4</x:v>
      </x:c>
      <x:c r="X23" s="12" t="n">
        <x:v>3</x:v>
      </x:c>
      <x:c r="Y23" s="12" t="n">
        <x:v>4</x:v>
      </x:c>
      <x:c r="Z23" s="12" t="n">
        <x:v>4</x:v>
      </x:c>
      <x:c r="AA23" s="12" t="n">
        <x:v>4</x:v>
      </x:c>
      <x:c r="AB23" s="12" t="n">
        <x:v>4</x:v>
      </x:c>
      <x:c r="AC23" s="12" t="n">
        <x:v>4</x:v>
      </x:c>
      <x:c r="AD23" s="12" t="n">
        <x:v>4</x:v>
      </x:c>
      <x:c r="AE23" s="12" t="inlineStr">
        <x:is>
          <x:t xml:space="preserve">strong open-model main/subagent</x:t>
        </x:is>
      </x:c>
      <x:c r="AF23" s="12" t="inlineStr">
        <x:is>
          <x:t xml:space="preserve">High capability, but comparatively expensive to serve.</x:t>
        </x:is>
      </x:c>
      <x:c r="AG23" s="12" t="inlineStr">
        <x:is>
          <x:t xml:space="preserve">medium</x:t>
        </x:is>
      </x:c>
      <x:c r="AH23" s="12" t="inlineStr">
        <x:is>
          <x:t xml:space="preserve">2026-09-29</x:t>
        </x:is>
      </x:c>
    </x:row>
    <x:row r="24">
      <x:c r="A24" s="12" t="inlineStr">
        <x:is>
          <x:t xml:space="preserve">google|gemini-4-argon</x:t>
        </x:is>
      </x:c>
      <x:c r="B24" s="12" t="inlineStr">
        <x:is>
          <x:t xml:space="preserve">Gemini 4 Argon</x:t>
        </x:is>
      </x:c>
      <x:c r="C24" s="12" t="inlineStr">
        <x:is>
          <x:t xml:space="preserve">Tracked</x:t>
        </x:is>
      </x:c>
      <x:c r="D24" s="12" t="n"/>
      <x:c r="E24" s="12" t="inlineStr">
        <x:is>
          <x:t xml:space="preserve">limited pre-release frontier</x:t>
        </x:is>
      </x:c>
      <x:c r="F24" s="12" t="inlineStr">
        <x:is>
          <x:t xml:space="preserve">pre-release</x:t>
        </x:is>
      </x:c>
      <x:c r="G24" s="12" t="n"/>
      <x:c r="H24" s="12" t="n"/>
      <x:c r="I24" s="12" t="n"/>
      <x:c r="J24" s="12" t="n"/>
      <x:c r="K24" s="12" t="n"/>
      <x:c r="L24" s="12" t="n"/>
      <x:c r="M24" s="12" t="n"/>
      <x:c r="N24" s="12" t="n"/>
      <x:c r="O24" s="12" t="n"/>
      <x:c r="P24" s="12" t="n"/>
      <x:c r="Q24" s="12" t="n"/>
      <x:c r="R24" s="12" t="n"/>
      <x:c r="S24" s="12" t="n"/>
      <x:c r="T24" s="12" t="n"/>
      <x:c r="U24" s="12" t="n"/>
      <x:c r="V24" s="12" t="n"/>
      <x:c r="W24" s="12" t="n"/>
      <x:c r="X24" s="12" t="n"/>
      <x:c r="Y24" s="12" t="n"/>
      <x:c r="Z24" s="12" t="n"/>
      <x:c r="AA24" s="12" t="n"/>
      <x:c r="AB24" s="12" t="n"/>
      <x:c r="AC24" s="12" t="n"/>
      <x:c r="AD24" s="12" t="n"/>
      <x:c r="AE24" s="12" t="inlineStr">
        <x:is>
          <x:t xml:space="preserve">trusted-defender preview; broader rollout pending</x:t>
        </x:is>
      </x:c>
      <x:c r="AF24" s="12" t="inlineStr">
        <x:is>
          <x:t xml:space="preserve">Vendor-reported only: 1M-token output limit; introductory $2/M input and $10/M output with 95% cached-input discount; DeepSWE v1.1 77.9%; coding, enterprise, and cyber claims. No independent qualitative role ratings assigned.</x:t>
        </x:is>
      </x:c>
      <x:c r="AG24" s="12" t="inlineStr">
        <x:is>
          <x:t xml:space="preserve">low</x:t>
        </x:is>
      </x:c>
      <x:c r="AH24" s="12" t="inlineStr">
        <x:is>
          <x:t xml:space="preserve">2026-10-04</x:t>
        </x:is>
      </x:c>
    </x:row>
    <x:row r="25">
      <x:c r="A25" t="inlineStr">
        <x:is>
          <x:t xml:space="preserve">openai|gpt-6-1-sol</x:t>
        </x:is>
      </x:c>
      <x:c r="B25" t="inlineStr">
        <x:is>
          <x:t xml:space="preserve">GPT-6.1 Sol</x:t>
        </x:is>
      </x:c>
      <x:c r="C25" t="inlineStr">
        <x:is>
          <x:t xml:space="preserve">Tracked</x:t>
        </x:is>
      </x:c>
      <x:c r="E25" t="inlineStr">
        <x:is>
          <x:t xml:space="preserve">new release / awaiting source-backed assessment</x:t>
        </x:is>
      </x:c>
      <x:c r="F25" t="inlineStr">
        <x:is>
          <x:t xml:space="preserve">pending</x:t>
        </x:is>
      </x:c>
      <x:c r="AE25" t="inlineStr">
        <x:is>
          <x:t xml:space="preserve">Role-level use assessment pending; no numeric ratings assigned.</x:t>
        </x:is>
      </x:c>
      <x:c r="AF25" t="inlineStr">
        <x:is>
          <x:t xml:space="preserve">Independent AA quantitative observations are present. Role-level qualitative ratings have not been independently assessed; no 1–5 ratings assigned. See Benchmark_Followups.</x:t>
        </x:is>
      </x:c>
      <x:c r="AG25" t="inlineStr">
        <x:is>
          <x:t xml:space="preserve">low</x:t>
        </x:is>
      </x:c>
      <x:c r="AH25" t="inlineStr">
        <x:is>
          <x:t xml:space="preserve">2026-10-11</x:t>
        </x:is>
      </x:c>
    </x:row>
    <x:row r="26">
      <x:c r="A26" t="inlineStr">
        <x:is>
          <x:t xml:space="preserve">anthropic|claude-haiku-5-5</x:t>
        </x:is>
      </x:c>
      <x:c r="B26" t="inlineStr">
        <x:is>
          <x:t xml:space="preserve">Claude Haiku 5.5</x:t>
        </x:is>
      </x:c>
      <x:c r="C26" t="inlineStr">
        <x:is>
          <x:t xml:space="preserve">Tracked</x:t>
        </x:is>
      </x:c>
      <x:c r="E26" t="inlineStr">
        <x:is>
          <x:t xml:space="preserve">new release / awaiting source-backed assessment</x:t>
        </x:is>
      </x:c>
      <x:c r="F26" t="inlineStr">
        <x:is>
          <x:t xml:space="preserve">pending</x:t>
        </x:is>
      </x:c>
      <x:c r="AE26" t="inlineStr">
        <x:is>
          <x:t xml:space="preserve">Role-level use assessment pending; no numeric ratings assigned.</x:t>
        </x:is>
      </x:c>
      <x:c r="AF26" t="inlineStr">
        <x:is>
          <x:t xml:space="preserve">Independent AA quantitative observations are present. Role-level qualitative ratings have not been independently assessed; no 1–5 ratings assigned. See Benchmark_Followups.</x:t>
        </x:is>
      </x:c>
      <x:c r="AG26" t="inlineStr">
        <x:is>
          <x:t xml:space="preserve">low</x:t>
        </x:is>
      </x:c>
      <x:c r="AH26" t="inlineStr">
        <x:is>
          <x:t xml:space="preserve">2026-10-11</x:t>
        </x:is>
      </x:c>
    </x:row>
    <x:row r="27">
      <x:c r="A27" t="inlineStr">
        <x:is>
          <x:t xml:space="preserve">mistral|mistral-large-4-preview</x:t>
        </x:is>
      </x:c>
      <x:c r="B27" t="inlineStr">
        <x:is>
          <x:t xml:space="preserve">Mistral Large 4 Preview</x:t>
        </x:is>
      </x:c>
      <x:c r="C27" t="inlineStr">
        <x:is>
          <x:t xml:space="preserve">Tracked</x:t>
        </x:is>
      </x:c>
      <x:c r="E27" t="inlineStr">
        <x:is>
          <x:t xml:space="preserve">new release / awaiting source-backed assessment</x:t>
        </x:is>
      </x:c>
      <x:c r="F27" t="inlineStr">
        <x:is>
          <x:t xml:space="preserve">pending</x:t>
        </x:is>
      </x:c>
      <x:c r="AE27" t="inlineStr">
        <x:is>
          <x:t xml:space="preserve">Role-level use assessment pending; no numeric ratings assigned.</x:t>
        </x:is>
      </x:c>
      <x:c r="AF27" t="inlineStr">
        <x:is>
          <x:t xml:space="preserve">Public preview with one independent AA aggregate observation. No independent role-level qualitative ratings assigned; see Benchmark_Followups.</x:t>
        </x:is>
      </x:c>
      <x:c r="AG27" t="inlineStr">
        <x:is>
          <x:t xml:space="preserve">low</x:t>
        </x:is>
      </x:c>
      <x:c r="AH27" t="inlineStr">
        <x:is>
          <x:t xml:space="preserve">2026-10-11</x:t>
        </x:is>
      </x:c>
    </x:row>
    <x:row r="28">
      <x:c r="A28" t="inlineStr">
        <x:is>
          <x:t xml:space="preserve">spacexai|grok-4-7</x:t>
        </x:is>
      </x:c>
      <x:c r="B28" t="inlineStr">
        <x:is>
          <x:t xml:space="preserve">Grok 4.7</x:t>
        </x:is>
      </x:c>
      <x:c r="C28" t="inlineStr">
        <x:is>
          <x:t xml:space="preserve">Tracked</x:t>
        </x:is>
      </x:c>
      <x:c r="E28" t="inlineStr">
        <x:is>
          <x:t xml:space="preserve">new release / awaiting source-backed assessment</x:t>
        </x:is>
      </x:c>
      <x:c r="F28" t="inlineStr">
        <x:is>
          <x:t xml:space="preserve">pending</x:t>
        </x:is>
      </x:c>
      <x:c r="AE28" t="inlineStr">
        <x:is>
          <x:t xml:space="preserve">Role-level use assessment pending; no numeric ratings assigned.</x:t>
        </x:is>
      </x:c>
      <x:c r="AF28" t="inlineStr">
        <x:is>
          <x:t xml:space="preserve">Independent AA aggregate/effort observation is present. No independent role-level qualitative ratings assigned; see Benchmark_Followups.</x:t>
        </x:is>
      </x:c>
      <x:c r="AG28" t="inlineStr">
        <x:is>
          <x:t xml:space="preserve">low</x:t>
        </x:is>
      </x:c>
      <x:c r="AH28" t="inlineStr">
        <x:is>
          <x:t xml:space="preserve">2026-10-11</x:t>
        </x:is>
      </x:c>
    </x:row>
    <x:row r="29">
      <x:c r="A29" t="inlineStr">
        <x:is>
          <x:t xml:space="preserve">upstage|solar-mini-4</x:t>
        </x:is>
      </x:c>
      <x:c r="B29" t="inlineStr">
        <x:is>
          <x:t xml:space="preserve">Solar Mini 4</x:t>
        </x:is>
      </x:c>
      <x:c r="C29" t="inlineStr">
        <x:is>
          <x:t xml:space="preserve">Tracked</x:t>
        </x:is>
      </x:c>
      <x:c r="E29" t="inlineStr">
        <x:is>
          <x:t xml:space="preserve">new release / awaiting source-backed assessment</x:t>
        </x:is>
      </x:c>
      <x:c r="F29" t="inlineStr">
        <x:is>
          <x:t xml:space="preserve">pending</x:t>
        </x:is>
      </x:c>
      <x:c r="AE29" t="inlineStr">
        <x:is>
          <x:t xml:space="preserve">Role-level use assessment pending; no numeric ratings assigned.</x:t>
        </x:is>
      </x:c>
      <x:c r="AF29" t="inlineStr">
        <x:is>
          <x:t xml:space="preserve">Independent AA aggregate observation is present. Vendor claims remain separate. No independent role-level qualitative ratings assigned; context discrepancy open.</x:t>
        </x:is>
      </x:c>
      <x:c r="AG29" t="inlineStr">
        <x:is>
          <x:t xml:space="preserve">low</x:t>
        </x:is>
      </x:c>
      <x:c r="AH29" t="inlineStr">
        <x:is>
          <x:t xml:space="preserve">2026-10-11</x:t>
        </x:is>
      </x:c>
    </x:row>
    <x:row r="30">
      <x:c r="A30" t="inlineStr">
        <x:is>
          <x:t xml:space="preserve">xiaomi|mimo-v2-6-pro</x:t>
        </x:is>
      </x:c>
      <x:c r="B30" t="inlineStr">
        <x:is>
          <x:t xml:space="preserve">MiMo-V2.6-Pro</x:t>
        </x:is>
      </x:c>
      <x:c r="C30" t="inlineStr">
        <x:is>
          <x:t xml:space="preserve">Tracked</x:t>
        </x:is>
      </x:c>
      <x:c r="E30" t="inlineStr">
        <x:is>
          <x:t xml:space="preserve">new release / awaiting source-backed assessment</x:t>
        </x:is>
      </x:c>
      <x:c r="F30" t="inlineStr">
        <x:is>
          <x:t xml:space="preserve">pending</x:t>
        </x:is>
      </x:c>
      <x:c r="AE30" t="inlineStr">
        <x:is>
          <x:t xml:space="preserve">Role-level use assessment pending; no numeric ratings assigned.</x:t>
        </x:is>
      </x:c>
      <x:c r="AF30" t="inlineStr">
        <x:is>
          <x:t xml:space="preserve">New Xiaomi model family. No AInventory benchmark or role-level qualitative ratings imported because the direct AA page could not be retrieved during this run.</x:t>
        </x:is>
      </x:c>
      <x:c r="AG30" t="inlineStr">
        <x:is>
          <x:t xml:space="preserve">low</x:t>
        </x:is>
      </x:c>
      <x:c r="AH30" t="inlineStr">
        <x:is>
          <x:t xml:space="preserve">2026-10-11</x:t>
        </x:is>
      </x:c>
    </x:row>
    <x:row r="31">
      <x:c r="A31" t="inlineStr">
        <x:is>
          <x:t xml:space="preserve">google|gemini-3-8-flash-cyber</x:t>
        </x:is>
      </x:c>
      <x:c r="B31" t="inlineStr">
        <x:is>
          <x:t xml:space="preserve">Gemini 3.8 Flash Cyber</x:t>
        </x:is>
      </x:c>
      <x:c r="C31" t="inlineStr">
        <x:is>
          <x:t xml:space="preserve">Tracked</x:t>
        </x:is>
      </x:c>
      <x:c r="E31" t="inlineStr">
        <x:is>
          <x:t xml:space="preserve">new release / awaiting source-backed assessment</x:t>
        </x:is>
      </x:c>
      <x:c r="F31" t="inlineStr">
        <x:is>
          <x:t xml:space="preserve">pending</x:t>
        </x:is>
      </x:c>
      <x:c r="AE31" t="inlineStr">
        <x:is>
          <x:t xml:space="preserve">Role-level use assessment pending; no numeric ratings assigned.</x:t>
        </x:is>
      </x:c>
      <x:c r="AF31" t="inlineStr">
        <x:is>
          <x:t xml:space="preserve">Restricted trusted-defender endpoint. Vendor descriptions are not independent role-level qualitative findings; no ratings assigned.</x:t>
        </x:is>
      </x:c>
      <x:c r="AG31" t="inlineStr">
        <x:is>
          <x:t xml:space="preserve">low</x:t>
        </x:is>
      </x:c>
      <x:c r="AH31" t="inlineStr">
        <x:is>
          <x:t xml:space="preserve">2026-10-11</x:t>
        </x:is>
      </x:c>
    </x:row>
    <x:row r="32">
      <x:c r="A32" t="inlineStr">
        <x:is>
          <x:t xml:space="preserve">meta|muse-wonder-full</x:t>
        </x:is>
      </x:c>
      <x:c r="B32" t="inlineStr">
        <x:is>
          <x:t xml:space="preserve">Muse Wonder Full</x:t>
        </x:is>
      </x:c>
      <x:c r="C32" t="inlineStr">
        <x:is>
          <x:t xml:space="preserve">current</x:t>
        </x:is>
      </x:c>
      <x:c r="E32" t="inlineStr">
        <x:is>
          <x:t xml:space="preserve">Tracked</x:t>
        </x:is>
      </x:c>
      <x:c r="F32" t="inlineStr">
        <x:is>
          <x:t xml:space="preserve">Tracked</x:t>
        </x:is>
      </x:c>
      <x:c r="AE32" t="inlineStr">
        <x:is>
          <x:t xml:space="preserve">Benchmark evidence only; qualitative role assessment pending.</x:t>
        </x:is>
      </x:c>
      <x:c r="AF32" t="inlineStr">
        <x:is>
          <x:t xml:space="preserve">https://dev.meta.ai/resources/blog/build-with-muse-wonder; Independent benchmark source: https://artificialanalysis.ai/articles/muse-wonder . No role ratings inferred.</x:t>
        </x:is>
      </x:c>
      <x:c r="AG32" t="inlineStr">
        <x:is>
          <x:t xml:space="preserve">unassessed</x:t>
        </x:is>
      </x:c>
      <x:c r="AH32" t="inlineStr">
        <x:is>
          <x:t xml:space="preserve">2026-10-16</x:t>
        </x:is>
      </x:c>
    </x:row>
    <x:row r="33" s="14" customFormat="1">
      <x:c r="A33" t="inlineStr">
        <x:is>
          <x:t xml:space="preserve">meta|muse-wonder</x:t>
        </x:is>
      </x:c>
      <x:c r="B33" t="inlineStr">
        <x:is>
          <x:t xml:space="preserve">Muse Wonder</x:t>
        </x:is>
      </x:c>
      <x:c r="C33" t="inlineStr">
        <x:is>
          <x:t xml:space="preserve">current</x:t>
        </x:is>
      </x:c>
      <x:c r="E33" t="inlineStr">
        <x:is>
          <x:t xml:space="preserve">Tracked</x:t>
        </x:is>
      </x:c>
      <x:c r="F33" t="inlineStr">
        <x:is>
          <x:t xml:space="preserve">Tracked</x:t>
        </x:is>
      </x:c>
      <x:c r="AE33" t="inlineStr">
        <x:is>
          <x:t xml:space="preserve">Benchmark evidence only; qualitative role assessment pending.</x:t>
        </x:is>
      </x:c>
      <x:c r="AF33" t="inlineStr">
        <x:is>
          <x:t xml:space="preserve">https://dev.meta.ai/resources/blog/build-with-muse-wonder; Independent benchmark source: https://artificialanalysis.ai/articles/muse-wonder . No role ratings inferred.</x:t>
        </x:is>
      </x:c>
      <x:c r="AG33" t="inlineStr">
        <x:is>
          <x:t xml:space="preserve">unassessed</x:t>
        </x:is>
      </x:c>
      <x:c r="AH33" t="inlineStr">
        <x:is>
          <x:t xml:space="preserve">2026-10-16</x:t>
        </x:is>
      </x:c>
    </x:row>
    <x:row r="34" s="14" customFormat="1">
      <x:c r="A34" t="inlineStr">
        <x:is>
          <x:t xml:space="preserve">deepseek|deepseek-v4-pro-0813</x:t>
        </x:is>
      </x:c>
      <x:c r="B34" t="inlineStr">
        <x:is>
          <x:t xml:space="preserve">DeepSeek V4 Pro 0813</x:t>
        </x:is>
      </x:c>
      <x:c r="C34" t="inlineStr">
        <x:is>
          <x:t xml:space="preserve">current</x:t>
        </x:is>
      </x:c>
      <x:c r="E34" t="inlineStr">
        <x:is>
          <x:t xml:space="preserve">Tracked</x:t>
        </x:is>
      </x:c>
      <x:c r="F34" t="inlineStr">
        <x:is>
          <x:t xml:space="preserve">Tracked</x:t>
        </x:is>
      </x:c>
      <x:c r="AE34" t="inlineStr">
        <x:is>
          <x:t xml:space="preserve">Benchmark evidence only; qualitative assessment pending.</x:t>
        </x:is>
      </x:c>
      <x:c r="AF34" t="inlineStr">
        <x:is>
          <x:t xml:space="preserve">https://artificialanalysis.ai/models/deepseek-v4-pro-non-reasoning</x:t>
        </x:is>
      </x:c>
      <x:c r="AG34" t="inlineStr">
        <x:is>
          <x:t xml:space="preserve">unassessed</x:t>
        </x:is>
      </x:c>
      <x:c r="AH34" t="inlineStr">
        <x:is>
          <x:t xml:space="preserve">2026-10-16</x:t>
        </x:is>
      </x:c>
    </x:row>
    <x:row r="35" s="14" customFormat="1">
      <x:c r="A35" t="inlineStr">
        <x:is>
          <x:t xml:space="preserve">openai|gpt-5-6-terra</x:t>
        </x:is>
      </x:c>
      <x:c r="B35" t="inlineStr">
        <x:is>
          <x:t xml:space="preserve">GPT-5.6 Terra</x:t>
        </x:is>
      </x:c>
      <x:c r="C35" t="inlineStr">
        <x:is>
          <x:t xml:space="preserve">current</x:t>
        </x:is>
      </x:c>
      <x:c r="E35" t="inlineStr">
        <x:is>
          <x:t xml:space="preserve">Tracked</x:t>
        </x:is>
      </x:c>
      <x:c r="F35" t="inlineStr">
        <x:is>
          <x:t xml:space="preserve">Tracked</x:t>
        </x:is>
      </x:c>
      <x:c r="AE35" t="inlineStr">
        <x:is>
          <x:t xml:space="preserve">Benchmark evidence only; qualitative assessment pending.</x:t>
        </x:is>
      </x:c>
      <x:c r="AF35" t="inlineStr">
        <x:is>
          <x:t xml:space="preserve">https://artificialanalysis.ai/models/gpt-5-6-terra</x:t>
        </x:is>
      </x:c>
      <x:c r="AG35" t="inlineStr">
        <x:is>
          <x:t xml:space="preserve">unassessed</x:t>
        </x:is>
      </x:c>
      <x:c r="AH35" t="inlineStr">
        <x:is>
          <x:t xml:space="preserve">2026-10-16</x:t>
        </x:is>
      </x:c>
    </x:row>
  </x:sheetData>
  <x:pageMargins left="0.7" right="0.7" top="0.75" bottom="0.75" header="0.3" footer="0.3"/>
</x:worksheet>
</file>

<file path=xl/worksheets/sheet15.xml><?xml version="1.0" encoding="utf-8"?>
<x:worksheet xmlns:x="http://schemas.openxmlformats.org/spreadsheetml/2006/main">
  <x:sheetFormatPr baseColWidth="8" defaultRowHeight="15"/>
  <x:cols>
    <x:col min="1" max="1" width="30" style="14" customWidth="1"/>
    <x:col min="2" max="2" width="30" style="14" customWidth="1"/>
    <x:col min="3" max="3" width="30" style="14" customWidth="1"/>
    <x:col min="4" max="4" width="30" style="14" customWidth="1"/>
    <x:col min="5" max="5" width="72" style="14" customWidth="1"/>
    <x:col min="6" max="6" width="72" style="14" customWidth="1"/>
  </x:cols>
  <x:sheetData>
    <x:row r="1">
      <x:c r="A1" s="6" t="inlineStr">
        <x:is>
          <x:t xml:space="preserve">benchmark_name</x:t>
        </x:is>
      </x:c>
      <x:c r="B1" s="6" t="inlineStr">
        <x:is>
          <x:t xml:space="preserve">score_direction</x:t>
        </x:is>
      </x:c>
      <x:c r="C1" s="6" t="inlineStr">
        <x:is>
          <x:t xml:space="preserve">score_unit</x:t>
        </x:is>
      </x:c>
      <x:c r="D1" s="6" t="inlineStr">
        <x:is>
          <x:t xml:space="preserve">primary_use</x:t>
        </x:is>
      </x:c>
      <x:c r="E1" s="6" t="inlineStr">
        <x:is>
          <x:t xml:space="preserve">versioning_note</x:t>
        </x:is>
      </x:c>
      <x:c r="F1" s="6" t="inlineStr">
        <x:is>
          <x:t xml:space="preserve">source</x:t>
        </x:is>
      </x:c>
    </x:row>
    <x:row r="2">
      <x:c r="A2" t="inlineStr">
        <x:is>
          <x:t xml:space="preserve">Artificial Analysis Intelligence Index</x:t>
        </x:is>
      </x:c>
      <x:c r="B2" t="inlineStr">
        <x:is>
          <x:t xml:space="preserve">higher_better</x:t>
        </x:is>
      </x:c>
      <x:c r="C2" t="inlineStr">
        <x:is>
          <x:t xml:space="preserve">index points</x:t>
        </x:is>
      </x:c>
      <x:c r="D2" t="inlineStr">
        <x:is>
          <x:t xml:space="preserve">cross-model intelligence/value</x:t>
        </x:is>
      </x:c>
      <x:c r="E2" t="inlineStr">
        <x:is>
          <x:t xml:space="preserve">Raw scores across versions are not assumed directly comparable; use empirical version crosswalk factors.</x:t>
        </x:is>
      </x:c>
      <x:c r="F2" t="inlineStr">
        <x:is>
          <x:t xml:space="preserve">https://artificialanalysis.ai/evaluations/artificial-analysis-intelligence-index</x:t>
        </x:is>
      </x:c>
    </x:row>
    <x:row r="3">
      <x:c r="A3" t="inlineStr">
        <x:is>
          <x:t xml:space="preserve">Artificial Analysis Coding Agent Index</x:t>
        </x:is>
      </x:c>
      <x:c r="B3" t="inlineStr">
        <x:is>
          <x:t xml:space="preserve">higher_better</x:t>
        </x:is>
      </x:c>
      <x:c r="C3" t="inlineStr">
        <x:is>
          <x:t xml:space="preserve">index points (0–100 style)</x:t>
        </x:is>
      </x:c>
      <x:c r="D3" t="inlineStr">
        <x:is>
          <x:t xml:space="preserve">Coding-agent software engineering and repository-task performance</x:t>
        </x:is>
      </x:c>
      <x:c r="E3" t="inlineStr">
        <x:is>
          <x:t xml:space="preserve">v1.5 is the equal-weight mean of DeepSWE v1.1, Terminal-Bench 4.0, and SWE-Atlas-QnA. Keep separate from the AA Intelligence Index; no cross-index version factor or score equivalence.</x:t>
        </x:is>
      </x:c>
      <x:c r="F3" t="inlineStr">
        <x:is>
          <x:t xml:space="preserve">https://artificialanalysis.ai/methodology/coding-agents-benchmarking</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22" style="14" customWidth="1"/>
    <x:col min="8" max="8" width="22" style="14" customWidth="1"/>
    <x:col min="9" max="9" width="22" style="14" customWidth="1"/>
    <x:col min="10" max="10" width="22" style="14" customWidth="1"/>
    <x:col min="11" max="11" width="22" style="14" customWidth="1"/>
    <x:col min="12" max="12" width="72" style="14" customWidth="1"/>
  </x:cols>
  <x:sheetData>
    <x:row r="1">
      <x:c r="A1" s="6" t="inlineStr">
        <x:is>
          <x:t xml:space="preserve">benchmark_version_key</x:t>
        </x:is>
      </x:c>
      <x:c r="B1" s="6" t="inlineStr">
        <x:is>
          <x:t xml:space="preserve">benchmark_name</x:t>
        </x:is>
      </x:c>
      <x:c r="C1" s="6" t="inlineStr">
        <x:is>
          <x:t xml:space="preserve">version</x:t>
        </x:is>
      </x:c>
      <x:c r="D1" s="6" t="inlineStr">
        <x:is>
          <x:t xml:space="preserve">reference_version</x:t>
        </x:is>
      </x:c>
      <x:c r="E1" s="6" t="inlineStr">
        <x:is>
          <x:t xml:space="preserve">parent_version_key</x:t>
        </x:is>
      </x:c>
      <x:c r="F1" s="6" t="inlineStr">
        <x:is>
          <x:t xml:space="preserve">auto_direct_factor</x:t>
        </x:is>
      </x:c>
      <x:c r="G1" s="6" t="inlineStr">
        <x:is>
          <x:t xml:space="preserve">override_direct_factor</x:t>
        </x:is>
      </x:c>
      <x:c r="H1" s="6" t="inlineStr">
        <x:is>
          <x:t xml:space="preserve">selected_direct_factor</x:t>
        </x:is>
      </x:c>
      <x:c r="I1" s="6" t="inlineStr">
        <x:is>
          <x:t xml:space="preserve">cumulative_factor_to_reference</x:t>
        </x:is>
      </x:c>
      <x:c r="J1" s="6" t="inlineStr">
        <x:is>
          <x:t xml:space="preserve">dual_test_count</x:t>
        </x:is>
      </x:c>
      <x:c r="K1" s="6" t="inlineStr">
        <x:is>
          <x:t xml:space="preserve">confidence</x:t>
        </x:is>
      </x:c>
      <x:c r="L1" s="6" t="inlineStr">
        <x:is>
          <x:t xml:space="preserve">notes</x:t>
        </x:is>
      </x:c>
    </x:row>
    <x:row r="2">
      <x:c r="A2" t="inlineStr">
        <x:is>
          <x:t xml:space="preserve">AA|v4.3.2</x:t>
        </x:is>
      </x:c>
      <x:c r="B2" t="inlineStr">
        <x:is>
          <x:t xml:space="preserve">Artificial Analysis Intelligence Index</x:t>
        </x:is>
      </x:c>
      <x:c r="C2" t="inlineStr">
        <x:is>
          <x:t xml:space="preserve">v4.3.2</x:t>
        </x:is>
      </x:c>
      <x:c r="D2" t="inlineStr">
        <x:is>
          <x:t xml:space="preserve">yes</x:t>
        </x:is>
      </x:c>
      <x:c r="F2" t="n">
        <x:v>1</x:v>
      </x:c>
      <x:c r="G2" s="16" t="str"/>
      <x:c r="H2" t="n">
        <x:f>IF(G2="",F2,G2)</x:f>
        <x:v>1</x:v>
      </x:c>
      <x:c r="I2" t="n">
        <x:v>1</x:v>
      </x:c>
      <x:c r="J2" t="n">
        <x:v>72</x:v>
      </x:c>
      <x:c r="K2" t="inlineStr">
        <x:is>
          <x:t xml:space="preserve">high</x:t>
        </x:is>
      </x:c>
      <x:c r="L2" t="inlineStr">
        <x:is>
          <x:t xml:space="preserve">Newest/only AA version currently loaded; factor=1. Add historical versions and empirical bridges later.</x:t>
        </x:is>
      </x:c>
    </x:row>
    <x:row r="3">
      <x:c r="G3" s="16" t="n"/>
    </x:row>
    <x:row r="4">
      <x:c r="G4" s="16" t="n"/>
    </x:row>
    <x:row r="5">
      <x:c r="G5" s="16" t="n"/>
    </x:row>
    <x:row r="6">
      <x:c r="G6" s="16" t="n"/>
    </x:row>
    <x:row r="7">
      <x:c r="G7" s="16" t="n"/>
    </x:row>
    <x:row r="8">
      <x:c r="G8" s="16" t="n"/>
    </x:row>
    <x:row r="9">
      <x:c r="G9" s="16" t="n"/>
    </x:row>
    <x:row r="10">
      <x:c r="G10" s="16" t="n"/>
    </x:row>
    <x:row r="11">
      <x:c r="G11" s="16" t="n"/>
    </x:row>
    <x:row r="12">
      <x:c r="G12" s="16" t="n"/>
    </x:row>
    <x:row r="13">
      <x:c r="G13" s="16" t="n"/>
    </x:row>
    <x:row r="14">
      <x:c r="G14" s="16" t="n"/>
    </x:row>
    <x:row r="15">
      <x:c r="G15" s="16" t="n"/>
    </x:row>
    <x:row r="16">
      <x:c r="G16" s="16" t="n"/>
    </x:row>
    <x:row r="17">
      <x:c r="G17" s="16" t="n"/>
    </x:row>
    <x:row r="18">
      <x:c r="G18" s="16" t="n"/>
    </x:row>
    <x:row r="19">
      <x:c r="G19" s="16" t="n"/>
    </x:row>
    <x:row r="20">
      <x:c r="G20" s="16" t="n"/>
    </x:row>
    <x:row r="21">
      <x:c r="G21" s="16" t="n"/>
    </x:row>
    <x:row r="22">
      <x:c r="G22" s="16" t="n"/>
    </x:row>
    <x:row r="23">
      <x:c r="G23" s="16" t="n"/>
    </x:row>
    <x:row r="24">
      <x:c r="G24" s="16" t="n"/>
    </x:row>
    <x:row r="25">
      <x:c r="G25" s="16" t="n"/>
    </x:row>
    <x:row r="26">
      <x:c r="G26" s="16" t="n"/>
    </x:row>
    <x:row r="27">
      <x:c r="G27" s="16" t="n"/>
    </x:row>
    <x:row r="28">
      <x:c r="G28" s="16" t="n"/>
    </x:row>
    <x:row r="29">
      <x:c r="G29" s="16" t="n"/>
    </x:row>
    <x:row r="30">
      <x:c r="G30" s="16" t="n"/>
    </x:row>
    <x:row r="31">
      <x:c r="G31" s="16" t="n"/>
    </x:row>
    <x:row r="32">
      <x:c r="G32" s="16" t="n"/>
    </x:row>
    <x:row r="33">
      <x:c r="G33" s="16" t="n"/>
    </x:row>
    <x:row r="34">
      <x:c r="G34" s="16" t="n"/>
    </x:row>
    <x:row r="35">
      <x:c r="G35" s="16" t="n"/>
    </x:row>
    <x:row r="36">
      <x:c r="G36" s="16" t="n"/>
    </x:row>
    <x:row r="37">
      <x:c r="G37" s="16" t="n"/>
    </x:row>
    <x:row r="38">
      <x:c r="G38" s="16" t="n"/>
    </x:row>
    <x:row r="39">
      <x:c r="G39" s="16" t="n"/>
    </x:row>
    <x:row r="40">
      <x:c r="G40" s="16" t="n"/>
    </x:row>
    <x:row r="41">
      <x:c r="G41" s="16" t="n"/>
    </x:row>
    <x:row r="42">
      <x:c r="G42" s="16" t="n"/>
    </x:row>
    <x:row r="43">
      <x:c r="G43" s="16" t="n"/>
    </x:row>
    <x:row r="44">
      <x:c r="G44" s="16" t="n"/>
    </x:row>
    <x:row r="45">
      <x:c r="G45" s="16" t="n"/>
    </x:row>
    <x:row r="46">
      <x:c r="G46" s="16" t="n"/>
    </x:row>
    <x:row r="47">
      <x:c r="G47" s="16" t="n"/>
    </x:row>
    <x:row r="48">
      <x:c r="G48" s="16" t="n"/>
    </x:row>
    <x:row r="49">
      <x:c r="G49" s="16" t="n"/>
    </x:row>
    <x:row r="50">
      <x:c r="G50" s="16" t="n"/>
    </x:row>
    <x:row r="51">
      <x:c r="G51" s="16" t="n"/>
    </x:row>
    <x:row r="52">
      <x:c r="G52" s="16" t="n"/>
    </x:row>
    <x:row r="53">
      <x:c r="G53" s="16" t="n"/>
    </x:row>
    <x:row r="54">
      <x:c r="G54" s="16" t="n"/>
    </x:row>
    <x:row r="55">
      <x:c r="G55" s="16" t="n"/>
    </x:row>
    <x:row r="56">
      <x:c r="G56" s="16" t="n"/>
    </x:row>
    <x:row r="57">
      <x:c r="G57" s="16" t="n"/>
    </x:row>
    <x:row r="58">
      <x:c r="G58" s="16" t="n"/>
    </x:row>
    <x:row r="59">
      <x:c r="G59" s="16" t="n"/>
    </x:row>
    <x:row r="60">
      <x:c r="G60" s="16" t="n"/>
    </x:row>
    <x:row r="61">
      <x:c r="G61" s="16" t="n"/>
    </x:row>
    <x:row r="62">
      <x:c r="G62" s="16" t="n"/>
    </x:row>
    <x:row r="63">
      <x:c r="G63" s="16" t="n"/>
    </x:row>
    <x:row r="64">
      <x:c r="G64" s="16" t="n"/>
    </x:row>
    <x:row r="65">
      <x:c r="G65" s="16" t="n"/>
    </x:row>
    <x:row r="66">
      <x:c r="G66" s="16" t="n"/>
    </x:row>
    <x:row r="67">
      <x:c r="G67" s="16" t="n"/>
    </x:row>
    <x:row r="68">
      <x:c r="G68" s="16" t="n"/>
    </x:row>
    <x:row r="69">
      <x:c r="G69" s="16" t="n"/>
    </x:row>
    <x:row r="70">
      <x:c r="G70" s="16" t="n"/>
    </x:row>
    <x:row r="71">
      <x:c r="G71" s="16" t="n"/>
    </x:row>
    <x:row r="72">
      <x:c r="G72" s="16" t="n"/>
    </x:row>
    <x:row r="73">
      <x:c r="G73" s="16" t="n"/>
    </x:row>
    <x:row r="74">
      <x:c r="G74" s="16" t="n"/>
    </x:row>
    <x:row r="75">
      <x:c r="G75" s="16" t="n"/>
    </x:row>
    <x:row r="76">
      <x:c r="G76" s="16" t="n"/>
    </x:row>
    <x:row r="77">
      <x:c r="G77" s="16" t="n"/>
    </x:row>
    <x:row r="78">
      <x:c r="G78" s="16" t="n"/>
    </x:row>
    <x:row r="79">
      <x:c r="G79" s="16" t="n"/>
    </x:row>
    <x:row r="80">
      <x:c r="G80" s="16" t="n"/>
    </x:row>
    <x:row r="81">
      <x:c r="G81" s="16" t="n"/>
    </x:row>
    <x:row r="82">
      <x:c r="G82" s="16" t="n"/>
    </x:row>
    <x:row r="83">
      <x:c r="G83" s="16" t="n"/>
    </x:row>
    <x:row r="84">
      <x:c r="G84" s="16" t="n"/>
    </x:row>
    <x:row r="85">
      <x:c r="G85" s="16" t="n"/>
    </x:row>
    <x:row r="86">
      <x:c r="G86" s="16" t="n"/>
    </x:row>
    <x:row r="87">
      <x:c r="G87" s="16" t="n"/>
    </x:row>
    <x:row r="88">
      <x:c r="G88" s="16" t="n"/>
    </x:row>
    <x:row r="89">
      <x:c r="G89" s="16" t="n"/>
    </x:row>
    <x:row r="90">
      <x:c r="G90" s="16" t="n"/>
    </x:row>
    <x:row r="91">
      <x:c r="G91" s="16" t="n"/>
    </x:row>
    <x:row r="92">
      <x:c r="G92" s="16" t="n"/>
    </x:row>
    <x:row r="93">
      <x:c r="G93" s="16" t="n"/>
    </x:row>
    <x:row r="94">
      <x:c r="G94" s="16" t="n"/>
    </x:row>
    <x:row r="95">
      <x:c r="G95" s="16" t="n"/>
    </x:row>
    <x:row r="96">
      <x:c r="G96" s="16" t="n"/>
    </x:row>
    <x:row r="97">
      <x:c r="G97" s="16" t="n"/>
    </x:row>
    <x:row r="98">
      <x:c r="G98" s="16" t="n"/>
    </x:row>
    <x:row r="99">
      <x:c r="G99" s="16" t="n"/>
    </x:row>
    <x:row r="100">
      <x:c r="G100" s="16" t="n"/>
    </x:row>
    <x:row r="101" s="14" customFormat="1">
      <x:c r="A101" t="inlineStr">
        <x:is>
          <x:t xml:space="preserve">CAI|v1.5</x:t>
        </x:is>
      </x:c>
      <x:c r="B101" t="inlineStr">
        <x:is>
          <x:t xml:space="preserve">Artificial Analysis Coding Agent Index</x:t>
        </x:is>
      </x:c>
      <x:c r="C101" t="inlineStr">
        <x:is>
          <x:t xml:space="preserve">v1.5</x:t>
        </x:is>
      </x:c>
      <x:c r="D101" t="inlineStr">
        <x:is>
          <x:t xml:space="preserve">yes</x:t>
        </x:is>
      </x:c>
      <x:c r="F101" t="n">
        <x:v>1</x:v>
      </x:c>
      <x:c r="H101" t="n">
        <x:f>IF(G101="",F101,G101)</x:f>
        <x:v>1</x:v>
      </x:c>
      <x:c r="I101" t="n">
        <x:v>1</x:v>
      </x:c>
      <x:c r="J101" t="n">
        <x:v>0</x:v>
      </x:c>
      <x:c r="K101" t="inlineStr">
        <x:is>
          <x:t xml:space="preserve">high</x:t>
        </x:is>
      </x:c>
      <x:c r="L101" t="inlineStr">
        <x:is>
          <x:t xml:space="preserve">Native reference for CAI v1.5 only. Factor 1 is not a bridge to AA Intelligence Index v4.3.2.</x:t>
        </x:is>
      </x:c>
    </x:row>
    <x:row r="102">
      <x:c r="A102" t="inlineStr">
        <x:is>
          <x:t xml:space="preserve">CAI|v1.4</x:t>
        </x:is>
      </x:c>
      <x:c r="B102" t="inlineStr">
        <x:is>
          <x:t xml:space="preserve">Artificial Analysis Coding Agent Index</x:t>
        </x:is>
      </x:c>
      <x:c r="C102" t="inlineStr">
        <x:is>
          <x:t xml:space="preserve">v1.4</x:t>
        </x:is>
      </x:c>
      <x:c r="D102" t="inlineStr">
        <x:is>
          <x:t xml:space="preserve">no</x:t>
        </x:is>
      </x:c>
      <x:c r="E102" t="inlineStr">
        <x:is>
          <x:t xml:space="preserve">CAI|v1.5</x:t>
        </x:is>
      </x:c>
      <x:c r="H102" t="e">
        <x:f>IF(G102="",F102,G102)</x:f>
        <x:v>#VALUE!</x:v>
      </x:c>
      <x:c r="J102" t="n">
        <x:v>0</x:v>
      </x:c>
      <x:c r="K102" t="inlineStr">
        <x:is>
          <x:t xml:space="preserve">high</x:t>
        </x:is>
      </x:c>
      <x:c r="L102" t="inlineStr">
        <x:is>
          <x:t xml:space="preserve">Historical CAI v1.4 result uses DeepSWE, Terminal-Bench v2.1, and SWE-Atlas-QnA. Retain separately; no empirical bridge to v1.5.</x:t>
        </x:is>
      </x:c>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85" style="14" customWidth="1"/>
  </x:cols>
  <x:sheetData>
    <x:row r="1">
      <x:c r="A1" s="6" t="inlineStr">
        <x:is>
          <x:t xml:space="preserve">from_version</x:t>
        </x:is>
      </x:c>
      <x:c r="B1" s="6" t="inlineStr">
        <x:is>
          <x:t xml:space="preserve">to_version</x:t>
        </x:is>
      </x:c>
      <x:c r="C1" s="6" t="inlineStr">
        <x:is>
          <x:t xml:space="preserve">model_variant_key</x:t>
        </x:is>
      </x:c>
      <x:c r="D1" s="6" t="inlineStr">
        <x:is>
          <x:t xml:space="preserve">score_from</x:t>
        </x:is>
      </x:c>
      <x:c r="E1" s="6" t="inlineStr">
        <x:is>
          <x:t xml:space="preserve">score_to</x:t>
        </x:is>
      </x:c>
      <x:c r="F1" s="6" t="inlineStr">
        <x:is>
          <x:t xml:space="preserve">ratio_to_from</x:t>
        </x:is>
      </x:c>
      <x:c r="G1" s="6" t="inlineStr">
        <x:is>
          <x:t xml:space="preserve">pair_weight</x:t>
        </x:is>
      </x:c>
      <x:c r="H1" s="6" t="inlineStr">
        <x:is>
          <x:t xml:space="preserve">notes</x:t>
        </x:is>
      </x:c>
    </x:row>
    <x:row r="2">
      <x:c r="A2" t="inlineStr">
        <x:is>
          <x:t xml:space="preserve">AA|v4.3.2</x:t>
        </x:is>
      </x:c>
      <x:c r="B2" t="inlineStr">
        <x:is>
          <x:t xml:space="preserve">AA|v4.3.2</x:t>
        </x:is>
      </x:c>
      <x:c r="C2" t="inlineStr">
        <x:is>
          <x:t xml:space="preserve">SELF</x:t>
        </x:is>
      </x:c>
      <x:c r="F2" t="n">
        <x:v>1</x:v>
      </x:c>
      <x:c r="G2" t="n">
        <x:v>1</x:v>
      </x:c>
      <x:c r="H2" t="inlineStr">
        <x:is>
          <x:t xml:space="preserve">Add one row per identical model-variant tested on both versions; ratio = score_to / score_from.</x:t>
        </x:is>
      </x:c>
    </x:row>
    <x:row r="3" s="14" customFormat="1">
      <x:c r="A3" t="inlineStr">
        <x:is>
          <x:t xml:space="preserve">CAI|v1.5</x:t>
        </x:is>
      </x:c>
      <x:c r="B3" t="inlineStr">
        <x:is>
          <x:t xml:space="preserve">CAI|v1.5</x:t>
        </x:is>
      </x:c>
      <x:c r="C3" t="inlineStr">
        <x:is>
          <x:t xml:space="preserve">SELF</x:t>
        </x:is>
      </x:c>
      <x:c r="F3" t="n">
        <x:v>1</x:v>
      </x:c>
      <x:c r="G3" t="n">
        <x:v>1</x:v>
      </x:c>
      <x:c r="H3" t="inlineStr">
        <x:is>
          <x:t xml:space="preserve">Same-version self row only; do not crosswalk to AA Intelligence Index.</x:t>
        </x:is>
      </x:c>
    </x:row>
    <x:row r="4">
      <x:c r="A4" t="inlineStr">
        <x:is>
          <x:t xml:space="preserve">CAI|v1.4</x:t>
        </x:is>
      </x:c>
      <x:c r="B4" t="inlineStr">
        <x:is>
          <x:t xml:space="preserve">CAI|v1.4</x:t>
        </x:is>
      </x:c>
      <x:c r="C4" t="inlineStr">
        <x:is>
          <x:t xml:space="preserve">SELF</x:t>
        </x:is>
      </x:c>
      <x:c r="F4" t="n">
        <x:v>1</x:v>
      </x:c>
      <x:c r="G4" t="n">
        <x:v>1</x:v>
      </x:c>
      <x:c r="H4" t="inlineStr">
        <x:is>
          <x:t xml:space="preserve">Same-version self row only. v1.4 uses Terminal-Bench v2.1; do not crosswalk to CAI v1.5.</x:t>
        </x:is>
      </x:c>
    </x:row>
  </x:sheetData>
  <x:pageMargins left="0.7" right="0.7" top="0.75" bottom="0.75" header="0.3" footer="0.3"/>
</x:worksheet>
</file>

<file path=xl/worksheets/sheet18.xml><?xml version="1.0" encoding="utf-8"?>
<x:worksheet xmlns:x="http://schemas.openxmlformats.org/spreadsheetml/2006/main">
  <x:sheetFormatPr baseColWidth="8" defaultRowHeight="15"/>
  <x:cols>
    <x:col min="1" max="1" width="22" style="14" customWidth="1"/>
    <x:col min="2" max="2" width="22" style="14" customWidth="1"/>
    <x:col min="3" max="3" width="22" style="14" customWidth="1"/>
    <x:col min="4" max="4" width="22" style="14" customWidth="1"/>
    <x:col min="5" max="5" width="22" style="14" customWidth="1"/>
    <x:col min="6" max="6" width="22" style="14" customWidth="1"/>
    <x:col min="7" max="7" width="22" style="14" customWidth="1"/>
    <x:col min="8" max="8" width="22" style="14" customWidth="1"/>
    <x:col min="9" max="9" width="78" style="14" customWidth="1"/>
  </x:cols>
  <x:sheetData>
    <x:row r="1">
      <x:c r="A1" s="6" t="inlineStr">
        <x:is>
          <x:t xml:space="preserve">from_version</x:t>
        </x:is>
      </x:c>
      <x:c r="B1" s="6" t="inlineStr">
        <x:is>
          <x:t xml:space="preserve">to_version</x:t>
        </x:is>
      </x:c>
      <x:c r="C1" s="6" t="inlineStr">
        <x:is>
          <x:t xml:space="preserve">dual_count</x:t>
        </x:is>
      </x:c>
      <x:c r="D1" s="6" t="inlineStr">
        <x:is>
          <x:t xml:space="preserve">mean_ratio</x:t>
        </x:is>
      </x:c>
      <x:c r="E1" s="6" t="inlineStr">
        <x:is>
          <x:t xml:space="preserve">median_ratio</x:t>
        </x:is>
      </x:c>
      <x:c r="F1" s="6" t="inlineStr">
        <x:is>
          <x:t xml:space="preserve">stdev_ratio</x:t>
        </x:is>
      </x:c>
      <x:c r="G1" s="6" t="inlineStr">
        <x:is>
          <x:t xml:space="preserve">selected_ratio</x:t>
        </x:is>
      </x:c>
      <x:c r="H1" s="6" t="inlineStr">
        <x:is>
          <x:t xml:space="preserve">confidence</x:t>
        </x:is>
      </x:c>
      <x:c r="I1" s="6" t="inlineStr">
        <x:is>
          <x:t xml:space="preserve">notes</x:t>
        </x:is>
      </x:c>
    </x:row>
    <x:row r="2">
      <x:c r="A2" t="inlineStr">
        <x:is>
          <x:t xml:space="preserve">AA|v4.3.2</x:t>
        </x:is>
      </x:c>
      <x:c r="B2" t="inlineStr">
        <x:is>
          <x:t xml:space="preserve">AA|v4.3.2</x:t>
        </x:is>
      </x:c>
      <x:c r="C2" t="n">
        <x:v>71</x:v>
      </x:c>
      <x:c r="D2" t="n">
        <x:v>1</x:v>
      </x:c>
      <x:c r="E2" t="n">
        <x:v>1</x:v>
      </x:c>
      <x:c r="F2" t="n">
        <x:v>0</x:v>
      </x:c>
      <x:c r="G2" t="n">
        <x:v>1</x:v>
      </x:c>
      <x:c r="H2" t="inlineStr">
        <x:is>
          <x:t xml:space="preserve">high</x:t>
        </x:is>
      </x:c>
      <x:c r="I2" t="inlineStr">
        <x:is>
          <x:t xml:space="preserve">Self-ratio only. Future version pairs should summarize all dual-tested models and preserve dispersion.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48" style="14" customWidth="1"/>
    <x:col min="2" max="2" width="48" style="14" customWidth="1"/>
    <x:col min="3" max="3" width="20" style="14" customWidth="1"/>
    <x:col min="4" max="4" width="20" style="14" customWidth="1"/>
    <x:col min="5" max="5" width="20" style="14" customWidth="1"/>
    <x:col min="6" max="6" width="20" style="14" customWidth="1"/>
    <x:col min="7" max="7" width="20"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54" style="14" customWidth="1"/>
    <x:col min="25" max="25" width="54" style="14" customWidth="1"/>
    <x:col min="26" max="26" width="54" style="14" customWidth="1"/>
  </x:cols>
  <x:sheetData>
    <x:row r="1">
      <x:c r="A1" s="6" t="inlineStr">
        <x:is>
          <x:t xml:space="preserve">test_run_key</x:t>
        </x:is>
      </x:c>
      <x:c r="B1" s="6" t="inlineStr">
        <x:is>
          <x:t xml:space="preserve">model_variant_key</x:t>
        </x:is>
      </x:c>
      <x:c r="C1" s="6" t="inlineStr">
        <x:is>
          <x:t xml:space="preserve">benchmark_name</x:t>
        </x:is>
      </x:c>
      <x:c r="D1" s="6" t="inlineStr">
        <x:is>
          <x:t xml:space="preserve">benchmark_version</x:t>
        </x:is>
      </x:c>
      <x:c r="E1" s="6" t="inlineStr">
        <x:is>
          <x:t xml:space="preserve">benchmark_version_key</x:t>
        </x:is>
      </x:c>
      <x:c r="F1" s="6" t="inlineStr">
        <x:is>
          <x:t xml:space="preserve">test_run_date</x:t>
        </x:is>
      </x:c>
      <x:c r="G1" s="6" t="inlineStr">
        <x:is>
          <x:t xml:space="preserve">snapshot_date</x:t>
        </x:is>
      </x:c>
      <x:c r="H1" s="6" t="inlineStr">
        <x:is>
          <x:t xml:space="preserve">raw_score</x:t>
        </x:is>
      </x:c>
      <x:c r="I1" s="6" t="inlineStr">
        <x:is>
          <x:t xml:space="preserve">score_sq</x:t>
        </x:is>
      </x:c>
      <x:c r="J1" s="6" t="inlineStr">
        <x:is>
          <x:t xml:space="preserve">cost_per_task_usd</x:t>
        </x:is>
      </x:c>
      <x:c r="K1" s="6" t="inlineStr">
        <x:is>
          <x:t xml:space="preserve">total_index_cost_usd</x:t>
        </x:is>
      </x:c>
      <x:c r="L1" s="6" t="inlineStr">
        <x:is>
          <x:t xml:space="preserve">output_tokens_per_task</x:t>
        </x:is>
      </x:c>
      <x:c r="M1" s="6" t="inlineStr">
        <x:is>
          <x:t xml:space="preserve">reasoning_tokens_per_task</x:t>
        </x:is>
      </x:c>
      <x:c r="N1" s="6" t="inlineStr">
        <x:is>
          <x:t xml:space="preserve">total_output_tokens_index</x:t>
        </x:is>
      </x:c>
      <x:c r="O1" s="6" t="inlineStr">
        <x:is>
          <x:t xml:space="preserve">output_speed_tps</x:t>
        </x:is>
      </x:c>
      <x:c r="P1" s="6" t="inlineStr">
        <x:is>
          <x:t xml:space="preserve">ttft_seconds</x:t>
        </x:is>
      </x:c>
      <x:c r="Q1" s="6" t="inlineStr">
        <x:is>
          <x:t xml:space="preserve">first_answer_seconds</x:t>
        </x:is>
      </x:c>
      <x:c r="R1" s="6" t="inlineStr">
        <x:is>
          <x:t xml:space="preserve">e2e_500_seconds</x:t>
        </x:is>
      </x:c>
      <x:c r="S1" s="6" t="inlineStr">
        <x:is>
          <x:t xml:space="preserve">time_per_task_seconds</x:t>
        </x:is>
      </x:c>
      <x:c r="T1" s="6" t="inlineStr">
        <x:is>
          <x:t xml:space="preserve">input_price_per_m</x:t>
        </x:is>
      </x:c>
      <x:c r="U1" s="6" t="inlineStr">
        <x:is>
          <x:t xml:space="preserve">output_price_per_m</x:t>
        </x:is>
      </x:c>
      <x:c r="V1" s="6" t="inlineStr">
        <x:is>
          <x:t xml:space="preserve">cache_hit_price_per_m</x:t>
        </x:is>
      </x:c>
      <x:c r="W1" s="6" t="inlineStr">
        <x:is>
          <x:t xml:space="preserve">context_window_tokens</x:t>
        </x:is>
      </x:c>
      <x:c r="X1" s="6" t="inlineStr">
        <x:is>
          <x:t xml:space="preserve">source_url</x:t>
        </x:is>
      </x:c>
      <x:c r="Y1" s="6" t="inlineStr">
        <x:is>
          <x:t xml:space="preserve">data_quality</x:t>
        </x:is>
      </x:c>
      <x:c r="Z1" s="6" t="inlineStr">
        <x:is>
          <x:t xml:space="preserve">notes</x:t>
        </x:is>
      </x:c>
    </x:row>
    <x:row r="2">
      <x:c r="A2" s="12" t="inlineStr">
        <x:is>
          <x:t xml:space="preserve">openai|gpt-6-luna|non-reasoning|nonreasoning|fallback-na|aa-v4.3.2|snapshot-2026-09-28</x:t>
        </x:is>
      </x:c>
      <x:c r="B2" s="12" t="inlineStr">
        <x:is>
          <x:t xml:space="preserve">openai|gpt-6-luna|non-reasoning|nonreasoning|fallback-na</x:t>
        </x:is>
      </x:c>
      <x:c r="C2" s="12" t="inlineStr">
        <x:is>
          <x:t xml:space="preserve">Artificial Analysis Intelligence Index</x:t>
        </x:is>
      </x:c>
      <x:c r="D2" s="12" t="inlineStr">
        <x:is>
          <x:t xml:space="preserve">v4.3.2</x:t>
        </x:is>
      </x:c>
      <x:c r="E2" s="12" t="inlineStr">
        <x:is>
          <x:t xml:space="preserve">AA|v4.3.2</x:t>
        </x:is>
      </x:c>
      <x:c r="F2" s="12" t="n"/>
      <x:c r="G2" s="12" t="inlineStr">
        <x:is>
          <x:t xml:space="preserve">2026-09-28</x:t>
        </x:is>
      </x:c>
      <x:c r="H2" s="12" t="n">
        <x:v>18</x:v>
      </x:c>
      <x:c r="I2" s="12" t="n">
        <x:f>IF(H2="","",H2*H2)</x:f>
        <x:v>324</x:v>
      </x:c>
      <x:c r="J2" s="12" t="n">
        <x:v>0.01</x:v>
      </x:c>
      <x:c r="K2" s="12" t="n">
        <x:v>19</x:v>
      </x:c>
      <x:c r="L2" s="12" t="n">
        <x:v>4000</x:v>
      </x:c>
      <x:c r="M2" s="12" t="n">
        <x:v>0</x:v>
      </x:c>
      <x:c r="N2" s="12" t="n">
        <x:v>7000000</x:v>
      </x:c>
      <x:c r="O2" s="12" t="n">
        <x:v>144</x:v>
      </x:c>
      <x:c r="P2" s="12" t="n">
        <x:v>0.75</x:v>
      </x:c>
      <x:c r="Q2" s="12" t="n">
        <x:v>0.75</x:v>
      </x:c>
      <x:c r="R2" s="12" t="n">
        <x:v>4.22</x:v>
      </x:c>
      <x:c r="S2" s="12" t="n">
        <x:v>25.35</x:v>
      </x:c>
      <x:c r="T2" s="12" t="n">
        <x:v>0.1</x:v>
      </x:c>
      <x:c r="U2" s="12" t="n">
        <x:v>0.5</x:v>
      </x:c>
      <x:c r="V2" s="12" t="n">
        <x:v>0.01</x:v>
      </x:c>
      <x:c r="W2" s="12" t="n">
        <x:v>1000000</x:v>
      </x:c>
      <x:c r="X2" s="12" t="inlineStr">
        <x:is>
          <x:t xml:space="preserve">https://artificialanalysis.ai/models/releases/comparisons/gpt-6-luna-vs-gpt-6-sol</x:t>
        </x:is>
      </x:c>
      <x:c r="Y2" s="12" t="inlineStr">
        <x:is>
          <x:t xml:space="preserve">AA current public page</x:t>
        </x:is>
      </x:c>
      <x:c r="Z2" s="12" t="n"/>
    </x:row>
    <x:row r="3">
      <x:c r="A3" s="12" t="inlineStr">
        <x:is>
          <x:t xml:space="preserve">openai|gpt-6-luna|low|reasoning|fallback-na|aa-v4.3.2|snapshot-2026-09-28</x:t>
        </x:is>
      </x:c>
      <x:c r="B3" s="12" t="inlineStr">
        <x:is>
          <x:t xml:space="preserve">openai|gpt-6-luna|low|reasoning|fallback-na</x:t>
        </x:is>
      </x:c>
      <x:c r="C3" s="12" t="inlineStr">
        <x:is>
          <x:t xml:space="preserve">Artificial Analysis Intelligence Index</x:t>
        </x:is>
      </x:c>
      <x:c r="D3" s="12" t="inlineStr">
        <x:is>
          <x:t xml:space="preserve">v4.3.2</x:t>
        </x:is>
      </x:c>
      <x:c r="E3" s="12" t="inlineStr">
        <x:is>
          <x:t xml:space="preserve">AA|v4.3.2</x:t>
        </x:is>
      </x:c>
      <x:c r="F3" s="12" t="n"/>
      <x:c r="G3" s="12" t="inlineStr">
        <x:is>
          <x:t xml:space="preserve">2026-09-28</x:t>
        </x:is>
      </x:c>
      <x:c r="H3" s="12" t="n">
        <x:v>21</x:v>
      </x:c>
      <x:c r="I3" s="12" t="n">
        <x:f>IF(H3="","",H3*H3)</x:f>
        <x:v>441</x:v>
      </x:c>
      <x:c r="J3" s="12" t="n">
        <x:v>0.0045</x:v>
      </x:c>
      <x:c r="K3" s="12" t="n">
        <x:v>11</x:v>
      </x:c>
      <x:c r="L3" s="12" t="n">
        <x:v>2000</x:v>
      </x:c>
      <x:c r="M3" s="12" t="n">
        <x:v>515</x:v>
      </x:c>
      <x:c r="N3" s="12" t="n">
        <x:v>8000000</x:v>
      </x:c>
      <x:c r="O3" s="12" t="n">
        <x:v>145</x:v>
      </x:c>
      <x:c r="P3" s="12" t="n">
        <x:v>1.86</x:v>
      </x:c>
      <x:c r="Q3" s="12" t="n">
        <x:v>1.86</x:v>
      </x:c>
      <x:c r="R3" s="12" t="n">
        <x:v>5.3</x:v>
      </x:c>
      <x:c r="S3" s="12" t="n">
        <x:v>14.13</x:v>
      </x:c>
      <x:c r="T3" s="12" t="n">
        <x:v>0.1</x:v>
      </x:c>
      <x:c r="U3" s="12" t="n">
        <x:v>0.5</x:v>
      </x:c>
      <x:c r="V3" s="12" t="n">
        <x:v>0.01</x:v>
      </x:c>
      <x:c r="W3" s="12" t="n">
        <x:v>1000000</x:v>
      </x:c>
      <x:c r="X3" s="12" t="inlineStr">
        <x:is>
          <x:t xml:space="preserve">https://artificialanalysis.ai/models/releases/comparisons/gpt-6-luna-vs-gpt-6-sol</x:t>
        </x:is>
      </x:c>
      <x:c r="Y3" s="12" t="inlineStr">
        <x:is>
          <x:t xml:space="preserve">AA current public page</x:t>
        </x:is>
      </x:c>
      <x:c r="Z3" s="12" t="n"/>
    </x:row>
    <x:row r="4">
      <x:c r="A4" s="12" t="inlineStr">
        <x:is>
          <x:t xml:space="preserve">openai|gpt-6-luna|medium|reasoning|fallback-na|aa-v4.3.2|snapshot-2026-09-28</x:t>
        </x:is>
      </x:c>
      <x:c r="B4" s="12" t="inlineStr">
        <x:is>
          <x:t xml:space="preserve">openai|gpt-6-luna|medium|reasoning|fallback-na</x:t>
        </x:is>
      </x:c>
      <x:c r="C4" s="12" t="inlineStr">
        <x:is>
          <x:t xml:space="preserve">Artificial Analysis Intelligence Index</x:t>
        </x:is>
      </x:c>
      <x:c r="D4" s="12" t="inlineStr">
        <x:is>
          <x:t xml:space="preserve">v4.3.2</x:t>
        </x:is>
      </x:c>
      <x:c r="E4" s="12" t="inlineStr">
        <x:is>
          <x:t xml:space="preserve">AA|v4.3.2</x:t>
        </x:is>
      </x:c>
      <x:c r="F4" s="12" t="n"/>
      <x:c r="G4" s="12" t="inlineStr">
        <x:is>
          <x:t xml:space="preserve">2026-09-28</x:t>
        </x:is>
      </x:c>
      <x:c r="H4" s="12" t="n">
        <x:v>29</x:v>
      </x:c>
      <x:c r="I4" s="12" t="n">
        <x:f>IF(H4="","",H4*H4)</x:f>
        <x:v>841</x:v>
      </x:c>
      <x:c r="J4" s="12" t="n">
        <x:v>0.02</x:v>
      </x:c>
      <x:c r="K4" s="12" t="n">
        <x:v>31</x:v>
      </x:c>
      <x:c r="L4" s="12" t="n">
        <x:v>11000</x:v>
      </x:c>
      <x:c r="M4" s="12" t="n">
        <x:v>6000</x:v>
      </x:c>
      <x:c r="N4" s="12" t="n">
        <x:v>28000000</x:v>
      </x:c>
      <x:c r="O4" s="12" t="n"/>
      <x:c r="P4" s="12" t="n"/>
      <x:c r="Q4" s="12" t="n"/>
      <x:c r="R4" s="12" t="n"/>
      <x:c r="S4" s="12" t="n"/>
      <x:c r="T4" s="12" t="n">
        <x:v>0.1</x:v>
      </x:c>
      <x:c r="U4" s="12" t="n">
        <x:v>0.5</x:v>
      </x:c>
      <x:c r="V4" s="12" t="n">
        <x:v>0.01</x:v>
      </x:c>
      <x:c r="W4" s="12" t="n">
        <x:v>1000000</x:v>
      </x:c>
      <x:c r="X4" s="12" t="inlineStr">
        <x:is>
          <x:t xml:space="preserve">https://artificialanalysis.ai/models/releases/comparisons/gpt-6-luna-vs-gpt-6-sol</x:t>
        </x:is>
      </x:c>
      <x:c r="Y4" s="12" t="inlineStr">
        <x:is>
          <x:t xml:space="preserve">AA current public page</x:t>
        </x:is>
      </x:c>
      <x:c r="Z4" s="12" t="n"/>
    </x:row>
    <x:row r="5">
      <x:c r="A5" s="12" t="inlineStr">
        <x:is>
          <x:t xml:space="preserve">openai|gpt-6-luna|high|reasoning|fallback-na|aa-v4.3.2|snapshot-2026-09-28</x:t>
        </x:is>
      </x:c>
      <x:c r="B5" s="12" t="inlineStr">
        <x:is>
          <x:t xml:space="preserve">openai|gpt-6-luna|high|reasoning|fallback-na</x:t>
        </x:is>
      </x:c>
      <x:c r="C5" s="12" t="inlineStr">
        <x:is>
          <x:t xml:space="preserve">Artificial Analysis Intelligence Index</x:t>
        </x:is>
      </x:c>
      <x:c r="D5" s="12" t="inlineStr">
        <x:is>
          <x:t xml:space="preserve">v4.3.2</x:t>
        </x:is>
      </x:c>
      <x:c r="E5" s="12" t="inlineStr">
        <x:is>
          <x:t xml:space="preserve">AA|v4.3.2</x:t>
        </x:is>
      </x:c>
      <x:c r="F5" s="12" t="n"/>
      <x:c r="G5" s="12" t="inlineStr">
        <x:is>
          <x:t xml:space="preserve">2026-09-28</x:t>
        </x:is>
      </x:c>
      <x:c r="H5" s="12" t="n">
        <x:v>32</x:v>
      </x:c>
      <x:c r="I5" s="12" t="n">
        <x:f>IF(H5="","",H5*H5)</x:f>
        <x:v>1024</x:v>
      </x:c>
      <x:c r="J5" s="12" t="n">
        <x:v>0.03</x:v>
      </x:c>
      <x:c r="K5" s="12" t="n">
        <x:v>48</x:v>
      </x:c>
      <x:c r="L5" s="12" t="n">
        <x:v>20000</x:v>
      </x:c>
      <x:c r="M5" s="12" t="n">
        <x:v>13000</x:v>
      </x:c>
      <x:c r="N5" s="12" t="n">
        <x:v>47000000</x:v>
      </x:c>
      <x:c r="O5" s="12" t="n">
        <x:v>152</x:v>
      </x:c>
      <x:c r="P5" s="12" t="n">
        <x:v>5.55</x:v>
      </x:c>
      <x:c r="Q5" s="12" t="n">
        <x:v>5.55</x:v>
      </x:c>
      <x:c r="R5" s="12" t="n">
        <x:v>8.83</x:v>
      </x:c>
      <x:c r="S5" s="12" t="n">
        <x:v>130.19</x:v>
      </x:c>
      <x:c r="T5" s="12" t="n">
        <x:v>0.1</x:v>
      </x:c>
      <x:c r="U5" s="12" t="n">
        <x:v>0.5</x:v>
      </x:c>
      <x:c r="V5" s="12" t="n">
        <x:v>0.01</x:v>
      </x:c>
      <x:c r="W5" s="12" t="n">
        <x:v>1000000</x:v>
      </x:c>
      <x:c r="X5" s="12" t="inlineStr">
        <x:is>
          <x:t xml:space="preserve">https://artificialanalysis.ai/models/releases/comparisons/gpt-6-luna-vs-gpt-6-sol</x:t>
        </x:is>
      </x:c>
      <x:c r="Y5" s="12" t="inlineStr">
        <x:is>
          <x:t xml:space="preserve">AA current public page</x:t>
        </x:is>
      </x:c>
      <x:c r="Z5" s="12" t="n"/>
    </x:row>
    <x:row r="6">
      <x:c r="A6" s="12" t="inlineStr">
        <x:is>
          <x:t xml:space="preserve">openai|gpt-6-luna|xhigh|reasoning|fallback-na|aa-v4.3.2|snapshot-2026-09-28</x:t>
        </x:is>
      </x:c>
      <x:c r="B6" s="12" t="inlineStr">
        <x:is>
          <x:t xml:space="preserve">openai|gpt-6-luna|xhigh|reasoning|fallback-na</x:t>
        </x:is>
      </x:c>
      <x:c r="C6" s="12" t="inlineStr">
        <x:is>
          <x:t xml:space="preserve">Artificial Analysis Intelligence Index</x:t>
        </x:is>
      </x:c>
      <x:c r="D6" s="12" t="inlineStr">
        <x:is>
          <x:t xml:space="preserve">v4.3.2</x:t>
        </x:is>
      </x:c>
      <x:c r="E6" s="12" t="inlineStr">
        <x:is>
          <x:t xml:space="preserve">AA|v4.3.2</x:t>
        </x:is>
      </x:c>
      <x:c r="F6" s="12" t="n"/>
      <x:c r="G6" s="12" t="inlineStr">
        <x:is>
          <x:t xml:space="preserve">2026-09-28</x:t>
        </x:is>
      </x:c>
      <x:c r="H6" s="12" t="n">
        <x:v>34</x:v>
      </x:c>
      <x:c r="I6" s="12" t="n">
        <x:f>IF(H6="","",H6*H6)</x:f>
        <x:v>1156</x:v>
      </x:c>
      <x:c r="J6" s="12" t="n">
        <x:v>0.04</x:v>
      </x:c>
      <x:c r="K6" s="12" t="n">
        <x:v>66</x:v>
      </x:c>
      <x:c r="L6" s="12" t="n">
        <x:v>27000</x:v>
      </x:c>
      <x:c r="M6" s="12" t="n">
        <x:v>19000</x:v>
      </x:c>
      <x:c r="N6" s="12" t="n">
        <x:v>68000000</x:v>
      </x:c>
      <x:c r="O6" s="12" t="n">
        <x:v>156</x:v>
      </x:c>
      <x:c r="P6" s="12" t="n">
        <x:v>14.76</x:v>
      </x:c>
      <x:c r="Q6" s="12" t="n">
        <x:v>14.76</x:v>
      </x:c>
      <x:c r="R6" s="12" t="n">
        <x:v>17.97</x:v>
      </x:c>
      <x:c r="S6" s="12" t="n">
        <x:v>174.23</x:v>
      </x:c>
      <x:c r="T6" s="12" t="n">
        <x:v>0.1</x:v>
      </x:c>
      <x:c r="U6" s="12" t="n">
        <x:v>0.5</x:v>
      </x:c>
      <x:c r="V6" s="12" t="n">
        <x:v>0.01</x:v>
      </x:c>
      <x:c r="W6" s="12" t="n">
        <x:v>1000000</x:v>
      </x:c>
      <x:c r="X6" s="12" t="inlineStr">
        <x:is>
          <x:t xml:space="preserve">https://artificialanalysis.ai/models/releases/comparisons/gpt-6-luna-vs-gpt-6-sol</x:t>
        </x:is>
      </x:c>
      <x:c r="Y6" s="12" t="inlineStr">
        <x:is>
          <x:t xml:space="preserve">AA current public page</x:t>
        </x:is>
      </x:c>
      <x:c r="Z6" s="12" t="n"/>
    </x:row>
    <x:row r="7">
      <x:c r="A7" s="12" t="inlineStr">
        <x:is>
          <x:t xml:space="preserve">openai|gpt-6-luna|max|reasoning|fallback-na|aa-v4.3.2|snapshot-2026-09-28</x:t>
        </x:is>
      </x:c>
      <x:c r="B7" s="12" t="inlineStr">
        <x:is>
          <x:t xml:space="preserve">openai|gpt-6-luna|max|reasoning|fallback-na</x:t>
        </x:is>
      </x:c>
      <x:c r="C7" s="12" t="inlineStr">
        <x:is>
          <x:t xml:space="preserve">Artificial Analysis Intelligence Index</x:t>
        </x:is>
      </x:c>
      <x:c r="D7" s="12" t="inlineStr">
        <x:is>
          <x:t xml:space="preserve">v4.3.2</x:t>
        </x:is>
      </x:c>
      <x:c r="E7" s="12" t="inlineStr">
        <x:is>
          <x:t xml:space="preserve">AA|v4.3.2</x:t>
        </x:is>
      </x:c>
      <x:c r="F7" s="12" t="n"/>
      <x:c r="G7" s="12" t="inlineStr">
        <x:is>
          <x:t xml:space="preserve">2026-09-28</x:t>
        </x:is>
      </x:c>
      <x:c r="H7" s="12" t="n">
        <x:v>37</x:v>
      </x:c>
      <x:c r="I7" s="12" t="n">
        <x:f>IF(H7="","",H7*H7)</x:f>
        <x:v>1369</x:v>
      </x:c>
      <x:c r="J7" s="12" t="n">
        <x:v>0.07000000000000001</x:v>
      </x:c>
      <x:c r="K7" s="12" t="n">
        <x:v>122</x:v>
      </x:c>
      <x:c r="L7" s="12" t="n">
        <x:v>51000</x:v>
      </x:c>
      <x:c r="M7" s="12" t="n">
        <x:v>39000</x:v>
      </x:c>
      <x:c r="N7" s="12" t="n">
        <x:v>145000000</x:v>
      </x:c>
      <x:c r="O7" s="12" t="n">
        <x:v>163</x:v>
      </x:c>
      <x:c r="P7" s="12" t="n">
        <x:v>94.12</x:v>
      </x:c>
      <x:c r="Q7" s="12" t="n">
        <x:v>94.12</x:v>
      </x:c>
      <x:c r="R7" s="12" t="n">
        <x:v>97.18000000000001</x:v>
      </x:c>
      <x:c r="S7" s="12" t="n">
        <x:v>313.32</x:v>
      </x:c>
      <x:c r="T7" s="12" t="n">
        <x:v>0.1</x:v>
      </x:c>
      <x:c r="U7" s="12" t="n">
        <x:v>0.5</x:v>
      </x:c>
      <x:c r="V7" s="12" t="n">
        <x:v>0.01</x:v>
      </x:c>
      <x:c r="W7" s="12" t="n">
        <x:v>1000000</x:v>
      </x:c>
      <x:c r="X7" s="12" t="inlineStr">
        <x:is>
          <x:t xml:space="preserve">https://artificialanalysis.ai/models/releases/comparisons/gpt-6-luna-vs-gpt-6-sol</x:t>
        </x:is>
      </x:c>
      <x:c r="Y7" s="12" t="inlineStr">
        <x:is>
          <x:t xml:space="preserve">AA current public page</x:t>
        </x:is>
      </x:c>
      <x:c r="Z7" s="12" t="n"/>
    </x:row>
    <x:row r="8">
      <x:c r="A8" s="12" t="inlineStr">
        <x:is>
          <x:t xml:space="preserve">openai|gpt-6-sol|non-reasoning|nonreasoning|fallback-na|aa-v4.3.2|snapshot-2026-09-28</x:t>
        </x:is>
      </x:c>
      <x:c r="B8" s="12" t="inlineStr">
        <x:is>
          <x:t xml:space="preserve">openai|gpt-6-sol|non-reasoning|nonreasoning|fallback-na</x:t>
        </x:is>
      </x:c>
      <x:c r="C8" s="12" t="inlineStr">
        <x:is>
          <x:t xml:space="preserve">Artificial Analysis Intelligence Index</x:t>
        </x:is>
      </x:c>
      <x:c r="D8" s="12" t="inlineStr">
        <x:is>
          <x:t xml:space="preserve">v4.3.2</x:t>
        </x:is>
      </x:c>
      <x:c r="E8" s="12" t="inlineStr">
        <x:is>
          <x:t xml:space="preserve">AA|v4.3.2</x:t>
        </x:is>
      </x:c>
      <x:c r="F8" s="12" t="n"/>
      <x:c r="G8" s="12" t="inlineStr">
        <x:is>
          <x:t xml:space="preserve">2026-09-28</x:t>
        </x:is>
      </x:c>
      <x:c r="H8" s="12" t="n">
        <x:v>28</x:v>
      </x:c>
      <x:c r="I8" s="12" t="n">
        <x:f>IF(H8="","",H8*H8)</x:f>
        <x:v>784</x:v>
      </x:c>
      <x:c r="J8" s="12" t="n">
        <x:v>0.33</x:v>
      </x:c>
      <x:c r="K8" s="12" t="n">
        <x:v>448</x:v>
      </x:c>
      <x:c r="L8" s="12" t="n">
        <x:v>5000</x:v>
      </x:c>
      <x:c r="M8" s="12" t="n">
        <x:v>0</x:v>
      </x:c>
      <x:c r="N8" s="12" t="n">
        <x:v>8000000</x:v>
      </x:c>
      <x:c r="O8" s="12" t="n">
        <x:v>79</x:v>
      </x:c>
      <x:c r="P8" s="12" t="n">
        <x:v>0.9399999999999999</x:v>
      </x:c>
      <x:c r="Q8" s="12" t="n">
        <x:v>0.9399999999999999</x:v>
      </x:c>
      <x:c r="R8" s="12" t="n">
        <x:v>7.25</x:v>
      </x:c>
      <x:c r="S8" s="12" t="n">
        <x:v>61.89</x:v>
      </x:c>
      <x:c r="T8" s="12" t="n">
        <x:v>2</x:v>
      </x:c>
      <x:c r="U8" s="12" t="n">
        <x:v>10</x:v>
      </x:c>
      <x:c r="V8" s="12" t="n">
        <x:v>0.2</x:v>
      </x:c>
      <x:c r="W8" s="12" t="n">
        <x:v>872000</x:v>
      </x:c>
      <x:c r="X8" s="12" t="inlineStr">
        <x:is>
          <x:t xml:space="preserve">https://artificialanalysis.ai/models/releases/comparisons/gpt-6-luna-vs-gpt-6-sol</x:t>
        </x:is>
      </x:c>
      <x:c r="Y8" s="12" t="inlineStr">
        <x:is>
          <x:t xml:space="preserve">AA current public page</x:t>
        </x:is>
      </x:c>
      <x:c r="Z8" s="12" t="n"/>
    </x:row>
    <x:row r="9">
      <x:c r="A9" s="12" t="inlineStr">
        <x:is>
          <x:t xml:space="preserve">openai|gpt-6-sol|low|reasoning|fallback-na|aa-v4.3.2|snapshot-2026-09-28</x:t>
        </x:is>
      </x:c>
      <x:c r="B9" s="12" t="inlineStr">
        <x:is>
          <x:t xml:space="preserve">openai|gpt-6-sol|low|reasoning|fallback-na</x:t>
        </x:is>
      </x:c>
      <x:c r="C9" s="12" t="inlineStr">
        <x:is>
          <x:t xml:space="preserve">Artificial Analysis Intelligence Index</x:t>
        </x:is>
      </x:c>
      <x:c r="D9" s="12" t="inlineStr">
        <x:is>
          <x:t xml:space="preserve">v4.3.2</x:t>
        </x:is>
      </x:c>
      <x:c r="E9" s="12" t="inlineStr">
        <x:is>
          <x:t xml:space="preserve">AA|v4.3.2</x:t>
        </x:is>
      </x:c>
      <x:c r="F9" s="12" t="n"/>
      <x:c r="G9" s="12" t="inlineStr">
        <x:is>
          <x:t xml:space="preserve">2026-09-28</x:t>
        </x:is>
      </x:c>
      <x:c r="H9" s="12" t="n">
        <x:v>34</x:v>
      </x:c>
      <x:c r="I9" s="12" t="n">
        <x:f>IF(H9="","",H9*H9)</x:f>
        <x:v>1156</x:v>
      </x:c>
      <x:c r="J9" s="12" t="n">
        <x:v>0.13</x:v>
      </x:c>
      <x:c r="K9" s="12" t="n">
        <x:v>268</x:v>
      </x:c>
      <x:c r="L9" s="12" t="n">
        <x:v>3000</x:v>
      </x:c>
      <x:c r="M9" s="12" t="n">
        <x:v>697</x:v>
      </x:c>
      <x:c r="N9" s="12" t="n">
        <x:v>9000000</x:v>
      </x:c>
      <x:c r="O9" s="12" t="n">
        <x:v>82</x:v>
      </x:c>
      <x:c r="P9" s="12" t="n">
        <x:v>1.67</x:v>
      </x:c>
      <x:c r="Q9" s="12" t="n">
        <x:v>1.67</x:v>
      </x:c>
      <x:c r="R9" s="12" t="n">
        <x:v>7.76</x:v>
      </x:c>
      <x:c r="S9" s="12" t="n">
        <x:v>41.07</x:v>
      </x:c>
      <x:c r="T9" s="12" t="n">
        <x:v>2</x:v>
      </x:c>
      <x:c r="U9" s="12" t="n">
        <x:v>10</x:v>
      </x:c>
      <x:c r="V9" s="12" t="n">
        <x:v>0.2</x:v>
      </x:c>
      <x:c r="W9" s="12" t="n">
        <x:v>872000</x:v>
      </x:c>
      <x:c r="X9" s="12" t="inlineStr">
        <x:is>
          <x:t xml:space="preserve">https://artificialanalysis.ai/models/releases/comparisons/gpt-6-luna-vs-gpt-6-sol</x:t>
        </x:is>
      </x:c>
      <x:c r="Y9" s="12" t="inlineStr">
        <x:is>
          <x:t xml:space="preserve">AA current public page</x:t>
        </x:is>
      </x:c>
      <x:c r="Z9" s="12" t="n"/>
    </x:row>
    <x:row r="10">
      <x:c r="A10" s="12" t="inlineStr">
        <x:is>
          <x:t xml:space="preserve">openai|gpt-6-sol|medium|reasoning|fallback-na|aa-v4.3.2|snapshot-2026-09-28</x:t>
        </x:is>
      </x:c>
      <x:c r="B10" s="12" t="inlineStr">
        <x:is>
          <x:t xml:space="preserve">openai|gpt-6-sol|medium|reasoning|fallback-na</x:t>
        </x:is>
      </x:c>
      <x:c r="C10" s="12" t="inlineStr">
        <x:is>
          <x:t xml:space="preserve">Artificial Analysis Intelligence Index</x:t>
        </x:is>
      </x:c>
      <x:c r="D10" s="12" t="inlineStr">
        <x:is>
          <x:t xml:space="preserve">v4.3.2</x:t>
        </x:is>
      </x:c>
      <x:c r="E10" s="12" t="inlineStr">
        <x:is>
          <x:t xml:space="preserve">AA|v4.3.2</x:t>
        </x:is>
      </x:c>
      <x:c r="F10" s="12" t="n"/>
      <x:c r="G10" s="12" t="inlineStr">
        <x:is>
          <x:t xml:space="preserve">2026-09-28</x:t>
        </x:is>
      </x:c>
      <x:c r="H10" s="12" t="n">
        <x:v>40</x:v>
      </x:c>
      <x:c r="I10" s="12" t="n">
        <x:f>IF(H10="","",H10*H10)</x:f>
        <x:v>1600</x:v>
      </x:c>
      <x:c r="J10" s="12" t="n">
        <x:v>0.25</x:v>
      </x:c>
      <x:c r="K10" s="12" t="n">
        <x:v>417</x:v>
      </x:c>
      <x:c r="L10" s="12" t="n">
        <x:v>6000</x:v>
      </x:c>
      <x:c r="M10" s="12" t="n">
        <x:v>2000</x:v>
      </x:c>
      <x:c r="N10" s="12" t="n">
        <x:v>16000000</x:v>
      </x:c>
      <x:c r="O10" s="12" t="n"/>
      <x:c r="P10" s="12" t="n"/>
      <x:c r="Q10" s="12" t="n"/>
      <x:c r="R10" s="12" t="n"/>
      <x:c r="S10" s="12" t="n"/>
      <x:c r="T10" s="12" t="n">
        <x:v>2</x:v>
      </x:c>
      <x:c r="U10" s="12" t="n">
        <x:v>10</x:v>
      </x:c>
      <x:c r="V10" s="12" t="n">
        <x:v>0.2</x:v>
      </x:c>
      <x:c r="W10" s="12" t="n">
        <x:v>872000</x:v>
      </x:c>
      <x:c r="X10" s="12" t="inlineStr">
        <x:is>
          <x:t xml:space="preserve">https://artificialanalysis.ai/models/releases/comparisons/gpt-6-luna-vs-gpt-6-sol</x:t>
        </x:is>
      </x:c>
      <x:c r="Y10" s="12" t="inlineStr">
        <x:is>
          <x:t xml:space="preserve">AA current public page</x:t>
        </x:is>
      </x:c>
      <x:c r="Z10" s="12" t="n"/>
    </x:row>
    <x:row r="11">
      <x:c r="A11" s="12" t="inlineStr">
        <x:is>
          <x:t xml:space="preserve">openai|gpt-6-sol|high|reasoning|fallback-na|aa-v4.3.2|snapshot-2026-09-28</x:t>
        </x:is>
      </x:c>
      <x:c r="B11" s="12" t="inlineStr">
        <x:is>
          <x:t xml:space="preserve">openai|gpt-6-sol|high|reasoning|fallback-na</x:t>
        </x:is>
      </x:c>
      <x:c r="C11" s="12" t="inlineStr">
        <x:is>
          <x:t xml:space="preserve">Artificial Analysis Intelligence Index</x:t>
        </x:is>
      </x:c>
      <x:c r="D11" s="12" t="inlineStr">
        <x:is>
          <x:t xml:space="preserve">v4.3.2</x:t>
        </x:is>
      </x:c>
      <x:c r="E11" s="12" t="inlineStr">
        <x:is>
          <x:t xml:space="preserve">AA|v4.3.2</x:t>
        </x:is>
      </x:c>
      <x:c r="F11" s="12" t="n"/>
      <x:c r="G11" s="12" t="inlineStr">
        <x:is>
          <x:t xml:space="preserve">2026-09-28</x:t>
        </x:is>
      </x:c>
      <x:c r="H11" s="12" t="n">
        <x:v>43</x:v>
      </x:c>
      <x:c r="I11" s="12" t="n">
        <x:f>IF(H11="","",H11*H11)</x:f>
        <x:v>1849</x:v>
      </x:c>
      <x:c r="J11" s="12" t="n">
        <x:v>0.37</x:v>
      </x:c>
      <x:c r="K11" s="12" t="n">
        <x:v>610</x:v>
      </x:c>
      <x:c r="L11" s="12" t="n">
        <x:v>10000</x:v>
      </x:c>
      <x:c r="M11" s="12" t="n">
        <x:v>5000</x:v>
      </x:c>
      <x:c r="N11" s="12" t="n">
        <x:v>25000000</x:v>
      </x:c>
      <x:c r="O11" s="12" t="n">
        <x:v>81</x:v>
      </x:c>
      <x:c r="P11" s="12" t="n">
        <x:v>10.3</x:v>
      </x:c>
      <x:c r="Q11" s="12" t="n">
        <x:v>10.3</x:v>
      </x:c>
      <x:c r="R11" s="12" t="n">
        <x:v>16.47</x:v>
      </x:c>
      <x:c r="S11" s="12" t="n">
        <x:v>126.07</x:v>
      </x:c>
      <x:c r="T11" s="12" t="n">
        <x:v>2</x:v>
      </x:c>
      <x:c r="U11" s="12" t="n">
        <x:v>10</x:v>
      </x:c>
      <x:c r="V11" s="12" t="n">
        <x:v>0.2</x:v>
      </x:c>
      <x:c r="W11" s="12" t="n">
        <x:v>872000</x:v>
      </x:c>
      <x:c r="X11" s="12" t="inlineStr">
        <x:is>
          <x:t xml:space="preserve">https://artificialanalysis.ai/models/releases/comparisons/gpt-6-luna-vs-gpt-6-sol</x:t>
        </x:is>
      </x:c>
      <x:c r="Y11" s="12" t="inlineStr">
        <x:is>
          <x:t xml:space="preserve">AA current public page</x:t>
        </x:is>
      </x:c>
      <x:c r="Z11" s="12" t="n"/>
    </x:row>
    <x:row r="12">
      <x:c r="A12" s="12" t="inlineStr">
        <x:is>
          <x:t xml:space="preserve">openai|gpt-6-sol|xhigh|reasoning|fallback-na|aa-v4.3.2|snapshot-2026-09-28</x:t>
        </x:is>
      </x:c>
      <x:c r="B12" s="12" t="inlineStr">
        <x:is>
          <x:t xml:space="preserve">openai|gpt-6-sol|xhigh|reasoning|fallback-na</x:t>
        </x:is>
      </x:c>
      <x:c r="C12" s="12" t="inlineStr">
        <x:is>
          <x:t xml:space="preserve">Artificial Analysis Intelligence Index</x:t>
        </x:is>
      </x:c>
      <x:c r="D12" s="12" t="inlineStr">
        <x:is>
          <x:t xml:space="preserve">v4.3.2</x:t>
        </x:is>
      </x:c>
      <x:c r="E12" s="12" t="inlineStr">
        <x:is>
          <x:t xml:space="preserve">AA|v4.3.2</x:t>
        </x:is>
      </x:c>
      <x:c r="F12" s="12" t="n"/>
      <x:c r="G12" s="12" t="inlineStr">
        <x:is>
          <x:t xml:space="preserve">2026-09-28</x:t>
        </x:is>
      </x:c>
      <x:c r="H12" s="12" t="n">
        <x:v>44</x:v>
      </x:c>
      <x:c r="I12" s="12" t="n">
        <x:f>IF(H12="","",H12*H12)</x:f>
        <x:v>1936</x:v>
      </x:c>
      <x:c r="J12" s="12" t="n">
        <x:v>0.53</x:v>
      </x:c>
      <x:c r="K12" s="12" t="n">
        <x:v>865</x:v>
      </x:c>
      <x:c r="L12" s="12" t="n">
        <x:v>16000</x:v>
      </x:c>
      <x:c r="M12" s="12" t="n">
        <x:v>9000</x:v>
      </x:c>
      <x:c r="N12" s="12" t="n">
        <x:v>40000000</x:v>
      </x:c>
      <x:c r="O12" s="12" t="n">
        <x:v>80</x:v>
      </x:c>
      <x:c r="P12" s="12" t="n">
        <x:v>38.23</x:v>
      </x:c>
      <x:c r="Q12" s="12" t="n">
        <x:v>38.23</x:v>
      </x:c>
      <x:c r="R12" s="12" t="n">
        <x:v>44.5</x:v>
      </x:c>
      <x:c r="S12" s="12" t="n">
        <x:v>199.13</x:v>
      </x:c>
      <x:c r="T12" s="12" t="n">
        <x:v>2</x:v>
      </x:c>
      <x:c r="U12" s="12" t="n">
        <x:v>10</x:v>
      </x:c>
      <x:c r="V12" s="12" t="n">
        <x:v>0.2</x:v>
      </x:c>
      <x:c r="W12" s="12" t="n">
        <x:v>872000</x:v>
      </x:c>
      <x:c r="X12" s="12" t="inlineStr">
        <x:is>
          <x:t xml:space="preserve">https://artificialanalysis.ai/models/releases/comparisons/gpt-6-luna-vs-gpt-6-sol</x:t>
        </x:is>
      </x:c>
      <x:c r="Y12" s="12" t="inlineStr">
        <x:is>
          <x:t xml:space="preserve">AA current public page</x:t>
        </x:is>
      </x:c>
      <x:c r="Z12" s="12" t="n"/>
    </x:row>
    <x:row r="13">
      <x:c r="A13" s="12" t="inlineStr">
        <x:is>
          <x:t xml:space="preserve">openai|gpt-6-sol|max|reasoning|fallback-na|aa-v4.3.2|snapshot-2026-09-28</x:t>
        </x:is>
      </x:c>
      <x:c r="B13" s="12" t="inlineStr">
        <x:is>
          <x:t xml:space="preserve">openai|gpt-6-sol|max|reasoning|fallback-na</x:t>
        </x:is>
      </x:c>
      <x:c r="C13" s="12" t="inlineStr">
        <x:is>
          <x:t xml:space="preserve">Artificial Analysis Intelligence Index</x:t>
        </x:is>
      </x:c>
      <x:c r="D13" s="12" t="inlineStr">
        <x:is>
          <x:t xml:space="preserve">v4.3.2</x:t>
        </x:is>
      </x:c>
      <x:c r="E13" s="12" t="inlineStr">
        <x:is>
          <x:t xml:space="preserve">AA|v4.3.2</x:t>
        </x:is>
      </x:c>
      <x:c r="F13" s="12" t="n"/>
      <x:c r="G13" s="12" t="inlineStr">
        <x:is>
          <x:t xml:space="preserve">2026-09-28</x:t>
        </x:is>
      </x:c>
      <x:c r="H13" s="12" t="n">
        <x:v>48</x:v>
      </x:c>
      <x:c r="I13" s="12" t="n">
        <x:f>IF(H13="","",H13*H13)</x:f>
        <x:v>2304</x:v>
      </x:c>
      <x:c r="J13" s="12" t="n">
        <x:v>1.06</x:v>
      </x:c>
      <x:c r="K13" s="12" t="n">
        <x:v>1550</x:v>
      </x:c>
      <x:c r="L13" s="12" t="n">
        <x:v>31000</x:v>
      </x:c>
      <x:c r="M13" s="12" t="n">
        <x:v>21000</x:v>
      </x:c>
      <x:c r="N13" s="12" t="n">
        <x:v>77000000</x:v>
      </x:c>
      <x:c r="O13" s="12" t="n">
        <x:v>90</x:v>
      </x:c>
      <x:c r="P13" s="12" t="n">
        <x:v>161.39</x:v>
      </x:c>
      <x:c r="Q13" s="12" t="n">
        <x:v>161.39</x:v>
      </x:c>
      <x:c r="R13" s="12" t="n">
        <x:v>166.96</x:v>
      </x:c>
      <x:c r="S13" s="12" t="n">
        <x:v>348.35</x:v>
      </x:c>
      <x:c r="T13" s="12" t="n">
        <x:v>2</x:v>
      </x:c>
      <x:c r="U13" s="12" t="n">
        <x:v>10</x:v>
      </x:c>
      <x:c r="V13" s="12" t="n">
        <x:v>0.2</x:v>
      </x:c>
      <x:c r="W13" s="12" t="n">
        <x:v>872000</x:v>
      </x:c>
      <x:c r="X13" s="12" t="inlineStr">
        <x:is>
          <x:t xml:space="preserve">https://artificialanalysis.ai/models/releases/comparisons/gpt-6-luna-vs-gpt-6-sol</x:t>
        </x:is>
      </x:c>
      <x:c r="Y13" s="12" t="inlineStr">
        <x:is>
          <x:t xml:space="preserve">AA current public page</x:t>
        </x:is>
      </x:c>
      <x:c r="Z13" s="12" t="n"/>
    </x:row>
    <x:row r="14">
      <x:c r="A14" s="12" t="inlineStr">
        <x:is>
          <x:t xml:space="preserve">openai|gpt-6-astra|low|reasoning|fallback-na|aa-v4.3.2|snapshot-2026-09-28</x:t>
        </x:is>
      </x:c>
      <x:c r="B14" s="12" t="inlineStr">
        <x:is>
          <x:t xml:space="preserve">openai|gpt-6-astra|low|reasoning|fallback-na</x:t>
        </x:is>
      </x:c>
      <x:c r="C14" s="12" t="inlineStr">
        <x:is>
          <x:t xml:space="preserve">Artificial Analysis Intelligence Index</x:t>
        </x:is>
      </x:c>
      <x:c r="D14" s="12" t="inlineStr">
        <x:is>
          <x:t xml:space="preserve">v4.3.2</x:t>
        </x:is>
      </x:c>
      <x:c r="E14" s="12" t="inlineStr">
        <x:is>
          <x:t xml:space="preserve">AA|v4.3.2</x:t>
        </x:is>
      </x:c>
      <x:c r="F14" s="12" t="n"/>
      <x:c r="G14" s="12" t="inlineStr">
        <x:is>
          <x:t xml:space="preserve">2026-09-28</x:t>
        </x:is>
      </x:c>
      <x:c r="H14" s="12" t="n">
        <x:v>46</x:v>
      </x:c>
      <x:c r="I14" s="12" t="n">
        <x:f>IF(H14="","",H14*H14)</x:f>
        <x:v>2116</x:v>
      </x:c>
      <x:c r="J14" s="12" t="n">
        <x:v>0.82</x:v>
      </x:c>
      <x:c r="K14" s="12" t="n">
        <x:v>1537</x:v>
      </x:c>
      <x:c r="L14" s="12" t="n">
        <x:v>4000</x:v>
      </x:c>
      <x:c r="M14" s="12" t="n">
        <x:v>938</x:v>
      </x:c>
      <x:c r="N14" s="12" t="n">
        <x:v>10000000</x:v>
      </x:c>
      <x:c r="O14" s="12" t="n">
        <x:v>52</x:v>
      </x:c>
      <x:c r="P14" s="12" t="n">
        <x:v>2.42</x:v>
      </x:c>
      <x:c r="Q14" s="12" t="n">
        <x:v>2.42</x:v>
      </x:c>
      <x:c r="R14" s="12" t="n">
        <x:v>12.01</x:v>
      </x:c>
      <x:c r="S14" s="12" t="n">
        <x:v>84.98999999999999</x:v>
      </x:c>
      <x:c r="T14" s="12" t="n">
        <x:v>10</x:v>
      </x:c>
      <x:c r="U14" s="12" t="n">
        <x:v>50</x:v>
      </x:c>
      <x:c r="V14" s="12" t="n">
        <x:v>1</x:v>
      </x:c>
      <x:c r="W14" s="12" t="n">
        <x:v>1000000</x:v>
      </x:c>
      <x:c r="X14" s="12" t="inlineStr">
        <x:is>
          <x:t xml:space="preserve">https://artificialanalysis.ai/models/releases/comparisons/gpt-6-sol-vs-gpt-6-astra</x:t>
        </x:is>
      </x:c>
      <x:c r="Y14" s="12" t="inlineStr">
        <x:is>
          <x:t xml:space="preserve">AA current public page</x:t>
        </x:is>
      </x:c>
      <x:c r="Z14" s="12" t="n"/>
    </x:row>
    <x:row r="15">
      <x:c r="A15" s="12" t="inlineStr">
        <x:is>
          <x:t xml:space="preserve">openai|gpt-6-astra|medium|reasoning|fallback-na|aa-v4.3.2|snapshot-2026-09-28</x:t>
        </x:is>
      </x:c>
      <x:c r="B15" s="12" t="inlineStr">
        <x:is>
          <x:t xml:space="preserve">openai|gpt-6-astra|medium|reasoning|fallback-na</x:t>
        </x:is>
      </x:c>
      <x:c r="C15" s="12" t="inlineStr">
        <x:is>
          <x:t xml:space="preserve">Artificial Analysis Intelligence Index</x:t>
        </x:is>
      </x:c>
      <x:c r="D15" s="12" t="inlineStr">
        <x:is>
          <x:t xml:space="preserve">v4.3.2</x:t>
        </x:is>
      </x:c>
      <x:c r="E15" s="12" t="inlineStr">
        <x:is>
          <x:t xml:space="preserve">AA|v4.3.2</x:t>
        </x:is>
      </x:c>
      <x:c r="F15" s="12" t="n"/>
      <x:c r="G15" s="12" t="inlineStr">
        <x:is>
          <x:t xml:space="preserve">2026-09-28</x:t>
        </x:is>
      </x:c>
      <x:c r="H15" s="12" t="n">
        <x:v>50</x:v>
      </x:c>
      <x:c r="I15" s="12" t="n">
        <x:f>IF(H15="","",H15*H15)</x:f>
        <x:v>2500</x:v>
      </x:c>
      <x:c r="J15" s="12" t="n">
        <x:v>1.54</x:v>
      </x:c>
      <x:c r="K15" s="12" t="n">
        <x:v>2434</x:v>
      </x:c>
      <x:c r="L15" s="12" t="n">
        <x:v>10000</x:v>
      </x:c>
      <x:c r="M15" s="12" t="n">
        <x:v>3000</x:v>
      </x:c>
      <x:c r="N15" s="12" t="n">
        <x:v>19000000</x:v>
      </x:c>
      <x:c r="O15" s="12" t="n">
        <x:v>52</x:v>
      </x:c>
      <x:c r="P15" s="12" t="n">
        <x:v>4.75</x:v>
      </x:c>
      <x:c r="Q15" s="12" t="n">
        <x:v>4.75</x:v>
      </x:c>
      <x:c r="R15" s="12" t="n">
        <x:v>14.3</x:v>
      </x:c>
      <x:c r="S15" s="12" t="n">
        <x:v>183.36</x:v>
      </x:c>
      <x:c r="T15" s="12" t="n">
        <x:v>10</x:v>
      </x:c>
      <x:c r="U15" s="12" t="n">
        <x:v>50</x:v>
      </x:c>
      <x:c r="V15" s="12" t="n">
        <x:v>1</x:v>
      </x:c>
      <x:c r="W15" s="12" t="n">
        <x:v>1000000</x:v>
      </x:c>
      <x:c r="X15" s="12" t="inlineStr">
        <x:is>
          <x:t xml:space="preserve">https://artificialanalysis.ai/models/releases/comparisons/gpt-6-sol-vs-gpt-6-astra</x:t>
        </x:is>
      </x:c>
      <x:c r="Y15" s="12" t="inlineStr">
        <x:is>
          <x:t xml:space="preserve">AA current public page</x:t>
        </x:is>
      </x:c>
      <x:c r="Z15" s="12" t="n"/>
    </x:row>
    <x:row r="16">
      <x:c r="A16" s="12" t="inlineStr">
        <x:is>
          <x:t xml:space="preserve">openai|gpt-6-astra|high|reasoning|fallback-na|aa-v4.3.2|snapshot-2026-09-28</x:t>
        </x:is>
      </x:c>
      <x:c r="B16" s="12" t="inlineStr">
        <x:is>
          <x:t xml:space="preserve">openai|gpt-6-astra|high|reasoning|fallback-na</x:t>
        </x:is>
      </x:c>
      <x:c r="C16" s="12" t="inlineStr">
        <x:is>
          <x:t xml:space="preserve">Artificial Analysis Intelligence Index</x:t>
        </x:is>
      </x:c>
      <x:c r="D16" s="12" t="inlineStr">
        <x:is>
          <x:t xml:space="preserve">v4.3.2</x:t>
        </x:is>
      </x:c>
      <x:c r="E16" s="12" t="inlineStr">
        <x:is>
          <x:t xml:space="preserve">AA|v4.3.2</x:t>
        </x:is>
      </x:c>
      <x:c r="F16" s="12" t="n"/>
      <x:c r="G16" s="12" t="inlineStr">
        <x:is>
          <x:t xml:space="preserve">2026-09-28</x:t>
        </x:is>
      </x:c>
      <x:c r="H16" s="12" t="n">
        <x:v>51</x:v>
      </x:c>
      <x:c r="I16" s="12" t="n">
        <x:f>IF(H16="","",H16*H16)</x:f>
        <x:v>2601</x:v>
      </x:c>
      <x:c r="J16" s="12" t="n">
        <x:v>1.73</x:v>
      </x:c>
      <x:c r="K16" s="12" t="n">
        <x:v>2925</x:v>
      </x:c>
      <x:c r="L16" s="12" t="n">
        <x:v>12000</x:v>
      </x:c>
      <x:c r="M16" s="12" t="n">
        <x:v>5000</x:v>
      </x:c>
      <x:c r="N16" s="12" t="n">
        <x:v>26000000</x:v>
      </x:c>
      <x:c r="O16" s="12" t="n">
        <x:v>52</x:v>
      </x:c>
      <x:c r="P16" s="12" t="n">
        <x:v>39.01</x:v>
      </x:c>
      <x:c r="Q16" s="12" t="n">
        <x:v>39.01</x:v>
      </x:c>
      <x:c r="R16" s="12" t="n">
        <x:v>48.58</x:v>
      </x:c>
      <x:c r="S16" s="12" t="n">
        <x:v>227.58</x:v>
      </x:c>
      <x:c r="T16" s="12" t="n">
        <x:v>10</x:v>
      </x:c>
      <x:c r="U16" s="12" t="n">
        <x:v>50</x:v>
      </x:c>
      <x:c r="V16" s="12" t="n">
        <x:v>1</x:v>
      </x:c>
      <x:c r="W16" s="12" t="n">
        <x:v>1000000</x:v>
      </x:c>
      <x:c r="X16" s="12" t="inlineStr">
        <x:is>
          <x:t xml:space="preserve">https://artificialanalysis.ai/models/releases/comparisons/gpt-6-sol-vs-gpt-6-astra</x:t>
        </x:is>
      </x:c>
      <x:c r="Y16" s="12" t="inlineStr">
        <x:is>
          <x:t xml:space="preserve">AA current public page</x:t>
        </x:is>
      </x:c>
      <x:c r="Z16" s="12" t="n"/>
    </x:row>
    <x:row r="17">
      <x:c r="A17" s="12" t="inlineStr">
        <x:is>
          <x:t xml:space="preserve">openai|gpt-6-astra|xhigh|reasoning|fallback-na|aa-v4.3.2|snapshot-2026-09-28</x:t>
        </x:is>
      </x:c>
      <x:c r="B17" s="12" t="inlineStr">
        <x:is>
          <x:t xml:space="preserve">openai|gpt-6-astra|xhigh|reasoning|fallback-na</x:t>
        </x:is>
      </x:c>
      <x:c r="C17" s="12" t="inlineStr">
        <x:is>
          <x:t xml:space="preserve">Artificial Analysis Intelligence Index</x:t>
        </x:is>
      </x:c>
      <x:c r="D17" s="12" t="inlineStr">
        <x:is>
          <x:t xml:space="preserve">v4.3.2</x:t>
        </x:is>
      </x:c>
      <x:c r="E17" s="12" t="inlineStr">
        <x:is>
          <x:t xml:space="preserve">AA|v4.3.2</x:t>
        </x:is>
      </x:c>
      <x:c r="F17" s="12" t="n"/>
      <x:c r="G17" s="12" t="inlineStr">
        <x:is>
          <x:t xml:space="preserve">2026-09-28</x:t>
        </x:is>
      </x:c>
      <x:c r="H17" s="12" t="n">
        <x:v>52</x:v>
      </x:c>
      <x:c r="I17" s="12" t="n">
        <x:f>IF(H17="","",H17*H17)</x:f>
        <x:v>2704</x:v>
      </x:c>
      <x:c r="J17" s="12" t="n">
        <x:v>2.31</x:v>
      </x:c>
      <x:c r="K17" s="12" t="n">
        <x:v>3803</x:v>
      </x:c>
      <x:c r="L17" s="12" t="n">
        <x:v>17000</x:v>
      </x:c>
      <x:c r="M17" s="12" t="n">
        <x:v>9000</x:v>
      </x:c>
      <x:c r="N17" s="12" t="n">
        <x:v>38000000</x:v>
      </x:c>
      <x:c r="O17" s="12" t="n">
        <x:v>54</x:v>
      </x:c>
      <x:c r="P17" s="12" t="n">
        <x:v>120.21</x:v>
      </x:c>
      <x:c r="Q17" s="12" t="n">
        <x:v>120.21</x:v>
      </x:c>
      <x:c r="R17" s="12" t="n">
        <x:v>129.51</x:v>
      </x:c>
      <x:c r="S17" s="12" t="n">
        <x:v>310.88</x:v>
      </x:c>
      <x:c r="T17" s="12" t="n">
        <x:v>10</x:v>
      </x:c>
      <x:c r="U17" s="12" t="n">
        <x:v>50</x:v>
      </x:c>
      <x:c r="V17" s="12" t="n">
        <x:v>1</x:v>
      </x:c>
      <x:c r="W17" s="12" t="n">
        <x:v>1000000</x:v>
      </x:c>
      <x:c r="X17" s="12" t="inlineStr">
        <x:is>
          <x:t xml:space="preserve">https://artificialanalysis.ai/models/releases/comparisons/gpt-6-sol-vs-gpt-6-astra</x:t>
        </x:is>
      </x:c>
      <x:c r="Y17" s="12" t="inlineStr">
        <x:is>
          <x:t xml:space="preserve">AA current public page</x:t>
        </x:is>
      </x:c>
      <x:c r="Z17" s="12" t="n"/>
    </x:row>
    <x:row r="18">
      <x:c r="A18" s="12" t="inlineStr">
        <x:is>
          <x:t xml:space="preserve">openai|gpt-6-astra|max|reasoning|fallback-na|aa-v4.3.2|snapshot-2026-09-28</x:t>
        </x:is>
      </x:c>
      <x:c r="B18" s="12" t="inlineStr">
        <x:is>
          <x:t xml:space="preserve">openai|gpt-6-astra|max|reasoning|fallback-na</x:t>
        </x:is>
      </x:c>
      <x:c r="C18" s="12" t="inlineStr">
        <x:is>
          <x:t xml:space="preserve">Artificial Analysis Intelligence Index</x:t>
        </x:is>
      </x:c>
      <x:c r="D18" s="12" t="inlineStr">
        <x:is>
          <x:t xml:space="preserve">v4.3.2</x:t>
        </x:is>
      </x:c>
      <x:c r="E18" s="12" t="inlineStr">
        <x:is>
          <x:t xml:space="preserve">AA|v4.3.2</x:t>
        </x:is>
      </x:c>
      <x:c r="F18" s="12" t="n"/>
      <x:c r="G18" s="12" t="inlineStr">
        <x:is>
          <x:t xml:space="preserve">2026-09-28</x:t>
        </x:is>
      </x:c>
      <x:c r="H18" s="12" t="n">
        <x:v>53</x:v>
      </x:c>
      <x:c r="I18" s="12" t="n">
        <x:f>IF(H18="","",H18*H18)</x:f>
        <x:v>2809</x:v>
      </x:c>
      <x:c r="J18" s="12" t="n">
        <x:v>3.26</x:v>
      </x:c>
      <x:c r="K18" s="12" t="n">
        <x:v>5324</x:v>
      </x:c>
      <x:c r="L18" s="12" t="n">
        <x:v>27000</x:v>
      </x:c>
      <x:c r="M18" s="12" t="n">
        <x:v>17000</x:v>
      </x:c>
      <x:c r="N18" s="12" t="n">
        <x:v>60000000</x:v>
      </x:c>
      <x:c r="O18" s="12" t="n">
        <x:v>64</x:v>
      </x:c>
      <x:c r="P18" s="12" t="n">
        <x:v>297.11</x:v>
      </x:c>
      <x:c r="Q18" s="12" t="n">
        <x:v>297.11</x:v>
      </x:c>
      <x:c r="R18" s="12" t="n">
        <x:v>304.98</x:v>
      </x:c>
      <x:c r="S18" s="12" t="n">
        <x:v>424.31</x:v>
      </x:c>
      <x:c r="T18" s="12" t="n">
        <x:v>10</x:v>
      </x:c>
      <x:c r="U18" s="12" t="n">
        <x:v>50</x:v>
      </x:c>
      <x:c r="V18" s="12" t="n">
        <x:v>1</x:v>
      </x:c>
      <x:c r="W18" s="12" t="n">
        <x:v>1000000</x:v>
      </x:c>
      <x:c r="X18" s="12" t="inlineStr">
        <x:is>
          <x:t xml:space="preserve">https://artificialanalysis.ai/models/releases/comparisons/gpt-6-sol-vs-gpt-6-astra</x:t>
        </x:is>
      </x:c>
      <x:c r="Y18" s="12" t="inlineStr">
        <x:is>
          <x:t xml:space="preserve">AA current public page</x:t>
        </x:is>
      </x:c>
      <x:c r="Z18" s="12" t="n"/>
    </x:row>
    <x:row r="19">
      <x:c r="A19" s="12" t="inlineStr">
        <x:is>
          <x:t xml:space="preserve">openai|gpt-5.6-luna|non-reasoning|nonreasoning|fallback-na|aa-v4.3.2|snapshot-2026-09-28</x:t>
        </x:is>
      </x:c>
      <x:c r="B19" s="12" t="inlineStr">
        <x:is>
          <x:t xml:space="preserve">openai|gpt-5.6-luna|non-reasoning|nonreasoning|fallback-na</x:t>
        </x:is>
      </x:c>
      <x:c r="C19" s="12" t="inlineStr">
        <x:is>
          <x:t xml:space="preserve">Artificial Analysis Intelligence Index</x:t>
        </x:is>
      </x:c>
      <x:c r="D19" s="12" t="inlineStr">
        <x:is>
          <x:t xml:space="preserve">v4.3.2</x:t>
        </x:is>
      </x:c>
      <x:c r="E19" s="12" t="inlineStr">
        <x:is>
          <x:t xml:space="preserve">AA|v4.3.2</x:t>
        </x:is>
      </x:c>
      <x:c r="F19" s="12" t="n"/>
      <x:c r="G19" s="12" t="inlineStr">
        <x:is>
          <x:t xml:space="preserve">2026-09-28</x:t>
        </x:is>
      </x:c>
      <x:c r="H19" s="12" t="n">
        <x:v>16</x:v>
      </x:c>
      <x:c r="I19" s="12" t="n">
        <x:f>IF(H19="","",H19*H19)</x:f>
        <x:v>256</x:v>
      </x:c>
      <x:c r="J19" s="12" t="n">
        <x:v>0.01</x:v>
      </x:c>
      <x:c r="K19" s="12" t="n"/>
      <x:c r="L19" s="12" t="n"/>
      <x:c r="M19" s="12" t="n"/>
      <x:c r="N19" s="12" t="n"/>
      <x:c r="O19" s="12" t="n">
        <x:v>122</x:v>
      </x:c>
      <x:c r="P19" s="12" t="n"/>
      <x:c r="Q19" s="12" t="n"/>
      <x:c r="R19" s="12" t="n"/>
      <x:c r="S19" s="12" t="n"/>
      <x:c r="T19" s="12" t="n">
        <x:v>0.2</x:v>
      </x:c>
      <x:c r="U19" s="12" t="n">
        <x:v>1.2</x:v>
      </x:c>
      <x:c r="V19" s="12" t="n">
        <x:v>0.02</x:v>
      </x:c>
      <x:c r="W19" s="12" t="n">
        <x:v>1000000</x:v>
      </x:c>
      <x:c r="X19" s="12" t="inlineStr">
        <x:is>
          <x:t xml:space="preserve">https://artificialanalysis.ai/models/releases/gpt-5-6-luna</x:t>
        </x:is>
      </x:c>
      <x:c r="Y19" s="12" t="inlineStr">
        <x:is>
          <x:t xml:space="preserve">AA current public page</x:t>
        </x:is>
      </x:c>
      <x:c r="Z19" s="12" t="n"/>
    </x:row>
    <x:row r="20">
      <x:c r="A20" s="12" t="inlineStr">
        <x:is>
          <x:t xml:space="preserve">openai|gpt-5.6-luna|low|reasoning|fallback-na|aa-v4.3.2|snapshot-2026-09-28</x:t>
        </x:is>
      </x:c>
      <x:c r="B20" s="12" t="inlineStr">
        <x:is>
          <x:t xml:space="preserve">openai|gpt-5.6-luna|low|reasoning|fallback-na</x:t>
        </x:is>
      </x:c>
      <x:c r="C20" s="12" t="inlineStr">
        <x:is>
          <x:t xml:space="preserve">Artificial Analysis Intelligence Index</x:t>
        </x:is>
      </x:c>
      <x:c r="D20" s="12" t="inlineStr">
        <x:is>
          <x:t xml:space="preserve">v4.3.2</x:t>
        </x:is>
      </x:c>
      <x:c r="E20" s="12" t="inlineStr">
        <x:is>
          <x:t xml:space="preserve">AA|v4.3.2</x:t>
        </x:is>
      </x:c>
      <x:c r="F20" s="12" t="n"/>
      <x:c r="G20" s="12" t="inlineStr">
        <x:is>
          <x:t xml:space="preserve">2026-09-28</x:t>
        </x:is>
      </x:c>
      <x:c r="H20" s="12" t="n">
        <x:v>21</x:v>
      </x:c>
      <x:c r="I20" s="12" t="n">
        <x:f>IF(H20="","",H20*H20)</x:f>
        <x:v>441</x:v>
      </x:c>
      <x:c r="J20" s="12" t="n">
        <x:v>0.01</x:v>
      </x:c>
      <x:c r="K20" s="12" t="n"/>
      <x:c r="L20" s="12" t="n"/>
      <x:c r="M20" s="12" t="n"/>
      <x:c r="N20" s="12" t="n"/>
      <x:c r="O20" s="12" t="n">
        <x:v>117</x:v>
      </x:c>
      <x:c r="P20" s="12" t="n"/>
      <x:c r="Q20" s="12" t="n"/>
      <x:c r="R20" s="12" t="n"/>
      <x:c r="S20" s="12" t="n"/>
      <x:c r="T20" s="12" t="n">
        <x:v>0.2</x:v>
      </x:c>
      <x:c r="U20" s="12" t="n">
        <x:v>1.2</x:v>
      </x:c>
      <x:c r="V20" s="12" t="n">
        <x:v>0.02</x:v>
      </x:c>
      <x:c r="W20" s="12" t="n">
        <x:v>1000000</x:v>
      </x:c>
      <x:c r="X20" s="12" t="inlineStr">
        <x:is>
          <x:t xml:space="preserve">https://artificialanalysis.ai/models/releases/gpt-5-6-luna</x:t>
        </x:is>
      </x:c>
      <x:c r="Y20" s="12" t="inlineStr">
        <x:is>
          <x:t xml:space="preserve">AA current public page</x:t>
        </x:is>
      </x:c>
      <x:c r="Z20" s="12" t="n"/>
    </x:row>
    <x:row r="21">
      <x:c r="A21" s="12" t="inlineStr">
        <x:is>
          <x:t xml:space="preserve">openai|gpt-5.6-luna|medium|reasoning|fallback-na|aa-v4.3.2|snapshot-2026-09-28</x:t>
        </x:is>
      </x:c>
      <x:c r="B21" s="12" t="inlineStr">
        <x:is>
          <x:t xml:space="preserve">openai|gpt-5.6-luna|medium|reasoning|fallback-na</x:t>
        </x:is>
      </x:c>
      <x:c r="C21" s="12" t="inlineStr">
        <x:is>
          <x:t xml:space="preserve">Artificial Analysis Intelligence Index</x:t>
        </x:is>
      </x:c>
      <x:c r="D21" s="12" t="inlineStr">
        <x:is>
          <x:t xml:space="preserve">v4.3.2</x:t>
        </x:is>
      </x:c>
      <x:c r="E21" s="12" t="inlineStr">
        <x:is>
          <x:t xml:space="preserve">AA|v4.3.2</x:t>
        </x:is>
      </x:c>
      <x:c r="F21" s="12" t="n"/>
      <x:c r="G21" s="12" t="inlineStr">
        <x:is>
          <x:t xml:space="preserve">2026-09-28</x:t>
        </x:is>
      </x:c>
      <x:c r="H21" s="12" t="n">
        <x:v>25</x:v>
      </x:c>
      <x:c r="I21" s="12" t="n">
        <x:f>IF(H21="","",H21*H21)</x:f>
        <x:v>625</x:v>
      </x:c>
      <x:c r="J21" s="12" t="n">
        <x:v>0.02</x:v>
      </x:c>
      <x:c r="K21" s="12" t="n"/>
      <x:c r="L21" s="12" t="n"/>
      <x:c r="M21" s="12" t="n"/>
      <x:c r="N21" s="12" t="n"/>
      <x:c r="O21" s="12" t="n">
        <x:v>120</x:v>
      </x:c>
      <x:c r="P21" s="12" t="n"/>
      <x:c r="Q21" s="12" t="n"/>
      <x:c r="R21" s="12" t="n"/>
      <x:c r="S21" s="12" t="n"/>
      <x:c r="T21" s="12" t="n">
        <x:v>0.2</x:v>
      </x:c>
      <x:c r="U21" s="12" t="n">
        <x:v>1.2</x:v>
      </x:c>
      <x:c r="V21" s="12" t="n">
        <x:v>0.02</x:v>
      </x:c>
      <x:c r="W21" s="12" t="n">
        <x:v>1000000</x:v>
      </x:c>
      <x:c r="X21" s="12" t="inlineStr">
        <x:is>
          <x:t xml:space="preserve">https://artificialanalysis.ai/models/releases/gpt-5-6-luna</x:t>
        </x:is>
      </x:c>
      <x:c r="Y21" s="12" t="inlineStr">
        <x:is>
          <x:t xml:space="preserve">AA current public page</x:t>
        </x:is>
      </x:c>
      <x:c r="Z21" s="12" t="n"/>
    </x:row>
    <x:row r="22">
      <x:c r="A22" s="12" t="inlineStr">
        <x:is>
          <x:t xml:space="preserve">openai|gpt-5.6-luna|high|reasoning|fallback-na|aa-v4.3.2|snapshot-2026-09-28</x:t>
        </x:is>
      </x:c>
      <x:c r="B22" s="12" t="inlineStr">
        <x:is>
          <x:t xml:space="preserve">openai|gpt-5.6-luna|high|reasoning|fallback-na</x:t>
        </x:is>
      </x:c>
      <x:c r="C22" s="12" t="inlineStr">
        <x:is>
          <x:t xml:space="preserve">Artificial Analysis Intelligence Index</x:t>
        </x:is>
      </x:c>
      <x:c r="D22" s="12" t="inlineStr">
        <x:is>
          <x:t xml:space="preserve">v4.3.2</x:t>
        </x:is>
      </x:c>
      <x:c r="E22" s="12" t="inlineStr">
        <x:is>
          <x:t xml:space="preserve">AA|v4.3.2</x:t>
        </x:is>
      </x:c>
      <x:c r="F22" s="12" t="n"/>
      <x:c r="G22" s="12" t="inlineStr">
        <x:is>
          <x:t xml:space="preserve">2026-09-28</x:t>
        </x:is>
      </x:c>
      <x:c r="H22" s="12" t="n">
        <x:v>32</x:v>
      </x:c>
      <x:c r="I22" s="12" t="n">
        <x:f>IF(H22="","",H22*H22)</x:f>
        <x:v>1024</x:v>
      </x:c>
      <x:c r="J22" s="12" t="n">
        <x:v>0.04</x:v>
      </x:c>
      <x:c r="K22" s="12" t="n"/>
      <x:c r="L22" s="12" t="n"/>
      <x:c r="M22" s="12" t="n"/>
      <x:c r="N22" s="12" t="n"/>
      <x:c r="O22" s="12" t="n">
        <x:v>117</x:v>
      </x:c>
      <x:c r="P22" s="12" t="n"/>
      <x:c r="Q22" s="12" t="n"/>
      <x:c r="R22" s="12" t="n"/>
      <x:c r="S22" s="12" t="n"/>
      <x:c r="T22" s="12" t="n">
        <x:v>0.2</x:v>
      </x:c>
      <x:c r="U22" s="12" t="n">
        <x:v>1.2</x:v>
      </x:c>
      <x:c r="V22" s="12" t="n">
        <x:v>0.02</x:v>
      </x:c>
      <x:c r="W22" s="12" t="n">
        <x:v>1000000</x:v>
      </x:c>
      <x:c r="X22" s="12" t="inlineStr">
        <x:is>
          <x:t xml:space="preserve">https://artificialanalysis.ai/models/releases/gpt-5-6-luna</x:t>
        </x:is>
      </x:c>
      <x:c r="Y22" s="12" t="inlineStr">
        <x:is>
          <x:t xml:space="preserve">AA current public page</x:t>
        </x:is>
      </x:c>
      <x:c r="Z22" s="12" t="n"/>
    </x:row>
    <x:row r="23">
      <x:c r="A23" s="12" t="inlineStr">
        <x:is>
          <x:t xml:space="preserve">openai|gpt-5.6-luna|xhigh|reasoning|fallback-na|aa-v4.3.2|snapshot-2026-09-28</x:t>
        </x:is>
      </x:c>
      <x:c r="B23" s="12" t="inlineStr">
        <x:is>
          <x:t xml:space="preserve">openai|gpt-5.6-luna|xhigh|reasoning|fallback-na</x:t>
        </x:is>
      </x:c>
      <x:c r="C23" s="12" t="inlineStr">
        <x:is>
          <x:t xml:space="preserve">Artificial Analysis Intelligence Index</x:t>
        </x:is>
      </x:c>
      <x:c r="D23" s="12" t="inlineStr">
        <x:is>
          <x:t xml:space="preserve">v4.3.2</x:t>
        </x:is>
      </x:c>
      <x:c r="E23" s="12" t="inlineStr">
        <x:is>
          <x:t xml:space="preserve">AA|v4.3.2</x:t>
        </x:is>
      </x:c>
      <x:c r="F23" s="12" t="n"/>
      <x:c r="G23" s="12" t="inlineStr">
        <x:is>
          <x:t xml:space="preserve">2026-09-28</x:t>
        </x:is>
      </x:c>
      <x:c r="H23" s="12" t="n">
        <x:v>35</x:v>
      </x:c>
      <x:c r="I23" s="12" t="n">
        <x:f>IF(H23="","",H23*H23)</x:f>
        <x:v>1225</x:v>
      </x:c>
      <x:c r="J23" s="12" t="n">
        <x:v>0.09</x:v>
      </x:c>
      <x:c r="K23" s="12" t="n"/>
      <x:c r="L23" s="12" t="n"/>
      <x:c r="M23" s="12" t="n"/>
      <x:c r="N23" s="12" t="n"/>
      <x:c r="O23" s="12" t="n">
        <x:v>124</x:v>
      </x:c>
      <x:c r="P23" s="12" t="n"/>
      <x:c r="Q23" s="12" t="n"/>
      <x:c r="R23" s="12" t="n"/>
      <x:c r="S23" s="12" t="n"/>
      <x:c r="T23" s="12" t="n">
        <x:v>0.2</x:v>
      </x:c>
      <x:c r="U23" s="12" t="n">
        <x:v>1.2</x:v>
      </x:c>
      <x:c r="V23" s="12" t="n">
        <x:v>0.02</x:v>
      </x:c>
      <x:c r="W23" s="12" t="n">
        <x:v>1000000</x:v>
      </x:c>
      <x:c r="X23" s="12" t="inlineStr">
        <x:is>
          <x:t xml:space="preserve">https://artificialanalysis.ai/models/releases/gpt-5-6-luna</x:t>
        </x:is>
      </x:c>
      <x:c r="Y23" s="12" t="inlineStr">
        <x:is>
          <x:t xml:space="preserve">AA current public page</x:t>
        </x:is>
      </x:c>
      <x:c r="Z23" s="12" t="n"/>
    </x:row>
    <x:row r="24">
      <x:c r="A24" s="12" t="inlineStr">
        <x:is>
          <x:t xml:space="preserve">openai|gpt-5.6-luna|max|reasoning|fallback-na|aa-v4.3.2|snapshot-2026-09-28</x:t>
        </x:is>
      </x:c>
      <x:c r="B24" s="12" t="inlineStr">
        <x:is>
          <x:t xml:space="preserve">openai|gpt-5.6-luna|max|reasoning|fallback-na</x:t>
        </x:is>
      </x:c>
      <x:c r="C24" s="12" t="inlineStr">
        <x:is>
          <x:t xml:space="preserve">Artificial Analysis Intelligence Index</x:t>
        </x:is>
      </x:c>
      <x:c r="D24" s="12" t="inlineStr">
        <x:is>
          <x:t xml:space="preserve">v4.3.2</x:t>
        </x:is>
      </x:c>
      <x:c r="E24" s="12" t="inlineStr">
        <x:is>
          <x:t xml:space="preserve">AA|v4.3.2</x:t>
        </x:is>
      </x:c>
      <x:c r="F24" s="12" t="n"/>
      <x:c r="G24" s="12" t="inlineStr">
        <x:is>
          <x:t xml:space="preserve">2026-09-28</x:t>
        </x:is>
      </x:c>
      <x:c r="H24" s="12" t="n">
        <x:v>37</x:v>
      </x:c>
      <x:c r="I24" s="12" t="n">
        <x:f>IF(H24="","",H24*H24)</x:f>
        <x:v>1369</x:v>
      </x:c>
      <x:c r="J24" s="12" t="n">
        <x:v>0.18</x:v>
      </x:c>
      <x:c r="K24" s="12" t="n"/>
      <x:c r="L24" s="12" t="n"/>
      <x:c r="M24" s="12" t="n"/>
      <x:c r="N24" s="12" t="n"/>
      <x:c r="O24" s="12" t="n">
        <x:v>121</x:v>
      </x:c>
      <x:c r="P24" s="12" t="n"/>
      <x:c r="Q24" s="12" t="n"/>
      <x:c r="R24" s="12" t="n"/>
      <x:c r="S24" s="12" t="n"/>
      <x:c r="T24" s="12" t="n">
        <x:v>0.2</x:v>
      </x:c>
      <x:c r="U24" s="12" t="n">
        <x:v>1.2</x:v>
      </x:c>
      <x:c r="V24" s="12" t="n">
        <x:v>0.02</x:v>
      </x:c>
      <x:c r="W24" s="12" t="n">
        <x:v>1000000</x:v>
      </x:c>
      <x:c r="X24" s="12" t="inlineStr">
        <x:is>
          <x:t xml:space="preserve">https://artificialanalysis.ai/models/releases/gpt-5-6-luna</x:t>
        </x:is>
      </x:c>
      <x:c r="Y24" s="12" t="inlineStr">
        <x:is>
          <x:t xml:space="preserve">AA current public page</x:t>
        </x:is>
      </x:c>
      <x:c r="Z24" s="12" t="n"/>
    </x:row>
    <x:row r="25">
      <x:c r="A25" s="12" t="inlineStr">
        <x:is>
          <x:t xml:space="preserve">openai|gpt-5.6-sol|non-reasoning|nonreasoning|fallback-na|aa-v4.3.2|snapshot-2026-09-28</x:t>
        </x:is>
      </x:c>
      <x:c r="B25" s="12" t="inlineStr">
        <x:is>
          <x:t xml:space="preserve">openai|gpt-5.6-sol|non-reasoning|nonreasoning|fallback-na</x:t>
        </x:is>
      </x:c>
      <x:c r="C25" s="12" t="inlineStr">
        <x:is>
          <x:t xml:space="preserve">Artificial Analysis Intelligence Index</x:t>
        </x:is>
      </x:c>
      <x:c r="D25" s="12" t="inlineStr">
        <x:is>
          <x:t xml:space="preserve">v4.3.2</x:t>
        </x:is>
      </x:c>
      <x:c r="E25" s="12" t="inlineStr">
        <x:is>
          <x:t xml:space="preserve">AA|v4.3.2</x:t>
        </x:is>
      </x:c>
      <x:c r="F25" s="12" t="n"/>
      <x:c r="G25" s="12" t="inlineStr">
        <x:is>
          <x:t xml:space="preserve">2026-09-28</x:t>
        </x:is>
      </x:c>
      <x:c r="H25" s="12" t="n">
        <x:v>28</x:v>
      </x:c>
      <x:c r="I25" s="12" t="n">
        <x:f>IF(H25="","",H25*H25)</x:f>
        <x:v>784</x:v>
      </x:c>
      <x:c r="J25" s="12" t="n"/>
      <x:c r="K25" s="12" t="n"/>
      <x:c r="L25" s="12" t="n"/>
      <x:c r="M25" s="12" t="n"/>
      <x:c r="N25" s="12" t="n"/>
      <x:c r="O25" s="12" t="n">
        <x:v>84</x:v>
      </x:c>
      <x:c r="P25" s="12" t="n"/>
      <x:c r="Q25" s="12" t="n"/>
      <x:c r="R25" s="12" t="n"/>
      <x:c r="S25" s="12" t="n"/>
      <x:c r="T25" s="12" t="n">
        <x:v>4</x:v>
      </x:c>
      <x:c r="U25" s="12" t="n">
        <x:v>20</x:v>
      </x:c>
      <x:c r="V25" s="12" t="n">
        <x:v>0.4</x:v>
      </x:c>
      <x:c r="W25" s="12" t="n">
        <x:v>1000000</x:v>
      </x:c>
      <x:c r="X25" s="12" t="inlineStr">
        <x:is>
          <x:t xml:space="preserve">https://artificialanalysis.ai/models/releases/gpt-5-6-sol</x:t>
        </x:is>
      </x:c>
      <x:c r="Y25" s="12" t="inlineStr">
        <x:is>
          <x:t xml:space="preserve">AA current public page</x:t>
        </x:is>
      </x:c>
      <x:c r="Z25" s="12" t="n"/>
    </x:row>
    <x:row r="26">
      <x:c r="A26" s="12" t="inlineStr">
        <x:is>
          <x:t xml:space="preserve">openai|gpt-5.6-sol|low|reasoning|fallback-na|aa-v4.3.2|snapshot-2026-09-28</x:t>
        </x:is>
      </x:c>
      <x:c r="B26" s="12" t="inlineStr">
        <x:is>
          <x:t xml:space="preserve">openai|gpt-5.6-sol|low|reasoning|fallback-na</x:t>
        </x:is>
      </x:c>
      <x:c r="C26" s="12" t="inlineStr">
        <x:is>
          <x:t xml:space="preserve">Artificial Analysis Intelligence Index</x:t>
        </x:is>
      </x:c>
      <x:c r="D26" s="12" t="inlineStr">
        <x:is>
          <x:t xml:space="preserve">v4.3.2</x:t>
        </x:is>
      </x:c>
      <x:c r="E26" s="12" t="inlineStr">
        <x:is>
          <x:t xml:space="preserve">AA|v4.3.2</x:t>
        </x:is>
      </x:c>
      <x:c r="F26" s="12" t="n"/>
      <x:c r="G26" s="12" t="inlineStr">
        <x:is>
          <x:t xml:space="preserve">2026-09-28</x:t>
        </x:is>
      </x:c>
      <x:c r="H26" s="12" t="n">
        <x:v>33</x:v>
      </x:c>
      <x:c r="I26" s="12" t="n">
        <x:f>IF(H26="","",H26*H26)</x:f>
        <x:v>1089</x:v>
      </x:c>
      <x:c r="J26" s="12" t="n">
        <x:v>0.26</x:v>
      </x:c>
      <x:c r="K26" s="12" t="n"/>
      <x:c r="L26" s="12" t="n"/>
      <x:c r="M26" s="12" t="n"/>
      <x:c r="N26" s="12" t="n"/>
      <x:c r="O26" s="12" t="n">
        <x:v>80</x:v>
      </x:c>
      <x:c r="P26" s="12" t="n"/>
      <x:c r="Q26" s="12" t="n"/>
      <x:c r="R26" s="12" t="n"/>
      <x:c r="S26" s="12" t="n"/>
      <x:c r="T26" s="12" t="n">
        <x:v>4</x:v>
      </x:c>
      <x:c r="U26" s="12" t="n">
        <x:v>20</x:v>
      </x:c>
      <x:c r="V26" s="12" t="n">
        <x:v>0.4</x:v>
      </x:c>
      <x:c r="W26" s="12" t="n">
        <x:v>1000000</x:v>
      </x:c>
      <x:c r="X26" s="12" t="inlineStr">
        <x:is>
          <x:t xml:space="preserve">https://artificialanalysis.ai/models/releases/gpt-5-6-sol</x:t>
        </x:is>
      </x:c>
      <x:c r="Y26" s="12" t="inlineStr">
        <x:is>
          <x:t xml:space="preserve">AA current public page</x:t>
        </x:is>
      </x:c>
      <x:c r="Z26" s="12" t="n"/>
    </x:row>
    <x:row r="27">
      <x:c r="A27" s="12" t="inlineStr">
        <x:is>
          <x:t xml:space="preserve">openai|gpt-5.6-sol|medium|reasoning|fallback-na|aa-v4.3.2|snapshot-2026-09-28</x:t>
        </x:is>
      </x:c>
      <x:c r="B27" s="12" t="inlineStr">
        <x:is>
          <x:t xml:space="preserve">openai|gpt-5.6-sol|medium|reasoning|fallback-na</x:t>
        </x:is>
      </x:c>
      <x:c r="C27" s="12" t="inlineStr">
        <x:is>
          <x:t xml:space="preserve">Artificial Analysis Intelligence Index</x:t>
        </x:is>
      </x:c>
      <x:c r="D27" s="12" t="inlineStr">
        <x:is>
          <x:t xml:space="preserve">v4.3.2</x:t>
        </x:is>
      </x:c>
      <x:c r="E27" s="12" t="inlineStr">
        <x:is>
          <x:t xml:space="preserve">AA|v4.3.2</x:t>
        </x:is>
      </x:c>
      <x:c r="F27" s="12" t="n"/>
      <x:c r="G27" s="12" t="inlineStr">
        <x:is>
          <x:t xml:space="preserve">2026-09-28</x:t>
        </x:is>
      </x:c>
      <x:c r="H27" s="12" t="n">
        <x:v>39</x:v>
      </x:c>
      <x:c r="I27" s="12" t="n">
        <x:f>IF(H27="","",H27*H27)</x:f>
        <x:v>1521</x:v>
      </x:c>
      <x:c r="J27" s="12" t="n">
        <x:v>0.5</x:v>
      </x:c>
      <x:c r="K27" s="12" t="n"/>
      <x:c r="L27" s="12" t="n"/>
      <x:c r="M27" s="12" t="n"/>
      <x:c r="N27" s="12" t="n"/>
      <x:c r="O27" s="12" t="n">
        <x:v>82</x:v>
      </x:c>
      <x:c r="P27" s="12" t="n"/>
      <x:c r="Q27" s="12" t="n"/>
      <x:c r="R27" s="12" t="n"/>
      <x:c r="S27" s="12" t="n"/>
      <x:c r="T27" s="12" t="n">
        <x:v>4</x:v>
      </x:c>
      <x:c r="U27" s="12" t="n">
        <x:v>20</x:v>
      </x:c>
      <x:c r="V27" s="12" t="n">
        <x:v>0.4</x:v>
      </x:c>
      <x:c r="W27" s="12" t="n">
        <x:v>1000000</x:v>
      </x:c>
      <x:c r="X27" s="12" t="inlineStr">
        <x:is>
          <x:t xml:space="preserve">https://artificialanalysis.ai/models/releases/gpt-5-6-sol</x:t>
        </x:is>
      </x:c>
      <x:c r="Y27" s="12" t="inlineStr">
        <x:is>
          <x:t xml:space="preserve">AA current public page</x:t>
        </x:is>
      </x:c>
      <x:c r="Z27" s="12" t="n"/>
    </x:row>
    <x:row r="28">
      <x:c r="A28" s="12" t="inlineStr">
        <x:is>
          <x:t xml:space="preserve">openai|gpt-5.6-sol|high|reasoning|fallback-na|aa-v4.3.2|snapshot-2026-09-28</x:t>
        </x:is>
      </x:c>
      <x:c r="B28" s="12" t="inlineStr">
        <x:is>
          <x:t xml:space="preserve">openai|gpt-5.6-sol|high|reasoning|fallback-na</x:t>
        </x:is>
      </x:c>
      <x:c r="C28" s="12" t="inlineStr">
        <x:is>
          <x:t xml:space="preserve">Artificial Analysis Intelligence Index</x:t>
        </x:is>
      </x:c>
      <x:c r="D28" s="12" t="inlineStr">
        <x:is>
          <x:t xml:space="preserve">v4.3.2</x:t>
        </x:is>
      </x:c>
      <x:c r="E28" s="12" t="inlineStr">
        <x:is>
          <x:t xml:space="preserve">AA|v4.3.2</x:t>
        </x:is>
      </x:c>
      <x:c r="F28" s="12" t="n"/>
      <x:c r="G28" s="12" t="inlineStr">
        <x:is>
          <x:t xml:space="preserve">2026-09-28</x:t>
        </x:is>
      </x:c>
      <x:c r="H28" s="12" t="n">
        <x:v>42</x:v>
      </x:c>
      <x:c r="I28" s="12" t="n">
        <x:f>IF(H28="","",H28*H28)</x:f>
        <x:v>1764</x:v>
      </x:c>
      <x:c r="J28" s="12" t="n">
        <x:v>0.8100000000000001</x:v>
      </x:c>
      <x:c r="K28" s="12" t="n"/>
      <x:c r="L28" s="12" t="n"/>
      <x:c r="M28" s="12" t="n"/>
      <x:c r="N28" s="12" t="n"/>
      <x:c r="O28" s="12" t="n">
        <x:v>81</x:v>
      </x:c>
      <x:c r="P28" s="12" t="n"/>
      <x:c r="Q28" s="12" t="n"/>
      <x:c r="R28" s="12" t="n"/>
      <x:c r="S28" s="12" t="n"/>
      <x:c r="T28" s="12" t="n">
        <x:v>4</x:v>
      </x:c>
      <x:c r="U28" s="12" t="n">
        <x:v>20</x:v>
      </x:c>
      <x:c r="V28" s="12" t="n">
        <x:v>0.4</x:v>
      </x:c>
      <x:c r="W28" s="12" t="n">
        <x:v>1000000</x:v>
      </x:c>
      <x:c r="X28" s="12" t="inlineStr">
        <x:is>
          <x:t xml:space="preserve">https://artificialanalysis.ai/models/releases/gpt-5-6-sol</x:t>
        </x:is>
      </x:c>
      <x:c r="Y28" s="12" t="inlineStr">
        <x:is>
          <x:t xml:space="preserve">AA current public page</x:t>
        </x:is>
      </x:c>
      <x:c r="Z28" s="12" t="n"/>
    </x:row>
    <x:row r="29">
      <x:c r="A29" s="12" t="inlineStr">
        <x:is>
          <x:t xml:space="preserve">openai|gpt-5.6-sol|xhigh|reasoning|fallback-na|aa-v4.3.2|snapshot-2026-09-28</x:t>
        </x:is>
      </x:c>
      <x:c r="B29" s="12" t="inlineStr">
        <x:is>
          <x:t xml:space="preserve">openai|gpt-5.6-sol|xhigh|reasoning|fallback-na</x:t>
        </x:is>
      </x:c>
      <x:c r="C29" s="12" t="inlineStr">
        <x:is>
          <x:t xml:space="preserve">Artificial Analysis Intelligence Index</x:t>
        </x:is>
      </x:c>
      <x:c r="D29" s="12" t="inlineStr">
        <x:is>
          <x:t xml:space="preserve">v4.3.2</x:t>
        </x:is>
      </x:c>
      <x:c r="E29" s="12" t="inlineStr">
        <x:is>
          <x:t xml:space="preserve">AA|v4.3.2</x:t>
        </x:is>
      </x:c>
      <x:c r="F29" s="12" t="n"/>
      <x:c r="G29" s="12" t="inlineStr">
        <x:is>
          <x:t xml:space="preserve">2026-09-28</x:t>
        </x:is>
      </x:c>
      <x:c r="H29" s="12" t="n">
        <x:v>44</x:v>
      </x:c>
      <x:c r="I29" s="12" t="n">
        <x:f>IF(H29="","",H29*H29)</x:f>
        <x:v>1936</x:v>
      </x:c>
      <x:c r="J29" s="12" t="n">
        <x:v>1.18</x:v>
      </x:c>
      <x:c r="K29" s="12" t="n"/>
      <x:c r="L29" s="12" t="n"/>
      <x:c r="M29" s="12" t="n"/>
      <x:c r="N29" s="12" t="n"/>
      <x:c r="O29" s="12" t="n">
        <x:v>83</x:v>
      </x:c>
      <x:c r="P29" s="12" t="n"/>
      <x:c r="Q29" s="12" t="n"/>
      <x:c r="R29" s="12" t="n"/>
      <x:c r="S29" s="12" t="n"/>
      <x:c r="T29" s="12" t="n">
        <x:v>4</x:v>
      </x:c>
      <x:c r="U29" s="12" t="n">
        <x:v>20</x:v>
      </x:c>
      <x:c r="V29" s="12" t="n">
        <x:v>0.4</x:v>
      </x:c>
      <x:c r="W29" s="12" t="n">
        <x:v>1000000</x:v>
      </x:c>
      <x:c r="X29" s="12" t="inlineStr">
        <x:is>
          <x:t xml:space="preserve">https://artificialanalysis.ai/models/releases/gpt-5-6-sol</x:t>
        </x:is>
      </x:c>
      <x:c r="Y29" s="12" t="inlineStr">
        <x:is>
          <x:t xml:space="preserve">AA current public page</x:t>
        </x:is>
      </x:c>
      <x:c r="Z29" s="12" t="n"/>
    </x:row>
    <x:row r="30">
      <x:c r="A30" s="12" t="inlineStr">
        <x:is>
          <x:t xml:space="preserve">openai|gpt-5.6-sol|max|reasoning|fallback-na|aa-v4.3.2|snapshot-2026-09-28</x:t>
        </x:is>
      </x:c>
      <x:c r="B30" s="12" t="inlineStr">
        <x:is>
          <x:t xml:space="preserve">openai|gpt-5.6-sol|max|reasoning|fallback-na</x:t>
        </x:is>
      </x:c>
      <x:c r="C30" s="12" t="inlineStr">
        <x:is>
          <x:t xml:space="preserve">Artificial Analysis Intelligence Index</x:t>
        </x:is>
      </x:c>
      <x:c r="D30" s="12" t="inlineStr">
        <x:is>
          <x:t xml:space="preserve">v4.3.2</x:t>
        </x:is>
      </x:c>
      <x:c r="E30" s="12" t="inlineStr">
        <x:is>
          <x:t xml:space="preserve">AA|v4.3.2</x:t>
        </x:is>
      </x:c>
      <x:c r="F30" s="12" t="n"/>
      <x:c r="G30" s="12" t="inlineStr">
        <x:is>
          <x:t xml:space="preserve">2026-09-28</x:t>
        </x:is>
      </x:c>
      <x:c r="H30" s="12" t="n">
        <x:v>47</x:v>
      </x:c>
      <x:c r="I30" s="12" t="n">
        <x:f>IF(H30="","",H30*H30)</x:f>
        <x:v>2209</x:v>
      </x:c>
      <x:c r="J30" s="12" t="n">
        <x:v>1.99</x:v>
      </x:c>
      <x:c r="K30" s="12" t="n"/>
      <x:c r="L30" s="12" t="n"/>
      <x:c r="M30" s="12" t="n"/>
      <x:c r="N30" s="12" t="n"/>
      <x:c r="O30" s="12" t="n">
        <x:v>90</x:v>
      </x:c>
      <x:c r="P30" s="12" t="n"/>
      <x:c r="Q30" s="12" t="n"/>
      <x:c r="R30" s="12" t="n"/>
      <x:c r="S30" s="12" t="n"/>
      <x:c r="T30" s="12" t="n">
        <x:v>4</x:v>
      </x:c>
      <x:c r="U30" s="12" t="n">
        <x:v>20</x:v>
      </x:c>
      <x:c r="V30" s="12" t="n">
        <x:v>0.4</x:v>
      </x:c>
      <x:c r="W30" s="12" t="n">
        <x:v>1000000</x:v>
      </x:c>
      <x:c r="X30" s="12" t="inlineStr">
        <x:is>
          <x:t xml:space="preserve">https://artificialanalysis.ai/models/releases/gpt-5-6-sol</x:t>
        </x:is>
      </x:c>
      <x:c r="Y30" s="12" t="inlineStr">
        <x:is>
          <x:t xml:space="preserve">AA current public page</x:t>
        </x:is>
      </x:c>
      <x:c r="Z30" s="12" t="n"/>
    </x:row>
    <x:row r="31">
      <x:c r="A31" s="12" t="inlineStr">
        <x:is>
          <x:t xml:space="preserve">anthropic|claude-sonnet-5.5|low|reasoning|fallback-true|aa-v4.3.2|snapshot-2026-09-28</x:t>
        </x:is>
      </x:c>
      <x:c r="B31" s="12" t="inlineStr">
        <x:is>
          <x:t xml:space="preserve">anthropic|claude-sonnet-5.5|low|reasoning|fallback-true</x:t>
        </x:is>
      </x:c>
      <x:c r="C31" s="12" t="inlineStr">
        <x:is>
          <x:t xml:space="preserve">Artificial Analysis Intelligence Index</x:t>
        </x:is>
      </x:c>
      <x:c r="D31" s="12" t="inlineStr">
        <x:is>
          <x:t xml:space="preserve">v4.3.2</x:t>
        </x:is>
      </x:c>
      <x:c r="E31" s="12" t="inlineStr">
        <x:is>
          <x:t xml:space="preserve">AA|v4.3.2</x:t>
        </x:is>
      </x:c>
      <x:c r="F31" s="12" t="n"/>
      <x:c r="G31" s="12" t="inlineStr">
        <x:is>
          <x:t xml:space="preserve">2026-09-28</x:t>
        </x:is>
      </x:c>
      <x:c r="H31" s="12" t="n">
        <x:v>36</x:v>
      </x:c>
      <x:c r="I31" s="12" t="n">
        <x:f>IF(H31="","",H31*H31)</x:f>
        <x:v>1296</x:v>
      </x:c>
      <x:c r="J31" s="12" t="n">
        <x:v>0.41</x:v>
      </x:c>
      <x:c r="K31" s="12" t="n"/>
      <x:c r="L31" s="12" t="n"/>
      <x:c r="M31" s="12" t="n"/>
      <x:c r="N31" s="12" t="n">
        <x:v>23000000</x:v>
      </x:c>
      <x:c r="O31" s="12" t="n">
        <x:v>89</x:v>
      </x:c>
      <x:c r="P31" s="12" t="n">
        <x:v>1.05</x:v>
      </x:c>
      <x:c r="Q31" s="12" t="n"/>
      <x:c r="R31" s="12" t="n"/>
      <x:c r="S31" s="12" t="n"/>
      <x:c r="T31" s="12" t="n">
        <x:v>2</x:v>
      </x:c>
      <x:c r="U31" s="12" t="n">
        <x:v>10</x:v>
      </x:c>
      <x:c r="V31" s="12" t="n">
        <x:v>0.2</x:v>
      </x:c>
      <x:c r="W31" s="12" t="n">
        <x:v>1000000</x:v>
      </x:c>
      <x:c r="X31" s="12" t="inlineStr">
        <x:is>
          <x:t xml:space="preserve">https://artificialanalysis.ai/models/releases/claude-sonnet-5-5</x:t>
        </x:is>
      </x:c>
      <x:c r="Y31" s="12" t="inlineStr">
        <x:is>
          <x:t xml:space="preserve">AA current public page</x:t>
        </x:is>
      </x:c>
      <x:c r="Z31" s="12" t="n"/>
    </x:row>
    <x:row r="32">
      <x:c r="A32" s="12" t="inlineStr">
        <x:is>
          <x:t xml:space="preserve">anthropic|claude-sonnet-5.5|medium|reasoning|fallback-true|aa-v4.3.2|snapshot-2026-09-28</x:t>
        </x:is>
      </x:c>
      <x:c r="B32" s="12" t="inlineStr">
        <x:is>
          <x:t xml:space="preserve">anthropic|claude-sonnet-5.5|medium|reasoning|fallback-true</x:t>
        </x:is>
      </x:c>
      <x:c r="C32" s="12" t="inlineStr">
        <x:is>
          <x:t xml:space="preserve">Artificial Analysis Intelligence Index</x:t>
        </x:is>
      </x:c>
      <x:c r="D32" s="12" t="inlineStr">
        <x:is>
          <x:t xml:space="preserve">v4.3.2</x:t>
        </x:is>
      </x:c>
      <x:c r="E32" s="12" t="inlineStr">
        <x:is>
          <x:t xml:space="preserve">AA|v4.3.2</x:t>
        </x:is>
      </x:c>
      <x:c r="F32" s="12" t="n"/>
      <x:c r="G32" s="12" t="inlineStr">
        <x:is>
          <x:t xml:space="preserve">2026-09-28</x:t>
        </x:is>
      </x:c>
      <x:c r="H32" s="12" t="n">
        <x:v>41</x:v>
      </x:c>
      <x:c r="I32" s="12" t="n">
        <x:f>IF(H32="","",H32*H32)</x:f>
        <x:v>1681</x:v>
      </x:c>
      <x:c r="J32" s="12" t="n">
        <x:v>0.59</x:v>
      </x:c>
      <x:c r="K32" s="12" t="n"/>
      <x:c r="L32" s="12" t="n"/>
      <x:c r="M32" s="12" t="n"/>
      <x:c r="N32" s="12" t="n">
        <x:v>29000000</x:v>
      </x:c>
      <x:c r="O32" s="12" t="n">
        <x:v>111</x:v>
      </x:c>
      <x:c r="P32" s="12" t="n">
        <x:v>2.5</x:v>
      </x:c>
      <x:c r="Q32" s="12" t="n"/>
      <x:c r="R32" s="12" t="n"/>
      <x:c r="S32" s="12" t="n"/>
      <x:c r="T32" s="12" t="n">
        <x:v>2</x:v>
      </x:c>
      <x:c r="U32" s="12" t="n">
        <x:v>10</x:v>
      </x:c>
      <x:c r="V32" s="12" t="n">
        <x:v>0.2</x:v>
      </x:c>
      <x:c r="W32" s="12" t="n">
        <x:v>1000000</x:v>
      </x:c>
      <x:c r="X32" s="12" t="inlineStr">
        <x:is>
          <x:t xml:space="preserve">https://artificialanalysis.ai/models/releases/claude-sonnet-5-5</x:t>
        </x:is>
      </x:c>
      <x:c r="Y32" s="12" t="inlineStr">
        <x:is>
          <x:t xml:space="preserve">AA current public page</x:t>
        </x:is>
      </x:c>
      <x:c r="Z32" s="12" t="n"/>
    </x:row>
    <x:row r="33">
      <x:c r="A33" s="12" t="inlineStr">
        <x:is>
          <x:t xml:space="preserve">anthropic|claude-sonnet-5.5|high|reasoning|fallback-true|aa-v4.3.2|snapshot-2026-09-28</x:t>
        </x:is>
      </x:c>
      <x:c r="B33" s="12" t="inlineStr">
        <x:is>
          <x:t xml:space="preserve">anthropic|claude-sonnet-5.5|high|reasoning|fallback-true</x:t>
        </x:is>
      </x:c>
      <x:c r="C33" s="12" t="inlineStr">
        <x:is>
          <x:t xml:space="preserve">Artificial Analysis Intelligence Index</x:t>
        </x:is>
      </x:c>
      <x:c r="D33" s="12" t="inlineStr">
        <x:is>
          <x:t xml:space="preserve">v4.3.2</x:t>
        </x:is>
      </x:c>
      <x:c r="E33" s="12" t="inlineStr">
        <x:is>
          <x:t xml:space="preserve">AA|v4.3.2</x:t>
        </x:is>
      </x:c>
      <x:c r="F33" s="12" t="n"/>
      <x:c r="G33" s="12" t="inlineStr">
        <x:is>
          <x:t xml:space="preserve">2026-09-28</x:t>
        </x:is>
      </x:c>
      <x:c r="H33" s="12" t="n">
        <x:v>47</x:v>
      </x:c>
      <x:c r="I33" s="12" t="n">
        <x:f>IF(H33="","",H33*H33)</x:f>
        <x:v>2209</x:v>
      </x:c>
      <x:c r="J33" s="12" t="n">
        <x:v>1.08</x:v>
      </x:c>
      <x:c r="K33" s="12" t="n"/>
      <x:c r="L33" s="12" t="n"/>
      <x:c r="M33" s="12" t="n"/>
      <x:c r="N33" s="12" t="n">
        <x:v>50000000</x:v>
      </x:c>
      <x:c r="O33" s="12" t="n">
        <x:v>95</x:v>
      </x:c>
      <x:c r="P33" s="12" t="n">
        <x:v>14.1</x:v>
      </x:c>
      <x:c r="Q33" s="12" t="n"/>
      <x:c r="R33" s="12" t="n"/>
      <x:c r="S33" s="12" t="n"/>
      <x:c r="T33" s="12" t="n">
        <x:v>2</x:v>
      </x:c>
      <x:c r="U33" s="12" t="n">
        <x:v>10</x:v>
      </x:c>
      <x:c r="V33" s="12" t="n">
        <x:v>0.2</x:v>
      </x:c>
      <x:c r="W33" s="12" t="n">
        <x:v>1000000</x:v>
      </x:c>
      <x:c r="X33" s="12" t="inlineStr">
        <x:is>
          <x:t xml:space="preserve">https://artificialanalysis.ai/models/releases/claude-sonnet-5-5</x:t>
        </x:is>
      </x:c>
      <x:c r="Y33" s="12" t="inlineStr">
        <x:is>
          <x:t xml:space="preserve">AA current public page</x:t>
        </x:is>
      </x:c>
      <x:c r="Z33" s="12" t="n"/>
    </x:row>
    <x:row r="34">
      <x:c r="A34" s="12" t="inlineStr">
        <x:is>
          <x:t xml:space="preserve">anthropic|claude-sonnet-5.5|xhigh|reasoning|fallback-true|aa-v4.3.2|snapshot-2026-09-28</x:t>
        </x:is>
      </x:c>
      <x:c r="B34" s="12" t="inlineStr">
        <x:is>
          <x:t xml:space="preserve">anthropic|claude-sonnet-5.5|xhigh|reasoning|fallback-true</x:t>
        </x:is>
      </x:c>
      <x:c r="C34" s="12" t="inlineStr">
        <x:is>
          <x:t xml:space="preserve">Artificial Analysis Intelligence Index</x:t>
        </x:is>
      </x:c>
      <x:c r="D34" s="12" t="inlineStr">
        <x:is>
          <x:t xml:space="preserve">v4.3.2</x:t>
        </x:is>
      </x:c>
      <x:c r="E34" s="12" t="inlineStr">
        <x:is>
          <x:t xml:space="preserve">AA|v4.3.2</x:t>
        </x:is>
      </x:c>
      <x:c r="F34" s="12" t="n"/>
      <x:c r="G34" s="12" t="inlineStr">
        <x:is>
          <x:t xml:space="preserve">2026-09-28</x:t>
        </x:is>
      </x:c>
      <x:c r="H34" s="12" t="n">
        <x:v>52</x:v>
      </x:c>
      <x:c r="I34" s="12" t="n">
        <x:f>IF(H34="","",H34*H34)</x:f>
        <x:v>2704</x:v>
      </x:c>
      <x:c r="J34" s="12" t="n">
        <x:v>2.74</x:v>
      </x:c>
      <x:c r="K34" s="12" t="n"/>
      <x:c r="L34" s="12" t="n"/>
      <x:c r="M34" s="12" t="n"/>
      <x:c r="N34" s="12" t="n">
        <x:v>100000000</x:v>
      </x:c>
      <x:c r="O34" s="12" t="n">
        <x:v>143</x:v>
      </x:c>
      <x:c r="P34" s="12" t="n">
        <x:v>94.38</x:v>
      </x:c>
      <x:c r="Q34" s="12" t="n"/>
      <x:c r="R34" s="12" t="n"/>
      <x:c r="S34" s="12" t="n"/>
      <x:c r="T34" s="12" t="n">
        <x:v>2</x:v>
      </x:c>
      <x:c r="U34" s="12" t="n">
        <x:v>10</x:v>
      </x:c>
      <x:c r="V34" s="12" t="n">
        <x:v>0.2</x:v>
      </x:c>
      <x:c r="W34" s="12" t="n">
        <x:v>1000000</x:v>
      </x:c>
      <x:c r="X34" s="12" t="inlineStr">
        <x:is>
          <x:t xml:space="preserve">https://artificialanalysis.ai/models/releases/claude-sonnet-5-5</x:t>
        </x:is>
      </x:c>
      <x:c r="Y34" s="12" t="inlineStr">
        <x:is>
          <x:t xml:space="preserve">AA current public page</x:t>
        </x:is>
      </x:c>
      <x:c r="Z34" s="12" t="n"/>
    </x:row>
    <x:row r="35">
      <x:c r="A35" s="12" t="inlineStr">
        <x:is>
          <x:t xml:space="preserve">anthropic|claude-sonnet-5.5|max|reasoning|fallback-true|aa-v4.3.2|snapshot-2026-09-28</x:t>
        </x:is>
      </x:c>
      <x:c r="B35" s="12" t="inlineStr">
        <x:is>
          <x:t xml:space="preserve">anthropic|claude-sonnet-5.5|max|reasoning|fallback-true</x:t>
        </x:is>
      </x:c>
      <x:c r="C35" s="12" t="inlineStr">
        <x:is>
          <x:t xml:space="preserve">Artificial Analysis Intelligence Index</x:t>
        </x:is>
      </x:c>
      <x:c r="D35" s="12" t="inlineStr">
        <x:is>
          <x:t xml:space="preserve">v4.3.2</x:t>
        </x:is>
      </x:c>
      <x:c r="E35" s="12" t="inlineStr">
        <x:is>
          <x:t xml:space="preserve">AA|v4.3.2</x:t>
        </x:is>
      </x:c>
      <x:c r="F35" s="12" t="n"/>
      <x:c r="G35" s="12" t="inlineStr">
        <x:is>
          <x:t xml:space="preserve">2026-09-28</x:t>
        </x:is>
      </x:c>
      <x:c r="H35" s="12" t="n">
        <x:v>56</x:v>
      </x:c>
      <x:c r="I35" s="12" t="n">
        <x:f>IF(H35="","",H35*H35)</x:f>
        <x:v>3136</x:v>
      </x:c>
      <x:c r="J35" s="12" t="n">
        <x:v>7.6</x:v>
      </x:c>
      <x:c r="K35" s="12" t="n"/>
      <x:c r="L35" s="12" t="n"/>
      <x:c r="M35" s="12" t="n"/>
      <x:c r="N35" s="12" t="n">
        <x:v>410000000</x:v>
      </x:c>
      <x:c r="O35" s="12" t="n">
        <x:v>141.9</x:v>
      </x:c>
      <x:c r="P35" s="12" t="n">
        <x:v>353.32</x:v>
      </x:c>
      <x:c r="Q35" s="12" t="n"/>
      <x:c r="R35" s="12" t="n"/>
      <x:c r="S35" s="12" t="n"/>
      <x:c r="T35" s="12" t="n">
        <x:v>2</x:v>
      </x:c>
      <x:c r="U35" s="12" t="n">
        <x:v>10</x:v>
      </x:c>
      <x:c r="V35" s="12" t="n">
        <x:v>0.2</x:v>
      </x:c>
      <x:c r="W35" s="12" t="n">
        <x:v>1000000</x:v>
      </x:c>
      <x:c r="X35" s="12" t="inlineStr">
        <x:is>
          <x:t xml:space="preserve">https://artificialanalysis.ai/models/releases/claude-sonnet-5-5</x:t>
        </x:is>
      </x:c>
      <x:c r="Y35" s="12" t="inlineStr">
        <x:is>
          <x:t xml:space="preserve">AA current public page</x:t>
        </x:is>
      </x:c>
      <x:c r="Z35" s="12" t="n"/>
    </x:row>
    <x:row r="36">
      <x:c r="A36" s="12" t="inlineStr">
        <x:is>
          <x:t xml:space="preserve">anthropic|claude-opus-5.5|low|reasoning|fallback-true|aa-v4.3.2|snapshot-2026-09-28</x:t>
        </x:is>
      </x:c>
      <x:c r="B36" s="12" t="inlineStr">
        <x:is>
          <x:t xml:space="preserve">anthropic|claude-opus-5.5|low|reasoning|fallback-true</x:t>
        </x:is>
      </x:c>
      <x:c r="C36" s="12" t="inlineStr">
        <x:is>
          <x:t xml:space="preserve">Artificial Analysis Intelligence Index</x:t>
        </x:is>
      </x:c>
      <x:c r="D36" s="12" t="inlineStr">
        <x:is>
          <x:t xml:space="preserve">v4.3.2</x:t>
        </x:is>
      </x:c>
      <x:c r="E36" s="12" t="inlineStr">
        <x:is>
          <x:t xml:space="preserve">AA|v4.3.2</x:t>
        </x:is>
      </x:c>
      <x:c r="F36" s="12" t="n"/>
      <x:c r="G36" s="12" t="inlineStr">
        <x:is>
          <x:t xml:space="preserve">2026-09-28</x:t>
        </x:is>
      </x:c>
      <x:c r="H36" s="12" t="n">
        <x:v>42</x:v>
      </x:c>
      <x:c r="I36" s="12" t="n">
        <x:f>IF(H36="","",H36*H36)</x:f>
        <x:v>1764</x:v>
      </x:c>
      <x:c r="J36" s="12" t="n">
        <x:v>0.55</x:v>
      </x:c>
      <x:c r="K36" s="12" t="n"/>
      <x:c r="L36" s="12" t="n"/>
      <x:c r="M36" s="12" t="n"/>
      <x:c r="N36" s="12" t="n"/>
      <x:c r="O36" s="12" t="n">
        <x:v>75</x:v>
      </x:c>
      <x:c r="P36" s="12" t="n"/>
      <x:c r="Q36" s="12" t="n"/>
      <x:c r="R36" s="12" t="n"/>
      <x:c r="S36" s="12" t="n"/>
      <x:c r="T36" s="12" t="n">
        <x:v>4</x:v>
      </x:c>
      <x:c r="U36" s="12" t="n">
        <x:v>20</x:v>
      </x:c>
      <x:c r="V36" s="12" t="n">
        <x:v>0.2</x:v>
      </x:c>
      <x:c r="W36" s="12" t="n">
        <x:v>1000000</x:v>
      </x:c>
      <x:c r="X36" s="12" t="inlineStr">
        <x:is>
          <x:t xml:space="preserve">https://artificialanalysis.ai/models/releases/claude-opus-5-5</x:t>
        </x:is>
      </x:c>
      <x:c r="Y36" s="12" t="inlineStr">
        <x:is>
          <x:t xml:space="preserve">AA current public page</x:t>
        </x:is>
      </x:c>
      <x:c r="Z36" s="12" t="n"/>
    </x:row>
    <x:row r="37">
      <x:c r="A37" s="12" t="inlineStr">
        <x:is>
          <x:t xml:space="preserve">anthropic|claude-opus-5.5|medium|reasoning|fallback-true|aa-v4.3.2|snapshot-2026-09-28</x:t>
        </x:is>
      </x:c>
      <x:c r="B37" s="12" t="inlineStr">
        <x:is>
          <x:t xml:space="preserve">anthropic|claude-opus-5.5|medium|reasoning|fallback-true</x:t>
        </x:is>
      </x:c>
      <x:c r="C37" s="12" t="inlineStr">
        <x:is>
          <x:t xml:space="preserve">Artificial Analysis Intelligence Index</x:t>
        </x:is>
      </x:c>
      <x:c r="D37" s="12" t="inlineStr">
        <x:is>
          <x:t xml:space="preserve">v4.3.2</x:t>
        </x:is>
      </x:c>
      <x:c r="E37" s="12" t="inlineStr">
        <x:is>
          <x:t xml:space="preserve">AA|v4.3.2</x:t>
        </x:is>
      </x:c>
      <x:c r="F37" s="12" t="n"/>
      <x:c r="G37" s="12" t="inlineStr">
        <x:is>
          <x:t xml:space="preserve">2026-09-28</x:t>
        </x:is>
      </x:c>
      <x:c r="H37" s="12" t="n">
        <x:v>51</x:v>
      </x:c>
      <x:c r="I37" s="12" t="n">
        <x:f>IF(H37="","",H37*H37)</x:f>
        <x:v>2601</x:v>
      </x:c>
      <x:c r="J37" s="12" t="n">
        <x:v>1.34</x:v>
      </x:c>
      <x:c r="K37" s="12" t="n"/>
      <x:c r="L37" s="12" t="n"/>
      <x:c r="M37" s="12" t="n"/>
      <x:c r="N37" s="12" t="n"/>
      <x:c r="O37" s="12" t="n">
        <x:v>76</x:v>
      </x:c>
      <x:c r="P37" s="12" t="n"/>
      <x:c r="Q37" s="12" t="n"/>
      <x:c r="R37" s="12" t="n"/>
      <x:c r="S37" s="12" t="n"/>
      <x:c r="T37" s="12" t="n">
        <x:v>4</x:v>
      </x:c>
      <x:c r="U37" s="12" t="n">
        <x:v>20</x:v>
      </x:c>
      <x:c r="V37" s="12" t="n">
        <x:v>0.2</x:v>
      </x:c>
      <x:c r="W37" s="12" t="n">
        <x:v>1000000</x:v>
      </x:c>
      <x:c r="X37" s="12" t="inlineStr">
        <x:is>
          <x:t xml:space="preserve">https://artificialanalysis.ai/models/releases/claude-opus-5-5</x:t>
        </x:is>
      </x:c>
      <x:c r="Y37" s="12" t="inlineStr">
        <x:is>
          <x:t xml:space="preserve">AA current public page</x:t>
        </x:is>
      </x:c>
      <x:c r="Z37" s="12" t="n"/>
    </x:row>
    <x:row r="38">
      <x:c r="A38" s="12" t="inlineStr">
        <x:is>
          <x:t xml:space="preserve">anthropic|claude-opus-5.5|high|reasoning|fallback-true|aa-v4.3.2|snapshot-2026-09-28</x:t>
        </x:is>
      </x:c>
      <x:c r="B38" s="12" t="inlineStr">
        <x:is>
          <x:t xml:space="preserve">anthropic|claude-opus-5.5|high|reasoning|fallback-true</x:t>
        </x:is>
      </x:c>
      <x:c r="C38" s="12" t="inlineStr">
        <x:is>
          <x:t xml:space="preserve">Artificial Analysis Intelligence Index</x:t>
        </x:is>
      </x:c>
      <x:c r="D38" s="12" t="inlineStr">
        <x:is>
          <x:t xml:space="preserve">v4.3.2</x:t>
        </x:is>
      </x:c>
      <x:c r="E38" s="12" t="inlineStr">
        <x:is>
          <x:t xml:space="preserve">AA|v4.3.2</x:t>
        </x:is>
      </x:c>
      <x:c r="F38" s="12" t="n"/>
      <x:c r="G38" s="12" t="inlineStr">
        <x:is>
          <x:t xml:space="preserve">2026-09-28</x:t>
        </x:is>
      </x:c>
      <x:c r="H38" s="12" t="n">
        <x:v>54</x:v>
      </x:c>
      <x:c r="I38" s="12" t="n">
        <x:f>IF(H38="","",H38*H38)</x:f>
        <x:v>2916</x:v>
      </x:c>
      <x:c r="J38" s="12" t="n">
        <x:v>1.82</x:v>
      </x:c>
      <x:c r="K38" s="12" t="n"/>
      <x:c r="L38" s="12" t="n"/>
      <x:c r="M38" s="12" t="n"/>
      <x:c r="N38" s="12" t="n"/>
      <x:c r="O38" s="12" t="n">
        <x:v>79</x:v>
      </x:c>
      <x:c r="P38" s="12" t="n"/>
      <x:c r="Q38" s="12" t="n"/>
      <x:c r="R38" s="12" t="n"/>
      <x:c r="S38" s="12" t="n"/>
      <x:c r="T38" s="12" t="n">
        <x:v>4</x:v>
      </x:c>
      <x:c r="U38" s="12" t="n">
        <x:v>20</x:v>
      </x:c>
      <x:c r="V38" s="12" t="n">
        <x:v>0.2</x:v>
      </x:c>
      <x:c r="W38" s="12" t="n">
        <x:v>1000000</x:v>
      </x:c>
      <x:c r="X38" s="12" t="inlineStr">
        <x:is>
          <x:t xml:space="preserve">https://artificialanalysis.ai/models/releases/claude-opus-5-5</x:t>
        </x:is>
      </x:c>
      <x:c r="Y38" s="12" t="inlineStr">
        <x:is>
          <x:t xml:space="preserve">AA current public page</x:t>
        </x:is>
      </x:c>
      <x:c r="Z38" s="12" t="n"/>
    </x:row>
    <x:row r="39">
      <x:c r="A39" s="12" t="inlineStr">
        <x:is>
          <x:t xml:space="preserve">anthropic|claude-opus-5.5|xhigh|reasoning|fallback-true|aa-v4.3.2|snapshot-2026-09-28</x:t>
        </x:is>
      </x:c>
      <x:c r="B39" s="12" t="inlineStr">
        <x:is>
          <x:t xml:space="preserve">anthropic|claude-opus-5.5|xhigh|reasoning|fallback-true</x:t>
        </x:is>
      </x:c>
      <x:c r="C39" s="12" t="inlineStr">
        <x:is>
          <x:t xml:space="preserve">Artificial Analysis Intelligence Index</x:t>
        </x:is>
      </x:c>
      <x:c r="D39" s="12" t="inlineStr">
        <x:is>
          <x:t xml:space="preserve">v4.3.2</x:t>
        </x:is>
      </x:c>
      <x:c r="E39" s="12" t="inlineStr">
        <x:is>
          <x:t xml:space="preserve">AA|v4.3.2</x:t>
        </x:is>
      </x:c>
      <x:c r="F39" s="12" t="n"/>
      <x:c r="G39" s="12" t="inlineStr">
        <x:is>
          <x:t xml:space="preserve">2026-09-28</x:t>
        </x:is>
      </x:c>
      <x:c r="H39" s="12" t="n">
        <x:v>56</x:v>
      </x:c>
      <x:c r="I39" s="12" t="n">
        <x:f>IF(H39="","",H39*H39)</x:f>
        <x:v>3136</x:v>
      </x:c>
      <x:c r="J39" s="12" t="n">
        <x:v>3.46</x:v>
      </x:c>
      <x:c r="K39" s="12" t="n"/>
      <x:c r="L39" s="12" t="n"/>
      <x:c r="M39" s="12" t="n"/>
      <x:c r="N39" s="12" t="n"/>
      <x:c r="O39" s="12" t="n">
        <x:v>82</x:v>
      </x:c>
      <x:c r="P39" s="12" t="n"/>
      <x:c r="Q39" s="12" t="n"/>
      <x:c r="R39" s="12" t="n"/>
      <x:c r="S39" s="12" t="n"/>
      <x:c r="T39" s="12" t="n">
        <x:v>4</x:v>
      </x:c>
      <x:c r="U39" s="12" t="n">
        <x:v>20</x:v>
      </x:c>
      <x:c r="V39" s="12" t="n">
        <x:v>0.2</x:v>
      </x:c>
      <x:c r="W39" s="12" t="n">
        <x:v>1000000</x:v>
      </x:c>
      <x:c r="X39" s="12" t="inlineStr">
        <x:is>
          <x:t xml:space="preserve">https://artificialanalysis.ai/models/releases/claude-opus-5-5</x:t>
        </x:is>
      </x:c>
      <x:c r="Y39" s="12" t="inlineStr">
        <x:is>
          <x:t xml:space="preserve">AA current public page</x:t>
        </x:is>
      </x:c>
      <x:c r="Z39" s="12" t="n"/>
    </x:row>
    <x:row r="40">
      <x:c r="A40" s="12" t="inlineStr">
        <x:is>
          <x:t xml:space="preserve">anthropic|claude-opus-5.5|max|reasoning|fallback-true|aa-v4.3.2|snapshot-2026-09-28</x:t>
        </x:is>
      </x:c>
      <x:c r="B40" s="12" t="inlineStr">
        <x:is>
          <x:t xml:space="preserve">anthropic|claude-opus-5.5|max|reasoning|fallback-true</x:t>
        </x:is>
      </x:c>
      <x:c r="C40" s="12" t="inlineStr">
        <x:is>
          <x:t xml:space="preserve">Artificial Analysis Intelligence Index</x:t>
        </x:is>
      </x:c>
      <x:c r="D40" s="12" t="inlineStr">
        <x:is>
          <x:t xml:space="preserve">v4.3.2</x:t>
        </x:is>
      </x:c>
      <x:c r="E40" s="12" t="inlineStr">
        <x:is>
          <x:t xml:space="preserve">AA|v4.3.2</x:t>
        </x:is>
      </x:c>
      <x:c r="F40" s="12" t="n"/>
      <x:c r="G40" s="12" t="inlineStr">
        <x:is>
          <x:t xml:space="preserve">2026-09-28</x:t>
        </x:is>
      </x:c>
      <x:c r="H40" s="12" t="n">
        <x:v>58</x:v>
      </x:c>
      <x:c r="I40" s="12" t="n">
        <x:f>IF(H40="","",H40*H40)</x:f>
        <x:v>3364</x:v>
      </x:c>
      <x:c r="J40" s="12" t="n">
        <x:v>5.98</x:v>
      </x:c>
      <x:c r="K40" s="12" t="n"/>
      <x:c r="L40" s="12" t="n"/>
      <x:c r="M40" s="12" t="n"/>
      <x:c r="N40" s="12" t="n">
        <x:v>260000000</x:v>
      </x:c>
      <x:c r="O40" s="12" t="n">
        <x:v>95</x:v>
      </x:c>
      <x:c r="P40" s="12" t="n"/>
      <x:c r="Q40" s="12" t="n"/>
      <x:c r="R40" s="12" t="n"/>
      <x:c r="S40" s="12" t="n"/>
      <x:c r="T40" s="12" t="n">
        <x:v>4</x:v>
      </x:c>
      <x:c r="U40" s="12" t="n">
        <x:v>20</x:v>
      </x:c>
      <x:c r="V40" s="12" t="n">
        <x:v>0.2</x:v>
      </x:c>
      <x:c r="W40" s="12" t="n">
        <x:v>1000000</x:v>
      </x:c>
      <x:c r="X40" s="12" t="inlineStr">
        <x:is>
          <x:t xml:space="preserve">https://artificialanalysis.ai/models/releases/claude-opus-5-5</x:t>
        </x:is>
      </x:c>
      <x:c r="Y40" s="12" t="inlineStr">
        <x:is>
          <x:t xml:space="preserve">AA current public page</x:t>
        </x:is>
      </x:c>
      <x:c r="Z40" s="12" t="n"/>
    </x:row>
    <x:row r="41">
      <x:c r="A41" s="12" t="inlineStr">
        <x:is>
          <x:t xml:space="preserve">anthropic|claude-opus-5|low|reasoning|fallback-na|aa-v4.3.2|snapshot-2026-09-28</x:t>
        </x:is>
      </x:c>
      <x:c r="B41" s="12" t="inlineStr">
        <x:is>
          <x:t xml:space="preserve">anthropic|claude-opus-5|low|reasoning|fallback-na</x:t>
        </x:is>
      </x:c>
      <x:c r="C41" s="12" t="inlineStr">
        <x:is>
          <x:t xml:space="preserve">Artificial Analysis Intelligence Index</x:t>
        </x:is>
      </x:c>
      <x:c r="D41" s="12" t="inlineStr">
        <x:is>
          <x:t xml:space="preserve">v4.3.2</x:t>
        </x:is>
      </x:c>
      <x:c r="E41" s="12" t="inlineStr">
        <x:is>
          <x:t xml:space="preserve">AA|v4.3.2</x:t>
        </x:is>
      </x:c>
      <x:c r="F41" s="12" t="n"/>
      <x:c r="G41" s="12" t="inlineStr">
        <x:is>
          <x:t xml:space="preserve">2026-09-28</x:t>
        </x:is>
      </x:c>
      <x:c r="H41" s="12" t="n">
        <x:v>40</x:v>
      </x:c>
      <x:c r="I41" s="12" t="n">
        <x:f>IF(H41="","",H41*H41)</x:f>
        <x:v>1600</x:v>
      </x:c>
      <x:c r="J41" s="12" t="n">
        <x:v>1.1</x:v>
      </x:c>
      <x:c r="K41" s="12" t="n"/>
      <x:c r="L41" s="12" t="n"/>
      <x:c r="M41" s="12" t="n"/>
      <x:c r="N41" s="12" t="n"/>
      <x:c r="O41" s="12" t="n">
        <x:v>47</x:v>
      </x:c>
      <x:c r="P41" s="12" t="n"/>
      <x:c r="Q41" s="12" t="n"/>
      <x:c r="R41" s="12" t="n"/>
      <x:c r="S41" s="12" t="n"/>
      <x:c r="T41" s="12" t="n"/>
      <x:c r="U41" s="12" t="n"/>
      <x:c r="V41" s="12" t="n"/>
      <x:c r="W41" s="12" t="n">
        <x:v>1000000</x:v>
      </x:c>
      <x:c r="X41" s="12" t="inlineStr">
        <x:is>
          <x:t xml:space="preserve">https://artificialanalysis.ai/models/releases/claude-opus-5</x:t>
        </x:is>
      </x:c>
      <x:c r="Y41" s="12" t="inlineStr">
        <x:is>
          <x:t xml:space="preserve">AA current public page</x:t>
        </x:is>
      </x:c>
      <x:c r="Z41" s="12" t="n"/>
    </x:row>
    <x:row r="42">
      <x:c r="A42" s="12" t="inlineStr">
        <x:is>
          <x:t xml:space="preserve">anthropic|claude-opus-5|medium|reasoning|fallback-na|aa-v4.3.2|snapshot-2026-09-28</x:t>
        </x:is>
      </x:c>
      <x:c r="B42" s="12" t="inlineStr">
        <x:is>
          <x:t xml:space="preserve">anthropic|claude-opus-5|medium|reasoning|fallback-na</x:t>
        </x:is>
      </x:c>
      <x:c r="C42" s="12" t="inlineStr">
        <x:is>
          <x:t xml:space="preserve">Artificial Analysis Intelligence Index</x:t>
        </x:is>
      </x:c>
      <x:c r="D42" s="12" t="inlineStr">
        <x:is>
          <x:t xml:space="preserve">v4.3.2</x:t>
        </x:is>
      </x:c>
      <x:c r="E42" s="12" t="inlineStr">
        <x:is>
          <x:t xml:space="preserve">AA|v4.3.2</x:t>
        </x:is>
      </x:c>
      <x:c r="F42" s="12" t="n"/>
      <x:c r="G42" s="12" t="inlineStr">
        <x:is>
          <x:t xml:space="preserve">2026-09-28</x:t>
        </x:is>
      </x:c>
      <x:c r="H42" s="12" t="n">
        <x:v>45</x:v>
      </x:c>
      <x:c r="I42" s="12" t="n">
        <x:f>IF(H42="","",H42*H42)</x:f>
        <x:v>2025</x:v>
      </x:c>
      <x:c r="J42" s="12" t="n">
        <x:v>2.19</x:v>
      </x:c>
      <x:c r="K42" s="12" t="n"/>
      <x:c r="L42" s="12" t="n"/>
      <x:c r="M42" s="12" t="n"/>
      <x:c r="N42" s="12" t="n"/>
      <x:c r="O42" s="12" t="n">
        <x:v>48</x:v>
      </x:c>
      <x:c r="P42" s="12" t="n"/>
      <x:c r="Q42" s="12" t="n"/>
      <x:c r="R42" s="12" t="n"/>
      <x:c r="S42" s="12" t="n"/>
      <x:c r="T42" s="12" t="n"/>
      <x:c r="U42" s="12" t="n"/>
      <x:c r="V42" s="12" t="n"/>
      <x:c r="W42" s="12" t="n">
        <x:v>1000000</x:v>
      </x:c>
      <x:c r="X42" s="12" t="inlineStr">
        <x:is>
          <x:t xml:space="preserve">https://artificialanalysis.ai/models/releases/claude-opus-5</x:t>
        </x:is>
      </x:c>
      <x:c r="Y42" s="12" t="inlineStr">
        <x:is>
          <x:t xml:space="preserve">AA current public page</x:t>
        </x:is>
      </x:c>
      <x:c r="Z42" s="12" t="n"/>
    </x:row>
    <x:row r="43">
      <x:c r="A43" s="12" t="inlineStr">
        <x:is>
          <x:t xml:space="preserve">anthropic|claude-opus-5|high|reasoning|fallback-na|aa-v4.3.2|snapshot-2026-09-28</x:t>
        </x:is>
      </x:c>
      <x:c r="B43" s="12" t="inlineStr">
        <x:is>
          <x:t xml:space="preserve">anthropic|claude-opus-5|high|reasoning|fallback-na</x:t>
        </x:is>
      </x:c>
      <x:c r="C43" s="12" t="inlineStr">
        <x:is>
          <x:t xml:space="preserve">Artificial Analysis Intelligence Index</x:t>
        </x:is>
      </x:c>
      <x:c r="D43" s="12" t="inlineStr">
        <x:is>
          <x:t xml:space="preserve">v4.3.2</x:t>
        </x:is>
      </x:c>
      <x:c r="E43" s="12" t="inlineStr">
        <x:is>
          <x:t xml:space="preserve">AA|v4.3.2</x:t>
        </x:is>
      </x:c>
      <x:c r="F43" s="12" t="n"/>
      <x:c r="G43" s="12" t="inlineStr">
        <x:is>
          <x:t xml:space="preserve">2026-09-28</x:t>
        </x:is>
      </x:c>
      <x:c r="H43" s="12" t="n">
        <x:v>48</x:v>
      </x:c>
      <x:c r="I43" s="12" t="n">
        <x:f>IF(H43="","",H43*H43)</x:f>
        <x:v>2304</x:v>
      </x:c>
      <x:c r="J43" s="12" t="n">
        <x:v>3.61</x:v>
      </x:c>
      <x:c r="K43" s="12" t="n"/>
      <x:c r="L43" s="12" t="n"/>
      <x:c r="M43" s="12" t="n"/>
      <x:c r="N43" s="12" t="n"/>
      <x:c r="O43" s="12" t="n">
        <x:v>50</x:v>
      </x:c>
      <x:c r="P43" s="12" t="n"/>
      <x:c r="Q43" s="12" t="n"/>
      <x:c r="R43" s="12" t="n"/>
      <x:c r="S43" s="12" t="n"/>
      <x:c r="T43" s="12" t="n"/>
      <x:c r="U43" s="12" t="n"/>
      <x:c r="V43" s="12" t="n"/>
      <x:c r="W43" s="12" t="n">
        <x:v>1000000</x:v>
      </x:c>
      <x:c r="X43" s="12" t="inlineStr">
        <x:is>
          <x:t xml:space="preserve">https://artificialanalysis.ai/models/releases/claude-opus-5</x:t>
        </x:is>
      </x:c>
      <x:c r="Y43" s="12" t="inlineStr">
        <x:is>
          <x:t xml:space="preserve">AA current public page</x:t>
        </x:is>
      </x:c>
      <x:c r="Z43" s="12" t="n"/>
    </x:row>
    <x:row r="44">
      <x:c r="A44" s="12" t="inlineStr">
        <x:is>
          <x:t xml:space="preserve">anthropic|claude-opus-5|xhigh|reasoning|fallback-na|aa-v4.3.2|snapshot-2026-09-28</x:t>
        </x:is>
      </x:c>
      <x:c r="B44" s="12" t="inlineStr">
        <x:is>
          <x:t xml:space="preserve">anthropic|claude-opus-5|xhigh|reasoning|fallback-na</x:t>
        </x:is>
      </x:c>
      <x:c r="C44" s="12" t="inlineStr">
        <x:is>
          <x:t xml:space="preserve">Artificial Analysis Intelligence Index</x:t>
        </x:is>
      </x:c>
      <x:c r="D44" s="12" t="inlineStr">
        <x:is>
          <x:t xml:space="preserve">v4.3.2</x:t>
        </x:is>
      </x:c>
      <x:c r="E44" s="12" t="inlineStr">
        <x:is>
          <x:t xml:space="preserve">AA|v4.3.2</x:t>
        </x:is>
      </x:c>
      <x:c r="F44" s="12" t="n"/>
      <x:c r="G44" s="12" t="inlineStr">
        <x:is>
          <x:t xml:space="preserve">2026-09-28</x:t>
        </x:is>
      </x:c>
      <x:c r="H44" s="12" t="n">
        <x:v>50</x:v>
      </x:c>
      <x:c r="I44" s="12" t="n">
        <x:f>IF(H44="","",H44*H44)</x:f>
        <x:v>2500</x:v>
      </x:c>
      <x:c r="J44" s="12" t="n">
        <x:v>4.88</x:v>
      </x:c>
      <x:c r="K44" s="12" t="n"/>
      <x:c r="L44" s="12" t="n"/>
      <x:c r="M44" s="12" t="n"/>
      <x:c r="N44" s="12" t="n"/>
      <x:c r="O44" s="12" t="n">
        <x:v>49</x:v>
      </x:c>
      <x:c r="P44" s="12" t="n"/>
      <x:c r="Q44" s="12" t="n"/>
      <x:c r="R44" s="12" t="n"/>
      <x:c r="S44" s="12" t="n"/>
      <x:c r="T44" s="12" t="n"/>
      <x:c r="U44" s="12" t="n"/>
      <x:c r="V44" s="12" t="n"/>
      <x:c r="W44" s="12" t="n">
        <x:v>1000000</x:v>
      </x:c>
      <x:c r="X44" s="12" t="inlineStr">
        <x:is>
          <x:t xml:space="preserve">https://artificialanalysis.ai/models/releases/claude-opus-5</x:t>
        </x:is>
      </x:c>
      <x:c r="Y44" s="12" t="inlineStr">
        <x:is>
          <x:t xml:space="preserve">AA current public page</x:t>
        </x:is>
      </x:c>
      <x:c r="Z44" s="12" t="n"/>
    </x:row>
    <x:row r="45">
      <x:c r="A45" s="12" t="inlineStr">
        <x:is>
          <x:t xml:space="preserve">anthropic|claude-opus-5|max|reasoning|fallback-na|aa-v4.3.2|snapshot-2026-09-28</x:t>
        </x:is>
      </x:c>
      <x:c r="B45" s="12" t="inlineStr">
        <x:is>
          <x:t xml:space="preserve">anthropic|claude-opus-5|max|reasoning|fallback-na</x:t>
        </x:is>
      </x:c>
      <x:c r="C45" s="12" t="inlineStr">
        <x:is>
          <x:t xml:space="preserve">Artificial Analysis Intelligence Index</x:t>
        </x:is>
      </x:c>
      <x:c r="D45" s="12" t="inlineStr">
        <x:is>
          <x:t xml:space="preserve">v4.3.2</x:t>
        </x:is>
      </x:c>
      <x:c r="E45" s="12" t="inlineStr">
        <x:is>
          <x:t xml:space="preserve">AA|v4.3.2</x:t>
        </x:is>
      </x:c>
      <x:c r="F45" s="12" t="n"/>
      <x:c r="G45" s="12" t="inlineStr">
        <x:is>
          <x:t xml:space="preserve">2026-09-28</x:t>
        </x:is>
      </x:c>
      <x:c r="H45" s="12" t="n">
        <x:v>51</x:v>
      </x:c>
      <x:c r="I45" s="12" t="n">
        <x:f>IF(H45="","",H45*H45)</x:f>
        <x:v>2601</x:v>
      </x:c>
      <x:c r="J45" s="12" t="n">
        <x:v>5.86</x:v>
      </x:c>
      <x:c r="K45" s="12" t="n"/>
      <x:c r="L45" s="12" t="n"/>
      <x:c r="M45" s="12" t="n"/>
      <x:c r="N45" s="12" t="n"/>
      <x:c r="O45" s="12" t="n">
        <x:v>51</x:v>
      </x:c>
      <x:c r="P45" s="12" t="n"/>
      <x:c r="Q45" s="12" t="n"/>
      <x:c r="R45" s="12" t="n"/>
      <x:c r="S45" s="12" t="n"/>
      <x:c r="T45" s="12" t="n"/>
      <x:c r="U45" s="12" t="n"/>
      <x:c r="V45" s="12" t="n"/>
      <x:c r="W45" s="12" t="n">
        <x:v>1000000</x:v>
      </x:c>
      <x:c r="X45" s="12" t="inlineStr">
        <x:is>
          <x:t xml:space="preserve">https://artificialanalysis.ai/models/releases/claude-opus-5</x:t>
        </x:is>
      </x:c>
      <x:c r="Y45" s="12" t="inlineStr">
        <x:is>
          <x:t xml:space="preserve">AA current public page</x:t>
        </x:is>
      </x:c>
      <x:c r="Z45" s="12" t="n"/>
    </x:row>
    <x:row r="46">
      <x:c r="A46" s="12" t="inlineStr">
        <x:is>
          <x:t xml:space="preserve">anthropic|claude-sonnet-5|non-reasoning|nonreasoning|fallback-na|aa-v4.3.2|snapshot-2026-09-28</x:t>
        </x:is>
      </x:c>
      <x:c r="B46" s="12" t="inlineStr">
        <x:is>
          <x:t xml:space="preserve">anthropic|claude-sonnet-5|non-reasoning|nonreasoning|fallback-na</x:t>
        </x:is>
      </x:c>
      <x:c r="C46" s="12" t="inlineStr">
        <x:is>
          <x:t xml:space="preserve">Artificial Analysis Intelligence Index</x:t>
        </x:is>
      </x:c>
      <x:c r="D46" s="12" t="inlineStr">
        <x:is>
          <x:t xml:space="preserve">v4.3.2</x:t>
        </x:is>
      </x:c>
      <x:c r="E46" s="12" t="inlineStr">
        <x:is>
          <x:t xml:space="preserve">AA|v4.3.2</x:t>
        </x:is>
      </x:c>
      <x:c r="F46" s="12" t="n"/>
      <x:c r="G46" s="12" t="inlineStr">
        <x:is>
          <x:t xml:space="preserve">2026-09-28</x:t>
        </x:is>
      </x:c>
      <x:c r="H46" s="12" t="n">
        <x:v>29</x:v>
      </x:c>
      <x:c r="I46" s="12" t="n">
        <x:f>IF(H46="","",H46*H46)</x:f>
        <x:v>841</x:v>
      </x:c>
      <x:c r="J46" s="12" t="n"/>
      <x:c r="K46" s="12" t="n"/>
      <x:c r="L46" s="12" t="n"/>
      <x:c r="M46" s="12" t="n"/>
      <x:c r="N46" s="12" t="n"/>
      <x:c r="O46" s="12" t="n">
        <x:v>56</x:v>
      </x:c>
      <x:c r="P46" s="12" t="n"/>
      <x:c r="Q46" s="12" t="n"/>
      <x:c r="R46" s="12" t="n"/>
      <x:c r="S46" s="12" t="n"/>
      <x:c r="T46" s="12" t="n">
        <x:v>2</x:v>
      </x:c>
      <x:c r="U46" s="12" t="n">
        <x:v>10</x:v>
      </x:c>
      <x:c r="V46" s="12" t="n">
        <x:v>0.2</x:v>
      </x:c>
      <x:c r="W46" s="12" t="n">
        <x:v>1000000</x:v>
      </x:c>
      <x:c r="X46" s="12" t="inlineStr">
        <x:is>
          <x:t xml:space="preserve">https://artificialanalysis.ai/models/releases/claude-sonnet-5</x:t>
        </x:is>
      </x:c>
      <x:c r="Y46" s="12" t="inlineStr">
        <x:is>
          <x:t xml:space="preserve">AA current public page</x:t>
        </x:is>
      </x:c>
      <x:c r="Z46" s="12" t="n"/>
    </x:row>
    <x:row r="47">
      <x:c r="A47" s="12" t="inlineStr">
        <x:is>
          <x:t xml:space="preserve">anthropic|claude-sonnet-5|low|reasoning|fallback-na|aa-v4.3.2|snapshot-2026-09-28</x:t>
        </x:is>
      </x:c>
      <x:c r="B47" s="12" t="inlineStr">
        <x:is>
          <x:t xml:space="preserve">anthropic|claude-sonnet-5|low|reasoning|fallback-na</x:t>
        </x:is>
      </x:c>
      <x:c r="C47" s="12" t="inlineStr">
        <x:is>
          <x:t xml:space="preserve">Artificial Analysis Intelligence Index</x:t>
        </x:is>
      </x:c>
      <x:c r="D47" s="12" t="inlineStr">
        <x:is>
          <x:t xml:space="preserve">v4.3.2</x:t>
        </x:is>
      </x:c>
      <x:c r="E47" s="12" t="inlineStr">
        <x:is>
          <x:t xml:space="preserve">AA|v4.3.2</x:t>
        </x:is>
      </x:c>
      <x:c r="F47" s="12" t="n"/>
      <x:c r="G47" s="12" t="inlineStr">
        <x:is>
          <x:t xml:space="preserve">2026-09-28</x:t>
        </x:is>
      </x:c>
      <x:c r="H47" s="12" t="n">
        <x:v>25</x:v>
      </x:c>
      <x:c r="I47" s="12" t="n">
        <x:f>IF(H47="","",H47*H47)</x:f>
        <x:v>625</x:v>
      </x:c>
      <x:c r="J47" s="12" t="n">
        <x:v>0.51</x:v>
      </x:c>
      <x:c r="K47" s="12" t="n"/>
      <x:c r="L47" s="12" t="n"/>
      <x:c r="M47" s="12" t="n"/>
      <x:c r="N47" s="12" t="n"/>
      <x:c r="O47" s="12" t="n">
        <x:v>56</x:v>
      </x:c>
      <x:c r="P47" s="12" t="n"/>
      <x:c r="Q47" s="12" t="n"/>
      <x:c r="R47" s="12" t="n"/>
      <x:c r="S47" s="12" t="n"/>
      <x:c r="T47" s="12" t="n">
        <x:v>2</x:v>
      </x:c>
      <x:c r="U47" s="12" t="n">
        <x:v>10</x:v>
      </x:c>
      <x:c r="V47" s="12" t="n">
        <x:v>0.2</x:v>
      </x:c>
      <x:c r="W47" s="12" t="n">
        <x:v>1000000</x:v>
      </x:c>
      <x:c r="X47" s="12" t="inlineStr">
        <x:is>
          <x:t xml:space="preserve">https://artificialanalysis.ai/models/releases/claude-sonnet-5</x:t>
        </x:is>
      </x:c>
      <x:c r="Y47" s="12" t="inlineStr">
        <x:is>
          <x:t xml:space="preserve">AA current public page</x:t>
        </x:is>
      </x:c>
      <x:c r="Z47" s="12" t="n"/>
    </x:row>
    <x:row r="48">
      <x:c r="A48" s="12" t="inlineStr">
        <x:is>
          <x:t xml:space="preserve">anthropic|claude-sonnet-5|medium|reasoning|fallback-na|aa-v4.3.2|snapshot-2026-09-28</x:t>
        </x:is>
      </x:c>
      <x:c r="B48" s="12" t="inlineStr">
        <x:is>
          <x:t xml:space="preserve">anthropic|claude-sonnet-5|medium|reasoning|fallback-na</x:t>
        </x:is>
      </x:c>
      <x:c r="C48" s="12" t="inlineStr">
        <x:is>
          <x:t xml:space="preserve">Artificial Analysis Intelligence Index</x:t>
        </x:is>
      </x:c>
      <x:c r="D48" s="12" t="inlineStr">
        <x:is>
          <x:t xml:space="preserve">v4.3.2</x:t>
        </x:is>
      </x:c>
      <x:c r="E48" s="12" t="inlineStr">
        <x:is>
          <x:t xml:space="preserve">AA|v4.3.2</x:t>
        </x:is>
      </x:c>
      <x:c r="F48" s="12" t="n"/>
      <x:c r="G48" s="12" t="inlineStr">
        <x:is>
          <x:t xml:space="preserve">2026-09-28</x:t>
        </x:is>
      </x:c>
      <x:c r="H48" s="12" t="n">
        <x:v>28</x:v>
      </x:c>
      <x:c r="I48" s="12" t="n">
        <x:f>IF(H48="","",H48*H48)</x:f>
        <x:v>784</x:v>
      </x:c>
      <x:c r="J48" s="12" t="n">
        <x:v>1</x:v>
      </x:c>
      <x:c r="K48" s="12" t="n"/>
      <x:c r="L48" s="12" t="n"/>
      <x:c r="M48" s="12" t="n"/>
      <x:c r="N48" s="12" t="n"/>
      <x:c r="O48" s="12" t="n">
        <x:v>57</x:v>
      </x:c>
      <x:c r="P48" s="12" t="n"/>
      <x:c r="Q48" s="12" t="n"/>
      <x:c r="R48" s="12" t="n"/>
      <x:c r="S48" s="12" t="n"/>
      <x:c r="T48" s="12" t="n">
        <x:v>2</x:v>
      </x:c>
      <x:c r="U48" s="12" t="n">
        <x:v>10</x:v>
      </x:c>
      <x:c r="V48" s="12" t="n">
        <x:v>0.2</x:v>
      </x:c>
      <x:c r="W48" s="12" t="n">
        <x:v>1000000</x:v>
      </x:c>
      <x:c r="X48" s="12" t="inlineStr">
        <x:is>
          <x:t xml:space="preserve">https://artificialanalysis.ai/models/releases/claude-sonnet-5</x:t>
        </x:is>
      </x:c>
      <x:c r="Y48" s="12" t="inlineStr">
        <x:is>
          <x:t xml:space="preserve">AA current public page</x:t>
        </x:is>
      </x:c>
      <x:c r="Z48" s="12" t="n"/>
    </x:row>
    <x:row r="49">
      <x:c r="A49" s="12" t="inlineStr">
        <x:is>
          <x:t xml:space="preserve">anthropic|claude-sonnet-5|high|reasoning|fallback-na|aa-v4.3.2|snapshot-2026-09-28</x:t>
        </x:is>
      </x:c>
      <x:c r="B49" s="12" t="inlineStr">
        <x:is>
          <x:t xml:space="preserve">anthropic|claude-sonnet-5|high|reasoning|fallback-na</x:t>
        </x:is>
      </x:c>
      <x:c r="C49" s="12" t="inlineStr">
        <x:is>
          <x:t xml:space="preserve">Artificial Analysis Intelligence Index</x:t>
        </x:is>
      </x:c>
      <x:c r="D49" s="12" t="inlineStr">
        <x:is>
          <x:t xml:space="preserve">v4.3.2</x:t>
        </x:is>
      </x:c>
      <x:c r="E49" s="12" t="inlineStr">
        <x:is>
          <x:t xml:space="preserve">AA|v4.3.2</x:t>
        </x:is>
      </x:c>
      <x:c r="F49" s="12" t="n"/>
      <x:c r="G49" s="12" t="inlineStr">
        <x:is>
          <x:t xml:space="preserve">2026-09-28</x:t>
        </x:is>
      </x:c>
      <x:c r="H49" s="12" t="n">
        <x:v>32</x:v>
      </x:c>
      <x:c r="I49" s="12" t="n">
        <x:f>IF(H49="","",H49*H49)</x:f>
        <x:v>1024</x:v>
      </x:c>
      <x:c r="J49" s="12" t="n">
        <x:v>1.79</x:v>
      </x:c>
      <x:c r="K49" s="12" t="n"/>
      <x:c r="L49" s="12" t="n"/>
      <x:c r="M49" s="12" t="n"/>
      <x:c r="N49" s="12" t="n"/>
      <x:c r="O49" s="12" t="n">
        <x:v>60</x:v>
      </x:c>
      <x:c r="P49" s="12" t="n"/>
      <x:c r="Q49" s="12" t="n"/>
      <x:c r="R49" s="12" t="n"/>
      <x:c r="S49" s="12" t="n"/>
      <x:c r="T49" s="12" t="n">
        <x:v>2</x:v>
      </x:c>
      <x:c r="U49" s="12" t="n">
        <x:v>10</x:v>
      </x:c>
      <x:c r="V49" s="12" t="n">
        <x:v>0.2</x:v>
      </x:c>
      <x:c r="W49" s="12" t="n">
        <x:v>1000000</x:v>
      </x:c>
      <x:c r="X49" s="12" t="inlineStr">
        <x:is>
          <x:t xml:space="preserve">https://artificialanalysis.ai/models/releases/claude-sonnet-5</x:t>
        </x:is>
      </x:c>
      <x:c r="Y49" s="12" t="inlineStr">
        <x:is>
          <x:t xml:space="preserve">AA current public page</x:t>
        </x:is>
      </x:c>
      <x:c r="Z49" s="12" t="n"/>
    </x:row>
    <x:row r="50">
      <x:c r="A50" s="12" t="inlineStr">
        <x:is>
          <x:t xml:space="preserve">anthropic|claude-sonnet-5|xhigh|reasoning|fallback-na|aa-v4.3.2|snapshot-2026-09-28</x:t>
        </x:is>
      </x:c>
      <x:c r="B50" s="12" t="inlineStr">
        <x:is>
          <x:t xml:space="preserve">anthropic|claude-sonnet-5|xhigh|reasoning|fallback-na</x:t>
        </x:is>
      </x:c>
      <x:c r="C50" s="12" t="inlineStr">
        <x:is>
          <x:t xml:space="preserve">Artificial Analysis Intelligence Index</x:t>
        </x:is>
      </x:c>
      <x:c r="D50" s="12" t="inlineStr">
        <x:is>
          <x:t xml:space="preserve">v4.3.2</x:t>
        </x:is>
      </x:c>
      <x:c r="E50" s="12" t="inlineStr">
        <x:is>
          <x:t xml:space="preserve">AA|v4.3.2</x:t>
        </x:is>
      </x:c>
      <x:c r="F50" s="12" t="n"/>
      <x:c r="G50" s="12" t="inlineStr">
        <x:is>
          <x:t xml:space="preserve">2026-09-28</x:t>
        </x:is>
      </x:c>
      <x:c r="H50" s="12" t="n"/>
      <x:c r="I50" s="12" t="str">
        <x:f>IF(H50="","",H50*H50)</x:f>
      </x:c>
      <x:c r="J50" s="12" t="n"/>
      <x:c r="K50" s="12" t="n"/>
      <x:c r="L50" s="12" t="n"/>
      <x:c r="M50" s="12" t="n"/>
      <x:c r="N50" s="12" t="n"/>
      <x:c r="O50" s="12" t="n">
        <x:v>65</x:v>
      </x:c>
      <x:c r="P50" s="12" t="n"/>
      <x:c r="Q50" s="12" t="n"/>
      <x:c r="R50" s="12" t="n"/>
      <x:c r="S50" s="12" t="n"/>
      <x:c r="T50" s="12" t="n">
        <x:v>2</x:v>
      </x:c>
      <x:c r="U50" s="12" t="n">
        <x:v>10</x:v>
      </x:c>
      <x:c r="V50" s="12" t="n">
        <x:v>0.2</x:v>
      </x:c>
      <x:c r="W50" s="12" t="n">
        <x:v>1000000</x:v>
      </x:c>
      <x:c r="X50" s="12" t="inlineStr">
        <x:is>
          <x:t xml:space="preserve">https://artificialanalysis.ai/models/releases/claude-sonnet-5</x:t>
        </x:is>
      </x:c>
      <x:c r="Y50" s="12" t="inlineStr">
        <x:is>
          <x:t xml:space="preserve">AA page: benchmark score pending/not available</x:t>
        </x:is>
      </x:c>
      <x:c r="Z50" s="12" t="n"/>
    </x:row>
    <x:row r="51">
      <x:c r="A51" s="12" t="inlineStr">
        <x:is>
          <x:t xml:space="preserve">anthropic|claude-sonnet-5|max|reasoning|fallback-na|aa-v4.3.2|snapshot-2026-09-28</x:t>
        </x:is>
      </x:c>
      <x:c r="B51" s="12" t="inlineStr">
        <x:is>
          <x:t xml:space="preserve">anthropic|claude-sonnet-5|max|reasoning|fallback-na</x:t>
        </x:is>
      </x:c>
      <x:c r="C51" s="12" t="inlineStr">
        <x:is>
          <x:t xml:space="preserve">Artificial Analysis Intelligence Index</x:t>
        </x:is>
      </x:c>
      <x:c r="D51" s="12" t="inlineStr">
        <x:is>
          <x:t xml:space="preserve">v4.3.2</x:t>
        </x:is>
      </x:c>
      <x:c r="E51" s="12" t="inlineStr">
        <x:is>
          <x:t xml:space="preserve">AA|v4.3.2</x:t>
        </x:is>
      </x:c>
      <x:c r="F51" s="12" t="n"/>
      <x:c r="G51" s="12" t="inlineStr">
        <x:is>
          <x:t xml:space="preserve">2026-09-28</x:t>
        </x:is>
      </x:c>
      <x:c r="H51" s="12" t="n">
        <x:v>38</x:v>
      </x:c>
      <x:c r="I51" s="12" t="n">
        <x:f>IF(H51="","",H51*H51)</x:f>
        <x:v>1444</x:v>
      </x:c>
      <x:c r="J51" s="12" t="n">
        <x:v>5.09</x:v>
      </x:c>
      <x:c r="K51" s="12" t="n"/>
      <x:c r="L51" s="12" t="n"/>
      <x:c r="M51" s="12" t="n"/>
      <x:c r="N51" s="12" t="n">
        <x:v>370000000</x:v>
      </x:c>
      <x:c r="O51" s="12" t="n">
        <x:v>83.90000000000001</x:v>
      </x:c>
      <x:c r="P51" s="12" t="n"/>
      <x:c r="Q51" s="12" t="n"/>
      <x:c r="R51" s="12" t="n"/>
      <x:c r="S51" s="12" t="n"/>
      <x:c r="T51" s="12" t="n">
        <x:v>2</x:v>
      </x:c>
      <x:c r="U51" s="12" t="n">
        <x:v>10</x:v>
      </x:c>
      <x:c r="V51" s="12" t="n">
        <x:v>0.2</x:v>
      </x:c>
      <x:c r="W51" s="12" t="n">
        <x:v>1000000</x:v>
      </x:c>
      <x:c r="X51" s="12" t="inlineStr">
        <x:is>
          <x:t xml:space="preserve">https://artificialanalysis.ai/models/releases/claude-sonnet-5</x:t>
        </x:is>
      </x:c>
      <x:c r="Y51" s="12" t="inlineStr">
        <x:is>
          <x:t xml:space="preserve">AA current public page</x:t>
        </x:is>
      </x:c>
      <x:c r="Z51" s="12" t="n"/>
    </x:row>
    <x:row r="52">
      <x:c r="A52" s="12" t="inlineStr">
        <x:is>
          <x:t xml:space="preserve">anthropic|claude-4.5-haiku|non-reasoning|nonreasoning|fallback-na|aa-v4.3.2|snapshot-2026-09-28</x:t>
        </x:is>
      </x:c>
      <x:c r="B52" s="12" t="inlineStr">
        <x:is>
          <x:t xml:space="preserve">anthropic|claude-4.5-haiku|non-reasoning|nonreasoning|fallback-na</x:t>
        </x:is>
      </x:c>
      <x:c r="C52" s="12" t="inlineStr">
        <x:is>
          <x:t xml:space="preserve">Artificial Analysis Intelligence Index</x:t>
        </x:is>
      </x:c>
      <x:c r="D52" s="12" t="inlineStr">
        <x:is>
          <x:t xml:space="preserve">v4.3.2</x:t>
        </x:is>
      </x:c>
      <x:c r="E52" s="12" t="inlineStr">
        <x:is>
          <x:t xml:space="preserve">AA|v4.3.2</x:t>
        </x:is>
      </x:c>
      <x:c r="F52" s="12" t="n"/>
      <x:c r="G52" s="12" t="inlineStr">
        <x:is>
          <x:t xml:space="preserve">2026-09-28</x:t>
        </x:is>
      </x:c>
      <x:c r="H52" s="12" t="n">
        <x:v>15</x:v>
      </x:c>
      <x:c r="I52" s="12" t="n">
        <x:f>IF(H52="","",H52*H52)</x:f>
        <x:v>225</x:v>
      </x:c>
      <x:c r="J52" s="12" t="n"/>
      <x:c r="K52" s="12" t="n"/>
      <x:c r="L52" s="12" t="n"/>
      <x:c r="M52" s="12" t="n"/>
      <x:c r="N52" s="12" t="n"/>
      <x:c r="O52" s="12" t="n">
        <x:v>78.3</x:v>
      </x:c>
      <x:c r="P52" s="12" t="n"/>
      <x:c r="Q52" s="12" t="n"/>
      <x:c r="R52" s="12" t="n"/>
      <x:c r="S52" s="12" t="n"/>
      <x:c r="T52" s="12" t="n">
        <x:v>1</x:v>
      </x:c>
      <x:c r="U52" s="12" t="n">
        <x:v>5</x:v>
      </x:c>
      <x:c r="V52" s="12" t="n">
        <x:v>0.1</x:v>
      </x:c>
      <x:c r="W52" s="12" t="n">
        <x:v>200000</x:v>
      </x:c>
      <x:c r="X52" s="12" t="inlineStr">
        <x:is>
          <x:t xml:space="preserve">https://artificialanalysis.ai/models/releases/claude-4-5-haiku</x:t>
        </x:is>
      </x:c>
      <x:c r="Y52" s="12" t="inlineStr">
        <x:is>
          <x:t xml:space="preserve">AA current public page</x:t>
        </x:is>
      </x:c>
      <x:c r="Z52" s="12" t="n"/>
    </x:row>
    <x:row r="53">
      <x:c r="A53" s="12" t="inlineStr">
        <x:is>
          <x:t xml:space="preserve">anthropic|claude-4.5-haiku|reasoning|reasoning|fallback-na|aa-v4.3.2|snapshot-2026-09-28</x:t>
        </x:is>
      </x:c>
      <x:c r="B53" s="12" t="inlineStr">
        <x:is>
          <x:t xml:space="preserve">anthropic|claude-4.5-haiku|reasoning|reasoning|fallback-na</x:t>
        </x:is>
      </x:c>
      <x:c r="C53" s="12" t="inlineStr">
        <x:is>
          <x:t xml:space="preserve">Artificial Analysis Intelligence Index</x:t>
        </x:is>
      </x:c>
      <x:c r="D53" s="12" t="inlineStr">
        <x:is>
          <x:t xml:space="preserve">v4.3.2</x:t>
        </x:is>
      </x:c>
      <x:c r="E53" s="12" t="inlineStr">
        <x:is>
          <x:t xml:space="preserve">AA|v4.3.2</x:t>
        </x:is>
      </x:c>
      <x:c r="F53" s="12" t="n"/>
      <x:c r="G53" s="12" t="inlineStr">
        <x:is>
          <x:t xml:space="preserve">2026-09-28</x:t>
        </x:is>
      </x:c>
      <x:c r="H53" s="12" t="n">
        <x:v>17</x:v>
      </x:c>
      <x:c r="I53" s="12" t="n">
        <x:f>IF(H53="","",H53*H53)</x:f>
        <x:v>289</x:v>
      </x:c>
      <x:c r="J53" s="12" t="n">
        <x:v>0.28</x:v>
      </x:c>
      <x:c r="K53" s="12" t="n"/>
      <x:c r="L53" s="12" t="n"/>
      <x:c r="M53" s="12" t="n"/>
      <x:c r="N53" s="12" t="n">
        <x:v>78000000</x:v>
      </x:c>
      <x:c r="O53" s="12" t="n">
        <x:v>80.3</x:v>
      </x:c>
      <x:c r="P53" s="12" t="n"/>
      <x:c r="Q53" s="12" t="n"/>
      <x:c r="R53" s="12" t="n"/>
      <x:c r="S53" s="12" t="n"/>
      <x:c r="T53" s="12" t="n">
        <x:v>1</x:v>
      </x:c>
      <x:c r="U53" s="12" t="n">
        <x:v>5</x:v>
      </x:c>
      <x:c r="V53" s="12" t="n">
        <x:v>0.1</x:v>
      </x:c>
      <x:c r="W53" s="12" t="n">
        <x:v>200000</x:v>
      </x:c>
      <x:c r="X53" s="12" t="inlineStr">
        <x:is>
          <x:t xml:space="preserve">https://artificialanalysis.ai/models/releases/claude-4-5-haiku</x:t>
        </x:is>
      </x:c>
      <x:c r="Y53" s="12" t="inlineStr">
        <x:is>
          <x:t xml:space="preserve">AA current public page</x:t>
        </x:is>
      </x:c>
      <x:c r="Z53" s="12" t="n"/>
    </x:row>
    <x:row r="54">
      <x:c r="A54" s="12" t="inlineStr">
        <x:is>
          <x:t xml:space="preserve">anthropic|claude-opus-4.5|non-reasoning|nonreasoning|fallback-na|aa-v4.3.2|snapshot-2026-09-28</x:t>
        </x:is>
      </x:c>
      <x:c r="B54" s="12" t="inlineStr">
        <x:is>
          <x:t xml:space="preserve">anthropic|claude-opus-4.5|non-reasoning|nonreasoning|fallback-na</x:t>
        </x:is>
      </x:c>
      <x:c r="C54" s="12" t="inlineStr">
        <x:is>
          <x:t xml:space="preserve">Artificial Analysis Intelligence Index</x:t>
        </x:is>
      </x:c>
      <x:c r="D54" s="12" t="inlineStr">
        <x:is>
          <x:t xml:space="preserve">v4.3.2</x:t>
        </x:is>
      </x:c>
      <x:c r="E54" s="12" t="inlineStr">
        <x:is>
          <x:t xml:space="preserve">AA|v4.3.2</x:t>
        </x:is>
      </x:c>
      <x:c r="F54" s="12" t="n"/>
      <x:c r="G54" s="12" t="inlineStr">
        <x:is>
          <x:t xml:space="preserve">2026-09-28</x:t>
        </x:is>
      </x:c>
      <x:c r="H54" s="12" t="n">
        <x:v>24</x:v>
      </x:c>
      <x:c r="I54" s="12" t="n">
        <x:f>IF(H54="","",H54*H54)</x:f>
        <x:v>576</x:v>
      </x:c>
      <x:c r="J54" s="12" t="n"/>
      <x:c r="K54" s="12" t="n"/>
      <x:c r="L54" s="12" t="n"/>
      <x:c r="M54" s="12" t="n"/>
      <x:c r="N54" s="12" t="n"/>
      <x:c r="O54" s="12" t="n">
        <x:v>44</x:v>
      </x:c>
      <x:c r="P54" s="12" t="n"/>
      <x:c r="Q54" s="12" t="n"/>
      <x:c r="R54" s="12" t="n"/>
      <x:c r="S54" s="12" t="n"/>
      <x:c r="T54" s="12" t="n"/>
      <x:c r="U54" s="12" t="n"/>
      <x:c r="V54" s="12" t="n"/>
      <x:c r="W54" s="12" t="n">
        <x:v>200000</x:v>
      </x:c>
      <x:c r="X54" s="12" t="inlineStr">
        <x:is>
          <x:t xml:space="preserve">https://artificialanalysis.ai/models/releases/claude-opus-4-5</x:t>
        </x:is>
      </x:c>
      <x:c r="Y54" s="12" t="inlineStr">
        <x:is>
          <x:t xml:space="preserve">AA current public page</x:t>
        </x:is>
      </x:c>
      <x:c r="Z54" s="12" t="n"/>
    </x:row>
    <x:row r="55">
      <x:c r="A55" s="12" t="inlineStr">
        <x:is>
          <x:t xml:space="preserve">anthropic|claude-opus-4.5|reasoning|reasoning|fallback-na|aa-v4.3.2|snapshot-2026-09-28</x:t>
        </x:is>
      </x:c>
      <x:c r="B55" s="12" t="inlineStr">
        <x:is>
          <x:t xml:space="preserve">anthropic|claude-opus-4.5|reasoning|reasoning|fallback-na</x:t>
        </x:is>
      </x:c>
      <x:c r="C55" s="12" t="inlineStr">
        <x:is>
          <x:t xml:space="preserve">Artificial Analysis Intelligence Index</x:t>
        </x:is>
      </x:c>
      <x:c r="D55" s="12" t="inlineStr">
        <x:is>
          <x:t xml:space="preserve">v4.3.2</x:t>
        </x:is>
      </x:c>
      <x:c r="E55" s="12" t="inlineStr">
        <x:is>
          <x:t xml:space="preserve">AA|v4.3.2</x:t>
        </x:is>
      </x:c>
      <x:c r="F55" s="12" t="n"/>
      <x:c r="G55" s="12" t="inlineStr">
        <x:is>
          <x:t xml:space="preserve">2026-09-28</x:t>
        </x:is>
      </x:c>
      <x:c r="H55" s="12" t="n">
        <x:v>29</x:v>
      </x:c>
      <x:c r="I55" s="12" t="n">
        <x:f>IF(H55="","",H55*H55)</x:f>
        <x:v>841</x:v>
      </x:c>
      <x:c r="J55" s="12" t="n"/>
      <x:c r="K55" s="12" t="n"/>
      <x:c r="L55" s="12" t="n"/>
      <x:c r="M55" s="12" t="n"/>
      <x:c r="N55" s="12" t="n"/>
      <x:c r="O55" s="12" t="n">
        <x:v>45</x:v>
      </x:c>
      <x:c r="P55" s="12" t="n"/>
      <x:c r="Q55" s="12" t="n"/>
      <x:c r="R55" s="12" t="n"/>
      <x:c r="S55" s="12" t="n"/>
      <x:c r="T55" s="12" t="n"/>
      <x:c r="U55" s="12" t="n"/>
      <x:c r="V55" s="12" t="n"/>
      <x:c r="W55" s="12" t="n">
        <x:v>200000</x:v>
      </x:c>
      <x:c r="X55" s="12" t="inlineStr">
        <x:is>
          <x:t xml:space="preserve">https://artificialanalysis.ai/models/releases/claude-opus-4-5</x:t>
        </x:is>
      </x:c>
      <x:c r="Y55" s="12" t="inlineStr">
        <x:is>
          <x:t xml:space="preserve">AA current public page</x:t>
        </x:is>
      </x:c>
      <x:c r="Z55" s="12" t="n"/>
    </x:row>
    <x:row r="56">
      <x:c r="A56" s="12" t="inlineStr">
        <x:is>
          <x:t xml:space="preserve">z-ai|glm-5.3-flash|reasoning|reasoning|fallback-na|aa-v4.3.2|snapshot-2026-09-28</x:t>
        </x:is>
      </x:c>
      <x:c r="B56" s="12" t="inlineStr">
        <x:is>
          <x:t xml:space="preserve">z-ai|glm-5.3-flash|reasoning|reasoning|fallback-na</x:t>
        </x:is>
      </x:c>
      <x:c r="C56" s="12" t="inlineStr">
        <x:is>
          <x:t xml:space="preserve">Artificial Analysis Intelligence Index</x:t>
        </x:is>
      </x:c>
      <x:c r="D56" s="12" t="inlineStr">
        <x:is>
          <x:t xml:space="preserve">v4.3.2</x:t>
        </x:is>
      </x:c>
      <x:c r="E56" s="12" t="inlineStr">
        <x:is>
          <x:t xml:space="preserve">AA|v4.3.2</x:t>
        </x:is>
      </x:c>
      <x:c r="F56" s="12" t="n"/>
      <x:c r="G56" s="12" t="inlineStr">
        <x:is>
          <x:t xml:space="preserve">2026-09-28</x:t>
        </x:is>
      </x:c>
      <x:c r="H56" s="12" t="n">
        <x:v>42</x:v>
      </x:c>
      <x:c r="I56" s="12" t="n">
        <x:f>IF(H56="","",H56*H56)</x:f>
        <x:v>1764</x:v>
      </x:c>
      <x:c r="J56" s="12" t="n">
        <x:v>0.25</x:v>
      </x:c>
      <x:c r="K56" s="12" t="n">
        <x:v>280</x:v>
      </x:c>
      <x:c r="L56" s="12" t="n">
        <x:v>69000</x:v>
      </x:c>
      <x:c r="M56" s="12" t="n">
        <x:v>47000</x:v>
      </x:c>
      <x:c r="N56" s="12" t="n">
        <x:v>181000000</x:v>
      </x:c>
      <x:c r="O56" s="12" t="n">
        <x:v>57</x:v>
      </x:c>
      <x:c r="P56" s="12" t="n">
        <x:v>3.1</x:v>
      </x:c>
      <x:c r="Q56" s="12" t="n">
        <x:v>38.41</x:v>
      </x:c>
      <x:c r="R56" s="12" t="n">
        <x:v>47.24</x:v>
      </x:c>
      <x:c r="S56" s="12" t="n">
        <x:v>984.14</x:v>
      </x:c>
      <x:c r="T56" s="12" t="n">
        <x:v>0.15</x:v>
      </x:c>
      <x:c r="U56" s="12" t="n">
        <x:v>0.5</x:v>
      </x:c>
      <x:c r="V56" s="12" t="n">
        <x:v>0.026</x:v>
      </x:c>
      <x:c r="W56" s="12" t="n">
        <x:v>1000000</x:v>
      </x:c>
      <x:c r="X56" s="12" t="inlineStr">
        <x:is>
          <x:t xml:space="preserve">https://artificialanalysis.ai/models/comparisons/glm-5-3-flash-vs-qwen3-8-flash-next</x:t>
        </x:is>
      </x:c>
      <x:c r="Y56" s="12" t="inlineStr">
        <x:is>
          <x:t xml:space="preserve">AA current public page</x:t>
        </x:is>
      </x:c>
      <x:c r="Z56" s="12" t="n"/>
    </x:row>
    <x:row r="57">
      <x:c r="A57" s="12" t="inlineStr">
        <x:is>
          <x:t xml:space="preserve">alibaba|qwen3.8-flash-next|reasoning|reasoning|fallback-na|aa-v4.3.2|snapshot-2026-09-28</x:t>
        </x:is>
      </x:c>
      <x:c r="B57" s="12" t="inlineStr">
        <x:is>
          <x:t xml:space="preserve">alibaba|qwen3.8-flash-next|reasoning|reasoning|fallback-na</x:t>
        </x:is>
      </x:c>
      <x:c r="C57" s="12" t="inlineStr">
        <x:is>
          <x:t xml:space="preserve">Artificial Analysis Intelligence Index</x:t>
        </x:is>
      </x:c>
      <x:c r="D57" s="12" t="inlineStr">
        <x:is>
          <x:t xml:space="preserve">v4.3.2</x:t>
        </x:is>
      </x:c>
      <x:c r="E57" s="12" t="inlineStr">
        <x:is>
          <x:t xml:space="preserve">AA|v4.3.2</x:t>
        </x:is>
      </x:c>
      <x:c r="F57" s="12" t="n"/>
      <x:c r="G57" s="12" t="inlineStr">
        <x:is>
          <x:t xml:space="preserve">2026-09-28</x:t>
        </x:is>
      </x:c>
      <x:c r="H57" s="12" t="n">
        <x:v>40</x:v>
      </x:c>
      <x:c r="I57" s="12" t="n">
        <x:f>IF(H57="","",H57*H57)</x:f>
        <x:v>1600</x:v>
      </x:c>
      <x:c r="J57" s="12" t="n">
        <x:v>0.37</x:v>
      </x:c>
      <x:c r="K57" s="12" t="n">
        <x:v>363</x:v>
      </x:c>
      <x:c r="L57" s="12" t="n">
        <x:v>108000</x:v>
      </x:c>
      <x:c r="M57" s="12" t="n">
        <x:v>72000</x:v>
      </x:c>
      <x:c r="N57" s="12" t="n">
        <x:v>245000000</x:v>
      </x:c>
      <x:c r="O57" s="12" t="n">
        <x:v>57</x:v>
      </x:c>
      <x:c r="P57" s="12" t="n">
        <x:v>2.5</x:v>
      </x:c>
      <x:c r="Q57" s="12" t="n">
        <x:v>37.83</x:v>
      </x:c>
      <x:c r="R57" s="12" t="n">
        <x:v>46.67</x:v>
      </x:c>
      <x:c r="S57" s="12" t="n">
        <x:v>1662.06</x:v>
      </x:c>
      <x:c r="T57" s="12" t="n">
        <x:v>0.15</x:v>
      </x:c>
      <x:c r="U57" s="12" t="n">
        <x:v>0.47</x:v>
      </x:c>
      <x:c r="V57" s="12" t="n">
        <x:v>0.016</x:v>
      </x:c>
      <x:c r="W57" s="12" t="n">
        <x:v>256000</x:v>
      </x:c>
      <x:c r="X57" s="12" t="inlineStr">
        <x:is>
          <x:t xml:space="preserve">https://artificialanalysis.ai/models/comparisons/glm-5-3-flash-vs-qwen3-8-flash-next</x:t>
        </x:is>
      </x:c>
      <x:c r="Y57" s="12" t="inlineStr">
        <x:is>
          <x:t xml:space="preserve">AA current public page</x:t>
        </x:is>
      </x:c>
      <x:c r="Z57" s="12" t="n"/>
    </x:row>
    <x:row r="58">
      <x:c r="A58" s="12" t="inlineStr">
        <x:is>
          <x:t xml:space="preserve">xiaomi|mimo-v2.6-flash|reasoning|reasoning|fallback-na|aa-v4.3.2|snapshot-2026-09-28</x:t>
        </x:is>
      </x:c>
      <x:c r="B58" s="12" t="inlineStr">
        <x:is>
          <x:t xml:space="preserve">xiaomi|mimo-v2.6-flash|reasoning|reasoning|fallback-na</x:t>
        </x:is>
      </x:c>
      <x:c r="C58" s="12" t="inlineStr">
        <x:is>
          <x:t xml:space="preserve">Artificial Analysis Intelligence Index</x:t>
        </x:is>
      </x:c>
      <x:c r="D58" s="12" t="inlineStr">
        <x:is>
          <x:t xml:space="preserve">v4.3.2</x:t>
        </x:is>
      </x:c>
      <x:c r="E58" s="12" t="inlineStr">
        <x:is>
          <x:t xml:space="preserve">AA|v4.3.2</x:t>
        </x:is>
      </x:c>
      <x:c r="F58" s="12" t="n"/>
      <x:c r="G58" s="12" t="inlineStr">
        <x:is>
          <x:t xml:space="preserve">2026-09-28</x:t>
        </x:is>
      </x:c>
      <x:c r="H58" s="12" t="n">
        <x:v>38</x:v>
      </x:c>
      <x:c r="I58" s="12" t="n">
        <x:f>IF(H58="","",H58*H58)</x:f>
        <x:v>1444</x:v>
      </x:c>
      <x:c r="J58" s="12" t="n">
        <x:v>0.06</x:v>
      </x:c>
      <x:c r="K58" s="12" t="n">
        <x:v>109</x:v>
      </x:c>
      <x:c r="L58" s="12" t="n">
        <x:v>78000</x:v>
      </x:c>
      <x:c r="M58" s="12" t="n">
        <x:v>58000</x:v>
      </x:c>
      <x:c r="N58" s="12" t="n">
        <x:v>244000000</x:v>
      </x:c>
      <x:c r="O58" s="12" t="n">
        <x:v>62</x:v>
      </x:c>
      <x:c r="P58" s="12" t="n">
        <x:v>3.49</x:v>
      </x:c>
      <x:c r="Q58" s="12" t="n">
        <x:v>35.55</x:v>
      </x:c>
      <x:c r="R58" s="12" t="n">
        <x:v>43.56</x:v>
      </x:c>
      <x:c r="S58" s="12" t="n">
        <x:v>1253.14</x:v>
      </x:c>
      <x:c r="T58" s="12" t="n">
        <x:v>0.14</x:v>
      </x:c>
      <x:c r="U58" s="12" t="n">
        <x:v>0.28</x:v>
      </x:c>
      <x:c r="V58" s="12" t="n">
        <x:v>0.0028</x:v>
      </x:c>
      <x:c r="W58" s="12" t="n">
        <x:v>1000000</x:v>
      </x:c>
      <x:c r="X58" s="12" t="inlineStr">
        <x:is>
          <x:t xml:space="preserve">https://artificialanalysis.ai/models/comparisons/mimo-v2-6-flash-vs-minimax-m3</x:t>
        </x:is>
      </x:c>
      <x:c r="Y58" s="12" t="inlineStr">
        <x:is>
          <x:t xml:space="preserve">AA current public page</x:t>
        </x:is>
      </x:c>
      <x:c r="Z58" s="12" t="n"/>
    </x:row>
    <x:row r="59">
      <x:c r="A59" s="12" t="inlineStr">
        <x:is>
          <x:t xml:space="preserve">minimax|minimax-m3|reasoning|reasoning|fallback-na|aa-v4.3.2|snapshot-2026-09-28</x:t>
        </x:is>
      </x:c>
      <x:c r="B59" s="12" t="inlineStr">
        <x:is>
          <x:t xml:space="preserve">minimax|minimax-m3|reasoning|reasoning|fallback-na</x:t>
        </x:is>
      </x:c>
      <x:c r="C59" s="12" t="inlineStr">
        <x:is>
          <x:t xml:space="preserve">Artificial Analysis Intelligence Index</x:t>
        </x:is>
      </x:c>
      <x:c r="D59" s="12" t="inlineStr">
        <x:is>
          <x:t xml:space="preserve">v4.3.2</x:t>
        </x:is>
      </x:c>
      <x:c r="E59" s="12" t="inlineStr">
        <x:is>
          <x:t xml:space="preserve">AA|v4.3.2</x:t>
        </x:is>
      </x:c>
      <x:c r="F59" s="12" t="n"/>
      <x:c r="G59" s="12" t="inlineStr">
        <x:is>
          <x:t xml:space="preserve">2026-09-28</x:t>
        </x:is>
      </x:c>
      <x:c r="H59" s="12" t="n">
        <x:v>29</x:v>
      </x:c>
      <x:c r="I59" s="12" t="n">
        <x:f>IF(H59="","",H59*H59)</x:f>
        <x:v>841</x:v>
      </x:c>
      <x:c r="J59" s="12" t="n">
        <x:v>0.51</x:v>
      </x:c>
      <x:c r="K59" s="12" t="n">
        <x:v>538</x:v>
      </x:c>
      <x:c r="L59" s="12" t="n">
        <x:v>48000</x:v>
      </x:c>
      <x:c r="M59" s="12" t="n">
        <x:v>22000</x:v>
      </x:c>
      <x:c r="N59" s="12" t="n">
        <x:v>117000000</x:v>
      </x:c>
      <x:c r="O59" s="12" t="n">
        <x:v>174</x:v>
      </x:c>
      <x:c r="P59" s="12" t="n">
        <x:v>1.06</x:v>
      </x:c>
      <x:c r="Q59" s="12" t="n">
        <x:v>12.54</x:v>
      </x:c>
      <x:c r="R59" s="12" t="n">
        <x:v>15.4</x:v>
      </x:c>
      <x:c r="S59" s="12" t="n">
        <x:v>295.4</x:v>
      </x:c>
      <x:c r="T59" s="12" t="n">
        <x:v>0.3</x:v>
      </x:c>
      <x:c r="U59" s="12" t="n">
        <x:v>1.2</x:v>
      </x:c>
      <x:c r="V59" s="12" t="n">
        <x:v>0.06</x:v>
      </x:c>
      <x:c r="W59" s="12" t="n">
        <x:v>1000000</x:v>
      </x:c>
      <x:c r="X59" s="12" t="inlineStr">
        <x:is>
          <x:t xml:space="preserve">https://artificialanalysis.ai/models/comparisons/mimo-v2-6-flash-vs-minimax-m3</x:t>
        </x:is>
      </x:c>
      <x:c r="Y59" s="12" t="inlineStr">
        <x:is>
          <x:t xml:space="preserve">AA current public page</x:t>
        </x:is>
      </x:c>
      <x:c r="Z59" s="12" t="n"/>
    </x:row>
    <x:row r="60">
      <x:c r="A60" s="12" t="inlineStr">
        <x:is>
          <x:t xml:space="preserve">meta|muse-spark-1.3|xhigh|reasoning|fallback-na|aa-v4.3.2|snapshot-2026-09-28</x:t>
        </x:is>
      </x:c>
      <x:c r="B60" s="12" t="inlineStr">
        <x:is>
          <x:t xml:space="preserve">meta|muse-spark-1.3|xhigh|reasoning|fallback-na</x:t>
        </x:is>
      </x:c>
      <x:c r="C60" s="12" t="inlineStr">
        <x:is>
          <x:t xml:space="preserve">Artificial Analysis Intelligence Index</x:t>
        </x:is>
      </x:c>
      <x:c r="D60" s="12" t="inlineStr">
        <x:is>
          <x:t xml:space="preserve">v4.3.2</x:t>
        </x:is>
      </x:c>
      <x:c r="E60" s="12" t="inlineStr">
        <x:is>
          <x:t xml:space="preserve">AA|v4.3.2</x:t>
        </x:is>
      </x:c>
      <x:c r="F60" s="12" t="n"/>
      <x:c r="G60" s="12" t="inlineStr">
        <x:is>
          <x:t xml:space="preserve">2026-09-28</x:t>
        </x:is>
      </x:c>
      <x:c r="H60" s="12" t="n">
        <x:v>45</x:v>
      </x:c>
      <x:c r="I60" s="12" t="n">
        <x:f>IF(H60="","",H60*H60)</x:f>
        <x:v>2025</x:v>
      </x:c>
      <x:c r="J60" s="12" t="n">
        <x:v>1.37</x:v>
      </x:c>
      <x:c r="K60" s="12" t="n"/>
      <x:c r="L60" s="12" t="n"/>
      <x:c r="M60" s="12" t="n"/>
      <x:c r="N60" s="12" t="n"/>
      <x:c r="O60" s="12" t="n">
        <x:v>196</x:v>
      </x:c>
      <x:c r="P60" s="12" t="n"/>
      <x:c r="Q60" s="12" t="n"/>
      <x:c r="R60" s="12" t="n"/>
      <x:c r="S60" s="12" t="n"/>
      <x:c r="T60" s="12" t="n">
        <x:v>1.25</x:v>
      </x:c>
      <x:c r="U60" s="12" t="n">
        <x:v>4.25</x:v>
      </x:c>
      <x:c r="V60" s="12" t="n">
        <x:v>0.15</x:v>
      </x:c>
      <x:c r="W60" s="12" t="n">
        <x:v>1000000</x:v>
      </x:c>
      <x:c r="X60" s="12" t="inlineStr">
        <x:is>
          <x:t xml:space="preserve">https://artificialanalysis.ai/models/comparisons/muse-spark-1-3-vs-gemini-3-8-flash</x:t>
        </x:is>
      </x:c>
      <x:c r="Y60" s="12" t="inlineStr">
        <x:is>
          <x:t xml:space="preserve">AA current public page</x:t>
        </x:is>
      </x:c>
      <x:c r="Z60" s="12" t="inlineStr">
        <x:is>
          <x:t xml:space="preserve">Release summary; detailed token/time fields not captured in current sheet.</x:t>
        </x:is>
      </x:c>
    </x:row>
    <x:row r="61">
      <x:c r="A61" s="12" t="inlineStr">
        <x:is>
          <x:t xml:space="preserve">meta|muse-spark-1.3|max|reasoning|fallback-na|aa-v4.3.2|snapshot-2026-09-28</x:t>
        </x:is>
      </x:c>
      <x:c r="B61" s="12" t="inlineStr">
        <x:is>
          <x:t xml:space="preserve">meta|muse-spark-1.3|max|reasoning|fallback-na</x:t>
        </x:is>
      </x:c>
      <x:c r="C61" s="12" t="inlineStr">
        <x:is>
          <x:t xml:space="preserve">Artificial Analysis Intelligence Index</x:t>
        </x:is>
      </x:c>
      <x:c r="D61" s="12" t="inlineStr">
        <x:is>
          <x:t xml:space="preserve">v4.3.2</x:t>
        </x:is>
      </x:c>
      <x:c r="E61" s="12" t="inlineStr">
        <x:is>
          <x:t xml:space="preserve">AA|v4.3.2</x:t>
        </x:is>
      </x:c>
      <x:c r="F61" s="12" t="n"/>
      <x:c r="G61" s="12" t="inlineStr">
        <x:is>
          <x:t xml:space="preserve">2026-09-28</x:t>
        </x:is>
      </x:c>
      <x:c r="H61" s="12" t="n">
        <x:v>48</x:v>
      </x:c>
      <x:c r="I61" s="12" t="n">
        <x:f>IF(H61="","",H61*H61)</x:f>
        <x:v>2304</x:v>
      </x:c>
      <x:c r="J61" s="12" t="n">
        <x:v>1.6</x:v>
      </x:c>
      <x:c r="K61" s="12" t="n">
        <x:v>2000</x:v>
      </x:c>
      <x:c r="L61" s="12" t="n">
        <x:v>60000</x:v>
      </x:c>
      <x:c r="M61" s="12" t="n">
        <x:v>34000</x:v>
      </x:c>
      <x:c r="N61" s="12" t="n">
        <x:v>168000000</x:v>
      </x:c>
      <x:c r="O61" s="12" t="n">
        <x:v>210</x:v>
      </x:c>
      <x:c r="P61" s="12" t="n">
        <x:v>25.5</x:v>
      </x:c>
      <x:c r="Q61" s="12" t="n">
        <x:v>35.04</x:v>
      </x:c>
      <x:c r="R61" s="12" t="n">
        <x:v>37.43</x:v>
      </x:c>
      <x:c r="S61" s="12" t="n">
        <x:v>312.77</x:v>
      </x:c>
      <x:c r="T61" s="12" t="n">
        <x:v>1.25</x:v>
      </x:c>
      <x:c r="U61" s="12" t="n">
        <x:v>4.25</x:v>
      </x:c>
      <x:c r="V61" s="12" t="n">
        <x:v>0.15</x:v>
      </x:c>
      <x:c r="W61" s="12" t="n">
        <x:v>1000000</x:v>
      </x:c>
      <x:c r="X61" s="12" t="inlineStr">
        <x:is>
          <x:t xml:space="preserve">https://artificialanalysis.ai/models/comparisons/muse-spark-1-3-vs-gemini-3-8-flash</x:t>
        </x:is>
      </x:c>
      <x:c r="Y61" s="12" t="inlineStr">
        <x:is>
          <x:t xml:space="preserve">AA current public page</x:t>
        </x:is>
      </x:c>
      <x:c r="Z61" s="12" t="n"/>
    </x:row>
    <x:row r="62">
      <x:c r="A62" s="12" t="inlineStr">
        <x:is>
          <x:t xml:space="preserve">google|gemini-3.8-flash|low|reasoning|fallback-na|aa-v4.3.2|snapshot-2026-09-28</x:t>
        </x:is>
      </x:c>
      <x:c r="B62" s="12" t="inlineStr">
        <x:is>
          <x:t xml:space="preserve">google|gemini-3.8-flash|low|reasoning|fallback-na</x:t>
        </x:is>
      </x:c>
      <x:c r="C62" s="12" t="inlineStr">
        <x:is>
          <x:t xml:space="preserve">Artificial Analysis Intelligence Index</x:t>
        </x:is>
      </x:c>
      <x:c r="D62" s="12" t="inlineStr">
        <x:is>
          <x:t xml:space="preserve">v4.3.2</x:t>
        </x:is>
      </x:c>
      <x:c r="E62" s="12" t="inlineStr">
        <x:is>
          <x:t xml:space="preserve">AA|v4.3.2</x:t>
        </x:is>
      </x:c>
      <x:c r="F62" s="12" t="n"/>
      <x:c r="G62" s="12" t="inlineStr">
        <x:is>
          <x:t xml:space="preserve">2026-09-28</x:t>
        </x:is>
      </x:c>
      <x:c r="H62" s="12" t="n">
        <x:v>33</x:v>
      </x:c>
      <x:c r="I62" s="12" t="n">
        <x:f>IF(H62="","",H62*H62)</x:f>
        <x:v>1089</x:v>
      </x:c>
      <x:c r="J62" s="12" t="n"/>
      <x:c r="K62" s="12" t="n"/>
      <x:c r="L62" s="12" t="n"/>
      <x:c r="M62" s="12" t="n"/>
      <x:c r="N62" s="12" t="n"/>
      <x:c r="O62" s="12" t="n"/>
      <x:c r="P62" s="12" t="n"/>
      <x:c r="Q62" s="12" t="n"/>
      <x:c r="R62" s="12" t="n"/>
      <x:c r="S62" s="12" t="n"/>
      <x:c r="T62" s="12" t="n">
        <x:v>0.75</x:v>
      </x:c>
      <x:c r="U62" s="12" t="n">
        <x:v>3.75</x:v>
      </x:c>
      <x:c r="V62" s="12" t="n">
        <x:v>0.075</x:v>
      </x:c>
      <x:c r="W62" s="12" t="n">
        <x:v>1000000</x:v>
      </x:c>
      <x:c r="X62" s="12" t="inlineStr">
        <x:is>
          <x:t xml:space="preserve">https://artificialanalysis.ai/models/comparisons/muse-spark-1-3-vs-gemini-3-8-flash</x:t>
        </x:is>
      </x:c>
      <x:c r="Y62" s="12" t="inlineStr">
        <x:is>
          <x:t xml:space="preserve">AA current public page</x:t>
        </x:is>
      </x:c>
      <x:c r="Z62" s="12" t="inlineStr">
        <x:is>
          <x:t xml:space="preserve">AA current comparison shows score 33; some earlier release snapshot showed 34.</x:t>
        </x:is>
      </x:c>
    </x:row>
    <x:row r="63">
      <x:c r="A63" s="12" t="inlineStr">
        <x:is>
          <x:t xml:space="preserve">google|gemini-3.8-flash|medium|reasoning|fallback-na|aa-v4.3.2|snapshot-2026-09-28</x:t>
        </x:is>
      </x:c>
      <x:c r="B63" s="12" t="inlineStr">
        <x:is>
          <x:t xml:space="preserve">google|gemini-3.8-flash|medium|reasoning|fallback-na</x:t>
        </x:is>
      </x:c>
      <x:c r="C63" s="12" t="inlineStr">
        <x:is>
          <x:t xml:space="preserve">Artificial Analysis Intelligence Index</x:t>
        </x:is>
      </x:c>
      <x:c r="D63" s="12" t="inlineStr">
        <x:is>
          <x:t xml:space="preserve">v4.3.2</x:t>
        </x:is>
      </x:c>
      <x:c r="E63" s="12" t="inlineStr">
        <x:is>
          <x:t xml:space="preserve">AA|v4.3.2</x:t>
        </x:is>
      </x:c>
      <x:c r="F63" s="12" t="n"/>
      <x:c r="G63" s="12" t="inlineStr">
        <x:is>
          <x:t xml:space="preserve">2026-09-28</x:t>
        </x:is>
      </x:c>
      <x:c r="H63" s="12" t="n">
        <x:v>40</x:v>
      </x:c>
      <x:c r="I63" s="12" t="n">
        <x:f>IF(H63="","",H63*H63)</x:f>
        <x:v>1600</x:v>
      </x:c>
      <x:c r="J63" s="12" t="n">
        <x:v>0.93</x:v>
      </x:c>
      <x:c r="K63" s="12" t="n"/>
      <x:c r="L63" s="12" t="n"/>
      <x:c r="M63" s="12" t="n"/>
      <x:c r="N63" s="12" t="n"/>
      <x:c r="O63" s="12" t="n"/>
      <x:c r="P63" s="12" t="n"/>
      <x:c r="Q63" s="12" t="n"/>
      <x:c r="R63" s="12" t="n"/>
      <x:c r="S63" s="12" t="n"/>
      <x:c r="T63" s="12" t="n">
        <x:v>0.75</x:v>
      </x:c>
      <x:c r="U63" s="12" t="n">
        <x:v>3.75</x:v>
      </x:c>
      <x:c r="V63" s="12" t="n">
        <x:v>0.075</x:v>
      </x:c>
      <x:c r="W63" s="12" t="n">
        <x:v>1000000</x:v>
      </x:c>
      <x:c r="X63" s="12" t="inlineStr">
        <x:is>
          <x:t xml:space="preserve">https://artificialanalysis.ai/models/comparisons/muse-spark-1-3-vs-gemini-3-8-flash</x:t>
        </x:is>
      </x:c>
      <x:c r="Y63" s="12" t="inlineStr">
        <x:is>
          <x:t xml:space="preserve">AA current public page</x:t>
        </x:is>
      </x:c>
      <x:c r="Z63" s="12" t="n"/>
    </x:row>
    <x:row r="64">
      <x:c r="A64" s="12" t="inlineStr">
        <x:is>
          <x:t xml:space="preserve">google|gemini-3.8-flash|high|reasoning|fallback-na|aa-v4.3.2|snapshot-2026-09-28</x:t>
        </x:is>
      </x:c>
      <x:c r="B64" s="12" t="inlineStr">
        <x:is>
          <x:t xml:space="preserve">google|gemini-3.8-flash|high|reasoning|fallback-na</x:t>
        </x:is>
      </x:c>
      <x:c r="C64" s="12" t="inlineStr">
        <x:is>
          <x:t xml:space="preserve">Artificial Analysis Intelligence Index</x:t>
        </x:is>
      </x:c>
      <x:c r="D64" s="12" t="inlineStr">
        <x:is>
          <x:t xml:space="preserve">v4.3.2</x:t>
        </x:is>
      </x:c>
      <x:c r="E64" s="12" t="inlineStr">
        <x:is>
          <x:t xml:space="preserve">AA|v4.3.2</x:t>
        </x:is>
      </x:c>
      <x:c r="F64" s="12" t="n"/>
      <x:c r="G64" s="12" t="inlineStr">
        <x:is>
          <x:t xml:space="preserve">2026-09-28</x:t>
        </x:is>
      </x:c>
      <x:c r="H64" s="12" t="n">
        <x:v>41</x:v>
      </x:c>
      <x:c r="I64" s="12" t="n">
        <x:f>IF(H64="","",H64*H64)</x:f>
        <x:v>1681</x:v>
      </x:c>
      <x:c r="J64" s="12" t="n">
        <x:v>1.24</x:v>
      </x:c>
      <x:c r="K64" s="12" t="n">
        <x:v>1623</x:v>
      </x:c>
      <x:c r="L64" s="12" t="n">
        <x:v>71000</x:v>
      </x:c>
      <x:c r="M64" s="12" t="n">
        <x:v>43000</x:v>
      </x:c>
      <x:c r="N64" s="12" t="n">
        <x:v>172000000</x:v>
      </x:c>
      <x:c r="O64" s="12" t="n">
        <x:v>311</x:v>
      </x:c>
      <x:c r="P64" s="12" t="n">
        <x:v>38.15</x:v>
      </x:c>
      <x:c r="Q64" s="12" t="n">
        <x:v>38.15</x:v>
      </x:c>
      <x:c r="R64" s="12" t="n">
        <x:v>39.75</x:v>
      </x:c>
      <x:c r="S64" s="12" t="n">
        <x:v>231.29</x:v>
      </x:c>
      <x:c r="T64" s="12" t="n">
        <x:v>0.75</x:v>
      </x:c>
      <x:c r="U64" s="12" t="n">
        <x:v>3.75</x:v>
      </x:c>
      <x:c r="V64" s="12" t="n">
        <x:v>0.075</x:v>
      </x:c>
      <x:c r="W64" s="12" t="n">
        <x:v>1000000</x:v>
      </x:c>
      <x:c r="X64" s="12" t="inlineStr">
        <x:is>
          <x:t xml:space="preserve">https://artificialanalysis.ai/models/comparisons/muse-spark-1-3-vs-gemini-3-8-flash</x:t>
        </x:is>
      </x:c>
      <x:c r="Y64" s="12" t="inlineStr">
        <x:is>
          <x:t xml:space="preserve">AA current public page</x:t>
        </x:is>
      </x:c>
      <x:c r="Z64" s="12" t="n"/>
    </x:row>
    <x:row r="65">
      <x:c r="A65" s="12" t="inlineStr">
        <x:is>
          <x:t xml:space="preserve">deepseek|deepseek-v4.1-flash|non-reasoning|nonreasoning|fallback-na|aa-v4.3.2|snapshot-2026-09-28</x:t>
        </x:is>
      </x:c>
      <x:c r="B65" s="12" t="inlineStr">
        <x:is>
          <x:t xml:space="preserve">deepseek|deepseek-v4.1-flash|non-reasoning|nonreasoning|fallback-na</x:t>
        </x:is>
      </x:c>
      <x:c r="C65" s="12" t="inlineStr">
        <x:is>
          <x:t xml:space="preserve">Artificial Analysis Intelligence Index</x:t>
        </x:is>
      </x:c>
      <x:c r="D65" s="12" t="inlineStr">
        <x:is>
          <x:t xml:space="preserve">v4.3.2</x:t>
        </x:is>
      </x:c>
      <x:c r="E65" s="12" t="inlineStr">
        <x:is>
          <x:t xml:space="preserve">AA|v4.3.2</x:t>
        </x:is>
      </x:c>
      <x:c r="F65" s="12" t="n"/>
      <x:c r="G65" s="12" t="inlineStr">
        <x:is>
          <x:t xml:space="preserve">2026-09-28</x:t>
        </x:is>
      </x:c>
      <x:c r="H65" s="12" t="n">
        <x:v>25</x:v>
      </x:c>
      <x:c r="I65" s="12" t="n">
        <x:f>IF(H65="","",H65*H65)</x:f>
        <x:v>625</x:v>
      </x:c>
      <x:c r="J65" s="12" t="n">
        <x:v>0.15</x:v>
      </x:c>
      <x:c r="K65" s="12" t="n"/>
      <x:c r="L65" s="12" t="n"/>
      <x:c r="M65" s="12" t="n"/>
      <x:c r="N65" s="12" t="n"/>
      <x:c r="O65" s="12" t="n">
        <x:v>239</x:v>
      </x:c>
      <x:c r="P65" s="12" t="n"/>
      <x:c r="Q65" s="12" t="n"/>
      <x:c r="R65" s="12" t="n"/>
      <x:c r="S65" s="12" t="n"/>
      <x:c r="T65" s="12" t="n">
        <x:v>0.3</x:v>
      </x:c>
      <x:c r="U65" s="12" t="n">
        <x:v>1.2</x:v>
      </x:c>
      <x:c r="V65" s="12" t="n">
        <x:v>0.006</x:v>
      </x:c>
      <x:c r="W65" s="12" t="n">
        <x:v>1000000</x:v>
      </x:c>
      <x:c r="X65" s="12" t="inlineStr">
        <x:is>
          <x:t xml:space="preserve">https://artificialanalysis.ai/models/deepseek-v4-1-flash</x:t>
        </x:is>
      </x:c>
      <x:c r="Y65" s="12" t="inlineStr">
        <x:is>
          <x:t xml:space="preserve">AA current public page</x:t>
        </x:is>
      </x:c>
      <x:c r="Z65" s="12" t="n"/>
    </x:row>
    <x:row r="66">
      <x:c r="A66" s="12" t="inlineStr">
        <x:is>
          <x:t xml:space="preserve">deepseek|deepseek-v4.1-flash|max|reasoning|fallback-na|aa-v4.3.2|snapshot-2026-09-28</x:t>
        </x:is>
      </x:c>
      <x:c r="B66" s="12" t="inlineStr">
        <x:is>
          <x:t xml:space="preserve">deepseek|deepseek-v4.1-flash|max|reasoning|fallback-na</x:t>
        </x:is>
      </x:c>
      <x:c r="C66" s="12" t="inlineStr">
        <x:is>
          <x:t xml:space="preserve">Artificial Analysis Intelligence Index</x:t>
        </x:is>
      </x:c>
      <x:c r="D66" s="12" t="inlineStr">
        <x:is>
          <x:t xml:space="preserve">v4.3.2</x:t>
        </x:is>
      </x:c>
      <x:c r="E66" s="12" t="inlineStr">
        <x:is>
          <x:t xml:space="preserve">AA|v4.3.2</x:t>
        </x:is>
      </x:c>
      <x:c r="F66" s="12" t="n"/>
      <x:c r="G66" s="12" t="inlineStr">
        <x:is>
          <x:t xml:space="preserve">2026-09-28</x:t>
        </x:is>
      </x:c>
      <x:c r="H66" s="12" t="n">
        <x:v>39</x:v>
      </x:c>
      <x:c r="I66" s="12" t="n">
        <x:f>IF(H66="","",H66*H66)</x:f>
        <x:v>1521</x:v>
      </x:c>
      <x:c r="J66" s="12" t="n">
        <x:v>0.27</x:v>
      </x:c>
      <x:c r="K66" s="12" t="n"/>
      <x:c r="L66" s="12" t="n"/>
      <x:c r="M66" s="12" t="n"/>
      <x:c r="N66" s="12" t="n">
        <x:v>250000000</x:v>
      </x:c>
      <x:c r="O66" s="12" t="n">
        <x:v>219.5</x:v>
      </x:c>
      <x:c r="P66" s="12" t="n"/>
      <x:c r="Q66" s="12" t="n"/>
      <x:c r="R66" s="12" t="n"/>
      <x:c r="S66" s="12" t="n"/>
      <x:c r="T66" s="12" t="n">
        <x:v>0.3</x:v>
      </x:c>
      <x:c r="U66" s="12" t="n">
        <x:v>1.2</x:v>
      </x:c>
      <x:c r="V66" s="12" t="n">
        <x:v>0.006</x:v>
      </x:c>
      <x:c r="W66" s="12" t="n">
        <x:v>1000000</x:v>
      </x:c>
      <x:c r="X66" s="12" t="inlineStr">
        <x:is>
          <x:t xml:space="preserve">https://artificialanalysis.ai/models/deepseek-v4-1-flash</x:t>
        </x:is>
      </x:c>
      <x:c r="Y66" s="12" t="inlineStr">
        <x:is>
          <x:t xml:space="preserve">AA current public page</x:t>
        </x:is>
      </x:c>
      <x:c r="Z66" s="12" t="inlineStr">
        <x:is>
          <x:t xml:space="preserve">AA direct model page; input/output pricing $0.30/$1.20, 98% cache discount.</x:t>
        </x:is>
      </x:c>
    </x:row>
    <x:row r="67">
      <x:c r="A67" s="12" t="inlineStr">
        <x:is>
          <x:t xml:space="preserve">z-ai|glm-5.3|low|reasoning|fallback-na|aa-v4.3.2|snapshot-2026-09-28</x:t>
        </x:is>
      </x:c>
      <x:c r="B67" s="12" t="inlineStr">
        <x:is>
          <x:t xml:space="preserve">z-ai|glm-5.3|low|reasoning|fallback-na</x:t>
        </x:is>
      </x:c>
      <x:c r="C67" s="12" t="inlineStr">
        <x:is>
          <x:t xml:space="preserve">Artificial Analysis Intelligence Index</x:t>
        </x:is>
      </x:c>
      <x:c r="D67" s="12" t="inlineStr">
        <x:is>
          <x:t xml:space="preserve">v4.3.2</x:t>
        </x:is>
      </x:c>
      <x:c r="E67" s="12" t="inlineStr">
        <x:is>
          <x:t xml:space="preserve">AA|v4.3.2</x:t>
        </x:is>
      </x:c>
      <x:c r="F67" s="12" t="n"/>
      <x:c r="G67" s="12" t="inlineStr">
        <x:is>
          <x:t xml:space="preserve">2026-09-28</x:t>
        </x:is>
      </x:c>
      <x:c r="H67" s="12" t="n">
        <x:v>34</x:v>
      </x:c>
      <x:c r="I67" s="12" t="n">
        <x:f>IF(H67="","",H67*H67)</x:f>
        <x:v>1156</x:v>
      </x:c>
      <x:c r="J67" s="12" t="n">
        <x:v>0.85</x:v>
      </x:c>
      <x:c r="K67" s="12" t="n"/>
      <x:c r="L67" s="12" t="n"/>
      <x:c r="M67" s="12" t="n"/>
      <x:c r="N67" s="12" t="n"/>
      <x:c r="O67" s="12" t="n">
        <x:v>85</x:v>
      </x:c>
      <x:c r="P67" s="12" t="n"/>
      <x:c r="Q67" s="12" t="n"/>
      <x:c r="R67" s="12" t="n"/>
      <x:c r="S67" s="12" t="n"/>
      <x:c r="T67" s="12" t="n"/>
      <x:c r="U67" s="12" t="n"/>
      <x:c r="V67" s="12" t="n"/>
      <x:c r="W67" s="12" t="n">
        <x:v>1000000</x:v>
      </x:c>
      <x:c r="X67" s="12" t="inlineStr">
        <x:is>
          <x:t xml:space="preserve">https://artificialanalysis.ai/models/creators/z-ai</x:t>
        </x:is>
      </x:c>
      <x:c r="Y67" s="12" t="inlineStr">
        <x:is>
          <x:t xml:space="preserve">AA current public page</x:t>
        </x:is>
      </x:c>
      <x:c r="Z67" s="12" t="n"/>
    </x:row>
    <x:row r="68">
      <x:c r="A68" s="12" t="inlineStr">
        <x:is>
          <x:t xml:space="preserve">z-ai|glm-5.3|max|reasoning|fallback-na|aa-v4.3.2|snapshot-2026-09-28</x:t>
        </x:is>
      </x:c>
      <x:c r="B68" s="12" t="inlineStr">
        <x:is>
          <x:t xml:space="preserve">z-ai|glm-5.3|max|reasoning|fallback-na</x:t>
        </x:is>
      </x:c>
      <x:c r="C68" s="12" t="inlineStr">
        <x:is>
          <x:t xml:space="preserve">Artificial Analysis Intelligence Index</x:t>
        </x:is>
      </x:c>
      <x:c r="D68" s="12" t="inlineStr">
        <x:is>
          <x:t xml:space="preserve">v4.3.2</x:t>
        </x:is>
      </x:c>
      <x:c r="E68" s="12" t="inlineStr">
        <x:is>
          <x:t xml:space="preserve">AA|v4.3.2</x:t>
        </x:is>
      </x:c>
      <x:c r="F68" s="12" t="n"/>
      <x:c r="G68" s="12" t="inlineStr">
        <x:is>
          <x:t xml:space="preserve">2026-09-28</x:t>
        </x:is>
      </x:c>
      <x:c r="H68" s="12" t="n">
        <x:v>45</x:v>
      </x:c>
      <x:c r="I68" s="12" t="n">
        <x:f>IF(H68="","",H68*H68)</x:f>
        <x:v>2025</x:v>
      </x:c>
      <x:c r="J68" s="12" t="n">
        <x:v>2.01</x:v>
      </x:c>
      <x:c r="K68" s="12" t="n"/>
      <x:c r="L68" s="12" t="n"/>
      <x:c r="M68" s="12" t="n"/>
      <x:c r="N68" s="12" t="n"/>
      <x:c r="O68" s="12" t="n">
        <x:v>91</x:v>
      </x:c>
      <x:c r="P68" s="12" t="n"/>
      <x:c r="Q68" s="12" t="n"/>
      <x:c r="R68" s="12" t="n"/>
      <x:c r="S68" s="12" t="n"/>
      <x:c r="T68" s="12" t="n"/>
      <x:c r="U68" s="12" t="n"/>
      <x:c r="V68" s="12" t="n"/>
      <x:c r="W68" s="12" t="n">
        <x:v>1000000</x:v>
      </x:c>
      <x:c r="X68" s="12" t="inlineStr">
        <x:is>
          <x:t xml:space="preserve">https://artificialanalysis.ai/models/creators/z-ai</x:t>
        </x:is>
      </x:c>
      <x:c r="Y68" s="12" t="inlineStr">
        <x:is>
          <x:t xml:space="preserve">AA current public page</x:t>
        </x:is>
      </x:c>
      <x:c r="Z68" s="12" t="n"/>
    </x:row>
    <x:row r="69">
      <x:c r="A69" s="12" t="inlineStr">
        <x:is>
          <x:t xml:space="preserve">alibaba|qwen3.8-max-0902|reasoning|reasoning|fallback-na|aa-v4.3.2|snapshot-2026-09-28</x:t>
        </x:is>
      </x:c>
      <x:c r="B69" s="12" t="inlineStr">
        <x:is>
          <x:t xml:space="preserve">alibaba|qwen3.8-max-0902|reasoning|reasoning|fallback-na</x:t>
        </x:is>
      </x:c>
      <x:c r="C69" s="12" t="inlineStr">
        <x:is>
          <x:t xml:space="preserve">Artificial Analysis Intelligence Index</x:t>
        </x:is>
      </x:c>
      <x:c r="D69" s="12" t="inlineStr">
        <x:is>
          <x:t xml:space="preserve">v4.3.2</x:t>
        </x:is>
      </x:c>
      <x:c r="E69" s="12" t="inlineStr">
        <x:is>
          <x:t xml:space="preserve">AA|v4.3.2</x:t>
        </x:is>
      </x:c>
      <x:c r="F69" s="12" t="n"/>
      <x:c r="G69" s="12" t="inlineStr">
        <x:is>
          <x:t xml:space="preserve">2026-09-28</x:t>
        </x:is>
      </x:c>
      <x:c r="H69" s="12" t="n">
        <x:v>45</x:v>
      </x:c>
      <x:c r="I69" s="12" t="n">
        <x:f>IF(H69="","",H69*H69)</x:f>
        <x:v>2025</x:v>
      </x:c>
      <x:c r="J69" s="12" t="n"/>
      <x:c r="K69" s="12" t="n"/>
      <x:c r="L69" s="12" t="n"/>
      <x:c r="M69" s="12" t="n"/>
      <x:c r="N69" s="12" t="n"/>
      <x:c r="O69" s="12" t="n">
        <x:v>39</x:v>
      </x:c>
      <x:c r="P69" s="12" t="n"/>
      <x:c r="Q69" s="12" t="n"/>
      <x:c r="R69" s="12" t="n"/>
      <x:c r="S69" s="12" t="n"/>
      <x:c r="T69" s="12" t="n"/>
      <x:c r="U69" s="12" t="n"/>
      <x:c r="V69" s="12" t="n"/>
      <x:c r="W69" s="12" t="n">
        <x:v>1000000</x:v>
      </x:c>
      <x:c r="X69" s="12" t="inlineStr">
        <x:is>
          <x:t xml:space="preserve">https://artificialanalysis.ai/models/creators/alibaba</x:t>
        </x:is>
      </x:c>
      <x:c r="Y69" s="12" t="inlineStr">
        <x:is>
          <x:t xml:space="preserve">AA current public page</x:t>
        </x:is>
      </x:c>
      <x:c r="Z69" s="12" t="n"/>
    </x:row>
    <x:row r="70">
      <x:c r="A70" s="12" t="inlineStr">
        <x:is>
          <x:t xml:space="preserve">alibaba|qwen3.8-27b|medium|reasoning|fallback-na|aa-v4.3.2|snapshot-2026-09-28</x:t>
        </x:is>
      </x:c>
      <x:c r="B70" s="12" t="inlineStr">
        <x:is>
          <x:t xml:space="preserve">alibaba|qwen3.8-27b|medium|reasoning|fallback-na</x:t>
        </x:is>
      </x:c>
      <x:c r="C70" s="12" t="inlineStr">
        <x:is>
          <x:t xml:space="preserve">Artificial Analysis Intelligence Index</x:t>
        </x:is>
      </x:c>
      <x:c r="D70" s="12" t="inlineStr">
        <x:is>
          <x:t xml:space="preserve">v4.3.2</x:t>
        </x:is>
      </x:c>
      <x:c r="E70" s="12" t="inlineStr">
        <x:is>
          <x:t xml:space="preserve">AA|v4.3.2</x:t>
        </x:is>
      </x:c>
      <x:c r="F70" s="12" t="n"/>
      <x:c r="G70" s="12" t="inlineStr">
        <x:is>
          <x:t xml:space="preserve">2026-09-28</x:t>
        </x:is>
      </x:c>
      <x:c r="H70" s="12" t="n">
        <x:v>28</x:v>
      </x:c>
      <x:c r="I70" s="12" t="n">
        <x:f>IF(H70="","",H70*H70)</x:f>
        <x:v>784</x:v>
      </x:c>
      <x:c r="J70" s="12" t="n"/>
      <x:c r="K70" s="12" t="n"/>
      <x:c r="L70" s="12" t="n"/>
      <x:c r="M70" s="12" t="n"/>
      <x:c r="N70" s="12" t="n"/>
      <x:c r="O70" s="12" t="n">
        <x:v>56</x:v>
      </x:c>
      <x:c r="P70" s="12" t="n"/>
      <x:c r="Q70" s="12" t="n"/>
      <x:c r="R70" s="12" t="n"/>
      <x:c r="S70" s="12" t="n"/>
      <x:c r="T70" s="12" t="n"/>
      <x:c r="U70" s="12" t="n"/>
      <x:c r="V70" s="12" t="n"/>
      <x:c r="W70" s="12" t="n">
        <x:v>262144</x:v>
      </x:c>
      <x:c r="X70" s="12" t="inlineStr">
        <x:is>
          <x:t xml:space="preserve">https://artificialanalysis.ai/models/creators/alibaba</x:t>
        </x:is>
      </x:c>
      <x:c r="Y70" s="12" t="inlineStr">
        <x:is>
          <x:t xml:space="preserve">AA current public page</x:t>
        </x:is>
      </x:c>
      <x:c r="Z70" s="12" t="n"/>
    </x:row>
    <x:row r="71">
      <x:c r="A71" s="12" t="inlineStr">
        <x:is>
          <x:t xml:space="preserve">alibaba|qwen3.8-27b|xhigh|reasoning|fallback-na|aa-v4.3.2|snapshot-2026-09-28</x:t>
        </x:is>
      </x:c>
      <x:c r="B71" s="12" t="inlineStr">
        <x:is>
          <x:t xml:space="preserve">alibaba|qwen3.8-27b|xhigh|reasoning|fallback-na</x:t>
        </x:is>
      </x:c>
      <x:c r="C71" s="12" t="inlineStr">
        <x:is>
          <x:t xml:space="preserve">Artificial Analysis Intelligence Index</x:t>
        </x:is>
      </x:c>
      <x:c r="D71" s="12" t="inlineStr">
        <x:is>
          <x:t xml:space="preserve">v4.3.2</x:t>
        </x:is>
      </x:c>
      <x:c r="E71" s="12" t="inlineStr">
        <x:is>
          <x:t xml:space="preserve">AA|v4.3.2</x:t>
        </x:is>
      </x:c>
      <x:c r="F71" s="12" t="n"/>
      <x:c r="G71" s="12" t="inlineStr">
        <x:is>
          <x:t xml:space="preserve">2026-09-28</x:t>
        </x:is>
      </x:c>
      <x:c r="H71" s="12" t="n">
        <x:v>34</x:v>
      </x:c>
      <x:c r="I71" s="12" t="n">
        <x:f>IF(H71="","",H71*H71)</x:f>
        <x:v>1156</x:v>
      </x:c>
      <x:c r="J71" s="12" t="n"/>
      <x:c r="K71" s="12" t="n"/>
      <x:c r="L71" s="12" t="n"/>
      <x:c r="M71" s="12" t="n"/>
      <x:c r="N71" s="12" t="n"/>
      <x:c r="O71" s="12" t="n">
        <x:v>47</x:v>
      </x:c>
      <x:c r="P71" s="12" t="n"/>
      <x:c r="Q71" s="12" t="n"/>
      <x:c r="R71" s="12" t="n"/>
      <x:c r="S71" s="12" t="n"/>
      <x:c r="T71" s="12" t="n"/>
      <x:c r="U71" s="12" t="n"/>
      <x:c r="V71" s="12" t="n"/>
      <x:c r="W71" s="12" t="n">
        <x:v>262144</x:v>
      </x:c>
      <x:c r="X71" s="12" t="inlineStr">
        <x:is>
          <x:t xml:space="preserve">https://artificialanalysis.ai/models/creators/alibaba</x:t>
        </x:is>
      </x:c>
      <x:c r="Y71" s="12" t="inlineStr">
        <x:is>
          <x:t xml:space="preserve">AA current public page</x:t>
        </x:is>
      </x:c>
      <x:c r="Z71" s="12" t="n"/>
    </x:row>
    <x:row r="72">
      <x:c r="A72" s="12" t="inlineStr">
        <x:is>
          <x:t xml:space="preserve">kimi|kimi-k3|max|reasoning|fallback-na|aa-v4.3.2|snapshot-2026-09-28</x:t>
        </x:is>
      </x:c>
      <x:c r="B72" s="12" t="inlineStr">
        <x:is>
          <x:t xml:space="preserve">kimi|kimi-k3|max|reasoning|fallback-na</x:t>
        </x:is>
      </x:c>
      <x:c r="C72" s="12" t="inlineStr">
        <x:is>
          <x:t xml:space="preserve">Artificial Analysis Intelligence Index</x:t>
        </x:is>
      </x:c>
      <x:c r="D72" s="12" t="inlineStr">
        <x:is>
          <x:t xml:space="preserve">v4.3.2</x:t>
        </x:is>
      </x:c>
      <x:c r="E72" s="12" t="inlineStr">
        <x:is>
          <x:t xml:space="preserve">AA|v4.3.2</x:t>
        </x:is>
      </x:c>
      <x:c r="F72" s="12" t="n"/>
      <x:c r="G72" s="12" t="inlineStr">
        <x:is>
          <x:t xml:space="preserve">2026-09-28</x:t>
        </x:is>
      </x:c>
      <x:c r="H72" s="12" t="n">
        <x:v>44</x:v>
      </x:c>
      <x:c r="I72" s="12" t="n">
        <x:f>IF(H72="","",H72*H72)</x:f>
        <x:v>1936</x:v>
      </x:c>
      <x:c r="J72" s="12" t="n">
        <x:v>2</x:v>
      </x:c>
      <x:c r="K72" s="12" t="n"/>
      <x:c r="L72" s="12" t="n"/>
      <x:c r="M72" s="12" t="n"/>
      <x:c r="N72" s="12" t="n"/>
      <x:c r="O72" s="12" t="n"/>
      <x:c r="P72" s="12" t="n"/>
      <x:c r="Q72" s="12" t="n"/>
      <x:c r="R72" s="12" t="n"/>
      <x:c r="S72" s="12" t="n"/>
      <x:c r="T72" s="12" t="n">
        <x:v>3</x:v>
      </x:c>
      <x:c r="U72" s="12" t="n">
        <x:v>15</x:v>
      </x:c>
      <x:c r="V72" s="12" t="n">
        <x:v>0.3</x:v>
      </x:c>
      <x:c r="W72" s="12" t="n">
        <x:v>1000000</x:v>
      </x:c>
      <x:c r="X72" s="12" t="inlineStr">
        <x:is>
          <x:t xml:space="preserve">https://artificialanalysis.ai/models/comparisons/mimo-v2-6-flash-vs-kimi-k3</x:t>
        </x:is>
      </x:c>
      <x:c r="Y72" s="12" t="inlineStr">
        <x:is>
          <x:t xml:space="preserve">AA current public page</x:t>
        </x:is>
      </x:c>
      <x:c r="Z72" s="12" t="inlineStr">
        <x:is>
          <x:t xml:space="preserve">Cost and score from AA MiMo/Kimi comparison.</x:t>
        </x:is>
      </x:c>
    </x:row>
    <x:row r="73">
      <x:c r="A73" s="12" t="inlineStr">
        <x:is>
          <x:t xml:space="preserve">google|gemini-4-argon|high|reasoning|fallback-na|aa-v4.3.2|snapshot-2026-10-04</x:t>
        </x:is>
      </x:c>
      <x:c r="B73" s="12" t="inlineStr">
        <x:is>
          <x:t xml:space="preserve">google|gemini-4-argon|high|reasoning|fallback-na</x:t>
        </x:is>
      </x:c>
      <x:c r="C73" s="12" t="inlineStr">
        <x:is>
          <x:t xml:space="preserve">Artificial Analysis Intelligence Index</x:t>
        </x:is>
      </x:c>
      <x:c r="D73" s="12" t="inlineStr">
        <x:is>
          <x:t xml:space="preserve">v4.3.2</x:t>
        </x:is>
      </x:c>
      <x:c r="E73" s="12" t="inlineStr">
        <x:is>
          <x:t xml:space="preserve">AA|v4.3.2</x:t>
        </x:is>
      </x:c>
      <x:c r="F73" s="12" t="n"/>
      <x:c r="G73" s="12" t="inlineStr">
        <x:is>
          <x:t xml:space="preserve">2026-10-04</x:t>
        </x:is>
      </x:c>
      <x:c r="H73" s="12" t="n">
        <x:v>53</x:v>
      </x:c>
      <x:c r="I73" s="12" t="n">
        <x:f>IF(H73="","",H73*H73)</x:f>
        <x:v>2809</x:v>
      </x:c>
      <x:c r="J73" s="12" t="n">
        <x:v>1.99</x:v>
      </x:c>
      <x:c r="K73" s="12" t="n"/>
      <x:c r="L73" s="12" t="n"/>
      <x:c r="M73" s="12" t="n"/>
      <x:c r="N73" s="12" t="n"/>
      <x:c r="O73" s="12" t="n"/>
      <x:c r="P73" s="12" t="n"/>
      <x:c r="Q73" s="12" t="n"/>
      <x:c r="R73" s="12" t="n"/>
      <x:c r="S73" s="12" t="n"/>
      <x:c r="T73" s="12" t="n">
        <x:v>2</x:v>
      </x:c>
      <x:c r="U73" s="12" t="n">
        <x:v>10</x:v>
      </x:c>
      <x:c r="V73" s="12" t="n">
        <x:v>0.1</x:v>
      </x:c>
      <x:c r="W73" s="12" t="n">
        <x:v>1000000</x:v>
      </x:c>
      <x:c r="X73" s="12" t="inlineStr">
        <x:is>
          <x:t xml:space="preserve">https://artificialanalysis.ai/models/gemini-4-argon/</x:t>
        </x:is>
      </x:c>
      <x:c r="Y73" s="12" t="inlineStr">
        <x:is>
          <x:t xml:space="preserve">AA current public page</x:t>
        </x:is>
      </x:c>
      <x:c r="Z73" s="12" t="inlineStr">
        <x:is>
          <x:t xml:space="preserve">Independent AA score and cost/task. Benchmark execution date, output speed, and latency are not published. Introductory price is vendor-announced; future $4/M input and $20/M output pricing is not treated as current.</x:t>
        </x:is>
      </x:c>
    </x:row>
    <x:row r="74">
      <x:c r="A74" s="12" t="inlineStr">
        <x:is>
          <x:t xml:space="preserve">openai|gpt-6-1-sol|low|reasoning|fallback-na|aa-v4.3.2|snapshot-2026-10-11</x:t>
        </x:is>
      </x:c>
      <x:c r="B74" s="12" t="inlineStr">
        <x:is>
          <x:t xml:space="preserve">openai|gpt-6-1-sol|low|reasoning|fallback-na</x:t>
        </x:is>
      </x:c>
      <x:c r="C74" s="12" t="inlineStr">
        <x:is>
          <x:t xml:space="preserve">Artificial Analysis Intelligence Index</x:t>
        </x:is>
      </x:c>
      <x:c r="D74" s="12" t="inlineStr">
        <x:is>
          <x:t xml:space="preserve">v4.3.2</x:t>
        </x:is>
      </x:c>
      <x:c r="E74" s="12" t="inlineStr">
        <x:is>
          <x:t xml:space="preserve">AA|v4.3.2</x:t>
        </x:is>
      </x:c>
      <x:c r="F74" s="12" t="n"/>
      <x:c r="G74" s="12" t="inlineStr">
        <x:is>
          <x:t xml:space="preserve">2026-10-11</x:t>
        </x:is>
      </x:c>
      <x:c r="H74" s="12" t="n">
        <x:v>42</x:v>
      </x:c>
      <x:c r="I74" s="12" t="n">
        <x:f>H74^2</x:f>
        <x:v>1764</x:v>
      </x:c>
      <x:c r="J74" s="12" t="n">
        <x:v>0.13</x:v>
      </x:c>
      <x:c r="K74" s="12" t="n"/>
      <x:c r="L74" s="12" t="n"/>
      <x:c r="M74" s="12" t="n"/>
      <x:c r="N74" s="12" t="n">
        <x:v>9000000</x:v>
      </x:c>
      <x:c r="O74" s="12" t="n">
        <x:v>52.4</x:v>
      </x:c>
      <x:c r="P74" s="12" t="n">
        <x:v>2.64</x:v>
      </x:c>
      <x:c r="Q74" s="12" t="n"/>
      <x:c r="R74" s="12" t="n"/>
      <x:c r="S74" s="12" t="n"/>
      <x:c r="T74" s="12" t="n">
        <x:v>2</x:v>
      </x:c>
      <x:c r="U74" s="12" t="n">
        <x:v>10</x:v>
      </x:c>
      <x:c r="V74" s="12" t="n">
        <x:v>0.1</x:v>
      </x:c>
      <x:c r="W74" s="12" t="n">
        <x:v>1000000</x:v>
      </x:c>
      <x:c r="X74" s="12" t="inlineStr">
        <x:is>
          <x:t xml:space="preserve">https://artificialanalysis.ai/models/gpt-6-1-sol-low</x:t>
        </x:is>
      </x:c>
      <x:c r="Y74" s="12" t="inlineStr">
        <x:is>
          <x:t xml:space="preserve">AA current public page</x:t>
        </x:is>
      </x:c>
      <x:c r="Z74" s="12" t="inlineStr">
        <x:is>
          <x:t xml:space="preserve">Snapshot of current AA page on 2026-10-11; benchmark evaluation date not disclosed. TTFT includes model reasoning time per AA methodology; do not conflate with first-answer latency.</x:t>
        </x:is>
      </x:c>
    </x:row>
    <x:row r="75">
      <x:c r="A75" s="12" t="inlineStr">
        <x:is>
          <x:t xml:space="preserve">openai|gpt-6-1-sol|medium|reasoning|fallback-na|aa-v4.3.2|snapshot-2026-10-11</x:t>
        </x:is>
      </x:c>
      <x:c r="B75" s="12" t="inlineStr">
        <x:is>
          <x:t xml:space="preserve">openai|gpt-6-1-sol|medium|reasoning|fallback-na</x:t>
        </x:is>
      </x:c>
      <x:c r="C75" s="12" t="inlineStr">
        <x:is>
          <x:t xml:space="preserve">Artificial Analysis Intelligence Index</x:t>
        </x:is>
      </x:c>
      <x:c r="D75" s="12" t="inlineStr">
        <x:is>
          <x:t xml:space="preserve">v4.3.2</x:t>
        </x:is>
      </x:c>
      <x:c r="E75" s="12" t="inlineStr">
        <x:is>
          <x:t xml:space="preserve">AA|v4.3.2</x:t>
        </x:is>
      </x:c>
      <x:c r="F75" s="12" t="n"/>
      <x:c r="G75" s="12" t="inlineStr">
        <x:is>
          <x:t xml:space="preserve">2026-10-11</x:t>
        </x:is>
      </x:c>
      <x:c r="H75" s="12" t="n">
        <x:v>48</x:v>
      </x:c>
      <x:c r="I75" s="12" t="n">
        <x:f>H75^2</x:f>
        <x:v>2304</x:v>
      </x:c>
      <x:c r="J75" s="12" t="n">
        <x:v>0.21</x:v>
      </x:c>
      <x:c r="K75" s="12" t="n"/>
      <x:c r="L75" s="12" t="n"/>
      <x:c r="M75" s="12" t="n"/>
      <x:c r="N75" s="12" t="n">
        <x:v>15000000</x:v>
      </x:c>
      <x:c r="O75" s="12" t="n">
        <x:v>52.6</x:v>
      </x:c>
      <x:c r="P75" s="12" t="n">
        <x:v>7.17</x:v>
      </x:c>
      <x:c r="Q75" s="12" t="n"/>
      <x:c r="R75" s="12" t="n"/>
      <x:c r="S75" s="12" t="n"/>
      <x:c r="T75" s="12" t="n">
        <x:v>2</x:v>
      </x:c>
      <x:c r="U75" s="12" t="n">
        <x:v>10</x:v>
      </x:c>
      <x:c r="V75" s="12" t="n">
        <x:v>0.1</x:v>
      </x:c>
      <x:c r="W75" s="12" t="n">
        <x:v>1000000</x:v>
      </x:c>
      <x:c r="X75" s="12" t="inlineStr">
        <x:is>
          <x:t xml:space="preserve">https://artificialanalysis.ai/models/gpt-6-1-sol-medium</x:t>
        </x:is>
      </x:c>
      <x:c r="Y75" s="12" t="inlineStr">
        <x:is>
          <x:t xml:space="preserve">AA current public page</x:t>
        </x:is>
      </x:c>
      <x:c r="Z75" s="12" t="inlineStr">
        <x:is>
          <x:t xml:space="preserve">Snapshot of current AA page on 2026-10-11; benchmark evaluation date not disclosed. TTFT includes model reasoning time per AA methodology; do not conflate with first-answer latency.</x:t>
        </x:is>
      </x:c>
    </x:row>
    <x:row r="76">
      <x:c r="A76" s="12" t="inlineStr">
        <x:is>
          <x:t xml:space="preserve">openai|gpt-6-1-sol|high|reasoning|fallback-na|aa-v4.3.2|snapshot-2026-10-11</x:t>
        </x:is>
      </x:c>
      <x:c r="B76" s="12" t="inlineStr">
        <x:is>
          <x:t xml:space="preserve">openai|gpt-6-1-sol|high|reasoning|fallback-na</x:t>
        </x:is>
      </x:c>
      <x:c r="C76" s="12" t="inlineStr">
        <x:is>
          <x:t xml:space="preserve">Artificial Analysis Intelligence Index</x:t>
        </x:is>
      </x:c>
      <x:c r="D76" s="12" t="inlineStr">
        <x:is>
          <x:t xml:space="preserve">v4.3.2</x:t>
        </x:is>
      </x:c>
      <x:c r="E76" s="12" t="inlineStr">
        <x:is>
          <x:t xml:space="preserve">AA|v4.3.2</x:t>
        </x:is>
      </x:c>
      <x:c r="F76" s="12" t="n"/>
      <x:c r="G76" s="12" t="inlineStr">
        <x:is>
          <x:t xml:space="preserve">2026-10-11</x:t>
        </x:is>
      </x:c>
      <x:c r="H76" s="12" t="n">
        <x:v>50</x:v>
      </x:c>
      <x:c r="I76" s="12" t="n">
        <x:f>H76^2</x:f>
        <x:v>2500</x:v>
      </x:c>
      <x:c r="J76" s="12" t="n">
        <x:v>0.32</x:v>
      </x:c>
      <x:c r="K76" s="12" t="n"/>
      <x:c r="L76" s="12" t="n"/>
      <x:c r="M76" s="12" t="n"/>
      <x:c r="N76" s="12" t="n">
        <x:v>25000000</x:v>
      </x:c>
      <x:c r="O76" s="12" t="n">
        <x:v>56.9</x:v>
      </x:c>
      <x:c r="P76" s="12" t="n">
        <x:v>62.98</x:v>
      </x:c>
      <x:c r="Q76" s="12" t="n"/>
      <x:c r="R76" s="12" t="n"/>
      <x:c r="S76" s="12" t="n"/>
      <x:c r="T76" s="12" t="n">
        <x:v>2</x:v>
      </x:c>
      <x:c r="U76" s="12" t="n">
        <x:v>10</x:v>
      </x:c>
      <x:c r="V76" s="12" t="n">
        <x:v>0.1</x:v>
      </x:c>
      <x:c r="W76" s="12" t="n">
        <x:v>1000000</x:v>
      </x:c>
      <x:c r="X76" s="12" t="inlineStr">
        <x:is>
          <x:t xml:space="preserve">https://artificialanalysis.ai/models/gpt-6-1-sol-high</x:t>
        </x:is>
      </x:c>
      <x:c r="Y76" s="12" t="inlineStr">
        <x:is>
          <x:t xml:space="preserve">AA current public page</x:t>
        </x:is>
      </x:c>
      <x:c r="Z76" s="12" t="inlineStr">
        <x:is>
          <x:t xml:space="preserve">Snapshot of current AA page on 2026-10-11; benchmark evaluation date not disclosed. TTFT includes model reasoning time per AA methodology; do not conflate with first-answer latency.</x:t>
        </x:is>
      </x:c>
    </x:row>
    <x:row r="77">
      <x:c r="A77" s="12" t="inlineStr">
        <x:is>
          <x:t xml:space="preserve">openai|gpt-6-1-sol|xhigh|reasoning|fallback-na|aa-v4.3.2|snapshot-2026-10-11</x:t>
        </x:is>
      </x:c>
      <x:c r="B77" s="12" t="inlineStr">
        <x:is>
          <x:t xml:space="preserve">openai|gpt-6-1-sol|xhigh|reasoning|fallback-na</x:t>
        </x:is>
      </x:c>
      <x:c r="C77" s="12" t="inlineStr">
        <x:is>
          <x:t xml:space="preserve">Artificial Analysis Intelligence Index</x:t>
        </x:is>
      </x:c>
      <x:c r="D77" s="12" t="inlineStr">
        <x:is>
          <x:t xml:space="preserve">v4.3.2</x:t>
        </x:is>
      </x:c>
      <x:c r="E77" s="12" t="inlineStr">
        <x:is>
          <x:t xml:space="preserve">AA|v4.3.2</x:t>
        </x:is>
      </x:c>
      <x:c r="F77" s="12" t="n"/>
      <x:c r="G77" s="12" t="inlineStr">
        <x:is>
          <x:t xml:space="preserve">2026-10-11</x:t>
        </x:is>
      </x:c>
      <x:c r="H77" s="12" t="n">
        <x:v>51</x:v>
      </x:c>
      <x:c r="I77" s="12" t="n">
        <x:f>H77^2</x:f>
        <x:v>2601</x:v>
      </x:c>
      <x:c r="J77" s="12" t="n">
        <x:v>0.39</x:v>
      </x:c>
      <x:c r="K77" s="12" t="n"/>
      <x:c r="L77" s="12" t="n"/>
      <x:c r="M77" s="12" t="n"/>
      <x:c r="N77" s="12" t="n">
        <x:v>36000000</x:v>
      </x:c>
      <x:c r="O77" s="12" t="n">
        <x:v>57.7</x:v>
      </x:c>
      <x:c r="P77" s="12" t="n">
        <x:v>173.4</x:v>
      </x:c>
      <x:c r="Q77" s="12" t="n"/>
      <x:c r="R77" s="12" t="n"/>
      <x:c r="S77" s="12" t="n"/>
      <x:c r="T77" s="12" t="n">
        <x:v>2</x:v>
      </x:c>
      <x:c r="U77" s="12" t="n">
        <x:v>10</x:v>
      </x:c>
      <x:c r="V77" s="12" t="n">
        <x:v>0.1</x:v>
      </x:c>
      <x:c r="W77" s="12" t="n">
        <x:v>1000000</x:v>
      </x:c>
      <x:c r="X77" s="12" t="inlineStr">
        <x:is>
          <x:t xml:space="preserve">https://artificialanalysis.ai/models/gpt-6-1-sol-xhigh</x:t>
        </x:is>
      </x:c>
      <x:c r="Y77" s="12" t="inlineStr">
        <x:is>
          <x:t xml:space="preserve">AA current public page</x:t>
        </x:is>
      </x:c>
      <x:c r="Z77" s="12" t="inlineStr">
        <x:is>
          <x:t xml:space="preserve">Snapshot of current AA page on 2026-10-11; benchmark evaluation date not disclosed. TTFT includes model reasoning time per AA methodology; do not conflate with first-answer latency.</x:t>
        </x:is>
      </x:c>
    </x:row>
    <x:row r="78">
      <x:c r="A78" s="12" t="inlineStr">
        <x:is>
          <x:t xml:space="preserve">openai|gpt-6-1-sol|max|reasoning|fallback-na|aa-v4.3.2|snapshot-2026-10-11</x:t>
        </x:is>
      </x:c>
      <x:c r="B78" s="12" t="inlineStr">
        <x:is>
          <x:t xml:space="preserve">openai|gpt-6-1-sol|max|reasoning|fallback-na</x:t>
        </x:is>
      </x:c>
      <x:c r="C78" s="12" t="inlineStr">
        <x:is>
          <x:t xml:space="preserve">Artificial Analysis Intelligence Index</x:t>
        </x:is>
      </x:c>
      <x:c r="D78" s="12" t="inlineStr">
        <x:is>
          <x:t xml:space="preserve">v4.3.2</x:t>
        </x:is>
      </x:c>
      <x:c r="E78" s="12" t="inlineStr">
        <x:is>
          <x:t xml:space="preserve">AA|v4.3.2</x:t>
        </x:is>
      </x:c>
      <x:c r="F78" s="12" t="n"/>
      <x:c r="G78" s="12" t="inlineStr">
        <x:is>
          <x:t xml:space="preserve">2026-10-11</x:t>
        </x:is>
      </x:c>
      <x:c r="H78" s="12" t="n">
        <x:v>52</x:v>
      </x:c>
      <x:c r="I78" s="12" t="n">
        <x:f>H78^2</x:f>
        <x:v>2704</x:v>
      </x:c>
      <x:c r="J78" s="12" t="n">
        <x:v>0.72</x:v>
      </x:c>
      <x:c r="K78" s="12" t="n"/>
      <x:c r="L78" s="12" t="n"/>
      <x:c r="M78" s="12" t="n"/>
      <x:c r="N78" s="12" t="n">
        <x:v>67000000</x:v>
      </x:c>
      <x:c r="O78" s="12" t="n">
        <x:v>62.7</x:v>
      </x:c>
      <x:c r="P78" s="12" t="n">
        <x:v>321.33</x:v>
      </x:c>
      <x:c r="Q78" s="12" t="n"/>
      <x:c r="R78" s="12" t="n"/>
      <x:c r="S78" s="12" t="n"/>
      <x:c r="T78" s="12" t="n">
        <x:v>2</x:v>
      </x:c>
      <x:c r="U78" s="12" t="n">
        <x:v>10</x:v>
      </x:c>
      <x:c r="V78" s="12" t="n">
        <x:v>0.1</x:v>
      </x:c>
      <x:c r="W78" s="12" t="n">
        <x:v>1000000</x:v>
      </x:c>
      <x:c r="X78" s="12" t="inlineStr">
        <x:is>
          <x:t xml:space="preserve">https://artificialanalysis.ai/models/gpt-6-1-sol</x:t>
        </x:is>
      </x:c>
      <x:c r="Y78" s="12" t="inlineStr">
        <x:is>
          <x:t xml:space="preserve">AA current public page</x:t>
        </x:is>
      </x:c>
      <x:c r="Z78" s="12" t="inlineStr">
        <x:is>
          <x:t xml:space="preserve">Snapshot of current AA page on 2026-10-11; benchmark evaluation date not disclosed. TTFT includes model reasoning time per AA methodology; do not conflate with first-answer latency.</x:t>
        </x:is>
      </x:c>
    </x:row>
    <x:row r="79">
      <x:c r="A79" s="12" t="inlineStr">
        <x:is>
          <x:t xml:space="preserve">anthropic|claude-haiku-5-5|low|reasoning|fallback-na|aa-v4.3.2|snapshot-2026-10-11</x:t>
        </x:is>
      </x:c>
      <x:c r="B79" s="12" t="inlineStr">
        <x:is>
          <x:t xml:space="preserve">anthropic|claude-haiku-5-5|low|reasoning|fallback-na</x:t>
        </x:is>
      </x:c>
      <x:c r="C79" s="12" t="inlineStr">
        <x:is>
          <x:t xml:space="preserve">Artificial Analysis Intelligence Index</x:t>
        </x:is>
      </x:c>
      <x:c r="D79" s="12" t="inlineStr">
        <x:is>
          <x:t xml:space="preserve">v4.3.2</x:t>
        </x:is>
      </x:c>
      <x:c r="E79" s="12" t="inlineStr">
        <x:is>
          <x:t xml:space="preserve">AA|v4.3.2</x:t>
        </x:is>
      </x:c>
      <x:c r="F79" s="12" t="n"/>
      <x:c r="G79" s="12" t="inlineStr">
        <x:is>
          <x:t xml:space="preserve">2026-10-11</x:t>
        </x:is>
      </x:c>
      <x:c r="H79" s="12" t="n">
        <x:v>29</x:v>
      </x:c>
      <x:c r="I79" s="12" t="n">
        <x:f>H79^2</x:f>
        <x:v>841</x:v>
      </x:c>
      <x:c r="J79" s="12" t="n">
        <x:v>0.02</x:v>
      </x:c>
      <x:c r="K79" s="12" t="n"/>
      <x:c r="L79" s="12" t="n"/>
      <x:c r="M79" s="12" t="n"/>
      <x:c r="N79" s="12" t="n">
        <x:v>32000000</x:v>
      </x:c>
      <x:c r="O79" s="12" t="n">
        <x:v>175.6</x:v>
      </x:c>
      <x:c r="P79" s="12" t="n">
        <x:v>9.51</x:v>
      </x:c>
      <x:c r="Q79" s="12" t="n"/>
      <x:c r="R79" s="12" t="n"/>
      <x:c r="S79" s="12" t="n"/>
      <x:c r="T79" s="12" t="n">
        <x:v>0.1</x:v>
      </x:c>
      <x:c r="U79" s="12" t="n">
        <x:v>0.5</x:v>
      </x:c>
      <x:c r="V79" s="12" t="n">
        <x:v>0.01</x:v>
      </x:c>
      <x:c r="W79" s="12" t="n">
        <x:v>1000000</x:v>
      </x:c>
      <x:c r="X79" s="12" t="inlineStr">
        <x:is>
          <x:t xml:space="preserve">https://artificialanalysis.ai/models/claude-haiku-5-5-low</x:t>
        </x:is>
      </x:c>
      <x:c r="Y79" s="12" t="inlineStr">
        <x:is>
          <x:t xml:space="preserve">AA current public page</x:t>
        </x:is>
      </x:c>
      <x:c r="Z79" s="12" t="inlineStr">
        <x:is>
          <x:t xml:space="preserve">Snapshot of current AA page on 2026-10-11; benchmark evaluation date not disclosed. TTFT includes model reasoning time per AA methodology.</x:t>
        </x:is>
      </x:c>
    </x:row>
    <x:row r="80">
      <x:c r="A80" s="12" t="inlineStr">
        <x:is>
          <x:t xml:space="preserve">anthropic|claude-haiku-5-5|medium|reasoning|fallback-na|aa-v4.3.2|snapshot-2026-10-11</x:t>
        </x:is>
      </x:c>
      <x:c r="B80" s="12" t="inlineStr">
        <x:is>
          <x:t xml:space="preserve">anthropic|claude-haiku-5-5|medium|reasoning|fallback-na</x:t>
        </x:is>
      </x:c>
      <x:c r="C80" s="12" t="inlineStr">
        <x:is>
          <x:t xml:space="preserve">Artificial Analysis Intelligence Index</x:t>
        </x:is>
      </x:c>
      <x:c r="D80" s="12" t="inlineStr">
        <x:is>
          <x:t xml:space="preserve">v4.3.2</x:t>
        </x:is>
      </x:c>
      <x:c r="E80" s="12" t="inlineStr">
        <x:is>
          <x:t xml:space="preserve">AA|v4.3.2</x:t>
        </x:is>
      </x:c>
      <x:c r="F80" s="12" t="n"/>
      <x:c r="G80" s="12" t="inlineStr">
        <x:is>
          <x:t xml:space="preserve">2026-10-11</x:t>
        </x:is>
      </x:c>
      <x:c r="H80" s="12" t="n">
        <x:v>34</x:v>
      </x:c>
      <x:c r="I80" s="12" t="n">
        <x:f>H80^2</x:f>
        <x:v>1156</x:v>
      </x:c>
      <x:c r="J80" s="12" t="n">
        <x:v>0.05</x:v>
      </x:c>
      <x:c r="K80" s="12" t="n"/>
      <x:c r="L80" s="12" t="n"/>
      <x:c r="M80" s="12" t="n"/>
      <x:c r="N80" s="12" t="n">
        <x:v>54000000</x:v>
      </x:c>
      <x:c r="O80" s="12" t="n">
        <x:v>168.7</x:v>
      </x:c>
      <x:c r="P80" s="12" t="n">
        <x:v>14.68</x:v>
      </x:c>
      <x:c r="Q80" s="12" t="n"/>
      <x:c r="R80" s="12" t="n"/>
      <x:c r="S80" s="12" t="n"/>
      <x:c r="T80" s="12" t="n">
        <x:v>0.1</x:v>
      </x:c>
      <x:c r="U80" s="12" t="n">
        <x:v>0.5</x:v>
      </x:c>
      <x:c r="V80" s="12" t="n">
        <x:v>0.01</x:v>
      </x:c>
      <x:c r="W80" s="12" t="n">
        <x:v>1000000</x:v>
      </x:c>
      <x:c r="X80" s="12" t="inlineStr">
        <x:is>
          <x:t xml:space="preserve">https://artificialanalysis.ai/models/claude-haiku-5-5-medium</x:t>
        </x:is>
      </x:c>
      <x:c r="Y80" s="12" t="inlineStr">
        <x:is>
          <x:t xml:space="preserve">AA current public page</x:t>
        </x:is>
      </x:c>
      <x:c r="Z80" s="12" t="inlineStr">
        <x:is>
          <x:t xml:space="preserve">Snapshot of current AA page on 2026-10-11; benchmark evaluation date not disclosed. TTFT includes model reasoning time per AA methodology.</x:t>
        </x:is>
      </x:c>
    </x:row>
    <x:row r="81">
      <x:c r="A81" s="12" t="inlineStr">
        <x:is>
          <x:t xml:space="preserve">anthropic|claude-haiku-5-5|high|reasoning|fallback-na|aa-v4.3.2|snapshot-2026-10-11</x:t>
        </x:is>
      </x:c>
      <x:c r="B81" s="12" t="inlineStr">
        <x:is>
          <x:t xml:space="preserve">anthropic|claude-haiku-5-5|high|reasoning|fallback-na</x:t>
        </x:is>
      </x:c>
      <x:c r="C81" s="12" t="inlineStr">
        <x:is>
          <x:t xml:space="preserve">Artificial Analysis Intelligence Index</x:t>
        </x:is>
      </x:c>
      <x:c r="D81" s="12" t="inlineStr">
        <x:is>
          <x:t xml:space="preserve">v4.3.2</x:t>
        </x:is>
      </x:c>
      <x:c r="E81" s="12" t="inlineStr">
        <x:is>
          <x:t xml:space="preserve">AA|v4.3.2</x:t>
        </x:is>
      </x:c>
      <x:c r="F81" s="12" t="n"/>
      <x:c r="G81" s="12" t="inlineStr">
        <x:is>
          <x:t xml:space="preserve">2026-10-11</x:t>
        </x:is>
      </x:c>
      <x:c r="H81" s="12" t="n">
        <x:v>38</x:v>
      </x:c>
      <x:c r="I81" s="12" t="n">
        <x:f>H81^2</x:f>
        <x:v>1444</x:v>
      </x:c>
      <x:c r="J81" s="12" t="n">
        <x:v>0.08</x:v>
      </x:c>
      <x:c r="K81" s="12" t="n"/>
      <x:c r="L81" s="12" t="n"/>
      <x:c r="M81" s="12" t="n"/>
      <x:c r="N81" s="12" t="n">
        <x:v>97000000</x:v>
      </x:c>
      <x:c r="O81" s="12" t="n">
        <x:v>176.4</x:v>
      </x:c>
      <x:c r="P81" s="12" t="n">
        <x:v>23.81</x:v>
      </x:c>
      <x:c r="Q81" s="12" t="n"/>
      <x:c r="R81" s="12" t="n"/>
      <x:c r="S81" s="12" t="n"/>
      <x:c r="T81" s="12" t="n">
        <x:v>0.1</x:v>
      </x:c>
      <x:c r="U81" s="12" t="n">
        <x:v>0.5</x:v>
      </x:c>
      <x:c r="V81" s="12" t="n">
        <x:v>0.01</x:v>
      </x:c>
      <x:c r="W81" s="12" t="n">
        <x:v>1000000</x:v>
      </x:c>
      <x:c r="X81" s="12" t="inlineStr">
        <x:is>
          <x:t xml:space="preserve">https://artificialanalysis.ai/models/claude-haiku-5-5-high</x:t>
        </x:is>
      </x:c>
      <x:c r="Y81" s="12" t="inlineStr">
        <x:is>
          <x:t xml:space="preserve">AA current public page</x:t>
        </x:is>
      </x:c>
      <x:c r="Z81" s="12" t="inlineStr">
        <x:is>
          <x:t xml:space="preserve">Snapshot of current AA page on 2026-10-11; benchmark evaluation date not disclosed. TTFT includes model reasoning time per AA methodology.</x:t>
        </x:is>
      </x:c>
    </x:row>
    <x:row r="82">
      <x:c r="A82" s="12" t="inlineStr">
        <x:is>
          <x:t xml:space="preserve">anthropic|claude-haiku-5-5|xhigh|reasoning|fallback-na|aa-v4.3.2|snapshot-2026-10-11</x:t>
        </x:is>
      </x:c>
      <x:c r="B82" s="12" t="inlineStr">
        <x:is>
          <x:t xml:space="preserve">anthropic|claude-haiku-5-5|xhigh|reasoning|fallback-na</x:t>
        </x:is>
      </x:c>
      <x:c r="C82" s="12" t="inlineStr">
        <x:is>
          <x:t xml:space="preserve">Artificial Analysis Intelligence Index</x:t>
        </x:is>
      </x:c>
      <x:c r="D82" s="12" t="inlineStr">
        <x:is>
          <x:t xml:space="preserve">v4.3.2</x:t>
        </x:is>
      </x:c>
      <x:c r="E82" s="12" t="inlineStr">
        <x:is>
          <x:t xml:space="preserve">AA|v4.3.2</x:t>
        </x:is>
      </x:c>
      <x:c r="F82" s="12" t="n"/>
      <x:c r="G82" s="12" t="inlineStr">
        <x:is>
          <x:t xml:space="preserve">2026-10-11</x:t>
        </x:is>
      </x:c>
      <x:c r="H82" s="12" t="n">
        <x:v>41</x:v>
      </x:c>
      <x:c r="I82" s="12" t="n">
        <x:f>H82^2</x:f>
        <x:v>1681</x:v>
      </x:c>
      <x:c r="J82" s="12" t="n">
        <x:v>0.12</x:v>
      </x:c>
      <x:c r="K82" s="12" t="n"/>
      <x:c r="L82" s="12" t="n"/>
      <x:c r="M82" s="12" t="n"/>
      <x:c r="N82" s="12" t="n">
        <x:v>180000000</x:v>
      </x:c>
      <x:c r="O82" s="12" t="n">
        <x:v>192</x:v>
      </x:c>
      <x:c r="P82" s="12" t="n">
        <x:v>64.11</x:v>
      </x:c>
      <x:c r="Q82" s="12" t="n"/>
      <x:c r="R82" s="12" t="n"/>
      <x:c r="S82" s="12" t="n"/>
      <x:c r="T82" s="12" t="n">
        <x:v>0.1</x:v>
      </x:c>
      <x:c r="U82" s="12" t="n">
        <x:v>0.5</x:v>
      </x:c>
      <x:c r="V82" s="12" t="n">
        <x:v>0.01</x:v>
      </x:c>
      <x:c r="W82" s="12" t="n">
        <x:v>1000000</x:v>
      </x:c>
      <x:c r="X82" s="12" t="inlineStr">
        <x:is>
          <x:t xml:space="preserve">https://artificialanalysis.ai/models/claude-haiku-5-5-xhigh</x:t>
        </x:is>
      </x:c>
      <x:c r="Y82" s="12" t="inlineStr">
        <x:is>
          <x:t xml:space="preserve">AA current public page</x:t>
        </x:is>
      </x:c>
      <x:c r="Z82" s="12" t="inlineStr">
        <x:is>
          <x:t xml:space="preserve">Snapshot of current AA page on 2026-10-11; benchmark evaluation date not disclosed. TTFT includes model reasoning time per AA methodology.</x:t>
        </x:is>
      </x:c>
    </x:row>
    <x:row r="83">
      <x:c r="A83" s="12" t="inlineStr">
        <x:is>
          <x:t xml:space="preserve">anthropic|claude-haiku-5-5|max|reasoning|fallback-na|aa-v4.3.2|snapshot-2026-10-11</x:t>
        </x:is>
      </x:c>
      <x:c r="B83" s="12" t="inlineStr">
        <x:is>
          <x:t xml:space="preserve">anthropic|claude-haiku-5-5|max|reasoning|fallback-na</x:t>
        </x:is>
      </x:c>
      <x:c r="C83" s="12" t="inlineStr">
        <x:is>
          <x:t xml:space="preserve">Artificial Analysis Intelligence Index</x:t>
        </x:is>
      </x:c>
      <x:c r="D83" s="12" t="inlineStr">
        <x:is>
          <x:t xml:space="preserve">v4.3.2</x:t>
        </x:is>
      </x:c>
      <x:c r="E83" s="12" t="inlineStr">
        <x:is>
          <x:t xml:space="preserve">AA|v4.3.2</x:t>
        </x:is>
      </x:c>
      <x:c r="F83" s="12" t="n"/>
      <x:c r="G83" s="12" t="inlineStr">
        <x:is>
          <x:t xml:space="preserve">2026-10-11</x:t>
        </x:is>
      </x:c>
      <x:c r="H83" s="12" t="n">
        <x:v>43</x:v>
      </x:c>
      <x:c r="I83" s="12" t="n">
        <x:f>H83^2</x:f>
        <x:v>1849</x:v>
      </x:c>
      <x:c r="J83" s="12" t="n">
        <x:v>0.21</x:v>
      </x:c>
      <x:c r="K83" s="12" t="n"/>
      <x:c r="L83" s="12" t="n"/>
      <x:c r="M83" s="12" t="n"/>
      <x:c r="N83" s="12" t="n">
        <x:v>440000000</x:v>
      </x:c>
      <x:c r="O83" s="12" t="n">
        <x:v>233.6</x:v>
      </x:c>
      <x:c r="P83" s="12" t="n">
        <x:v>305.8</x:v>
      </x:c>
      <x:c r="Q83" s="12" t="n"/>
      <x:c r="R83" s="12" t="n"/>
      <x:c r="S83" s="12" t="n"/>
      <x:c r="T83" s="12" t="n">
        <x:v>0.1</x:v>
      </x:c>
      <x:c r="U83" s="12" t="n">
        <x:v>0.5</x:v>
      </x:c>
      <x:c r="V83" s="12" t="n">
        <x:v>0.01</x:v>
      </x:c>
      <x:c r="W83" s="12" t="n">
        <x:v>1000000</x:v>
      </x:c>
      <x:c r="X83" s="12" t="inlineStr">
        <x:is>
          <x:t xml:space="preserve">https://artificialanalysis.ai/models/claude-haiku-5-5</x:t>
        </x:is>
      </x:c>
      <x:c r="Y83" s="12" t="inlineStr">
        <x:is>
          <x:t xml:space="preserve">AA current public page</x:t>
        </x:is>
      </x:c>
      <x:c r="Z83" s="12" t="inlineStr">
        <x:is>
          <x:t xml:space="preserve">Snapshot of current AA page on 2026-10-11; benchmark evaluation date not disclosed. TTFT includes model reasoning time per AA methodology.</x:t>
        </x:is>
      </x:c>
    </x:row>
    <x:row r="84">
      <x:c r="A84" s="12" t="inlineStr">
        <x:is>
          <x:t xml:space="preserve">mistral|mistral-large-4-preview|reasoning|reasoning|fallback-na|aa-v4.3.2|snapshot-2026-10-11</x:t>
        </x:is>
      </x:c>
      <x:c r="B84" s="12" t="inlineStr">
        <x:is>
          <x:t xml:space="preserve">mistral|mistral-large-4-preview|reasoning|reasoning|fallback-na</x:t>
        </x:is>
      </x:c>
      <x:c r="C84" s="12" t="inlineStr">
        <x:is>
          <x:t xml:space="preserve">Artificial Analysis Intelligence Index</x:t>
        </x:is>
      </x:c>
      <x:c r="D84" s="12" t="inlineStr">
        <x:is>
          <x:t xml:space="preserve">v4.3.2</x:t>
        </x:is>
      </x:c>
      <x:c r="E84" s="12" t="inlineStr">
        <x:is>
          <x:t xml:space="preserve">AA|v4.3.2</x:t>
        </x:is>
      </x:c>
      <x:c r="F84" s="12" t="n"/>
      <x:c r="G84" s="12" t="inlineStr">
        <x:is>
          <x:t xml:space="preserve">2026-10-11</x:t>
        </x:is>
      </x:c>
      <x:c r="H84" s="12" t="n">
        <x:v>38</x:v>
      </x:c>
      <x:c r="I84" s="12" t="n">
        <x:f>H84^2</x:f>
        <x:v>1444</x:v>
      </x:c>
      <x:c r="J84" s="12" t="n">
        <x:v>1.13</x:v>
      </x:c>
      <x:c r="K84" s="12" t="n"/>
      <x:c r="L84" s="12" t="n"/>
      <x:c r="M84" s="12" t="n"/>
      <x:c r="N84" s="12" t="n">
        <x:v>200000000</x:v>
      </x:c>
      <x:c r="O84" s="12" t="n"/>
      <x:c r="P84" s="12" t="n"/>
      <x:c r="Q84" s="12" t="n"/>
      <x:c r="R84" s="12" t="n"/>
      <x:c r="S84" s="12" t="n"/>
      <x:c r="T84" s="12" t="n">
        <x:v>1.36</x:v>
      </x:c>
      <x:c r="U84" s="12" t="n">
        <x:v>4.18</x:v>
      </x:c>
      <x:c r="V84" s="12" t="n">
        <x:v>0.136</x:v>
      </x:c>
      <x:c r="W84" s="12" t="n">
        <x:v>524000</x:v>
      </x:c>
      <x:c r="X84" s="12" t="inlineStr">
        <x:is>
          <x:t xml:space="preserve">https://artificialanalysis.ai/models/mistral-large-4/</x:t>
        </x:is>
      </x:c>
      <x:c r="Y84" s="12" t="inlineStr">
        <x:is>
          <x:t xml:space="preserve">AA current public page</x:t>
        </x:is>
      </x:c>
      <x:c r="Z84" s="12" t="inlineStr">
        <x:is>
          <x:t xml:space="preserve">Snapshot of current AA v4.3.2 page on 2026-10-11; public preview. Output speed/latency and benchmark execution date unavailable. AA summary reports 524k context, FAQ rounds to 520k; discrepancy is tracked.</x:t>
        </x:is>
      </x:c>
    </x:row>
    <x:row r="85">
      <x:c r="A85" s="12" t="inlineStr">
        <x:is>
          <x:t xml:space="preserve">spacexai|grok-4-7|xhigh|reasoning|fallback-na|aa-v4.3.2|snapshot-2026-10-11</x:t>
        </x:is>
      </x:c>
      <x:c r="B85" s="12" t="inlineStr">
        <x:is>
          <x:t xml:space="preserve">spacexai|grok-4-7|xhigh|reasoning|fallback-na</x:t>
        </x:is>
      </x:c>
      <x:c r="C85" s="12" t="inlineStr">
        <x:is>
          <x:t xml:space="preserve">Artificial Analysis Intelligence Index</x:t>
        </x:is>
      </x:c>
      <x:c r="D85" s="12" t="inlineStr">
        <x:is>
          <x:t xml:space="preserve">v4.3.2</x:t>
        </x:is>
      </x:c>
      <x:c r="E85" s="12" t="inlineStr">
        <x:is>
          <x:t xml:space="preserve">AA|v4.3.2</x:t>
        </x:is>
      </x:c>
      <x:c r="F85" s="12" t="n"/>
      <x:c r="G85" s="12" t="inlineStr">
        <x:is>
          <x:t xml:space="preserve">2026-10-11</x:t>
        </x:is>
      </x:c>
      <x:c r="H85" s="12" t="n">
        <x:v>46</x:v>
      </x:c>
      <x:c r="I85" s="12" t="n">
        <x:f>H85^2</x:f>
        <x:v>2116</x:v>
      </x:c>
      <x:c r="J85" s="12" t="n">
        <x:v>3.74</x:v>
      </x:c>
      <x:c r="K85" s="12" t="n"/>
      <x:c r="L85" s="12" t="n"/>
      <x:c r="M85" s="12" t="n"/>
      <x:c r="N85" s="12" t="n">
        <x:v>240000000</x:v>
      </x:c>
      <x:c r="O85" s="12" t="n">
        <x:v>80.59999999999999</x:v>
      </x:c>
      <x:c r="P85" s="12" t="n"/>
      <x:c r="Q85" s="12" t="n"/>
      <x:c r="R85" s="12" t="n"/>
      <x:c r="S85" s="12" t="n"/>
      <x:c r="T85" s="12" t="n">
        <x:v>2</x:v>
      </x:c>
      <x:c r="U85" s="12" t="n">
        <x:v>6</x:v>
      </x:c>
      <x:c r="V85" s="12" t="n">
        <x:v>0.5</x:v>
      </x:c>
      <x:c r="W85" s="12" t="n">
        <x:v>500000</x:v>
      </x:c>
      <x:c r="X85" s="12" t="inlineStr">
        <x:is>
          <x:t xml:space="preserve">https://artificialanalysis.ai/models/grok-4-7</x:t>
        </x:is>
      </x:c>
      <x:c r="Y85" s="12" t="inlineStr">
        <x:is>
          <x:t xml:space="preserve">AA current public page</x:t>
        </x:is>
      </x:c>
      <x:c r="Z85" s="12" t="inlineStr">
        <x:is>
          <x:t xml:space="preserve">Snapshot of current AA v4.3.2 page on 2026-10-11; xhigh effort. Latency and benchmark execution date unavailable.</x:t>
        </x:is>
      </x:c>
    </x:row>
    <x:row r="86">
      <x:c r="A86" s="12" t="inlineStr">
        <x:is>
          <x:t xml:space="preserve">upstage|solar-mini-4|reasoning|reasoning|fallback-na|aa-v4.3.2|snapshot-2026-10-11</x:t>
        </x:is>
      </x:c>
      <x:c r="B86" s="12" t="inlineStr">
        <x:is>
          <x:t xml:space="preserve">upstage|solar-mini-4|reasoning|reasoning|fallback-na</x:t>
        </x:is>
      </x:c>
      <x:c r="C86" s="12" t="inlineStr">
        <x:is>
          <x:t xml:space="preserve">Artificial Analysis Intelligence Index</x:t>
        </x:is>
      </x:c>
      <x:c r="D86" s="12" t="inlineStr">
        <x:is>
          <x:t xml:space="preserve">v4.3.2</x:t>
        </x:is>
      </x:c>
      <x:c r="E86" s="12" t="inlineStr">
        <x:is>
          <x:t xml:space="preserve">AA|v4.3.2</x:t>
        </x:is>
      </x:c>
      <x:c r="F86" s="12" t="n"/>
      <x:c r="G86" s="12" t="inlineStr">
        <x:is>
          <x:t xml:space="preserve">2026-10-11</x:t>
        </x:is>
      </x:c>
      <x:c r="H86" s="12" t="n">
        <x:v>24</x:v>
      </x:c>
      <x:c r="I86" s="12" t="n">
        <x:f>H86^2</x:f>
        <x:v>576</x:v>
      </x:c>
      <x:c r="J86" s="12" t="n">
        <x:v>0.37</x:v>
      </x:c>
      <x:c r="K86" s="12" t="n"/>
      <x:c r="L86" s="12" t="n"/>
      <x:c r="M86" s="12" t="n"/>
      <x:c r="N86" s="12" t="n">
        <x:v>370000000</x:v>
      </x:c>
      <x:c r="O86" s="12" t="n">
        <x:v>64.40000000000001</x:v>
      </x:c>
      <x:c r="P86" s="12" t="n">
        <x:v>1.79</x:v>
      </x:c>
      <x:c r="Q86" s="12" t="n"/>
      <x:c r="R86" s="12" t="n"/>
      <x:c r="S86" s="12" t="n"/>
      <x:c r="T86" s="12" t="n">
        <x:v>0.1</x:v>
      </x:c>
      <x:c r="U86" s="12" t="n">
        <x:v>0.4</x:v>
      </x:c>
      <x:c r="V86" s="12" t="n">
        <x:v>0.01</x:v>
      </x:c>
      <x:c r="W86" s="12" t="n">
        <x:v>1000000</x:v>
      </x:c>
      <x:c r="X86" s="12" t="inlineStr">
        <x:is>
          <x:t xml:space="preserve">https://artificialanalysis.ai/models/solar-mini4</x:t>
        </x:is>
      </x:c>
      <x:c r="Y86" s="12" t="inlineStr">
        <x:is>
          <x:t xml:space="preserve">AA current public page</x:t>
        </x:is>
      </x:c>
      <x:c r="Z86" s="12" t="inlineStr">
        <x:is>
          <x:t xml:space="preserve">Snapshot of current AA v4.3.2 page on 2026-10-11. Context conflict: AA says 1M while Upstage official page says 512K; follow-up open. Benchmark evaluation date not disclosed.</x:t>
        </x:is>
      </x:c>
    </x:row>
    <x:row r="87">
      <x:c r="A87" s="12" t="inlineStr">
        <x:is>
          <x:t xml:space="preserve">google|gemini-4-argon|high|reasoning|fallback-na|aa-v4.3.2|snapshot-2026-10-11</x:t>
        </x:is>
      </x:c>
      <x:c r="B87" s="12" t="inlineStr">
        <x:is>
          <x:t xml:space="preserve">google|gemini-4-argon|high|reasoning|fallback-na</x:t>
        </x:is>
      </x:c>
      <x:c r="C87" s="12" t="inlineStr">
        <x:is>
          <x:t xml:space="preserve">Artificial Analysis Intelligence Index</x:t>
        </x:is>
      </x:c>
      <x:c r="D87" s="12" t="inlineStr">
        <x:is>
          <x:t xml:space="preserve">v4.3.2</x:t>
        </x:is>
      </x:c>
      <x:c r="E87" s="12" t="inlineStr">
        <x:is>
          <x:t xml:space="preserve">AA|v4.3.2</x:t>
        </x:is>
      </x:c>
      <x:c r="F87" s="12" t="n"/>
      <x:c r="G87" s="12" t="inlineStr">
        <x:is>
          <x:t xml:space="preserve">2026-10-11</x:t>
        </x:is>
      </x:c>
      <x:c r="H87" s="12" t="n">
        <x:v>53</x:v>
      </x:c>
      <x:c r="I87" s="12" t="n">
        <x:f>H87^2</x:f>
        <x:v>2809</x:v>
      </x:c>
      <x:c r="J87" s="12" t="n">
        <x:v>1.99</x:v>
      </x:c>
      <x:c r="K87" s="12" t="n"/>
      <x:c r="L87" s="12" t="n"/>
      <x:c r="M87" s="12" t="n"/>
      <x:c r="N87" s="12" t="n">
        <x:v>110000000</x:v>
      </x:c>
      <x:c r="O87" s="12" t="n"/>
      <x:c r="P87" s="12" t="n"/>
      <x:c r="Q87" s="12" t="n"/>
      <x:c r="R87" s="12" t="n"/>
      <x:c r="S87" s="12" t="n"/>
      <x:c r="T87" s="12" t="n">
        <x:v>2</x:v>
      </x:c>
      <x:c r="U87" s="12" t="n">
        <x:v>10</x:v>
      </x:c>
      <x:c r="V87" s="12" t="n">
        <x:v>0.1</x:v>
      </x:c>
      <x:c r="W87" s="12" t="n">
        <x:v>1000000</x:v>
      </x:c>
      <x:c r="X87" s="12" t="inlineStr">
        <x:is>
          <x:t xml:space="preserve">https://artificialanalysis.ai/models/gemini-4-argon</x:t>
        </x:is>
      </x:c>
      <x:c r="Y87" s="12" t="inlineStr">
        <x:is>
          <x:t xml:space="preserve">AA current public page</x:t>
        </x:is>
      </x:c>
      <x:c r="Z87" s="12" t="inlineStr">
        <x:is>
          <x:t xml:space="preserve">Snapshot of current AA v4.3.2 page on 2026-10-11. Output speed and latency remain unavailable on AA page; evaluation date not disclosed. Cache price represents 95% discount.</x:t>
        </x:is>
      </x:c>
    </x:row>
    <x:row r="88">
      <x:c r="A88" s="12" t="inlineStr">
        <x:is>
          <x:t xml:space="preserve">openai|gpt-6-luna|max|reasoning|fallback-na|aa-v4.3.2|snapshot-2026-10-16</x:t>
        </x:is>
      </x:c>
      <x:c r="B88" s="12" t="inlineStr">
        <x:is>
          <x:t xml:space="preserve">openai|gpt-6-luna|max|reasoning|fallback-na</x:t>
        </x:is>
      </x:c>
      <x:c r="C88" s="12" t="inlineStr">
        <x:is>
          <x:t xml:space="preserve">Artificial Analysis Intelligence Index</x:t>
        </x:is>
      </x:c>
      <x:c r="D88" s="12" t="inlineStr">
        <x:is>
          <x:t xml:space="preserve">v4.3.2</x:t>
        </x:is>
      </x:c>
      <x:c r="E88" s="12" t="inlineStr">
        <x:is>
          <x:t xml:space="preserve">AA|v4.3.2</x:t>
        </x:is>
      </x:c>
      <x:c r="F88" s="12" t="n"/>
      <x:c r="G88" s="12" t="inlineStr">
        <x:is>
          <x:t xml:space="preserve">2026-10-16</x:t>
        </x:is>
      </x:c>
      <x:c r="H88" s="12" t="n">
        <x:v>38</x:v>
      </x:c>
      <x:c r="I88" s="12" t="n">
        <x:f>H88^2</x:f>
        <x:v>1444</x:v>
      </x:c>
      <x:c r="J88" s="12" t="n">
        <x:v>0.07000000000000001</x:v>
      </x:c>
      <x:c r="K88" s="12" t="n"/>
      <x:c r="L88" s="12" t="n"/>
      <x:c r="M88" s="12" t="n"/>
      <x:c r="N88" s="12" t="n">
        <x:v>140000000</x:v>
      </x:c>
      <x:c r="O88" s="12" t="n">
        <x:v>122.1</x:v>
      </x:c>
      <x:c r="P88" s="12" t="n">
        <x:v>96.97</x:v>
      </x:c>
      <x:c r="Q88" s="12" t="n"/>
      <x:c r="R88" s="12" t="n"/>
      <x:c r="S88" s="12" t="n"/>
      <x:c r="T88" s="12" t="n">
        <x:v>0.1</x:v>
      </x:c>
      <x:c r="U88" s="12" t="n">
        <x:v>0.5</x:v>
      </x:c>
      <x:c r="V88" s="12" t="n">
        <x:v>0.01</x:v>
      </x:c>
      <x:c r="W88" s="12" t="n">
        <x:v>1000000</x:v>
      </x:c>
      <x:c r="X88" s="12" t="inlineStr">
        <x:is>
          <x:t xml:space="preserve">https://artificialanalysis.ai/models/gpt-6-luna</x:t>
        </x:is>
      </x:c>
      <x:c r="Y88" s="12" t="inlineStr">
        <x:is>
          <x:t xml:space="preserve">AA current public snapshot; test date unknown</x:t>
        </x:is>
      </x:c>
      <x:c r="Z88"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89">
      <x:c r="A89" s="12" t="inlineStr">
        <x:is>
          <x:t xml:space="preserve">openai|gpt-6-astra|max|reasoning|fallback-na|aa-v4.3.2|snapshot-2026-10-16</x:t>
        </x:is>
      </x:c>
      <x:c r="B89" s="12" t="inlineStr">
        <x:is>
          <x:t xml:space="preserve">openai|gpt-6-astra|max|reasoning|fallback-na</x:t>
        </x:is>
      </x:c>
      <x:c r="C89" s="12" t="inlineStr">
        <x:is>
          <x:t xml:space="preserve">Artificial Analysis Intelligence Index</x:t>
        </x:is>
      </x:c>
      <x:c r="D89" s="12" t="inlineStr">
        <x:is>
          <x:t xml:space="preserve">v4.3.2</x:t>
        </x:is>
      </x:c>
      <x:c r="E89" s="12" t="inlineStr">
        <x:is>
          <x:t xml:space="preserve">AA|v4.3.2</x:t>
        </x:is>
      </x:c>
      <x:c r="F89" s="12" t="n"/>
      <x:c r="G89" s="12" t="inlineStr">
        <x:is>
          <x:t xml:space="preserve">2026-10-16</x:t>
        </x:is>
      </x:c>
      <x:c r="H89" s="12" t="n">
        <x:v>53</x:v>
      </x:c>
      <x:c r="I89" s="12" t="n">
        <x:f>H89^2</x:f>
        <x:v>2809</x:v>
      </x:c>
      <x:c r="J89" s="12" t="n">
        <x:v>3.26</x:v>
      </x:c>
      <x:c r="K89" s="12" t="n"/>
      <x:c r="L89" s="12" t="n"/>
      <x:c r="M89" s="12" t="n"/>
      <x:c r="N89" s="12" t="n">
        <x:v>60000000</x:v>
      </x:c>
      <x:c r="O89" s="12" t="n">
        <x:v>53.7</x:v>
      </x:c>
      <x:c r="P89" s="12" t="n">
        <x:v>252.93</x:v>
      </x:c>
      <x:c r="Q89" s="12" t="n"/>
      <x:c r="R89" s="12" t="n"/>
      <x:c r="S89" s="12" t="n"/>
      <x:c r="T89" s="12" t="n">
        <x:v>10</x:v>
      </x:c>
      <x:c r="U89" s="12" t="n">
        <x:v>50</x:v>
      </x:c>
      <x:c r="V89" s="12" t="n">
        <x:v>1</x:v>
      </x:c>
      <x:c r="W89" s="12" t="n">
        <x:v>1000000</x:v>
      </x:c>
      <x:c r="X89" s="12" t="inlineStr">
        <x:is>
          <x:t xml:space="preserve">https://artificialanalysis.ai/models/gpt-6-astra</x:t>
        </x:is>
      </x:c>
      <x:c r="Y89" s="12" t="inlineStr">
        <x:is>
          <x:t xml:space="preserve">AA current public snapshot; test date unknown</x:t>
        </x:is>
      </x:c>
      <x:c r="Z89"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0">
      <x:c r="A90" s="12" t="inlineStr">
        <x:is>
          <x:t xml:space="preserve">openai|gpt-6-1-sol|max|yes|fallback-na|aa-v4.3.2|snapshot-2026-10-16</x:t>
        </x:is>
      </x:c>
      <x:c r="B90" s="12" t="inlineStr">
        <x:is>
          <x:t xml:space="preserve">openai|gpt-6-1-sol|max|yes|fallback-na</x:t>
        </x:is>
      </x:c>
      <x:c r="C90" s="12" t="inlineStr">
        <x:is>
          <x:t xml:space="preserve">Artificial Analysis Intelligence Index</x:t>
        </x:is>
      </x:c>
      <x:c r="D90" s="12" t="inlineStr">
        <x:is>
          <x:t xml:space="preserve">v4.3.2</x:t>
        </x:is>
      </x:c>
      <x:c r="E90" s="12" t="inlineStr">
        <x:is>
          <x:t xml:space="preserve">AA|v4.3.2</x:t>
        </x:is>
      </x:c>
      <x:c r="F90" s="12" t="n"/>
      <x:c r="G90" s="12" t="inlineStr">
        <x:is>
          <x:t xml:space="preserve">2026-10-16</x:t>
        </x:is>
      </x:c>
      <x:c r="H90" s="12" t="n">
        <x:v>52</x:v>
      </x:c>
      <x:c r="I90" s="12" t="n">
        <x:f>H90^2</x:f>
        <x:v>2704</x:v>
      </x:c>
      <x:c r="J90" s="12" t="n">
        <x:v>0.72</x:v>
      </x:c>
      <x:c r="K90" s="12" t="n"/>
      <x:c r="L90" s="12" t="n"/>
      <x:c r="M90" s="12" t="n"/>
      <x:c r="N90" s="12" t="n">
        <x:v>67000000</x:v>
      </x:c>
      <x:c r="O90" s="12" t="n">
        <x:v>57.1</x:v>
      </x:c>
      <x:c r="P90" s="12" t="n">
        <x:v>271.71</x:v>
      </x:c>
      <x:c r="Q90" s="12" t="n"/>
      <x:c r="R90" s="12" t="n"/>
      <x:c r="S90" s="12" t="n"/>
      <x:c r="T90" s="12" t="n">
        <x:v>2</x:v>
      </x:c>
      <x:c r="U90" s="12" t="n">
        <x:v>10</x:v>
      </x:c>
      <x:c r="V90" s="12" t="n">
        <x:v>0.1</x:v>
      </x:c>
      <x:c r="W90" s="12" t="n">
        <x:v>1000000</x:v>
      </x:c>
      <x:c r="X90" s="12" t="inlineStr">
        <x:is>
          <x:t xml:space="preserve">https://artificialanalysis.ai/models/gpt-6-1-sol</x:t>
        </x:is>
      </x:c>
      <x:c r="Y90" s="12" t="inlineStr">
        <x:is>
          <x:t xml:space="preserve">AA current public snapshot; test date unknown</x:t>
        </x:is>
      </x:c>
      <x:c r="Z90"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1">
      <x:c r="A91" s="12" t="inlineStr">
        <x:is>
          <x:t xml:space="preserve">google|gemini-4-argon|high|reasoning|fallback-na|aa-v4.3.2|snapshot-2026-10-16</x:t>
        </x:is>
      </x:c>
      <x:c r="B91" s="12" t="inlineStr">
        <x:is>
          <x:t xml:space="preserve">google|gemini-4-argon|high|reasoning|fallback-na</x:t>
        </x:is>
      </x:c>
      <x:c r="C91" s="12" t="inlineStr">
        <x:is>
          <x:t xml:space="preserve">Artificial Analysis Intelligence Index</x:t>
        </x:is>
      </x:c>
      <x:c r="D91" s="12" t="inlineStr">
        <x:is>
          <x:t xml:space="preserve">v4.3.2</x:t>
        </x:is>
      </x:c>
      <x:c r="E91" s="12" t="inlineStr">
        <x:is>
          <x:t xml:space="preserve">AA|v4.3.2</x:t>
        </x:is>
      </x:c>
      <x:c r="F91" s="12" t="n"/>
      <x:c r="G91" s="12" t="inlineStr">
        <x:is>
          <x:t xml:space="preserve">2026-10-16</x:t>
        </x:is>
      </x:c>
      <x:c r="H91" s="12" t="n">
        <x:v>53</x:v>
      </x:c>
      <x:c r="I91" s="12" t="n">
        <x:f>H91^2</x:f>
        <x:v>2809</x:v>
      </x:c>
      <x:c r="J91" s="12" t="n">
        <x:v>1.99</x:v>
      </x:c>
      <x:c r="K91" s="12" t="n"/>
      <x:c r="L91" s="12" t="n"/>
      <x:c r="M91" s="12" t="n"/>
      <x:c r="N91" s="12" t="n">
        <x:v>110000000</x:v>
      </x:c>
      <x:c r="O91" s="12" t="n"/>
      <x:c r="P91" s="12" t="n"/>
      <x:c r="Q91" s="12" t="n"/>
      <x:c r="R91" s="12" t="n"/>
      <x:c r="S91" s="12" t="n"/>
      <x:c r="T91" s="12" t="n">
        <x:v>2</x:v>
      </x:c>
      <x:c r="U91" s="12" t="n">
        <x:v>10</x:v>
      </x:c>
      <x:c r="V91" s="12" t="n">
        <x:v>0.1</x:v>
      </x:c>
      <x:c r="W91" s="12" t="n">
        <x:v>1000000</x:v>
      </x:c>
      <x:c r="X91" s="12" t="inlineStr">
        <x:is>
          <x:t xml:space="preserve">https://artificialanalysis.ai/models/gemini-4-argon</x:t>
        </x:is>
      </x:c>
      <x:c r="Y91" s="12" t="inlineStr">
        <x:is>
          <x:t xml:space="preserve">AA current public snapshot; test date unknown</x:t>
        </x:is>
      </x:c>
      <x:c r="Z91"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2">
      <x:c r="A92" s="12" t="inlineStr">
        <x:is>
          <x:t xml:space="preserve">anthropic|claude-haiku-5-5|max|yes|fallback-na|aa-v4.3.2|snapshot-2026-10-16</x:t>
        </x:is>
      </x:c>
      <x:c r="B92" s="12" t="inlineStr">
        <x:is>
          <x:t xml:space="preserve">anthropic|claude-haiku-5-5|max|yes|fallback-na</x:t>
        </x:is>
      </x:c>
      <x:c r="C92" s="12" t="inlineStr">
        <x:is>
          <x:t xml:space="preserve">Artificial Analysis Intelligence Index</x:t>
        </x:is>
      </x:c>
      <x:c r="D92" s="12" t="inlineStr">
        <x:is>
          <x:t xml:space="preserve">v4.3.2</x:t>
        </x:is>
      </x:c>
      <x:c r="E92" s="12" t="inlineStr">
        <x:is>
          <x:t xml:space="preserve">AA|v4.3.2</x:t>
        </x:is>
      </x:c>
      <x:c r="F92" s="12" t="n"/>
      <x:c r="G92" s="12" t="inlineStr">
        <x:is>
          <x:t xml:space="preserve">2026-10-16</x:t>
        </x:is>
      </x:c>
      <x:c r="H92" s="12" t="n">
        <x:v>43</x:v>
      </x:c>
      <x:c r="I92" s="12" t="n">
        <x:f>H92^2</x:f>
        <x:v>1849</x:v>
      </x:c>
      <x:c r="J92" s="12" t="n">
        <x:v>0.21</x:v>
      </x:c>
      <x:c r="K92" s="12" t="n"/>
      <x:c r="L92" s="12" t="n"/>
      <x:c r="M92" s="12" t="n"/>
      <x:c r="N92" s="12" t="n">
        <x:v>440000000</x:v>
      </x:c>
      <x:c r="O92" s="12" t="n">
        <x:v>238.4</x:v>
      </x:c>
      <x:c r="P92" s="12" t="n">
        <x:v>327.16</x:v>
      </x:c>
      <x:c r="Q92" s="12" t="n"/>
      <x:c r="R92" s="12" t="n"/>
      <x:c r="S92" s="12" t="n"/>
      <x:c r="T92" s="12" t="n">
        <x:v>0.1</x:v>
      </x:c>
      <x:c r="U92" s="12" t="n">
        <x:v>0.5</x:v>
      </x:c>
      <x:c r="V92" s="12" t="n">
        <x:v>0.01</x:v>
      </x:c>
      <x:c r="W92" s="12" t="n">
        <x:v>1000000</x:v>
      </x:c>
      <x:c r="X92" s="12" t="inlineStr">
        <x:is>
          <x:t xml:space="preserve">https://artificialanalysis.ai/models/claude-haiku-5-5</x:t>
        </x:is>
      </x:c>
      <x:c r="Y92" s="12" t="inlineStr">
        <x:is>
          <x:t xml:space="preserve">AA current public snapshot; test date unknown</x:t>
        </x:is>
      </x:c>
      <x:c r="Z92"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3">
      <x:c r="A93" s="12" t="inlineStr">
        <x:is>
          <x:t xml:space="preserve">mistral|mistral-large-4-preview|reasoning|yes|fallback-na|aa-v4.3.2|snapshot-2026-10-16</x:t>
        </x:is>
      </x:c>
      <x:c r="B93" s="12" t="inlineStr">
        <x:is>
          <x:t xml:space="preserve">mistral|mistral-large-4-preview|reasoning|yes|fallback-na</x:t>
        </x:is>
      </x:c>
      <x:c r="C93" s="12" t="inlineStr">
        <x:is>
          <x:t xml:space="preserve">Artificial Analysis Intelligence Index</x:t>
        </x:is>
      </x:c>
      <x:c r="D93" s="12" t="inlineStr">
        <x:is>
          <x:t xml:space="preserve">v4.3.2</x:t>
        </x:is>
      </x:c>
      <x:c r="E93" s="12" t="inlineStr">
        <x:is>
          <x:t xml:space="preserve">AA|v4.3.2</x:t>
        </x:is>
      </x:c>
      <x:c r="F93" s="12" t="n"/>
      <x:c r="G93" s="12" t="inlineStr">
        <x:is>
          <x:t xml:space="preserve">2026-10-16</x:t>
        </x:is>
      </x:c>
      <x:c r="H93" s="12" t="n">
        <x:v>38</x:v>
      </x:c>
      <x:c r="I93" s="12" t="n">
        <x:f>H93^2</x:f>
        <x:v>1444</x:v>
      </x:c>
      <x:c r="J93" s="12" t="n">
        <x:v>1.13</x:v>
      </x:c>
      <x:c r="K93" s="12" t="n"/>
      <x:c r="L93" s="12" t="n"/>
      <x:c r="M93" s="12" t="n"/>
      <x:c r="N93" s="12" t="n">
        <x:v>200000000</x:v>
      </x:c>
      <x:c r="O93" s="12" t="n"/>
      <x:c r="P93" s="12" t="n"/>
      <x:c r="Q93" s="12" t="n"/>
      <x:c r="R93" s="12" t="n"/>
      <x:c r="S93" s="12" t="n"/>
      <x:c r="T93" s="12" t="n">
        <x:v>1.36</x:v>
      </x:c>
      <x:c r="U93" s="12" t="n">
        <x:v>4.18</x:v>
      </x:c>
      <x:c r="V93" s="12" t="n">
        <x:v>0.136</x:v>
      </x:c>
      <x:c r="W93" s="12" t="n"/>
      <x:c r="X93" s="12" t="inlineStr">
        <x:is>
          <x:t xml:space="preserve">https://artificialanalysis.ai/models/mistral-large-4</x:t>
        </x:is>
      </x:c>
      <x:c r="Y93" s="12" t="inlineStr">
        <x:is>
          <x:t xml:space="preserve">AA current public snapshot; test date unknown</x:t>
        </x:is>
      </x:c>
      <x:c r="Z93"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Context left blank because AA summary 524k conflicts with FAQ 520k; speed unavailable.</x:t>
        </x:is>
      </x:c>
    </x:row>
    <x:row r="94">
      <x:c r="A94" s="12" t="inlineStr">
        <x:is>
          <x:t xml:space="preserve">spacexai|grok-4-7|xhigh|yes|fallback-na|aa-v4.3.2|snapshot-2026-10-16</x:t>
        </x:is>
      </x:c>
      <x:c r="B94" s="12" t="inlineStr">
        <x:is>
          <x:t xml:space="preserve">spacexai|grok-4-7|xhigh|yes|fallback-na</x:t>
        </x:is>
      </x:c>
      <x:c r="C94" s="12" t="inlineStr">
        <x:is>
          <x:t xml:space="preserve">Artificial Analysis Intelligence Index</x:t>
        </x:is>
      </x:c>
      <x:c r="D94" s="12" t="inlineStr">
        <x:is>
          <x:t xml:space="preserve">v4.3.2</x:t>
        </x:is>
      </x:c>
      <x:c r="E94" s="12" t="inlineStr">
        <x:is>
          <x:t xml:space="preserve">AA|v4.3.2</x:t>
        </x:is>
      </x:c>
      <x:c r="F94" s="12" t="n"/>
      <x:c r="G94" s="12" t="inlineStr">
        <x:is>
          <x:t xml:space="preserve">2026-10-16</x:t>
        </x:is>
      </x:c>
      <x:c r="H94" s="12" t="n">
        <x:v>46</x:v>
      </x:c>
      <x:c r="I94" s="12" t="n">
        <x:f>H94^2</x:f>
        <x:v>2116</x:v>
      </x:c>
      <x:c r="J94" s="12" t="n">
        <x:v>3.74</x:v>
      </x:c>
      <x:c r="K94" s="12" t="n"/>
      <x:c r="L94" s="12" t="n"/>
      <x:c r="M94" s="12" t="n"/>
      <x:c r="N94" s="12" t="n">
        <x:v>240000000</x:v>
      </x:c>
      <x:c r="O94" s="12" t="n">
        <x:v>101.6</x:v>
      </x:c>
      <x:c r="P94" s="12" t="n">
        <x:v>49.03</x:v>
      </x:c>
      <x:c r="Q94" s="12" t="n"/>
      <x:c r="R94" s="12" t="n"/>
      <x:c r="S94" s="12" t="n"/>
      <x:c r="T94" s="12" t="n">
        <x:v>2</x:v>
      </x:c>
      <x:c r="U94" s="12" t="n">
        <x:v>6</x:v>
      </x:c>
      <x:c r="V94" s="12" t="n">
        <x:v>0.5</x:v>
      </x:c>
      <x:c r="W94" s="12" t="n">
        <x:v>500000</x:v>
      </x:c>
      <x:c r="X94" s="12" t="inlineStr">
        <x:is>
          <x:t xml:space="preserve">https://artificialanalysis.ai/models/grok-4-7</x:t>
        </x:is>
      </x:c>
      <x:c r="Y94" s="12" t="inlineStr">
        <x:is>
          <x:t xml:space="preserve">AA current public snapshot; test date unknown</x:t>
        </x:is>
      </x:c>
      <x:c r="Z94"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x:t>
        </x:is>
      </x:c>
    </x:row>
    <x:row r="95">
      <x:c r="A95" s="12" t="inlineStr">
        <x:is>
          <x:t xml:space="preserve">anthropic|claude-sonnet-5.5|max|reasoning|fallback-true|aa-v4.3.2|snapshot-2026-10-16</x:t>
        </x:is>
      </x:c>
      <x:c r="B95" s="12" t="inlineStr">
        <x:is>
          <x:t xml:space="preserve">anthropic|claude-sonnet-5.5|max|reasoning|fallback-true</x:t>
        </x:is>
      </x:c>
      <x:c r="C95" s="12" t="inlineStr">
        <x:is>
          <x:t xml:space="preserve">Artificial Analysis Intelligence Index</x:t>
        </x:is>
      </x:c>
      <x:c r="D95" s="12" t="inlineStr">
        <x:is>
          <x:t xml:space="preserve">v4.3.2</x:t>
        </x:is>
      </x:c>
      <x:c r="E95" s="12" t="inlineStr">
        <x:is>
          <x:t xml:space="preserve">AA|v4.3.2</x:t>
        </x:is>
      </x:c>
      <x:c r="F95" s="12" t="n"/>
      <x:c r="G95" s="12" t="inlineStr">
        <x:is>
          <x:t xml:space="preserve">2026-10-16</x:t>
        </x:is>
      </x:c>
      <x:c r="H95" s="12" t="n">
        <x:v>56</x:v>
      </x:c>
      <x:c r="I95" s="12" t="n">
        <x:f>H95^2</x:f>
        <x:v>3136</x:v>
      </x:c>
      <x:c r="J95" s="12" t="n">
        <x:v>5.46</x:v>
      </x:c>
      <x:c r="K95" s="12" t="n"/>
      <x:c r="L95" s="12" t="n"/>
      <x:c r="M95" s="12" t="n"/>
      <x:c r="N95" s="12" t="n">
        <x:v>420000000</x:v>
      </x:c>
      <x:c r="O95" s="12" t="n">
        <x:v>137.7</x:v>
      </x:c>
      <x:c r="P95" s="12" t="n">
        <x:v>379.59</x:v>
      </x:c>
      <x:c r="Q95" s="12" t="n"/>
      <x:c r="R95" s="12" t="n"/>
      <x:c r="S95" s="12" t="n"/>
      <x:c r="T95" s="12" t="n">
        <x:v>2</x:v>
      </x:c>
      <x:c r="U95" s="12" t="n">
        <x:v>10</x:v>
      </x:c>
      <x:c r="V95" s="12" t="n">
        <x:v>0.1</x:v>
      </x:c>
      <x:c r="W95" s="12" t="n">
        <x:v>1000000</x:v>
      </x:c>
      <x:c r="X95" s="12" t="inlineStr">
        <x:is>
          <x:t xml:space="preserve">https://artificialanalysis.ai/models/claude-sonnet-5-5</x:t>
        </x:is>
      </x:c>
      <x:c r="Y95" s="12" t="inlineStr">
        <x:is>
          <x:t xml:space="preserve">AA current public snapshot; test date unknown</x:t>
        </x:is>
      </x:c>
      <x:c r="Z95"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Max with default fallback. Structured-output deployment retest lineage remains unresolved.</x:t>
        </x:is>
      </x:c>
    </x:row>
    <x:row r="96">
      <x:c r="A96" s="12" t="inlineStr">
        <x:is>
          <x:t xml:space="preserve">openai|gpt-6-sol|max|reasoning|fallback-na|aa-v4.3.2|snapshot-2026-10-16</x:t>
        </x:is>
      </x:c>
      <x:c r="B96" s="12" t="inlineStr">
        <x:is>
          <x:t xml:space="preserve">openai|gpt-6-sol|max|reasoning|fallback-na</x:t>
        </x:is>
      </x:c>
      <x:c r="C96" s="12" t="inlineStr">
        <x:is>
          <x:t xml:space="preserve">Artificial Analysis Intelligence Index</x:t>
        </x:is>
      </x:c>
      <x:c r="D96" s="12" t="inlineStr">
        <x:is>
          <x:t xml:space="preserve">v4.3.2</x:t>
        </x:is>
      </x:c>
      <x:c r="E96" s="12" t="inlineStr">
        <x:is>
          <x:t xml:space="preserve">AA|v4.3.2</x:t>
        </x:is>
      </x:c>
      <x:c r="F96" s="12" t="n"/>
      <x:c r="G96" s="12" t="inlineStr">
        <x:is>
          <x:t xml:space="preserve">2026-10-16</x:t>
        </x:is>
      </x:c>
      <x:c r="H96" s="12" t="n">
        <x:v>48</x:v>
      </x:c>
      <x:c r="I96" s="12" t="n">
        <x:f>H96^2</x:f>
        <x:v>2304</x:v>
      </x:c>
      <x:c r="J96" s="12" t="n">
        <x:v>1.04</x:v>
      </x:c>
      <x:c r="K96" s="12" t="n">
        <x:v>1536</x:v>
      </x:c>
      <x:c r="L96" s="12" t="n">
        <x:v>31000</x:v>
      </x:c>
      <x:c r="M96" s="12" t="n">
        <x:v>21000</x:v>
      </x:c>
      <x:c r="N96" s="12" t="n">
        <x:v>77000000</x:v>
      </x:c>
      <x:c r="O96" s="12" t="n">
        <x:v>103</x:v>
      </x:c>
      <x:c r="P96" s="12" t="n">
        <x:v>113.68</x:v>
      </x:c>
      <x:c r="Q96" s="12" t="n">
        <x:v>113.68</x:v>
      </x:c>
      <x:c r="R96" s="12" t="n">
        <x:v>118.54</x:v>
      </x:c>
      <x:c r="S96" s="12" t="n">
        <x:v>293.81</x:v>
      </x:c>
      <x:c r="T96" s="12" t="n">
        <x:v>2</x:v>
      </x:c>
      <x:c r="U96" s="12" t="n">
        <x:v>10</x:v>
      </x:c>
      <x:c r="V96" s="12" t="n">
        <x:v>0.2</x:v>
      </x:c>
      <x:c r="W96" s="12" t="n">
        <x:v>1050000</x:v>
      </x:c>
      <x:c r="X96" s="12" t="inlineStr">
        <x:is>
          <x:t xml:space="preserve">https://artificialanalysis.ai/models/comparisons/gpt-6-sol-low-vs-gpt-6-sol</x:t>
        </x:is>
      </x:c>
      <x:c r="Y96" s="12" t="inlineStr">
        <x:is>
          <x:t xml:space="preserve">AA current public snapshot; test date unknown</x:t>
        </x:is>
      </x:c>
      <x:c r="Z96"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Main model page failed; publisher comparison page provided exact Max configuration, v4.3.2, time/task293.81s, output/task31k and reasoning/task21k (rounded).</x:t>
        </x:is>
      </x:c>
    </x:row>
    <x:row r="97" s="14" customFormat="1">
      <x:c r="A97" s="12" t="inlineStr">
        <x:is>
          <x:t xml:space="preserve">meta|muse-wonder-full|max|reasoning|fallback-na|aa-v4.3.2|snapshot-2026-10-16</x:t>
        </x:is>
      </x:c>
      <x:c r="B97" s="12" t="inlineStr">
        <x:is>
          <x:t xml:space="preserve">meta|muse-wonder-full|max|reasoning|fallback-na</x:t>
        </x:is>
      </x:c>
      <x:c r="C97" s="12" t="inlineStr">
        <x:is>
          <x:t xml:space="preserve">Artificial Analysis Intelligence Index</x:t>
        </x:is>
      </x:c>
      <x:c r="D97" s="12" t="inlineStr">
        <x:is>
          <x:t xml:space="preserve">v4.3.2</x:t>
        </x:is>
      </x:c>
      <x:c r="E97" s="12" t="inlineStr">
        <x:is>
          <x:t xml:space="preserve">AA|v4.3.2</x:t>
        </x:is>
      </x:c>
      <x:c r="F97" s="12" t="n"/>
      <x:c r="G97" s="12" t="inlineStr">
        <x:is>
          <x:t xml:space="preserve">2026-10-16</x:t>
        </x:is>
      </x:c>
      <x:c r="H97" s="12" t="n">
        <x:v>56</x:v>
      </x:c>
      <x:c r="I97" s="12" t="n">
        <x:f>H97^2</x:f>
        <x:v>3136</x:v>
      </x:c>
      <x:c r="J97" s="12" t="n"/>
      <x:c r="K97" s="12" t="n"/>
      <x:c r="L97" s="12" t="n"/>
      <x:c r="M97" s="12" t="n"/>
      <x:c r="N97" s="12" t="n">
        <x:v>140000000</x:v>
      </x:c>
      <x:c r="O97" s="12" t="n"/>
      <x:c r="P97" s="12" t="n"/>
      <x:c r="Q97" s="12" t="n"/>
      <x:c r="R97" s="12" t="n"/>
      <x:c r="S97" s="12" t="n"/>
      <x:c r="T97" s="12" t="n"/>
      <x:c r="U97" s="12" t="n"/>
      <x:c r="V97" s="12" t="n"/>
      <x:c r="W97" s="12" t="n">
        <x:v>1000000</x:v>
      </x:c>
      <x:c r="X97" s="12" t="inlineStr">
        <x:is>
          <x:t xml:space="preserve">https://artificialanalysis.ai/models/muse-wonder-full</x:t>
        </x:is>
      </x:c>
      <x:c r="Y97" s="12" t="inlineStr">
        <x:is>
          <x:t xml:space="preserve">AA current public snapshot; test date unknown</x:t>
        </x:is>
      </x:c>
      <x:c r="Z97" s="12" t="inlineStr">
        <x:is>
          <x:t xml:space="preserve">Source snapshot retrieved 2026-10-16T08:38:50.115517Z; actual benchmark execution date not disclosed. Snapshot is not a new independent test run. AA labels FAQ latency TTFT; no first-answer/task-time estimate inferred. API prices are AA-reported source facts. Subscription-only; no API price or measured speed. Do not infer cost from Wonder API.</x:t>
        </x:is>
      </x:c>
    </x:row>
    <x:row r="98" s="14" customFormat="1">
      <x:c r="A98" s="12" t="inlineStr">
        <x:is>
          <x:t xml:space="preserve">deepseek|deepseek-v4.1-flash|non-reasoning|nonreasoning|fallback-na|aa-v4.3.2|snapshot-2026-10-12</x:t>
        </x:is>
      </x:c>
      <x:c r="B98" s="12" t="inlineStr">
        <x:is>
          <x:t xml:space="preserve">deepseek|deepseek-v4.1-flash|non-reasoning|nonreasoning|fallback-na</x:t>
        </x:is>
      </x:c>
      <x:c r="C98" s="12" t="inlineStr">
        <x:is>
          <x:t xml:space="preserve">Artificial Analysis Intelligence Index</x:t>
        </x:is>
      </x:c>
      <x:c r="D98" s="12" t="inlineStr">
        <x:is>
          <x:t xml:space="preserve">v4.3.2</x:t>
        </x:is>
      </x:c>
      <x:c r="E98" s="12" t="inlineStr">
        <x:is>
          <x:t xml:space="preserve">AA|v4.3.2</x:t>
        </x:is>
      </x:c>
      <x:c r="F98" s="12" t="n"/>
      <x:c r="G98" s="12" t="inlineStr">
        <x:is>
          <x:t xml:space="preserve">2026-10-12</x:t>
        </x:is>
      </x:c>
      <x:c r="H98" s="12" t="n">
        <x:v>25</x:v>
      </x:c>
      <x:c r="I98" s="12" t="n">
        <x:f>H98^2</x:f>
        <x:v>625</x:v>
      </x:c>
      <x:c r="J98" s="12" t="n">
        <x:v>0.15</x:v>
      </x:c>
      <x:c r="K98" s="12" t="n"/>
      <x:c r="L98" s="12" t="n"/>
      <x:c r="M98" s="12" t="n"/>
      <x:c r="N98" s="12" t="n"/>
      <x:c r="O98" s="12" t="n">
        <x:v>211</x:v>
      </x:c>
      <x:c r="P98" s="12" t="n">
        <x:v>1.15</x:v>
      </x:c>
      <x:c r="Q98" s="12" t="n"/>
      <x:c r="R98" s="12" t="n"/>
      <x:c r="S98" s="12" t="n"/>
      <x:c r="T98" s="12" t="n"/>
      <x:c r="U98" s="12" t="n"/>
      <x:c r="V98" s="12" t="n"/>
      <x:c r="W98" s="12" t="n"/>
      <x:c r="X98" s="12" t="inlineStr">
        <x:is>
          <x:t xml:space="preserve">https://artificialanalysis.ai/models/deepseek-v4-1-flash-non-reasoning</x:t>
        </x:is>
      </x:c>
      <x:c r="Y98" s="12" t="inlineStr">
        <x:is>
          <x:t xml:space="preserve">AA public snapshot; execution date unknown</x:t>
        </x:is>
      </x:c>
      <x:c r="Z98"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99" s="14" customFormat="1">
      <x:c r="A99" s="12" t="inlineStr">
        <x:is>
          <x:t xml:space="preserve">deepseek|deepseek-v4.1-flash|max|reasoning|fallback-na|aa-v4.3.2|snapshot-2026-10-12</x:t>
        </x:is>
      </x:c>
      <x:c r="B99" s="12" t="inlineStr">
        <x:is>
          <x:t xml:space="preserve">deepseek|deepseek-v4.1-flash|max|reasoning|fallback-na</x:t>
        </x:is>
      </x:c>
      <x:c r="C99" s="12" t="inlineStr">
        <x:is>
          <x:t xml:space="preserve">Artificial Analysis Intelligence Index</x:t>
        </x:is>
      </x:c>
      <x:c r="D99" s="12" t="inlineStr">
        <x:is>
          <x:t xml:space="preserve">v4.3.2</x:t>
        </x:is>
      </x:c>
      <x:c r="E99" s="12" t="inlineStr">
        <x:is>
          <x:t xml:space="preserve">AA|v4.3.2</x:t>
        </x:is>
      </x:c>
      <x:c r="F99" s="12" t="n"/>
      <x:c r="G99" s="12" t="inlineStr">
        <x:is>
          <x:t xml:space="preserve">2026-10-12</x:t>
        </x:is>
      </x:c>
      <x:c r="H99" s="12" t="n">
        <x:v>39</x:v>
      </x:c>
      <x:c r="I99" s="12" t="n">
        <x:f>H99^2</x:f>
        <x:v>1521</x:v>
      </x:c>
      <x:c r="J99" s="12" t="n">
        <x:v>0.27</x:v>
      </x:c>
      <x:c r="K99" s="12" t="n"/>
      <x:c r="L99" s="12" t="n"/>
      <x:c r="M99" s="12" t="n"/>
      <x:c r="N99" s="12" t="n"/>
      <x:c r="O99" s="12" t="n">
        <x:v>217</x:v>
      </x:c>
      <x:c r="P99" s="12" t="n">
        <x:v>1.16</x:v>
      </x:c>
      <x:c r="Q99" s="12" t="n"/>
      <x:c r="R99" s="12" t="n"/>
      <x:c r="S99" s="12" t="n"/>
      <x:c r="T99" s="12" t="n"/>
      <x:c r="U99" s="12" t="n"/>
      <x:c r="V99" s="12" t="n"/>
      <x:c r="W99" s="12" t="n"/>
      <x:c r="X99" s="12" t="inlineStr">
        <x:is>
          <x:t xml:space="preserve">https://artificialanalysis.ai/models/deepseek-v4-1-flash</x:t>
        </x:is>
      </x:c>
      <x:c r="Y99" s="12" t="inlineStr">
        <x:is>
          <x:t xml:space="preserve">AA public snapshot; execution date unknown</x:t>
        </x:is>
      </x:c>
      <x:c r="Z99"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0" s="14" customFormat="1">
      <x:c r="A100" s="12" t="inlineStr">
        <x:is>
          <x:t xml:space="preserve">deepseek|deepseek-v4-pro-0813|non-reasoning|nonreasoning|fallback-na|aa-v4.3.2|snapshot-2026-10-12</x:t>
        </x:is>
      </x:c>
      <x:c r="B100" s="12" t="inlineStr">
        <x:is>
          <x:t xml:space="preserve">deepseek|deepseek-v4-pro-0813|non-reasoning|nonreasoning|fallback-na</x:t>
        </x:is>
      </x:c>
      <x:c r="C100" s="12" t="inlineStr">
        <x:is>
          <x:t xml:space="preserve">Artificial Analysis Intelligence Index</x:t>
        </x:is>
      </x:c>
      <x:c r="D100" s="12" t="inlineStr">
        <x:is>
          <x:t xml:space="preserve">v4.3.2</x:t>
        </x:is>
      </x:c>
      <x:c r="E100" s="12" t="inlineStr">
        <x:is>
          <x:t xml:space="preserve">AA|v4.3.2</x:t>
        </x:is>
      </x:c>
      <x:c r="F100" s="12" t="n"/>
      <x:c r="G100" s="12" t="inlineStr">
        <x:is>
          <x:t xml:space="preserve">2026-10-12</x:t>
        </x:is>
      </x:c>
      <x:c r="H100" s="12" t="n">
        <x:v>20</x:v>
      </x:c>
      <x:c r="I100" s="12" t="n">
        <x:f>H100^2</x:f>
        <x:v>400</x:v>
      </x:c>
      <x:c r="J100" s="12" t="n">
        <x:v>0.36</x:v>
      </x:c>
      <x:c r="K100" s="12" t="n"/>
      <x:c r="L100" s="12" t="n"/>
      <x:c r="M100" s="12" t="n"/>
      <x:c r="N100" s="12" t="n"/>
      <x:c r="O100" s="12" t="n">
        <x:v>85</x:v>
      </x:c>
      <x:c r="P100" s="12" t="n">
        <x:v>1.74</x:v>
      </x:c>
      <x:c r="Q100" s="12" t="n"/>
      <x:c r="R100" s="12" t="n"/>
      <x:c r="S100" s="12" t="n"/>
      <x:c r="T100" s="12" t="n"/>
      <x:c r="U100" s="12" t="n"/>
      <x:c r="V100" s="12" t="n"/>
      <x:c r="W100" s="12" t="n"/>
      <x:c r="X100" s="12" t="inlineStr">
        <x:is>
          <x:t xml:space="preserve">https://artificialanalysis.ai/models/deepseek-v4-pro-non-reasoning</x:t>
        </x:is>
      </x:c>
      <x:c r="Y100" s="12" t="inlineStr">
        <x:is>
          <x:t xml:space="preserve">AA public snapshot; execution date unknown</x:t>
        </x:is>
      </x:c>
      <x:c r="Z100"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1" s="14" customFormat="1">
      <x:c r="A101" s="12" t="inlineStr">
        <x:is>
          <x:t xml:space="preserve">deepseek|deepseek-v4-pro-0813|max|reasoning|fallback-na|aa-v4.3.2|snapshot-2026-10-12</x:t>
        </x:is>
      </x:c>
      <x:c r="B101" s="12" t="inlineStr">
        <x:is>
          <x:t xml:space="preserve">deepseek|deepseek-v4-pro-0813|max|reasoning|fallback-na</x:t>
        </x:is>
      </x:c>
      <x:c r="C101" s="12" t="inlineStr">
        <x:is>
          <x:t xml:space="preserve">Artificial Analysis Intelligence Index</x:t>
        </x:is>
      </x:c>
      <x:c r="D101" s="12" t="inlineStr">
        <x:is>
          <x:t xml:space="preserve">v4.3.2</x:t>
        </x:is>
      </x:c>
      <x:c r="E101" s="12" t="inlineStr">
        <x:is>
          <x:t xml:space="preserve">AA|v4.3.2</x:t>
        </x:is>
      </x:c>
      <x:c r="F101" s="12" t="n"/>
      <x:c r="G101" s="12" t="inlineStr">
        <x:is>
          <x:t xml:space="preserve">2026-10-12</x:t>
        </x:is>
      </x:c>
      <x:c r="H101" s="12" t="n">
        <x:v>36</x:v>
      </x:c>
      <x:c r="I101" s="12" t="n">
        <x:f>H101^2</x:f>
        <x:v>1296</x:v>
      </x:c>
      <x:c r="J101" s="12" t="n">
        <x:v>0.67</x:v>
      </x:c>
      <x:c r="K101" s="12" t="n"/>
      <x:c r="L101" s="12" t="n"/>
      <x:c r="M101" s="12" t="n"/>
      <x:c r="N101" s="12" t="n"/>
      <x:c r="O101" s="12" t="n">
        <x:v>93</x:v>
      </x:c>
      <x:c r="P101" s="12" t="n">
        <x:v>1.6</x:v>
      </x:c>
      <x:c r="Q101" s="12" t="n"/>
      <x:c r="R101" s="12" t="n"/>
      <x:c r="S101" s="12" t="n"/>
      <x:c r="T101" s="12" t="n"/>
      <x:c r="U101" s="12" t="n"/>
      <x:c r="V101" s="12" t="n"/>
      <x:c r="W101" s="12" t="n"/>
      <x:c r="X101" s="12" t="inlineStr">
        <x:is>
          <x:t xml:space="preserve">https://artificialanalysis.ai/models/deepseek-v4-pro</x:t>
        </x:is>
      </x:c>
      <x:c r="Y101" s="12" t="inlineStr">
        <x:is>
          <x:t xml:space="preserve">AA public snapshot; execution date unknown</x:t>
        </x:is>
      </x:c>
      <x:c r="Z101"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2" s="14" customFormat="1">
      <x:c r="A102" s="12" t="inlineStr">
        <x:is>
          <x:t xml:space="preserve">z-ai|glm-5.3-flash|reasoning|reasoning|fallback-na|aa-v4.3.2|snapshot-2026-10-12</x:t>
        </x:is>
      </x:c>
      <x:c r="B102" s="12" t="inlineStr">
        <x:is>
          <x:t xml:space="preserve">z-ai|glm-5.3-flash|reasoning|reasoning|fallback-na</x:t>
        </x:is>
      </x:c>
      <x:c r="C102" s="12" t="inlineStr">
        <x:is>
          <x:t xml:space="preserve">Artificial Analysis Intelligence Index</x:t>
        </x:is>
      </x:c>
      <x:c r="D102" s="12" t="inlineStr">
        <x:is>
          <x:t xml:space="preserve">v4.3.2</x:t>
        </x:is>
      </x:c>
      <x:c r="E102" s="12" t="inlineStr">
        <x:is>
          <x:t xml:space="preserve">AA|v4.3.2</x:t>
        </x:is>
      </x:c>
      <x:c r="F102" s="12" t="n"/>
      <x:c r="G102" s="12" t="inlineStr">
        <x:is>
          <x:t xml:space="preserve">2026-10-12</x:t>
        </x:is>
      </x:c>
      <x:c r="H102" s="12" t="n">
        <x:v>42</x:v>
      </x:c>
      <x:c r="I102" s="12" t="n">
        <x:f>H102^2</x:f>
        <x:v>1764</x:v>
      </x:c>
      <x:c r="J102" s="12" t="n">
        <x:v>0.25</x:v>
      </x:c>
      <x:c r="K102" s="12" t="n"/>
      <x:c r="L102" s="12" t="n"/>
      <x:c r="M102" s="12" t="n"/>
      <x:c r="N102" s="12" t="n"/>
      <x:c r="O102" s="12" t="n">
        <x:v>61</x:v>
      </x:c>
      <x:c r="P102" s="12" t="n">
        <x:v>3.01</x:v>
      </x:c>
      <x:c r="Q102" s="12" t="n"/>
      <x:c r="R102" s="12" t="n"/>
      <x:c r="S102" s="12" t="n"/>
      <x:c r="T102" s="12" t="n"/>
      <x:c r="U102" s="12" t="n"/>
      <x:c r="V102" s="12" t="n"/>
      <x:c r="W102" s="12" t="n"/>
      <x:c r="X102" s="12" t="inlineStr">
        <x:is>
          <x:t xml:space="preserve">https://artificialanalysis.ai/models/glm-5-3-flash</x:t>
        </x:is>
      </x:c>
      <x:c r="Y102" s="12" t="inlineStr">
        <x:is>
          <x:t xml:space="preserve">AA public snapshot; execution date unknown</x:t>
        </x:is>
      </x:c>
      <x:c r="Z102"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3" s="14" customFormat="1">
      <x:c r="A103" s="12" t="inlineStr">
        <x:is>
          <x:t xml:space="preserve">z-ai|glm-5.3|low|reasoning|fallback-na|aa-v4.3.2|snapshot-2026-10-12</x:t>
        </x:is>
      </x:c>
      <x:c r="B103" s="12" t="inlineStr">
        <x:is>
          <x:t xml:space="preserve">z-ai|glm-5.3|low|reasoning|fallback-na</x:t>
        </x:is>
      </x:c>
      <x:c r="C103" s="12" t="inlineStr">
        <x:is>
          <x:t xml:space="preserve">Artificial Analysis Intelligence Index</x:t>
        </x:is>
      </x:c>
      <x:c r="D103" s="12" t="inlineStr">
        <x:is>
          <x:t xml:space="preserve">v4.3.2</x:t>
        </x:is>
      </x:c>
      <x:c r="E103" s="12" t="inlineStr">
        <x:is>
          <x:t xml:space="preserve">AA|v4.3.2</x:t>
        </x:is>
      </x:c>
      <x:c r="F103" s="12" t="n"/>
      <x:c r="G103" s="12" t="inlineStr">
        <x:is>
          <x:t xml:space="preserve">2026-10-12</x:t>
        </x:is>
      </x:c>
      <x:c r="H103" s="12" t="n">
        <x:v>34</x:v>
      </x:c>
      <x:c r="I103" s="12" t="n">
        <x:f>H103^2</x:f>
        <x:v>1156</x:v>
      </x:c>
      <x:c r="J103" s="12" t="n">
        <x:v>0.85</x:v>
      </x:c>
      <x:c r="K103" s="12" t="n"/>
      <x:c r="L103" s="12" t="n"/>
      <x:c r="M103" s="12" t="n"/>
      <x:c r="N103" s="12" t="n"/>
      <x:c r="O103" s="12" t="n">
        <x:v>75</x:v>
      </x:c>
      <x:c r="P103" s="12" t="n">
        <x:v>3.22</x:v>
      </x:c>
      <x:c r="Q103" s="12" t="n"/>
      <x:c r="R103" s="12" t="n"/>
      <x:c r="S103" s="12" t="n"/>
      <x:c r="T103" s="12" t="n"/>
      <x:c r="U103" s="12" t="n"/>
      <x:c r="V103" s="12" t="n"/>
      <x:c r="W103" s="12" t="n"/>
      <x:c r="X103" s="12" t="inlineStr">
        <x:is>
          <x:t xml:space="preserve">https://artificialanalysis.ai/models/glm-5-3-low</x:t>
        </x:is>
      </x:c>
      <x:c r="Y103" s="12" t="inlineStr">
        <x:is>
          <x:t xml:space="preserve">AA public snapshot; execution date unknown</x:t>
        </x:is>
      </x:c>
      <x:c r="Z103"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4" s="14" customFormat="1">
      <x:c r="A104" s="12" t="inlineStr">
        <x:is>
          <x:t xml:space="preserve">z-ai|glm-5.3|max|reasoning|fallback-na|aa-v4.3.2|snapshot-2026-10-12</x:t>
        </x:is>
      </x:c>
      <x:c r="B104" s="12" t="inlineStr">
        <x:is>
          <x:t xml:space="preserve">z-ai|glm-5.3|max|reasoning|fallback-na</x:t>
        </x:is>
      </x:c>
      <x:c r="C104" s="12" t="inlineStr">
        <x:is>
          <x:t xml:space="preserve">Artificial Analysis Intelligence Index</x:t>
        </x:is>
      </x:c>
      <x:c r="D104" s="12" t="inlineStr">
        <x:is>
          <x:t xml:space="preserve">v4.3.2</x:t>
        </x:is>
      </x:c>
      <x:c r="E104" s="12" t="inlineStr">
        <x:is>
          <x:t xml:space="preserve">AA|v4.3.2</x:t>
        </x:is>
      </x:c>
      <x:c r="F104" s="12" t="n"/>
      <x:c r="G104" s="12" t="inlineStr">
        <x:is>
          <x:t xml:space="preserve">2026-10-12</x:t>
        </x:is>
      </x:c>
      <x:c r="H104" s="12" t="n">
        <x:v>45</x:v>
      </x:c>
      <x:c r="I104" s="12" t="n">
        <x:f>H104^2</x:f>
        <x:v>2025</x:v>
      </x:c>
      <x:c r="J104" s="12" t="n">
        <x:v>2.01</x:v>
      </x:c>
      <x:c r="K104" s="12" t="n"/>
      <x:c r="L104" s="12" t="n"/>
      <x:c r="M104" s="12" t="n"/>
      <x:c r="N104" s="12" t="n"/>
      <x:c r="O104" s="12" t="n">
        <x:v>68</x:v>
      </x:c>
      <x:c r="P104" s="12" t="n">
        <x:v>3.2</x:v>
      </x:c>
      <x:c r="Q104" s="12" t="n"/>
      <x:c r="R104" s="12" t="n"/>
      <x:c r="S104" s="12" t="n"/>
      <x:c r="T104" s="12" t="n"/>
      <x:c r="U104" s="12" t="n"/>
      <x:c r="V104" s="12" t="n"/>
      <x:c r="W104" s="12" t="n"/>
      <x:c r="X104" s="12" t="inlineStr">
        <x:is>
          <x:t xml:space="preserve">https://artificialanalysis.ai/models/glm-5-3</x:t>
        </x:is>
      </x:c>
      <x:c r="Y104" s="12" t="inlineStr">
        <x:is>
          <x:t xml:space="preserve">AA public snapshot; execution date unknown</x:t>
        </x:is>
      </x:c>
      <x:c r="Z104"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5" s="14" customFormat="1">
      <x:c r="A105" s="12" t="inlineStr">
        <x:is>
          <x:t xml:space="preserve">xiaomi|mimo-v2-6-pro|reasoning|yes|fallback-na|aa-v4.3.2|snapshot-2026-10-12</x:t>
        </x:is>
      </x:c>
      <x:c r="B105" s="12" t="inlineStr">
        <x:is>
          <x:t xml:space="preserve">xiaomi|mimo-v2-6-pro|reasoning|yes|fallback-na</x:t>
        </x:is>
      </x:c>
      <x:c r="C105" s="12" t="inlineStr">
        <x:is>
          <x:t xml:space="preserve">Artificial Analysis Intelligence Index</x:t>
        </x:is>
      </x:c>
      <x:c r="D105" s="12" t="inlineStr">
        <x:is>
          <x:t xml:space="preserve">v4.3.2</x:t>
        </x:is>
      </x:c>
      <x:c r="E105" s="12" t="inlineStr">
        <x:is>
          <x:t xml:space="preserve">AA|v4.3.2</x:t>
        </x:is>
      </x:c>
      <x:c r="F105" s="12" t="n"/>
      <x:c r="G105" s="12" t="inlineStr">
        <x:is>
          <x:t xml:space="preserve">2026-10-12</x:t>
        </x:is>
      </x:c>
      <x:c r="H105" s="12" t="n">
        <x:v>46</x:v>
      </x:c>
      <x:c r="I105" s="12" t="n">
        <x:f>H105^2</x:f>
        <x:v>2116</x:v>
      </x:c>
      <x:c r="J105" s="12" t="n">
        <x:v>0.13</x:v>
      </x:c>
      <x:c r="K105" s="12" t="n"/>
      <x:c r="L105" s="12" t="n"/>
      <x:c r="M105" s="12" t="n"/>
      <x:c r="N105" s="12" t="n"/>
      <x:c r="O105" s="12" t="n">
        <x:v>43</x:v>
      </x:c>
      <x:c r="P105" s="12" t="n">
        <x:v>4.11</x:v>
      </x:c>
      <x:c r="Q105" s="12" t="n"/>
      <x:c r="R105" s="12" t="n"/>
      <x:c r="S105" s="12" t="n"/>
      <x:c r="T105" s="12" t="n"/>
      <x:c r="U105" s="12" t="n"/>
      <x:c r="V105" s="12" t="n"/>
      <x:c r="W105" s="12" t="n"/>
      <x:c r="X105" s="12" t="inlineStr">
        <x:is>
          <x:t xml:space="preserve">https://artificialanalysis.ai/models/mimo-v2-6-pro</x:t>
        </x:is>
      </x:c>
      <x:c r="Y105" s="12" t="inlineStr">
        <x:is>
          <x:t xml:space="preserve">AA public snapshot; execution date unknown</x:t>
        </x:is>
      </x:c>
      <x:c r="Z105"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6" s="14" customFormat="1">
      <x:c r="A106" s="12" t="inlineStr">
        <x:is>
          <x:t xml:space="preserve">xiaomi|mimo-v2.6-flash|reasoning|reasoning|fallback-na|aa-v4.3.2|snapshot-2026-10-12</x:t>
        </x:is>
      </x:c>
      <x:c r="B106" s="12" t="inlineStr">
        <x:is>
          <x:t xml:space="preserve">xiaomi|mimo-v2.6-flash|reasoning|reasoning|fallback-na</x:t>
        </x:is>
      </x:c>
      <x:c r="C106" s="12" t="inlineStr">
        <x:is>
          <x:t xml:space="preserve">Artificial Analysis Intelligence Index</x:t>
        </x:is>
      </x:c>
      <x:c r="D106" s="12" t="inlineStr">
        <x:is>
          <x:t xml:space="preserve">v4.3.2</x:t>
        </x:is>
      </x:c>
      <x:c r="E106" s="12" t="inlineStr">
        <x:is>
          <x:t xml:space="preserve">AA|v4.3.2</x:t>
        </x:is>
      </x:c>
      <x:c r="F106" s="12" t="n"/>
      <x:c r="G106" s="12" t="inlineStr">
        <x:is>
          <x:t xml:space="preserve">2026-10-12</x:t>
        </x:is>
      </x:c>
      <x:c r="H106" s="12" t="n">
        <x:v>38</x:v>
      </x:c>
      <x:c r="I106" s="12" t="n">
        <x:f>H106^2</x:f>
        <x:v>1444</x:v>
      </x:c>
      <x:c r="J106" s="12" t="n">
        <x:v>0.06</x:v>
      </x:c>
      <x:c r="K106" s="12" t="n"/>
      <x:c r="L106" s="12" t="n"/>
      <x:c r="M106" s="12" t="n"/>
      <x:c r="N106" s="12" t="n"/>
      <x:c r="O106" s="12" t="n">
        <x:v>49</x:v>
      </x:c>
      <x:c r="P106" s="12" t="n">
        <x:v>3.59</x:v>
      </x:c>
      <x:c r="Q106" s="12" t="n"/>
      <x:c r="R106" s="12" t="n"/>
      <x:c r="S106" s="12" t="n"/>
      <x:c r="T106" s="12" t="n"/>
      <x:c r="U106" s="12" t="n"/>
      <x:c r="V106" s="12" t="n"/>
      <x:c r="W106" s="12" t="n"/>
      <x:c r="X106" s="12" t="inlineStr">
        <x:is>
          <x:t xml:space="preserve">https://artificialanalysis.ai/models/mimo-v2-6-flash</x:t>
        </x:is>
      </x:c>
      <x:c r="Y106" s="12" t="inlineStr">
        <x:is>
          <x:t xml:space="preserve">AA public snapshot; execution date unknown</x:t>
        </x:is>
      </x:c>
      <x:c r="Z106" s="12" t="inlineStr">
        <x:is>
          <x:t xml:space="preserve">Source retrieved 2026-10-12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7" s="14" customFormat="1">
      <x:c r="A107" s="12" t="inlineStr">
        <x:is>
          <x:t xml:space="preserve">meta|muse-wonder|max|reasoning|fallback-na|aa-v4.3.2|snapshot-2026-10-16</x:t>
        </x:is>
      </x:c>
      <x:c r="B107" s="12" t="inlineStr">
        <x:is>
          <x:t xml:space="preserve">meta|muse-wonder|max|reasoning|fallback-na</x:t>
        </x:is>
      </x:c>
      <x:c r="C107" s="12" t="inlineStr">
        <x:is>
          <x:t xml:space="preserve">Artificial Analysis Intelligence Index</x:t>
        </x:is>
      </x:c>
      <x:c r="D107" s="12" t="inlineStr">
        <x:is>
          <x:t xml:space="preserve">v4.3.2</x:t>
        </x:is>
      </x:c>
      <x:c r="E107" s="12" t="inlineStr">
        <x:is>
          <x:t xml:space="preserve">AA|v4.3.2</x:t>
        </x:is>
      </x:c>
      <x:c r="F107" s="12" t="n"/>
      <x:c r="G107" s="12" t="inlineStr">
        <x:is>
          <x:t xml:space="preserve">2026-10-16</x:t>
        </x:is>
      </x:c>
      <x:c r="H107" s="12" t="n">
        <x:v>52</x:v>
      </x:c>
      <x:c r="I107" s="12" t="n">
        <x:f>H107^2</x:f>
        <x:v>2704</x:v>
      </x:c>
      <x:c r="J107" s="12" t="n">
        <x:v>4.52</x:v>
      </x:c>
      <x:c r="K107" s="12" t="n"/>
      <x:c r="L107" s="12" t="n"/>
      <x:c r="M107" s="12" t="n"/>
      <x:c r="N107" s="12" t="n">
        <x:v>130000000</x:v>
      </x:c>
      <x:c r="O107" s="12" t="n">
        <x:v>183.9</x:v>
      </x:c>
      <x:c r="P107" s="12" t="n">
        <x:v>36.32</x:v>
      </x:c>
      <x:c r="Q107" s="12" t="n"/>
      <x:c r="R107" s="12" t="n"/>
      <x:c r="S107" s="12" t="n"/>
      <x:c r="T107" s="12" t="n">
        <x:v>4</x:v>
      </x:c>
      <x:c r="U107" s="12" t="n">
        <x:v>20</x:v>
      </x:c>
      <x:c r="V107" s="12" t="n">
        <x:v>0.2</x:v>
      </x:c>
      <x:c r="W107" s="12" t="n">
        <x:v>1000000</x:v>
      </x:c>
      <x:c r="X107" s="12" t="inlineStr">
        <x:is>
          <x:t xml:space="preserve">https://artificialanalysis.ai/models/muse-wonder</x:t>
        </x:is>
      </x:c>
      <x:c r="Y107" s="12" t="inlineStr">
        <x:is>
          <x:t xml:space="preserve">AA public snapshot; execution date unknown</x:t>
        </x:is>
      </x:c>
      <x:c r="Z10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8" s="14" customFormat="1">
      <x:c r="A108" s="12" t="inlineStr">
        <x:is>
          <x:t xml:space="preserve">openai|gpt-6-1-sol|xhigh|yes|fallback-na|aa-v4.3.2|snapshot-2026-10-16</x:t>
        </x:is>
      </x:c>
      <x:c r="B108" s="12" t="inlineStr">
        <x:is>
          <x:t xml:space="preserve">openai|gpt-6-1-sol|xhigh|yes|fallback-na</x:t>
        </x:is>
      </x:c>
      <x:c r="C108" s="12" t="inlineStr">
        <x:is>
          <x:t xml:space="preserve">Artificial Analysis Intelligence Index</x:t>
        </x:is>
      </x:c>
      <x:c r="D108" s="12" t="inlineStr">
        <x:is>
          <x:t xml:space="preserve">v4.3.2</x:t>
        </x:is>
      </x:c>
      <x:c r="E108" s="12" t="inlineStr">
        <x:is>
          <x:t xml:space="preserve">AA|v4.3.2</x:t>
        </x:is>
      </x:c>
      <x:c r="F108" s="12" t="n"/>
      <x:c r="G108" s="12" t="inlineStr">
        <x:is>
          <x:t xml:space="preserve">2026-10-16</x:t>
        </x:is>
      </x:c>
      <x:c r="H108" s="12" t="n">
        <x:v>51</x:v>
      </x:c>
      <x:c r="I108" s="12" t="n">
        <x:f>H108^2</x:f>
        <x:v>2601</x:v>
      </x:c>
      <x:c r="J108" s="12" t="n">
        <x:v>0.39</x:v>
      </x:c>
      <x:c r="K108" s="12" t="n"/>
      <x:c r="L108" s="12" t="n"/>
      <x:c r="M108" s="12" t="n"/>
      <x:c r="N108" s="12" t="n">
        <x:v>36000000</x:v>
      </x:c>
      <x:c r="O108" s="12" t="n">
        <x:v>56.7</x:v>
      </x:c>
      <x:c r="P108" s="12" t="n">
        <x:v>120.56</x:v>
      </x:c>
      <x:c r="Q108" s="12" t="n"/>
      <x:c r="R108" s="12" t="n"/>
      <x:c r="S108" s="12" t="n"/>
      <x:c r="T108" s="12" t="n">
        <x:v>2</x:v>
      </x:c>
      <x:c r="U108" s="12" t="n">
        <x:v>10</x:v>
      </x:c>
      <x:c r="V108" s="12" t="n">
        <x:v>0.1</x:v>
      </x:c>
      <x:c r="W108" s="12" t="n">
        <x:v>1000000</x:v>
      </x:c>
      <x:c r="X108" s="12" t="inlineStr">
        <x:is>
          <x:t xml:space="preserve">https://artificialanalysis.ai/models/gpt-6-1-sol-xhigh</x:t>
        </x:is>
      </x:c>
      <x:c r="Y108" s="12" t="inlineStr">
        <x:is>
          <x:t xml:space="preserve">AA public snapshot; execution date unknown</x:t>
        </x:is>
      </x:c>
      <x:c r="Z10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09" s="14" customFormat="1">
      <x:c r="A109" s="12" t="inlineStr">
        <x:is>
          <x:t xml:space="preserve">openai|gpt-6-1-sol|high|yes|fallback-na|aa-v4.3.2|snapshot-2026-10-16</x:t>
        </x:is>
      </x:c>
      <x:c r="B109" s="12" t="inlineStr">
        <x:is>
          <x:t xml:space="preserve">openai|gpt-6-1-sol|high|yes|fallback-na</x:t>
        </x:is>
      </x:c>
      <x:c r="C109" s="12" t="inlineStr">
        <x:is>
          <x:t xml:space="preserve">Artificial Analysis Intelligence Index</x:t>
        </x:is>
      </x:c>
      <x:c r="D109" s="12" t="inlineStr">
        <x:is>
          <x:t xml:space="preserve">v4.3.2</x:t>
        </x:is>
      </x:c>
      <x:c r="E109" s="12" t="inlineStr">
        <x:is>
          <x:t xml:space="preserve">AA|v4.3.2</x:t>
        </x:is>
      </x:c>
      <x:c r="F109" s="12" t="n"/>
      <x:c r="G109" s="12" t="inlineStr">
        <x:is>
          <x:t xml:space="preserve">2026-10-16</x:t>
        </x:is>
      </x:c>
      <x:c r="H109" s="12" t="n">
        <x:v>50</x:v>
      </x:c>
      <x:c r="I109" s="12" t="n">
        <x:f>H109^2</x:f>
        <x:v>2500</x:v>
      </x:c>
      <x:c r="J109" s="12" t="n">
        <x:v>0.32</x:v>
      </x:c>
      <x:c r="K109" s="12" t="n"/>
      <x:c r="L109" s="12" t="n"/>
      <x:c r="M109" s="12" t="n"/>
      <x:c r="N109" s="12" t="n">
        <x:v>25000000</x:v>
      </x:c>
      <x:c r="O109" s="12" t="n">
        <x:v>58.2</x:v>
      </x:c>
      <x:c r="P109" s="12" t="n">
        <x:v>39.82</x:v>
      </x:c>
      <x:c r="Q109" s="12" t="n"/>
      <x:c r="R109" s="12" t="n"/>
      <x:c r="S109" s="12" t="n"/>
      <x:c r="T109" s="12" t="n">
        <x:v>2</x:v>
      </x:c>
      <x:c r="U109" s="12" t="n">
        <x:v>10</x:v>
      </x:c>
      <x:c r="V109" s="12" t="n">
        <x:v>0.1</x:v>
      </x:c>
      <x:c r="W109" s="12" t="n">
        <x:v>1000000</x:v>
      </x:c>
      <x:c r="X109" s="12" t="inlineStr">
        <x:is>
          <x:t xml:space="preserve">https://artificialanalysis.ai/models/gpt-6-1-sol-high</x:t>
        </x:is>
      </x:c>
      <x:c r="Y109" s="12" t="inlineStr">
        <x:is>
          <x:t xml:space="preserve">AA public snapshot; execution date unknown</x:t>
        </x:is>
      </x:c>
      <x:c r="Z10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0" s="14" customFormat="1">
      <x:c r="A110" s="12" t="inlineStr">
        <x:is>
          <x:t xml:space="preserve">openai|gpt-6-1-sol|medium|yes|fallback-na|aa-v4.3.2|snapshot-2026-10-16</x:t>
        </x:is>
      </x:c>
      <x:c r="B110" s="12" t="inlineStr">
        <x:is>
          <x:t xml:space="preserve">openai|gpt-6-1-sol|medium|yes|fallback-na</x:t>
        </x:is>
      </x:c>
      <x:c r="C110" s="12" t="inlineStr">
        <x:is>
          <x:t xml:space="preserve">Artificial Analysis Intelligence Index</x:t>
        </x:is>
      </x:c>
      <x:c r="D110" s="12" t="inlineStr">
        <x:is>
          <x:t xml:space="preserve">v4.3.2</x:t>
        </x:is>
      </x:c>
      <x:c r="E110" s="12" t="inlineStr">
        <x:is>
          <x:t xml:space="preserve">AA|v4.3.2</x:t>
        </x:is>
      </x:c>
      <x:c r="F110" s="12" t="n"/>
      <x:c r="G110" s="12" t="inlineStr">
        <x:is>
          <x:t xml:space="preserve">2026-10-16</x:t>
        </x:is>
      </x:c>
      <x:c r="H110" s="12" t="n">
        <x:v>48</x:v>
      </x:c>
      <x:c r="I110" s="12" t="n">
        <x:f>H110^2</x:f>
        <x:v>2304</x:v>
      </x:c>
      <x:c r="J110" s="12" t="n">
        <x:v>0.21</x:v>
      </x:c>
      <x:c r="K110" s="12" t="n"/>
      <x:c r="L110" s="12" t="n"/>
      <x:c r="M110" s="12" t="n"/>
      <x:c r="N110" s="12" t="n">
        <x:v>15000000</x:v>
      </x:c>
      <x:c r="O110" s="12" t="n">
        <x:v>50.7</x:v>
      </x:c>
      <x:c r="P110" s="12" t="n">
        <x:v>4.24</x:v>
      </x:c>
      <x:c r="Q110" s="12" t="n"/>
      <x:c r="R110" s="12" t="n"/>
      <x:c r="S110" s="12" t="n"/>
      <x:c r="T110" s="12" t="n">
        <x:v>2</x:v>
      </x:c>
      <x:c r="U110" s="12" t="n">
        <x:v>10</x:v>
      </x:c>
      <x:c r="V110" s="12" t="n">
        <x:v>0.1</x:v>
      </x:c>
      <x:c r="W110" s="12" t="n">
        <x:v>1000000</x:v>
      </x:c>
      <x:c r="X110" s="12" t="inlineStr">
        <x:is>
          <x:t xml:space="preserve">https://artificialanalysis.ai/models/gpt-6-1-sol-medium</x:t>
        </x:is>
      </x:c>
      <x:c r="Y110" s="12" t="inlineStr">
        <x:is>
          <x:t xml:space="preserve">AA public snapshot; execution date unknown</x:t>
        </x:is>
      </x:c>
      <x:c r="Z11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1" s="14" customFormat="1">
      <x:c r="A111" s="12" t="inlineStr">
        <x:is>
          <x:t xml:space="preserve">openai|gpt-6-1-sol|low|yes|fallback-na|aa-v4.3.2|snapshot-2026-10-16</x:t>
        </x:is>
      </x:c>
      <x:c r="B111" s="12" t="inlineStr">
        <x:is>
          <x:t xml:space="preserve">openai|gpt-6-1-sol|low|yes|fallback-na</x:t>
        </x:is>
      </x:c>
      <x:c r="C111" s="12" t="inlineStr">
        <x:is>
          <x:t xml:space="preserve">Artificial Analysis Intelligence Index</x:t>
        </x:is>
      </x:c>
      <x:c r="D111" s="12" t="inlineStr">
        <x:is>
          <x:t xml:space="preserve">v4.3.2</x:t>
        </x:is>
      </x:c>
      <x:c r="E111" s="12" t="inlineStr">
        <x:is>
          <x:t xml:space="preserve">AA|v4.3.2</x:t>
        </x:is>
      </x:c>
      <x:c r="F111" s="12" t="n"/>
      <x:c r="G111" s="12" t="inlineStr">
        <x:is>
          <x:t xml:space="preserve">2026-10-16</x:t>
        </x:is>
      </x:c>
      <x:c r="H111" s="12" t="n">
        <x:v>42</x:v>
      </x:c>
      <x:c r="I111" s="12" t="n">
        <x:f>H111^2</x:f>
        <x:v>1764</x:v>
      </x:c>
      <x:c r="J111" s="12" t="n">
        <x:v>0.13</x:v>
      </x:c>
      <x:c r="K111" s="12" t="n"/>
      <x:c r="L111" s="12" t="n"/>
      <x:c r="M111" s="12" t="n"/>
      <x:c r="N111" s="12" t="n">
        <x:v>9000000</x:v>
      </x:c>
      <x:c r="O111" s="12" t="n">
        <x:v>50.8</x:v>
      </x:c>
      <x:c r="P111" s="12" t="n">
        <x:v>2.39</x:v>
      </x:c>
      <x:c r="Q111" s="12" t="n"/>
      <x:c r="R111" s="12" t="n"/>
      <x:c r="S111" s="12" t="n"/>
      <x:c r="T111" s="12" t="n">
        <x:v>2</x:v>
      </x:c>
      <x:c r="U111" s="12" t="n">
        <x:v>10</x:v>
      </x:c>
      <x:c r="V111" s="12" t="n">
        <x:v>0.1</x:v>
      </x:c>
      <x:c r="W111" s="12" t="n">
        <x:v>1000000</x:v>
      </x:c>
      <x:c r="X111" s="12" t="inlineStr">
        <x:is>
          <x:t xml:space="preserve">https://artificialanalysis.ai/models/gpt-6-1-sol-low</x:t>
        </x:is>
      </x:c>
      <x:c r="Y111" s="12" t="inlineStr">
        <x:is>
          <x:t xml:space="preserve">AA public snapshot; execution date unknown</x:t>
        </x:is>
      </x:c>
      <x:c r="Z11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2" s="14" customFormat="1">
      <x:c r="A112" s="12" t="inlineStr">
        <x:is>
          <x:t xml:space="preserve">openai|gpt-6-astra|xhigh|reasoning|fallback-na|aa-v4.3.2|snapshot-2026-10-16</x:t>
        </x:is>
      </x:c>
      <x:c r="B112" s="12" t="inlineStr">
        <x:is>
          <x:t xml:space="preserve">openai|gpt-6-astra|xhigh|reasoning|fallback-na</x:t>
        </x:is>
      </x:c>
      <x:c r="C112" s="12" t="inlineStr">
        <x:is>
          <x:t xml:space="preserve">Artificial Analysis Intelligence Index</x:t>
        </x:is>
      </x:c>
      <x:c r="D112" s="12" t="inlineStr">
        <x:is>
          <x:t xml:space="preserve">v4.3.2</x:t>
        </x:is>
      </x:c>
      <x:c r="E112" s="12" t="inlineStr">
        <x:is>
          <x:t xml:space="preserve">AA|v4.3.2</x:t>
        </x:is>
      </x:c>
      <x:c r="F112" s="12" t="n"/>
      <x:c r="G112" s="12" t="inlineStr">
        <x:is>
          <x:t xml:space="preserve">2026-10-16</x:t>
        </x:is>
      </x:c>
      <x:c r="H112" s="12" t="n">
        <x:v>52</x:v>
      </x:c>
      <x:c r="I112" s="12" t="n">
        <x:f>H112^2</x:f>
        <x:v>2704</x:v>
      </x:c>
      <x:c r="J112" s="12" t="n">
        <x:v>2.31</x:v>
      </x:c>
      <x:c r="K112" s="12" t="n"/>
      <x:c r="L112" s="12" t="n"/>
      <x:c r="M112" s="12" t="n"/>
      <x:c r="N112" s="12" t="n">
        <x:v>38000000</x:v>
      </x:c>
      <x:c r="O112" s="12" t="n">
        <x:v>52.5</x:v>
      </x:c>
      <x:c r="P112" s="12" t="n">
        <x:v>109.51</x:v>
      </x:c>
      <x:c r="Q112" s="12" t="n"/>
      <x:c r="R112" s="12" t="n"/>
      <x:c r="S112" s="12" t="n"/>
      <x:c r="T112" s="12" t="n">
        <x:v>10</x:v>
      </x:c>
      <x:c r="U112" s="12" t="n">
        <x:v>50</x:v>
      </x:c>
      <x:c r="V112" s="12" t="n">
        <x:v>1</x:v>
      </x:c>
      <x:c r="W112" s="12" t="n">
        <x:v>1000000</x:v>
      </x:c>
      <x:c r="X112" s="12" t="inlineStr">
        <x:is>
          <x:t xml:space="preserve">https://artificialanalysis.ai/models/gpt-6-astra-xhigh</x:t>
        </x:is>
      </x:c>
      <x:c r="Y112" s="12" t="inlineStr">
        <x:is>
          <x:t xml:space="preserve">AA public snapshot; execution date unknown</x:t>
        </x:is>
      </x:c>
      <x:c r="Z11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3" s="14" customFormat="1">
      <x:c r="A113" s="12" t="inlineStr">
        <x:is>
          <x:t xml:space="preserve">openai|gpt-6-astra|high|reasoning|fallback-na|aa-v4.3.2|snapshot-2026-10-16</x:t>
        </x:is>
      </x:c>
      <x:c r="B113" s="12" t="inlineStr">
        <x:is>
          <x:t xml:space="preserve">openai|gpt-6-astra|high|reasoning|fallback-na</x:t>
        </x:is>
      </x:c>
      <x:c r="C113" s="12" t="inlineStr">
        <x:is>
          <x:t xml:space="preserve">Artificial Analysis Intelligence Index</x:t>
        </x:is>
      </x:c>
      <x:c r="D113" s="12" t="inlineStr">
        <x:is>
          <x:t xml:space="preserve">v4.3.2</x:t>
        </x:is>
      </x:c>
      <x:c r="E113" s="12" t="inlineStr">
        <x:is>
          <x:t xml:space="preserve">AA|v4.3.2</x:t>
        </x:is>
      </x:c>
      <x:c r="F113" s="12" t="n"/>
      <x:c r="G113" s="12" t="inlineStr">
        <x:is>
          <x:t xml:space="preserve">2026-10-16</x:t>
        </x:is>
      </x:c>
      <x:c r="H113" s="12" t="n">
        <x:v>51</x:v>
      </x:c>
      <x:c r="I113" s="12" t="n">
        <x:f>H113^2</x:f>
        <x:v>2601</x:v>
      </x:c>
      <x:c r="J113" s="12" t="n">
        <x:v>1.73</x:v>
      </x:c>
      <x:c r="K113" s="12" t="n"/>
      <x:c r="L113" s="12" t="n"/>
      <x:c r="M113" s="12" t="n"/>
      <x:c r="N113" s="12" t="n">
        <x:v>26000000</x:v>
      </x:c>
      <x:c r="O113" s="12" t="n">
        <x:v>52.1</x:v>
      </x:c>
      <x:c r="P113" s="12" t="n">
        <x:v>47.5</x:v>
      </x:c>
      <x:c r="Q113" s="12" t="n"/>
      <x:c r="R113" s="12" t="n"/>
      <x:c r="S113" s="12" t="n"/>
      <x:c r="T113" s="12" t="n">
        <x:v>10</x:v>
      </x:c>
      <x:c r="U113" s="12" t="n">
        <x:v>50</x:v>
      </x:c>
      <x:c r="V113" s="12" t="n">
        <x:v>1</x:v>
      </x:c>
      <x:c r="W113" s="12" t="n">
        <x:v>1000000</x:v>
      </x:c>
      <x:c r="X113" s="12" t="inlineStr">
        <x:is>
          <x:t xml:space="preserve">https://artificialanalysis.ai/models/gpt-6-astra-high</x:t>
        </x:is>
      </x:c>
      <x:c r="Y113" s="12" t="inlineStr">
        <x:is>
          <x:t xml:space="preserve">AA public snapshot; execution date unknown</x:t>
        </x:is>
      </x:c>
      <x:c r="Z11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4" s="14" customFormat="1">
      <x:c r="A114" s="12" t="inlineStr">
        <x:is>
          <x:t xml:space="preserve">openai|gpt-6-astra|medium|reasoning|fallback-na|aa-v4.3.2|snapshot-2026-10-16</x:t>
        </x:is>
      </x:c>
      <x:c r="B114" s="12" t="inlineStr">
        <x:is>
          <x:t xml:space="preserve">openai|gpt-6-astra|medium|reasoning|fallback-na</x:t>
        </x:is>
      </x:c>
      <x:c r="C114" s="12" t="inlineStr">
        <x:is>
          <x:t xml:space="preserve">Artificial Analysis Intelligence Index</x:t>
        </x:is>
      </x:c>
      <x:c r="D114" s="12" t="inlineStr">
        <x:is>
          <x:t xml:space="preserve">v4.3.2</x:t>
        </x:is>
      </x:c>
      <x:c r="E114" s="12" t="inlineStr">
        <x:is>
          <x:t xml:space="preserve">AA|v4.3.2</x:t>
        </x:is>
      </x:c>
      <x:c r="F114" s="12" t="n"/>
      <x:c r="G114" s="12" t="inlineStr">
        <x:is>
          <x:t xml:space="preserve">2026-10-16</x:t>
        </x:is>
      </x:c>
      <x:c r="H114" s="12" t="n">
        <x:v>50</x:v>
      </x:c>
      <x:c r="I114" s="12" t="n">
        <x:f>H114^2</x:f>
        <x:v>2500</x:v>
      </x:c>
      <x:c r="J114" s="12" t="n">
        <x:v>1.54</x:v>
      </x:c>
      <x:c r="K114" s="12" t="n"/>
      <x:c r="L114" s="12" t="n"/>
      <x:c r="M114" s="12" t="n"/>
      <x:c r="N114" s="12" t="n">
        <x:v>19000000</x:v>
      </x:c>
      <x:c r="O114" s="12" t="n">
        <x:v>49.7</x:v>
      </x:c>
      <x:c r="P114" s="12" t="n">
        <x:v>6.48</x:v>
      </x:c>
      <x:c r="Q114" s="12" t="n"/>
      <x:c r="R114" s="12" t="n"/>
      <x:c r="S114" s="12" t="n"/>
      <x:c r="T114" s="12" t="n">
        <x:v>10</x:v>
      </x:c>
      <x:c r="U114" s="12" t="n">
        <x:v>50</x:v>
      </x:c>
      <x:c r="V114" s="12" t="n">
        <x:v>1</x:v>
      </x:c>
      <x:c r="W114" s="12" t="n">
        <x:v>1000000</x:v>
      </x:c>
      <x:c r="X114" s="12" t="inlineStr">
        <x:is>
          <x:t xml:space="preserve">https://artificialanalysis.ai/models/gpt-6-astra-medium</x:t>
        </x:is>
      </x:c>
      <x:c r="Y114" s="12" t="inlineStr">
        <x:is>
          <x:t xml:space="preserve">AA public snapshot; execution date unknown</x:t>
        </x:is>
      </x:c>
      <x:c r="Z11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5" s="14" customFormat="1">
      <x:c r="A115" s="12" t="inlineStr">
        <x:is>
          <x:t xml:space="preserve">openai|gpt-6-astra|low|reasoning|fallback-na|aa-v4.3.2|snapshot-2026-10-16</x:t>
        </x:is>
      </x:c>
      <x:c r="B115" s="12" t="inlineStr">
        <x:is>
          <x:t xml:space="preserve">openai|gpt-6-astra|low|reasoning|fallback-na</x:t>
        </x:is>
      </x:c>
      <x:c r="C115" s="12" t="inlineStr">
        <x:is>
          <x:t xml:space="preserve">Artificial Analysis Intelligence Index</x:t>
        </x:is>
      </x:c>
      <x:c r="D115" s="12" t="inlineStr">
        <x:is>
          <x:t xml:space="preserve">v4.3.2</x:t>
        </x:is>
      </x:c>
      <x:c r="E115" s="12" t="inlineStr">
        <x:is>
          <x:t xml:space="preserve">AA|v4.3.2</x:t>
        </x:is>
      </x:c>
      <x:c r="F115" s="12" t="n"/>
      <x:c r="G115" s="12" t="inlineStr">
        <x:is>
          <x:t xml:space="preserve">2026-10-16</x:t>
        </x:is>
      </x:c>
      <x:c r="H115" s="12" t="n">
        <x:v>46</x:v>
      </x:c>
      <x:c r="I115" s="12" t="n">
        <x:f>H115^2</x:f>
        <x:v>2116</x:v>
      </x:c>
      <x:c r="J115" s="12" t="n">
        <x:v>0.82</x:v>
      </x:c>
      <x:c r="K115" s="12" t="n"/>
      <x:c r="L115" s="12" t="n"/>
      <x:c r="M115" s="12" t="n"/>
      <x:c r="N115" s="12" t="n">
        <x:v>10000000</x:v>
      </x:c>
      <x:c r="O115" s="12" t="n">
        <x:v>50.5</x:v>
      </x:c>
      <x:c r="P115" s="12" t="n">
        <x:v>2.46</x:v>
      </x:c>
      <x:c r="Q115" s="12" t="n"/>
      <x:c r="R115" s="12" t="n"/>
      <x:c r="S115" s="12" t="n"/>
      <x:c r="T115" s="12" t="n">
        <x:v>10</x:v>
      </x:c>
      <x:c r="U115" s="12" t="n">
        <x:v>50</x:v>
      </x:c>
      <x:c r="V115" s="12" t="n">
        <x:v>1</x:v>
      </x:c>
      <x:c r="W115" s="12" t="n">
        <x:v>1000000</x:v>
      </x:c>
      <x:c r="X115" s="12" t="inlineStr">
        <x:is>
          <x:t xml:space="preserve">https://artificialanalysis.ai/models/gpt-6-astra-low</x:t>
        </x:is>
      </x:c>
      <x:c r="Y115" s="12" t="inlineStr">
        <x:is>
          <x:t xml:space="preserve">AA public snapshot; execution date unknown</x:t>
        </x:is>
      </x:c>
      <x:c r="Z11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6" s="14" customFormat="1">
      <x:c r="A116" s="12" t="inlineStr">
        <x:is>
          <x:t xml:space="preserve">openai|gpt-6-luna|xhigh|reasoning|fallback-na|aa-v4.3.2|snapshot-2026-10-16</x:t>
        </x:is>
      </x:c>
      <x:c r="B116" s="12" t="inlineStr">
        <x:is>
          <x:t xml:space="preserve">openai|gpt-6-luna|xhigh|reasoning|fallback-na</x:t>
        </x:is>
      </x:c>
      <x:c r="C116" s="12" t="inlineStr">
        <x:is>
          <x:t xml:space="preserve">Artificial Analysis Intelligence Index</x:t>
        </x:is>
      </x:c>
      <x:c r="D116" s="12" t="inlineStr">
        <x:is>
          <x:t xml:space="preserve">v4.3.2</x:t>
        </x:is>
      </x:c>
      <x:c r="E116" s="12" t="inlineStr">
        <x:is>
          <x:t xml:space="preserve">AA|v4.3.2</x:t>
        </x:is>
      </x:c>
      <x:c r="F116" s="12" t="n"/>
      <x:c r="G116" s="12" t="inlineStr">
        <x:is>
          <x:t xml:space="preserve">2026-10-16</x:t>
        </x:is>
      </x:c>
      <x:c r="H116" s="12" t="n">
        <x:v>35</x:v>
      </x:c>
      <x:c r="I116" s="12" t="n">
        <x:f>H116^2</x:f>
        <x:v>1225</x:v>
      </x:c>
      <x:c r="J116" s="12" t="n">
        <x:v>0.04</x:v>
      </x:c>
      <x:c r="K116" s="12" t="n"/>
      <x:c r="L116" s="12" t="n"/>
      <x:c r="M116" s="12" t="n"/>
      <x:c r="N116" s="12" t="n">
        <x:v>69000000</x:v>
      </x:c>
      <x:c r="O116" s="12" t="n">
        <x:v>114.7</x:v>
      </x:c>
      <x:c r="P116" s="12" t="n">
        <x:v>21.26</x:v>
      </x:c>
      <x:c r="Q116" s="12" t="n"/>
      <x:c r="R116" s="12" t="n"/>
      <x:c r="S116" s="12" t="n"/>
      <x:c r="T116" s="12" t="n">
        <x:v>0.1</x:v>
      </x:c>
      <x:c r="U116" s="12" t="n">
        <x:v>0.5</x:v>
      </x:c>
      <x:c r="V116" s="12" t="n">
        <x:v>0.01</x:v>
      </x:c>
      <x:c r="W116" s="12" t="n">
        <x:v>1000000</x:v>
      </x:c>
      <x:c r="X116" s="12" t="inlineStr">
        <x:is>
          <x:t xml:space="preserve">https://artificialanalysis.ai/models/gpt-6-luna-xhigh</x:t>
        </x:is>
      </x:c>
      <x:c r="Y116" s="12" t="inlineStr">
        <x:is>
          <x:t xml:space="preserve">AA public snapshot; execution date unknown</x:t>
        </x:is>
      </x:c>
      <x:c r="Z11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7" s="14" customFormat="1">
      <x:c r="A117" s="12" t="inlineStr">
        <x:is>
          <x:t xml:space="preserve">openai|gpt-6-luna|high|reasoning|fallback-na|aa-v4.3.2|snapshot-2026-10-16</x:t>
        </x:is>
      </x:c>
      <x:c r="B117" s="12" t="inlineStr">
        <x:is>
          <x:t xml:space="preserve">openai|gpt-6-luna|high|reasoning|fallback-na</x:t>
        </x:is>
      </x:c>
      <x:c r="C117" s="12" t="inlineStr">
        <x:is>
          <x:t xml:space="preserve">Artificial Analysis Intelligence Index</x:t>
        </x:is>
      </x:c>
      <x:c r="D117" s="12" t="inlineStr">
        <x:is>
          <x:t xml:space="preserve">v4.3.2</x:t>
        </x:is>
      </x:c>
      <x:c r="E117" s="12" t="inlineStr">
        <x:is>
          <x:t xml:space="preserve">AA|v4.3.2</x:t>
        </x:is>
      </x:c>
      <x:c r="F117" s="12" t="n"/>
      <x:c r="G117" s="12" t="inlineStr">
        <x:is>
          <x:t xml:space="preserve">2026-10-16</x:t>
        </x:is>
      </x:c>
      <x:c r="H117" s="12" t="n">
        <x:v>33</x:v>
      </x:c>
      <x:c r="I117" s="12" t="n">
        <x:f>H117^2</x:f>
        <x:v>1089</x:v>
      </x:c>
      <x:c r="J117" s="12" t="n">
        <x:v>0.03</x:v>
      </x:c>
      <x:c r="K117" s="12" t="n"/>
      <x:c r="L117" s="12" t="n"/>
      <x:c r="M117" s="12" t="n"/>
      <x:c r="N117" s="12" t="n">
        <x:v>47000000</x:v>
      </x:c>
      <x:c r="O117" s="12" t="n">
        <x:v>120.2</x:v>
      </x:c>
      <x:c r="P117" s="12" t="n">
        <x:v>18.71</x:v>
      </x:c>
      <x:c r="Q117" s="12" t="n"/>
      <x:c r="R117" s="12" t="n"/>
      <x:c r="S117" s="12" t="n"/>
      <x:c r="T117" s="12" t="n">
        <x:v>0.1</x:v>
      </x:c>
      <x:c r="U117" s="12" t="n">
        <x:v>0.5</x:v>
      </x:c>
      <x:c r="V117" s="12" t="n">
        <x:v>0.01</x:v>
      </x:c>
      <x:c r="W117" s="12" t="n">
        <x:v>1000000</x:v>
      </x:c>
      <x:c r="X117" s="12" t="inlineStr">
        <x:is>
          <x:t xml:space="preserve">https://artificialanalysis.ai/models/gpt-6-luna-high</x:t>
        </x:is>
      </x:c>
      <x:c r="Y117" s="12" t="inlineStr">
        <x:is>
          <x:t xml:space="preserve">AA public snapshot; execution date unknown</x:t>
        </x:is>
      </x:c>
      <x:c r="Z11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8" s="14" customFormat="1">
      <x:c r="A118" s="12" t="inlineStr">
        <x:is>
          <x:t xml:space="preserve">openai|gpt-6-luna|medium|reasoning|fallback-na|aa-v4.3.2|snapshot-2026-10-16</x:t>
        </x:is>
      </x:c>
      <x:c r="B118" s="12" t="inlineStr">
        <x:is>
          <x:t xml:space="preserve">openai|gpt-6-luna|medium|reasoning|fallback-na</x:t>
        </x:is>
      </x:c>
      <x:c r="C118" s="12" t="inlineStr">
        <x:is>
          <x:t xml:space="preserve">Artificial Analysis Intelligence Index</x:t>
        </x:is>
      </x:c>
      <x:c r="D118" s="12" t="inlineStr">
        <x:is>
          <x:t xml:space="preserve">v4.3.2</x:t>
        </x:is>
      </x:c>
      <x:c r="E118" s="12" t="inlineStr">
        <x:is>
          <x:t xml:space="preserve">AA|v4.3.2</x:t>
        </x:is>
      </x:c>
      <x:c r="F118" s="12" t="n"/>
      <x:c r="G118" s="12" t="inlineStr">
        <x:is>
          <x:t xml:space="preserve">2026-10-16</x:t>
        </x:is>
      </x:c>
      <x:c r="H118" s="12" t="n">
        <x:v>30</x:v>
      </x:c>
      <x:c r="I118" s="12" t="n">
        <x:f>H118^2</x:f>
        <x:v>900</x:v>
      </x:c>
      <x:c r="J118" s="12" t="n">
        <x:v>0.02</x:v>
      </x:c>
      <x:c r="K118" s="12" t="n"/>
      <x:c r="L118" s="12" t="n"/>
      <x:c r="M118" s="12" t="n"/>
      <x:c r="N118" s="12" t="n">
        <x:v>29000000</x:v>
      </x:c>
      <x:c r="O118" s="12" t="n"/>
      <x:c r="P118" s="12" t="n"/>
      <x:c r="Q118" s="12" t="n"/>
      <x:c r="R118" s="12" t="n"/>
      <x:c r="S118" s="12" t="n"/>
      <x:c r="T118" s="12" t="n">
        <x:v>0.1</x:v>
      </x:c>
      <x:c r="U118" s="12" t="n">
        <x:v>0.5</x:v>
      </x:c>
      <x:c r="V118" s="12" t="n">
        <x:v>0.01</x:v>
      </x:c>
      <x:c r="W118" s="12" t="n">
        <x:v>1000000</x:v>
      </x:c>
      <x:c r="X118" s="12" t="inlineStr">
        <x:is>
          <x:t xml:space="preserve">https://artificialanalysis.ai/models/gpt-6-luna-medium</x:t>
        </x:is>
      </x:c>
      <x:c r="Y118" s="12" t="inlineStr">
        <x:is>
          <x:t xml:space="preserve">AA public snapshot; execution date unknown</x:t>
        </x:is>
      </x:c>
      <x:c r="Z11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19" s="14" customFormat="1">
      <x:c r="A119" s="12" t="inlineStr">
        <x:is>
          <x:t xml:space="preserve">openai|gpt-6-luna|low|reasoning|fallback-na|aa-v4.3.2|snapshot-2026-10-16</x:t>
        </x:is>
      </x:c>
      <x:c r="B119" s="12" t="inlineStr">
        <x:is>
          <x:t xml:space="preserve">openai|gpt-6-luna|low|reasoning|fallback-na</x:t>
        </x:is>
      </x:c>
      <x:c r="C119" s="12" t="inlineStr">
        <x:is>
          <x:t xml:space="preserve">Artificial Analysis Intelligence Index</x:t>
        </x:is>
      </x:c>
      <x:c r="D119" s="12" t="inlineStr">
        <x:is>
          <x:t xml:space="preserve">v4.3.2</x:t>
        </x:is>
      </x:c>
      <x:c r="E119" s="12" t="inlineStr">
        <x:is>
          <x:t xml:space="preserve">AA|v4.3.2</x:t>
        </x:is>
      </x:c>
      <x:c r="F119" s="12" t="n"/>
      <x:c r="G119" s="12" t="inlineStr">
        <x:is>
          <x:t xml:space="preserve">2026-10-16</x:t>
        </x:is>
      </x:c>
      <x:c r="H119" s="12" t="n">
        <x:v>22</x:v>
      </x:c>
      <x:c r="I119" s="12" t="n">
        <x:f>H119^2</x:f>
        <x:v>484</x:v>
      </x:c>
      <x:c r="J119" s="12" t="n">
        <x:v>0.0045</x:v>
      </x:c>
      <x:c r="K119" s="12" t="n"/>
      <x:c r="L119" s="12" t="n"/>
      <x:c r="M119" s="12" t="n"/>
      <x:c r="N119" s="12" t="n">
        <x:v>8199999.999999999</x:v>
      </x:c>
      <x:c r="O119" s="12" t="n">
        <x:v>117.9</x:v>
      </x:c>
      <x:c r="P119" s="12" t="n">
        <x:v>2.17</x:v>
      </x:c>
      <x:c r="Q119" s="12" t="n"/>
      <x:c r="R119" s="12" t="n"/>
      <x:c r="S119" s="12" t="n"/>
      <x:c r="T119" s="12" t="n">
        <x:v>0.1</x:v>
      </x:c>
      <x:c r="U119" s="12" t="n">
        <x:v>0.5</x:v>
      </x:c>
      <x:c r="V119" s="12" t="n">
        <x:v>0.01</x:v>
      </x:c>
      <x:c r="W119" s="12" t="n">
        <x:v>1000000</x:v>
      </x:c>
      <x:c r="X119" s="12" t="inlineStr">
        <x:is>
          <x:t xml:space="preserve">https://artificialanalysis.ai/models/gpt-6-luna-low</x:t>
        </x:is>
      </x:c>
      <x:c r="Y119" s="12" t="inlineStr">
        <x:is>
          <x:t xml:space="preserve">AA public snapshot; execution date unknown</x:t>
        </x:is>
      </x:c>
      <x:c r="Z11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20" s="14" customFormat="1">
      <x:c r="A120" s="12" t="inlineStr">
        <x:is>
          <x:t xml:space="preserve">openai|gpt-6-luna|non-reasoning|nonreasoning|fallback-na|aa-v4.3.2|snapshot-2026-10-16</x:t>
        </x:is>
      </x:c>
      <x:c r="B120" s="12" t="inlineStr">
        <x:is>
          <x:t xml:space="preserve">openai|gpt-6-luna|non-reasoning|nonreasoning|fallback-na</x:t>
        </x:is>
      </x:c>
      <x:c r="C120" s="12" t="inlineStr">
        <x:is>
          <x:t xml:space="preserve">Artificial Analysis Intelligence Index</x:t>
        </x:is>
      </x:c>
      <x:c r="D120" s="12" t="inlineStr">
        <x:is>
          <x:t xml:space="preserve">v4.3.2</x:t>
        </x:is>
      </x:c>
      <x:c r="E120" s="12" t="inlineStr">
        <x:is>
          <x:t xml:space="preserve">AA|v4.3.2</x:t>
        </x:is>
      </x:c>
      <x:c r="F120" s="12" t="n"/>
      <x:c r="G120" s="12" t="inlineStr">
        <x:is>
          <x:t xml:space="preserve">2026-10-16</x:t>
        </x:is>
      </x:c>
      <x:c r="H120" s="12" t="n">
        <x:v>18</x:v>
      </x:c>
      <x:c r="I120" s="12" t="n">
        <x:f>H120^2</x:f>
        <x:v>324</x:v>
      </x:c>
      <x:c r="J120" s="12" t="n">
        <x:v>0.01</x:v>
      </x:c>
      <x:c r="K120" s="12" t="n"/>
      <x:c r="L120" s="12" t="n"/>
      <x:c r="M120" s="12" t="n"/>
      <x:c r="N120" s="12" t="n">
        <x:v>6900000</x:v>
      </x:c>
      <x:c r="O120" s="12" t="n">
        <x:v>113</x:v>
      </x:c>
      <x:c r="P120" s="12" t="n">
        <x:v>0.95</x:v>
      </x:c>
      <x:c r="Q120" s="12" t="n"/>
      <x:c r="R120" s="12" t="n"/>
      <x:c r="S120" s="12" t="n"/>
      <x:c r="T120" s="12" t="n">
        <x:v>0.1</x:v>
      </x:c>
      <x:c r="U120" s="12" t="n">
        <x:v>0.5</x:v>
      </x:c>
      <x:c r="V120" s="12" t="n">
        <x:v>0.01</x:v>
      </x:c>
      <x:c r="W120" s="12" t="n">
        <x:v>1000000</x:v>
      </x:c>
      <x:c r="X120" s="12" t="inlineStr">
        <x:is>
          <x:t xml:space="preserve">https://artificialanalysis.ai/models/gpt-6-luna-non-reasoning</x:t>
        </x:is>
      </x:c>
      <x:c r="Y120" s="12" t="inlineStr">
        <x:is>
          <x:t xml:space="preserve">AA public snapshot; execution date unknown</x:t>
        </x:is>
      </x:c>
      <x:c r="Z12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21" s="14" customFormat="1">
      <x:c r="A121" s="12" t="inlineStr">
        <x:is>
          <x:t xml:space="preserve">anthropic|claude-opus-5.5|max|reasoning|fallback-true|aa-v4.3.2|snapshot-2026-10-16</x:t>
        </x:is>
      </x:c>
      <x:c r="B121" s="12" t="inlineStr">
        <x:is>
          <x:t xml:space="preserve">anthropic|claude-opus-5.5|max|reasoning|fallback-true</x:t>
        </x:is>
      </x:c>
      <x:c r="C121" s="12" t="inlineStr">
        <x:is>
          <x:t xml:space="preserve">Artificial Analysis Intelligence Index</x:t>
        </x:is>
      </x:c>
      <x:c r="D121" s="12" t="inlineStr">
        <x:is>
          <x:t xml:space="preserve">v4.3.2</x:t>
        </x:is>
      </x:c>
      <x:c r="E121" s="12" t="inlineStr">
        <x:is>
          <x:t xml:space="preserve">AA|v4.3.2</x:t>
        </x:is>
      </x:c>
      <x:c r="F121" s="12" t="n"/>
      <x:c r="G121" s="12" t="inlineStr">
        <x:is>
          <x:t xml:space="preserve">2026-10-16</x:t>
        </x:is>
      </x:c>
      <x:c r="H121" s="12" t="n">
        <x:v>58</x:v>
      </x:c>
      <x:c r="I121" s="12" t="n">
        <x:f>H121^2</x:f>
        <x:v>3364</x:v>
      </x:c>
      <x:c r="J121" s="12" t="n">
        <x:v>5.98</x:v>
      </x:c>
      <x:c r="K121" s="12" t="n"/>
      <x:c r="L121" s="12" t="n"/>
      <x:c r="M121" s="12" t="n"/>
      <x:c r="N121" s="12" t="n">
        <x:v>260000000</x:v>
      </x:c>
      <x:c r="O121" s="12" t="n">
        <x:v>96.8</x:v>
      </x:c>
      <x:c r="P121" s="12" t="n">
        <x:v>666.74</x:v>
      </x:c>
      <x:c r="Q121" s="12" t="n"/>
      <x:c r="R121" s="12" t="n"/>
      <x:c r="S121" s="12" t="n"/>
      <x:c r="T121" s="12" t="n">
        <x:v>4</x:v>
      </x:c>
      <x:c r="U121" s="12" t="n">
        <x:v>20</x:v>
      </x:c>
      <x:c r="V121" s="12" t="n">
        <x:v>0.2</x:v>
      </x:c>
      <x:c r="W121" s="12" t="n">
        <x:v>1000000</x:v>
      </x:c>
      <x:c r="X121" s="12" t="inlineStr">
        <x:is>
          <x:t xml:space="preserve">https://artificialanalysis.ai/models/claude-opus-5-5</x:t>
        </x:is>
      </x:c>
      <x:c r="Y121" s="12" t="inlineStr">
        <x:is>
          <x:t xml:space="preserve">AA public snapshot; execution date unknown</x:t>
        </x:is>
      </x:c>
      <x:c r="Z12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2" s="14" customFormat="1">
      <x:c r="A122" s="12" t="inlineStr">
        <x:is>
          <x:t xml:space="preserve">anthropic|claude-opus-5.5|xhigh|reasoning|fallback-true|aa-v4.3.2|snapshot-2026-10-16</x:t>
        </x:is>
      </x:c>
      <x:c r="B122" s="12" t="inlineStr">
        <x:is>
          <x:t xml:space="preserve">anthropic|claude-opus-5.5|xhigh|reasoning|fallback-true</x:t>
        </x:is>
      </x:c>
      <x:c r="C122" s="12" t="inlineStr">
        <x:is>
          <x:t xml:space="preserve">Artificial Analysis Intelligence Index</x:t>
        </x:is>
      </x:c>
      <x:c r="D122" s="12" t="inlineStr">
        <x:is>
          <x:t xml:space="preserve">v4.3.2</x:t>
        </x:is>
      </x:c>
      <x:c r="E122" s="12" t="inlineStr">
        <x:is>
          <x:t xml:space="preserve">AA|v4.3.2</x:t>
        </x:is>
      </x:c>
      <x:c r="F122" s="12" t="n"/>
      <x:c r="G122" s="12" t="inlineStr">
        <x:is>
          <x:t xml:space="preserve">2026-10-16</x:t>
        </x:is>
      </x:c>
      <x:c r="H122" s="12" t="n">
        <x:v>56</x:v>
      </x:c>
      <x:c r="I122" s="12" t="n">
        <x:f>H122^2</x:f>
        <x:v>3136</x:v>
      </x:c>
      <x:c r="J122" s="12" t="n">
        <x:v>3.46</x:v>
      </x:c>
      <x:c r="K122" s="12" t="n"/>
      <x:c r="L122" s="12" t="n"/>
      <x:c r="M122" s="12" t="n"/>
      <x:c r="N122" s="12" t="n">
        <x:v>100000000</x:v>
      </x:c>
      <x:c r="O122" s="12" t="n">
        <x:v>85.5</x:v>
      </x:c>
      <x:c r="P122" s="12" t="n">
        <x:v>123.12</x:v>
      </x:c>
      <x:c r="Q122" s="12" t="n"/>
      <x:c r="R122" s="12" t="n"/>
      <x:c r="S122" s="12" t="n"/>
      <x:c r="T122" s="12" t="n">
        <x:v>4</x:v>
      </x:c>
      <x:c r="U122" s="12" t="n">
        <x:v>20</x:v>
      </x:c>
      <x:c r="V122" s="12" t="n">
        <x:v>0.2</x:v>
      </x:c>
      <x:c r="W122" s="12" t="n">
        <x:v>1000000</x:v>
      </x:c>
      <x:c r="X122" s="12" t="inlineStr">
        <x:is>
          <x:t xml:space="preserve">https://artificialanalysis.ai/models/claude-opus-5-5-xhigh</x:t>
        </x:is>
      </x:c>
      <x:c r="Y122" s="12" t="inlineStr">
        <x:is>
          <x:t xml:space="preserve">AA public snapshot; execution date unknown</x:t>
        </x:is>
      </x:c>
      <x:c r="Z12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3" s="14" customFormat="1">
      <x:c r="A123" s="12" t="inlineStr">
        <x:is>
          <x:t xml:space="preserve">anthropic|claude-opus-5.5|high|reasoning|fallback-true|aa-v4.3.2|snapshot-2026-10-16</x:t>
        </x:is>
      </x:c>
      <x:c r="B123" s="12" t="inlineStr">
        <x:is>
          <x:t xml:space="preserve">anthropic|claude-opus-5.5|high|reasoning|fallback-true</x:t>
        </x:is>
      </x:c>
      <x:c r="C123" s="12" t="inlineStr">
        <x:is>
          <x:t xml:space="preserve">Artificial Analysis Intelligence Index</x:t>
        </x:is>
      </x:c>
      <x:c r="D123" s="12" t="inlineStr">
        <x:is>
          <x:t xml:space="preserve">v4.3.2</x:t>
        </x:is>
      </x:c>
      <x:c r="E123" s="12" t="inlineStr">
        <x:is>
          <x:t xml:space="preserve">AA|v4.3.2</x:t>
        </x:is>
      </x:c>
      <x:c r="F123" s="12" t="n"/>
      <x:c r="G123" s="12" t="inlineStr">
        <x:is>
          <x:t xml:space="preserve">2026-10-16</x:t>
        </x:is>
      </x:c>
      <x:c r="H123" s="12" t="n">
        <x:v>54</x:v>
      </x:c>
      <x:c r="I123" s="12" t="n">
        <x:f>H123^2</x:f>
        <x:v>2916</x:v>
      </x:c>
      <x:c r="J123" s="12" t="n">
        <x:v>1.82</x:v>
      </x:c>
      <x:c r="K123" s="12" t="n"/>
      <x:c r="L123" s="12" t="n"/>
      <x:c r="M123" s="12" t="n"/>
      <x:c r="N123" s="12" t="n">
        <x:v>53000000</x:v>
      </x:c>
      <x:c r="O123" s="12" t="n">
        <x:v>86.8</x:v>
      </x:c>
      <x:c r="P123" s="12" t="n">
        <x:v>38.9</x:v>
      </x:c>
      <x:c r="Q123" s="12" t="n"/>
      <x:c r="R123" s="12" t="n"/>
      <x:c r="S123" s="12" t="n"/>
      <x:c r="T123" s="12" t="n">
        <x:v>4</x:v>
      </x:c>
      <x:c r="U123" s="12" t="n">
        <x:v>20</x:v>
      </x:c>
      <x:c r="V123" s="12" t="n">
        <x:v>0.2</x:v>
      </x:c>
      <x:c r="W123" s="12" t="n">
        <x:v>1000000</x:v>
      </x:c>
      <x:c r="X123" s="12" t="inlineStr">
        <x:is>
          <x:t xml:space="preserve">https://artificialanalysis.ai/models/claude-opus-5-5-high</x:t>
        </x:is>
      </x:c>
      <x:c r="Y123" s="12" t="inlineStr">
        <x:is>
          <x:t xml:space="preserve">AA public snapshot; execution date unknown</x:t>
        </x:is>
      </x:c>
      <x:c r="Z12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4" s="14" customFormat="1">
      <x:c r="A124" s="12" t="inlineStr">
        <x:is>
          <x:t xml:space="preserve">anthropic|claude-opus-5.5|medium|reasoning|fallback-true|aa-v4.3.2|snapshot-2026-10-16</x:t>
        </x:is>
      </x:c>
      <x:c r="B124" s="12" t="inlineStr">
        <x:is>
          <x:t xml:space="preserve">anthropic|claude-opus-5.5|medium|reasoning|fallback-true</x:t>
        </x:is>
      </x:c>
      <x:c r="C124" s="12" t="inlineStr">
        <x:is>
          <x:t xml:space="preserve">Artificial Analysis Intelligence Index</x:t>
        </x:is>
      </x:c>
      <x:c r="D124" s="12" t="inlineStr">
        <x:is>
          <x:t xml:space="preserve">v4.3.2</x:t>
        </x:is>
      </x:c>
      <x:c r="E124" s="12" t="inlineStr">
        <x:is>
          <x:t xml:space="preserve">AA|v4.3.2</x:t>
        </x:is>
      </x:c>
      <x:c r="F124" s="12" t="n"/>
      <x:c r="G124" s="12" t="inlineStr">
        <x:is>
          <x:t xml:space="preserve">2026-10-16</x:t>
        </x:is>
      </x:c>
      <x:c r="H124" s="12" t="n">
        <x:v>51</x:v>
      </x:c>
      <x:c r="I124" s="12" t="n">
        <x:f>H124^2</x:f>
        <x:v>2601</x:v>
      </x:c>
      <x:c r="J124" s="12" t="n">
        <x:v>1.34</x:v>
      </x:c>
      <x:c r="K124" s="12" t="n"/>
      <x:c r="L124" s="12" t="n"/>
      <x:c r="M124" s="12" t="n"/>
      <x:c r="N124" s="12" t="n">
        <x:v>38000000</x:v>
      </x:c>
      <x:c r="O124" s="12" t="n">
        <x:v>88.40000000000001</x:v>
      </x:c>
      <x:c r="P124" s="12" t="n">
        <x:v>17.41</x:v>
      </x:c>
      <x:c r="Q124" s="12" t="n"/>
      <x:c r="R124" s="12" t="n"/>
      <x:c r="S124" s="12" t="n"/>
      <x:c r="T124" s="12" t="n">
        <x:v>4</x:v>
      </x:c>
      <x:c r="U124" s="12" t="n">
        <x:v>20</x:v>
      </x:c>
      <x:c r="V124" s="12" t="n">
        <x:v>0.2</x:v>
      </x:c>
      <x:c r="W124" s="12" t="n">
        <x:v>1000000</x:v>
      </x:c>
      <x:c r="X124" s="12" t="inlineStr">
        <x:is>
          <x:t xml:space="preserve">https://artificialanalysis.ai/models/claude-opus-5-5-medium</x:t>
        </x:is>
      </x:c>
      <x:c r="Y124" s="12" t="inlineStr">
        <x:is>
          <x:t xml:space="preserve">AA public snapshot; execution date unknown</x:t>
        </x:is>
      </x:c>
      <x:c r="Z12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5" s="14" customFormat="1">
      <x:c r="A125" s="12" t="inlineStr">
        <x:is>
          <x:t xml:space="preserve">anthropic|claude-opus-5.5|low|reasoning|fallback-true|aa-v4.3.2|snapshot-2026-10-16</x:t>
        </x:is>
      </x:c>
      <x:c r="B125" s="12" t="inlineStr">
        <x:is>
          <x:t xml:space="preserve">anthropic|claude-opus-5.5|low|reasoning|fallback-true</x:t>
        </x:is>
      </x:c>
      <x:c r="C125" s="12" t="inlineStr">
        <x:is>
          <x:t xml:space="preserve">Artificial Analysis Intelligence Index</x:t>
        </x:is>
      </x:c>
      <x:c r="D125" s="12" t="inlineStr">
        <x:is>
          <x:t xml:space="preserve">v4.3.2</x:t>
        </x:is>
      </x:c>
      <x:c r="E125" s="12" t="inlineStr">
        <x:is>
          <x:t xml:space="preserve">AA|v4.3.2</x:t>
        </x:is>
      </x:c>
      <x:c r="F125" s="12" t="n"/>
      <x:c r="G125" s="12" t="inlineStr">
        <x:is>
          <x:t xml:space="preserve">2026-10-16</x:t>
        </x:is>
      </x:c>
      <x:c r="H125" s="12" t="n">
        <x:v>42</x:v>
      </x:c>
      <x:c r="I125" s="12" t="n">
        <x:f>H125^2</x:f>
        <x:v>1764</x:v>
      </x:c>
      <x:c r="J125" s="12" t="n">
        <x:v>0.55</x:v>
      </x:c>
      <x:c r="K125" s="12" t="n"/>
      <x:c r="L125" s="12" t="n"/>
      <x:c r="M125" s="12" t="n"/>
      <x:c r="N125" s="12" t="n">
        <x:v>20000000</x:v>
      </x:c>
      <x:c r="O125" s="12" t="n">
        <x:v>88.7</x:v>
      </x:c>
      <x:c r="P125" s="12" t="n">
        <x:v>6.69</x:v>
      </x:c>
      <x:c r="Q125" s="12" t="n"/>
      <x:c r="R125" s="12" t="n"/>
      <x:c r="S125" s="12" t="n"/>
      <x:c r="T125" s="12" t="n">
        <x:v>4</x:v>
      </x:c>
      <x:c r="U125" s="12" t="n">
        <x:v>20</x:v>
      </x:c>
      <x:c r="V125" s="12" t="n">
        <x:v>0.2</x:v>
      </x:c>
      <x:c r="W125" s="12" t="n">
        <x:v>1000000</x:v>
      </x:c>
      <x:c r="X125" s="12" t="inlineStr">
        <x:is>
          <x:t xml:space="preserve">https://artificialanalysis.ai/models/claude-opus-5-5-low</x:t>
        </x:is>
      </x:c>
      <x:c r="Y125" s="12" t="inlineStr">
        <x:is>
          <x:t xml:space="preserve">AA public snapshot; execution date unknown</x:t>
        </x:is>
      </x:c>
      <x:c r="Z12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6" s="14" customFormat="1">
      <x:c r="A126" s="12" t="inlineStr">
        <x:is>
          <x:t xml:space="preserve">anthropic|claude-sonnet-5.5|xhigh|reasoning|fallback-true|aa-v4.3.2|snapshot-2026-10-16</x:t>
        </x:is>
      </x:c>
      <x:c r="B126" s="12" t="inlineStr">
        <x:is>
          <x:t xml:space="preserve">anthropic|claude-sonnet-5.5|xhigh|reasoning|fallback-true</x:t>
        </x:is>
      </x:c>
      <x:c r="C126" s="12" t="inlineStr">
        <x:is>
          <x:t xml:space="preserve">Artificial Analysis Intelligence Index</x:t>
        </x:is>
      </x:c>
      <x:c r="D126" s="12" t="inlineStr">
        <x:is>
          <x:t xml:space="preserve">v4.3.2</x:t>
        </x:is>
      </x:c>
      <x:c r="E126" s="12" t="inlineStr">
        <x:is>
          <x:t xml:space="preserve">AA|v4.3.2</x:t>
        </x:is>
      </x:c>
      <x:c r="F126" s="12" t="n"/>
      <x:c r="G126" s="12" t="inlineStr">
        <x:is>
          <x:t xml:space="preserve">2026-10-16</x:t>
        </x:is>
      </x:c>
      <x:c r="H126" s="12" t="n">
        <x:v>52</x:v>
      </x:c>
      <x:c r="I126" s="12" t="n">
        <x:f>H126^2</x:f>
        <x:v>2704</x:v>
      </x:c>
      <x:c r="J126" s="12" t="n">
        <x:v>2.01</x:v>
      </x:c>
      <x:c r="K126" s="12" t="n"/>
      <x:c r="L126" s="12" t="n"/>
      <x:c r="M126" s="12" t="n"/>
      <x:c r="N126" s="12" t="n">
        <x:v>110000000</x:v>
      </x:c>
      <x:c r="O126" s="12" t="n">
        <x:v>114.3</x:v>
      </x:c>
      <x:c r="P126" s="12" t="n">
        <x:v>25.95</x:v>
      </x:c>
      <x:c r="Q126" s="12" t="n"/>
      <x:c r="R126" s="12" t="n"/>
      <x:c r="S126" s="12" t="n"/>
      <x:c r="T126" s="12" t="n">
        <x:v>2</x:v>
      </x:c>
      <x:c r="U126" s="12" t="n">
        <x:v>10</x:v>
      </x:c>
      <x:c r="V126" s="12" t="n">
        <x:v>0.1</x:v>
      </x:c>
      <x:c r="W126" s="12" t="n">
        <x:v>1000000</x:v>
      </x:c>
      <x:c r="X126" s="12" t="inlineStr">
        <x:is>
          <x:t xml:space="preserve">https://artificialanalysis.ai/models/claude-sonnet-5-5-xhigh</x:t>
        </x:is>
      </x:c>
      <x:c r="Y126" s="12" t="inlineStr">
        <x:is>
          <x:t xml:space="preserve">AA public snapshot; execution date unknown</x:t>
        </x:is>
      </x:c>
      <x:c r="Z12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7" s="14" customFormat="1">
      <x:c r="A127" s="12" t="inlineStr">
        <x:is>
          <x:t xml:space="preserve">anthropic|claude-sonnet-5.5|high|reasoning|fallback-true|aa-v4.3.2|snapshot-2026-10-16</x:t>
        </x:is>
      </x:c>
      <x:c r="B127" s="12" t="inlineStr">
        <x:is>
          <x:t xml:space="preserve">anthropic|claude-sonnet-5.5|high|reasoning|fallback-true</x:t>
        </x:is>
      </x:c>
      <x:c r="C127" s="12" t="inlineStr">
        <x:is>
          <x:t xml:space="preserve">Artificial Analysis Intelligence Index</x:t>
        </x:is>
      </x:c>
      <x:c r="D127" s="12" t="inlineStr">
        <x:is>
          <x:t xml:space="preserve">v4.3.2</x:t>
        </x:is>
      </x:c>
      <x:c r="E127" s="12" t="inlineStr">
        <x:is>
          <x:t xml:space="preserve">AA|v4.3.2</x:t>
        </x:is>
      </x:c>
      <x:c r="F127" s="12" t="n"/>
      <x:c r="G127" s="12" t="inlineStr">
        <x:is>
          <x:t xml:space="preserve">2026-10-16</x:t>
        </x:is>
      </x:c>
      <x:c r="H127" s="12" t="n">
        <x:v>47</x:v>
      </x:c>
      <x:c r="I127" s="12" t="n">
        <x:f>H127^2</x:f>
        <x:v>2209</x:v>
      </x:c>
      <x:c r="J127" s="12" t="n">
        <x:v>0.88</x:v>
      </x:c>
      <x:c r="K127" s="12" t="n"/>
      <x:c r="L127" s="12" t="n"/>
      <x:c r="M127" s="12" t="n"/>
      <x:c r="N127" s="12" t="n">
        <x:v>52000000</x:v>
      </x:c>
      <x:c r="O127" s="12" t="n">
        <x:v>112.9</x:v>
      </x:c>
      <x:c r="P127" s="12" t="n">
        <x:v>12.43</x:v>
      </x:c>
      <x:c r="Q127" s="12" t="n"/>
      <x:c r="R127" s="12" t="n"/>
      <x:c r="S127" s="12" t="n"/>
      <x:c r="T127" s="12" t="n">
        <x:v>2</x:v>
      </x:c>
      <x:c r="U127" s="12" t="n">
        <x:v>10</x:v>
      </x:c>
      <x:c r="V127" s="12" t="n">
        <x:v>0.1</x:v>
      </x:c>
      <x:c r="W127" s="12" t="n">
        <x:v>1000000</x:v>
      </x:c>
      <x:c r="X127" s="12" t="inlineStr">
        <x:is>
          <x:t xml:space="preserve">https://artificialanalysis.ai/models/claude-sonnet-5-5-high</x:t>
        </x:is>
      </x:c>
      <x:c r="Y127" s="12" t="inlineStr">
        <x:is>
          <x:t xml:space="preserve">AA public snapshot; execution date unknown</x:t>
        </x:is>
      </x:c>
      <x:c r="Z12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8" s="14" customFormat="1">
      <x:c r="A128" s="12" t="inlineStr">
        <x:is>
          <x:t xml:space="preserve">anthropic|claude-sonnet-5.5|medium|reasoning|fallback-true|aa-v4.3.2|snapshot-2026-10-16</x:t>
        </x:is>
      </x:c>
      <x:c r="B128" s="12" t="inlineStr">
        <x:is>
          <x:t xml:space="preserve">anthropic|claude-sonnet-5.5|medium|reasoning|fallback-true</x:t>
        </x:is>
      </x:c>
      <x:c r="C128" s="12" t="inlineStr">
        <x:is>
          <x:t xml:space="preserve">Artificial Analysis Intelligence Index</x:t>
        </x:is>
      </x:c>
      <x:c r="D128" s="12" t="inlineStr">
        <x:is>
          <x:t xml:space="preserve">v4.3.2</x:t>
        </x:is>
      </x:c>
      <x:c r="E128" s="12" t="inlineStr">
        <x:is>
          <x:t xml:space="preserve">AA|v4.3.2</x:t>
        </x:is>
      </x:c>
      <x:c r="F128" s="12" t="n"/>
      <x:c r="G128" s="12" t="inlineStr">
        <x:is>
          <x:t xml:space="preserve">2026-10-16</x:t>
        </x:is>
      </x:c>
      <x:c r="H128" s="12" t="n">
        <x:v>41</x:v>
      </x:c>
      <x:c r="I128" s="12" t="n">
        <x:f>H128^2</x:f>
        <x:v>1681</x:v>
      </x:c>
      <x:c r="J128" s="12" t="n">
        <x:v>0.48</x:v>
      </x:c>
      <x:c r="K128" s="12" t="n"/>
      <x:c r="L128" s="12" t="n"/>
      <x:c r="M128" s="12" t="n"/>
      <x:c r="N128" s="12" t="n">
        <x:v>31000000</x:v>
      </x:c>
      <x:c r="O128" s="12" t="n">
        <x:v>118.3</x:v>
      </x:c>
      <x:c r="P128" s="12" t="n">
        <x:v>2.99</x:v>
      </x:c>
      <x:c r="Q128" s="12" t="n"/>
      <x:c r="R128" s="12" t="n"/>
      <x:c r="S128" s="12" t="n"/>
      <x:c r="T128" s="12" t="n">
        <x:v>2</x:v>
      </x:c>
      <x:c r="U128" s="12" t="n">
        <x:v>10</x:v>
      </x:c>
      <x:c r="V128" s="12" t="n">
        <x:v>0.1</x:v>
      </x:c>
      <x:c r="W128" s="12" t="n">
        <x:v>1000000</x:v>
      </x:c>
      <x:c r="X128" s="12" t="inlineStr">
        <x:is>
          <x:t xml:space="preserve">https://artificialanalysis.ai/models/claude-sonnet-5-5-medium</x:t>
        </x:is>
      </x:c>
      <x:c r="Y128" s="12" t="inlineStr">
        <x:is>
          <x:t xml:space="preserve">AA public snapshot; execution date unknown</x:t>
        </x:is>
      </x:c>
      <x:c r="Z12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29" s="14" customFormat="1">
      <x:c r="A129" s="12" t="inlineStr">
        <x:is>
          <x:t xml:space="preserve">anthropic|claude-sonnet-5.5|low|reasoning|fallback-true|aa-v4.3.2|snapshot-2026-10-16</x:t>
        </x:is>
      </x:c>
      <x:c r="B129" s="12" t="inlineStr">
        <x:is>
          <x:t xml:space="preserve">anthropic|claude-sonnet-5.5|low|reasoning|fallback-true</x:t>
        </x:is>
      </x:c>
      <x:c r="C129" s="12" t="inlineStr">
        <x:is>
          <x:t xml:space="preserve">Artificial Analysis Intelligence Index</x:t>
        </x:is>
      </x:c>
      <x:c r="D129" s="12" t="inlineStr">
        <x:is>
          <x:t xml:space="preserve">v4.3.2</x:t>
        </x:is>
      </x:c>
      <x:c r="E129" s="12" t="inlineStr">
        <x:is>
          <x:t xml:space="preserve">AA|v4.3.2</x:t>
        </x:is>
      </x:c>
      <x:c r="F129" s="12" t="n"/>
      <x:c r="G129" s="12" t="inlineStr">
        <x:is>
          <x:t xml:space="preserve">2026-10-16</x:t>
        </x:is>
      </x:c>
      <x:c r="H129" s="12" t="n">
        <x:v>36</x:v>
      </x:c>
      <x:c r="I129" s="12" t="n">
        <x:f>H129^2</x:f>
        <x:v>1296</x:v>
      </x:c>
      <x:c r="J129" s="12" t="n">
        <x:v>0.35</x:v>
      </x:c>
      <x:c r="K129" s="12" t="n"/>
      <x:c r="L129" s="12" t="n"/>
      <x:c r="M129" s="12" t="n"/>
      <x:c r="N129" s="12" t="n">
        <x:v>23000000</x:v>
      </x:c>
      <x:c r="O129" s="12" t="n">
        <x:v>112.3</x:v>
      </x:c>
      <x:c r="P129" s="12" t="n">
        <x:v>1.35</x:v>
      </x:c>
      <x:c r="Q129" s="12" t="n"/>
      <x:c r="R129" s="12" t="n"/>
      <x:c r="S129" s="12" t="n"/>
      <x:c r="T129" s="12" t="n">
        <x:v>2</x:v>
      </x:c>
      <x:c r="U129" s="12" t="n">
        <x:v>10</x:v>
      </x:c>
      <x:c r="V129" s="12" t="n">
        <x:v>0.1</x:v>
      </x:c>
      <x:c r="W129" s="12" t="n">
        <x:v>1000000</x:v>
      </x:c>
      <x:c r="X129" s="12" t="inlineStr">
        <x:is>
          <x:t xml:space="preserve">https://artificialanalysis.ai/models/claude-sonnet-5-5-low</x:t>
        </x:is>
      </x:c>
      <x:c r="Y129" s="12" t="inlineStr">
        <x:is>
          <x:t xml:space="preserve">AA public snapshot; execution date unknown</x:t>
        </x:is>
      </x:c>
      <x:c r="Z12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 Default Fallback configuration; prior structured-output comparability caveat remains open.</x:t>
        </x:is>
      </x:c>
    </x:row>
    <x:row r="130" s="14" customFormat="1">
      <x:c r="A130" s="12" t="inlineStr">
        <x:is>
          <x:t xml:space="preserve">openai|gpt-5-6-terra|max|reasoning|fallback-na|aa-v4.3.2|snapshot-2026-10-16</x:t>
        </x:is>
      </x:c>
      <x:c r="B130" s="12" t="inlineStr">
        <x:is>
          <x:t xml:space="preserve">openai|gpt-5-6-terra|max|reasoning|fallback-na</x:t>
        </x:is>
      </x:c>
      <x:c r="C130" s="12" t="inlineStr">
        <x:is>
          <x:t xml:space="preserve">Artificial Analysis Intelligence Index</x:t>
        </x:is>
      </x:c>
      <x:c r="D130" s="12" t="inlineStr">
        <x:is>
          <x:t xml:space="preserve">v4.3.2</x:t>
        </x:is>
      </x:c>
      <x:c r="E130" s="12" t="inlineStr">
        <x:is>
          <x:t xml:space="preserve">AA|v4.3.2</x:t>
        </x:is>
      </x:c>
      <x:c r="F130" s="12" t="n"/>
      <x:c r="G130" s="12" t="inlineStr">
        <x:is>
          <x:t xml:space="preserve">2026-10-16</x:t>
        </x:is>
      </x:c>
      <x:c r="H130" s="12" t="n">
        <x:v>42</x:v>
      </x:c>
      <x:c r="I130" s="12" t="n">
        <x:f>H130^2</x:f>
        <x:v>1764</x:v>
      </x:c>
      <x:c r="J130" s="12" t="n">
        <x:v>1.4</x:v>
      </x:c>
      <x:c r="K130" s="12" t="n"/>
      <x:c r="L130" s="12" t="n"/>
      <x:c r="M130" s="12" t="n"/>
      <x:c r="N130" s="12" t="n">
        <x:v>120000000</x:v>
      </x:c>
      <x:c r="O130" s="12" t="n">
        <x:v>133.9</x:v>
      </x:c>
      <x:c r="P130" s="12" t="n">
        <x:v>118.28</x:v>
      </x:c>
      <x:c r="Q130" s="12" t="n"/>
      <x:c r="R130" s="12" t="n"/>
      <x:c r="S130" s="12" t="n"/>
      <x:c r="T130" s="12" t="n">
        <x:v>2</x:v>
      </x:c>
      <x:c r="U130" s="12" t="n">
        <x:v>12</x:v>
      </x:c>
      <x:c r="V130" s="12" t="n">
        <x:v>0.2</x:v>
      </x:c>
      <x:c r="W130" s="12" t="n">
        <x:v>1000000</x:v>
      </x:c>
      <x:c r="X130" s="12" t="inlineStr">
        <x:is>
          <x:t xml:space="preserve">https://artificialanalysis.ai/models/gpt-5-6-terra</x:t>
        </x:is>
      </x:c>
      <x:c r="Y130" s="12" t="inlineStr">
        <x:is>
          <x:t xml:space="preserve">AA public snapshot; execution date unknown</x:t>
        </x:is>
      </x:c>
      <x:c r="Z130"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1" s="14" customFormat="1">
      <x:c r="A131" s="12" t="inlineStr">
        <x:is>
          <x:t xml:space="preserve">openai|gpt-5-6-terra|xhigh|reasoning|fallback-na|aa-v4.3.2|snapshot-2026-10-16</x:t>
        </x:is>
      </x:c>
      <x:c r="B131" s="12" t="inlineStr">
        <x:is>
          <x:t xml:space="preserve">openai|gpt-5-6-terra|xhigh|reasoning|fallback-na</x:t>
        </x:is>
      </x:c>
      <x:c r="C131" s="12" t="inlineStr">
        <x:is>
          <x:t xml:space="preserve">Artificial Analysis Intelligence Index</x:t>
        </x:is>
      </x:c>
      <x:c r="D131" s="12" t="inlineStr">
        <x:is>
          <x:t xml:space="preserve">v4.3.2</x:t>
        </x:is>
      </x:c>
      <x:c r="E131" s="12" t="inlineStr">
        <x:is>
          <x:t xml:space="preserve">AA|v4.3.2</x:t>
        </x:is>
      </x:c>
      <x:c r="F131" s="12" t="n"/>
      <x:c r="G131" s="12" t="inlineStr">
        <x:is>
          <x:t xml:space="preserve">2026-10-16</x:t>
        </x:is>
      </x:c>
      <x:c r="H131" s="12" t="n">
        <x:v>38</x:v>
      </x:c>
      <x:c r="I131" s="12" t="n">
        <x:f>H131^2</x:f>
        <x:v>1444</x:v>
      </x:c>
      <x:c r="J131" s="12" t="n">
        <x:v>0.63</x:v>
      </x:c>
      <x:c r="K131" s="12" t="n"/>
      <x:c r="L131" s="12" t="n"/>
      <x:c r="M131" s="12" t="n"/>
      <x:c r="N131" s="12" t="n">
        <x:v>52000000</x:v>
      </x:c>
      <x:c r="O131" s="12" t="n">
        <x:v>130.6</x:v>
      </x:c>
      <x:c r="P131" s="12" t="n">
        <x:v>17.31</x:v>
      </x:c>
      <x:c r="Q131" s="12" t="n"/>
      <x:c r="R131" s="12" t="n"/>
      <x:c r="S131" s="12" t="n"/>
      <x:c r="T131" s="12" t="n">
        <x:v>2</x:v>
      </x:c>
      <x:c r="U131" s="12" t="n">
        <x:v>12</x:v>
      </x:c>
      <x:c r="V131" s="12" t="n">
        <x:v>0.2</x:v>
      </x:c>
      <x:c r="W131" s="12" t="n">
        <x:v>1000000</x:v>
      </x:c>
      <x:c r="X131" s="12" t="inlineStr">
        <x:is>
          <x:t xml:space="preserve">https://artificialanalysis.ai/models/gpt-5-6-terra-xhigh</x:t>
        </x:is>
      </x:c>
      <x:c r="Y131" s="12" t="inlineStr">
        <x:is>
          <x:t xml:space="preserve">AA public snapshot; execution date unknown</x:t>
        </x:is>
      </x:c>
      <x:c r="Z131"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2" s="14" customFormat="1">
      <x:c r="A132" s="12" t="inlineStr">
        <x:is>
          <x:t xml:space="preserve">openai|gpt-5-6-terra|high|reasoning|fallback-na|aa-v4.3.2|snapshot-2026-10-16</x:t>
        </x:is>
      </x:c>
      <x:c r="B132" s="12" t="inlineStr">
        <x:is>
          <x:t xml:space="preserve">openai|gpt-5-6-terra|high|reasoning|fallback-na</x:t>
        </x:is>
      </x:c>
      <x:c r="C132" s="12" t="inlineStr">
        <x:is>
          <x:t xml:space="preserve">Artificial Analysis Intelligence Index</x:t>
        </x:is>
      </x:c>
      <x:c r="D132" s="12" t="inlineStr">
        <x:is>
          <x:t xml:space="preserve">v4.3.2</x:t>
        </x:is>
      </x:c>
      <x:c r="E132" s="12" t="inlineStr">
        <x:is>
          <x:t xml:space="preserve">AA|v4.3.2</x:t>
        </x:is>
      </x:c>
      <x:c r="F132" s="12" t="n"/>
      <x:c r="G132" s="12" t="inlineStr">
        <x:is>
          <x:t xml:space="preserve">2026-10-16</x:t>
        </x:is>
      </x:c>
      <x:c r="H132" s="12" t="n">
        <x:v>34</x:v>
      </x:c>
      <x:c r="I132" s="12" t="n">
        <x:f>H132^2</x:f>
        <x:v>1156</x:v>
      </x:c>
      <x:c r="J132" s="12" t="n">
        <x:v>0.34</x:v>
      </x:c>
      <x:c r="K132" s="12" t="n"/>
      <x:c r="L132" s="12" t="n"/>
      <x:c r="M132" s="12" t="n"/>
      <x:c r="N132" s="12" t="n">
        <x:v>33000000</x:v>
      </x:c>
      <x:c r="O132" s="12" t="n">
        <x:v>114.1</x:v>
      </x:c>
      <x:c r="P132" s="12" t="n">
        <x:v>2.27</x:v>
      </x:c>
      <x:c r="Q132" s="12" t="n"/>
      <x:c r="R132" s="12" t="n"/>
      <x:c r="S132" s="12" t="n"/>
      <x:c r="T132" s="12" t="n">
        <x:v>2</x:v>
      </x:c>
      <x:c r="U132" s="12" t="n">
        <x:v>12</x:v>
      </x:c>
      <x:c r="V132" s="12" t="n">
        <x:v>0.2</x:v>
      </x:c>
      <x:c r="W132" s="12" t="n">
        <x:v>1000000</x:v>
      </x:c>
      <x:c r="X132" s="12" t="inlineStr">
        <x:is>
          <x:t xml:space="preserve">https://artificialanalysis.ai/models/gpt-5-6-terra-high</x:t>
        </x:is>
      </x:c>
      <x:c r="Y132" s="12" t="inlineStr">
        <x:is>
          <x:t xml:space="preserve">AA public snapshot; execution date unknown</x:t>
        </x:is>
      </x:c>
      <x:c r="Z132"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3" s="14" customFormat="1">
      <x:c r="A133" s="12" t="inlineStr">
        <x:is>
          <x:t xml:space="preserve">openai|gpt-5-6-terra|medium|reasoning|fallback-na|aa-v4.3.2|snapshot-2026-10-16</x:t>
        </x:is>
      </x:c>
      <x:c r="B133" s="12" t="inlineStr">
        <x:is>
          <x:t xml:space="preserve">openai|gpt-5-6-terra|medium|reasoning|fallback-na</x:t>
        </x:is>
      </x:c>
      <x:c r="C133" s="12" t="inlineStr">
        <x:is>
          <x:t xml:space="preserve">Artificial Analysis Intelligence Index</x:t>
        </x:is>
      </x:c>
      <x:c r="D133" s="12" t="inlineStr">
        <x:is>
          <x:t xml:space="preserve">v4.3.2</x:t>
        </x:is>
      </x:c>
      <x:c r="E133" s="12" t="inlineStr">
        <x:is>
          <x:t xml:space="preserve">AA|v4.3.2</x:t>
        </x:is>
      </x:c>
      <x:c r="F133" s="12" t="n"/>
      <x:c r="G133" s="12" t="inlineStr">
        <x:is>
          <x:t xml:space="preserve">2026-10-16</x:t>
        </x:is>
      </x:c>
      <x:c r="H133" s="12" t="n">
        <x:v>30</x:v>
      </x:c>
      <x:c r="I133" s="12" t="n">
        <x:f>H133^2</x:f>
        <x:v>900</x:v>
      </x:c>
      <x:c r="J133" s="12" t="n">
        <x:v>0.18</x:v>
      </x:c>
      <x:c r="K133" s="12" t="n"/>
      <x:c r="L133" s="12" t="n"/>
      <x:c r="M133" s="12" t="n"/>
      <x:c r="N133" s="12" t="n">
        <x:v>17000000</x:v>
      </x:c>
      <x:c r="O133" s="12" t="n">
        <x:v>108.2</x:v>
      </x:c>
      <x:c r="P133" s="12" t="n">
        <x:v>1.64</x:v>
      </x:c>
      <x:c r="Q133" s="12" t="n"/>
      <x:c r="R133" s="12" t="n"/>
      <x:c r="S133" s="12" t="n"/>
      <x:c r="T133" s="12" t="n">
        <x:v>2</x:v>
      </x:c>
      <x:c r="U133" s="12" t="n">
        <x:v>12</x:v>
      </x:c>
      <x:c r="V133" s="12" t="n">
        <x:v>0.2</x:v>
      </x:c>
      <x:c r="W133" s="12" t="n">
        <x:v>1000000</x:v>
      </x:c>
      <x:c r="X133" s="12" t="inlineStr">
        <x:is>
          <x:t xml:space="preserve">https://artificialanalysis.ai/models/gpt-5-6-terra-medium</x:t>
        </x:is>
      </x:c>
      <x:c r="Y133" s="12" t="inlineStr">
        <x:is>
          <x:t xml:space="preserve">AA public snapshot; execution date unknown</x:t>
        </x:is>
      </x:c>
      <x:c r="Z133"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4" s="14" customFormat="1">
      <x:c r="A134" s="12" t="inlineStr">
        <x:is>
          <x:t xml:space="preserve">openai|gpt-5-6-terra|low|reasoning|fallback-na|aa-v4.3.2|snapshot-2026-10-16</x:t>
        </x:is>
      </x:c>
      <x:c r="B134" s="12" t="inlineStr">
        <x:is>
          <x:t xml:space="preserve">openai|gpt-5-6-terra|low|reasoning|fallback-na</x:t>
        </x:is>
      </x:c>
      <x:c r="C134" s="12" t="inlineStr">
        <x:is>
          <x:t xml:space="preserve">Artificial Analysis Intelligence Index</x:t>
        </x:is>
      </x:c>
      <x:c r="D134" s="12" t="inlineStr">
        <x:is>
          <x:t xml:space="preserve">v4.3.2</x:t>
        </x:is>
      </x:c>
      <x:c r="E134" s="12" t="inlineStr">
        <x:is>
          <x:t xml:space="preserve">AA|v4.3.2</x:t>
        </x:is>
      </x:c>
      <x:c r="F134" s="12" t="n"/>
      <x:c r="G134" s="12" t="inlineStr">
        <x:is>
          <x:t xml:space="preserve">2026-10-16</x:t>
        </x:is>
      </x:c>
      <x:c r="H134" s="12" t="n">
        <x:v>27</x:v>
      </x:c>
      <x:c r="I134" s="12" t="n">
        <x:f>H134^2</x:f>
        <x:v>729</x:v>
      </x:c>
      <x:c r="J134" s="12" t="n">
        <x:v>0.14</x:v>
      </x:c>
      <x:c r="K134" s="12" t="n"/>
      <x:c r="L134" s="12" t="n"/>
      <x:c r="M134" s="12" t="n"/>
      <x:c r="N134" s="12" t="n">
        <x:v>11000000</x:v>
      </x:c>
      <x:c r="O134" s="12" t="n">
        <x:v>108.7</x:v>
      </x:c>
      <x:c r="P134" s="12" t="n">
        <x:v>1.45</x:v>
      </x:c>
      <x:c r="Q134" s="12" t="n"/>
      <x:c r="R134" s="12" t="n"/>
      <x:c r="S134" s="12" t="n"/>
      <x:c r="T134" s="12" t="n">
        <x:v>2</x:v>
      </x:c>
      <x:c r="U134" s="12" t="n">
        <x:v>12</x:v>
      </x:c>
      <x:c r="V134" s="12" t="n">
        <x:v>0.2</x:v>
      </x:c>
      <x:c r="W134" s="12" t="n">
        <x:v>1000000</x:v>
      </x:c>
      <x:c r="X134" s="12" t="inlineStr">
        <x:is>
          <x:t xml:space="preserve">https://artificialanalysis.ai/models/gpt-5-6-terra-low</x:t>
        </x:is>
      </x:c>
      <x:c r="Y134" s="12" t="inlineStr">
        <x:is>
          <x:t xml:space="preserve">AA public snapshot; execution date unknown</x:t>
        </x:is>
      </x:c>
      <x:c r="Z134"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5" s="14" customFormat="1">
      <x:c r="A135" s="12" t="inlineStr">
        <x:is>
          <x:t xml:space="preserve">openai|gpt-5-6-terra|non-reasoning|nonreasoning|fallback-na|aa-v4.3.2|snapshot-2026-10-16</x:t>
        </x:is>
      </x:c>
      <x:c r="B135" s="12" t="inlineStr">
        <x:is>
          <x:t xml:space="preserve">openai|gpt-5-6-terra|non-reasoning|nonreasoning|fallback-na</x:t>
        </x:is>
      </x:c>
      <x:c r="C135" s="12" t="inlineStr">
        <x:is>
          <x:t xml:space="preserve">Artificial Analysis Intelligence Index</x:t>
        </x:is>
      </x:c>
      <x:c r="D135" s="12" t="inlineStr">
        <x:is>
          <x:t xml:space="preserve">v4.3.2</x:t>
        </x:is>
      </x:c>
      <x:c r="E135" s="12" t="inlineStr">
        <x:is>
          <x:t xml:space="preserve">AA|v4.3.2</x:t>
        </x:is>
      </x:c>
      <x:c r="F135" s="12" t="n"/>
      <x:c r="G135" s="12" t="inlineStr">
        <x:is>
          <x:t xml:space="preserve">2026-10-16</x:t>
        </x:is>
      </x:c>
      <x:c r="H135" s="12" t="n">
        <x:v>21</x:v>
      </x:c>
      <x:c r="I135" s="12" t="n">
        <x:f>H135^2</x:f>
        <x:v>441</x:v>
      </x:c>
      <x:c r="J135" s="12" t="n">
        <x:v>0.14</x:v>
      </x:c>
      <x:c r="K135" s="12" t="n"/>
      <x:c r="L135" s="12" t="n"/>
      <x:c r="M135" s="12" t="n"/>
      <x:c r="N135" s="12" t="n">
        <x:v>5800000</x:v>
      </x:c>
      <x:c r="O135" s="12" t="n">
        <x:v>121.1</x:v>
      </x:c>
      <x:c r="P135" s="12" t="n">
        <x:v>0.78</x:v>
      </x:c>
      <x:c r="Q135" s="12" t="n"/>
      <x:c r="R135" s="12" t="n"/>
      <x:c r="S135" s="12" t="n"/>
      <x:c r="T135" s="12" t="n">
        <x:v>2</x:v>
      </x:c>
      <x:c r="U135" s="12" t="n">
        <x:v>12</x:v>
      </x:c>
      <x:c r="V135" s="12" t="n">
        <x:v>0.2</x:v>
      </x:c>
      <x:c r="W135" s="12" t="n">
        <x:v>1000000</x:v>
      </x:c>
      <x:c r="X135" s="12" t="inlineStr">
        <x:is>
          <x:t xml:space="preserve">https://artificialanalysis.ai/models/gpt-5-6-terra-non-reasoning</x:t>
        </x:is>
      </x:c>
      <x:c r="Y135" s="12" t="inlineStr">
        <x:is>
          <x:t xml:space="preserve">AA public snapshot; execution date unknown</x:t>
        </x:is>
      </x:c>
      <x:c r="Z135"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6" s="14" customFormat="1">
      <x:c r="A136" s="12" t="inlineStr">
        <x:is>
          <x:t xml:space="preserve">anthropic|claude-haiku-5-5|xhigh|yes|fallback-na|aa-v4.3.2|snapshot-2026-10-16</x:t>
        </x:is>
      </x:c>
      <x:c r="B136" s="12" t="inlineStr">
        <x:is>
          <x:t xml:space="preserve">anthropic|claude-haiku-5-5|xhigh|yes|fallback-na</x:t>
        </x:is>
      </x:c>
      <x:c r="C136" s="12" t="inlineStr">
        <x:is>
          <x:t xml:space="preserve">Artificial Analysis Intelligence Index</x:t>
        </x:is>
      </x:c>
      <x:c r="D136" s="12" t="inlineStr">
        <x:is>
          <x:t xml:space="preserve">v4.3.2</x:t>
        </x:is>
      </x:c>
      <x:c r="E136" s="12" t="inlineStr">
        <x:is>
          <x:t xml:space="preserve">AA|v4.3.2</x:t>
        </x:is>
      </x:c>
      <x:c r="F136" s="12" t="n"/>
      <x:c r="G136" s="12" t="inlineStr">
        <x:is>
          <x:t xml:space="preserve">2026-10-16</x:t>
        </x:is>
      </x:c>
      <x:c r="H136" s="12" t="n">
        <x:v>41</x:v>
      </x:c>
      <x:c r="I136" s="12" t="n">
        <x:f>H136^2</x:f>
        <x:v>1681</x:v>
      </x:c>
      <x:c r="J136" s="12" t="n">
        <x:v>0.12</x:v>
      </x:c>
      <x:c r="K136" s="12" t="n"/>
      <x:c r="L136" s="12" t="n"/>
      <x:c r="M136" s="12" t="n"/>
      <x:c r="N136" s="12" t="n">
        <x:v>180000000</x:v>
      </x:c>
      <x:c r="O136" s="12" t="n">
        <x:v>190.2</x:v>
      </x:c>
      <x:c r="P136" s="12" t="n">
        <x:v>58.91</x:v>
      </x:c>
      <x:c r="Q136" s="12" t="n"/>
      <x:c r="R136" s="12" t="n"/>
      <x:c r="S136" s="12" t="n"/>
      <x:c r="T136" s="12" t="n">
        <x:v>0.1</x:v>
      </x:c>
      <x:c r="U136" s="12" t="n">
        <x:v>0.5</x:v>
      </x:c>
      <x:c r="V136" s="12" t="n">
        <x:v>0.01</x:v>
      </x:c>
      <x:c r="W136" s="12" t="n">
        <x:v>1000000</x:v>
      </x:c>
      <x:c r="X136" s="12" t="inlineStr">
        <x:is>
          <x:t xml:space="preserve">https://artificialanalysis.ai/models/claude-haiku-5-5-xhigh</x:t>
        </x:is>
      </x:c>
      <x:c r="Y136" s="12" t="inlineStr">
        <x:is>
          <x:t xml:space="preserve">AA public snapshot; execution date unknown</x:t>
        </x:is>
      </x:c>
      <x:c r="Z136"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7" s="14" customFormat="1">
      <x:c r="A137" s="12" t="inlineStr">
        <x:is>
          <x:t xml:space="preserve">anthropic|claude-haiku-5-5|high|yes|fallback-na|aa-v4.3.2|snapshot-2026-10-16</x:t>
        </x:is>
      </x:c>
      <x:c r="B137" s="12" t="inlineStr">
        <x:is>
          <x:t xml:space="preserve">anthropic|claude-haiku-5-5|high|yes|fallback-na</x:t>
        </x:is>
      </x:c>
      <x:c r="C137" s="12" t="inlineStr">
        <x:is>
          <x:t xml:space="preserve">Artificial Analysis Intelligence Index</x:t>
        </x:is>
      </x:c>
      <x:c r="D137" s="12" t="inlineStr">
        <x:is>
          <x:t xml:space="preserve">v4.3.2</x:t>
        </x:is>
      </x:c>
      <x:c r="E137" s="12" t="inlineStr">
        <x:is>
          <x:t xml:space="preserve">AA|v4.3.2</x:t>
        </x:is>
      </x:c>
      <x:c r="F137" s="12" t="n"/>
      <x:c r="G137" s="12" t="inlineStr">
        <x:is>
          <x:t xml:space="preserve">2026-10-16</x:t>
        </x:is>
      </x:c>
      <x:c r="H137" s="12" t="n">
        <x:v>38</x:v>
      </x:c>
      <x:c r="I137" s="12" t="n">
        <x:f>H137^2</x:f>
        <x:v>1444</x:v>
      </x:c>
      <x:c r="J137" s="12" t="n">
        <x:v>0.08</x:v>
      </x:c>
      <x:c r="K137" s="12" t="n"/>
      <x:c r="L137" s="12" t="n"/>
      <x:c r="M137" s="12" t="n"/>
      <x:c r="N137" s="12" t="n">
        <x:v>97000000</x:v>
      </x:c>
      <x:c r="O137" s="12" t="n">
        <x:v>182.2</x:v>
      </x:c>
      <x:c r="P137" s="12" t="n">
        <x:v>21.54</x:v>
      </x:c>
      <x:c r="Q137" s="12" t="n"/>
      <x:c r="R137" s="12" t="n"/>
      <x:c r="S137" s="12" t="n"/>
      <x:c r="T137" s="12" t="n">
        <x:v>0.1</x:v>
      </x:c>
      <x:c r="U137" s="12" t="n">
        <x:v>0.5</x:v>
      </x:c>
      <x:c r="V137" s="12" t="n">
        <x:v>0.01</x:v>
      </x:c>
      <x:c r="W137" s="12" t="n">
        <x:v>1000000</x:v>
      </x:c>
      <x:c r="X137" s="12" t="inlineStr">
        <x:is>
          <x:t xml:space="preserve">https://artificialanalysis.ai/models/claude-haiku-5-5-high</x:t>
        </x:is>
      </x:c>
      <x:c r="Y137" s="12" t="inlineStr">
        <x:is>
          <x:t xml:space="preserve">AA public snapshot; execution date unknown</x:t>
        </x:is>
      </x:c>
      <x:c r="Z137"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8" s="14" customFormat="1">
      <x:c r="A138" s="12" t="inlineStr">
        <x:is>
          <x:t xml:space="preserve">anthropic|claude-haiku-5-5|medium|yes|fallback-na|aa-v4.3.2|snapshot-2026-10-16</x:t>
        </x:is>
      </x:c>
      <x:c r="B138" s="12" t="inlineStr">
        <x:is>
          <x:t xml:space="preserve">anthropic|claude-haiku-5-5|medium|yes|fallback-na</x:t>
        </x:is>
      </x:c>
      <x:c r="C138" s="12" t="inlineStr">
        <x:is>
          <x:t xml:space="preserve">Artificial Analysis Intelligence Index</x:t>
        </x:is>
      </x:c>
      <x:c r="D138" s="12" t="inlineStr">
        <x:is>
          <x:t xml:space="preserve">v4.3.2</x:t>
        </x:is>
      </x:c>
      <x:c r="E138" s="12" t="inlineStr">
        <x:is>
          <x:t xml:space="preserve">AA|v4.3.2</x:t>
        </x:is>
      </x:c>
      <x:c r="F138" s="12" t="n"/>
      <x:c r="G138" s="12" t="inlineStr">
        <x:is>
          <x:t xml:space="preserve">2026-10-16</x:t>
        </x:is>
      </x:c>
      <x:c r="H138" s="12" t="n">
        <x:v>34</x:v>
      </x:c>
      <x:c r="I138" s="12" t="n">
        <x:f>H138^2</x:f>
        <x:v>1156</x:v>
      </x:c>
      <x:c r="J138" s="12" t="n">
        <x:v>0.05</x:v>
      </x:c>
      <x:c r="K138" s="12" t="n"/>
      <x:c r="L138" s="12" t="n"/>
      <x:c r="M138" s="12" t="n"/>
      <x:c r="N138" s="12" t="n">
        <x:v>54000000</x:v>
      </x:c>
      <x:c r="O138" s="12" t="n">
        <x:v>186.8</x:v>
      </x:c>
      <x:c r="P138" s="12" t="n">
        <x:v>8.470000000000001</x:v>
      </x:c>
      <x:c r="Q138" s="12" t="n"/>
      <x:c r="R138" s="12" t="n"/>
      <x:c r="S138" s="12" t="n"/>
      <x:c r="T138" s="12" t="n">
        <x:v>0.1</x:v>
      </x:c>
      <x:c r="U138" s="12" t="n">
        <x:v>0.5</x:v>
      </x:c>
      <x:c r="V138" s="12" t="n">
        <x:v>0.01</x:v>
      </x:c>
      <x:c r="W138" s="12" t="n">
        <x:v>1000000</x:v>
      </x:c>
      <x:c r="X138" s="12" t="inlineStr">
        <x:is>
          <x:t xml:space="preserve">https://artificialanalysis.ai/models/claude-haiku-5-5-medium</x:t>
        </x:is>
      </x:c>
      <x:c r="Y138" s="12" t="inlineStr">
        <x:is>
          <x:t xml:space="preserve">AA public snapshot; execution date unknown</x:t>
        </x:is>
      </x:c>
      <x:c r="Z138"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39" s="14" customFormat="1">
      <x:c r="A139" s="12" t="inlineStr">
        <x:is>
          <x:t xml:space="preserve">anthropic|claude-haiku-5-5|low|yes|fallback-na|aa-v4.3.2|snapshot-2026-10-16</x:t>
        </x:is>
      </x:c>
      <x:c r="B139" s="12" t="inlineStr">
        <x:is>
          <x:t xml:space="preserve">anthropic|claude-haiku-5-5|low|yes|fallback-na</x:t>
        </x:is>
      </x:c>
      <x:c r="C139" s="12" t="inlineStr">
        <x:is>
          <x:t xml:space="preserve">Artificial Analysis Intelligence Index</x:t>
        </x:is>
      </x:c>
      <x:c r="D139" s="12" t="inlineStr">
        <x:is>
          <x:t xml:space="preserve">v4.3.2</x:t>
        </x:is>
      </x:c>
      <x:c r="E139" s="12" t="inlineStr">
        <x:is>
          <x:t xml:space="preserve">AA|v4.3.2</x:t>
        </x:is>
      </x:c>
      <x:c r="F139" s="12" t="n"/>
      <x:c r="G139" s="12" t="inlineStr">
        <x:is>
          <x:t xml:space="preserve">2026-10-16</x:t>
        </x:is>
      </x:c>
      <x:c r="H139" s="12" t="n">
        <x:v>29</x:v>
      </x:c>
      <x:c r="I139" s="12" t="n">
        <x:f>H139^2</x:f>
        <x:v>841</x:v>
      </x:c>
      <x:c r="J139" s="12" t="n">
        <x:v>0.02</x:v>
      </x:c>
      <x:c r="K139" s="12" t="n"/>
      <x:c r="L139" s="12" t="n"/>
      <x:c r="M139" s="12" t="n"/>
      <x:c r="N139" s="12" t="n">
        <x:v>32000000</x:v>
      </x:c>
      <x:c r="O139" s="12" t="n">
        <x:v>186.5</x:v>
      </x:c>
      <x:c r="P139" s="12" t="n">
        <x:v>6.33</x:v>
      </x:c>
      <x:c r="Q139" s="12" t="n"/>
      <x:c r="R139" s="12" t="n"/>
      <x:c r="S139" s="12" t="n"/>
      <x:c r="T139" s="12" t="n">
        <x:v>0.1</x:v>
      </x:c>
      <x:c r="U139" s="12" t="n">
        <x:v>0.5</x:v>
      </x:c>
      <x:c r="V139" s="12" t="n">
        <x:v>0.01</x:v>
      </x:c>
      <x:c r="W139" s="12" t="n">
        <x:v>1000000</x:v>
      </x:c>
      <x:c r="X139" s="12" t="inlineStr">
        <x:is>
          <x:t xml:space="preserve">https://artificialanalysis.ai/models/claude-haiku-5-5-low</x:t>
        </x:is>
      </x:c>
      <x:c r="Y139" s="12" t="inlineStr">
        <x:is>
          <x:t xml:space="preserve">AA public snapshot; execution date unknown</x:t>
        </x:is>
      </x:c>
      <x:c r="Z139" s="12" t="inlineStr">
        <x:is>
          <x:t xml:space="preserve">Source retrieved 2026-10-16 UTC (exact original retrieval time not retained); imported 2026-10-16T08:55:25.574964+00:00. Actual test execution date unavailable; blank. This is a public-page snapshot, not an independent rerun. Model summary speed where available; TTFT from first-party provider Median First Chunk, not first-answer or full-task time.</x:t>
        </x:is>
      </x:c>
    </x:row>
    <x:row r="140">
      <x:c r="A140" s="12" t="inlineStr">
        <x:is>
          <x:t xml:space="preserve">google|gemini-3.8-flash|low|reasoning|fallback-na|aa-v4.3.2|snapshot-2026-10-17</x:t>
        </x:is>
      </x:c>
      <x:c r="B140" s="12" t="inlineStr">
        <x:is>
          <x:t xml:space="preserve">google|gemini-3.8-flash|low|reasoning|fallback-na</x:t>
        </x:is>
      </x:c>
      <x:c r="C140" s="12" t="inlineStr">
        <x:is>
          <x:t xml:space="preserve">Artificial Analysis Intelligence Index</x:t>
        </x:is>
      </x:c>
      <x:c r="D140" s="12" t="inlineStr">
        <x:is>
          <x:t xml:space="preserve">v4.3.2</x:t>
        </x:is>
      </x:c>
      <x:c r="E140" s="12" t="inlineStr">
        <x:is>
          <x:t xml:space="preserve">AA|v4.3.2</x:t>
        </x:is>
      </x:c>
      <x:c r="F140" s="12" t="n"/>
      <x:c r="G140" s="12" t="inlineStr">
        <x:is>
          <x:t xml:space="preserve">2026-10-17</x:t>
        </x:is>
      </x:c>
      <x:c r="H140" s="12" t="n">
        <x:v>33</x:v>
      </x:c>
      <x:c r="I140" s="12" t="n">
        <x:f>IF(H140="","",H140*H140)</x:f>
        <x:v>1089</x:v>
      </x:c>
      <x:c r="J140" s="12" t="n"/>
      <x:c r="K140" s="12" t="n"/>
      <x:c r="L140" s="12" t="n"/>
      <x:c r="M140" s="12" t="n"/>
      <x:c r="N140" s="12" t="n"/>
      <x:c r="O140" s="12" t="n"/>
      <x:c r="P140" s="12" t="n"/>
      <x:c r="Q140" s="12" t="n"/>
      <x:c r="R140" s="12" t="n"/>
      <x:c r="S140" s="12" t="n"/>
      <x:c r="T140" s="12" t="n">
        <x:v>0.75</x:v>
      </x:c>
      <x:c r="U140" s="12" t="n">
        <x:v>3.75</x:v>
      </x:c>
      <x:c r="V140" s="12" t="n">
        <x:v>0.075</x:v>
      </x:c>
      <x:c r="W140" s="12" t="n">
        <x:v>1048576</x:v>
      </x:c>
      <x:c r="X140" s="12" t="inlineStr">
        <x:is>
          <x:t xml:space="preserve">https://artificialanalysis.ai/models/gemini-3-8-flash-low</x:t>
        </x:is>
      </x:c>
      <x:c r="Y140" s="12" t="inlineStr">
        <x:is>
          <x:t xml:space="preserve">AA public model-page snapshot; actual test date not disclosed</x:t>
        </x:is>
      </x:c>
      <x:c r="Z140" s="12" t="inlineStr">
        <x:is>
          <x:t xml:space="preserve">AA v4.3.2 page publishes score 33, 1M context, and API token prices. The Low page and direct Low-vs-High comparison were checked on 2026-10-17; AA does not publish task cost, token counts, speed, latency, or time-per-task for Low.</x:t>
        </x:is>
      </x:c>
    </x:row>
    <x:row r="141">
      <x:c r="A141" s="12" t="inlineStr">
        <x:is>
          <x:t xml:space="preserve">google|gemini-3.8-flash|medium|reasoning|fallback-na|aa-v4.3.2|snapshot-2026-10-17</x:t>
        </x:is>
      </x:c>
      <x:c r="B141" s="12" t="inlineStr">
        <x:is>
          <x:t xml:space="preserve">google|gemini-3.8-flash|medium|reasoning|fallback-na</x:t>
        </x:is>
      </x:c>
      <x:c r="C141" s="12" t="inlineStr">
        <x:is>
          <x:t xml:space="preserve">Artificial Analysis Intelligence Index</x:t>
        </x:is>
      </x:c>
      <x:c r="D141" s="12" t="inlineStr">
        <x:is>
          <x:t xml:space="preserve">v4.3.2</x:t>
        </x:is>
      </x:c>
      <x:c r="E141" s="12" t="inlineStr">
        <x:is>
          <x:t xml:space="preserve">AA|v4.3.2</x:t>
        </x:is>
      </x:c>
      <x:c r="F141" s="12" t="n"/>
      <x:c r="G141" s="12" t="inlineStr">
        <x:is>
          <x:t xml:space="preserve">2026-10-17</x:t>
        </x:is>
      </x:c>
      <x:c r="H141" s="12" t="n">
        <x:v>40</x:v>
      </x:c>
      <x:c r="I141" s="12" t="n">
        <x:f>IF(H141="","",H141*H141)</x:f>
        <x:v>1600</x:v>
      </x:c>
      <x:c r="J141" s="12" t="n">
        <x:v>0.93</x:v>
      </x:c>
      <x:c r="K141" s="12" t="n">
        <x:v>1100</x:v>
      </x:c>
      <x:c r="L141" s="12" t="n">
        <x:v>53000</x:v>
      </x:c>
      <x:c r="M141" s="12" t="n">
        <x:v>27000</x:v>
      </x:c>
      <x:c r="N141" s="12" t="n">
        <x:v>95000000</x:v>
      </x:c>
      <x:c r="O141" s="12" t="n"/>
      <x:c r="P141" s="12" t="n"/>
      <x:c r="Q141" s="12" t="n"/>
      <x:c r="R141" s="12" t="n"/>
      <x:c r="S141" s="12" t="n"/>
      <x:c r="T141" s="12" t="n">
        <x:v>0.75</x:v>
      </x:c>
      <x:c r="U141" s="12" t="n">
        <x:v>3.75</x:v>
      </x:c>
      <x:c r="V141" s="12" t="n">
        <x:v>0.075</x:v>
      </x:c>
      <x:c r="W141" s="12" t="n">
        <x:v>1048576</x:v>
      </x:c>
      <x:c r="X141" s="12" t="inlineStr">
        <x:is>
          <x:t xml:space="preserve">https://artificialanalysis.ai/models/comparisons/gemini-3-8-flash-vs-gemini-3-8-flash-medium</x:t>
        </x:is>
      </x:c>
      <x:c r="Y141" s="12" t="inlineStr">
        <x:is>
          <x:t xml:space="preserve">AA model and comparison-page snapshot; actual test date not disclosed</x:t>
        </x:is>
      </x:c>
      <x:c r="Z141" s="12" t="inlineStr">
        <x:is>
          <x:t xml:space="preserve">Current AA medium page reports score 40 and $0.93/task. The current High-vs-Medium comparison reports 53k output tokens/task, 27k reasoning tokens/task, and 95M index output tokens; medium speed, latency, and time/task are not published there.</x:t>
        </x:is>
      </x:c>
    </x:row>
    <x:row r="142">
      <x:c r="A142" s="12" t="inlineStr">
        <x:is>
          <x:t xml:space="preserve">google|gemini-3.8-flash|high|reasoning|fallback-na|aa-v4.3.2|snapshot-2026-10-17</x:t>
        </x:is>
      </x:c>
      <x:c r="B142" s="12" t="inlineStr">
        <x:is>
          <x:t xml:space="preserve">google|gemini-3.8-flash|high|reasoning|fallback-na</x:t>
        </x:is>
      </x:c>
      <x:c r="C142" s="12" t="inlineStr">
        <x:is>
          <x:t xml:space="preserve">Artificial Analysis Intelligence Index</x:t>
        </x:is>
      </x:c>
      <x:c r="D142" s="12" t="inlineStr">
        <x:is>
          <x:t xml:space="preserve">v4.3.2</x:t>
        </x:is>
      </x:c>
      <x:c r="E142" s="12" t="inlineStr">
        <x:is>
          <x:t xml:space="preserve">AA|v4.3.2</x:t>
        </x:is>
      </x:c>
      <x:c r="F142" s="12" t="n"/>
      <x:c r="G142" s="12" t="inlineStr">
        <x:is>
          <x:t xml:space="preserve">2026-10-17</x:t>
        </x:is>
      </x:c>
      <x:c r="H142" s="12" t="n">
        <x:v>41</x:v>
      </x:c>
      <x:c r="I142" s="12" t="n">
        <x:f>IF(H142="","",H142*H142)</x:f>
        <x:v>1681</x:v>
      </x:c>
      <x:c r="J142" s="12" t="n">
        <x:v>1.24</x:v>
      </x:c>
      <x:c r="K142" s="12" t="n"/>
      <x:c r="L142" s="12" t="n">
        <x:v>71000</x:v>
      </x:c>
      <x:c r="M142" s="12" t="n">
        <x:v>43000</x:v>
      </x:c>
      <x:c r="N142" s="12" t="n">
        <x:v>170000000</x:v>
      </x:c>
      <x:c r="O142" s="12" t="n">
        <x:v>147.1</x:v>
      </x:c>
      <x:c r="P142" s="12" t="n">
        <x:v>22.594393433</x:v>
      </x:c>
      <x:c r="Q142" s="12" t="n">
        <x:v>22.594393433</x:v>
      </x:c>
      <x:c r="R142" s="12" t="n">
        <x:v>25.99405551523795</x:v>
      </x:c>
      <x:c r="S142" s="12" t="n">
        <x:v>473.9820893441367</x:v>
      </x:c>
      <x:c r="T142" s="12" t="n">
        <x:v>0.75</x:v>
      </x:c>
      <x:c r="U142" s="12" t="n">
        <x:v>3.75</x:v>
      </x:c>
      <x:c r="V142" s="12" t="n">
        <x:v>0.075</x:v>
      </x:c>
      <x:c r="W142" s="12" t="n">
        <x:v>1048576</x:v>
      </x:c>
      <x:c r="X142" s="12" t="inlineStr">
        <x:is>
          <x:t xml:space="preserve">https://artificialanalysis.ai/models/gemini-3-8-flash</x:t>
        </x:is>
      </x:c>
      <x:c r="Y142" s="12" t="inlineStr">
        <x:is>
          <x:t xml:space="preserve">AA live direct model-page and comparison-page snapshot; actual test date not disclosed</x:t>
        </x:is>
      </x:c>
      <x:c r="Z142" s="12" t="inlineStr">
        <x:is>
          <x:t xml:space="preserve">Live AA High-vs-Medium and High-vs-Low comparison pages agree with the live model page on speed (147 vs 147.1 t/s, rounded), first-answer latency (22.59s), weighted decode time/task (473.98s), and 10k/500 E2E (25.99s). The direct model page reports 170M output tokens for the Index; both comparison pages report 172M. Keep the direct-page value in this row and track the 2M cross-page difference separately.</x:t>
        </x:is>
      </x:c>
    </x:row>
    <x:row r="143">
      <x:c r="A143" s="12" t="inlineStr">
        <x:is>
          <x:t xml:space="preserve">google|gemini-3-1-pro-preview|not-stated|reasoning|fallback-na|aa-v4.3.2|snapshot-2026-10-17</x:t>
        </x:is>
      </x:c>
      <x:c r="B143" s="12" t="inlineStr">
        <x:is>
          <x:t xml:space="preserve">google|gemini-3-1-pro-preview|not-stated|reasoning|fallback-na</x:t>
        </x:is>
      </x:c>
      <x:c r="C143" s="12" t="inlineStr">
        <x:is>
          <x:t xml:space="preserve">Artificial Analysis Intelligence Index</x:t>
        </x:is>
      </x:c>
      <x:c r="D143" s="12" t="inlineStr">
        <x:is>
          <x:t xml:space="preserve">v4.3.2</x:t>
        </x:is>
      </x:c>
      <x:c r="E143" s="12" t="inlineStr">
        <x:is>
          <x:t xml:space="preserve">AA|v4.3.2</x:t>
        </x:is>
      </x:c>
      <x:c r="F143" s="12" t="n"/>
      <x:c r="G143" s="12" t="inlineStr">
        <x:is>
          <x:t xml:space="preserve">2026-10-17</x:t>
        </x:is>
      </x:c>
      <x:c r="H143" s="12" t="n">
        <x:v>30</x:v>
      </x:c>
      <x:c r="I143" s="12" t="n">
        <x:f>IF(H143="","",H143*H143)</x:f>
        <x:v>900</x:v>
      </x:c>
      <x:c r="J143" s="12" t="n">
        <x:v>1.3</x:v>
      </x:c>
      <x:c r="K143" s="12" t="n">
        <x:v>1935</x:v>
      </x:c>
      <x:c r="L143" s="12" t="n">
        <x:v>18000</x:v>
      </x:c>
      <x:c r="M143" s="12" t="n">
        <x:v>12000</x:v>
      </x:c>
      <x:c r="N143" s="12" t="n">
        <x:v>67000000</x:v>
      </x:c>
      <x:c r="O143" s="12" t="n">
        <x:v>140.1</x:v>
      </x:c>
      <x:c r="P143" s="12" t="n">
        <x:v>16.93</x:v>
      </x:c>
      <x:c r="Q143" s="12" t="n">
        <x:v>16.93</x:v>
      </x:c>
      <x:c r="R143" s="12" t="n">
        <x:v>20.95</x:v>
      </x:c>
      <x:c r="S143" s="12" t="n">
        <x:v>123.52</x:v>
      </x:c>
      <x:c r="T143" s="12" t="n">
        <x:v>2</x:v>
      </x:c>
      <x:c r="U143" s="12" t="n">
        <x:v>12</x:v>
      </x:c>
      <x:c r="V143" s="12" t="n">
        <x:v>0.2</x:v>
      </x:c>
      <x:c r="W143" s="12" t="n">
        <x:v>1048576</x:v>
      </x:c>
      <x:c r="X143" s="12" t="inlineStr">
        <x:is>
          <x:t xml:space="preserve">https://artificialanalysis.ai/models/gemini-3-1-pro-preview</x:t>
        </x:is>
      </x:c>
      <x:c r="Y143" s="12" t="inlineStr">
        <x:is>
          <x:t xml:space="preserve">AA current model-page and comparison-page snapshot; actual test date not disclosed</x:t>
        </x:is>
      </x:c>
      <x:c r="Z143" s="12" t="inlineStr">
        <x:is>
          <x:t xml:space="preserve">AA model page reports score 30, $1.30/task, 67M index output tokens, 140.1 tokens/s and 16.93s first-answer latency. AA current model comparison reports 18k output tokens/task, 12k reasoning tokens/task, $1,935 total index cost, 123.52s/task, and 20.95s end-to-end response. Effort level is not stated.</x:t>
        </x:is>
      </x:c>
    </x:row>
    <x:row r="144">
      <x:c r="A144" s="12" t="inlineStr">
        <x:is>
          <x:t xml:space="preserve">google|gemini-3-5-flash|high|reasoning|fallback-na|aa-v4.3.2|snapshot-2026-10-17</x:t>
        </x:is>
      </x:c>
      <x:c r="B144" s="12" t="inlineStr">
        <x:is>
          <x:t xml:space="preserve">google|gemini-3-5-flash|high|reasoning|fallback-na</x:t>
        </x:is>
      </x:c>
      <x:c r="C144" s="12" t="inlineStr">
        <x:is>
          <x:t xml:space="preserve">Artificial Analysis Intelligence Index</x:t>
        </x:is>
      </x:c>
      <x:c r="D144" s="12" t="inlineStr">
        <x:is>
          <x:t xml:space="preserve">v4.3.2</x:t>
        </x:is>
      </x:c>
      <x:c r="E144" s="12" t="inlineStr">
        <x:is>
          <x:t xml:space="preserve">AA|v4.3.2</x:t>
        </x:is>
      </x:c>
      <x:c r="F144" s="12" t="n"/>
      <x:c r="G144" s="12" t="inlineStr">
        <x:is>
          <x:t xml:space="preserve">2026-10-17</x:t>
        </x:is>
      </x:c>
      <x:c r="H144" s="12" t="n">
        <x:v>33</x:v>
      </x:c>
      <x:c r="I144" s="12" t="n">
        <x:f>IF(H144="","",H144*H144)</x:f>
        <x:v>1089</x:v>
      </x:c>
      <x:c r="J144" s="12" t="n">
        <x:v>3.69</x:v>
      </x:c>
      <x:c r="K144" s="12" t="n"/>
      <x:c r="L144" s="12" t="n"/>
      <x:c r="M144" s="12" t="n"/>
      <x:c r="N144" s="12" t="n">
        <x:v>120000000</x:v>
      </x:c>
      <x:c r="O144" s="12" t="n">
        <x:v>187.9</x:v>
      </x:c>
      <x:c r="P144" s="12" t="n">
        <x:v>13.47</x:v>
      </x:c>
      <x:c r="Q144" s="12" t="n">
        <x:v>13.47</x:v>
      </x:c>
      <x:c r="R144" s="12" t="n"/>
      <x:c r="S144" s="12" t="n"/>
      <x:c r="T144" s="12" t="n">
        <x:v>1.5</x:v>
      </x:c>
      <x:c r="U144" s="12" t="n">
        <x:v>9</x:v>
      </x:c>
      <x:c r="V144" s="12" t="n">
        <x:v>0.15</x:v>
      </x:c>
      <x:c r="W144" s="12" t="n">
        <x:v>1048576</x:v>
      </x:c>
      <x:c r="X144" s="12" t="inlineStr">
        <x:is>
          <x:t xml:space="preserve">https://artificialanalysis.ai/models/gemini-3-5-flash</x:t>
        </x:is>
      </x:c>
      <x:c r="Y144" s="12" t="inlineStr">
        <x:is>
          <x:t xml:space="preserve">AA public model-page snapshot; deprecated endpoint; actual test date not disclosed</x:t>
        </x:is>
      </x:c>
      <x:c r="Z144" s="12" t="inlineStr">
        <x:is>
          <x:t xml:space="preserve">AA page identifies this as Gemini 3.5 Flash High and reports score 33, $3.69/task, 120M index tokens, 187.9 tokens/s, and 13.47s first-answer latency. Google marks gemini-3.5-flash deprecated and automatically routes API calls to Gemini 3.6 Flash. Historical workbook record only; not in Explorer.</x:t>
        </x:is>
      </x:c>
    </x:row>
    <x:row r="145">
      <x:c r="A145" t="inlineStr">
        <x:is>
          <x:t xml:space="preserve">CAI-v1.5|codex|openai|gpt-6-1-sol|xhigh|2026-10-16</x:t>
        </x:is>
      </x:c>
      <x:c r="B145" t="inlineStr">
        <x:is>
          <x:t xml:space="preserve">openai|gpt-6-1-sol|xhigh|yes|fallback-na</x:t>
        </x:is>
      </x:c>
      <x:c r="C145" t="inlineStr">
        <x:is>
          <x:t xml:space="preserve">Artificial Analysis Coding Agent Index</x:t>
        </x:is>
      </x:c>
      <x:c r="D145" t="inlineStr">
        <x:is>
          <x:t xml:space="preserve">v1.5</x:t>
        </x:is>
      </x:c>
      <x:c r="E145" t="inlineStr">
        <x:is>
          <x:t xml:space="preserve">CAI|v1.5</x:t>
        </x:is>
      </x:c>
      <x:c r="G145" t="inlineStr">
        <x:is>
          <x:t xml:space="preserve">2026-10-16</x:t>
        </x:is>
      </x:c>
      <x:c r="H145" t="n">
        <x:v>63</x:v>
      </x:c>
      <x:c r="I145" t="n">
        <x:f>IF(H145="","",H145*H145)</x:f>
        <x:v>3969</x:v>
      </x:c>
      <x:c r="J145" t="n">
        <x:v>1.04</x:v>
      </x:c>
      <x:c r="S145" t="n">
        <x:v>930</x:v>
      </x:c>
      <x:c r="X145" t="inlineStr">
        <x:is>
          <x:t xml:space="preserve">https://artificialanalysis.ai/agents/coding-agents/comparisons/codex-vs-muse-code</x:t>
        </x:is>
      </x:c>
      <x:c r="Y145" t="inlineStr">
        <x:is>
          <x:t xml:space="preserve">CAI v1.5 public variant table</x:t>
        </x:is>
      </x:c>
      <x:c r="Z145" t="inlineStr">
        <x:is>
          <x:t xml:space="preserve">Agent harness=Codex; components DeepSWE v1.1=73%, Terminal-Bench 4.0=55%, SWE-Atlas-QnA=61%; total tokens/task=3.2M. Test date not reported. Model and effort name match; Codex harness; AA source uses direct model evaluation</x:t>
        </x:is>
      </x:c>
    </x:row>
    <x:row r="146">
      <x:c r="A146" t="inlineStr">
        <x:is>
          <x:t xml:space="preserve">CAI-v1.5|codex|openai|gpt-6-astra|max|2026-10-16</x:t>
        </x:is>
      </x:c>
      <x:c r="B146" t="inlineStr">
        <x:is>
          <x:t xml:space="preserve">openai|gpt-6-astra|max|reasoning|fallback-na</x:t>
        </x:is>
      </x:c>
      <x:c r="C146" t="inlineStr">
        <x:is>
          <x:t xml:space="preserve">Artificial Analysis Coding Agent Index</x:t>
        </x:is>
      </x:c>
      <x:c r="D146" t="inlineStr">
        <x:is>
          <x:t xml:space="preserve">v1.5</x:t>
        </x:is>
      </x:c>
      <x:c r="E146" t="inlineStr">
        <x:is>
          <x:t xml:space="preserve">CAI|v1.5</x:t>
        </x:is>
      </x:c>
      <x:c r="G146" t="inlineStr">
        <x:is>
          <x:t xml:space="preserve">2026-10-16</x:t>
        </x:is>
      </x:c>
      <x:c r="H146" t="n">
        <x:v>62</x:v>
      </x:c>
      <x:c r="I146" t="n">
        <x:f>IF(H146="","",H146*H146)</x:f>
        <x:v>3844</x:v>
      </x:c>
      <x:c r="J146" t="n">
        <x:v>7.47</x:v>
      </x:c>
      <x:c r="S146" t="n">
        <x:v>1764</x:v>
      </x:c>
      <x:c r="X146" t="inlineStr">
        <x:is>
          <x:t xml:space="preserve">https://artificialanalysis.ai/agents/coding-agents/comparisons/codex-vs-muse-code</x:t>
        </x:is>
      </x:c>
      <x:c r="Y146" t="inlineStr">
        <x:is>
          <x:t xml:space="preserve">CAI v1.5 public variant table</x:t>
        </x:is>
      </x:c>
      <x:c r="Z146" t="inlineStr">
        <x:is>
          <x:t xml:space="preserve">Agent harness=Codex; components DeepSWE v1.1=68%, Terminal-Bench 4.0=56%, SWE-Atlas-QnA=62%; total tokens/task=3.3M. Test date not reported. Model and effort name match; Codex harness; AA source uses direct model evaluation</x:t>
        </x:is>
      </x:c>
    </x:row>
    <x:row r="147">
      <x:c r="A147" t="inlineStr">
        <x:is>
          <x:t xml:space="preserve">CAI-v1.5|codex|openai|gpt-6-1-sol|medium|2026-10-16</x:t>
        </x:is>
      </x:c>
      <x:c r="B147" t="inlineStr">
        <x:is>
          <x:t xml:space="preserve">openai|gpt-6-1-sol|medium|yes|fallback-na</x:t>
        </x:is>
      </x:c>
      <x:c r="C147" t="inlineStr">
        <x:is>
          <x:t xml:space="preserve">Artificial Analysis Coding Agent Index</x:t>
        </x:is>
      </x:c>
      <x:c r="D147" t="inlineStr">
        <x:is>
          <x:t xml:space="preserve">v1.5</x:t>
        </x:is>
      </x:c>
      <x:c r="E147" t="inlineStr">
        <x:is>
          <x:t xml:space="preserve">CAI|v1.5</x:t>
        </x:is>
      </x:c>
      <x:c r="G147" t="inlineStr">
        <x:is>
          <x:t xml:space="preserve">2026-10-16</x:t>
        </x:is>
      </x:c>
      <x:c r="H147" t="n">
        <x:v>61</x:v>
      </x:c>
      <x:c r="I147" t="n">
        <x:f>IF(H147="","",H147*H147)</x:f>
        <x:v>3721</x:v>
      </x:c>
      <x:c r="J147" t="n">
        <x:v>0.7</x:v>
      </x:c>
      <x:c r="S147" t="n">
        <x:v>654</x:v>
      </x:c>
      <x:c r="X147" t="inlineStr">
        <x:is>
          <x:t xml:space="preserve">https://artificialanalysis.ai/agents/coding-agents/comparisons/codex-vs-muse-code</x:t>
        </x:is>
      </x:c>
      <x:c r="Y147" t="inlineStr">
        <x:is>
          <x:t xml:space="preserve">CAI v1.5 public variant table</x:t>
        </x:is>
      </x:c>
      <x:c r="Z147" t="inlineStr">
        <x:is>
          <x:t xml:space="preserve">Agent harness=Codex; components DeepSWE v1.1=72%, Terminal-Bench 4.0=52%, SWE-Atlas-QnA=61%; total tokens/task=2.3M. Test date not reported. Model and effort name match; Codex harness; AA source uses direct model evaluation</x:t>
        </x:is>
      </x:c>
    </x:row>
    <x:row r="148">
      <x:c r="A148" t="inlineStr">
        <x:is>
          <x:t xml:space="preserve">CAI-v1.5|codex|openai|gpt-6-1-sol|high|2026-10-16</x:t>
        </x:is>
      </x:c>
      <x:c r="B148" t="inlineStr">
        <x:is>
          <x:t xml:space="preserve">openai|gpt-6-1-sol|high|yes|fallback-na</x:t>
        </x:is>
      </x:c>
      <x:c r="C148" t="inlineStr">
        <x:is>
          <x:t xml:space="preserve">Artificial Analysis Coding Agent Index</x:t>
        </x:is>
      </x:c>
      <x:c r="D148" t="inlineStr">
        <x:is>
          <x:t xml:space="preserve">v1.5</x:t>
        </x:is>
      </x:c>
      <x:c r="E148" t="inlineStr">
        <x:is>
          <x:t xml:space="preserve">CAI|v1.5</x:t>
        </x:is>
      </x:c>
      <x:c r="G148" t="inlineStr">
        <x:is>
          <x:t xml:space="preserve">2026-10-16</x:t>
        </x:is>
      </x:c>
      <x:c r="H148" t="n">
        <x:v>60</x:v>
      </x:c>
      <x:c r="I148" t="n">
        <x:f>IF(H148="","",H148*H148)</x:f>
        <x:v>3600</x:v>
      </x:c>
      <x:c r="J148" t="n">
        <x:v>0.89</x:v>
      </x:c>
      <x:c r="S148" t="n">
        <x:v>798</x:v>
      </x:c>
      <x:c r="X148" t="inlineStr">
        <x:is>
          <x:t xml:space="preserve">https://artificialanalysis.ai/agents/coding-agents/comparisons/codex-vs-muse-code</x:t>
        </x:is>
      </x:c>
      <x:c r="Y148" t="inlineStr">
        <x:is>
          <x:t xml:space="preserve">CAI v1.5 public variant table</x:t>
        </x:is>
      </x:c>
      <x:c r="Z148" t="inlineStr">
        <x:is>
          <x:t xml:space="preserve">Agent harness=Codex; components DeepSWE v1.1=71%, Terminal-Bench 4.0=50%, SWE-Atlas-QnA=60%; total tokens/task=2.8M. Test date not reported. Model and effort name match; Codex harness; AA source uses direct model evaluation</x:t>
        </x:is>
      </x:c>
    </x:row>
    <x:row r="149">
      <x:c r="A149" t="inlineStr">
        <x:is>
          <x:t xml:space="preserve">CAI-v1.5|codex|openai|gpt-6-1-sol|max|2026-10-16</x:t>
        </x:is>
      </x:c>
      <x:c r="B149" t="inlineStr">
        <x:is>
          <x:t xml:space="preserve">openai|gpt-6-1-sol|max|yes|fallback-na</x:t>
        </x:is>
      </x:c>
      <x:c r="C149" t="inlineStr">
        <x:is>
          <x:t xml:space="preserve">Artificial Analysis Coding Agent Index</x:t>
        </x:is>
      </x:c>
      <x:c r="D149" t="inlineStr">
        <x:is>
          <x:t xml:space="preserve">v1.5</x:t>
        </x:is>
      </x:c>
      <x:c r="E149" t="inlineStr">
        <x:is>
          <x:t xml:space="preserve">CAI|v1.5</x:t>
        </x:is>
      </x:c>
      <x:c r="G149" t="inlineStr">
        <x:is>
          <x:t xml:space="preserve">2026-10-16</x:t>
        </x:is>
      </x:c>
      <x:c r="H149" t="n">
        <x:v>60</x:v>
      </x:c>
      <x:c r="I149" t="n">
        <x:f>IF(H149="","",H149*H149)</x:f>
        <x:v>3600</x:v>
      </x:c>
      <x:c r="J149" t="n">
        <x:v>1.55</x:v>
      </x:c>
      <x:c r="S149" t="n">
        <x:v>1464</x:v>
      </x:c>
      <x:c r="X149" t="inlineStr">
        <x:is>
          <x:t xml:space="preserve">https://artificialanalysis.ai/agents/coding-agents/comparisons/codex-vs-muse-code</x:t>
        </x:is>
      </x:c>
      <x:c r="Y149" t="inlineStr">
        <x:is>
          <x:t xml:space="preserve">CAI v1.5 public variant table</x:t>
        </x:is>
      </x:c>
      <x:c r="Z149" t="inlineStr">
        <x:is>
          <x:t xml:space="preserve">Agent harness=Codex; components DeepSWE v1.1=70%, Terminal-Bench 4.0=53%, SWE-Atlas-QnA=58%; total tokens/task=4M. Test date not reported. Model and effort name match; Codex harness; AA source uses direct model evaluation</x:t>
        </x:is>
      </x:c>
    </x:row>
    <x:row r="150">
      <x:c r="A150" t="inlineStr">
        <x:is>
          <x:t xml:space="preserve">CAI-v1.5|codex|openai|gpt-6-1-sol|low|2026-10-16</x:t>
        </x:is>
      </x:c>
      <x:c r="B150" t="inlineStr">
        <x:is>
          <x:t xml:space="preserve">openai|gpt-6-1-sol|low|yes|fallback-na</x:t>
        </x:is>
      </x:c>
      <x:c r="C150" t="inlineStr">
        <x:is>
          <x:t xml:space="preserve">Artificial Analysis Coding Agent Index</x:t>
        </x:is>
      </x:c>
      <x:c r="D150" t="inlineStr">
        <x:is>
          <x:t xml:space="preserve">v1.5</x:t>
        </x:is>
      </x:c>
      <x:c r="E150" t="inlineStr">
        <x:is>
          <x:t xml:space="preserve">CAI|v1.5</x:t>
        </x:is>
      </x:c>
      <x:c r="G150" t="inlineStr">
        <x:is>
          <x:t xml:space="preserve">2026-10-16</x:t>
        </x:is>
      </x:c>
      <x:c r="H150" t="n">
        <x:v>57</x:v>
      </x:c>
      <x:c r="I150" t="n">
        <x:f>IF(H150="","",H150*H150)</x:f>
        <x:v>3249</x:v>
      </x:c>
      <x:c r="J150" t="n">
        <x:v>0.5</x:v>
      </x:c>
      <x:c r="S150" t="n">
        <x:v>516</x:v>
      </x:c>
      <x:c r="X150" t="inlineStr">
        <x:is>
          <x:t xml:space="preserve">https://artificialanalysis.ai/agents/coding-agents/comparisons/codex-vs-muse-code</x:t>
        </x:is>
      </x:c>
      <x:c r="Y150" t="inlineStr">
        <x:is>
          <x:t xml:space="preserve">CAI v1.5 public variant table</x:t>
        </x:is>
      </x:c>
      <x:c r="Z150" t="inlineStr">
        <x:is>
          <x:t xml:space="preserve">Agent harness=Codex; components DeepSWE v1.1=68%, Terminal-Bench 4.0=49%, SWE-Atlas-QnA=55%; total tokens/task=1.7M. Test date not reported. Model and effort name match; Codex harness; AA source uses direct model evaluation</x:t>
        </x:is>
      </x:c>
    </x:row>
    <x:row r="151">
      <x:c r="A151" t="inlineStr">
        <x:is>
          <x:t xml:space="preserve">CAI-v1.5|codex|openai|gpt-6-sol|max|2026-10-16</x:t>
        </x:is>
      </x:c>
      <x:c r="B151" t="inlineStr">
        <x:is>
          <x:t xml:space="preserve">openai|gpt-6-sol|max|reasoning|fallback-na</x:t>
        </x:is>
      </x:c>
      <x:c r="C151" t="inlineStr">
        <x:is>
          <x:t xml:space="preserve">Artificial Analysis Coding Agent Index</x:t>
        </x:is>
      </x:c>
      <x:c r="D151" t="inlineStr">
        <x:is>
          <x:t xml:space="preserve">v1.5</x:t>
        </x:is>
      </x:c>
      <x:c r="E151" t="inlineStr">
        <x:is>
          <x:t xml:space="preserve">CAI|v1.5</x:t>
        </x:is>
      </x:c>
      <x:c r="G151" t="inlineStr">
        <x:is>
          <x:t xml:space="preserve">2026-10-16</x:t>
        </x:is>
      </x:c>
      <x:c r="H151" t="n">
        <x:v>57</x:v>
      </x:c>
      <x:c r="I151" t="n">
        <x:f>IF(H151="","",H151*H151)</x:f>
        <x:v>3249</x:v>
      </x:c>
      <x:c r="J151" t="n">
        <x:v>2.99</x:v>
      </x:c>
      <x:c r="S151" t="n">
        <x:v>1338</x:v>
      </x:c>
      <x:c r="X151" t="inlineStr">
        <x:is>
          <x:t xml:space="preserve">https://artificialanalysis.ai/agents/coding-agents/comparisons/codex-vs-muse-code</x:t>
        </x:is>
      </x:c>
      <x:c r="Y151" t="inlineStr">
        <x:is>
          <x:t xml:space="preserve">CAI v1.5 public variant table</x:t>
        </x:is>
      </x:c>
      <x:c r="Z151" t="inlineStr">
        <x:is>
          <x:t xml:space="preserve">Agent harness=Codex; components DeepSWE v1.1=69%, Terminal-Bench 4.0=43%, SWE-Atlas-QnA=58%; total tokens/task=9.8M. Test date not reported. Model and effort name match; older sibling to GPT-6.1 Sol</x:t>
        </x:is>
      </x:c>
    </x:row>
    <x:row r="152">
      <x:c r="A152" t="inlineStr">
        <x:is>
          <x:t xml:space="preserve">CAI-v1.5|codex|deepseek|deepseek-v4-pro-0813|max|2026-10-16</x:t>
        </x:is>
      </x:c>
      <x:c r="B152" t="inlineStr">
        <x:is>
          <x:t xml:space="preserve">deepseek|deepseek-v4-pro-0813|max|reasoning|fallback-na</x:t>
        </x:is>
      </x:c>
      <x:c r="C152" t="inlineStr">
        <x:is>
          <x:t xml:space="preserve">Artificial Analysis Coding Agent Index</x:t>
        </x:is>
      </x:c>
      <x:c r="D152" t="inlineStr">
        <x:is>
          <x:t xml:space="preserve">v1.5</x:t>
        </x:is>
      </x:c>
      <x:c r="E152" t="inlineStr">
        <x:is>
          <x:t xml:space="preserve">CAI|v1.5</x:t>
        </x:is>
      </x:c>
      <x:c r="G152" t="inlineStr">
        <x:is>
          <x:t xml:space="preserve">2026-10-16</x:t>
        </x:is>
      </x:c>
      <x:c r="H152" t="n">
        <x:v>43</x:v>
      </x:c>
      <x:c r="I152" t="n">
        <x:f>IF(H152="","",H152*H152)</x:f>
        <x:v>1849</x:v>
      </x:c>
      <x:c r="J152" t="n">
        <x:v>0.24</x:v>
      </x:c>
      <x:c r="S152" t="n">
        <x:v>2418</x:v>
      </x:c>
      <x:c r="X152" t="inlineStr">
        <x:is>
          <x:t xml:space="preserve">https://artificialanalysis.ai/agents/coding-agents/comparisons/codex-vs-muse-code</x:t>
        </x:is>
      </x:c>
      <x:c r="Y152" t="inlineStr">
        <x:is>
          <x:t xml:space="preserve">CAI v1.5 public variant table</x:t>
        </x:is>
      </x:c>
      <x:c r="Z152" t="inlineStr">
        <x:is>
          <x:t xml:space="preserve">Agent harness=Codex; components DeepSWE v1.1=57%, Terminal-Bench 4.0=10%, SWE-Atlas-QnA=62%; total tokens/task=24.2M. Test date not reported. Model and effort name match; Codex harness; AA source uses direct model evaluation</x:t>
        </x:is>
      </x:c>
    </x:row>
    <x:row r="153">
      <x:c r="A153" t="inlineStr">
        <x:is>
          <x:t xml:space="preserve">CAI-v1.5|codex|openai|gpt-6-luna|max|2026-10-16</x:t>
        </x:is>
      </x:c>
      <x:c r="B153" t="inlineStr">
        <x:is>
          <x:t xml:space="preserve">openai|gpt-6-luna|max|reasoning|fallback-na</x:t>
        </x:is>
      </x:c>
      <x:c r="C153" t="inlineStr">
        <x:is>
          <x:t xml:space="preserve">Artificial Analysis Coding Agent Index</x:t>
        </x:is>
      </x:c>
      <x:c r="D153" t="inlineStr">
        <x:is>
          <x:t xml:space="preserve">v1.5</x:t>
        </x:is>
      </x:c>
      <x:c r="E153" t="inlineStr">
        <x:is>
          <x:t xml:space="preserve">CAI|v1.5</x:t>
        </x:is>
      </x:c>
      <x:c r="G153" t="inlineStr">
        <x:is>
          <x:t xml:space="preserve">2026-10-16</x:t>
        </x:is>
      </x:c>
      <x:c r="H153" t="n">
        <x:v>41</x:v>
      </x:c>
      <x:c r="I153" t="n">
        <x:f>IF(H153="","",H153*H153)</x:f>
        <x:v>1681</x:v>
      </x:c>
      <x:c r="J153" t="n">
        <x:v>0.18</x:v>
      </x:c>
      <x:c r="S153" t="n">
        <x:v>1284</x:v>
      </x:c>
      <x:c r="X153" t="inlineStr">
        <x:is>
          <x:t xml:space="preserve">https://artificialanalysis.ai/agents/coding-agents/comparisons/codex-vs-muse-code</x:t>
        </x:is>
      </x:c>
      <x:c r="Y153" t="inlineStr">
        <x:is>
          <x:t xml:space="preserve">CAI v1.5 public variant table</x:t>
        </x:is>
      </x:c>
      <x:c r="Z153" t="inlineStr">
        <x:is>
          <x:t xml:space="preserve">Agent harness=Codex; components DeepSWE v1.1=64%, Terminal-Bench 4.0=15%, SWE-Atlas-QnA=44%; total tokens/task=10.2M. Test date not reported. Model and effort name match; Codex harness; AA source uses direct model evaluation</x:t>
        </x:is>
      </x:c>
    </x:row>
    <x:row r="154">
      <x:c r="A154" t="inlineStr">
        <x:is>
          <x:t xml:space="preserve">CAI-v1.5|codex|deepseek|deepseek-v4-flash-0731|max|2026-10-16</x:t>
        </x:is>
      </x:c>
      <x:c r="B154" t="inlineStr">
        <x:is>
          <x:t xml:space="preserve">deepseek|deepseek-v4-flash-0731|max|reasoning|fallback-na</x:t>
        </x:is>
      </x:c>
      <x:c r="C154" t="inlineStr">
        <x:is>
          <x:t xml:space="preserve">Artificial Analysis Coding Agent Index</x:t>
        </x:is>
      </x:c>
      <x:c r="D154" t="inlineStr">
        <x:is>
          <x:t xml:space="preserve">v1.5</x:t>
        </x:is>
      </x:c>
      <x:c r="E154" t="inlineStr">
        <x:is>
          <x:t xml:space="preserve">CAI|v1.5</x:t>
        </x:is>
      </x:c>
      <x:c r="G154" t="inlineStr">
        <x:is>
          <x:t xml:space="preserve">2026-10-16</x:t>
        </x:is>
      </x:c>
      <x:c r="H154" t="n">
        <x:v>39</x:v>
      </x:c>
      <x:c r="I154" t="n">
        <x:f>IF(H154="","",H154*H154)</x:f>
        <x:v>1521</x:v>
      </x:c>
      <x:c r="J154" t="n">
        <x:v>0.09</x:v>
      </x:c>
      <x:c r="S154" t="n">
        <x:v>1098</x:v>
      </x:c>
      <x:c r="X154" t="inlineStr">
        <x:is>
          <x:t xml:space="preserve">https://artificialanalysis.ai/agents/coding-agents/comparisons/codex-vs-muse-code</x:t>
        </x:is>
      </x:c>
      <x:c r="Y154" t="inlineStr">
        <x:is>
          <x:t xml:space="preserve">CAI v1.5 public variant table</x:t>
        </x:is>
      </x:c>
      <x:c r="Z154" t="inlineStr">
        <x:is>
          <x:t xml:space="preserve">Agent harness=Codex; components DeepSWE v1.1=54%, Terminal-Bench 4.0=11%, SWE-Atlas-QnA=51%; total tokens/task=15.4M. Test date not reported. Older named release; not merged with current workbook DeepSeek V4.1 Flash</x:t>
        </x:is>
      </x:c>
    </x:row>
    <x:row r="155">
      <x:c r="A155" t="inlineStr">
        <x:is>
          <x:t xml:space="preserve">CAI-v1.5|muse-code|meta|muse-wonder-full|max|2026-10-16</x:t>
        </x:is>
      </x:c>
      <x:c r="B155" t="inlineStr">
        <x:is>
          <x:t xml:space="preserve">meta|muse-wonder-full|max|reasoning|fallback-na</x:t>
        </x:is>
      </x:c>
      <x:c r="C155" t="inlineStr">
        <x:is>
          <x:t xml:space="preserve">Artificial Analysis Coding Agent Index</x:t>
        </x:is>
      </x:c>
      <x:c r="D155" t="inlineStr">
        <x:is>
          <x:t xml:space="preserve">v1.5</x:t>
        </x:is>
      </x:c>
      <x:c r="E155" t="inlineStr">
        <x:is>
          <x:t xml:space="preserve">CAI|v1.5</x:t>
        </x:is>
      </x:c>
      <x:c r="G155" t="inlineStr">
        <x:is>
          <x:t xml:space="preserve">2026-10-16</x:t>
        </x:is>
      </x:c>
      <x:c r="H155" t="n">
        <x:v>68</x:v>
      </x:c>
      <x:c r="I155" t="n">
        <x:f>IF(H155="","",H155*H155)</x:f>
        <x:v>4624</x:v>
      </x:c>
      <x:c r="S155" t="n">
        <x:v>1728</x:v>
      </x:c>
      <x:c r="X155" t="inlineStr">
        <x:is>
          <x:t xml:space="preserve">https://artificialanalysis.ai/agents/coding-agents/comparisons/codex-vs-muse-code</x:t>
        </x:is>
      </x:c>
      <x:c r="Y155" t="inlineStr">
        <x:is>
          <x:t xml:space="preserve">CAI v1.5 public variant table</x:t>
        </x:is>
      </x:c>
      <x:c r="Z155" t="inlineStr">
        <x:is>
          <x:t xml:space="preserve">Agent harness=Muse Code; components DeepSWE v1.1=77%, Terminal-Bench 4.0=59%, SWE-Atlas-QnA=68%; total tokens/task=15M. Test date not reported. Model and effort name match; cost unavailable despite UI displaying $0.00 Page displays $0.00 with comparison unavailable; numeric cost left blank.</x:t>
        </x:is>
      </x:c>
    </x:row>
    <x:row r="156">
      <x:c r="A156" t="inlineStr">
        <x:is>
          <x:t xml:space="preserve">CAI-v1.5|muse-code|meta|muse-wonder|max|2026-10-16</x:t>
        </x:is>
      </x:c>
      <x:c r="B156" t="inlineStr">
        <x:is>
          <x:t xml:space="preserve">meta|muse-wonder|max|reasoning|fallback-na</x:t>
        </x:is>
      </x:c>
      <x:c r="C156" t="inlineStr">
        <x:is>
          <x:t xml:space="preserve">Artificial Analysis Coding Agent Index</x:t>
        </x:is>
      </x:c>
      <x:c r="D156" t="inlineStr">
        <x:is>
          <x:t xml:space="preserve">v1.5</x:t>
        </x:is>
      </x:c>
      <x:c r="E156" t="inlineStr">
        <x:is>
          <x:t xml:space="preserve">CAI|v1.5</x:t>
        </x:is>
      </x:c>
      <x:c r="G156" t="inlineStr">
        <x:is>
          <x:t xml:space="preserve">2026-10-16</x:t>
        </x:is>
      </x:c>
      <x:c r="H156" t="n">
        <x:v>63</x:v>
      </x:c>
      <x:c r="I156" t="n">
        <x:f>IF(H156="","",H156*H156)</x:f>
        <x:v>3969</x:v>
      </x:c>
      <x:c r="J156" t="n">
        <x:v>8.050000000000001</x:v>
      </x:c>
      <x:c r="S156" t="n">
        <x:v>1344</x:v>
      </x:c>
      <x:c r="X156" t="inlineStr">
        <x:is>
          <x:t xml:space="preserve">https://artificialanalysis.ai/agents/coding-agents/comparisons/codex-vs-muse-code</x:t>
        </x:is>
      </x:c>
      <x:c r="Y156" t="inlineStr">
        <x:is>
          <x:t xml:space="preserve">CAI v1.5 public variant table</x:t>
        </x:is>
      </x:c>
      <x:c r="Z156" t="inlineStr">
        <x:is>
          <x:t xml:space="preserve">Agent harness=Muse Code; components DeepSWE v1.1=76%, Terminal-Bench 4.0=47%, SWE-Atlas-QnA=67%; total tokens/task=15M. Test date not reported. Model and effort name match; Muse Code harness</x:t>
        </x:is>
      </x:c>
    </x:row>
    <x:row r="157">
      <x:c r="A157" t="inlineStr">
        <x:is>
          <x:t xml:space="preserve">CAI-v1.5|claude-code|anthropic|claude-sonnet-5.5|max|2026-10-16</x:t>
        </x:is>
      </x:c>
      <x:c r="B157" t="inlineStr">
        <x:is>
          <x:t xml:space="preserve">anthropic|claude-sonnet-5.5|max|reasoning|fallback-true</x:t>
        </x:is>
      </x:c>
      <x:c r="C157" t="inlineStr">
        <x:is>
          <x:t xml:space="preserve">Artificial Analysis Coding Agent Index</x:t>
        </x:is>
      </x:c>
      <x:c r="D157" t="inlineStr">
        <x:is>
          <x:t xml:space="preserve">v1.5</x:t>
        </x:is>
      </x:c>
      <x:c r="E157" t="inlineStr">
        <x:is>
          <x:t xml:space="preserve">CAI|v1.5</x:t>
        </x:is>
      </x:c>
      <x:c r="G157" t="inlineStr">
        <x:is>
          <x:t xml:space="preserve">2026-10-16</x:t>
        </x:is>
      </x:c>
      <x:c r="H157" t="n">
        <x:v>68</x:v>
      </x:c>
      <x:c r="I157" t="n">
        <x:f>IF(H157="","",H157*H157)</x:f>
        <x:v>4624</x:v>
      </x:c>
      <x:c r="J157" t="n">
        <x:v>14.19</x:v>
      </x:c>
      <x:c r="S157" t="n">
        <x:v>5400</x:v>
      </x:c>
      <x:c r="X157" t="inlineStr">
        <x:is>
          <x:t xml:space="preserve">https://artificialanalysis.ai/agents/coding-agents/comparisons/claude-code-vs-muse-code</x:t>
        </x:is>
      </x:c>
      <x:c r="Y157" t="inlineStr">
        <x:is>
          <x:t xml:space="preserve">CAI v1.5 public variant table</x:t>
        </x:is>
      </x:c>
      <x:c r="Z157" t="inlineStr">
        <x:is>
          <x:t xml:space="preserve">Agent harness=Claude Code; components DeepSWE v1.1=72%, Terminal-Bench 4.0=66%, SWE-Atlas-QnA=67%; total tokens/task=27.7M. Test date not reported. Model and effort name match; Claude Code harness; fallback status is not specified on the CAI table</x:t>
        </x:is>
      </x:c>
    </x:row>
    <x:row r="158">
      <x:c r="A158" t="inlineStr">
        <x:is>
          <x:t xml:space="preserve">CAI-v1.5|claude-code|anthropic|claude-opus-5.5|max|2026-10-16</x:t>
        </x:is>
      </x:c>
      <x:c r="B158" t="inlineStr">
        <x:is>
          <x:t xml:space="preserve">anthropic|claude-opus-5.5|max|reasoning|fallback-true</x:t>
        </x:is>
      </x:c>
      <x:c r="C158" t="inlineStr">
        <x:is>
          <x:t xml:space="preserve">Artificial Analysis Coding Agent Index</x:t>
        </x:is>
      </x:c>
      <x:c r="D158" t="inlineStr">
        <x:is>
          <x:t xml:space="preserve">v1.5</x:t>
        </x:is>
      </x:c>
      <x:c r="E158" t="inlineStr">
        <x:is>
          <x:t xml:space="preserve">CAI|v1.5</x:t>
        </x:is>
      </x:c>
      <x:c r="G158" t="inlineStr">
        <x:is>
          <x:t xml:space="preserve">2026-10-16</x:t>
        </x:is>
      </x:c>
      <x:c r="H158" t="n">
        <x:v>66</x:v>
      </x:c>
      <x:c r="I158" t="n">
        <x:f>IF(H158="","",H158*H158)</x:f>
        <x:v>4356</x:v>
      </x:c>
      <x:c r="J158" t="n">
        <x:v>13.04</x:v>
      </x:c>
      <x:c r="S158" t="n">
        <x:v>3960</x:v>
      </x:c>
      <x:c r="X158" t="inlineStr">
        <x:is>
          <x:t xml:space="preserve">https://artificialanalysis.ai/agents/coding-agents/comparisons/claude-code-vs-muse-code</x:t>
        </x:is>
      </x:c>
      <x:c r="Y158" t="inlineStr">
        <x:is>
          <x:t xml:space="preserve">CAI v1.5 public variant table</x:t>
        </x:is>
      </x:c>
      <x:c r="Z158" t="inlineStr">
        <x:is>
          <x:t xml:space="preserve">Agent harness=Claude Code; components DeepSWE v1.1=68%, Terminal-Bench 4.0=63%, SWE-Atlas-QnA=66%; total tokens/task=15.6M. Test date not reported. Model and effort name match; Claude Code harness; fallback status is not specified on the CAI table</x:t>
        </x:is>
      </x:c>
    </x:row>
    <x:row r="159">
      <x:c r="A159" t="inlineStr">
        <x:is>
          <x:t xml:space="preserve">CAI-v1.5|claude-code|anthropic|claude-sonnet-5.5|xhigh|2026-10-16</x:t>
        </x:is>
      </x:c>
      <x:c r="B159" t="inlineStr">
        <x:is>
          <x:t xml:space="preserve">anthropic|claude-sonnet-5.5|xhigh|reasoning|fallback-true</x:t>
        </x:is>
      </x:c>
      <x:c r="C159" t="inlineStr">
        <x:is>
          <x:t xml:space="preserve">Artificial Analysis Coding Agent Index</x:t>
        </x:is>
      </x:c>
      <x:c r="D159" t="inlineStr">
        <x:is>
          <x:t xml:space="preserve">v1.5</x:t>
        </x:is>
      </x:c>
      <x:c r="E159" t="inlineStr">
        <x:is>
          <x:t xml:space="preserve">CAI|v1.5</x:t>
        </x:is>
      </x:c>
      <x:c r="G159" t="inlineStr">
        <x:is>
          <x:t xml:space="preserve">2026-10-16</x:t>
        </x:is>
      </x:c>
      <x:c r="H159" t="n">
        <x:v>63</x:v>
      </x:c>
      <x:c r="I159" t="n">
        <x:f>IF(H159="","",H159*H159)</x:f>
        <x:v>3969</x:v>
      </x:c>
      <x:c r="J159" t="n">
        <x:v>3.33</x:v>
      </x:c>
      <x:c r="S159" t="n">
        <x:v>1620</x:v>
      </x:c>
      <x:c r="X159" t="inlineStr">
        <x:is>
          <x:t xml:space="preserve">https://artificialanalysis.ai/agents/coding-agents/comparisons/claude-code-vs-muse-code</x:t>
        </x:is>
      </x:c>
      <x:c r="Y159" t="inlineStr">
        <x:is>
          <x:t xml:space="preserve">CAI v1.5 public variant table</x:t>
        </x:is>
      </x:c>
      <x:c r="Z159" t="inlineStr">
        <x:is>
          <x:t xml:space="preserve">Agent harness=Claude Code; components DeepSWE v1.1=68%, Terminal-Bench 4.0=58%, SWE-Atlas-QnA=62%; total tokens/task=7.1M. Test date not reported. Model and effort name match; Claude Code harness; fallback status is not specified on the CAI table</x:t>
        </x:is>
      </x:c>
    </x:row>
    <x:row r="160">
      <x:c r="A160" t="inlineStr">
        <x:is>
          <x:t xml:space="preserve">CAI-v1.5|claude-code|anthropic|claude-sonnet-5.5|high|2026-10-16</x:t>
        </x:is>
      </x:c>
      <x:c r="B160" t="inlineStr">
        <x:is>
          <x:t xml:space="preserve">anthropic|claude-sonnet-5.5|high|reasoning|fallback-true</x:t>
        </x:is>
      </x:c>
      <x:c r="C160" t="inlineStr">
        <x:is>
          <x:t xml:space="preserve">Artificial Analysis Coding Agent Index</x:t>
        </x:is>
      </x:c>
      <x:c r="D160" t="inlineStr">
        <x:is>
          <x:t xml:space="preserve">v1.5</x:t>
        </x:is>
      </x:c>
      <x:c r="E160" t="inlineStr">
        <x:is>
          <x:t xml:space="preserve">CAI|v1.5</x:t>
        </x:is>
      </x:c>
      <x:c r="G160" t="inlineStr">
        <x:is>
          <x:t xml:space="preserve">2026-10-16</x:t>
        </x:is>
      </x:c>
      <x:c r="H160" t="n">
        <x:v>55</x:v>
      </x:c>
      <x:c r="I160" t="n">
        <x:f>IF(H160="","",H160*H160)</x:f>
        <x:v>3025</x:v>
      </x:c>
      <x:c r="J160" t="n">
        <x:v>1.24</x:v>
      </x:c>
      <x:c r="S160" t="n">
        <x:v>738</x:v>
      </x:c>
      <x:c r="X160" t="inlineStr">
        <x:is>
          <x:t xml:space="preserve">https://artificialanalysis.ai/agents/coding-agents/comparisons/claude-code-vs-muse-code</x:t>
        </x:is>
      </x:c>
      <x:c r="Y160" t="inlineStr">
        <x:is>
          <x:t xml:space="preserve">CAI v1.5 public variant table</x:t>
        </x:is>
      </x:c>
      <x:c r="Z160" t="inlineStr">
        <x:is>
          <x:t xml:space="preserve">Agent harness=Claude Code; components DeepSWE v1.1=67%, Terminal-Bench 4.0=42%, SWE-Atlas-QnA=56%; total tokens/task=2.7M. Test date not reported. Model and effort name match; Claude Code harness; fallback status is not specified on the CAI table</x:t>
        </x:is>
      </x:c>
    </x:row>
    <x:row r="161">
      <x:c r="A161" t="inlineStr">
        <x:is>
          <x:t xml:space="preserve">CAI-v1.5|claude-code|anthropic|claude-sonnet-5.5|medium|2026-10-16</x:t>
        </x:is>
      </x:c>
      <x:c r="B161" t="inlineStr">
        <x:is>
          <x:t xml:space="preserve">anthropic|claude-sonnet-5.5|medium|reasoning|fallback-true</x:t>
        </x:is>
      </x:c>
      <x:c r="C161" t="inlineStr">
        <x:is>
          <x:t xml:space="preserve">Artificial Analysis Coding Agent Index</x:t>
        </x:is>
      </x:c>
      <x:c r="D161" t="inlineStr">
        <x:is>
          <x:t xml:space="preserve">v1.5</x:t>
        </x:is>
      </x:c>
      <x:c r="E161" t="inlineStr">
        <x:is>
          <x:t xml:space="preserve">CAI|v1.5</x:t>
        </x:is>
      </x:c>
      <x:c r="G161" t="inlineStr">
        <x:is>
          <x:t xml:space="preserve">2026-10-16</x:t>
        </x:is>
      </x:c>
      <x:c r="H161" t="n">
        <x:v>46</x:v>
      </x:c>
      <x:c r="I161" t="n">
        <x:f>IF(H161="","",H161*H161)</x:f>
        <x:v>2116</x:v>
      </x:c>
      <x:c r="J161" t="n">
        <x:v>0.62</x:v>
      </x:c>
      <x:c r="S161" t="n">
        <x:v>510</x:v>
      </x:c>
      <x:c r="X161" t="inlineStr">
        <x:is>
          <x:t xml:space="preserve">https://artificialanalysis.ai/agents/coding-agents/comparisons/claude-code-vs-muse-code</x:t>
        </x:is>
      </x:c>
      <x:c r="Y161" t="inlineStr">
        <x:is>
          <x:t xml:space="preserve">CAI v1.5 public variant table</x:t>
        </x:is>
      </x:c>
      <x:c r="Z161" t="inlineStr">
        <x:is>
          <x:t xml:space="preserve">Agent harness=Claude Code; components DeepSWE v1.1=65%, Terminal-Bench 4.0=27%, SWE-Atlas-QnA=45%; total tokens/task=1.3M. Test date not reported. Model and effort name match; Claude Code harness; fallback status is not specified on the CAI table</x:t>
        </x:is>
      </x:c>
    </x:row>
    <x:row r="162">
      <x:c r="A162" t="inlineStr">
        <x:is>
          <x:t xml:space="preserve">CAI-v1.5|claude-code|anthropic|claude-sonnet-5.5|low|2026-10-16</x:t>
        </x:is>
      </x:c>
      <x:c r="B162" t="inlineStr">
        <x:is>
          <x:t xml:space="preserve">anthropic|claude-sonnet-5.5|low|reasoning|fallback-true</x:t>
        </x:is>
      </x:c>
      <x:c r="C162" t="inlineStr">
        <x:is>
          <x:t xml:space="preserve">Artificial Analysis Coding Agent Index</x:t>
        </x:is>
      </x:c>
      <x:c r="D162" t="inlineStr">
        <x:is>
          <x:t xml:space="preserve">v1.5</x:t>
        </x:is>
      </x:c>
      <x:c r="E162" t="inlineStr">
        <x:is>
          <x:t xml:space="preserve">CAI|v1.5</x:t>
        </x:is>
      </x:c>
      <x:c r="G162" t="inlineStr">
        <x:is>
          <x:t xml:space="preserve">2026-10-16</x:t>
        </x:is>
      </x:c>
      <x:c r="H162" t="n">
        <x:v>42</x:v>
      </x:c>
      <x:c r="I162" t="n">
        <x:f>IF(H162="","",H162*H162)</x:f>
        <x:v>1764</x:v>
      </x:c>
      <x:c r="J162" t="n">
        <x:v>0.48</x:v>
      </x:c>
      <x:c r="S162" t="n">
        <x:v>378</x:v>
      </x:c>
      <x:c r="X162" t="inlineStr">
        <x:is>
          <x:t xml:space="preserve">https://artificialanalysis.ai/agents/coding-agents/comparisons/claude-code-vs-muse-code</x:t>
        </x:is>
      </x:c>
      <x:c r="Y162" t="inlineStr">
        <x:is>
          <x:t xml:space="preserve">CAI v1.5 public variant table</x:t>
        </x:is>
      </x:c>
      <x:c r="Z162" t="inlineStr">
        <x:is>
          <x:t xml:space="preserve">Agent harness=Claude Code; components DeepSWE v1.1=62%, Terminal-Bench 4.0=25%, SWE-Atlas-QnA=39%; total tokens/task=977.3K. Test date not reported. Model and effort name match; Claude Code harness; fallback status is not specified on the CAI table</x:t>
        </x:is>
      </x:c>
    </x:row>
    <x:row r="163">
      <x:c r="A163" t="inlineStr">
        <x:is>
          <x:t xml:space="preserve">CAI-v1.5|claude-code|anthropic|claude-haiku-5-5|xhigh|2026-10-16</x:t>
        </x:is>
      </x:c>
      <x:c r="B163" t="inlineStr">
        <x:is>
          <x:t xml:space="preserve">anthropic|claude-haiku-5-5|xhigh|yes|fallback-na</x:t>
        </x:is>
      </x:c>
      <x:c r="C163" t="inlineStr">
        <x:is>
          <x:t xml:space="preserve">Artificial Analysis Coding Agent Index</x:t>
        </x:is>
      </x:c>
      <x:c r="D163" t="inlineStr">
        <x:is>
          <x:t xml:space="preserve">v1.5</x:t>
        </x:is>
      </x:c>
      <x:c r="E163" t="inlineStr">
        <x:is>
          <x:t xml:space="preserve">CAI|v1.5</x:t>
        </x:is>
      </x:c>
      <x:c r="G163" t="inlineStr">
        <x:is>
          <x:t xml:space="preserve">2026-10-16</x:t>
        </x:is>
      </x:c>
      <x:c r="H163" t="n">
        <x:v>41</x:v>
      </x:c>
      <x:c r="I163" t="n">
        <x:f>IF(H163="","",H163*H163)</x:f>
        <x:v>1681</x:v>
      </x:c>
      <x:c r="J163" t="n">
        <x:v>0.61</x:v>
      </x:c>
      <x:c r="S163" t="n">
        <x:v>1554</x:v>
      </x:c>
      <x:c r="X163" t="inlineStr">
        <x:is>
          <x:t xml:space="preserve">https://artificialanalysis.ai/agents/coding-agents/comparisons/claude-code-vs-muse-code</x:t>
        </x:is>
      </x:c>
      <x:c r="Y163" t="inlineStr">
        <x:is>
          <x:t xml:space="preserve">CAI v1.5 public variant table</x:t>
        </x:is>
      </x:c>
      <x:c r="Z163" t="inlineStr">
        <x:is>
          <x:t xml:space="preserve">Agent harness=Claude Code; components DeepSWE v1.1=49%, Terminal-Bench 4.0=24%, SWE-Atlas-QnA=52%; total tokens/task=7.1M. Test date not reported. Model and effort name match; Claude Code harness; fallback status is not specified on the CAI table</x:t>
        </x:is>
      </x:c>
    </x:row>
    <x:row r="164">
      <x:c r="A164" t="inlineStr">
        <x:is>
          <x:t xml:space="preserve">CAI-v1.5|claude-code|anthropic|claude-haiku-5-5|max|2026-10-16</x:t>
        </x:is>
      </x:c>
      <x:c r="B164" t="inlineStr">
        <x:is>
          <x:t xml:space="preserve">anthropic|claude-haiku-5-5|max|yes|fallback-na</x:t>
        </x:is>
      </x:c>
      <x:c r="C164" t="inlineStr">
        <x:is>
          <x:t xml:space="preserve">Artificial Analysis Coding Agent Index</x:t>
        </x:is>
      </x:c>
      <x:c r="D164" t="inlineStr">
        <x:is>
          <x:t xml:space="preserve">v1.5</x:t>
        </x:is>
      </x:c>
      <x:c r="E164" t="inlineStr">
        <x:is>
          <x:t xml:space="preserve">CAI|v1.5</x:t>
        </x:is>
      </x:c>
      <x:c r="G164" t="inlineStr">
        <x:is>
          <x:t xml:space="preserve">2026-10-16</x:t>
        </x:is>
      </x:c>
      <x:c r="H164" t="n">
        <x:v>36</x:v>
      </x:c>
      <x:c r="I164" t="n">
        <x:f>IF(H164="","",H164*H164)</x:f>
        <x:v>1296</x:v>
      </x:c>
      <x:c r="J164" t="n">
        <x:v>2.58</x:v>
      </x:c>
      <x:c r="S164" t="n">
        <x:v>5400</x:v>
      </x:c>
      <x:c r="X164" t="inlineStr">
        <x:is>
          <x:t xml:space="preserve">https://artificialanalysis.ai/agents/coding-agents/comparisons/claude-code-vs-muse-code</x:t>
        </x:is>
      </x:c>
      <x:c r="Y164" t="inlineStr">
        <x:is>
          <x:t xml:space="preserve">CAI v1.5 public variant table</x:t>
        </x:is>
      </x:c>
      <x:c r="Z164" t="inlineStr">
        <x:is>
          <x:t xml:space="preserve">Agent harness=Claude Code; components DeepSWE v1.1=46%, Terminal-Bench 4.0=30%, SWE-Atlas-QnA=34%; total tokens/task=13.8M. Test date not reported. Model and effort name match; Claude Code harness; fallback status is not specified on the CAI table</x:t>
        </x:is>
      </x:c>
    </x:row>
    <x:row r="165">
      <x:c r="A165" t="inlineStr">
        <x:is>
          <x:t xml:space="preserve">CAI-v1.5|claude-code|anthropic|claude-haiku-5-5|high|2026-10-16</x:t>
        </x:is>
      </x:c>
      <x:c r="B165" t="inlineStr">
        <x:is>
          <x:t xml:space="preserve">anthropic|claude-haiku-5-5|high|yes|fallback-na</x:t>
        </x:is>
      </x:c>
      <x:c r="C165" t="inlineStr">
        <x:is>
          <x:t xml:space="preserve">Artificial Analysis Coding Agent Index</x:t>
        </x:is>
      </x:c>
      <x:c r="D165" t="inlineStr">
        <x:is>
          <x:t xml:space="preserve">v1.5</x:t>
        </x:is>
      </x:c>
      <x:c r="E165" t="inlineStr">
        <x:is>
          <x:t xml:space="preserve">CAI|v1.5</x:t>
        </x:is>
      </x:c>
      <x:c r="G165" t="inlineStr">
        <x:is>
          <x:t xml:space="preserve">2026-10-16</x:t>
        </x:is>
      </x:c>
      <x:c r="H165" t="n">
        <x:v>35</x:v>
      </x:c>
      <x:c r="I165" t="n">
        <x:f>IF(H165="","",H165*H165)</x:f>
        <x:v>1225</x:v>
      </x:c>
      <x:c r="J165" t="n">
        <x:v>0.36</x:v>
      </x:c>
      <x:c r="S165" t="n">
        <x:v>1104</x:v>
      </x:c>
      <x:c r="X165" t="inlineStr">
        <x:is>
          <x:t xml:space="preserve">https://artificialanalysis.ai/agents/coding-agents/comparisons/claude-code-vs-muse-code</x:t>
        </x:is>
      </x:c>
      <x:c r="Y165" t="inlineStr">
        <x:is>
          <x:t xml:space="preserve">CAI v1.5 public variant table</x:t>
        </x:is>
      </x:c>
      <x:c r="Z165" t="inlineStr">
        <x:is>
          <x:t xml:space="preserve">Agent harness=Claude Code; components DeepSWE v1.1=46%, Terminal-Bench 4.0=13%, SWE-Atlas-QnA=46%; total tokens/task=5.1M. Test date not reported. Model and effort name match; Claude Code harness; fallback status is not specified on the CAI table</x:t>
        </x:is>
      </x:c>
    </x:row>
    <x:row r="166">
      <x:c r="A166" t="inlineStr">
        <x:is>
          <x:t xml:space="preserve">CAI-v1.5|claude-code|anthropic|claude-haiku-5-5|medium|2026-10-16</x:t>
        </x:is>
      </x:c>
      <x:c r="B166" t="inlineStr">
        <x:is>
          <x:t xml:space="preserve">anthropic|claude-haiku-5-5|medium|yes|fallback-na</x:t>
        </x:is>
      </x:c>
      <x:c r="C166" t="inlineStr">
        <x:is>
          <x:t xml:space="preserve">Artificial Analysis Coding Agent Index</x:t>
        </x:is>
      </x:c>
      <x:c r="D166" t="inlineStr">
        <x:is>
          <x:t xml:space="preserve">v1.5</x:t>
        </x:is>
      </x:c>
      <x:c r="E166" t="inlineStr">
        <x:is>
          <x:t xml:space="preserve">CAI|v1.5</x:t>
        </x:is>
      </x:c>
      <x:c r="G166" t="inlineStr">
        <x:is>
          <x:t xml:space="preserve">2026-10-16</x:t>
        </x:is>
      </x:c>
      <x:c r="H166" t="n">
        <x:v>34</x:v>
      </x:c>
      <x:c r="I166" t="n">
        <x:f>IF(H166="","",H166*H166)</x:f>
        <x:v>1156</x:v>
      </x:c>
      <x:c r="J166" t="n">
        <x:v>0.23</x:v>
      </x:c>
      <x:c r="S166" t="n">
        <x:v>840</x:v>
      </x:c>
      <x:c r="X166" t="inlineStr">
        <x:is>
          <x:t xml:space="preserve">https://artificialanalysis.ai/agents/coding-agents/comparisons/claude-code-vs-muse-code</x:t>
        </x:is>
      </x:c>
      <x:c r="Y166" t="inlineStr">
        <x:is>
          <x:t xml:space="preserve">CAI v1.5 public variant table</x:t>
        </x:is>
      </x:c>
      <x:c r="Z166" t="inlineStr">
        <x:is>
          <x:t xml:space="preserve">Agent harness=Claude Code; components DeepSWE v1.1=47%, Terminal-Bench 4.0=12%, SWE-Atlas-QnA=42%; total tokens/task=3.5M. Test date not reported. Model and effort name match; Claude Code harness; fallback status is not specified on the CAI table</x:t>
        </x:is>
      </x:c>
    </x:row>
    <x:row r="167">
      <x:c r="A167" t="inlineStr">
        <x:is>
          <x:t xml:space="preserve">CAI-v1.5|claude-code|anthropic|claude-haiku-5-5|low|2026-10-16</x:t>
        </x:is>
      </x:c>
      <x:c r="B167" t="inlineStr">
        <x:is>
          <x:t xml:space="preserve">anthropic|claude-haiku-5-5|low|yes|fallback-na</x:t>
        </x:is>
      </x:c>
      <x:c r="C167" t="inlineStr">
        <x:is>
          <x:t xml:space="preserve">Artificial Analysis Coding Agent Index</x:t>
        </x:is>
      </x:c>
      <x:c r="D167" t="inlineStr">
        <x:is>
          <x:t xml:space="preserve">v1.5</x:t>
        </x:is>
      </x:c>
      <x:c r="E167" t="inlineStr">
        <x:is>
          <x:t xml:space="preserve">CAI|v1.5</x:t>
        </x:is>
      </x:c>
      <x:c r="G167" t="inlineStr">
        <x:is>
          <x:t xml:space="preserve">2026-10-16</x:t>
        </x:is>
      </x:c>
      <x:c r="H167" t="n">
        <x:v>28</x:v>
      </x:c>
      <x:c r="I167" t="n">
        <x:f>IF(H167="","",H167*H167)</x:f>
        <x:v>784</x:v>
      </x:c>
      <x:c r="J167" t="n">
        <x:v>0.14</x:v>
      </x:c>
      <x:c r="S167" t="n">
        <x:v>696</x:v>
      </x:c>
      <x:c r="X167" t="inlineStr">
        <x:is>
          <x:t xml:space="preserve">https://artificialanalysis.ai/agents/coding-agents/comparisons/claude-code-vs-muse-code</x:t>
        </x:is>
      </x:c>
      <x:c r="Y167" t="inlineStr">
        <x:is>
          <x:t xml:space="preserve">CAI v1.5 public variant table</x:t>
        </x:is>
      </x:c>
      <x:c r="Z167" t="inlineStr">
        <x:is>
          <x:t xml:space="preserve">Agent harness=Claude Code; components DeepSWE v1.1=45%, Terminal-Bench 4.0=6%, SWE-Atlas-QnA=33%; total tokens/task=2.4M. Test date not reported. Model and effort name match; Claude Code harness; fallback status is not specified on the CAI table</x:t>
        </x:is>
      </x:c>
    </x:row>
    <x:row r="168">
      <x:c r="A168" t="inlineStr">
        <x:is>
          <x:t xml:space="preserve">CAI-v1.5|opencode|z-ai|glm-5-3|not stated|2026-10-16</x:t>
        </x:is>
      </x:c>
      <x:c r="B168" t="inlineStr">
        <x:is>
          <x:t xml:space="preserve">z-ai|glm-5-3|not-stated|reasoning-unknown|fallback-na</x:t>
        </x:is>
      </x:c>
      <x:c r="C168" t="inlineStr">
        <x:is>
          <x:t xml:space="preserve">Artificial Analysis Coding Agent Index</x:t>
        </x:is>
      </x:c>
      <x:c r="D168" t="inlineStr">
        <x:is>
          <x:t xml:space="preserve">v1.5</x:t>
        </x:is>
      </x:c>
      <x:c r="E168" t="inlineStr">
        <x:is>
          <x:t xml:space="preserve">CAI|v1.5</x:t>
        </x:is>
      </x:c>
      <x:c r="G168" t="inlineStr">
        <x:is>
          <x:t xml:space="preserve">2026-10-16</x:t>
        </x:is>
      </x:c>
      <x:c r="H168" t="n">
        <x:v>54</x:v>
      </x:c>
      <x:c r="I168" t="n">
        <x:f>IF(H168="","",H168*H168)</x:f>
        <x:v>2916</x:v>
      </x:c>
      <x:c r="J168" t="n">
        <x:v>4.24</x:v>
      </x:c>
      <x:c r="S168" t="n">
        <x:v>2886</x:v>
      </x:c>
      <x:c r="X168" t="inlineStr">
        <x:is>
          <x:t xml:space="preserve">https://artificialanalysis.ai/agents/coding-agents/comparisons/opencode-vs-muse-code</x:t>
        </x:is>
      </x:c>
      <x:c r="Y168" t="inlineStr">
        <x:is>
          <x:t xml:space="preserve">CAI v1.5 public variant table</x:t>
        </x:is>
      </x:c>
      <x:c r="Z168" t="inlineStr">
        <x:is>
          <x:t xml:space="preserve">Agent harness=OpenCode; components DeepSWE v1.1=61%, Terminal-Bench 4.0=40%, SWE-Atlas-QnA=59%; total tokens/task=14.3M. Test date not reported. CAI table does not state an effort level; do not map to AA low or max</x:t>
        </x:is>
      </x:c>
    </x:row>
    <x:row r="169" s="14" customFormat="1">
      <x:c r="A169" t="inlineStr">
        <x:is>
          <x:t xml:space="preserve">CAI-v1.5|antigravity-cli|google|gemini-4-argon|not stated|2026-10-16</x:t>
        </x:is>
      </x:c>
      <x:c r="B169" t="inlineStr">
        <x:is>
          <x:t xml:space="preserve">google|gemini-4-argon|not-stated|reasoning-unknown|fallback-na</x:t>
        </x:is>
      </x:c>
      <x:c r="C169" t="inlineStr">
        <x:is>
          <x:t xml:space="preserve">Artificial Analysis Coding Agent Index</x:t>
        </x:is>
      </x:c>
      <x:c r="D169" t="inlineStr">
        <x:is>
          <x:t xml:space="preserve">v1.5</x:t>
        </x:is>
      </x:c>
      <x:c r="E169" t="inlineStr">
        <x:is>
          <x:t xml:space="preserve">CAI|v1.5</x:t>
        </x:is>
      </x:c>
      <x:c r="G169" t="inlineStr">
        <x:is>
          <x:t xml:space="preserve">2026-10-16</x:t>
        </x:is>
      </x:c>
      <x:c r="H169" t="n">
        <x:v>64</x:v>
      </x:c>
      <x:c r="I169" t="n">
        <x:f>IF(H169="","",H169*H169)</x:f>
        <x:v>4096</x:v>
      </x:c>
      <x:c r="J169" t="n">
        <x:v>5.84</x:v>
      </x:c>
      <x:c r="S169" t="n">
        <x:v>2070</x:v>
      </x:c>
      <x:c r="X169" t="inlineStr">
        <x:is>
          <x:t xml:space="preserve">https://artificialanalysis.ai/agents/coding-agents/comparisons/antigravity-cli-vs-codex</x:t>
        </x:is>
      </x:c>
      <x:c r="Y169" t="inlineStr">
        <x:is>
          <x:t xml:space="preserve">CAI v1.5 public variant table</x:t>
        </x:is>
      </x:c>
      <x:c r="Z169" t="inlineStr">
        <x:is>
          <x:t xml:space="preserve">Agent harness=Antigravity CLI; components DeepSWE v1.1=79%, Terminal-Bench 4.0=56%, SWE-Atlas-QnA=56%; total tokens/task=13.7M. Test date not reported. CAI table does not state an effort level; do not map to AA High</x:t>
        </x:is>
      </x:c>
    </x:row>
    <x:row r="170" s="14" customFormat="1">
      <x:c r="A170" t="inlineStr">
        <x:is>
          <x:t xml:space="preserve">CAI-v1.5|antigravity-sdk|google|gemini-3-8-flash|high|2026-10-17</x:t>
        </x:is>
      </x:c>
      <x:c r="B170" t="inlineStr">
        <x:is>
          <x:t xml:space="preserve">google|gemini-3-8-flash|high|reasoning|fallback-na</x:t>
        </x:is>
      </x:c>
      <x:c r="C170" t="inlineStr">
        <x:is>
          <x:t xml:space="preserve">Artificial Analysis Coding Agent Index</x:t>
        </x:is>
      </x:c>
      <x:c r="D170" t="inlineStr">
        <x:is>
          <x:t xml:space="preserve">v1.5</x:t>
        </x:is>
      </x:c>
      <x:c r="E170" t="inlineStr">
        <x:is>
          <x:t xml:space="preserve">CAI|v1.5</x:t>
        </x:is>
      </x:c>
      <x:c r="G170" t="inlineStr">
        <x:is>
          <x:t xml:space="preserve">2026-10-17</x:t>
        </x:is>
      </x:c>
      <x:c r="H170" t="n">
        <x:v>42</x:v>
      </x:c>
      <x:c r="I170" t="n">
        <x:f>IF(H170="","",H170*H170)</x:f>
        <x:v>1764</x:v>
      </x:c>
      <x:c r="J170" t="n">
        <x:v>2.47</x:v>
      </x:c>
      <x:c r="S170" t="n">
        <x:v>702</x:v>
      </x:c>
      <x:c r="X170" t="inlineStr">
        <x:is>
          <x:t xml:space="preserve">https://artificialanalysis.ai/agents/coding-agents/comparisons/antigravity-cli-vs-antigravity-sdk</x:t>
        </x:is>
      </x:c>
      <x:c r="Y170" t="inlineStr">
        <x:is>
          <x:t xml:space="preserve">Official public CAI v1.5 model-variant observation; test date not published</x:t>
        </x:is>
      </x:c>
      <x:c r="Z170" t="inlineStr">
        <x:is>
          <x:t xml:space="preserve">CAI v1.5: DeepSWE v1.1 66%; Terminal-Bench 4.0 15%; SWE-Atlas-QnA 45%. Exact model family and High effort label; Antigravity SDK harness; test date not published.</x:t>
        </x:is>
      </x:c>
    </x:row>
    <x:row r="171">
      <x:c r="A171" t="inlineStr">
        <x:is>
          <x:t xml:space="preserve">CAI-v1.4|gemini-cli|google|gemini-3-1-pro|high|2026-10-17</x:t>
        </x:is>
      </x:c>
      <x:c r="B171" t="inlineStr">
        <x:is>
          <x:t xml:space="preserve">google|gemini-3-1-pro-preview|high|reasoning|fallback-na</x:t>
        </x:is>
      </x:c>
      <x:c r="C171" t="inlineStr">
        <x:is>
          <x:t xml:space="preserve">Artificial Analysis Coding Agent Index</x:t>
        </x:is>
      </x:c>
      <x:c r="D171" t="inlineStr">
        <x:is>
          <x:t xml:space="preserve">v1.4</x:t>
        </x:is>
      </x:c>
      <x:c r="E171" t="inlineStr">
        <x:is>
          <x:t xml:space="preserve">CAI|v1.4</x:t>
        </x:is>
      </x:c>
      <x:c r="G171" t="inlineStr">
        <x:is>
          <x:t xml:space="preserve">2026-10-17</x:t>
        </x:is>
      </x:c>
      <x:c r="H171" t="n">
        <x:v>33</x:v>
      </x:c>
      <x:c r="I171" t="n">
        <x:f>IF(H171="","",H171*H171)</x:f>
        <x:v>1089</x:v>
      </x:c>
      <x:c r="J171" t="n">
        <x:v>1.04</x:v>
      </x:c>
      <x:c r="S171" t="n">
        <x:v>666</x:v>
      </x:c>
      <x:c r="X171" t="inlineStr">
        <x:is>
          <x:t xml:space="preserve">https://artificialanalysis.ai/agents/coding-agents/comparisons/gemini-cli-vs-muse-code</x:t>
        </x:is>
      </x:c>
      <x:c r="Y171" t="inlineStr">
        <x:is>
          <x:t xml:space="preserve">Official public CAI v1.4 model-variant observation; test date not published</x:t>
        </x:is>
      </x:c>
      <x:c r="Z171" t="inlineStr">
        <x:is>
          <x:t xml:space="preserve">CAI v1.4 components: DeepSWE 14% (source does not state a sub-version), Terminal-Bench v2.1 76%, SWE-Atlas-QnA 9%. Do not compare directly with CAI v1.5 components. CAI v1.4 source labels Gemini 3.1 Pro (high); mapped to the Preview model family by name and effort. No v1.5 result found; retain this legacy version separately.</x:t>
        </x:is>
      </x:c>
    </x:row>
  </x:sheetData>
  <x:pageMargins left="0.7" right="0.7" top="0.75" bottom="0.75" header="0.3" footer="0.3"/>
  <x:legacyDrawing xmlns:r="http://schemas.openxmlformats.org/officeDocument/2006/relationships" r:id="Ra5aae8071e9844ac"/>
</x:worksheet>
</file>

<file path=xl/worksheets/sheet20.xml><?xml version="1.0" encoding="utf-8"?>
<x:worksheet xmlns:x="http://schemas.openxmlformats.org/spreadsheetml/2006/main">
  <x:sheetFormatPr baseColWidth="8" defaultRowHeight="15"/>
  <x:cols>
    <x:col min="1" max="1" width="48" style="14" customWidth="1"/>
    <x:col min="2" max="2" width="48" style="14" customWidth="1"/>
    <x:col min="3" max="3" width="14" style="14" customWidth="1"/>
    <x:col min="4" max="4" width="14" style="14" customWidth="1"/>
    <x:col min="5" max="5" width="14" style="14" customWidth="1"/>
    <x:col min="6" max="6" width="14" style="14" customWidth="1"/>
    <x:col min="7" max="7" width="14" style="14" customWidth="1"/>
    <x:col min="8" max="8" width="14" style="14" customWidth="1"/>
    <x:col min="9" max="9" width="14" style="14" customWidth="1"/>
    <x:col min="10" max="10" width="14" style="14" customWidth="1"/>
    <x:col min="11" max="11" width="14" style="14" customWidth="1"/>
    <x:col min="12" max="12" width="14" style="14" customWidth="1"/>
    <x:col min="13" max="13" width="14" style="14" customWidth="1"/>
    <x:col min="14" max="14" width="14" style="14" customWidth="1"/>
    <x:col min="15" max="15" width="14" style="14" customWidth="1"/>
    <x:col min="16" max="16" width="14" style="14" customWidth="1"/>
    <x:col min="17" max="17" width="14" style="14" customWidth="1"/>
    <x:col min="18" max="18" width="14" style="14" customWidth="1"/>
    <x:col min="19" max="19" width="14" style="14" customWidth="1"/>
    <x:col min="20" max="20" width="14" style="14" customWidth="1"/>
    <x:col min="21" max="21" width="14" style="14" customWidth="1"/>
    <x:col min="22" max="22" width="14" style="14" customWidth="1"/>
    <x:col min="23" max="23" width="14" style="14" customWidth="1"/>
    <x:col min="24" max="24" width="14" style="14" customWidth="1"/>
    <x:col min="25" max="25" width="14" style="14" customWidth="1"/>
    <x:col min="26" max="26" width="14" style="14" customWidth="1"/>
  </x:cols>
  <x:sheetData>
    <x:row r="1">
      <x:c r="A1" s="6" t="inlineStr">
        <x:is>
          <x:t xml:space="preserve">model_variant_key</x:t>
        </x:is>
      </x:c>
      <x:c r="B1" s="6" t="inlineStr">
        <x:is>
          <x:t xml:space="preserve">benchmark_version_key</x:t>
        </x:is>
      </x:c>
      <x:c r="C1" s="6" t="inlineStr">
        <x:is>
          <x:t xml:space="preserve">run_count</x:t>
        </x:is>
      </x:c>
      <x:c r="D1" s="6" t="inlineStr">
        <x:is>
          <x:t xml:space="preserve">score_sum</x:t>
        </x:is>
      </x:c>
      <x:c r="E1" s="6" t="inlineStr">
        <x:is>
          <x:t xml:space="preserve">score_sq_sum</x:t>
        </x:is>
      </x:c>
      <x:c r="F1" s="6" t="inlineStr">
        <x:is>
          <x:t xml:space="preserve">avg_score</x:t>
        </x:is>
      </x:c>
      <x:c r="G1" s="6" t="inlineStr">
        <x:is>
          <x:t xml:space="preserve">stdev_s</x:t>
        </x:is>
      </x:c>
      <x:c r="H1" s="6" t="inlineStr">
        <x:is>
          <x:t xml:space="preserve">min</x:t>
        </x:is>
      </x:c>
      <x:c r="I1" s="6" t="inlineStr">
        <x:is>
          <x:t xml:space="preserve">q1</x:t>
        </x:is>
      </x:c>
      <x:c r="J1" s="6" t="inlineStr">
        <x:is>
          <x:t xml:space="preserve">median</x:t>
        </x:is>
      </x:c>
      <x:c r="K1" s="6" t="inlineStr">
        <x:is>
          <x:t xml:space="preserve">q3</x:t>
        </x:is>
      </x:c>
      <x:c r="L1" s="6" t="inlineStr">
        <x:is>
          <x:t xml:space="preserve">max</x:t>
        </x:is>
      </x:c>
      <x:c r="M1" s="6" t="inlineStr">
        <x:is>
          <x:t xml:space="preserve">cost_count</x:t>
        </x:is>
      </x:c>
      <x:c r="N1" s="6" t="inlineStr">
        <x:is>
          <x:t xml:space="preserve">cost_sum</x:t>
        </x:is>
      </x:c>
      <x:c r="O1" s="6" t="inlineStr">
        <x:is>
          <x:t xml:space="preserve">avg_cost</x:t>
        </x:is>
      </x:c>
      <x:c r="P1" s="6" t="inlineStr">
        <x:is>
          <x:t xml:space="preserve">time_count</x:t>
        </x:is>
      </x:c>
      <x:c r="Q1" s="6" t="inlineStr">
        <x:is>
          <x:t xml:space="preserve">time_sum_sec</x:t>
        </x:is>
      </x:c>
      <x:c r="R1" s="6" t="inlineStr">
        <x:is>
          <x:t xml:space="preserve">avg_time_sec</x:t>
        </x:is>
      </x:c>
      <x:c r="S1" s="6" t="inlineStr">
        <x:is>
          <x:t xml:space="preserve">speed_count</x:t>
        </x:is>
      </x:c>
      <x:c r="T1" s="6" t="inlineStr">
        <x:is>
          <x:t xml:space="preserve">speed_sum</x:t>
        </x:is>
      </x:c>
      <x:c r="U1" s="6" t="inlineStr">
        <x:is>
          <x:t xml:space="preserve">avg_speed_tps</x:t>
        </x:is>
      </x:c>
      <x:c r="V1" s="6" t="inlineStr">
        <x:is>
          <x:t xml:space="preserve">level_factor</x:t>
        </x:is>
      </x:c>
      <x:c r="W1" s="6" t="inlineStr">
        <x:is>
          <x:t xml:space="preserve">levelled_avg</x:t>
        </x:is>
      </x:c>
      <x:c r="X1" s="6" t="inlineStr">
        <x:is>
          <x:t xml:space="preserve">$/levelled_point</x:t>
        </x:is>
      </x:c>
      <x:c r="Y1" s="6" t="inlineStr">
        <x:is>
          <x:t xml:space="preserve">levelled_points/$</x:t>
        </x:is>
      </x:c>
      <x:c r="Z1" s="6" t="inlineStr">
        <x:is>
          <x:t xml:space="preserve">levelled_points/sec</x:t>
        </x:is>
      </x:c>
    </x:row>
    <x:row r="2" s="14" customFormat="1">
      <x:c r="A2" t="inlineStr">
        <x:is>
          <x:t xml:space="preserve">alibaba|qwen3.8-27b|medium|reasoning|fallback-na</x:t>
        </x:is>
      </x:c>
      <x:c r="B2" t="inlineStr">
        <x:is>
          <x:t xml:space="preserve">AA|v4.3.2</x:t>
        </x:is>
      </x:c>
      <x:c r="C2" t="n">
        <x:f>COUNTIFS(Test_Runs!$B:$B,A2,Test_Runs!$E:$E,B2,Test_Runs!$H:$H,"&gt;=0")</x:f>
        <x:v>1</x:v>
      </x:c>
      <x:c r="D2" t="n">
        <x:f>SUMIFS(Test_Runs!$H:$H,Test_Runs!$B:$B,A2,Test_Runs!$E:$E,B2)</x:f>
        <x:v>28</x:v>
      </x:c>
      <x:c r="E2" t="n">
        <x:f>SUMIFS(Test_Runs!$I:$I,Test_Runs!$B:$B,A2,Test_Runs!$E:$E,B2)</x:f>
        <x:v>784</x:v>
      </x:c>
      <x:c r="F2" t="n">
        <x:f>IF(C2=0,"",D2/C2)</x:f>
        <x:v>28</x:v>
      </x:c>
      <x:c r="G2" t="n">
        <x:f>IF(C2&lt;2,0,SQRT(MAX(0,(E2-(D2*D2/C2))/(C2-1))))</x:f>
        <x:v>0</x:v>
      </x:c>
      <x:c r="H2" t="n">
        <x:f>IF(C2=0,"",IF(C2=1,F2,_xlfn.AGGREGATE(15,6,(Test_Runs!$H$2:$H$144/((Test_Runs!$B$2:$B$144=A2)*(Test_Runs!$E$2:$E$144=B2))),1)))</x:f>
        <x:v>28</x:v>
      </x:c>
      <x:c r="I2" t="n">
        <x:f>IF(C2=0,"",IF(C2=1,F2,_xlfn.AGGREGATE(16,6,(Test_Runs!$H$2:$H$144/((Test_Runs!$B$2:$B$144=A2)*(Test_Runs!$E$2:$E$144=B2))),0.25)))</x:f>
        <x:v>28</x:v>
      </x:c>
      <x:c r="J2" t="n">
        <x:f>IF(C2=0,"",IF(C2=1,F2,_xlfn.AGGREGATE(12,6,(Test_Runs!$H$2:$H$144/((Test_Runs!$B$2:$B$144=A2)*(Test_Runs!$E$2:$E$144=B2))))))</x:f>
        <x:v>28</x:v>
      </x:c>
      <x:c r="K2" t="n">
        <x:f>IF(C2=0,"",IF(C2=1,F2,_xlfn.AGGREGATE(16,6,(Test_Runs!$H$2:$H$144/((Test_Runs!$B$2:$B$144=A2)*(Test_Runs!$E$2:$E$144=B2))),0.75)))</x:f>
        <x:v>28</x:v>
      </x:c>
      <x:c r="L2" t="n">
        <x:f>IF(C2=0,"",_xlfn.MAXIFS(Test_Runs!$H:$H,Test_Runs!$B:$B,A2,Test_Runs!$E:$E,B2))</x:f>
        <x:v>28</x:v>
      </x:c>
      <x:c r="M2" t="n">
        <x:f>COUNTIFS(Test_Runs!$B:$B,A2,Test_Runs!$E:$E,B2,Test_Runs!$J:$J,"&gt;0")</x:f>
        <x:v>0</x:v>
      </x:c>
      <x:c r="N2" t="n">
        <x:f>SUMIFS(Test_Runs!$J:$J,Test_Runs!$B:$B,A2,Test_Runs!$E:$E,B2)</x:f>
        <x:v>0</x:v>
      </x:c>
      <x:c r="O2" t="str">
        <x:f>IF(M2=0,"",N2/M2)</x:f>
      </x:c>
      <x:c r="P2" t="n">
        <x:f>COUNTIFS(Test_Runs!$B:$B,A2,Test_Runs!$E:$E,B2,Test_Runs!$S:$S,"&gt;0")</x:f>
        <x:v>0</x:v>
      </x:c>
      <x:c r="Q2" t="n">
        <x:f>SUMIFS(Test_Runs!$S:$S,Test_Runs!$B:$B,A2,Test_Runs!$E:$E,B2)</x:f>
        <x:v>0</x:v>
      </x:c>
      <x:c r="R2" t="str">
        <x:f>IF(P2=0,"",Q2/P2)</x:f>
      </x:c>
      <x:c r="S2" t="e">
        <x:f>COUNTIFS(Test_Runs!$B:$B,A2,Test_Runs!$E:$E,B2,Test_Runs!$O:$O,"&gt;0")</x:f>
        <x:v>#VALUE!</x:v>
      </x:c>
      <x:c r="T2" t="e">
        <x:f>SUMIFS(Test_Runs!$O:$O,Test_Runs!$B:$B,A2,Test_Runs!$E:$E,B2)</x:f>
        <x:v>#VALUE!</x:v>
      </x:c>
      <x:c r="U2" t="e">
        <x:f>IF(S2=0,"",T2/S2)</x:f>
        <x:v>#VALUE!</x:v>
      </x:c>
      <x:c r="V2" t="n">
        <x:f>IFERROR(INDEX(Benchmark_Versions!$I:$I,MATCH(B2,Benchmark_Versions!$A:$A,0)),1)</x:f>
        <x:v>1</x:v>
      </x:c>
      <x:c r="W2" t="n">
        <x:f>IF(F2="","",F2*V2)</x:f>
        <x:v>28</x:v>
      </x:c>
      <x:c r="X2" t="str">
        <x:f>IF(OR(W2="",W2=0,O2=""),"",O2/W2)</x:f>
      </x:c>
      <x:c r="Y2" t="str">
        <x:f>IF(OR(W2="",O2="",O2=0),"",W2/O2)</x:f>
      </x:c>
      <x:c r="Z2" t="str">
        <x:f>IF(OR(W2="",R2="",R2=0),"",W2/R2)</x:f>
      </x:c>
    </x:row>
    <x:row r="3">
      <x:c r="A3" t="inlineStr">
        <x:is>
          <x:t xml:space="preserve">alibaba|qwen3.8-27b|xhigh|reasoning|fallback-na</x:t>
        </x:is>
      </x:c>
      <x:c r="B3" t="inlineStr">
        <x:is>
          <x:t xml:space="preserve">AA|v4.3.2</x:t>
        </x:is>
      </x:c>
      <x:c r="C3" t="n">
        <x:f>COUNTIFS(Test_Runs!$B:$B,A3,Test_Runs!$E:$E,B3,Test_Runs!$H:$H,"&gt;=0")</x:f>
        <x:v>1</x:v>
      </x:c>
      <x:c r="D3" t="n">
        <x:f>SUMIFS(Test_Runs!$H:$H,Test_Runs!$B:$B,A3,Test_Runs!$E:$E,B3)</x:f>
        <x:v>34</x:v>
      </x:c>
      <x:c r="E3" t="n">
        <x:f>SUMIFS(Test_Runs!$I:$I,Test_Runs!$B:$B,A3,Test_Runs!$E:$E,B3)</x:f>
        <x:v>1156</x:v>
      </x:c>
      <x:c r="F3" t="n">
        <x:f>IF(C3=0,"",D3/C3)</x:f>
        <x:v>34</x:v>
      </x:c>
      <x:c r="G3" t="n">
        <x:f>IF(C3&lt;2,0,SQRT(MAX(0,(E3-(D3*D3/C3))/(C3-1))))</x:f>
        <x:v>0</x:v>
      </x:c>
      <x:c r="H3" t="n">
        <x:f>IF(C3=0,"",IF(C3=1,F3,_xlfn.AGGREGATE(15,6,(Test_Runs!$H$2:$H$144/((Test_Runs!$B$2:$B$144=A3)*(Test_Runs!$E$2:$E$144=B3))),1)))</x:f>
        <x:v>34</x:v>
      </x:c>
      <x:c r="I3" t="n">
        <x:f>IF(C3=0,"",IF(C3=1,F3,_xlfn.AGGREGATE(16,6,(Test_Runs!$H$2:$H$144/((Test_Runs!$B$2:$B$144=A3)*(Test_Runs!$E$2:$E$144=B3))),0.25)))</x:f>
        <x:v>34</x:v>
      </x:c>
      <x:c r="J3" t="n">
        <x:f>IF(C3=0,"",IF(C3=1,F3,_xlfn.AGGREGATE(12,6,(Test_Runs!$H$2:$H$144/((Test_Runs!$B$2:$B$144=A3)*(Test_Runs!$E$2:$E$144=B3))))))</x:f>
        <x:v>34</x:v>
      </x:c>
      <x:c r="K3" t="n">
        <x:f>IF(C3=0,"",IF(C3=1,F3,_xlfn.AGGREGATE(16,6,(Test_Runs!$H$2:$H$144/((Test_Runs!$B$2:$B$144=A3)*(Test_Runs!$E$2:$E$144=B3))),0.75)))</x:f>
        <x:v>34</x:v>
      </x:c>
      <x:c r="L3" t="n">
        <x:f>IF(C3=0,"",_xlfn.MAXIFS(Test_Runs!$H:$H,Test_Runs!$B:$B,A3,Test_Runs!$E:$E,B3))</x:f>
        <x:v>34</x:v>
      </x:c>
      <x:c r="M3" t="n">
        <x:f>COUNTIFS(Test_Runs!$B:$B,A3,Test_Runs!$E:$E,B3,Test_Runs!$J:$J,"&gt;0")</x:f>
        <x:v>0</x:v>
      </x:c>
      <x:c r="N3" t="n">
        <x:f>SUMIFS(Test_Runs!$J:$J,Test_Runs!$B:$B,A3,Test_Runs!$E:$E,B3)</x:f>
        <x:v>0</x:v>
      </x:c>
      <x:c r="O3" t="str">
        <x:f>IF(M3=0,"",N3/M3)</x:f>
      </x:c>
      <x:c r="P3" t="n">
        <x:f>COUNTIFS(Test_Runs!$B:$B,A3,Test_Runs!$E:$E,B3,Test_Runs!$S:$S,"&gt;0")</x:f>
        <x:v>0</x:v>
      </x:c>
      <x:c r="Q3" t="n">
        <x:f>SUMIFS(Test_Runs!$S:$S,Test_Runs!$B:$B,A3,Test_Runs!$E:$E,B3)</x:f>
        <x:v>0</x:v>
      </x:c>
      <x:c r="R3" t="str">
        <x:f>IF(P3=0,"",Q3/P3)</x:f>
      </x:c>
      <x:c r="S3" t="e">
        <x:f>COUNTIFS(Test_Runs!$B:$B,A3,Test_Runs!$E:$E,B3,Test_Runs!$O:$O,"&gt;0")</x:f>
        <x:v>#VALUE!</x:v>
      </x:c>
      <x:c r="T3" t="e">
        <x:f>SUMIFS(Test_Runs!$O:$O,Test_Runs!$B:$B,A3,Test_Runs!$E:$E,B3)</x:f>
        <x:v>#VALUE!</x:v>
      </x:c>
      <x:c r="U3" t="e">
        <x:f>IF(S3=0,"",T3/S3)</x:f>
        <x:v>#VALUE!</x:v>
      </x:c>
      <x:c r="V3" t="n">
        <x:f>IFERROR(INDEX(Benchmark_Versions!$I:$I,MATCH(B3,Benchmark_Versions!$A:$A,0)),1)</x:f>
        <x:v>1</x:v>
      </x:c>
      <x:c r="W3" t="n">
        <x:f>IF(F3="","",F3*V3)</x:f>
        <x:v>34</x:v>
      </x:c>
      <x:c r="X3" t="str">
        <x:f>IF(OR(W3="",W3=0,O3=""),"",O3/W3)</x:f>
      </x:c>
      <x:c r="Y3" t="str">
        <x:f>IF(OR(W3="",O3="",O3=0),"",W3/O3)</x:f>
      </x:c>
      <x:c r="Z3" t="str">
        <x:f>IF(OR(W3="",R3="",R3=0),"",W3/R3)</x:f>
      </x:c>
    </x:row>
    <x:row r="4">
      <x:c r="A4" t="inlineStr">
        <x:is>
          <x:t xml:space="preserve">alibaba|qwen3.8-flash-next|reasoning|reasoning|fallback-na</x:t>
        </x:is>
      </x:c>
      <x:c r="B4" t="inlineStr">
        <x:is>
          <x:t xml:space="preserve">AA|v4.3.2</x:t>
        </x:is>
      </x:c>
      <x:c r="C4" t="n">
        <x:f>COUNTIFS(Test_Runs!$B:$B,A4,Test_Runs!$E:$E,B4,Test_Runs!$H:$H,"&gt;=0")</x:f>
        <x:v>1</x:v>
      </x:c>
      <x:c r="D4" t="n">
        <x:f>SUMIFS(Test_Runs!$H:$H,Test_Runs!$B:$B,A4,Test_Runs!$E:$E,B4)</x:f>
        <x:v>40</x:v>
      </x:c>
      <x:c r="E4" t="n">
        <x:f>SUMIFS(Test_Runs!$I:$I,Test_Runs!$B:$B,A4,Test_Runs!$E:$E,B4)</x:f>
        <x:v>1600</x:v>
      </x:c>
      <x:c r="F4" t="n">
        <x:f>IF(C4=0,"",D4/C4)</x:f>
        <x:v>40</x:v>
      </x:c>
      <x:c r="G4" t="n">
        <x:f>IF(C4&lt;2,0,SQRT(MAX(0,(E4-(D4*D4/C4))/(C4-1))))</x:f>
        <x:v>0</x:v>
      </x:c>
      <x:c r="H4" t="n">
        <x:f>IF(C4=0,"",IF(C4=1,F4,_xlfn.AGGREGATE(15,6,(Test_Runs!$H$2:$H$144/((Test_Runs!$B$2:$B$144=A4)*(Test_Runs!$E$2:$E$144=B4))),1)))</x:f>
        <x:v>40</x:v>
      </x:c>
      <x:c r="I4" t="n">
        <x:f>IF(C4=0,"",IF(C4=1,F4,_xlfn.AGGREGATE(16,6,(Test_Runs!$H$2:$H$144/((Test_Runs!$B$2:$B$144=A4)*(Test_Runs!$E$2:$E$144=B4))),0.25)))</x:f>
        <x:v>40</x:v>
      </x:c>
      <x:c r="J4" t="n">
        <x:f>IF(C4=0,"",IF(C4=1,F4,_xlfn.AGGREGATE(12,6,(Test_Runs!$H$2:$H$144/((Test_Runs!$B$2:$B$144=A4)*(Test_Runs!$E$2:$E$144=B4))))))</x:f>
        <x:v>40</x:v>
      </x:c>
      <x:c r="K4" t="n">
        <x:f>IF(C4=0,"",IF(C4=1,F4,_xlfn.AGGREGATE(16,6,(Test_Runs!$H$2:$H$144/((Test_Runs!$B$2:$B$144=A4)*(Test_Runs!$E$2:$E$144=B4))),0.75)))</x:f>
        <x:v>40</x:v>
      </x:c>
      <x:c r="L4" t="n">
        <x:f>IF(C4=0,"",_xlfn.MAXIFS(Test_Runs!$H:$H,Test_Runs!$B:$B,A4,Test_Runs!$E:$E,B4))</x:f>
        <x:v>40</x:v>
      </x:c>
      <x:c r="M4" t="n">
        <x:f>COUNTIFS(Test_Runs!$B:$B,A4,Test_Runs!$E:$E,B4,Test_Runs!$J:$J,"&gt;0")</x:f>
        <x:v>1</x:v>
      </x:c>
      <x:c r="N4" t="n">
        <x:f>SUMIFS(Test_Runs!$J:$J,Test_Runs!$B:$B,A4,Test_Runs!$E:$E,B4)</x:f>
        <x:v>0.37</x:v>
      </x:c>
      <x:c r="O4" t="n">
        <x:f>IF(M4=0,"",N4/M4)</x:f>
        <x:v>0.37</x:v>
      </x:c>
      <x:c r="P4" t="n">
        <x:f>COUNTIFS(Test_Runs!$B:$B,A4,Test_Runs!$E:$E,B4,Test_Runs!$S:$S,"&gt;0")</x:f>
        <x:v>1</x:v>
      </x:c>
      <x:c r="Q4" t="n">
        <x:f>SUMIFS(Test_Runs!$S:$S,Test_Runs!$B:$B,A4,Test_Runs!$E:$E,B4)</x:f>
        <x:v>1662.06</x:v>
      </x:c>
      <x:c r="R4" t="n">
        <x:f>IF(P4=0,"",Q4/P4)</x:f>
        <x:v>1662.06</x:v>
      </x:c>
      <x:c r="S4" t="e">
        <x:f>COUNTIFS(Test_Runs!$B:$B,A4,Test_Runs!$E:$E,B4,Test_Runs!$O:$O,"&gt;0")</x:f>
        <x:v>#VALUE!</x:v>
      </x:c>
      <x:c r="T4" t="e">
        <x:f>SUMIFS(Test_Runs!$O:$O,Test_Runs!$B:$B,A4,Test_Runs!$E:$E,B4)</x:f>
        <x:v>#VALUE!</x:v>
      </x:c>
      <x:c r="U4" t="e">
        <x:f>IF(S4=0,"",T4/S4)</x:f>
        <x:v>#VALUE!</x:v>
      </x:c>
      <x:c r="V4" t="n">
        <x:f>IFERROR(INDEX(Benchmark_Versions!$I:$I,MATCH(B4,Benchmark_Versions!$A:$A,0)),1)</x:f>
        <x:v>1</x:v>
      </x:c>
      <x:c r="W4" t="n">
        <x:f>IF(F4="","",F4*V4)</x:f>
        <x:v>40</x:v>
      </x:c>
      <x:c r="X4" t="n">
        <x:f>IF(OR(W4="",W4=0,O4=""),"",O4/W4)</x:f>
        <x:v>0.00925</x:v>
      </x:c>
      <x:c r="Y4" t="n">
        <x:f>IF(OR(W4="",O4="",O4=0),"",W4/O4)</x:f>
        <x:v>108.10810810810811</x:v>
      </x:c>
      <x:c r="Z4" t="n">
        <x:f>IF(OR(W4="",R4="",R4=0),"",W4/R4)</x:f>
        <x:v>0.024066519860895516</x:v>
      </x:c>
    </x:row>
    <x:row r="5">
      <x:c r="A5" t="inlineStr">
        <x:is>
          <x:t xml:space="preserve">alibaba|qwen3.8-max-0902|reasoning|reasoning|fallback-na</x:t>
        </x:is>
      </x:c>
      <x:c r="B5" t="inlineStr">
        <x:is>
          <x:t xml:space="preserve">AA|v4.3.2</x:t>
        </x:is>
      </x:c>
      <x:c r="C5" t="n">
        <x:f>COUNTIFS(Test_Runs!$B:$B,A5,Test_Runs!$E:$E,B5,Test_Runs!$H:$H,"&gt;=0")</x:f>
        <x:v>1</x:v>
      </x:c>
      <x:c r="D5" t="n">
        <x:f>SUMIFS(Test_Runs!$H:$H,Test_Runs!$B:$B,A5,Test_Runs!$E:$E,B5)</x:f>
        <x:v>45</x:v>
      </x:c>
      <x:c r="E5" t="n">
        <x:f>SUMIFS(Test_Runs!$I:$I,Test_Runs!$B:$B,A5,Test_Runs!$E:$E,B5)</x:f>
        <x:v>2025</x:v>
      </x:c>
      <x:c r="F5" t="n">
        <x:f>IF(C5=0,"",D5/C5)</x:f>
        <x:v>45</x:v>
      </x:c>
      <x:c r="G5" t="n">
        <x:f>IF(C5&lt;2,0,SQRT(MAX(0,(E5-(D5*D5/C5))/(C5-1))))</x:f>
        <x:v>0</x:v>
      </x:c>
      <x:c r="H5" t="n">
        <x:f>IF(C5=0,"",IF(C5=1,F5,_xlfn.AGGREGATE(15,6,(Test_Runs!$H$2:$H$144/((Test_Runs!$B$2:$B$144=A5)*(Test_Runs!$E$2:$E$144=B5))),1)))</x:f>
        <x:v>45</x:v>
      </x:c>
      <x:c r="I5" t="n">
        <x:f>IF(C5=0,"",IF(C5=1,F5,_xlfn.AGGREGATE(16,6,(Test_Runs!$H$2:$H$144/((Test_Runs!$B$2:$B$144=A5)*(Test_Runs!$E$2:$E$144=B5))),0.25)))</x:f>
        <x:v>45</x:v>
      </x:c>
      <x:c r="J5" t="n">
        <x:f>IF(C5=0,"",IF(C5=1,F5,_xlfn.AGGREGATE(12,6,(Test_Runs!$H$2:$H$144/((Test_Runs!$B$2:$B$144=A5)*(Test_Runs!$E$2:$E$144=B5))))))</x:f>
        <x:v>45</x:v>
      </x:c>
      <x:c r="K5" t="n">
        <x:f>IF(C5=0,"",IF(C5=1,F5,_xlfn.AGGREGATE(16,6,(Test_Runs!$H$2:$H$144/((Test_Runs!$B$2:$B$144=A5)*(Test_Runs!$E$2:$E$144=B5))),0.75)))</x:f>
        <x:v>45</x:v>
      </x:c>
      <x:c r="L5" t="n">
        <x:f>IF(C5=0,"",_xlfn.MAXIFS(Test_Runs!$H:$H,Test_Runs!$B:$B,A5,Test_Runs!$E:$E,B5))</x:f>
        <x:v>45</x:v>
      </x:c>
      <x:c r="M5" t="n">
        <x:f>COUNTIFS(Test_Runs!$B:$B,A5,Test_Runs!$E:$E,B5,Test_Runs!$J:$J,"&gt;0")</x:f>
        <x:v>0</x:v>
      </x:c>
      <x:c r="N5" t="n">
        <x:f>SUMIFS(Test_Runs!$J:$J,Test_Runs!$B:$B,A5,Test_Runs!$E:$E,B5)</x:f>
        <x:v>0</x:v>
      </x:c>
      <x:c r="O5" t="str">
        <x:f>IF(M5=0,"",N5/M5)</x:f>
      </x:c>
      <x:c r="P5" t="n">
        <x:f>COUNTIFS(Test_Runs!$B:$B,A5,Test_Runs!$E:$E,B5,Test_Runs!$S:$S,"&gt;0")</x:f>
        <x:v>0</x:v>
      </x:c>
      <x:c r="Q5" t="n">
        <x:f>SUMIFS(Test_Runs!$S:$S,Test_Runs!$B:$B,A5,Test_Runs!$E:$E,B5)</x:f>
        <x:v>0</x:v>
      </x:c>
      <x:c r="R5" t="str">
        <x:f>IF(P5=0,"",Q5/P5)</x:f>
      </x:c>
      <x:c r="S5" t="e">
        <x:f>COUNTIFS(Test_Runs!$B:$B,A5,Test_Runs!$E:$E,B5,Test_Runs!$O:$O,"&gt;0")</x:f>
        <x:v>#VALUE!</x:v>
      </x:c>
      <x:c r="T5" t="e">
        <x:f>SUMIFS(Test_Runs!$O:$O,Test_Runs!$B:$B,A5,Test_Runs!$E:$E,B5)</x:f>
        <x:v>#VALUE!</x:v>
      </x:c>
      <x:c r="U5" t="e">
        <x:f>IF(S5=0,"",T5/S5)</x:f>
        <x:v>#VALUE!</x:v>
      </x:c>
      <x:c r="V5" t="n">
        <x:f>IFERROR(INDEX(Benchmark_Versions!$I:$I,MATCH(B5,Benchmark_Versions!$A:$A,0)),1)</x:f>
        <x:v>1</x:v>
      </x:c>
      <x:c r="W5" t="n">
        <x:f>IF(F5="","",F5*V5)</x:f>
        <x:v>45</x:v>
      </x:c>
      <x:c r="X5" t="str">
        <x:f>IF(OR(W5="",W5=0,O5=""),"",O5/W5)</x:f>
      </x:c>
      <x:c r="Y5" t="str">
        <x:f>IF(OR(W5="",O5="",O5=0),"",W5/O5)</x:f>
      </x:c>
      <x:c r="Z5" t="str">
        <x:f>IF(OR(W5="",R5="",R5=0),"",W5/R5)</x:f>
      </x:c>
    </x:row>
    <x:row r="6">
      <x:c r="A6" t="inlineStr">
        <x:is>
          <x:t xml:space="preserve">anthropic|claude-4.5-haiku|non-reasoning|nonreasoning|fallback-na</x:t>
        </x:is>
      </x:c>
      <x:c r="B6" t="inlineStr">
        <x:is>
          <x:t xml:space="preserve">AA|v4.3.2</x:t>
        </x:is>
      </x:c>
      <x:c r="C6" t="n">
        <x:f>COUNTIFS(Test_Runs!$B:$B,A6,Test_Runs!$E:$E,B6,Test_Runs!$H:$H,"&gt;=0")</x:f>
        <x:v>1</x:v>
      </x:c>
      <x:c r="D6" t="n">
        <x:f>SUMIFS(Test_Runs!$H:$H,Test_Runs!$B:$B,A6,Test_Runs!$E:$E,B6)</x:f>
        <x:v>15</x:v>
      </x:c>
      <x:c r="E6" t="n">
        <x:f>SUMIFS(Test_Runs!$I:$I,Test_Runs!$B:$B,A6,Test_Runs!$E:$E,B6)</x:f>
        <x:v>225</x:v>
      </x:c>
      <x:c r="F6" t="n">
        <x:f>IF(C6=0,"",D6/C6)</x:f>
        <x:v>15</x:v>
      </x:c>
      <x:c r="G6" t="n">
        <x:f>IF(C6&lt;2,0,SQRT(MAX(0,(E6-(D6*D6/C6))/(C6-1))))</x:f>
        <x:v>0</x:v>
      </x:c>
      <x:c r="H6" t="n">
        <x:f>IF(C6=0,"",IF(C6=1,F6,_xlfn.AGGREGATE(15,6,(Test_Runs!$H$2:$H$144/((Test_Runs!$B$2:$B$144=A6)*(Test_Runs!$E$2:$E$144=B6))),1)))</x:f>
        <x:v>15</x:v>
      </x:c>
      <x:c r="I6" t="n">
        <x:f>IF(C6=0,"",IF(C6=1,F6,_xlfn.AGGREGATE(16,6,(Test_Runs!$H$2:$H$144/((Test_Runs!$B$2:$B$144=A6)*(Test_Runs!$E$2:$E$144=B6))),0.25)))</x:f>
        <x:v>15</x:v>
      </x:c>
      <x:c r="J6" t="n">
        <x:f>IF(C6=0,"",IF(C6=1,F6,_xlfn.AGGREGATE(12,6,(Test_Runs!$H$2:$H$144/((Test_Runs!$B$2:$B$144=A6)*(Test_Runs!$E$2:$E$144=B6))))))</x:f>
        <x:v>15</x:v>
      </x:c>
      <x:c r="K6" t="n">
        <x:f>IF(C6=0,"",IF(C6=1,F6,_xlfn.AGGREGATE(16,6,(Test_Runs!$H$2:$H$144/((Test_Runs!$B$2:$B$144=A6)*(Test_Runs!$E$2:$E$144=B6))),0.75)))</x:f>
        <x:v>15</x:v>
      </x:c>
      <x:c r="L6" t="n">
        <x:f>IF(C6=0,"",_xlfn.MAXIFS(Test_Runs!$H:$H,Test_Runs!$B:$B,A6,Test_Runs!$E:$E,B6))</x:f>
        <x:v>15</x:v>
      </x:c>
      <x:c r="M6" t="n">
        <x:f>COUNTIFS(Test_Runs!$B:$B,A6,Test_Runs!$E:$E,B6,Test_Runs!$J:$J,"&gt;0")</x:f>
        <x:v>0</x:v>
      </x:c>
      <x:c r="N6" t="n">
        <x:f>SUMIFS(Test_Runs!$J:$J,Test_Runs!$B:$B,A6,Test_Runs!$E:$E,B6)</x:f>
        <x:v>0</x:v>
      </x:c>
      <x:c r="O6" t="str">
        <x:f>IF(M6=0,"",N6/M6)</x:f>
      </x:c>
      <x:c r="P6" t="n">
        <x:f>COUNTIFS(Test_Runs!$B:$B,A6,Test_Runs!$E:$E,B6,Test_Runs!$S:$S,"&gt;0")</x:f>
        <x:v>0</x:v>
      </x:c>
      <x:c r="Q6" t="n">
        <x:f>SUMIFS(Test_Runs!$S:$S,Test_Runs!$B:$B,A6,Test_Runs!$E:$E,B6)</x:f>
        <x:v>0</x:v>
      </x:c>
      <x:c r="R6" t="str">
        <x:f>IF(P6=0,"",Q6/P6)</x:f>
      </x:c>
      <x:c r="S6" t="e">
        <x:f>COUNTIFS(Test_Runs!$B:$B,A6,Test_Runs!$E:$E,B6,Test_Runs!$O:$O,"&gt;0")</x:f>
        <x:v>#VALUE!</x:v>
      </x:c>
      <x:c r="T6" t="e">
        <x:f>SUMIFS(Test_Runs!$O:$O,Test_Runs!$B:$B,A6,Test_Runs!$E:$E,B6)</x:f>
        <x:v>#VALUE!</x:v>
      </x:c>
      <x:c r="U6" t="e">
        <x:f>IF(S6=0,"",T6/S6)</x:f>
        <x:v>#VALUE!</x:v>
      </x:c>
      <x:c r="V6" t="n">
        <x:f>IFERROR(INDEX(Benchmark_Versions!$I:$I,MATCH(B6,Benchmark_Versions!$A:$A,0)),1)</x:f>
        <x:v>1</x:v>
      </x:c>
      <x:c r="W6" t="n">
        <x:f>IF(F6="","",F6*V6)</x:f>
        <x:v>15</x:v>
      </x:c>
      <x:c r="X6" t="str">
        <x:f>IF(OR(W6="",W6=0,O6=""),"",O6/W6)</x:f>
      </x:c>
      <x:c r="Y6" t="str">
        <x:f>IF(OR(W6="",O6="",O6=0),"",W6/O6)</x:f>
      </x:c>
      <x:c r="Z6" t="str">
        <x:f>IF(OR(W6="",R6="",R6=0),"",W6/R6)</x:f>
      </x:c>
    </x:row>
    <x:row r="7">
      <x:c r="A7" t="inlineStr">
        <x:is>
          <x:t xml:space="preserve">anthropic|claude-4.5-haiku|reasoning|reasoning|fallback-na</x:t>
        </x:is>
      </x:c>
      <x:c r="B7" t="inlineStr">
        <x:is>
          <x:t xml:space="preserve">AA|v4.3.2</x:t>
        </x:is>
      </x:c>
      <x:c r="C7" t="n">
        <x:f>COUNTIFS(Test_Runs!$B:$B,A7,Test_Runs!$E:$E,B7,Test_Runs!$H:$H,"&gt;=0")</x:f>
        <x:v>1</x:v>
      </x:c>
      <x:c r="D7" t="n">
        <x:f>SUMIFS(Test_Runs!$H:$H,Test_Runs!$B:$B,A7,Test_Runs!$E:$E,B7)</x:f>
        <x:v>17</x:v>
      </x:c>
      <x:c r="E7" t="n">
        <x:f>SUMIFS(Test_Runs!$I:$I,Test_Runs!$B:$B,A7,Test_Runs!$E:$E,B7)</x:f>
        <x:v>289</x:v>
      </x:c>
      <x:c r="F7" t="n">
        <x:f>IF(C7=0,"",D7/C7)</x:f>
        <x:v>17</x:v>
      </x:c>
      <x:c r="G7" t="n">
        <x:f>IF(C7&lt;2,0,SQRT(MAX(0,(E7-(D7*D7/C7))/(C7-1))))</x:f>
        <x:v>0</x:v>
      </x:c>
      <x:c r="H7" t="n">
        <x:f>IF(C7=0,"",IF(C7=1,F7,_xlfn.AGGREGATE(15,6,(Test_Runs!$H$2:$H$144/((Test_Runs!$B$2:$B$144=A7)*(Test_Runs!$E$2:$E$144=B7))),1)))</x:f>
        <x:v>17</x:v>
      </x:c>
      <x:c r="I7" t="n">
        <x:f>IF(C7=0,"",IF(C7=1,F7,_xlfn.AGGREGATE(16,6,(Test_Runs!$H$2:$H$144/((Test_Runs!$B$2:$B$144=A7)*(Test_Runs!$E$2:$E$144=B7))),0.25)))</x:f>
        <x:v>17</x:v>
      </x:c>
      <x:c r="J7" t="n">
        <x:f>IF(C7=0,"",IF(C7=1,F7,_xlfn.AGGREGATE(12,6,(Test_Runs!$H$2:$H$144/((Test_Runs!$B$2:$B$144=A7)*(Test_Runs!$E$2:$E$144=B7))))))</x:f>
        <x:v>17</x:v>
      </x:c>
      <x:c r="K7" t="n">
        <x:f>IF(C7=0,"",IF(C7=1,F7,_xlfn.AGGREGATE(16,6,(Test_Runs!$H$2:$H$144/((Test_Runs!$B$2:$B$144=A7)*(Test_Runs!$E$2:$E$144=B7))),0.75)))</x:f>
        <x:v>17</x:v>
      </x:c>
      <x:c r="L7" t="n">
        <x:f>IF(C7=0,"",_xlfn.MAXIFS(Test_Runs!$H:$H,Test_Runs!$B:$B,A7,Test_Runs!$E:$E,B7))</x:f>
        <x:v>17</x:v>
      </x:c>
      <x:c r="M7" t="n">
        <x:f>COUNTIFS(Test_Runs!$B:$B,A7,Test_Runs!$E:$E,B7,Test_Runs!$J:$J,"&gt;0")</x:f>
        <x:v>1</x:v>
      </x:c>
      <x:c r="N7" t="n">
        <x:f>SUMIFS(Test_Runs!$J:$J,Test_Runs!$B:$B,A7,Test_Runs!$E:$E,B7)</x:f>
        <x:v>0.28</x:v>
      </x:c>
      <x:c r="O7" t="n">
        <x:f>IF(M7=0,"",N7/M7)</x:f>
        <x:v>0.28</x:v>
      </x:c>
      <x:c r="P7" t="n">
        <x:f>COUNTIFS(Test_Runs!$B:$B,A7,Test_Runs!$E:$E,B7,Test_Runs!$S:$S,"&gt;0")</x:f>
        <x:v>0</x:v>
      </x:c>
      <x:c r="Q7" t="n">
        <x:f>SUMIFS(Test_Runs!$S:$S,Test_Runs!$B:$B,A7,Test_Runs!$E:$E,B7)</x:f>
        <x:v>0</x:v>
      </x:c>
      <x:c r="R7" t="str">
        <x:f>IF(P7=0,"",Q7/P7)</x:f>
      </x:c>
      <x:c r="S7" t="e">
        <x:f>COUNTIFS(Test_Runs!$B:$B,A7,Test_Runs!$E:$E,B7,Test_Runs!$O:$O,"&gt;0")</x:f>
        <x:v>#VALUE!</x:v>
      </x:c>
      <x:c r="T7" t="e">
        <x:f>SUMIFS(Test_Runs!$O:$O,Test_Runs!$B:$B,A7,Test_Runs!$E:$E,B7)</x:f>
        <x:v>#VALUE!</x:v>
      </x:c>
      <x:c r="U7" t="e">
        <x:f>IF(S7=0,"",T7/S7)</x:f>
        <x:v>#VALUE!</x:v>
      </x:c>
      <x:c r="V7" t="n">
        <x:f>IFERROR(INDEX(Benchmark_Versions!$I:$I,MATCH(B7,Benchmark_Versions!$A:$A,0)),1)</x:f>
        <x:v>1</x:v>
      </x:c>
      <x:c r="W7" t="n">
        <x:f>IF(F7="","",F7*V7)</x:f>
        <x:v>17</x:v>
      </x:c>
      <x:c r="X7" t="n">
        <x:f>IF(OR(W7="",W7=0,O7=""),"",O7/W7)</x:f>
        <x:v>0.01647058823529412</x:v>
      </x:c>
      <x:c r="Y7" t="n">
        <x:f>IF(OR(W7="",O7="",O7=0),"",W7/O7)</x:f>
        <x:v>60.71428571428571</x:v>
      </x:c>
      <x:c r="Z7" t="str">
        <x:f>IF(OR(W7="",R7="",R7=0),"",W7/R7)</x:f>
      </x:c>
    </x:row>
    <x:row r="8">
      <x:c r="A8" t="inlineStr">
        <x:is>
          <x:t xml:space="preserve">anthropic|claude-opus-4.5|non-reasoning|nonreasoning|fallback-na</x:t>
        </x:is>
      </x:c>
      <x:c r="B8" t="inlineStr">
        <x:is>
          <x:t xml:space="preserve">AA|v4.3.2</x:t>
        </x:is>
      </x:c>
      <x:c r="C8" t="n">
        <x:f>COUNTIFS(Test_Runs!$B:$B,A8,Test_Runs!$E:$E,B8,Test_Runs!$H:$H,"&gt;=0")</x:f>
        <x:v>1</x:v>
      </x:c>
      <x:c r="D8" t="n">
        <x:f>SUMIFS(Test_Runs!$H:$H,Test_Runs!$B:$B,A8,Test_Runs!$E:$E,B8)</x:f>
        <x:v>24</x:v>
      </x:c>
      <x:c r="E8" t="n">
        <x:f>SUMIFS(Test_Runs!$I:$I,Test_Runs!$B:$B,A8,Test_Runs!$E:$E,B8)</x:f>
        <x:v>576</x:v>
      </x:c>
      <x:c r="F8" t="n">
        <x:f>IF(C8=0,"",D8/C8)</x:f>
        <x:v>24</x:v>
      </x:c>
      <x:c r="G8" t="n">
        <x:f>IF(C8&lt;2,0,SQRT(MAX(0,(E8-(D8*D8/C8))/(C8-1))))</x:f>
        <x:v>0</x:v>
      </x:c>
      <x:c r="H8" t="n">
        <x:f>IF(C8=0,"",IF(C8=1,F8,_xlfn.AGGREGATE(15,6,(Test_Runs!$H$2:$H$144/((Test_Runs!$B$2:$B$144=A8)*(Test_Runs!$E$2:$E$144=B8))),1)))</x:f>
        <x:v>24</x:v>
      </x:c>
      <x:c r="I8" t="n">
        <x:f>IF(C8=0,"",IF(C8=1,F8,_xlfn.AGGREGATE(16,6,(Test_Runs!$H$2:$H$144/((Test_Runs!$B$2:$B$144=A8)*(Test_Runs!$E$2:$E$144=B8))),0.25)))</x:f>
        <x:v>24</x:v>
      </x:c>
      <x:c r="J8" t="n">
        <x:f>IF(C8=0,"",IF(C8=1,F8,_xlfn.AGGREGATE(12,6,(Test_Runs!$H$2:$H$144/((Test_Runs!$B$2:$B$144=A8)*(Test_Runs!$E$2:$E$144=B8))))))</x:f>
        <x:v>24</x:v>
      </x:c>
      <x:c r="K8" t="n">
        <x:f>IF(C8=0,"",IF(C8=1,F8,_xlfn.AGGREGATE(16,6,(Test_Runs!$H$2:$H$144/((Test_Runs!$B$2:$B$144=A8)*(Test_Runs!$E$2:$E$144=B8))),0.75)))</x:f>
        <x:v>24</x:v>
      </x:c>
      <x:c r="L8" t="n">
        <x:f>IF(C8=0,"",_xlfn.MAXIFS(Test_Runs!$H:$H,Test_Runs!$B:$B,A8,Test_Runs!$E:$E,B8))</x:f>
        <x:v>24</x:v>
      </x:c>
      <x:c r="M8" t="n">
        <x:f>COUNTIFS(Test_Runs!$B:$B,A8,Test_Runs!$E:$E,B8,Test_Runs!$J:$J,"&gt;0")</x:f>
        <x:v>0</x:v>
      </x:c>
      <x:c r="N8" t="n">
        <x:f>SUMIFS(Test_Runs!$J:$J,Test_Runs!$B:$B,A8,Test_Runs!$E:$E,B8)</x:f>
        <x:v>0</x:v>
      </x:c>
      <x:c r="O8" t="str">
        <x:f>IF(M8=0,"",N8/M8)</x:f>
      </x:c>
      <x:c r="P8" t="n">
        <x:f>COUNTIFS(Test_Runs!$B:$B,A8,Test_Runs!$E:$E,B8,Test_Runs!$S:$S,"&gt;0")</x:f>
        <x:v>0</x:v>
      </x:c>
      <x:c r="Q8" t="n">
        <x:f>SUMIFS(Test_Runs!$S:$S,Test_Runs!$B:$B,A8,Test_Runs!$E:$E,B8)</x:f>
        <x:v>0</x:v>
      </x:c>
      <x:c r="R8" t="str">
        <x:f>IF(P8=0,"",Q8/P8)</x:f>
      </x:c>
      <x:c r="S8" t="e">
        <x:f>COUNTIFS(Test_Runs!$B:$B,A8,Test_Runs!$E:$E,B8,Test_Runs!$O:$O,"&gt;0")</x:f>
        <x:v>#VALUE!</x:v>
      </x:c>
      <x:c r="T8" t="e">
        <x:f>SUMIFS(Test_Runs!$O:$O,Test_Runs!$B:$B,A8,Test_Runs!$E:$E,B8)</x:f>
        <x:v>#VALUE!</x:v>
      </x:c>
      <x:c r="U8" t="e">
        <x:f>IF(S8=0,"",T8/S8)</x:f>
        <x:v>#VALUE!</x:v>
      </x:c>
      <x:c r="V8" t="n">
        <x:f>IFERROR(INDEX(Benchmark_Versions!$I:$I,MATCH(B8,Benchmark_Versions!$A:$A,0)),1)</x:f>
        <x:v>1</x:v>
      </x:c>
      <x:c r="W8" t="n">
        <x:f>IF(F8="","",F8*V8)</x:f>
        <x:v>24</x:v>
      </x:c>
      <x:c r="X8" t="str">
        <x:f>IF(OR(W8="",W8=0,O8=""),"",O8/W8)</x:f>
      </x:c>
      <x:c r="Y8" t="str">
        <x:f>IF(OR(W8="",O8="",O8=0),"",W8/O8)</x:f>
      </x:c>
      <x:c r="Z8" t="str">
        <x:f>IF(OR(W8="",R8="",R8=0),"",W8/R8)</x:f>
      </x:c>
    </x:row>
    <x:row r="9">
      <x:c r="A9" t="inlineStr">
        <x:is>
          <x:t xml:space="preserve">anthropic|claude-opus-4.5|reasoning|reasoning|fallback-na</x:t>
        </x:is>
      </x:c>
      <x:c r="B9" t="inlineStr">
        <x:is>
          <x:t xml:space="preserve">AA|v4.3.2</x:t>
        </x:is>
      </x:c>
      <x:c r="C9" t="n">
        <x:f>COUNTIFS(Test_Runs!$B:$B,A9,Test_Runs!$E:$E,B9,Test_Runs!$H:$H,"&gt;=0")</x:f>
        <x:v>1</x:v>
      </x:c>
      <x:c r="D9" t="n">
        <x:f>SUMIFS(Test_Runs!$H:$H,Test_Runs!$B:$B,A9,Test_Runs!$E:$E,B9)</x:f>
        <x:v>29</x:v>
      </x:c>
      <x:c r="E9" t="n">
        <x:f>SUMIFS(Test_Runs!$I:$I,Test_Runs!$B:$B,A9,Test_Runs!$E:$E,B9)</x:f>
        <x:v>841</x:v>
      </x:c>
      <x:c r="F9" t="n">
        <x:f>IF(C9=0,"",D9/C9)</x:f>
        <x:v>29</x:v>
      </x:c>
      <x:c r="G9" t="n">
        <x:f>IF(C9&lt;2,0,SQRT(MAX(0,(E9-(D9*D9/C9))/(C9-1))))</x:f>
        <x:v>0</x:v>
      </x:c>
      <x:c r="H9" t="n">
        <x:f>IF(C9=0,"",IF(C9=1,F9,_xlfn.AGGREGATE(15,6,(Test_Runs!$H$2:$H$144/((Test_Runs!$B$2:$B$144=A9)*(Test_Runs!$E$2:$E$144=B9))),1)))</x:f>
        <x:v>29</x:v>
      </x:c>
      <x:c r="I9" t="n">
        <x:f>IF(C9=0,"",IF(C9=1,F9,_xlfn.AGGREGATE(16,6,(Test_Runs!$H$2:$H$144/((Test_Runs!$B$2:$B$144=A9)*(Test_Runs!$E$2:$E$144=B9))),0.25)))</x:f>
        <x:v>29</x:v>
      </x:c>
      <x:c r="J9" t="n">
        <x:f>IF(C9=0,"",IF(C9=1,F9,_xlfn.AGGREGATE(12,6,(Test_Runs!$H$2:$H$144/((Test_Runs!$B$2:$B$144=A9)*(Test_Runs!$E$2:$E$144=B9))))))</x:f>
        <x:v>29</x:v>
      </x:c>
      <x:c r="K9" t="n">
        <x:f>IF(C9=0,"",IF(C9=1,F9,_xlfn.AGGREGATE(16,6,(Test_Runs!$H$2:$H$144/((Test_Runs!$B$2:$B$144=A9)*(Test_Runs!$E$2:$E$144=B9))),0.75)))</x:f>
        <x:v>29</x:v>
      </x:c>
      <x:c r="L9" t="n">
        <x:f>IF(C9=0,"",_xlfn.MAXIFS(Test_Runs!$H:$H,Test_Runs!$B:$B,A9,Test_Runs!$E:$E,B9))</x:f>
        <x:v>29</x:v>
      </x:c>
      <x:c r="M9" t="n">
        <x:f>COUNTIFS(Test_Runs!$B:$B,A9,Test_Runs!$E:$E,B9,Test_Runs!$J:$J,"&gt;0")</x:f>
        <x:v>0</x:v>
      </x:c>
      <x:c r="N9" t="n">
        <x:f>SUMIFS(Test_Runs!$J:$J,Test_Runs!$B:$B,A9,Test_Runs!$E:$E,B9)</x:f>
        <x:v>0</x:v>
      </x:c>
      <x:c r="O9" t="str">
        <x:f>IF(M9=0,"",N9/M9)</x:f>
      </x:c>
      <x:c r="P9" t="n">
        <x:f>COUNTIFS(Test_Runs!$B:$B,A9,Test_Runs!$E:$E,B9,Test_Runs!$S:$S,"&gt;0")</x:f>
        <x:v>0</x:v>
      </x:c>
      <x:c r="Q9" t="n">
        <x:f>SUMIFS(Test_Runs!$S:$S,Test_Runs!$B:$B,A9,Test_Runs!$E:$E,B9)</x:f>
        <x:v>0</x:v>
      </x:c>
      <x:c r="R9" t="str">
        <x:f>IF(P9=0,"",Q9/P9)</x:f>
      </x:c>
      <x:c r="S9" t="e">
        <x:f>COUNTIFS(Test_Runs!$B:$B,A9,Test_Runs!$E:$E,B9,Test_Runs!$O:$O,"&gt;0")</x:f>
        <x:v>#VALUE!</x:v>
      </x:c>
      <x:c r="T9" t="e">
        <x:f>SUMIFS(Test_Runs!$O:$O,Test_Runs!$B:$B,A9,Test_Runs!$E:$E,B9)</x:f>
        <x:v>#VALUE!</x:v>
      </x:c>
      <x:c r="U9" t="e">
        <x:f>IF(S9=0,"",T9/S9)</x:f>
        <x:v>#VALUE!</x:v>
      </x:c>
      <x:c r="V9" t="n">
        <x:f>IFERROR(INDEX(Benchmark_Versions!$I:$I,MATCH(B9,Benchmark_Versions!$A:$A,0)),1)</x:f>
        <x:v>1</x:v>
      </x:c>
      <x:c r="W9" t="n">
        <x:f>IF(F9="","",F9*V9)</x:f>
        <x:v>29</x:v>
      </x:c>
      <x:c r="X9" t="str">
        <x:f>IF(OR(W9="",W9=0,O9=""),"",O9/W9)</x:f>
      </x:c>
      <x:c r="Y9" t="str">
        <x:f>IF(OR(W9="",O9="",O9=0),"",W9/O9)</x:f>
      </x:c>
      <x:c r="Z9" t="str">
        <x:f>IF(OR(W9="",R9="",R9=0),"",W9/R9)</x:f>
      </x:c>
    </x:row>
    <x:row r="10">
      <x:c r="A10" t="inlineStr">
        <x:is>
          <x:t xml:space="preserve">anthropic|claude-opus-5.5|high|reasoning|fallback-true</x:t>
        </x:is>
      </x:c>
      <x:c r="B10" t="inlineStr">
        <x:is>
          <x:t xml:space="preserve">AA|v4.3.2</x:t>
        </x:is>
      </x:c>
      <x:c r="C10" t="n">
        <x:f>COUNTIFS(Test_Runs!$B:$B,A10,Test_Runs!$E:$E,B10,Test_Runs!$H:$H,"&gt;=0")</x:f>
        <x:v>2</x:v>
      </x:c>
      <x:c r="D10" t="n">
        <x:f>SUMIFS(Test_Runs!$H:$H,Test_Runs!$B:$B,A10,Test_Runs!$E:$E,B10)</x:f>
        <x:v>108</x:v>
      </x:c>
      <x:c r="E10" t="n">
        <x:f>SUMIFS(Test_Runs!$I:$I,Test_Runs!$B:$B,A10,Test_Runs!$E:$E,B10)</x:f>
        <x:v>5832</x:v>
      </x:c>
      <x:c r="F10" t="n">
        <x:f>IF(C10=0,"",D10/C10)</x:f>
        <x:v>54</x:v>
      </x:c>
      <x:c r="G10" t="n">
        <x:f>IF(C10&lt;2,0,SQRT(MAX(0,(E10-(D10*D10/C10))/(C10-1))))</x:f>
        <x:v>0</x:v>
      </x:c>
      <x:c r="H10" t="n">
        <x:f>IF(C10=0,"",IF(C10=1,F10,_xlfn.AGGREGATE(15,6,(Test_Runs!$H$2:$H$144/((Test_Runs!$B$2:$B$144=A10)*(Test_Runs!$E$2:$E$144=B10))),1)))</x:f>
        <x:v>0</x:v>
      </x:c>
      <x:c r="I10" t="n">
        <x:f>IF(C10=0,"",IF(C10=1,F10,_xlfn.AGGREGATE(16,6,(Test_Runs!$H$2:$H$144/((Test_Runs!$B$2:$B$144=A10)*(Test_Runs!$E$2:$E$144=B10))),0.25)))</x:f>
        <x:v>0</x:v>
      </x:c>
      <x:c r="J10" t="str">
        <x:f>IF(C10=0,"",IF(C10=1,F10,_xlfn.AGGREGATE(12,6,(Test_Runs!$H$2:$H$144/((Test_Runs!$B$2:$B$144=A10)*(Test_Runs!$E$2:$E$144=B10))))))</x:f>
      </x:c>
      <x:c r="K10" t="n">
        <x:f>IF(C10=0,"",IF(C10=1,F10,_xlfn.AGGREGATE(16,6,(Test_Runs!$H$2:$H$144/((Test_Runs!$B$2:$B$144=A10)*(Test_Runs!$E$2:$E$144=B10))),0.75)))</x:f>
        <x:v>0</x:v>
      </x:c>
      <x:c r="L10" t="n">
        <x:f>IF(C10=0,"",_xlfn.MAXIFS(Test_Runs!$H:$H,Test_Runs!$B:$B,A10,Test_Runs!$E:$E,B10))</x:f>
        <x:v>54</x:v>
      </x:c>
      <x:c r="M10" t="n">
        <x:f>COUNTIFS(Test_Runs!$B:$B,A10,Test_Runs!$E:$E,B10,Test_Runs!$J:$J,"&gt;0")</x:f>
        <x:v>2</x:v>
      </x:c>
      <x:c r="N10" t="n">
        <x:f>SUMIFS(Test_Runs!$J:$J,Test_Runs!$B:$B,A10,Test_Runs!$E:$E,B10)</x:f>
        <x:v>3.64</x:v>
      </x:c>
      <x:c r="O10" t="n">
        <x:f>IF(M10=0,"",N10/M10)</x:f>
        <x:v>1.82</x:v>
      </x:c>
      <x:c r="P10" t="n">
        <x:f>COUNTIFS(Test_Runs!$B:$B,A10,Test_Runs!$E:$E,B10,Test_Runs!$S:$S,"&gt;0")</x:f>
        <x:v>0</x:v>
      </x:c>
      <x:c r="Q10" t="n">
        <x:f>SUMIFS(Test_Runs!$S:$S,Test_Runs!$B:$B,A10,Test_Runs!$E:$E,B10)</x:f>
        <x:v>0</x:v>
      </x:c>
      <x:c r="R10" t="str">
        <x:f>IF(P10=0,"",Q10/P10)</x:f>
      </x:c>
      <x:c r="S10" t="e">
        <x:f>COUNTIFS(Test_Runs!$B:$B,A10,Test_Runs!$E:$E,B10,Test_Runs!$O:$O,"&gt;0")</x:f>
        <x:v>#VALUE!</x:v>
      </x:c>
      <x:c r="T10" t="e">
        <x:f>SUMIFS(Test_Runs!$O:$O,Test_Runs!$B:$B,A10,Test_Runs!$E:$E,B10)</x:f>
        <x:v>#VALUE!</x:v>
      </x:c>
      <x:c r="U10" t="e">
        <x:f>IF(S10=0,"",T10/S10)</x:f>
        <x:v>#VALUE!</x:v>
      </x:c>
      <x:c r="V10" t="n">
        <x:f>IFERROR(INDEX(Benchmark_Versions!$I:$I,MATCH(B10,Benchmark_Versions!$A:$A,0)),1)</x:f>
        <x:v>1</x:v>
      </x:c>
      <x:c r="W10" t="n">
        <x:f>IF(F10="","",F10*V10)</x:f>
        <x:v>54</x:v>
      </x:c>
      <x:c r="X10" t="n">
        <x:f>IF(OR(W10="",W10=0,O10=""),"",O10/W10)</x:f>
        <x:v>0.03370370370370371</x:v>
      </x:c>
      <x:c r="Y10" t="n">
        <x:f>IF(OR(W10="",O10="",O10=0),"",W10/O10)</x:f>
        <x:v>29.670329670329668</x:v>
      </x:c>
      <x:c r="Z10" t="str">
        <x:f>IF(OR(W10="",R10="",R10=0),"",W10/R10)</x:f>
      </x:c>
    </x:row>
    <x:row r="11">
      <x:c r="A11" t="inlineStr">
        <x:is>
          <x:t xml:space="preserve">anthropic|claude-opus-5.5|low|reasoning|fallback-true</x:t>
        </x:is>
      </x:c>
      <x:c r="B11" t="inlineStr">
        <x:is>
          <x:t xml:space="preserve">AA|v4.3.2</x:t>
        </x:is>
      </x:c>
      <x:c r="C11" t="n">
        <x:f>COUNTIFS(Test_Runs!$B:$B,A11,Test_Runs!$E:$E,B11,Test_Runs!$H:$H,"&gt;=0")</x:f>
        <x:v>2</x:v>
      </x:c>
      <x:c r="D11" t="n">
        <x:f>SUMIFS(Test_Runs!$H:$H,Test_Runs!$B:$B,A11,Test_Runs!$E:$E,B11)</x:f>
        <x:v>84</x:v>
      </x:c>
      <x:c r="E11" t="n">
        <x:f>SUMIFS(Test_Runs!$I:$I,Test_Runs!$B:$B,A11,Test_Runs!$E:$E,B11)</x:f>
        <x:v>3528</x:v>
      </x:c>
      <x:c r="F11" t="n">
        <x:f>IF(C11=0,"",D11/C11)</x:f>
        <x:v>42</x:v>
      </x:c>
      <x:c r="G11" t="n">
        <x:f>IF(C11&lt;2,0,SQRT(MAX(0,(E11-(D11*D11/C11))/(C11-1))))</x:f>
        <x:v>0</x:v>
      </x:c>
      <x:c r="H11" t="n">
        <x:f>IF(C11=0,"",IF(C11=1,F11,_xlfn.AGGREGATE(15,6,(Test_Runs!$H$2:$H$144/((Test_Runs!$B$2:$B$144=A11)*(Test_Runs!$E$2:$E$144=B11))),1)))</x:f>
        <x:v>0</x:v>
      </x:c>
      <x:c r="I11" t="n">
        <x:f>IF(C11=0,"",IF(C11=1,F11,_xlfn.AGGREGATE(16,6,(Test_Runs!$H$2:$H$144/((Test_Runs!$B$2:$B$144=A11)*(Test_Runs!$E$2:$E$144=B11))),0.25)))</x:f>
        <x:v>0</x:v>
      </x:c>
      <x:c r="J11" t="str">
        <x:f>IF(C11=0,"",IF(C11=1,F11,_xlfn.AGGREGATE(12,6,(Test_Runs!$H$2:$H$144/((Test_Runs!$B$2:$B$144=A11)*(Test_Runs!$E$2:$E$144=B11))))))</x:f>
      </x:c>
      <x:c r="K11" t="n">
        <x:f>IF(C11=0,"",IF(C11=1,F11,_xlfn.AGGREGATE(16,6,(Test_Runs!$H$2:$H$144/((Test_Runs!$B$2:$B$144=A11)*(Test_Runs!$E$2:$E$144=B11))),0.75)))</x:f>
        <x:v>0</x:v>
      </x:c>
      <x:c r="L11" t="n">
        <x:f>IF(C11=0,"",_xlfn.MAXIFS(Test_Runs!$H:$H,Test_Runs!$B:$B,A11,Test_Runs!$E:$E,B11))</x:f>
        <x:v>42</x:v>
      </x:c>
      <x:c r="M11" t="n">
        <x:f>COUNTIFS(Test_Runs!$B:$B,A11,Test_Runs!$E:$E,B11,Test_Runs!$J:$J,"&gt;0")</x:f>
        <x:v>2</x:v>
      </x:c>
      <x:c r="N11" t="n">
        <x:f>SUMIFS(Test_Runs!$J:$J,Test_Runs!$B:$B,A11,Test_Runs!$E:$E,B11)</x:f>
        <x:v>1.1</x:v>
      </x:c>
      <x:c r="O11" t="n">
        <x:f>IF(M11=0,"",N11/M11)</x:f>
        <x:v>0.55</x:v>
      </x:c>
      <x:c r="P11" t="n">
        <x:f>COUNTIFS(Test_Runs!$B:$B,A11,Test_Runs!$E:$E,B11,Test_Runs!$S:$S,"&gt;0")</x:f>
        <x:v>0</x:v>
      </x:c>
      <x:c r="Q11" t="n">
        <x:f>SUMIFS(Test_Runs!$S:$S,Test_Runs!$B:$B,A11,Test_Runs!$E:$E,B11)</x:f>
        <x:v>0</x:v>
      </x:c>
      <x:c r="R11" t="str">
        <x:f>IF(P11=0,"",Q11/P11)</x:f>
      </x:c>
      <x:c r="S11" t="e">
        <x:f>COUNTIFS(Test_Runs!$B:$B,A11,Test_Runs!$E:$E,B11,Test_Runs!$O:$O,"&gt;0")</x:f>
        <x:v>#VALUE!</x:v>
      </x:c>
      <x:c r="T11" t="e">
        <x:f>SUMIFS(Test_Runs!$O:$O,Test_Runs!$B:$B,A11,Test_Runs!$E:$E,B11)</x:f>
        <x:v>#VALUE!</x:v>
      </x:c>
      <x:c r="U11" t="e">
        <x:f>IF(S11=0,"",T11/S11)</x:f>
        <x:v>#VALUE!</x:v>
      </x:c>
      <x:c r="V11" t="n">
        <x:f>IFERROR(INDEX(Benchmark_Versions!$I:$I,MATCH(B11,Benchmark_Versions!$A:$A,0)),1)</x:f>
        <x:v>1</x:v>
      </x:c>
      <x:c r="W11" t="n">
        <x:f>IF(F11="","",F11*V11)</x:f>
        <x:v>42</x:v>
      </x:c>
      <x:c r="X11" t="n">
        <x:f>IF(OR(W11="",W11=0,O11=""),"",O11/W11)</x:f>
        <x:v>0.013095238095238096</x:v>
      </x:c>
      <x:c r="Y11" t="n">
        <x:f>IF(OR(W11="",O11="",O11=0),"",W11/O11)</x:f>
        <x:v>76.36363636363636</x:v>
      </x:c>
      <x:c r="Z11" t="str">
        <x:f>IF(OR(W11="",R11="",R11=0),"",W11/R11)</x:f>
      </x:c>
    </x:row>
    <x:row r="12">
      <x:c r="A12" t="inlineStr">
        <x:is>
          <x:t xml:space="preserve">anthropic|claude-opus-5.5|max|reasoning|fallback-true</x:t>
        </x:is>
      </x:c>
      <x:c r="B12" t="inlineStr">
        <x:is>
          <x:t xml:space="preserve">AA|v4.3.2</x:t>
        </x:is>
      </x:c>
      <x:c r="C12" t="n">
        <x:f>COUNTIFS(Test_Runs!$B:$B,A12,Test_Runs!$E:$E,B12,Test_Runs!$H:$H,"&gt;=0")</x:f>
        <x:v>2</x:v>
      </x:c>
      <x:c r="D12" t="n">
        <x:f>SUMIFS(Test_Runs!$H:$H,Test_Runs!$B:$B,A12,Test_Runs!$E:$E,B12)</x:f>
        <x:v>116</x:v>
      </x:c>
      <x:c r="E12" t="n">
        <x:f>SUMIFS(Test_Runs!$I:$I,Test_Runs!$B:$B,A12,Test_Runs!$E:$E,B12)</x:f>
        <x:v>6728</x:v>
      </x:c>
      <x:c r="F12" t="n">
        <x:f>IF(C12=0,"",D12/C12)</x:f>
        <x:v>58</x:v>
      </x:c>
      <x:c r="G12" t="n">
        <x:f>IF(C12&lt;2,0,SQRT(MAX(0,(E12-(D12*D12/C12))/(C12-1))))</x:f>
        <x:v>0</x:v>
      </x:c>
      <x:c r="H12" t="n">
        <x:f>IF(C12=0,"",IF(C12=1,F12,_xlfn.AGGREGATE(15,6,(Test_Runs!$H$2:$H$144/((Test_Runs!$B$2:$B$144=A12)*(Test_Runs!$E$2:$E$144=B12))),1)))</x:f>
        <x:v>0</x:v>
      </x:c>
      <x:c r="I12" t="n">
        <x:f>IF(C12=0,"",IF(C12=1,F12,_xlfn.AGGREGATE(16,6,(Test_Runs!$H$2:$H$144/((Test_Runs!$B$2:$B$144=A12)*(Test_Runs!$E$2:$E$144=B12))),0.25)))</x:f>
        <x:v>0</x:v>
      </x:c>
      <x:c r="J12" t="str">
        <x:f>IF(C12=0,"",IF(C12=1,F12,_xlfn.AGGREGATE(12,6,(Test_Runs!$H$2:$H$144/((Test_Runs!$B$2:$B$144=A12)*(Test_Runs!$E$2:$E$144=B12))))))</x:f>
      </x:c>
      <x:c r="K12" t="n">
        <x:f>IF(C12=0,"",IF(C12=1,F12,_xlfn.AGGREGATE(16,6,(Test_Runs!$H$2:$H$144/((Test_Runs!$B$2:$B$144=A12)*(Test_Runs!$E$2:$E$144=B12))),0.75)))</x:f>
        <x:v>0</x:v>
      </x:c>
      <x:c r="L12" t="n">
        <x:f>IF(C12=0,"",_xlfn.MAXIFS(Test_Runs!$H:$H,Test_Runs!$B:$B,A12,Test_Runs!$E:$E,B12))</x:f>
        <x:v>58</x:v>
      </x:c>
      <x:c r="M12" t="n">
        <x:f>COUNTIFS(Test_Runs!$B:$B,A12,Test_Runs!$E:$E,B12,Test_Runs!$J:$J,"&gt;0")</x:f>
        <x:v>2</x:v>
      </x:c>
      <x:c r="N12" t="n">
        <x:f>SUMIFS(Test_Runs!$J:$J,Test_Runs!$B:$B,A12,Test_Runs!$E:$E,B12)</x:f>
        <x:v>11.96</x:v>
      </x:c>
      <x:c r="O12" t="n">
        <x:f>IF(M12=0,"",N12/M12)</x:f>
        <x:v>5.98</x:v>
      </x:c>
      <x:c r="P12" t="n">
        <x:f>COUNTIFS(Test_Runs!$B:$B,A12,Test_Runs!$E:$E,B12,Test_Runs!$S:$S,"&gt;0")</x:f>
        <x:v>0</x:v>
      </x:c>
      <x:c r="Q12" t="n">
        <x:f>SUMIFS(Test_Runs!$S:$S,Test_Runs!$B:$B,A12,Test_Runs!$E:$E,B12)</x:f>
        <x:v>0</x:v>
      </x:c>
      <x:c r="R12" t="str">
        <x:f>IF(P12=0,"",Q12/P12)</x:f>
      </x:c>
      <x:c r="S12" t="e">
        <x:f>COUNTIFS(Test_Runs!$B:$B,A12,Test_Runs!$E:$E,B12,Test_Runs!$O:$O,"&gt;0")</x:f>
        <x:v>#VALUE!</x:v>
      </x:c>
      <x:c r="T12" t="e">
        <x:f>SUMIFS(Test_Runs!$O:$O,Test_Runs!$B:$B,A12,Test_Runs!$E:$E,B12)</x:f>
        <x:v>#VALUE!</x:v>
      </x:c>
      <x:c r="U12" t="e">
        <x:f>IF(S12=0,"",T12/S12)</x:f>
        <x:v>#VALUE!</x:v>
      </x:c>
      <x:c r="V12" t="n">
        <x:f>IFERROR(INDEX(Benchmark_Versions!$I:$I,MATCH(B12,Benchmark_Versions!$A:$A,0)),1)</x:f>
        <x:v>1</x:v>
      </x:c>
      <x:c r="W12" t="n">
        <x:f>IF(F12="","",F12*V12)</x:f>
        <x:v>58</x:v>
      </x:c>
      <x:c r="X12" t="n">
        <x:f>IF(OR(W12="",W12=0,O12=""),"",O12/W12)</x:f>
        <x:v>0.10310344827586207</x:v>
      </x:c>
      <x:c r="Y12" t="n">
        <x:f>IF(OR(W12="",O12="",O12=0),"",W12/O12)</x:f>
        <x:v>9.698996655518394</x:v>
      </x:c>
      <x:c r="Z12" t="str">
        <x:f>IF(OR(W12="",R12="",R12=0),"",W12/R12)</x:f>
      </x:c>
    </x:row>
    <x:row r="13">
      <x:c r="A13" t="inlineStr">
        <x:is>
          <x:t xml:space="preserve">anthropic|claude-opus-5.5|medium|reasoning|fallback-true</x:t>
        </x:is>
      </x:c>
      <x:c r="B13" t="inlineStr">
        <x:is>
          <x:t xml:space="preserve">AA|v4.3.2</x:t>
        </x:is>
      </x:c>
      <x:c r="C13" t="n">
        <x:f>COUNTIFS(Test_Runs!$B:$B,A13,Test_Runs!$E:$E,B13,Test_Runs!$H:$H,"&gt;=0")</x:f>
        <x:v>2</x:v>
      </x:c>
      <x:c r="D13" t="n">
        <x:f>SUMIFS(Test_Runs!$H:$H,Test_Runs!$B:$B,A13,Test_Runs!$E:$E,B13)</x:f>
        <x:v>102</x:v>
      </x:c>
      <x:c r="E13" t="n">
        <x:f>SUMIFS(Test_Runs!$I:$I,Test_Runs!$B:$B,A13,Test_Runs!$E:$E,B13)</x:f>
        <x:v>5202</x:v>
      </x:c>
      <x:c r="F13" t="n">
        <x:f>IF(C13=0,"",D13/C13)</x:f>
        <x:v>51</x:v>
      </x:c>
      <x:c r="G13" t="n">
        <x:f>IF(C13&lt;2,0,SQRT(MAX(0,(E13-(D13*D13/C13))/(C13-1))))</x:f>
        <x:v>0</x:v>
      </x:c>
      <x:c r="H13" t="n">
        <x:f>IF(C13=0,"",IF(C13=1,F13,_xlfn.AGGREGATE(15,6,(Test_Runs!$H$2:$H$144/((Test_Runs!$B$2:$B$144=A13)*(Test_Runs!$E$2:$E$144=B13))),1)))</x:f>
        <x:v>0</x:v>
      </x:c>
      <x:c r="I13" t="n">
        <x:f>IF(C13=0,"",IF(C13=1,F13,_xlfn.AGGREGATE(16,6,(Test_Runs!$H$2:$H$144/((Test_Runs!$B$2:$B$144=A13)*(Test_Runs!$E$2:$E$144=B13))),0.25)))</x:f>
        <x:v>0</x:v>
      </x:c>
      <x:c r="J13" t="str">
        <x:f>IF(C13=0,"",IF(C13=1,F13,_xlfn.AGGREGATE(12,6,(Test_Runs!$H$2:$H$144/((Test_Runs!$B$2:$B$144=A13)*(Test_Runs!$E$2:$E$144=B13))))))</x:f>
      </x:c>
      <x:c r="K13" t="n">
        <x:f>IF(C13=0,"",IF(C13=1,F13,_xlfn.AGGREGATE(16,6,(Test_Runs!$H$2:$H$144/((Test_Runs!$B$2:$B$144=A13)*(Test_Runs!$E$2:$E$144=B13))),0.75)))</x:f>
        <x:v>0</x:v>
      </x:c>
      <x:c r="L13" t="n">
        <x:f>IF(C13=0,"",_xlfn.MAXIFS(Test_Runs!$H:$H,Test_Runs!$B:$B,A13,Test_Runs!$E:$E,B13))</x:f>
        <x:v>51</x:v>
      </x:c>
      <x:c r="M13" t="n">
        <x:f>COUNTIFS(Test_Runs!$B:$B,A13,Test_Runs!$E:$E,B13,Test_Runs!$J:$J,"&gt;0")</x:f>
        <x:v>2</x:v>
      </x:c>
      <x:c r="N13" t="n">
        <x:f>SUMIFS(Test_Runs!$J:$J,Test_Runs!$B:$B,A13,Test_Runs!$E:$E,B13)</x:f>
        <x:v>2.68</x:v>
      </x:c>
      <x:c r="O13" t="n">
        <x:f>IF(M13=0,"",N13/M13)</x:f>
        <x:v>1.34</x:v>
      </x:c>
      <x:c r="P13" t="n">
        <x:f>COUNTIFS(Test_Runs!$B:$B,A13,Test_Runs!$E:$E,B13,Test_Runs!$S:$S,"&gt;0")</x:f>
        <x:v>0</x:v>
      </x:c>
      <x:c r="Q13" t="n">
        <x:f>SUMIFS(Test_Runs!$S:$S,Test_Runs!$B:$B,A13,Test_Runs!$E:$E,B13)</x:f>
        <x:v>0</x:v>
      </x:c>
      <x:c r="R13" t="str">
        <x:f>IF(P13=0,"",Q13/P13)</x:f>
      </x:c>
      <x:c r="S13" t="e">
        <x:f>COUNTIFS(Test_Runs!$B:$B,A13,Test_Runs!$E:$E,B13,Test_Runs!$O:$O,"&gt;0")</x:f>
        <x:v>#VALUE!</x:v>
      </x:c>
      <x:c r="T13" t="e">
        <x:f>SUMIFS(Test_Runs!$O:$O,Test_Runs!$B:$B,A13,Test_Runs!$E:$E,B13)</x:f>
        <x:v>#VALUE!</x:v>
      </x:c>
      <x:c r="U13" t="e">
        <x:f>IF(S13=0,"",T13/S13)</x:f>
        <x:v>#VALUE!</x:v>
      </x:c>
      <x:c r="V13" t="n">
        <x:f>IFERROR(INDEX(Benchmark_Versions!$I:$I,MATCH(B13,Benchmark_Versions!$A:$A,0)),1)</x:f>
        <x:v>1</x:v>
      </x:c>
      <x:c r="W13" t="n">
        <x:f>IF(F13="","",F13*V13)</x:f>
        <x:v>51</x:v>
      </x:c>
      <x:c r="X13" t="n">
        <x:f>IF(OR(W13="",W13=0,O13=""),"",O13/W13)</x:f>
        <x:v>0.02627450980392157</x:v>
      </x:c>
      <x:c r="Y13" t="n">
        <x:f>IF(OR(W13="",O13="",O13=0),"",W13/O13)</x:f>
        <x:v>38.059701492537314</x:v>
      </x:c>
      <x:c r="Z13" t="str">
        <x:f>IF(OR(W13="",R13="",R13=0),"",W13/R13)</x:f>
      </x:c>
    </x:row>
    <x:row r="14">
      <x:c r="A14" t="inlineStr">
        <x:is>
          <x:t xml:space="preserve">anthropic|claude-opus-5.5|xhigh|reasoning|fallback-true</x:t>
        </x:is>
      </x:c>
      <x:c r="B14" t="inlineStr">
        <x:is>
          <x:t xml:space="preserve">AA|v4.3.2</x:t>
        </x:is>
      </x:c>
      <x:c r="C14" t="n">
        <x:f>COUNTIFS(Test_Runs!$B:$B,A14,Test_Runs!$E:$E,B14,Test_Runs!$H:$H,"&gt;=0")</x:f>
        <x:v>2</x:v>
      </x:c>
      <x:c r="D14" t="n">
        <x:f>SUMIFS(Test_Runs!$H:$H,Test_Runs!$B:$B,A14,Test_Runs!$E:$E,B14)</x:f>
        <x:v>112</x:v>
      </x:c>
      <x:c r="E14" t="n">
        <x:f>SUMIFS(Test_Runs!$I:$I,Test_Runs!$B:$B,A14,Test_Runs!$E:$E,B14)</x:f>
        <x:v>6272</x:v>
      </x:c>
      <x:c r="F14" t="n">
        <x:f>IF(C14=0,"",D14/C14)</x:f>
        <x:v>56</x:v>
      </x:c>
      <x:c r="G14" t="n">
        <x:f>IF(C14&lt;2,0,SQRT(MAX(0,(E14-(D14*D14/C14))/(C14-1))))</x:f>
        <x:v>0</x:v>
      </x:c>
      <x:c r="H14" t="n">
        <x:f>IF(C14=0,"",IF(C14=1,F14,_xlfn.AGGREGATE(15,6,(Test_Runs!$H$2:$H$144/((Test_Runs!$B$2:$B$144=A14)*(Test_Runs!$E$2:$E$144=B14))),1)))</x:f>
        <x:v>0</x:v>
      </x:c>
      <x:c r="I14" t="n">
        <x:f>IF(C14=0,"",IF(C14=1,F14,_xlfn.AGGREGATE(16,6,(Test_Runs!$H$2:$H$144/((Test_Runs!$B$2:$B$144=A14)*(Test_Runs!$E$2:$E$144=B14))),0.25)))</x:f>
        <x:v>0</x:v>
      </x:c>
      <x:c r="J14" t="str">
        <x:f>IF(C14=0,"",IF(C14=1,F14,_xlfn.AGGREGATE(12,6,(Test_Runs!$H$2:$H$144/((Test_Runs!$B$2:$B$144=A14)*(Test_Runs!$E$2:$E$144=B14))))))</x:f>
      </x:c>
      <x:c r="K14" t="n">
        <x:f>IF(C14=0,"",IF(C14=1,F14,_xlfn.AGGREGATE(16,6,(Test_Runs!$H$2:$H$144/((Test_Runs!$B$2:$B$144=A14)*(Test_Runs!$E$2:$E$144=B14))),0.75)))</x:f>
        <x:v>0</x:v>
      </x:c>
      <x:c r="L14" t="n">
        <x:f>IF(C14=0,"",_xlfn.MAXIFS(Test_Runs!$H:$H,Test_Runs!$B:$B,A14,Test_Runs!$E:$E,B14))</x:f>
        <x:v>56</x:v>
      </x:c>
      <x:c r="M14" t="n">
        <x:f>COUNTIFS(Test_Runs!$B:$B,A14,Test_Runs!$E:$E,B14,Test_Runs!$J:$J,"&gt;0")</x:f>
        <x:v>2</x:v>
      </x:c>
      <x:c r="N14" t="n">
        <x:f>SUMIFS(Test_Runs!$J:$J,Test_Runs!$B:$B,A14,Test_Runs!$E:$E,B14)</x:f>
        <x:v>6.92</x:v>
      </x:c>
      <x:c r="O14" t="n">
        <x:f>IF(M14=0,"",N14/M14)</x:f>
        <x:v>3.46</x:v>
      </x:c>
      <x:c r="P14" t="n">
        <x:f>COUNTIFS(Test_Runs!$B:$B,A14,Test_Runs!$E:$E,B14,Test_Runs!$S:$S,"&gt;0")</x:f>
        <x:v>0</x:v>
      </x:c>
      <x:c r="Q14" t="n">
        <x:f>SUMIFS(Test_Runs!$S:$S,Test_Runs!$B:$B,A14,Test_Runs!$E:$E,B14)</x:f>
        <x:v>0</x:v>
      </x:c>
      <x:c r="R14" t="str">
        <x:f>IF(P14=0,"",Q14/P14)</x:f>
      </x:c>
      <x:c r="S14" t="e">
        <x:f>COUNTIFS(Test_Runs!$B:$B,A14,Test_Runs!$E:$E,B14,Test_Runs!$O:$O,"&gt;0")</x:f>
        <x:v>#VALUE!</x:v>
      </x:c>
      <x:c r="T14" t="e">
        <x:f>SUMIFS(Test_Runs!$O:$O,Test_Runs!$B:$B,A14,Test_Runs!$E:$E,B14)</x:f>
        <x:v>#VALUE!</x:v>
      </x:c>
      <x:c r="U14" t="e">
        <x:f>IF(S14=0,"",T14/S14)</x:f>
        <x:v>#VALUE!</x:v>
      </x:c>
      <x:c r="V14" t="n">
        <x:f>IFERROR(INDEX(Benchmark_Versions!$I:$I,MATCH(B14,Benchmark_Versions!$A:$A,0)),1)</x:f>
        <x:v>1</x:v>
      </x:c>
      <x:c r="W14" t="n">
        <x:f>IF(F14="","",F14*V14)</x:f>
        <x:v>56</x:v>
      </x:c>
      <x:c r="X14" t="n">
        <x:f>IF(OR(W14="",W14=0,O14=""),"",O14/W14)</x:f>
        <x:v>0.061785714285714284</x:v>
      </x:c>
      <x:c r="Y14" t="n">
        <x:f>IF(OR(W14="",O14="",O14=0),"",W14/O14)</x:f>
        <x:v>16.184971098265898</x:v>
      </x:c>
      <x:c r="Z14" t="str">
        <x:f>IF(OR(W14="",R14="",R14=0),"",W14/R14)</x:f>
      </x:c>
    </x:row>
    <x:row r="15">
      <x:c r="A15" t="inlineStr">
        <x:is>
          <x:t xml:space="preserve">anthropic|claude-opus-5|high|reasoning|fallback-na</x:t>
        </x:is>
      </x:c>
      <x:c r="B15" t="inlineStr">
        <x:is>
          <x:t xml:space="preserve">AA|v4.3.2</x:t>
        </x:is>
      </x:c>
      <x:c r="C15" t="n">
        <x:f>COUNTIFS(Test_Runs!$B:$B,A15,Test_Runs!$E:$E,B15,Test_Runs!$H:$H,"&gt;=0")</x:f>
        <x:v>1</x:v>
      </x:c>
      <x:c r="D15" t="n">
        <x:f>SUMIFS(Test_Runs!$H:$H,Test_Runs!$B:$B,A15,Test_Runs!$E:$E,B15)</x:f>
        <x:v>48</x:v>
      </x:c>
      <x:c r="E15" t="n">
        <x:f>SUMIFS(Test_Runs!$I:$I,Test_Runs!$B:$B,A15,Test_Runs!$E:$E,B15)</x:f>
        <x:v>2304</x:v>
      </x:c>
      <x:c r="F15" t="n">
        <x:f>IF(C15=0,"",D15/C15)</x:f>
        <x:v>48</x:v>
      </x:c>
      <x:c r="G15" t="n">
        <x:f>IF(C15&lt;2,0,SQRT(MAX(0,(E15-(D15*D15/C15))/(C15-1))))</x:f>
        <x:v>0</x:v>
      </x:c>
      <x:c r="H15" t="n">
        <x:f>IF(C15=0,"",IF(C15=1,F15,_xlfn.AGGREGATE(15,6,(Test_Runs!$H$2:$H$144/((Test_Runs!$B$2:$B$144=A15)*(Test_Runs!$E$2:$E$144=B15))),1)))</x:f>
        <x:v>48</x:v>
      </x:c>
      <x:c r="I15" t="n">
        <x:f>IF(C15=0,"",IF(C15=1,F15,_xlfn.AGGREGATE(16,6,(Test_Runs!$H$2:$H$144/((Test_Runs!$B$2:$B$144=A15)*(Test_Runs!$E$2:$E$144=B15))),0.25)))</x:f>
        <x:v>48</x:v>
      </x:c>
      <x:c r="J15" t="n">
        <x:f>IF(C15=0,"",IF(C15=1,F15,_xlfn.AGGREGATE(12,6,(Test_Runs!$H$2:$H$144/((Test_Runs!$B$2:$B$144=A15)*(Test_Runs!$E$2:$E$144=B15))))))</x:f>
        <x:v>48</x:v>
      </x:c>
      <x:c r="K15" t="n">
        <x:f>IF(C15=0,"",IF(C15=1,F15,_xlfn.AGGREGATE(16,6,(Test_Runs!$H$2:$H$144/((Test_Runs!$B$2:$B$144=A15)*(Test_Runs!$E$2:$E$144=B15))),0.75)))</x:f>
        <x:v>48</x:v>
      </x:c>
      <x:c r="L15" t="n">
        <x:f>IF(C15=0,"",_xlfn.MAXIFS(Test_Runs!$H:$H,Test_Runs!$B:$B,A15,Test_Runs!$E:$E,B15))</x:f>
        <x:v>48</x:v>
      </x:c>
      <x:c r="M15" t="n">
        <x:f>COUNTIFS(Test_Runs!$B:$B,A15,Test_Runs!$E:$E,B15,Test_Runs!$J:$J,"&gt;0")</x:f>
        <x:v>1</x:v>
      </x:c>
      <x:c r="N15" t="n">
        <x:f>SUMIFS(Test_Runs!$J:$J,Test_Runs!$B:$B,A15,Test_Runs!$E:$E,B15)</x:f>
        <x:v>3.61</x:v>
      </x:c>
      <x:c r="O15" t="n">
        <x:f>IF(M15=0,"",N15/M15)</x:f>
        <x:v>3.61</x:v>
      </x:c>
      <x:c r="P15" t="n">
        <x:f>COUNTIFS(Test_Runs!$B:$B,A15,Test_Runs!$E:$E,B15,Test_Runs!$S:$S,"&gt;0")</x:f>
        <x:v>0</x:v>
      </x:c>
      <x:c r="Q15" t="n">
        <x:f>SUMIFS(Test_Runs!$S:$S,Test_Runs!$B:$B,A15,Test_Runs!$E:$E,B15)</x:f>
        <x:v>0</x:v>
      </x:c>
      <x:c r="R15" t="str">
        <x:f>IF(P15=0,"",Q15/P15)</x:f>
      </x:c>
      <x:c r="S15" t="e">
        <x:f>COUNTIFS(Test_Runs!$B:$B,A15,Test_Runs!$E:$E,B15,Test_Runs!$O:$O,"&gt;0")</x:f>
        <x:v>#VALUE!</x:v>
      </x:c>
      <x:c r="T15" t="e">
        <x:f>SUMIFS(Test_Runs!$O:$O,Test_Runs!$B:$B,A15,Test_Runs!$E:$E,B15)</x:f>
        <x:v>#VALUE!</x:v>
      </x:c>
      <x:c r="U15" t="e">
        <x:f>IF(S15=0,"",T15/S15)</x:f>
        <x:v>#VALUE!</x:v>
      </x:c>
      <x:c r="V15" t="n">
        <x:f>IFERROR(INDEX(Benchmark_Versions!$I:$I,MATCH(B15,Benchmark_Versions!$A:$A,0)),1)</x:f>
        <x:v>1</x:v>
      </x:c>
      <x:c r="W15" t="n">
        <x:f>IF(F15="","",F15*V15)</x:f>
        <x:v>48</x:v>
      </x:c>
      <x:c r="X15" t="n">
        <x:f>IF(OR(W15="",W15=0,O15=""),"",O15/W15)</x:f>
        <x:v>0.07520833333333334</x:v>
      </x:c>
      <x:c r="Y15" t="n">
        <x:f>IF(OR(W15="",O15="",O15=0),"",W15/O15)</x:f>
        <x:v>13.29639889196676</x:v>
      </x:c>
      <x:c r="Z15" t="str">
        <x:f>IF(OR(W15="",R15="",R15=0),"",W15/R15)</x:f>
      </x:c>
    </x:row>
    <x:row r="16">
      <x:c r="A16" t="inlineStr">
        <x:is>
          <x:t xml:space="preserve">anthropic|claude-opus-5|low|reasoning|fallback-na</x:t>
        </x:is>
      </x:c>
      <x:c r="B16" t="inlineStr">
        <x:is>
          <x:t xml:space="preserve">AA|v4.3.2</x:t>
        </x:is>
      </x:c>
      <x:c r="C16" t="n">
        <x:f>COUNTIFS(Test_Runs!$B:$B,A16,Test_Runs!$E:$E,B16,Test_Runs!$H:$H,"&gt;=0")</x:f>
        <x:v>1</x:v>
      </x:c>
      <x:c r="D16" t="n">
        <x:f>SUMIFS(Test_Runs!$H:$H,Test_Runs!$B:$B,A16,Test_Runs!$E:$E,B16)</x:f>
        <x:v>40</x:v>
      </x:c>
      <x:c r="E16" t="n">
        <x:f>SUMIFS(Test_Runs!$I:$I,Test_Runs!$B:$B,A16,Test_Runs!$E:$E,B16)</x:f>
        <x:v>1600</x:v>
      </x:c>
      <x:c r="F16" t="n">
        <x:f>IF(C16=0,"",D16/C16)</x:f>
        <x:v>40</x:v>
      </x:c>
      <x:c r="G16" t="n">
        <x:f>IF(C16&lt;2,0,SQRT(MAX(0,(E16-(D16*D16/C16))/(C16-1))))</x:f>
        <x:v>0</x:v>
      </x:c>
      <x:c r="H16" t="n">
        <x:f>IF(C16=0,"",IF(C16=1,F16,_xlfn.AGGREGATE(15,6,(Test_Runs!$H$2:$H$144/((Test_Runs!$B$2:$B$144=A16)*(Test_Runs!$E$2:$E$144=B16))),1)))</x:f>
        <x:v>40</x:v>
      </x:c>
      <x:c r="I16" t="n">
        <x:f>IF(C16=0,"",IF(C16=1,F16,_xlfn.AGGREGATE(16,6,(Test_Runs!$H$2:$H$144/((Test_Runs!$B$2:$B$144=A16)*(Test_Runs!$E$2:$E$144=B16))),0.25)))</x:f>
        <x:v>40</x:v>
      </x:c>
      <x:c r="J16" t="n">
        <x:f>IF(C16=0,"",IF(C16=1,F16,_xlfn.AGGREGATE(12,6,(Test_Runs!$H$2:$H$144/((Test_Runs!$B$2:$B$144=A16)*(Test_Runs!$E$2:$E$144=B16))))))</x:f>
        <x:v>40</x:v>
      </x:c>
      <x:c r="K16" t="n">
        <x:f>IF(C16=0,"",IF(C16=1,F16,_xlfn.AGGREGATE(16,6,(Test_Runs!$H$2:$H$144/((Test_Runs!$B$2:$B$144=A16)*(Test_Runs!$E$2:$E$144=B16))),0.75)))</x:f>
        <x:v>40</x:v>
      </x:c>
      <x:c r="L16" t="n">
        <x:f>IF(C16=0,"",_xlfn.MAXIFS(Test_Runs!$H:$H,Test_Runs!$B:$B,A16,Test_Runs!$E:$E,B16))</x:f>
        <x:v>40</x:v>
      </x:c>
      <x:c r="M16" t="n">
        <x:f>COUNTIFS(Test_Runs!$B:$B,A16,Test_Runs!$E:$E,B16,Test_Runs!$J:$J,"&gt;0")</x:f>
        <x:v>1</x:v>
      </x:c>
      <x:c r="N16" t="n">
        <x:f>SUMIFS(Test_Runs!$J:$J,Test_Runs!$B:$B,A16,Test_Runs!$E:$E,B16)</x:f>
        <x:v>1.1</x:v>
      </x:c>
      <x:c r="O16" t="n">
        <x:f>IF(M16=0,"",N16/M16)</x:f>
        <x:v>1.1</x:v>
      </x:c>
      <x:c r="P16" t="n">
        <x:f>COUNTIFS(Test_Runs!$B:$B,A16,Test_Runs!$E:$E,B16,Test_Runs!$S:$S,"&gt;0")</x:f>
        <x:v>0</x:v>
      </x:c>
      <x:c r="Q16" t="n">
        <x:f>SUMIFS(Test_Runs!$S:$S,Test_Runs!$B:$B,A16,Test_Runs!$E:$E,B16)</x:f>
        <x:v>0</x:v>
      </x:c>
      <x:c r="R16" t="str">
        <x:f>IF(P16=0,"",Q16/P16)</x:f>
      </x:c>
      <x:c r="S16" t="e">
        <x:f>COUNTIFS(Test_Runs!$B:$B,A16,Test_Runs!$E:$E,B16,Test_Runs!$O:$O,"&gt;0")</x:f>
        <x:v>#VALUE!</x:v>
      </x:c>
      <x:c r="T16" t="e">
        <x:f>SUMIFS(Test_Runs!$O:$O,Test_Runs!$B:$B,A16,Test_Runs!$E:$E,B16)</x:f>
        <x:v>#VALUE!</x:v>
      </x:c>
      <x:c r="U16" t="e">
        <x:f>IF(S16=0,"",T16/S16)</x:f>
        <x:v>#VALUE!</x:v>
      </x:c>
      <x:c r="V16" t="n">
        <x:f>IFERROR(INDEX(Benchmark_Versions!$I:$I,MATCH(B16,Benchmark_Versions!$A:$A,0)),1)</x:f>
        <x:v>1</x:v>
      </x:c>
      <x:c r="W16" t="n">
        <x:f>IF(F16="","",F16*V16)</x:f>
        <x:v>40</x:v>
      </x:c>
      <x:c r="X16" t="n">
        <x:f>IF(OR(W16="",W16=0,O16=""),"",O16/W16)</x:f>
        <x:v>0.027500000000000004</x:v>
      </x:c>
      <x:c r="Y16" t="n">
        <x:f>IF(OR(W16="",O16="",O16=0),"",W16/O16)</x:f>
        <x:v>36.36363636363636</x:v>
      </x:c>
      <x:c r="Z16" t="str">
        <x:f>IF(OR(W16="",R16="",R16=0),"",W16/R16)</x:f>
      </x:c>
    </x:row>
    <x:row r="17">
      <x:c r="A17" t="inlineStr">
        <x:is>
          <x:t xml:space="preserve">anthropic|claude-opus-5|max|reasoning|fallback-na</x:t>
        </x:is>
      </x:c>
      <x:c r="B17" t="inlineStr">
        <x:is>
          <x:t xml:space="preserve">AA|v4.3.2</x:t>
        </x:is>
      </x:c>
      <x:c r="C17" t="n">
        <x:f>COUNTIFS(Test_Runs!$B:$B,A17,Test_Runs!$E:$E,B17,Test_Runs!$H:$H,"&gt;=0")</x:f>
        <x:v>1</x:v>
      </x:c>
      <x:c r="D17" t="n">
        <x:f>SUMIFS(Test_Runs!$H:$H,Test_Runs!$B:$B,A17,Test_Runs!$E:$E,B17)</x:f>
        <x:v>51</x:v>
      </x:c>
      <x:c r="E17" t="n">
        <x:f>SUMIFS(Test_Runs!$I:$I,Test_Runs!$B:$B,A17,Test_Runs!$E:$E,B17)</x:f>
        <x:v>2601</x:v>
      </x:c>
      <x:c r="F17" t="n">
        <x:f>IF(C17=0,"",D17/C17)</x:f>
        <x:v>51</x:v>
      </x:c>
      <x:c r="G17" t="n">
        <x:f>IF(C17&lt;2,0,SQRT(MAX(0,(E17-(D17*D17/C17))/(C17-1))))</x:f>
        <x:v>0</x:v>
      </x:c>
      <x:c r="H17" t="n">
        <x:f>IF(C17=0,"",IF(C17=1,F17,_xlfn.AGGREGATE(15,6,(Test_Runs!$H$2:$H$144/((Test_Runs!$B$2:$B$144=A17)*(Test_Runs!$E$2:$E$144=B17))),1)))</x:f>
        <x:v>51</x:v>
      </x:c>
      <x:c r="I17" t="n">
        <x:f>IF(C17=0,"",IF(C17=1,F17,_xlfn.AGGREGATE(16,6,(Test_Runs!$H$2:$H$144/((Test_Runs!$B$2:$B$144=A17)*(Test_Runs!$E$2:$E$144=B17))),0.25)))</x:f>
        <x:v>51</x:v>
      </x:c>
      <x:c r="J17" t="n">
        <x:f>IF(C17=0,"",IF(C17=1,F17,_xlfn.AGGREGATE(12,6,(Test_Runs!$H$2:$H$144/((Test_Runs!$B$2:$B$144=A17)*(Test_Runs!$E$2:$E$144=B17))))))</x:f>
        <x:v>51</x:v>
      </x:c>
      <x:c r="K17" t="n">
        <x:f>IF(C17=0,"",IF(C17=1,F17,_xlfn.AGGREGATE(16,6,(Test_Runs!$H$2:$H$144/((Test_Runs!$B$2:$B$144=A17)*(Test_Runs!$E$2:$E$144=B17))),0.75)))</x:f>
        <x:v>51</x:v>
      </x:c>
      <x:c r="L17" t="n">
        <x:f>IF(C17=0,"",_xlfn.MAXIFS(Test_Runs!$H:$H,Test_Runs!$B:$B,A17,Test_Runs!$E:$E,B17))</x:f>
        <x:v>51</x:v>
      </x:c>
      <x:c r="M17" t="n">
        <x:f>COUNTIFS(Test_Runs!$B:$B,A17,Test_Runs!$E:$E,B17,Test_Runs!$J:$J,"&gt;0")</x:f>
        <x:v>1</x:v>
      </x:c>
      <x:c r="N17" t="n">
        <x:f>SUMIFS(Test_Runs!$J:$J,Test_Runs!$B:$B,A17,Test_Runs!$E:$E,B17)</x:f>
        <x:v>5.86</x:v>
      </x:c>
      <x:c r="O17" t="n">
        <x:f>IF(M17=0,"",N17/M17)</x:f>
        <x:v>5.86</x:v>
      </x:c>
      <x:c r="P17" t="n">
        <x:f>COUNTIFS(Test_Runs!$B:$B,A17,Test_Runs!$E:$E,B17,Test_Runs!$S:$S,"&gt;0")</x:f>
        <x:v>0</x:v>
      </x:c>
      <x:c r="Q17" t="n">
        <x:f>SUMIFS(Test_Runs!$S:$S,Test_Runs!$B:$B,A17,Test_Runs!$E:$E,B17)</x:f>
        <x:v>0</x:v>
      </x:c>
      <x:c r="R17" t="str">
        <x:f>IF(P17=0,"",Q17/P17)</x:f>
      </x:c>
      <x:c r="S17" t="e">
        <x:f>COUNTIFS(Test_Runs!$B:$B,A17,Test_Runs!$E:$E,B17,Test_Runs!$O:$O,"&gt;0")</x:f>
        <x:v>#VALUE!</x:v>
      </x:c>
      <x:c r="T17" t="e">
        <x:f>SUMIFS(Test_Runs!$O:$O,Test_Runs!$B:$B,A17,Test_Runs!$E:$E,B17)</x:f>
        <x:v>#VALUE!</x:v>
      </x:c>
      <x:c r="U17" t="e">
        <x:f>IF(S17=0,"",T17/S17)</x:f>
        <x:v>#VALUE!</x:v>
      </x:c>
      <x:c r="V17" t="n">
        <x:f>IFERROR(INDEX(Benchmark_Versions!$I:$I,MATCH(B17,Benchmark_Versions!$A:$A,0)),1)</x:f>
        <x:v>1</x:v>
      </x:c>
      <x:c r="W17" t="n">
        <x:f>IF(F17="","",F17*V17)</x:f>
        <x:v>51</x:v>
      </x:c>
      <x:c r="X17" t="n">
        <x:f>IF(OR(W17="",W17=0,O17=""),"",O17/W17)</x:f>
        <x:v>0.11490196078431374</x:v>
      </x:c>
      <x:c r="Y17" t="n">
        <x:f>IF(OR(W17="",O17="",O17=0),"",W17/O17)</x:f>
        <x:v>8.703071672354948</x:v>
      </x:c>
      <x:c r="Z17" t="str">
        <x:f>IF(OR(W17="",R17="",R17=0),"",W17/R17)</x:f>
      </x:c>
    </x:row>
    <x:row r="18">
      <x:c r="A18" t="inlineStr">
        <x:is>
          <x:t xml:space="preserve">anthropic|claude-opus-5|medium|reasoning|fallback-na</x:t>
        </x:is>
      </x:c>
      <x:c r="B18" t="inlineStr">
        <x:is>
          <x:t xml:space="preserve">AA|v4.3.2</x:t>
        </x:is>
      </x:c>
      <x:c r="C18" t="n">
        <x:f>COUNTIFS(Test_Runs!$B:$B,A18,Test_Runs!$E:$E,B18,Test_Runs!$H:$H,"&gt;=0")</x:f>
        <x:v>1</x:v>
      </x:c>
      <x:c r="D18" t="n">
        <x:f>SUMIFS(Test_Runs!$H:$H,Test_Runs!$B:$B,A18,Test_Runs!$E:$E,B18)</x:f>
        <x:v>45</x:v>
      </x:c>
      <x:c r="E18" t="n">
        <x:f>SUMIFS(Test_Runs!$I:$I,Test_Runs!$B:$B,A18,Test_Runs!$E:$E,B18)</x:f>
        <x:v>2025</x:v>
      </x:c>
      <x:c r="F18" t="n">
        <x:f>IF(C18=0,"",D18/C18)</x:f>
        <x:v>45</x:v>
      </x:c>
      <x:c r="G18" t="n">
        <x:f>IF(C18&lt;2,0,SQRT(MAX(0,(E18-(D18*D18/C18))/(C18-1))))</x:f>
        <x:v>0</x:v>
      </x:c>
      <x:c r="H18" t="n">
        <x:f>IF(C18=0,"",IF(C18=1,F18,_xlfn.AGGREGATE(15,6,(Test_Runs!$H$2:$H$144/((Test_Runs!$B$2:$B$144=A18)*(Test_Runs!$E$2:$E$144=B18))),1)))</x:f>
        <x:v>45</x:v>
      </x:c>
      <x:c r="I18" t="n">
        <x:f>IF(C18=0,"",IF(C18=1,F18,_xlfn.AGGREGATE(16,6,(Test_Runs!$H$2:$H$144/((Test_Runs!$B$2:$B$144=A18)*(Test_Runs!$E$2:$E$144=B18))),0.25)))</x:f>
        <x:v>45</x:v>
      </x:c>
      <x:c r="J18" t="n">
        <x:f>IF(C18=0,"",IF(C18=1,F18,_xlfn.AGGREGATE(12,6,(Test_Runs!$H$2:$H$144/((Test_Runs!$B$2:$B$144=A18)*(Test_Runs!$E$2:$E$144=B18))))))</x:f>
        <x:v>45</x:v>
      </x:c>
      <x:c r="K18" t="n">
        <x:f>IF(C18=0,"",IF(C18=1,F18,_xlfn.AGGREGATE(16,6,(Test_Runs!$H$2:$H$144/((Test_Runs!$B$2:$B$144=A18)*(Test_Runs!$E$2:$E$144=B18))),0.75)))</x:f>
        <x:v>45</x:v>
      </x:c>
      <x:c r="L18" t="n">
        <x:f>IF(C18=0,"",_xlfn.MAXIFS(Test_Runs!$H:$H,Test_Runs!$B:$B,A18,Test_Runs!$E:$E,B18))</x:f>
        <x:v>45</x:v>
      </x:c>
      <x:c r="M18" t="n">
        <x:f>COUNTIFS(Test_Runs!$B:$B,A18,Test_Runs!$E:$E,B18,Test_Runs!$J:$J,"&gt;0")</x:f>
        <x:v>1</x:v>
      </x:c>
      <x:c r="N18" t="n">
        <x:f>SUMIFS(Test_Runs!$J:$J,Test_Runs!$B:$B,A18,Test_Runs!$E:$E,B18)</x:f>
        <x:v>2.19</x:v>
      </x:c>
      <x:c r="O18" t="n">
        <x:f>IF(M18=0,"",N18/M18)</x:f>
        <x:v>2.19</x:v>
      </x:c>
      <x:c r="P18" t="n">
        <x:f>COUNTIFS(Test_Runs!$B:$B,A18,Test_Runs!$E:$E,B18,Test_Runs!$S:$S,"&gt;0")</x:f>
        <x:v>0</x:v>
      </x:c>
      <x:c r="Q18" t="n">
        <x:f>SUMIFS(Test_Runs!$S:$S,Test_Runs!$B:$B,A18,Test_Runs!$E:$E,B18)</x:f>
        <x:v>0</x:v>
      </x:c>
      <x:c r="R18" t="str">
        <x:f>IF(P18=0,"",Q18/P18)</x:f>
      </x:c>
      <x:c r="S18" t="e">
        <x:f>COUNTIFS(Test_Runs!$B:$B,A18,Test_Runs!$E:$E,B18,Test_Runs!$O:$O,"&gt;0")</x:f>
        <x:v>#VALUE!</x:v>
      </x:c>
      <x:c r="T18" t="e">
        <x:f>SUMIFS(Test_Runs!$O:$O,Test_Runs!$B:$B,A18,Test_Runs!$E:$E,B18)</x:f>
        <x:v>#VALUE!</x:v>
      </x:c>
      <x:c r="U18" t="e">
        <x:f>IF(S18=0,"",T18/S18)</x:f>
        <x:v>#VALUE!</x:v>
      </x:c>
      <x:c r="V18" t="n">
        <x:f>IFERROR(INDEX(Benchmark_Versions!$I:$I,MATCH(B18,Benchmark_Versions!$A:$A,0)),1)</x:f>
        <x:v>1</x:v>
      </x:c>
      <x:c r="W18" t="n">
        <x:f>IF(F18="","",F18*V18)</x:f>
        <x:v>45</x:v>
      </x:c>
      <x:c r="X18" t="n">
        <x:f>IF(OR(W18="",W18=0,O18=""),"",O18/W18)</x:f>
        <x:v>0.048666666666666664</x:v>
      </x:c>
      <x:c r="Y18" t="n">
        <x:f>IF(OR(W18="",O18="",O18=0),"",W18/O18)</x:f>
        <x:v>20.547945205479454</x:v>
      </x:c>
      <x:c r="Z18" t="str">
        <x:f>IF(OR(W18="",R18="",R18=0),"",W18/R18)</x:f>
      </x:c>
    </x:row>
    <x:row r="19">
      <x:c r="A19" t="inlineStr">
        <x:is>
          <x:t xml:space="preserve">anthropic|claude-opus-5|xhigh|reasoning|fallback-na</x:t>
        </x:is>
      </x:c>
      <x:c r="B19" t="inlineStr">
        <x:is>
          <x:t xml:space="preserve">AA|v4.3.2</x:t>
        </x:is>
      </x:c>
      <x:c r="C19" t="n">
        <x:f>COUNTIFS(Test_Runs!$B:$B,A19,Test_Runs!$E:$E,B19,Test_Runs!$H:$H,"&gt;=0")</x:f>
        <x:v>1</x:v>
      </x:c>
      <x:c r="D19" t="n">
        <x:f>SUMIFS(Test_Runs!$H:$H,Test_Runs!$B:$B,A19,Test_Runs!$E:$E,B19)</x:f>
        <x:v>50</x:v>
      </x:c>
      <x:c r="E19" t="n">
        <x:f>SUMIFS(Test_Runs!$I:$I,Test_Runs!$B:$B,A19,Test_Runs!$E:$E,B19)</x:f>
        <x:v>2500</x:v>
      </x:c>
      <x:c r="F19" t="n">
        <x:f>IF(C19=0,"",D19/C19)</x:f>
        <x:v>50</x:v>
      </x:c>
      <x:c r="G19" t="n">
        <x:f>IF(C19&lt;2,0,SQRT(MAX(0,(E19-(D19*D19/C19))/(C19-1))))</x:f>
        <x:v>0</x:v>
      </x:c>
      <x:c r="H19" t="n">
        <x:f>IF(C19=0,"",IF(C19=1,F19,_xlfn.AGGREGATE(15,6,(Test_Runs!$H$2:$H$144/((Test_Runs!$B$2:$B$144=A19)*(Test_Runs!$E$2:$E$144=B19))),1)))</x:f>
        <x:v>50</x:v>
      </x:c>
      <x:c r="I19" t="n">
        <x:f>IF(C19=0,"",IF(C19=1,F19,_xlfn.AGGREGATE(16,6,(Test_Runs!$H$2:$H$144/((Test_Runs!$B$2:$B$144=A19)*(Test_Runs!$E$2:$E$144=B19))),0.25)))</x:f>
        <x:v>50</x:v>
      </x:c>
      <x:c r="J19" t="n">
        <x:f>IF(C19=0,"",IF(C19=1,F19,_xlfn.AGGREGATE(12,6,(Test_Runs!$H$2:$H$144/((Test_Runs!$B$2:$B$144=A19)*(Test_Runs!$E$2:$E$144=B19))))))</x:f>
        <x:v>50</x:v>
      </x:c>
      <x:c r="K19" t="n">
        <x:f>IF(C19=0,"",IF(C19=1,F19,_xlfn.AGGREGATE(16,6,(Test_Runs!$H$2:$H$144/((Test_Runs!$B$2:$B$144=A19)*(Test_Runs!$E$2:$E$144=B19))),0.75)))</x:f>
        <x:v>50</x:v>
      </x:c>
      <x:c r="L19" t="n">
        <x:f>IF(C19=0,"",_xlfn.MAXIFS(Test_Runs!$H:$H,Test_Runs!$B:$B,A19,Test_Runs!$E:$E,B19))</x:f>
        <x:v>50</x:v>
      </x:c>
      <x:c r="M19" t="n">
        <x:f>COUNTIFS(Test_Runs!$B:$B,A19,Test_Runs!$E:$E,B19,Test_Runs!$J:$J,"&gt;0")</x:f>
        <x:v>1</x:v>
      </x:c>
      <x:c r="N19" t="n">
        <x:f>SUMIFS(Test_Runs!$J:$J,Test_Runs!$B:$B,A19,Test_Runs!$E:$E,B19)</x:f>
        <x:v>4.88</x:v>
      </x:c>
      <x:c r="O19" t="n">
        <x:f>IF(M19=0,"",N19/M19)</x:f>
        <x:v>4.88</x:v>
      </x:c>
      <x:c r="P19" t="n">
        <x:f>COUNTIFS(Test_Runs!$B:$B,A19,Test_Runs!$E:$E,B19,Test_Runs!$S:$S,"&gt;0")</x:f>
        <x:v>0</x:v>
      </x:c>
      <x:c r="Q19" t="n">
        <x:f>SUMIFS(Test_Runs!$S:$S,Test_Runs!$B:$B,A19,Test_Runs!$E:$E,B19)</x:f>
        <x:v>0</x:v>
      </x:c>
      <x:c r="R19" t="str">
        <x:f>IF(P19=0,"",Q19/P19)</x:f>
      </x:c>
      <x:c r="S19" t="e">
        <x:f>COUNTIFS(Test_Runs!$B:$B,A19,Test_Runs!$E:$E,B19,Test_Runs!$O:$O,"&gt;0")</x:f>
        <x:v>#VALUE!</x:v>
      </x:c>
      <x:c r="T19" t="e">
        <x:f>SUMIFS(Test_Runs!$O:$O,Test_Runs!$B:$B,A19,Test_Runs!$E:$E,B19)</x:f>
        <x:v>#VALUE!</x:v>
      </x:c>
      <x:c r="U19" t="e">
        <x:f>IF(S19=0,"",T19/S19)</x:f>
        <x:v>#VALUE!</x:v>
      </x:c>
      <x:c r="V19" t="n">
        <x:f>IFERROR(INDEX(Benchmark_Versions!$I:$I,MATCH(B19,Benchmark_Versions!$A:$A,0)),1)</x:f>
        <x:v>1</x:v>
      </x:c>
      <x:c r="W19" t="n">
        <x:f>IF(F19="","",F19*V19)</x:f>
        <x:v>50</x:v>
      </x:c>
      <x:c r="X19" t="n">
        <x:f>IF(OR(W19="",W19=0,O19=""),"",O19/W19)</x:f>
        <x:v>0.09759999999999999</x:v>
      </x:c>
      <x:c r="Y19" t="n">
        <x:f>IF(OR(W19="",O19="",O19=0),"",W19/O19)</x:f>
        <x:v>10.245901639344263</x:v>
      </x:c>
      <x:c r="Z19" t="str">
        <x:f>IF(OR(W19="",R19="",R19=0),"",W19/R19)</x:f>
      </x:c>
    </x:row>
    <x:row r="20">
      <x:c r="A20" t="inlineStr">
        <x:is>
          <x:t xml:space="preserve">anthropic|claude-sonnet-5.5|high|reasoning|fallback-true</x:t>
        </x:is>
      </x:c>
      <x:c r="B20" t="inlineStr">
        <x:is>
          <x:t xml:space="preserve">AA|v4.3.2</x:t>
        </x:is>
      </x:c>
      <x:c r="C20" t="n">
        <x:f>COUNTIFS(Test_Runs!$B:$B,A20,Test_Runs!$E:$E,B20,Test_Runs!$H:$H,"&gt;=0")</x:f>
        <x:v>2</x:v>
      </x:c>
      <x:c r="D20" t="n">
        <x:f>SUMIFS(Test_Runs!$H:$H,Test_Runs!$B:$B,A20,Test_Runs!$E:$E,B20)</x:f>
        <x:v>94</x:v>
      </x:c>
      <x:c r="E20" t="n">
        <x:f>SUMIFS(Test_Runs!$I:$I,Test_Runs!$B:$B,A20,Test_Runs!$E:$E,B20)</x:f>
        <x:v>4418</x:v>
      </x:c>
      <x:c r="F20" t="n">
        <x:f>IF(C20=0,"",D20/C20)</x:f>
        <x:v>47</x:v>
      </x:c>
      <x:c r="G20" t="n">
        <x:f>IF(C20&lt;2,0,SQRT(MAX(0,(E20-(D20*D20/C20))/(C20-1))))</x:f>
        <x:v>0</x:v>
      </x:c>
      <x:c r="H20" t="n">
        <x:f>IF(C20=0,"",IF(C20=1,F20,_xlfn.AGGREGATE(15,6,(Test_Runs!$H$2:$H$144/((Test_Runs!$B$2:$B$144=A20)*(Test_Runs!$E$2:$E$144=B20))),1)))</x:f>
        <x:v>0</x:v>
      </x:c>
      <x:c r="I20" t="n">
        <x:f>IF(C20=0,"",IF(C20=1,F20,_xlfn.AGGREGATE(16,6,(Test_Runs!$H$2:$H$144/((Test_Runs!$B$2:$B$144=A20)*(Test_Runs!$E$2:$E$144=B20))),0.25)))</x:f>
        <x:v>0</x:v>
      </x:c>
      <x:c r="J20" t="str">
        <x:f>IF(C20=0,"",IF(C20=1,F20,_xlfn.AGGREGATE(12,6,(Test_Runs!$H$2:$H$144/((Test_Runs!$B$2:$B$144=A20)*(Test_Runs!$E$2:$E$144=B20))))))</x:f>
      </x:c>
      <x:c r="K20" t="n">
        <x:f>IF(C20=0,"",IF(C20=1,F20,_xlfn.AGGREGATE(16,6,(Test_Runs!$H$2:$H$144/((Test_Runs!$B$2:$B$144=A20)*(Test_Runs!$E$2:$E$144=B20))),0.75)))</x:f>
        <x:v>0</x:v>
      </x:c>
      <x:c r="L20" t="n">
        <x:f>IF(C20=0,"",_xlfn.MAXIFS(Test_Runs!$H:$H,Test_Runs!$B:$B,A20,Test_Runs!$E:$E,B20))</x:f>
        <x:v>47</x:v>
      </x:c>
      <x:c r="M20" t="n">
        <x:f>COUNTIFS(Test_Runs!$B:$B,A20,Test_Runs!$E:$E,B20,Test_Runs!$J:$J,"&gt;0")</x:f>
        <x:v>2</x:v>
      </x:c>
      <x:c r="N20" t="n">
        <x:f>SUMIFS(Test_Runs!$J:$J,Test_Runs!$B:$B,A20,Test_Runs!$E:$E,B20)</x:f>
        <x:v>1.96</x:v>
      </x:c>
      <x:c r="O20" t="n">
        <x:f>IF(M20=0,"",N20/M20)</x:f>
        <x:v>0.98</x:v>
      </x:c>
      <x:c r="P20" t="n">
        <x:f>COUNTIFS(Test_Runs!$B:$B,A20,Test_Runs!$E:$E,B20,Test_Runs!$S:$S,"&gt;0")</x:f>
        <x:v>0</x:v>
      </x:c>
      <x:c r="Q20" t="n">
        <x:f>SUMIFS(Test_Runs!$S:$S,Test_Runs!$B:$B,A20,Test_Runs!$E:$E,B20)</x:f>
        <x:v>0</x:v>
      </x:c>
      <x:c r="R20" t="str">
        <x:f>IF(P20=0,"",Q20/P20)</x:f>
      </x:c>
      <x:c r="S20" t="e">
        <x:f>COUNTIFS(Test_Runs!$B:$B,A20,Test_Runs!$E:$E,B20,Test_Runs!$O:$O,"&gt;0")</x:f>
        <x:v>#VALUE!</x:v>
      </x:c>
      <x:c r="T20" t="e">
        <x:f>SUMIFS(Test_Runs!$O:$O,Test_Runs!$B:$B,A20,Test_Runs!$E:$E,B20)</x:f>
        <x:v>#VALUE!</x:v>
      </x:c>
      <x:c r="U20" t="e">
        <x:f>IF(S20=0,"",T20/S20)</x:f>
        <x:v>#VALUE!</x:v>
      </x:c>
      <x:c r="V20" t="n">
        <x:f>IFERROR(INDEX(Benchmark_Versions!$I:$I,MATCH(B20,Benchmark_Versions!$A:$A,0)),1)</x:f>
        <x:v>1</x:v>
      </x:c>
      <x:c r="W20" t="n">
        <x:f>IF(F20="","",F20*V20)</x:f>
        <x:v>47</x:v>
      </x:c>
      <x:c r="X20" t="n">
        <x:f>IF(OR(W20="",W20=0,O20=""),"",O20/W20)</x:f>
        <x:v>0.020851063829787235</x:v>
      </x:c>
      <x:c r="Y20" t="n">
        <x:f>IF(OR(W20="",O20="",O20=0),"",W20/O20)</x:f>
        <x:v>47.95918367346939</x:v>
      </x:c>
      <x:c r="Z20" t="str">
        <x:f>IF(OR(W20="",R20="",R20=0),"",W20/R20)</x:f>
      </x:c>
    </x:row>
    <x:row r="21">
      <x:c r="A21" t="inlineStr">
        <x:is>
          <x:t xml:space="preserve">anthropic|claude-sonnet-5.5|low|reasoning|fallback-true</x:t>
        </x:is>
      </x:c>
      <x:c r="B21" t="inlineStr">
        <x:is>
          <x:t xml:space="preserve">AA|v4.3.2</x:t>
        </x:is>
      </x:c>
      <x:c r="C21" t="n">
        <x:f>COUNTIFS(Test_Runs!$B:$B,A21,Test_Runs!$E:$E,B21,Test_Runs!$H:$H,"&gt;=0")</x:f>
        <x:v>2</x:v>
      </x:c>
      <x:c r="D21" t="n">
        <x:f>SUMIFS(Test_Runs!$H:$H,Test_Runs!$B:$B,A21,Test_Runs!$E:$E,B21)</x:f>
        <x:v>72</x:v>
      </x:c>
      <x:c r="E21" t="n">
        <x:f>SUMIFS(Test_Runs!$I:$I,Test_Runs!$B:$B,A21,Test_Runs!$E:$E,B21)</x:f>
        <x:v>2592</x:v>
      </x:c>
      <x:c r="F21" t="n">
        <x:f>IF(C21=0,"",D21/C21)</x:f>
        <x:v>36</x:v>
      </x:c>
      <x:c r="G21" t="n">
        <x:f>IF(C21&lt;2,0,SQRT(MAX(0,(E21-(D21*D21/C21))/(C21-1))))</x:f>
        <x:v>0</x:v>
      </x:c>
      <x:c r="H21" t="n">
        <x:f>IF(C21=0,"",IF(C21=1,F21,_xlfn.AGGREGATE(15,6,(Test_Runs!$H$2:$H$144/((Test_Runs!$B$2:$B$144=A21)*(Test_Runs!$E$2:$E$144=B21))),1)))</x:f>
        <x:v>0</x:v>
      </x:c>
      <x:c r="I21" t="n">
        <x:f>IF(C21=0,"",IF(C21=1,F21,_xlfn.AGGREGATE(16,6,(Test_Runs!$H$2:$H$144/((Test_Runs!$B$2:$B$144=A21)*(Test_Runs!$E$2:$E$144=B21))),0.25)))</x:f>
        <x:v>0</x:v>
      </x:c>
      <x:c r="J21" t="str">
        <x:f>IF(C21=0,"",IF(C21=1,F21,_xlfn.AGGREGATE(12,6,(Test_Runs!$H$2:$H$144/((Test_Runs!$B$2:$B$144=A21)*(Test_Runs!$E$2:$E$144=B21))))))</x:f>
      </x:c>
      <x:c r="K21" t="n">
        <x:f>IF(C21=0,"",IF(C21=1,F21,_xlfn.AGGREGATE(16,6,(Test_Runs!$H$2:$H$144/((Test_Runs!$B$2:$B$144=A21)*(Test_Runs!$E$2:$E$144=B21))),0.75)))</x:f>
        <x:v>0</x:v>
      </x:c>
      <x:c r="L21" t="n">
        <x:f>IF(C21=0,"",_xlfn.MAXIFS(Test_Runs!$H:$H,Test_Runs!$B:$B,A21,Test_Runs!$E:$E,B21))</x:f>
        <x:v>36</x:v>
      </x:c>
      <x:c r="M21" t="n">
        <x:f>COUNTIFS(Test_Runs!$B:$B,A21,Test_Runs!$E:$E,B21,Test_Runs!$J:$J,"&gt;0")</x:f>
        <x:v>2</x:v>
      </x:c>
      <x:c r="N21" t="n">
        <x:f>SUMIFS(Test_Runs!$J:$J,Test_Runs!$B:$B,A21,Test_Runs!$E:$E,B21)</x:f>
        <x:v>0.76</x:v>
      </x:c>
      <x:c r="O21" t="n">
        <x:f>IF(M21=0,"",N21/M21)</x:f>
        <x:v>0.38</x:v>
      </x:c>
      <x:c r="P21" t="n">
        <x:f>COUNTIFS(Test_Runs!$B:$B,A21,Test_Runs!$E:$E,B21,Test_Runs!$S:$S,"&gt;0")</x:f>
        <x:v>0</x:v>
      </x:c>
      <x:c r="Q21" t="n">
        <x:f>SUMIFS(Test_Runs!$S:$S,Test_Runs!$B:$B,A21,Test_Runs!$E:$E,B21)</x:f>
        <x:v>0</x:v>
      </x:c>
      <x:c r="R21" t="str">
        <x:f>IF(P21=0,"",Q21/P21)</x:f>
      </x:c>
      <x:c r="S21" t="e">
        <x:f>COUNTIFS(Test_Runs!$B:$B,A21,Test_Runs!$E:$E,B21,Test_Runs!$O:$O,"&gt;0")</x:f>
        <x:v>#VALUE!</x:v>
      </x:c>
      <x:c r="T21" t="e">
        <x:f>SUMIFS(Test_Runs!$O:$O,Test_Runs!$B:$B,A21,Test_Runs!$E:$E,B21)</x:f>
        <x:v>#VALUE!</x:v>
      </x:c>
      <x:c r="U21" t="e">
        <x:f>IF(S21=0,"",T21/S21)</x:f>
        <x:v>#VALUE!</x:v>
      </x:c>
      <x:c r="V21" t="n">
        <x:f>IFERROR(INDEX(Benchmark_Versions!$I:$I,MATCH(B21,Benchmark_Versions!$A:$A,0)),1)</x:f>
        <x:v>1</x:v>
      </x:c>
      <x:c r="W21" t="n">
        <x:f>IF(F21="","",F21*V21)</x:f>
        <x:v>36</x:v>
      </x:c>
      <x:c r="X21" t="n">
        <x:f>IF(OR(W21="",W21=0,O21=""),"",O21/W21)</x:f>
        <x:v>0.010555555555555556</x:v>
      </x:c>
      <x:c r="Y21" t="n">
        <x:f>IF(OR(W21="",O21="",O21=0),"",W21/O21)</x:f>
        <x:v>94.73684210526315</x:v>
      </x:c>
      <x:c r="Z21" t="str">
        <x:f>IF(OR(W21="",R21="",R21=0),"",W21/R21)</x:f>
      </x:c>
    </x:row>
    <x:row r="22">
      <x:c r="A22" t="inlineStr">
        <x:is>
          <x:t xml:space="preserve">anthropic|claude-sonnet-5.5|max|reasoning|fallback-true</x:t>
        </x:is>
      </x:c>
      <x:c r="B22" t="inlineStr">
        <x:is>
          <x:t xml:space="preserve">AA|v4.3.2</x:t>
        </x:is>
      </x:c>
      <x:c r="C22" t="n">
        <x:f>COUNTIFS(Test_Runs!$B:$B,A22,Test_Runs!$E:$E,B22,Test_Runs!$H:$H,"&gt;=0")</x:f>
        <x:v>2</x:v>
      </x:c>
      <x:c r="D22" t="n">
        <x:f>SUMIFS(Test_Runs!$H:$H,Test_Runs!$B:$B,A22,Test_Runs!$E:$E,B22)</x:f>
        <x:v>112</x:v>
      </x:c>
      <x:c r="E22" t="n">
        <x:f>SUMIFS(Test_Runs!$I:$I,Test_Runs!$B:$B,A22,Test_Runs!$E:$E,B22)</x:f>
        <x:v>6272</x:v>
      </x:c>
      <x:c r="F22" t="n">
        <x:f>IF(C22=0,"",D22/C22)</x:f>
        <x:v>56</x:v>
      </x:c>
      <x:c r="G22" t="n">
        <x:f>IF(C22&lt;2,0,SQRT(MAX(0,(E22-(D22*D22/C22))/(C22-1))))</x:f>
        <x:v>0</x:v>
      </x:c>
      <x:c r="H22" t="n">
        <x:f>IF(C22=0,"",IF(C22=1,F22,_xlfn.AGGREGATE(15,6,(Test_Runs!$H$2:$H$144/((Test_Runs!$B$2:$B$144=A22)*(Test_Runs!$E$2:$E$144=B22))),1)))</x:f>
        <x:v>0</x:v>
      </x:c>
      <x:c r="I22" t="n">
        <x:f>IF(C22=0,"",IF(C22=1,F22,_xlfn.AGGREGATE(16,6,(Test_Runs!$H$2:$H$144/((Test_Runs!$B$2:$B$144=A22)*(Test_Runs!$E$2:$E$144=B22))),0.25)))</x:f>
        <x:v>0</x:v>
      </x:c>
      <x:c r="J22" t="str">
        <x:f>IF(C22=0,"",IF(C22=1,F22,_xlfn.AGGREGATE(12,6,(Test_Runs!$H$2:$H$144/((Test_Runs!$B$2:$B$144=A22)*(Test_Runs!$E$2:$E$144=B22))))))</x:f>
      </x:c>
      <x:c r="K22" t="n">
        <x:f>IF(C22=0,"",IF(C22=1,F22,_xlfn.AGGREGATE(16,6,(Test_Runs!$H$2:$H$144/((Test_Runs!$B$2:$B$144=A22)*(Test_Runs!$E$2:$E$144=B22))),0.75)))</x:f>
        <x:v>0</x:v>
      </x:c>
      <x:c r="L22" t="n">
        <x:f>IF(C22=0,"",_xlfn.MAXIFS(Test_Runs!$H:$H,Test_Runs!$B:$B,A22,Test_Runs!$E:$E,B22))</x:f>
        <x:v>56</x:v>
      </x:c>
      <x:c r="M22" t="n">
        <x:f>COUNTIFS(Test_Runs!$B:$B,A22,Test_Runs!$E:$E,B22,Test_Runs!$J:$J,"&gt;0")</x:f>
        <x:v>2</x:v>
      </x:c>
      <x:c r="N22" t="n">
        <x:f>SUMIFS(Test_Runs!$J:$J,Test_Runs!$B:$B,A22,Test_Runs!$E:$E,B22)</x:f>
        <x:v>13.059999999999999</x:v>
      </x:c>
      <x:c r="O22" t="n">
        <x:f>IF(M22=0,"",N22/M22)</x:f>
        <x:v>6.529999999999999</x:v>
      </x:c>
      <x:c r="P22" t="n">
        <x:f>COUNTIFS(Test_Runs!$B:$B,A22,Test_Runs!$E:$E,B22,Test_Runs!$S:$S,"&gt;0")</x:f>
        <x:v>0</x:v>
      </x:c>
      <x:c r="Q22" t="n">
        <x:f>SUMIFS(Test_Runs!$S:$S,Test_Runs!$B:$B,A22,Test_Runs!$E:$E,B22)</x:f>
        <x:v>0</x:v>
      </x:c>
      <x:c r="R22" t="str">
        <x:f>IF(P22=0,"",Q22/P22)</x:f>
      </x:c>
      <x:c r="S22" t="e">
        <x:f>COUNTIFS(Test_Runs!$B:$B,A22,Test_Runs!$E:$E,B22,Test_Runs!$O:$O,"&gt;0")</x:f>
        <x:v>#VALUE!</x:v>
      </x:c>
      <x:c r="T22" t="e">
        <x:f>SUMIFS(Test_Runs!$O:$O,Test_Runs!$B:$B,A22,Test_Runs!$E:$E,B22)</x:f>
        <x:v>#VALUE!</x:v>
      </x:c>
      <x:c r="U22" t="e">
        <x:f>IF(S22=0,"",T22/S22)</x:f>
        <x:v>#VALUE!</x:v>
      </x:c>
      <x:c r="V22" t="n">
        <x:f>IFERROR(INDEX(Benchmark_Versions!$I:$I,MATCH(B22,Benchmark_Versions!$A:$A,0)),1)</x:f>
        <x:v>1</x:v>
      </x:c>
      <x:c r="W22" t="n">
        <x:f>IF(F22="","",F22*V22)</x:f>
        <x:v>56</x:v>
      </x:c>
      <x:c r="X22" t="n">
        <x:f>IF(OR(W22="",W22=0,O22=""),"",O22/W22)</x:f>
        <x:v>0.11660714285714284</x:v>
      </x:c>
      <x:c r="Y22" t="n">
        <x:f>IF(OR(W22="",O22="",O22=0),"",W22/O22)</x:f>
        <x:v>8.575803981623277</x:v>
      </x:c>
      <x:c r="Z22" t="str">
        <x:f>IF(OR(W22="",R22="",R22=0),"",W22/R22)</x:f>
      </x:c>
    </x:row>
    <x:row r="23">
      <x:c r="A23" t="inlineStr">
        <x:is>
          <x:t xml:space="preserve">anthropic|claude-sonnet-5.5|medium|reasoning|fallback-true</x:t>
        </x:is>
      </x:c>
      <x:c r="B23" t="inlineStr">
        <x:is>
          <x:t xml:space="preserve">AA|v4.3.2</x:t>
        </x:is>
      </x:c>
      <x:c r="C23" t="n">
        <x:f>COUNTIFS(Test_Runs!$B:$B,A23,Test_Runs!$E:$E,B23,Test_Runs!$H:$H,"&gt;=0")</x:f>
        <x:v>2</x:v>
      </x:c>
      <x:c r="D23" t="n">
        <x:f>SUMIFS(Test_Runs!$H:$H,Test_Runs!$B:$B,A23,Test_Runs!$E:$E,B23)</x:f>
        <x:v>82</x:v>
      </x:c>
      <x:c r="E23" t="n">
        <x:f>SUMIFS(Test_Runs!$I:$I,Test_Runs!$B:$B,A23,Test_Runs!$E:$E,B23)</x:f>
        <x:v>3362</x:v>
      </x:c>
      <x:c r="F23" t="n">
        <x:f>IF(C23=0,"",D23/C23)</x:f>
        <x:v>41</x:v>
      </x:c>
      <x:c r="G23" t="n">
        <x:f>IF(C23&lt;2,0,SQRT(MAX(0,(E23-(D23*D23/C23))/(C23-1))))</x:f>
        <x:v>0</x:v>
      </x:c>
      <x:c r="H23" t="n">
        <x:f>IF(C23=0,"",IF(C23=1,F23,_xlfn.AGGREGATE(15,6,(Test_Runs!$H$2:$H$144/((Test_Runs!$B$2:$B$144=A23)*(Test_Runs!$E$2:$E$144=B23))),1)))</x:f>
        <x:v>0</x:v>
      </x:c>
      <x:c r="I23" t="n">
        <x:f>IF(C23=0,"",IF(C23=1,F23,_xlfn.AGGREGATE(16,6,(Test_Runs!$H$2:$H$144/((Test_Runs!$B$2:$B$144=A23)*(Test_Runs!$E$2:$E$144=B23))),0.25)))</x:f>
        <x:v>0</x:v>
      </x:c>
      <x:c r="J23" t="str">
        <x:f>IF(C23=0,"",IF(C23=1,F23,_xlfn.AGGREGATE(12,6,(Test_Runs!$H$2:$H$144/((Test_Runs!$B$2:$B$144=A23)*(Test_Runs!$E$2:$E$144=B23))))))</x:f>
      </x:c>
      <x:c r="K23" t="n">
        <x:f>IF(C23=0,"",IF(C23=1,F23,_xlfn.AGGREGATE(16,6,(Test_Runs!$H$2:$H$144/((Test_Runs!$B$2:$B$144=A23)*(Test_Runs!$E$2:$E$144=B23))),0.75)))</x:f>
        <x:v>0</x:v>
      </x:c>
      <x:c r="L23" t="n">
        <x:f>IF(C23=0,"",_xlfn.MAXIFS(Test_Runs!$H:$H,Test_Runs!$B:$B,A23,Test_Runs!$E:$E,B23))</x:f>
        <x:v>41</x:v>
      </x:c>
      <x:c r="M23" t="n">
        <x:f>COUNTIFS(Test_Runs!$B:$B,A23,Test_Runs!$E:$E,B23,Test_Runs!$J:$J,"&gt;0")</x:f>
        <x:v>2</x:v>
      </x:c>
      <x:c r="N23" t="n">
        <x:f>SUMIFS(Test_Runs!$J:$J,Test_Runs!$B:$B,A23,Test_Runs!$E:$E,B23)</x:f>
        <x:v>1.0699999999999998</x:v>
      </x:c>
      <x:c r="O23" t="n">
        <x:f>IF(M23=0,"",N23/M23)</x:f>
        <x:v>0.5349999999999999</x:v>
      </x:c>
      <x:c r="P23" t="n">
        <x:f>COUNTIFS(Test_Runs!$B:$B,A23,Test_Runs!$E:$E,B23,Test_Runs!$S:$S,"&gt;0")</x:f>
        <x:v>0</x:v>
      </x:c>
      <x:c r="Q23" t="n">
        <x:f>SUMIFS(Test_Runs!$S:$S,Test_Runs!$B:$B,A23,Test_Runs!$E:$E,B23)</x:f>
        <x:v>0</x:v>
      </x:c>
      <x:c r="R23" t="str">
        <x:f>IF(P23=0,"",Q23/P23)</x:f>
      </x:c>
      <x:c r="S23" t="e">
        <x:f>COUNTIFS(Test_Runs!$B:$B,A23,Test_Runs!$E:$E,B23,Test_Runs!$O:$O,"&gt;0")</x:f>
        <x:v>#VALUE!</x:v>
      </x:c>
      <x:c r="T23" t="e">
        <x:f>SUMIFS(Test_Runs!$O:$O,Test_Runs!$B:$B,A23,Test_Runs!$E:$E,B23)</x:f>
        <x:v>#VALUE!</x:v>
      </x:c>
      <x:c r="U23" t="e">
        <x:f>IF(S23=0,"",T23/S23)</x:f>
        <x:v>#VALUE!</x:v>
      </x:c>
      <x:c r="V23" t="n">
        <x:f>IFERROR(INDEX(Benchmark_Versions!$I:$I,MATCH(B23,Benchmark_Versions!$A:$A,0)),1)</x:f>
        <x:v>1</x:v>
      </x:c>
      <x:c r="W23" t="n">
        <x:f>IF(F23="","",F23*V23)</x:f>
        <x:v>41</x:v>
      </x:c>
      <x:c r="X23" t="n">
        <x:f>IF(OR(W23="",W23=0,O23=""),"",O23/W23)</x:f>
        <x:v>0.013048780487804876</x:v>
      </x:c>
      <x:c r="Y23" t="n">
        <x:f>IF(OR(W23="",O23="",O23=0),"",W23/O23)</x:f>
        <x:v>76.6355140186916</x:v>
      </x:c>
      <x:c r="Z23" t="str">
        <x:f>IF(OR(W23="",R23="",R23=0),"",W23/R23)</x:f>
      </x:c>
    </x:row>
    <x:row r="24">
      <x:c r="A24" t="inlineStr">
        <x:is>
          <x:t xml:space="preserve">anthropic|claude-sonnet-5.5|xhigh|reasoning|fallback-true</x:t>
        </x:is>
      </x:c>
      <x:c r="B24" t="inlineStr">
        <x:is>
          <x:t xml:space="preserve">AA|v4.3.2</x:t>
        </x:is>
      </x:c>
      <x:c r="C24" t="n">
        <x:f>COUNTIFS(Test_Runs!$B:$B,A24,Test_Runs!$E:$E,B24,Test_Runs!$H:$H,"&gt;=0")</x:f>
        <x:v>2</x:v>
      </x:c>
      <x:c r="D24" t="n">
        <x:f>SUMIFS(Test_Runs!$H:$H,Test_Runs!$B:$B,A24,Test_Runs!$E:$E,B24)</x:f>
        <x:v>104</x:v>
      </x:c>
      <x:c r="E24" t="n">
        <x:f>SUMIFS(Test_Runs!$I:$I,Test_Runs!$B:$B,A24,Test_Runs!$E:$E,B24)</x:f>
        <x:v>5408</x:v>
      </x:c>
      <x:c r="F24" t="n">
        <x:f>IF(C24=0,"",D24/C24)</x:f>
        <x:v>52</x:v>
      </x:c>
      <x:c r="G24" t="n">
        <x:f>IF(C24&lt;2,0,SQRT(MAX(0,(E24-(D24*D24/C24))/(C24-1))))</x:f>
        <x:v>0</x:v>
      </x:c>
      <x:c r="H24" t="n">
        <x:f>IF(C24=0,"",IF(C24=1,F24,_xlfn.AGGREGATE(15,6,(Test_Runs!$H$2:$H$144/((Test_Runs!$B$2:$B$144=A24)*(Test_Runs!$E$2:$E$144=B24))),1)))</x:f>
        <x:v>0</x:v>
      </x:c>
      <x:c r="I24" t="n">
        <x:f>IF(C24=0,"",IF(C24=1,F24,_xlfn.AGGREGATE(16,6,(Test_Runs!$H$2:$H$144/((Test_Runs!$B$2:$B$144=A24)*(Test_Runs!$E$2:$E$144=B24))),0.25)))</x:f>
        <x:v>0</x:v>
      </x:c>
      <x:c r="J24" t="str">
        <x:f>IF(C24=0,"",IF(C24=1,F24,_xlfn.AGGREGATE(12,6,(Test_Runs!$H$2:$H$144/((Test_Runs!$B$2:$B$144=A24)*(Test_Runs!$E$2:$E$144=B24))))))</x:f>
      </x:c>
      <x:c r="K24" t="n">
        <x:f>IF(C24=0,"",IF(C24=1,F24,_xlfn.AGGREGATE(16,6,(Test_Runs!$H$2:$H$144/((Test_Runs!$B$2:$B$144=A24)*(Test_Runs!$E$2:$E$144=B24))),0.75)))</x:f>
        <x:v>0</x:v>
      </x:c>
      <x:c r="L24" t="n">
        <x:f>IF(C24=0,"",_xlfn.MAXIFS(Test_Runs!$H:$H,Test_Runs!$B:$B,A24,Test_Runs!$E:$E,B24))</x:f>
        <x:v>52</x:v>
      </x:c>
      <x:c r="M24" t="n">
        <x:f>COUNTIFS(Test_Runs!$B:$B,A24,Test_Runs!$E:$E,B24,Test_Runs!$J:$J,"&gt;0")</x:f>
        <x:v>2</x:v>
      </x:c>
      <x:c r="N24" t="n">
        <x:f>SUMIFS(Test_Runs!$J:$J,Test_Runs!$B:$B,A24,Test_Runs!$E:$E,B24)</x:f>
        <x:v>4.75</x:v>
      </x:c>
      <x:c r="O24" t="n">
        <x:f>IF(M24=0,"",N24/M24)</x:f>
        <x:v>2.375</x:v>
      </x:c>
      <x:c r="P24" t="n">
        <x:f>COUNTIFS(Test_Runs!$B:$B,A24,Test_Runs!$E:$E,B24,Test_Runs!$S:$S,"&gt;0")</x:f>
        <x:v>0</x:v>
      </x:c>
      <x:c r="Q24" t="n">
        <x:f>SUMIFS(Test_Runs!$S:$S,Test_Runs!$B:$B,A24,Test_Runs!$E:$E,B24)</x:f>
        <x:v>0</x:v>
      </x:c>
      <x:c r="R24" t="str">
        <x:f>IF(P24=0,"",Q24/P24)</x:f>
      </x:c>
      <x:c r="S24" t="e">
        <x:f>COUNTIFS(Test_Runs!$B:$B,A24,Test_Runs!$E:$E,B24,Test_Runs!$O:$O,"&gt;0")</x:f>
        <x:v>#VALUE!</x:v>
      </x:c>
      <x:c r="T24" t="e">
        <x:f>SUMIFS(Test_Runs!$O:$O,Test_Runs!$B:$B,A24,Test_Runs!$E:$E,B24)</x:f>
        <x:v>#VALUE!</x:v>
      </x:c>
      <x:c r="U24" t="e">
        <x:f>IF(S24=0,"",T24/S24)</x:f>
        <x:v>#VALUE!</x:v>
      </x:c>
      <x:c r="V24" t="n">
        <x:f>IFERROR(INDEX(Benchmark_Versions!$I:$I,MATCH(B24,Benchmark_Versions!$A:$A,0)),1)</x:f>
        <x:v>1</x:v>
      </x:c>
      <x:c r="W24" t="n">
        <x:f>IF(F24="","",F24*V24)</x:f>
        <x:v>52</x:v>
      </x:c>
      <x:c r="X24" t="n">
        <x:f>IF(OR(W24="",W24=0,O24=""),"",O24/W24)</x:f>
        <x:v>0.04567307692307692</x:v>
      </x:c>
      <x:c r="Y24" t="n">
        <x:f>IF(OR(W24="",O24="",O24=0),"",W24/O24)</x:f>
        <x:v>21.894736842105264</x:v>
      </x:c>
      <x:c r="Z24" t="str">
        <x:f>IF(OR(W24="",R24="",R24=0),"",W24/R24)</x:f>
      </x:c>
    </x:row>
    <x:row r="25">
      <x:c r="A25" t="inlineStr">
        <x:is>
          <x:t xml:space="preserve">anthropic|claude-sonnet-5|high|reasoning|fallback-na</x:t>
        </x:is>
      </x:c>
      <x:c r="B25" t="inlineStr">
        <x:is>
          <x:t xml:space="preserve">AA|v4.3.2</x:t>
        </x:is>
      </x:c>
      <x:c r="C25" t="n">
        <x:f>COUNTIFS(Test_Runs!$B:$B,A25,Test_Runs!$E:$E,B25,Test_Runs!$H:$H,"&gt;=0")</x:f>
        <x:v>1</x:v>
      </x:c>
      <x:c r="D25" t="n">
        <x:f>SUMIFS(Test_Runs!$H:$H,Test_Runs!$B:$B,A25,Test_Runs!$E:$E,B25)</x:f>
        <x:v>32</x:v>
      </x:c>
      <x:c r="E25" t="n">
        <x:f>SUMIFS(Test_Runs!$I:$I,Test_Runs!$B:$B,A25,Test_Runs!$E:$E,B25)</x:f>
        <x:v>1024</x:v>
      </x:c>
      <x:c r="F25" t="n">
        <x:f>IF(C25=0,"",D25/C25)</x:f>
        <x:v>32</x:v>
      </x:c>
      <x:c r="G25" t="n">
        <x:f>IF(C25&lt;2,0,SQRT(MAX(0,(E25-(D25*D25/C25))/(C25-1))))</x:f>
        <x:v>0</x:v>
      </x:c>
      <x:c r="H25" t="n">
        <x:f>IF(C25=0,"",IF(C25=1,F25,_xlfn.AGGREGATE(15,6,(Test_Runs!$H$2:$H$144/((Test_Runs!$B$2:$B$144=A25)*(Test_Runs!$E$2:$E$144=B25))),1)))</x:f>
        <x:v>32</x:v>
      </x:c>
      <x:c r="I25" t="n">
        <x:f>IF(C25=0,"",IF(C25=1,F25,_xlfn.AGGREGATE(16,6,(Test_Runs!$H$2:$H$144/((Test_Runs!$B$2:$B$144=A25)*(Test_Runs!$E$2:$E$144=B25))),0.25)))</x:f>
        <x:v>32</x:v>
      </x:c>
      <x:c r="J25" t="n">
        <x:f>IF(C25=0,"",IF(C25=1,F25,_xlfn.AGGREGATE(12,6,(Test_Runs!$H$2:$H$144/((Test_Runs!$B$2:$B$144=A25)*(Test_Runs!$E$2:$E$144=B25))))))</x:f>
        <x:v>32</x:v>
      </x:c>
      <x:c r="K25" t="n">
        <x:f>IF(C25=0,"",IF(C25=1,F25,_xlfn.AGGREGATE(16,6,(Test_Runs!$H$2:$H$144/((Test_Runs!$B$2:$B$144=A25)*(Test_Runs!$E$2:$E$144=B25))),0.75)))</x:f>
        <x:v>32</x:v>
      </x:c>
      <x:c r="L25" t="n">
        <x:f>IF(C25=0,"",_xlfn.MAXIFS(Test_Runs!$H:$H,Test_Runs!$B:$B,A25,Test_Runs!$E:$E,B25))</x:f>
        <x:v>32</x:v>
      </x:c>
      <x:c r="M25" t="n">
        <x:f>COUNTIFS(Test_Runs!$B:$B,A25,Test_Runs!$E:$E,B25,Test_Runs!$J:$J,"&gt;0")</x:f>
        <x:v>1</x:v>
      </x:c>
      <x:c r="N25" t="n">
        <x:f>SUMIFS(Test_Runs!$J:$J,Test_Runs!$B:$B,A25,Test_Runs!$E:$E,B25)</x:f>
        <x:v>1.79</x:v>
      </x:c>
      <x:c r="O25" t="n">
        <x:f>IF(M25=0,"",N25/M25)</x:f>
        <x:v>1.79</x:v>
      </x:c>
      <x:c r="P25" t="n">
        <x:f>COUNTIFS(Test_Runs!$B:$B,A25,Test_Runs!$E:$E,B25,Test_Runs!$S:$S,"&gt;0")</x:f>
        <x:v>0</x:v>
      </x:c>
      <x:c r="Q25" t="n">
        <x:f>SUMIFS(Test_Runs!$S:$S,Test_Runs!$B:$B,A25,Test_Runs!$E:$E,B25)</x:f>
        <x:v>0</x:v>
      </x:c>
      <x:c r="R25" t="str">
        <x:f>IF(P25=0,"",Q25/P25)</x:f>
      </x:c>
      <x:c r="S25" t="e">
        <x:f>COUNTIFS(Test_Runs!$B:$B,A25,Test_Runs!$E:$E,B25,Test_Runs!$O:$O,"&gt;0")</x:f>
        <x:v>#VALUE!</x:v>
      </x:c>
      <x:c r="T25" t="e">
        <x:f>SUMIFS(Test_Runs!$O:$O,Test_Runs!$B:$B,A25,Test_Runs!$E:$E,B25)</x:f>
        <x:v>#VALUE!</x:v>
      </x:c>
      <x:c r="U25" t="e">
        <x:f>IF(S25=0,"",T25/S25)</x:f>
        <x:v>#VALUE!</x:v>
      </x:c>
      <x:c r="V25" t="n">
        <x:f>IFERROR(INDEX(Benchmark_Versions!$I:$I,MATCH(B25,Benchmark_Versions!$A:$A,0)),1)</x:f>
        <x:v>1</x:v>
      </x:c>
      <x:c r="W25" t="n">
        <x:f>IF(F25="","",F25*V25)</x:f>
        <x:v>32</x:v>
      </x:c>
      <x:c r="X25" t="n">
        <x:f>IF(OR(W25="",W25=0,O25=""),"",O25/W25)</x:f>
        <x:v>0.0559375</x:v>
      </x:c>
      <x:c r="Y25" t="n">
        <x:f>IF(OR(W25="",O25="",O25=0),"",W25/O25)</x:f>
        <x:v>17.877094972067038</x:v>
      </x:c>
      <x:c r="Z25" t="str">
        <x:f>IF(OR(W25="",R25="",R25=0),"",W25/R25)</x:f>
      </x:c>
    </x:row>
    <x:row r="26">
      <x:c r="A26" t="inlineStr">
        <x:is>
          <x:t xml:space="preserve">anthropic|claude-sonnet-5|low|reasoning|fallback-na</x:t>
        </x:is>
      </x:c>
      <x:c r="B26" t="inlineStr">
        <x:is>
          <x:t xml:space="preserve">AA|v4.3.2</x:t>
        </x:is>
      </x:c>
      <x:c r="C26" t="n">
        <x:f>COUNTIFS(Test_Runs!$B:$B,A26,Test_Runs!$E:$E,B26,Test_Runs!$H:$H,"&gt;=0")</x:f>
        <x:v>1</x:v>
      </x:c>
      <x:c r="D26" t="n">
        <x:f>SUMIFS(Test_Runs!$H:$H,Test_Runs!$B:$B,A26,Test_Runs!$E:$E,B26)</x:f>
        <x:v>25</x:v>
      </x:c>
      <x:c r="E26" t="n">
        <x:f>SUMIFS(Test_Runs!$I:$I,Test_Runs!$B:$B,A26,Test_Runs!$E:$E,B26)</x:f>
        <x:v>625</x:v>
      </x:c>
      <x:c r="F26" t="n">
        <x:f>IF(C26=0,"",D26/C26)</x:f>
        <x:v>25</x:v>
      </x:c>
      <x:c r="G26" t="n">
        <x:f>IF(C26&lt;2,0,SQRT(MAX(0,(E26-(D26*D26/C26))/(C26-1))))</x:f>
        <x:v>0</x:v>
      </x:c>
      <x:c r="H26" t="n">
        <x:f>IF(C26=0,"",IF(C26=1,F26,_xlfn.AGGREGATE(15,6,(Test_Runs!$H$2:$H$144/((Test_Runs!$B$2:$B$144=A26)*(Test_Runs!$E$2:$E$144=B26))),1)))</x:f>
        <x:v>25</x:v>
      </x:c>
      <x:c r="I26" t="n">
        <x:f>IF(C26=0,"",IF(C26=1,F26,_xlfn.AGGREGATE(16,6,(Test_Runs!$H$2:$H$144/((Test_Runs!$B$2:$B$144=A26)*(Test_Runs!$E$2:$E$144=B26))),0.25)))</x:f>
        <x:v>25</x:v>
      </x:c>
      <x:c r="J26" t="n">
        <x:f>IF(C26=0,"",IF(C26=1,F26,_xlfn.AGGREGATE(12,6,(Test_Runs!$H$2:$H$144/((Test_Runs!$B$2:$B$144=A26)*(Test_Runs!$E$2:$E$144=B26))))))</x:f>
        <x:v>25</x:v>
      </x:c>
      <x:c r="K26" t="n">
        <x:f>IF(C26=0,"",IF(C26=1,F26,_xlfn.AGGREGATE(16,6,(Test_Runs!$H$2:$H$144/((Test_Runs!$B$2:$B$144=A26)*(Test_Runs!$E$2:$E$144=B26))),0.75)))</x:f>
        <x:v>25</x:v>
      </x:c>
      <x:c r="L26" t="n">
        <x:f>IF(C26=0,"",_xlfn.MAXIFS(Test_Runs!$H:$H,Test_Runs!$B:$B,A26,Test_Runs!$E:$E,B26))</x:f>
        <x:v>25</x:v>
      </x:c>
      <x:c r="M26" t="n">
        <x:f>COUNTIFS(Test_Runs!$B:$B,A26,Test_Runs!$E:$E,B26,Test_Runs!$J:$J,"&gt;0")</x:f>
        <x:v>1</x:v>
      </x:c>
      <x:c r="N26" t="n">
        <x:f>SUMIFS(Test_Runs!$J:$J,Test_Runs!$B:$B,A26,Test_Runs!$E:$E,B26)</x:f>
        <x:v>0.51</x:v>
      </x:c>
      <x:c r="O26" t="n">
        <x:f>IF(M26=0,"",N26/M26)</x:f>
        <x:v>0.51</x:v>
      </x:c>
      <x:c r="P26" t="n">
        <x:f>COUNTIFS(Test_Runs!$B:$B,A26,Test_Runs!$E:$E,B26,Test_Runs!$S:$S,"&gt;0")</x:f>
        <x:v>0</x:v>
      </x:c>
      <x:c r="Q26" t="n">
        <x:f>SUMIFS(Test_Runs!$S:$S,Test_Runs!$B:$B,A26,Test_Runs!$E:$E,B26)</x:f>
        <x:v>0</x:v>
      </x:c>
      <x:c r="R26" t="str">
        <x:f>IF(P26=0,"",Q26/P26)</x:f>
      </x:c>
      <x:c r="S26" t="e">
        <x:f>COUNTIFS(Test_Runs!$B:$B,A26,Test_Runs!$E:$E,B26,Test_Runs!$O:$O,"&gt;0")</x:f>
        <x:v>#VALUE!</x:v>
      </x:c>
      <x:c r="T26" t="e">
        <x:f>SUMIFS(Test_Runs!$O:$O,Test_Runs!$B:$B,A26,Test_Runs!$E:$E,B26)</x:f>
        <x:v>#VALUE!</x:v>
      </x:c>
      <x:c r="U26" t="e">
        <x:f>IF(S26=0,"",T26/S26)</x:f>
        <x:v>#VALUE!</x:v>
      </x:c>
      <x:c r="V26" t="n">
        <x:f>IFERROR(INDEX(Benchmark_Versions!$I:$I,MATCH(B26,Benchmark_Versions!$A:$A,0)),1)</x:f>
        <x:v>1</x:v>
      </x:c>
      <x:c r="W26" t="n">
        <x:f>IF(F26="","",F26*V26)</x:f>
        <x:v>25</x:v>
      </x:c>
      <x:c r="X26" t="n">
        <x:f>IF(OR(W26="",W26=0,O26=""),"",O26/W26)</x:f>
        <x:v>0.0204</x:v>
      </x:c>
      <x:c r="Y26" t="n">
        <x:f>IF(OR(W26="",O26="",O26=0),"",W26/O26)</x:f>
        <x:v>49.01960784313725</x:v>
      </x:c>
      <x:c r="Z26" t="str">
        <x:f>IF(OR(W26="",R26="",R26=0),"",W26/R26)</x:f>
      </x:c>
    </x:row>
    <x:row r="27">
      <x:c r="A27" t="inlineStr">
        <x:is>
          <x:t xml:space="preserve">anthropic|claude-sonnet-5|max|reasoning|fallback-na</x:t>
        </x:is>
      </x:c>
      <x:c r="B27" t="inlineStr">
        <x:is>
          <x:t xml:space="preserve">AA|v4.3.2</x:t>
        </x:is>
      </x:c>
      <x:c r="C27" t="n">
        <x:f>COUNTIFS(Test_Runs!$B:$B,A27,Test_Runs!$E:$E,B27,Test_Runs!$H:$H,"&gt;=0")</x:f>
        <x:v>1</x:v>
      </x:c>
      <x:c r="D27" t="n">
        <x:f>SUMIFS(Test_Runs!$H:$H,Test_Runs!$B:$B,A27,Test_Runs!$E:$E,B27)</x:f>
        <x:v>38</x:v>
      </x:c>
      <x:c r="E27" t="n">
        <x:f>SUMIFS(Test_Runs!$I:$I,Test_Runs!$B:$B,A27,Test_Runs!$E:$E,B27)</x:f>
        <x:v>1444</x:v>
      </x:c>
      <x:c r="F27" t="n">
        <x:f>IF(C27=0,"",D27/C27)</x:f>
        <x:v>38</x:v>
      </x:c>
      <x:c r="G27" t="n">
        <x:f>IF(C27&lt;2,0,SQRT(MAX(0,(E27-(D27*D27/C27))/(C27-1))))</x:f>
        <x:v>0</x:v>
      </x:c>
      <x:c r="H27" t="n">
        <x:f>IF(C27=0,"",IF(C27=1,F27,_xlfn.AGGREGATE(15,6,(Test_Runs!$H$2:$H$144/((Test_Runs!$B$2:$B$144=A27)*(Test_Runs!$E$2:$E$144=B27))),1)))</x:f>
        <x:v>38</x:v>
      </x:c>
      <x:c r="I27" t="n">
        <x:f>IF(C27=0,"",IF(C27=1,F27,_xlfn.AGGREGATE(16,6,(Test_Runs!$H$2:$H$144/((Test_Runs!$B$2:$B$144=A27)*(Test_Runs!$E$2:$E$144=B27))),0.25)))</x:f>
        <x:v>38</x:v>
      </x:c>
      <x:c r="J27" t="n">
        <x:f>IF(C27=0,"",IF(C27=1,F27,_xlfn.AGGREGATE(12,6,(Test_Runs!$H$2:$H$144/((Test_Runs!$B$2:$B$144=A27)*(Test_Runs!$E$2:$E$144=B27))))))</x:f>
        <x:v>38</x:v>
      </x:c>
      <x:c r="K27" t="n">
        <x:f>IF(C27=0,"",IF(C27=1,F27,_xlfn.AGGREGATE(16,6,(Test_Runs!$H$2:$H$144/((Test_Runs!$B$2:$B$144=A27)*(Test_Runs!$E$2:$E$144=B27))),0.75)))</x:f>
        <x:v>38</x:v>
      </x:c>
      <x:c r="L27" t="n">
        <x:f>IF(C27=0,"",_xlfn.MAXIFS(Test_Runs!$H:$H,Test_Runs!$B:$B,A27,Test_Runs!$E:$E,B27))</x:f>
        <x:v>38</x:v>
      </x:c>
      <x:c r="M27" t="n">
        <x:f>COUNTIFS(Test_Runs!$B:$B,A27,Test_Runs!$E:$E,B27,Test_Runs!$J:$J,"&gt;0")</x:f>
        <x:v>1</x:v>
      </x:c>
      <x:c r="N27" t="n">
        <x:f>SUMIFS(Test_Runs!$J:$J,Test_Runs!$B:$B,A27,Test_Runs!$E:$E,B27)</x:f>
        <x:v>5.09</x:v>
      </x:c>
      <x:c r="O27" t="n">
        <x:f>IF(M27=0,"",N27/M27)</x:f>
        <x:v>5.09</x:v>
      </x:c>
      <x:c r="P27" t="n">
        <x:f>COUNTIFS(Test_Runs!$B:$B,A27,Test_Runs!$E:$E,B27,Test_Runs!$S:$S,"&gt;0")</x:f>
        <x:v>0</x:v>
      </x:c>
      <x:c r="Q27" t="n">
        <x:f>SUMIFS(Test_Runs!$S:$S,Test_Runs!$B:$B,A27,Test_Runs!$E:$E,B27)</x:f>
        <x:v>0</x:v>
      </x:c>
      <x:c r="R27" t="str">
        <x:f>IF(P27=0,"",Q27/P27)</x:f>
      </x:c>
      <x:c r="S27" t="e">
        <x:f>COUNTIFS(Test_Runs!$B:$B,A27,Test_Runs!$E:$E,B27,Test_Runs!$O:$O,"&gt;0")</x:f>
        <x:v>#VALUE!</x:v>
      </x:c>
      <x:c r="T27" t="e">
        <x:f>SUMIFS(Test_Runs!$O:$O,Test_Runs!$B:$B,A27,Test_Runs!$E:$E,B27)</x:f>
        <x:v>#VALUE!</x:v>
      </x:c>
      <x:c r="U27" t="e">
        <x:f>IF(S27=0,"",T27/S27)</x:f>
        <x:v>#VALUE!</x:v>
      </x:c>
      <x:c r="V27" t="n">
        <x:f>IFERROR(INDEX(Benchmark_Versions!$I:$I,MATCH(B27,Benchmark_Versions!$A:$A,0)),1)</x:f>
        <x:v>1</x:v>
      </x:c>
      <x:c r="W27" t="n">
        <x:f>IF(F27="","",F27*V27)</x:f>
        <x:v>38</x:v>
      </x:c>
      <x:c r="X27" t="n">
        <x:f>IF(OR(W27="",W27=0,O27=""),"",O27/W27)</x:f>
        <x:v>0.13394736842105262</x:v>
      </x:c>
      <x:c r="Y27" t="n">
        <x:f>IF(OR(W27="",O27="",O27=0),"",W27/O27)</x:f>
        <x:v>7.465618860510806</x:v>
      </x:c>
      <x:c r="Z27" t="str">
        <x:f>IF(OR(W27="",R27="",R27=0),"",W27/R27)</x:f>
      </x:c>
    </x:row>
    <x:row r="28">
      <x:c r="A28" t="inlineStr">
        <x:is>
          <x:t xml:space="preserve">anthropic|claude-sonnet-5|medium|reasoning|fallback-na</x:t>
        </x:is>
      </x:c>
      <x:c r="B28" t="inlineStr">
        <x:is>
          <x:t xml:space="preserve">AA|v4.3.2</x:t>
        </x:is>
      </x:c>
      <x:c r="C28" t="n">
        <x:f>COUNTIFS(Test_Runs!$B:$B,A28,Test_Runs!$E:$E,B28,Test_Runs!$H:$H,"&gt;=0")</x:f>
        <x:v>1</x:v>
      </x:c>
      <x:c r="D28" t="n">
        <x:f>SUMIFS(Test_Runs!$H:$H,Test_Runs!$B:$B,A28,Test_Runs!$E:$E,B28)</x:f>
        <x:v>28</x:v>
      </x:c>
      <x:c r="E28" t="n">
        <x:f>SUMIFS(Test_Runs!$I:$I,Test_Runs!$B:$B,A28,Test_Runs!$E:$E,B28)</x:f>
        <x:v>784</x:v>
      </x:c>
      <x:c r="F28" t="n">
        <x:f>IF(C28=0,"",D28/C28)</x:f>
        <x:v>28</x:v>
      </x:c>
      <x:c r="G28" t="n">
        <x:f>IF(C28&lt;2,0,SQRT(MAX(0,(E28-(D28*D28/C28))/(C28-1))))</x:f>
        <x:v>0</x:v>
      </x:c>
      <x:c r="H28" t="n">
        <x:f>IF(C28=0,"",IF(C28=1,F28,_xlfn.AGGREGATE(15,6,(Test_Runs!$H$2:$H$144/((Test_Runs!$B$2:$B$144=A28)*(Test_Runs!$E$2:$E$144=B28))),1)))</x:f>
        <x:v>28</x:v>
      </x:c>
      <x:c r="I28" t="n">
        <x:f>IF(C28=0,"",IF(C28=1,F28,_xlfn.AGGREGATE(16,6,(Test_Runs!$H$2:$H$144/((Test_Runs!$B$2:$B$144=A28)*(Test_Runs!$E$2:$E$144=B28))),0.25)))</x:f>
        <x:v>28</x:v>
      </x:c>
      <x:c r="J28" t="n">
        <x:f>IF(C28=0,"",IF(C28=1,F28,_xlfn.AGGREGATE(12,6,(Test_Runs!$H$2:$H$144/((Test_Runs!$B$2:$B$144=A28)*(Test_Runs!$E$2:$E$144=B28))))))</x:f>
        <x:v>28</x:v>
      </x:c>
      <x:c r="K28" t="n">
        <x:f>IF(C28=0,"",IF(C28=1,F28,_xlfn.AGGREGATE(16,6,(Test_Runs!$H$2:$H$144/((Test_Runs!$B$2:$B$144=A28)*(Test_Runs!$E$2:$E$144=B28))),0.75)))</x:f>
        <x:v>28</x:v>
      </x:c>
      <x:c r="L28" t="n">
        <x:f>IF(C28=0,"",_xlfn.MAXIFS(Test_Runs!$H:$H,Test_Runs!$B:$B,A28,Test_Runs!$E:$E,B28))</x:f>
        <x:v>28</x:v>
      </x:c>
      <x:c r="M28" t="n">
        <x:f>COUNTIFS(Test_Runs!$B:$B,A28,Test_Runs!$E:$E,B28,Test_Runs!$J:$J,"&gt;0")</x:f>
        <x:v>1</x:v>
      </x:c>
      <x:c r="N28" t="n">
        <x:f>SUMIFS(Test_Runs!$J:$J,Test_Runs!$B:$B,A28,Test_Runs!$E:$E,B28)</x:f>
        <x:v>1</x:v>
      </x:c>
      <x:c r="O28" t="n">
        <x:f>IF(M28=0,"",N28/M28)</x:f>
        <x:v>1</x:v>
      </x:c>
      <x:c r="P28" t="n">
        <x:f>COUNTIFS(Test_Runs!$B:$B,A28,Test_Runs!$E:$E,B28,Test_Runs!$S:$S,"&gt;0")</x:f>
        <x:v>0</x:v>
      </x:c>
      <x:c r="Q28" t="n">
        <x:f>SUMIFS(Test_Runs!$S:$S,Test_Runs!$B:$B,A28,Test_Runs!$E:$E,B28)</x:f>
        <x:v>0</x:v>
      </x:c>
      <x:c r="R28" t="str">
        <x:f>IF(P28=0,"",Q28/P28)</x:f>
      </x:c>
      <x:c r="S28" t="e">
        <x:f>COUNTIFS(Test_Runs!$B:$B,A28,Test_Runs!$E:$E,B28,Test_Runs!$O:$O,"&gt;0")</x:f>
        <x:v>#VALUE!</x:v>
      </x:c>
      <x:c r="T28" t="e">
        <x:f>SUMIFS(Test_Runs!$O:$O,Test_Runs!$B:$B,A28,Test_Runs!$E:$E,B28)</x:f>
        <x:v>#VALUE!</x:v>
      </x:c>
      <x:c r="U28" t="e">
        <x:f>IF(S28=0,"",T28/S28)</x:f>
        <x:v>#VALUE!</x:v>
      </x:c>
      <x:c r="V28" t="n">
        <x:f>IFERROR(INDEX(Benchmark_Versions!$I:$I,MATCH(B28,Benchmark_Versions!$A:$A,0)),1)</x:f>
        <x:v>1</x:v>
      </x:c>
      <x:c r="W28" t="n">
        <x:f>IF(F28="","",F28*V28)</x:f>
        <x:v>28</x:v>
      </x:c>
      <x:c r="X28" t="n">
        <x:f>IF(OR(W28="",W28=0,O28=""),"",O28/W28)</x:f>
        <x:v>0.03571428571428571</x:v>
      </x:c>
      <x:c r="Y28" t="n">
        <x:f>IF(OR(W28="",O28="",O28=0),"",W28/O28)</x:f>
        <x:v>28</x:v>
      </x:c>
      <x:c r="Z28" t="str">
        <x:f>IF(OR(W28="",R28="",R28=0),"",W28/R28)</x:f>
      </x:c>
    </x:row>
    <x:row r="29">
      <x:c r="A29" t="inlineStr">
        <x:is>
          <x:t xml:space="preserve">anthropic|claude-sonnet-5|non-reasoning|nonreasoning|fallback-na</x:t>
        </x:is>
      </x:c>
      <x:c r="B29" t="inlineStr">
        <x:is>
          <x:t xml:space="preserve">AA|v4.3.2</x:t>
        </x:is>
      </x:c>
      <x:c r="C29" t="n">
        <x:f>COUNTIFS(Test_Runs!$B:$B,A29,Test_Runs!$E:$E,B29,Test_Runs!$H:$H,"&gt;=0")</x:f>
        <x:v>1</x:v>
      </x:c>
      <x:c r="D29" t="n">
        <x:f>SUMIFS(Test_Runs!$H:$H,Test_Runs!$B:$B,A29,Test_Runs!$E:$E,B29)</x:f>
        <x:v>29</x:v>
      </x:c>
      <x:c r="E29" t="n">
        <x:f>SUMIFS(Test_Runs!$I:$I,Test_Runs!$B:$B,A29,Test_Runs!$E:$E,B29)</x:f>
        <x:v>841</x:v>
      </x:c>
      <x:c r="F29" t="n">
        <x:f>IF(C29=0,"",D29/C29)</x:f>
        <x:v>29</x:v>
      </x:c>
      <x:c r="G29" t="n">
        <x:f>IF(C29&lt;2,0,SQRT(MAX(0,(E29-(D29*D29/C29))/(C29-1))))</x:f>
        <x:v>0</x:v>
      </x:c>
      <x:c r="H29" t="n">
        <x:f>IF(C29=0,"",IF(C29=1,F29,_xlfn.AGGREGATE(15,6,(Test_Runs!$H$2:$H$144/((Test_Runs!$B$2:$B$144=A29)*(Test_Runs!$E$2:$E$144=B29))),1)))</x:f>
        <x:v>29</x:v>
      </x:c>
      <x:c r="I29" t="n">
        <x:f>IF(C29=0,"",IF(C29=1,F29,_xlfn.AGGREGATE(16,6,(Test_Runs!$H$2:$H$144/((Test_Runs!$B$2:$B$144=A29)*(Test_Runs!$E$2:$E$144=B29))),0.25)))</x:f>
        <x:v>29</x:v>
      </x:c>
      <x:c r="J29" t="n">
        <x:f>IF(C29=0,"",IF(C29=1,F29,_xlfn.AGGREGATE(12,6,(Test_Runs!$H$2:$H$144/((Test_Runs!$B$2:$B$144=A29)*(Test_Runs!$E$2:$E$144=B29))))))</x:f>
        <x:v>29</x:v>
      </x:c>
      <x:c r="K29" t="n">
        <x:f>IF(C29=0,"",IF(C29=1,F29,_xlfn.AGGREGATE(16,6,(Test_Runs!$H$2:$H$144/((Test_Runs!$B$2:$B$144=A29)*(Test_Runs!$E$2:$E$144=B29))),0.75)))</x:f>
        <x:v>29</x:v>
      </x:c>
      <x:c r="L29" t="n">
        <x:f>IF(C29=0,"",_xlfn.MAXIFS(Test_Runs!$H:$H,Test_Runs!$B:$B,A29,Test_Runs!$E:$E,B29))</x:f>
        <x:v>29</x:v>
      </x:c>
      <x:c r="M29" t="n">
        <x:f>COUNTIFS(Test_Runs!$B:$B,A29,Test_Runs!$E:$E,B29,Test_Runs!$J:$J,"&gt;0")</x:f>
        <x:v>0</x:v>
      </x:c>
      <x:c r="N29" t="n">
        <x:f>SUMIFS(Test_Runs!$J:$J,Test_Runs!$B:$B,A29,Test_Runs!$E:$E,B29)</x:f>
        <x:v>0</x:v>
      </x:c>
      <x:c r="O29" t="str">
        <x:f>IF(M29=0,"",N29/M29)</x:f>
      </x:c>
      <x:c r="P29" t="n">
        <x:f>COUNTIFS(Test_Runs!$B:$B,A29,Test_Runs!$E:$E,B29,Test_Runs!$S:$S,"&gt;0")</x:f>
        <x:v>0</x:v>
      </x:c>
      <x:c r="Q29" t="n">
        <x:f>SUMIFS(Test_Runs!$S:$S,Test_Runs!$B:$B,A29,Test_Runs!$E:$E,B29)</x:f>
        <x:v>0</x:v>
      </x:c>
      <x:c r="R29" t="str">
        <x:f>IF(P29=0,"",Q29/P29)</x:f>
      </x:c>
      <x:c r="S29" t="e">
        <x:f>COUNTIFS(Test_Runs!$B:$B,A29,Test_Runs!$E:$E,B29,Test_Runs!$O:$O,"&gt;0")</x:f>
        <x:v>#VALUE!</x:v>
      </x:c>
      <x:c r="T29" t="e">
        <x:f>SUMIFS(Test_Runs!$O:$O,Test_Runs!$B:$B,A29,Test_Runs!$E:$E,B29)</x:f>
        <x:v>#VALUE!</x:v>
      </x:c>
      <x:c r="U29" t="e">
        <x:f>IF(S29=0,"",T29/S29)</x:f>
        <x:v>#VALUE!</x:v>
      </x:c>
      <x:c r="V29" t="n">
        <x:f>IFERROR(INDEX(Benchmark_Versions!$I:$I,MATCH(B29,Benchmark_Versions!$A:$A,0)),1)</x:f>
        <x:v>1</x:v>
      </x:c>
      <x:c r="W29" t="n">
        <x:f>IF(F29="","",F29*V29)</x:f>
        <x:v>29</x:v>
      </x:c>
      <x:c r="X29" t="str">
        <x:f>IF(OR(W29="",W29=0,O29=""),"",O29/W29)</x:f>
      </x:c>
      <x:c r="Y29" t="str">
        <x:f>IF(OR(W29="",O29="",O29=0),"",W29/O29)</x:f>
      </x:c>
      <x:c r="Z29" t="str">
        <x:f>IF(OR(W29="",R29="",R29=0),"",W29/R29)</x:f>
      </x:c>
    </x:row>
    <x:row r="30">
      <x:c r="A30" t="inlineStr">
        <x:is>
          <x:t xml:space="preserve">anthropic|claude-sonnet-5|xhigh|reasoning|fallback-na</x:t>
        </x:is>
      </x:c>
      <x:c r="B30" t="inlineStr">
        <x:is>
          <x:t xml:space="preserve">AA|v4.3.2</x:t>
        </x:is>
      </x:c>
      <x:c r="C30" t="n">
        <x:f>COUNTIFS(Test_Runs!$B:$B,A30,Test_Runs!$E:$E,B30,Test_Runs!$H:$H,"&gt;=0")</x:f>
        <x:v>1</x:v>
      </x:c>
      <x:c r="D30" t="n">
        <x:f>SUMIFS(Test_Runs!$H:$H,Test_Runs!$B:$B,A30,Test_Runs!$E:$E,B30)</x:f>
        <x:v>0</x:v>
      </x:c>
      <x:c r="E30" t="n">
        <x:f>SUMIFS(Test_Runs!$I:$I,Test_Runs!$B:$B,A30,Test_Runs!$E:$E,B30)</x:f>
        <x:v>0</x:v>
      </x:c>
      <x:c r="F30" t="n">
        <x:f>IF(C30=0,"",D30/C30)</x:f>
        <x:v>0</x:v>
      </x:c>
      <x:c r="G30" t="n">
        <x:f>IF(C30&lt;2,0,SQRT(MAX(0,(E30-(D30*D30/C30))/(C30-1))))</x:f>
        <x:v>0</x:v>
      </x:c>
      <x:c r="H30" t="n">
        <x:f>IF(C30=0,"",IF(C30=1,F30,_xlfn.AGGREGATE(15,6,(Test_Runs!$H$2:$H$144/((Test_Runs!$B$2:$B$144=A30)*(Test_Runs!$E$2:$E$144=B30))),1)))</x:f>
        <x:v>0</x:v>
      </x:c>
      <x:c r="I30" t="n">
        <x:f>IF(C30=0,"",IF(C30=1,F30,_xlfn.AGGREGATE(16,6,(Test_Runs!$H$2:$H$144/((Test_Runs!$B$2:$B$144=A30)*(Test_Runs!$E$2:$E$144=B30))),0.25)))</x:f>
        <x:v>0</x:v>
      </x:c>
      <x:c r="J30" t="n">
        <x:f>IF(C30=0,"",IF(C30=1,F30,_xlfn.AGGREGATE(12,6,(Test_Runs!$H$2:$H$144/((Test_Runs!$B$2:$B$144=A30)*(Test_Runs!$E$2:$E$144=B30))))))</x:f>
        <x:v>0</x:v>
      </x:c>
      <x:c r="K30" t="n">
        <x:f>IF(C30=0,"",IF(C30=1,F30,_xlfn.AGGREGATE(16,6,(Test_Runs!$H$2:$H$144/((Test_Runs!$B$2:$B$144=A30)*(Test_Runs!$E$2:$E$144=B30))),0.75)))</x:f>
        <x:v>0</x:v>
      </x:c>
      <x:c r="L30" t="n">
        <x:f>IF(C30=0,"",_xlfn.MAXIFS(Test_Runs!$H:$H,Test_Runs!$B:$B,A30,Test_Runs!$E:$E,B30))</x:f>
        <x:v>0</x:v>
      </x:c>
      <x:c r="M30" t="n">
        <x:f>COUNTIFS(Test_Runs!$B:$B,A30,Test_Runs!$E:$E,B30,Test_Runs!$J:$J,"&gt;0")</x:f>
        <x:v>0</x:v>
      </x:c>
      <x:c r="N30" t="n">
        <x:f>SUMIFS(Test_Runs!$J:$J,Test_Runs!$B:$B,A30,Test_Runs!$E:$E,B30)</x:f>
        <x:v>0</x:v>
      </x:c>
      <x:c r="O30" t="str">
        <x:f>IF(M30=0,"",N30/M30)</x:f>
      </x:c>
      <x:c r="P30" t="n">
        <x:f>COUNTIFS(Test_Runs!$B:$B,A30,Test_Runs!$E:$E,B30,Test_Runs!$S:$S,"&gt;0")</x:f>
        <x:v>0</x:v>
      </x:c>
      <x:c r="Q30" t="n">
        <x:f>SUMIFS(Test_Runs!$S:$S,Test_Runs!$B:$B,A30,Test_Runs!$E:$E,B30)</x:f>
        <x:v>0</x:v>
      </x:c>
      <x:c r="R30" t="str">
        <x:f>IF(P30=0,"",Q30/P30)</x:f>
      </x:c>
      <x:c r="S30" t="e">
        <x:f>COUNTIFS(Test_Runs!$B:$B,A30,Test_Runs!$E:$E,B30,Test_Runs!$O:$O,"&gt;0")</x:f>
        <x:v>#VALUE!</x:v>
      </x:c>
      <x:c r="T30" t="e">
        <x:f>SUMIFS(Test_Runs!$O:$O,Test_Runs!$B:$B,A30,Test_Runs!$E:$E,B30)</x:f>
        <x:v>#VALUE!</x:v>
      </x:c>
      <x:c r="U30" t="e">
        <x:f>IF(S30=0,"",T30/S30)</x:f>
        <x:v>#VALUE!</x:v>
      </x:c>
      <x:c r="V30" t="n">
        <x:f>IFERROR(INDEX(Benchmark_Versions!$I:$I,MATCH(B30,Benchmark_Versions!$A:$A,0)),1)</x:f>
        <x:v>1</x:v>
      </x:c>
      <x:c r="W30" t="str">
        <x:f>IF(F30="","",F30*V30)</x:f>
      </x:c>
      <x:c r="X30" t="str">
        <x:f>IF(OR(W30="",W30=0,O30=""),"",O30/W30)</x:f>
      </x:c>
      <x:c r="Y30" t="str">
        <x:f>IF(OR(W30="",O30="",O30=0),"",W30/O30)</x:f>
      </x:c>
      <x:c r="Z30" t="str">
        <x:f>IF(OR(W30="",R30="",R30=0),"",W30/R30)</x:f>
      </x:c>
    </x:row>
    <x:row r="31">
      <x:c r="A31" t="inlineStr">
        <x:is>
          <x:t xml:space="preserve">deepseek|deepseek-v4.1-flash|max|reasoning|fallback-na</x:t>
        </x:is>
      </x:c>
      <x:c r="B31" t="inlineStr">
        <x:is>
          <x:t xml:space="preserve">AA|v4.3.2</x:t>
        </x:is>
      </x:c>
      <x:c r="C31" t="n">
        <x:f>COUNTIFS(Test_Runs!$B:$B,A31,Test_Runs!$E:$E,B31,Test_Runs!$H:$H,"&gt;=0")</x:f>
        <x:v>2</x:v>
      </x:c>
      <x:c r="D31" t="n">
        <x:f>SUMIFS(Test_Runs!$H:$H,Test_Runs!$B:$B,A31,Test_Runs!$E:$E,B31)</x:f>
        <x:v>78</x:v>
      </x:c>
      <x:c r="E31" t="n">
        <x:f>SUMIFS(Test_Runs!$I:$I,Test_Runs!$B:$B,A31,Test_Runs!$E:$E,B31)</x:f>
        <x:v>3042</x:v>
      </x:c>
      <x:c r="F31" t="n">
        <x:f>IF(C31=0,"",D31/C31)</x:f>
        <x:v>39</x:v>
      </x:c>
      <x:c r="G31" t="n">
        <x:f>IF(C31&lt;2,0,SQRT(MAX(0,(E31-(D31*D31/C31))/(C31-1))))</x:f>
        <x:v>0</x:v>
      </x:c>
      <x:c r="H31" t="n">
        <x:f>IF(C31=0,"",IF(C31=1,F31,_xlfn.AGGREGATE(15,6,(Test_Runs!$H$2:$H$144/((Test_Runs!$B$2:$B$144=A31)*(Test_Runs!$E$2:$E$144=B31))),1)))</x:f>
        <x:v>0</x:v>
      </x:c>
      <x:c r="I31" t="n">
        <x:f>IF(C31=0,"",IF(C31=1,F31,_xlfn.AGGREGATE(16,6,(Test_Runs!$H$2:$H$144/((Test_Runs!$B$2:$B$144=A31)*(Test_Runs!$E$2:$E$144=B31))),0.25)))</x:f>
        <x:v>0</x:v>
      </x:c>
      <x:c r="J31" t="str">
        <x:f>IF(C31=0,"",IF(C31=1,F31,_xlfn.AGGREGATE(12,6,(Test_Runs!$H$2:$H$144/((Test_Runs!$B$2:$B$144=A31)*(Test_Runs!$E$2:$E$144=B31))))))</x:f>
      </x:c>
      <x:c r="K31" t="n">
        <x:f>IF(C31=0,"",IF(C31=1,F31,_xlfn.AGGREGATE(16,6,(Test_Runs!$H$2:$H$144/((Test_Runs!$B$2:$B$144=A31)*(Test_Runs!$E$2:$E$144=B31))),0.75)))</x:f>
        <x:v>0</x:v>
      </x:c>
      <x:c r="L31" t="n">
        <x:f>IF(C31=0,"",_xlfn.MAXIFS(Test_Runs!$H:$H,Test_Runs!$B:$B,A31,Test_Runs!$E:$E,B31))</x:f>
        <x:v>39</x:v>
      </x:c>
      <x:c r="M31" t="n">
        <x:f>COUNTIFS(Test_Runs!$B:$B,A31,Test_Runs!$E:$E,B31,Test_Runs!$J:$J,"&gt;0")</x:f>
        <x:v>2</x:v>
      </x:c>
      <x:c r="N31" t="n">
        <x:f>SUMIFS(Test_Runs!$J:$J,Test_Runs!$B:$B,A31,Test_Runs!$E:$E,B31)</x:f>
        <x:v>0.54</x:v>
      </x:c>
      <x:c r="O31" t="n">
        <x:f>IF(M31=0,"",N31/M31)</x:f>
        <x:v>0.27</x:v>
      </x:c>
      <x:c r="P31" t="n">
        <x:f>COUNTIFS(Test_Runs!$B:$B,A31,Test_Runs!$E:$E,B31,Test_Runs!$S:$S,"&gt;0")</x:f>
        <x:v>0</x:v>
      </x:c>
      <x:c r="Q31" t="n">
        <x:f>SUMIFS(Test_Runs!$S:$S,Test_Runs!$B:$B,A31,Test_Runs!$E:$E,B31)</x:f>
        <x:v>0</x:v>
      </x:c>
      <x:c r="R31" t="str">
        <x:f>IF(P31=0,"",Q31/P31)</x:f>
      </x:c>
      <x:c r="S31" t="e">
        <x:f>COUNTIFS(Test_Runs!$B:$B,A31,Test_Runs!$E:$E,B31,Test_Runs!$O:$O,"&gt;0")</x:f>
        <x:v>#VALUE!</x:v>
      </x:c>
      <x:c r="T31" t="e">
        <x:f>SUMIFS(Test_Runs!$O:$O,Test_Runs!$B:$B,A31,Test_Runs!$E:$E,B31)</x:f>
        <x:v>#VALUE!</x:v>
      </x:c>
      <x:c r="U31" t="e">
        <x:f>IF(S31=0,"",T31/S31)</x:f>
        <x:v>#VALUE!</x:v>
      </x:c>
      <x:c r="V31" t="n">
        <x:f>IFERROR(INDEX(Benchmark_Versions!$I:$I,MATCH(B31,Benchmark_Versions!$A:$A,0)),1)</x:f>
        <x:v>1</x:v>
      </x:c>
      <x:c r="W31" t="n">
        <x:f>IF(F31="","",F31*V31)</x:f>
        <x:v>39</x:v>
      </x:c>
      <x:c r="X31" t="n">
        <x:f>IF(OR(W31="",W31=0,O31=""),"",O31/W31)</x:f>
        <x:v>0.006923076923076923</x:v>
      </x:c>
      <x:c r="Y31" t="n">
        <x:f>IF(OR(W31="",O31="",O31=0),"",W31/O31)</x:f>
        <x:v>144.44444444444443</x:v>
      </x:c>
      <x:c r="Z31" t="str">
        <x:f>IF(OR(W31="",R31="",R31=0),"",W31/R31)</x:f>
      </x:c>
    </x:row>
    <x:row r="32">
      <x:c r="A32" t="inlineStr">
        <x:is>
          <x:t xml:space="preserve">deepseek|deepseek-v4.1-flash|non-reasoning|nonreasoning|fallback-na</x:t>
        </x:is>
      </x:c>
      <x:c r="B32" t="inlineStr">
        <x:is>
          <x:t xml:space="preserve">AA|v4.3.2</x:t>
        </x:is>
      </x:c>
      <x:c r="C32" t="n">
        <x:f>COUNTIFS(Test_Runs!$B:$B,A32,Test_Runs!$E:$E,B32,Test_Runs!$H:$H,"&gt;=0")</x:f>
        <x:v>2</x:v>
      </x:c>
      <x:c r="D32" t="n">
        <x:f>SUMIFS(Test_Runs!$H:$H,Test_Runs!$B:$B,A32,Test_Runs!$E:$E,B32)</x:f>
        <x:v>50</x:v>
      </x:c>
      <x:c r="E32" t="n">
        <x:f>SUMIFS(Test_Runs!$I:$I,Test_Runs!$B:$B,A32,Test_Runs!$E:$E,B32)</x:f>
        <x:v>1250</x:v>
      </x:c>
      <x:c r="F32" t="n">
        <x:f>IF(C32=0,"",D32/C32)</x:f>
        <x:v>25</x:v>
      </x:c>
      <x:c r="G32" t="n">
        <x:f>IF(C32&lt;2,0,SQRT(MAX(0,(E32-(D32*D32/C32))/(C32-1))))</x:f>
        <x:v>0</x:v>
      </x:c>
      <x:c r="H32" t="n">
        <x:f>IF(C32=0,"",IF(C32=1,F32,_xlfn.AGGREGATE(15,6,(Test_Runs!$H$2:$H$144/((Test_Runs!$B$2:$B$144=A32)*(Test_Runs!$E$2:$E$144=B32))),1)))</x:f>
        <x:v>0</x:v>
      </x:c>
      <x:c r="I32" t="n">
        <x:f>IF(C32=0,"",IF(C32=1,F32,_xlfn.AGGREGATE(16,6,(Test_Runs!$H$2:$H$144/((Test_Runs!$B$2:$B$144=A32)*(Test_Runs!$E$2:$E$144=B32))),0.25)))</x:f>
        <x:v>0</x:v>
      </x:c>
      <x:c r="J32" t="str">
        <x:f>IF(C32=0,"",IF(C32=1,F32,_xlfn.AGGREGATE(12,6,(Test_Runs!$H$2:$H$144/((Test_Runs!$B$2:$B$144=A32)*(Test_Runs!$E$2:$E$144=B32))))))</x:f>
      </x:c>
      <x:c r="K32" t="n">
        <x:f>IF(C32=0,"",IF(C32=1,F32,_xlfn.AGGREGATE(16,6,(Test_Runs!$H$2:$H$144/((Test_Runs!$B$2:$B$144=A32)*(Test_Runs!$E$2:$E$144=B32))),0.75)))</x:f>
        <x:v>0</x:v>
      </x:c>
      <x:c r="L32" t="n">
        <x:f>IF(C32=0,"",_xlfn.MAXIFS(Test_Runs!$H:$H,Test_Runs!$B:$B,A32,Test_Runs!$E:$E,B32))</x:f>
        <x:v>25</x:v>
      </x:c>
      <x:c r="M32" t="n">
        <x:f>COUNTIFS(Test_Runs!$B:$B,A32,Test_Runs!$E:$E,B32,Test_Runs!$J:$J,"&gt;0")</x:f>
        <x:v>2</x:v>
      </x:c>
      <x:c r="N32" t="n">
        <x:f>SUMIFS(Test_Runs!$J:$J,Test_Runs!$B:$B,A32,Test_Runs!$E:$E,B32)</x:f>
        <x:v>0.3</x:v>
      </x:c>
      <x:c r="O32" t="n">
        <x:f>IF(M32=0,"",N32/M32)</x:f>
        <x:v>0.15</x:v>
      </x:c>
      <x:c r="P32" t="n">
        <x:f>COUNTIFS(Test_Runs!$B:$B,A32,Test_Runs!$E:$E,B32,Test_Runs!$S:$S,"&gt;0")</x:f>
        <x:v>0</x:v>
      </x:c>
      <x:c r="Q32" t="n">
        <x:f>SUMIFS(Test_Runs!$S:$S,Test_Runs!$B:$B,A32,Test_Runs!$E:$E,B32)</x:f>
        <x:v>0</x:v>
      </x:c>
      <x:c r="R32" t="str">
        <x:f>IF(P32=0,"",Q32/P32)</x:f>
      </x:c>
      <x:c r="S32" t="e">
        <x:f>COUNTIFS(Test_Runs!$B:$B,A32,Test_Runs!$E:$E,B32,Test_Runs!$O:$O,"&gt;0")</x:f>
        <x:v>#VALUE!</x:v>
      </x:c>
      <x:c r="T32" t="e">
        <x:f>SUMIFS(Test_Runs!$O:$O,Test_Runs!$B:$B,A32,Test_Runs!$E:$E,B32)</x:f>
        <x:v>#VALUE!</x:v>
      </x:c>
      <x:c r="U32" t="e">
        <x:f>IF(S32=0,"",T32/S32)</x:f>
        <x:v>#VALUE!</x:v>
      </x:c>
      <x:c r="V32" t="n">
        <x:f>IFERROR(INDEX(Benchmark_Versions!$I:$I,MATCH(B32,Benchmark_Versions!$A:$A,0)),1)</x:f>
        <x:v>1</x:v>
      </x:c>
      <x:c r="W32" t="n">
        <x:f>IF(F32="","",F32*V32)</x:f>
        <x:v>25</x:v>
      </x:c>
      <x:c r="X32" t="n">
        <x:f>IF(OR(W32="",W32=0,O32=""),"",O32/W32)</x:f>
        <x:v>0.006</x:v>
      </x:c>
      <x:c r="Y32" t="n">
        <x:f>IF(OR(W32="",O32="",O32=0),"",W32/O32)</x:f>
        <x:v>166.66666666666669</x:v>
      </x:c>
      <x:c r="Z32" t="str">
        <x:f>IF(OR(W32="",R32="",R32=0),"",W32/R32)</x:f>
      </x:c>
    </x:row>
    <x:row r="33">
      <x:c r="A33" t="inlineStr">
        <x:is>
          <x:t xml:space="preserve">google|gemini-3.8-flash|high|reasoning|fallback-na</x:t>
        </x:is>
      </x:c>
      <x:c r="B33" t="inlineStr">
        <x:is>
          <x:t xml:space="preserve">AA|v4.3.2</x:t>
        </x:is>
      </x:c>
      <x:c r="C33" t="n">
        <x:f>COUNTIFS(Test_Runs!$B:$B,A33,Test_Runs!$E:$E,B33,Test_Runs!$H:$H,"&gt;=0")</x:f>
        <x:v>2</x:v>
      </x:c>
      <x:c r="D33" t="n">
        <x:f>SUMIFS(Test_Runs!$H:$H,Test_Runs!$B:$B,A33,Test_Runs!$E:$E,B33)</x:f>
        <x:v>82</x:v>
      </x:c>
      <x:c r="E33" t="n">
        <x:f>SUMIFS(Test_Runs!$I:$I,Test_Runs!$B:$B,A33,Test_Runs!$E:$E,B33)</x:f>
        <x:v>3362</x:v>
      </x:c>
      <x:c r="F33" t="n">
        <x:f>IF(C33=0,"",D33/C33)</x:f>
        <x:v>41</x:v>
      </x:c>
      <x:c r="G33" t="n">
        <x:f>IF(C33&lt;2,0,SQRT(MAX(0,(E33-(D33*D33/C33))/(C33-1))))</x:f>
        <x:v>0</x:v>
      </x:c>
      <x:c r="H33" t="n">
        <x:f>IF(C33=0,"",IF(C33=1,F33,_xlfn.AGGREGATE(15,6,(Test_Runs!$H$2:$H$144/((Test_Runs!$B$2:$B$144=A33)*(Test_Runs!$E$2:$E$144=B33))),1)))</x:f>
        <x:v>0</x:v>
      </x:c>
      <x:c r="I33" t="n">
        <x:f>IF(C33=0,"",IF(C33=1,F33,_xlfn.AGGREGATE(16,6,(Test_Runs!$H$2:$H$144/((Test_Runs!$B$2:$B$144=A33)*(Test_Runs!$E$2:$E$144=B33))),0.25)))</x:f>
        <x:v>0</x:v>
      </x:c>
      <x:c r="J33" t="str">
        <x:f>IF(C33=0,"",IF(C33=1,F33,_xlfn.AGGREGATE(12,6,(Test_Runs!$H$2:$H$144/((Test_Runs!$B$2:$B$144=A33)*(Test_Runs!$E$2:$E$144=B33))))))</x:f>
      </x:c>
      <x:c r="K33" t="n">
        <x:f>IF(C33=0,"",IF(C33=1,F33,_xlfn.AGGREGATE(16,6,(Test_Runs!$H$2:$H$144/((Test_Runs!$B$2:$B$144=A33)*(Test_Runs!$E$2:$E$144=B33))),0.75)))</x:f>
        <x:v>0</x:v>
      </x:c>
      <x:c r="L33" t="n">
        <x:f>IF(C33=0,"",_xlfn.MAXIFS(Test_Runs!$H:$H,Test_Runs!$B:$B,A33,Test_Runs!$E:$E,B33))</x:f>
        <x:v>41</x:v>
      </x:c>
      <x:c r="M33" t="n">
        <x:f>COUNTIFS(Test_Runs!$B:$B,A33,Test_Runs!$E:$E,B33,Test_Runs!$J:$J,"&gt;0")</x:f>
        <x:v>2</x:v>
      </x:c>
      <x:c r="N33" t="n">
        <x:f>SUMIFS(Test_Runs!$J:$J,Test_Runs!$B:$B,A33,Test_Runs!$E:$E,B33)</x:f>
        <x:v>2.48</x:v>
      </x:c>
      <x:c r="O33" t="n">
        <x:f>IF(M33=0,"",N33/M33)</x:f>
        <x:v>1.24</x:v>
      </x:c>
      <x:c r="P33" t="n">
        <x:f>COUNTIFS(Test_Runs!$B:$B,A33,Test_Runs!$E:$E,B33,Test_Runs!$S:$S,"&gt;0")</x:f>
        <x:v>2</x:v>
      </x:c>
      <x:c r="Q33" t="n">
        <x:f>SUMIFS(Test_Runs!$S:$S,Test_Runs!$B:$B,A33,Test_Runs!$E:$E,B33)</x:f>
        <x:v>705.2720893441367</x:v>
      </x:c>
      <x:c r="R33" t="n">
        <x:f>IF(P33=0,"",Q33/P33)</x:f>
        <x:v>352.63604467206835</x:v>
      </x:c>
      <x:c r="S33" t="e">
        <x:f>COUNTIFS(Test_Runs!$B:$B,A33,Test_Runs!$E:$E,B33,Test_Runs!$O:$O,"&gt;0")</x:f>
        <x:v>#VALUE!</x:v>
      </x:c>
      <x:c r="T33" t="e">
        <x:f>SUMIFS(Test_Runs!$O:$O,Test_Runs!$B:$B,A33,Test_Runs!$E:$E,B33)</x:f>
        <x:v>#VALUE!</x:v>
      </x:c>
      <x:c r="U33" t="e">
        <x:f>IF(S33=0,"",T33/S33)</x:f>
        <x:v>#VALUE!</x:v>
      </x:c>
      <x:c r="V33" t="n">
        <x:f>IFERROR(INDEX(Benchmark_Versions!$I:$I,MATCH(B33,Benchmark_Versions!$A:$A,0)),1)</x:f>
        <x:v>1</x:v>
      </x:c>
      <x:c r="W33" t="n">
        <x:f>IF(F33="","",F33*V33)</x:f>
        <x:v>41</x:v>
      </x:c>
      <x:c r="X33" t="n">
        <x:f>IF(OR(W33="",W33=0,O33=""),"",O33/W33)</x:f>
        <x:v>0.03024390243902439</x:v>
      </x:c>
      <x:c r="Y33" t="n">
        <x:f>IF(OR(W33="",O33="",O33=0),"",W33/O33)</x:f>
        <x:v>33.064516129032256</x:v>
      </x:c>
      <x:c r="Z33" t="n">
        <x:f>IF(OR(W33="",R33="",R33=0),"",W33/R33)</x:f>
        <x:v>0.11626718430932859</x:v>
      </x:c>
    </x:row>
    <x:row r="34">
      <x:c r="A34" t="inlineStr">
        <x:is>
          <x:t xml:space="preserve">google|gemini-3.8-flash|low|reasoning|fallback-na</x:t>
        </x:is>
      </x:c>
      <x:c r="B34" t="inlineStr">
        <x:is>
          <x:t xml:space="preserve">AA|v4.3.2</x:t>
        </x:is>
      </x:c>
      <x:c r="C34" t="n">
        <x:f>COUNTIFS(Test_Runs!$B:$B,A34,Test_Runs!$E:$E,B34,Test_Runs!$H:$H,"&gt;=0")</x:f>
        <x:v>2</x:v>
      </x:c>
      <x:c r="D34" t="n">
        <x:f>SUMIFS(Test_Runs!$H:$H,Test_Runs!$B:$B,A34,Test_Runs!$E:$E,B34)</x:f>
        <x:v>66</x:v>
      </x:c>
      <x:c r="E34" t="n">
        <x:f>SUMIFS(Test_Runs!$I:$I,Test_Runs!$B:$B,A34,Test_Runs!$E:$E,B34)</x:f>
        <x:v>2178</x:v>
      </x:c>
      <x:c r="F34" t="n">
        <x:f>IF(C34=0,"",D34/C34)</x:f>
        <x:v>33</x:v>
      </x:c>
      <x:c r="G34" t="n">
        <x:f>IF(C34&lt;2,0,SQRT(MAX(0,(E34-(D34*D34/C34))/(C34-1))))</x:f>
        <x:v>0</x:v>
      </x:c>
      <x:c r="H34" t="n">
        <x:f>IF(C34=0,"",IF(C34=1,F34,_xlfn.AGGREGATE(15,6,(Test_Runs!$H$2:$H$144/((Test_Runs!$B$2:$B$144=A34)*(Test_Runs!$E$2:$E$144=B34))),1)))</x:f>
        <x:v>0</x:v>
      </x:c>
      <x:c r="I34" t="n">
        <x:f>IF(C34=0,"",IF(C34=1,F34,_xlfn.AGGREGATE(16,6,(Test_Runs!$H$2:$H$144/((Test_Runs!$B$2:$B$144=A34)*(Test_Runs!$E$2:$E$144=B34))),0.25)))</x:f>
        <x:v>0</x:v>
      </x:c>
      <x:c r="J34" t="str">
        <x:f>IF(C34=0,"",IF(C34=1,F34,_xlfn.AGGREGATE(12,6,(Test_Runs!$H$2:$H$144/((Test_Runs!$B$2:$B$144=A34)*(Test_Runs!$E$2:$E$144=B34))))))</x:f>
      </x:c>
      <x:c r="K34" t="n">
        <x:f>IF(C34=0,"",IF(C34=1,F34,_xlfn.AGGREGATE(16,6,(Test_Runs!$H$2:$H$144/((Test_Runs!$B$2:$B$144=A34)*(Test_Runs!$E$2:$E$144=B34))),0.75)))</x:f>
        <x:v>0</x:v>
      </x:c>
      <x:c r="L34" t="n">
        <x:f>IF(C34=0,"",_xlfn.MAXIFS(Test_Runs!$H:$H,Test_Runs!$B:$B,A34,Test_Runs!$E:$E,B34))</x:f>
        <x:v>33</x:v>
      </x:c>
      <x:c r="M34" t="n">
        <x:f>COUNTIFS(Test_Runs!$B:$B,A34,Test_Runs!$E:$E,B34,Test_Runs!$J:$J,"&gt;0")</x:f>
        <x:v>0</x:v>
      </x:c>
      <x:c r="N34" t="n">
        <x:f>SUMIFS(Test_Runs!$J:$J,Test_Runs!$B:$B,A34,Test_Runs!$E:$E,B34)</x:f>
        <x:v>0</x:v>
      </x:c>
      <x:c r="O34" t="str">
        <x:f>IF(M34=0,"",N34/M34)</x:f>
      </x:c>
      <x:c r="P34" t="n">
        <x:f>COUNTIFS(Test_Runs!$B:$B,A34,Test_Runs!$E:$E,B34,Test_Runs!$S:$S,"&gt;0")</x:f>
        <x:v>0</x:v>
      </x:c>
      <x:c r="Q34" t="n">
        <x:f>SUMIFS(Test_Runs!$S:$S,Test_Runs!$B:$B,A34,Test_Runs!$E:$E,B34)</x:f>
        <x:v>0</x:v>
      </x:c>
      <x:c r="R34" t="str">
        <x:f>IF(P34=0,"",Q34/P34)</x:f>
      </x:c>
      <x:c r="S34" t="e">
        <x:f>COUNTIFS(Test_Runs!$B:$B,A34,Test_Runs!$E:$E,B34,Test_Runs!$O:$O,"&gt;0")</x:f>
        <x:v>#VALUE!</x:v>
      </x:c>
      <x:c r="T34" t="e">
        <x:f>SUMIFS(Test_Runs!$O:$O,Test_Runs!$B:$B,A34,Test_Runs!$E:$E,B34)</x:f>
        <x:v>#VALUE!</x:v>
      </x:c>
      <x:c r="U34" t="e">
        <x:f>IF(S34=0,"",T34/S34)</x:f>
        <x:v>#VALUE!</x:v>
      </x:c>
      <x:c r="V34" t="n">
        <x:f>IFERROR(INDEX(Benchmark_Versions!$I:$I,MATCH(B34,Benchmark_Versions!$A:$A,0)),1)</x:f>
        <x:v>1</x:v>
      </x:c>
      <x:c r="W34" t="n">
        <x:f>IF(F34="","",F34*V34)</x:f>
        <x:v>33</x:v>
      </x:c>
      <x:c r="X34" t="str">
        <x:f>IF(OR(W34="",W34=0,O34=""),"",O34/W34)</x:f>
      </x:c>
      <x:c r="Y34" t="str">
        <x:f>IF(OR(W34="",O34="",O34=0),"",W34/O34)</x:f>
      </x:c>
      <x:c r="Z34" t="str">
        <x:f>IF(OR(W34="",R34="",R34=0),"",W34/R34)</x:f>
      </x:c>
    </x:row>
    <x:row r="35">
      <x:c r="A35" t="inlineStr">
        <x:is>
          <x:t xml:space="preserve">google|gemini-3.8-flash|medium|reasoning|fallback-na</x:t>
        </x:is>
      </x:c>
      <x:c r="B35" t="inlineStr">
        <x:is>
          <x:t xml:space="preserve">AA|v4.3.2</x:t>
        </x:is>
      </x:c>
      <x:c r="C35" t="n">
        <x:f>COUNTIFS(Test_Runs!$B:$B,A35,Test_Runs!$E:$E,B35,Test_Runs!$H:$H,"&gt;=0")</x:f>
        <x:v>2</x:v>
      </x:c>
      <x:c r="D35" t="n">
        <x:f>SUMIFS(Test_Runs!$H:$H,Test_Runs!$B:$B,A35,Test_Runs!$E:$E,B35)</x:f>
        <x:v>80</x:v>
      </x:c>
      <x:c r="E35" t="n">
        <x:f>SUMIFS(Test_Runs!$I:$I,Test_Runs!$B:$B,A35,Test_Runs!$E:$E,B35)</x:f>
        <x:v>3200</x:v>
      </x:c>
      <x:c r="F35" t="n">
        <x:f>IF(C35=0,"",D35/C35)</x:f>
        <x:v>40</x:v>
      </x:c>
      <x:c r="G35" t="n">
        <x:f>IF(C35&lt;2,0,SQRT(MAX(0,(E35-(D35*D35/C35))/(C35-1))))</x:f>
        <x:v>0</x:v>
      </x:c>
      <x:c r="H35" t="n">
        <x:f>IF(C35=0,"",IF(C35=1,F35,_xlfn.AGGREGATE(15,6,(Test_Runs!$H$2:$H$144/((Test_Runs!$B$2:$B$144=A35)*(Test_Runs!$E$2:$E$144=B35))),1)))</x:f>
        <x:v>0</x:v>
      </x:c>
      <x:c r="I35" t="n">
        <x:f>IF(C35=0,"",IF(C35=1,F35,_xlfn.AGGREGATE(16,6,(Test_Runs!$H$2:$H$144/((Test_Runs!$B$2:$B$144=A35)*(Test_Runs!$E$2:$E$144=B35))),0.25)))</x:f>
        <x:v>0</x:v>
      </x:c>
      <x:c r="J35" t="str">
        <x:f>IF(C35=0,"",IF(C35=1,F35,_xlfn.AGGREGATE(12,6,(Test_Runs!$H$2:$H$144/((Test_Runs!$B$2:$B$144=A35)*(Test_Runs!$E$2:$E$144=B35))))))</x:f>
      </x:c>
      <x:c r="K35" t="n">
        <x:f>IF(C35=0,"",IF(C35=1,F35,_xlfn.AGGREGATE(16,6,(Test_Runs!$H$2:$H$144/((Test_Runs!$B$2:$B$144=A35)*(Test_Runs!$E$2:$E$144=B35))),0.75)))</x:f>
        <x:v>0</x:v>
      </x:c>
      <x:c r="L35" t="n">
        <x:f>IF(C35=0,"",_xlfn.MAXIFS(Test_Runs!$H:$H,Test_Runs!$B:$B,A35,Test_Runs!$E:$E,B35))</x:f>
        <x:v>40</x:v>
      </x:c>
      <x:c r="M35" t="n">
        <x:f>COUNTIFS(Test_Runs!$B:$B,A35,Test_Runs!$E:$E,B35,Test_Runs!$J:$J,"&gt;0")</x:f>
        <x:v>2</x:v>
      </x:c>
      <x:c r="N35" t="n">
        <x:f>SUMIFS(Test_Runs!$J:$J,Test_Runs!$B:$B,A35,Test_Runs!$E:$E,B35)</x:f>
        <x:v>1.86</x:v>
      </x:c>
      <x:c r="O35" t="n">
        <x:f>IF(M35=0,"",N35/M35)</x:f>
        <x:v>0.93</x:v>
      </x:c>
      <x:c r="P35" t="n">
        <x:f>COUNTIFS(Test_Runs!$B:$B,A35,Test_Runs!$E:$E,B35,Test_Runs!$S:$S,"&gt;0")</x:f>
        <x:v>0</x:v>
      </x:c>
      <x:c r="Q35" t="n">
        <x:f>SUMIFS(Test_Runs!$S:$S,Test_Runs!$B:$B,A35,Test_Runs!$E:$E,B35)</x:f>
        <x:v>0</x:v>
      </x:c>
      <x:c r="R35" t="str">
        <x:f>IF(P35=0,"",Q35/P35)</x:f>
      </x:c>
      <x:c r="S35" t="e">
        <x:f>COUNTIFS(Test_Runs!$B:$B,A35,Test_Runs!$E:$E,B35,Test_Runs!$O:$O,"&gt;0")</x:f>
        <x:v>#VALUE!</x:v>
      </x:c>
      <x:c r="T35" t="e">
        <x:f>SUMIFS(Test_Runs!$O:$O,Test_Runs!$B:$B,A35,Test_Runs!$E:$E,B35)</x:f>
        <x:v>#VALUE!</x:v>
      </x:c>
      <x:c r="U35" t="e">
        <x:f>IF(S35=0,"",T35/S35)</x:f>
        <x:v>#VALUE!</x:v>
      </x:c>
      <x:c r="V35" t="n">
        <x:f>IFERROR(INDEX(Benchmark_Versions!$I:$I,MATCH(B35,Benchmark_Versions!$A:$A,0)),1)</x:f>
        <x:v>1</x:v>
      </x:c>
      <x:c r="W35" t="n">
        <x:f>IF(F35="","",F35*V35)</x:f>
        <x:v>40</x:v>
      </x:c>
      <x:c r="X35" t="n">
        <x:f>IF(OR(W35="",W35=0,O35=""),"",O35/W35)</x:f>
        <x:v>0.02325</x:v>
      </x:c>
      <x:c r="Y35" t="n">
        <x:f>IF(OR(W35="",O35="",O35=0),"",W35/O35)</x:f>
        <x:v>43.01075268817204</x:v>
      </x:c>
      <x:c r="Z35" t="str">
        <x:f>IF(OR(W35="",R35="",R35=0),"",W35/R35)</x:f>
      </x:c>
    </x:row>
    <x:row r="36">
      <x:c r="A36" t="inlineStr">
        <x:is>
          <x:t xml:space="preserve">kimi|kimi-k3|max|reasoning|fallback-na</x:t>
        </x:is>
      </x:c>
      <x:c r="B36" t="inlineStr">
        <x:is>
          <x:t xml:space="preserve">AA|v4.3.2</x:t>
        </x:is>
      </x:c>
      <x:c r="C36" t="n">
        <x:f>COUNTIFS(Test_Runs!$B:$B,A36,Test_Runs!$E:$E,B36,Test_Runs!$H:$H,"&gt;=0")</x:f>
        <x:v>1</x:v>
      </x:c>
      <x:c r="D36" t="n">
        <x:f>SUMIFS(Test_Runs!$H:$H,Test_Runs!$B:$B,A36,Test_Runs!$E:$E,B36)</x:f>
        <x:v>44</x:v>
      </x:c>
      <x:c r="E36" t="n">
        <x:f>SUMIFS(Test_Runs!$I:$I,Test_Runs!$B:$B,A36,Test_Runs!$E:$E,B36)</x:f>
        <x:v>1936</x:v>
      </x:c>
      <x:c r="F36" t="n">
        <x:f>IF(C36=0,"",D36/C36)</x:f>
        <x:v>44</x:v>
      </x:c>
      <x:c r="G36" t="n">
        <x:f>IF(C36&lt;2,0,SQRT(MAX(0,(E36-(D36*D36/C36))/(C36-1))))</x:f>
        <x:v>0</x:v>
      </x:c>
      <x:c r="H36" t="n">
        <x:f>IF(C36=0,"",IF(C36=1,F36,_xlfn.AGGREGATE(15,6,(Test_Runs!$H$2:$H$144/((Test_Runs!$B$2:$B$144=A36)*(Test_Runs!$E$2:$E$144=B36))),1)))</x:f>
        <x:v>44</x:v>
      </x:c>
      <x:c r="I36" t="n">
        <x:f>IF(C36=0,"",IF(C36=1,F36,_xlfn.AGGREGATE(16,6,(Test_Runs!$H$2:$H$144/((Test_Runs!$B$2:$B$144=A36)*(Test_Runs!$E$2:$E$144=B36))),0.25)))</x:f>
        <x:v>44</x:v>
      </x:c>
      <x:c r="J36" t="n">
        <x:f>IF(C36=0,"",IF(C36=1,F36,_xlfn.AGGREGATE(12,6,(Test_Runs!$H$2:$H$144/((Test_Runs!$B$2:$B$144=A36)*(Test_Runs!$E$2:$E$144=B36))))))</x:f>
        <x:v>44</x:v>
      </x:c>
      <x:c r="K36" t="n">
        <x:f>IF(C36=0,"",IF(C36=1,F36,_xlfn.AGGREGATE(16,6,(Test_Runs!$H$2:$H$144/((Test_Runs!$B$2:$B$144=A36)*(Test_Runs!$E$2:$E$144=B36))),0.75)))</x:f>
        <x:v>44</x:v>
      </x:c>
      <x:c r="L36" t="n">
        <x:f>IF(C36=0,"",_xlfn.MAXIFS(Test_Runs!$H:$H,Test_Runs!$B:$B,A36,Test_Runs!$E:$E,B36))</x:f>
        <x:v>44</x:v>
      </x:c>
      <x:c r="M36" t="n">
        <x:f>COUNTIFS(Test_Runs!$B:$B,A36,Test_Runs!$E:$E,B36,Test_Runs!$J:$J,"&gt;0")</x:f>
        <x:v>1</x:v>
      </x:c>
      <x:c r="N36" t="n">
        <x:f>SUMIFS(Test_Runs!$J:$J,Test_Runs!$B:$B,A36,Test_Runs!$E:$E,B36)</x:f>
        <x:v>2</x:v>
      </x:c>
      <x:c r="O36" t="n">
        <x:f>IF(M36=0,"",N36/M36)</x:f>
        <x:v>2</x:v>
      </x:c>
      <x:c r="P36" t="n">
        <x:f>COUNTIFS(Test_Runs!$B:$B,A36,Test_Runs!$E:$E,B36,Test_Runs!$S:$S,"&gt;0")</x:f>
        <x:v>0</x:v>
      </x:c>
      <x:c r="Q36" t="n">
        <x:f>SUMIFS(Test_Runs!$S:$S,Test_Runs!$B:$B,A36,Test_Runs!$E:$E,B36)</x:f>
        <x:v>0</x:v>
      </x:c>
      <x:c r="R36" t="str">
        <x:f>IF(P36=0,"",Q36/P36)</x:f>
      </x:c>
      <x:c r="S36" t="e">
        <x:f>COUNTIFS(Test_Runs!$B:$B,A36,Test_Runs!$E:$E,B36,Test_Runs!$O:$O,"&gt;0")</x:f>
        <x:v>#VALUE!</x:v>
      </x:c>
      <x:c r="T36" t="e">
        <x:f>SUMIFS(Test_Runs!$O:$O,Test_Runs!$B:$B,A36,Test_Runs!$E:$E,B36)</x:f>
        <x:v>#VALUE!</x:v>
      </x:c>
      <x:c r="U36" t="e">
        <x:f>IF(S36=0,"",T36/S36)</x:f>
        <x:v>#VALUE!</x:v>
      </x:c>
      <x:c r="V36" t="n">
        <x:f>IFERROR(INDEX(Benchmark_Versions!$I:$I,MATCH(B36,Benchmark_Versions!$A:$A,0)),1)</x:f>
        <x:v>1</x:v>
      </x:c>
      <x:c r="W36" t="n">
        <x:f>IF(F36="","",F36*V36)</x:f>
        <x:v>44</x:v>
      </x:c>
      <x:c r="X36" t="n">
        <x:f>IF(OR(W36="",W36=0,O36=""),"",O36/W36)</x:f>
        <x:v>0.045454545454545456</x:v>
      </x:c>
      <x:c r="Y36" t="n">
        <x:f>IF(OR(W36="",O36="",O36=0),"",W36/O36)</x:f>
        <x:v>22</x:v>
      </x:c>
      <x:c r="Z36" t="str">
        <x:f>IF(OR(W36="",R36="",R36=0),"",W36/R36)</x:f>
      </x:c>
    </x:row>
    <x:row r="37">
      <x:c r="A37" t="inlineStr">
        <x:is>
          <x:t xml:space="preserve">meta|muse-spark-1.3|max|reasoning|fallback-na</x:t>
        </x:is>
      </x:c>
      <x:c r="B37" t="inlineStr">
        <x:is>
          <x:t xml:space="preserve">AA|v4.3.2</x:t>
        </x:is>
      </x:c>
      <x:c r="C37" t="n">
        <x:f>COUNTIFS(Test_Runs!$B:$B,A37,Test_Runs!$E:$E,B37,Test_Runs!$H:$H,"&gt;=0")</x:f>
        <x:v>1</x:v>
      </x:c>
      <x:c r="D37" t="n">
        <x:f>SUMIFS(Test_Runs!$H:$H,Test_Runs!$B:$B,A37,Test_Runs!$E:$E,B37)</x:f>
        <x:v>48</x:v>
      </x:c>
      <x:c r="E37" t="n">
        <x:f>SUMIFS(Test_Runs!$I:$I,Test_Runs!$B:$B,A37,Test_Runs!$E:$E,B37)</x:f>
        <x:v>2304</x:v>
      </x:c>
      <x:c r="F37" t="n">
        <x:f>IF(C37=0,"",D37/C37)</x:f>
        <x:v>48</x:v>
      </x:c>
      <x:c r="G37" t="n">
        <x:f>IF(C37&lt;2,0,SQRT(MAX(0,(E37-(D37*D37/C37))/(C37-1))))</x:f>
        <x:v>0</x:v>
      </x:c>
      <x:c r="H37" t="n">
        <x:f>IF(C37=0,"",IF(C37=1,F37,_xlfn.AGGREGATE(15,6,(Test_Runs!$H$2:$H$144/((Test_Runs!$B$2:$B$144=A37)*(Test_Runs!$E$2:$E$144=B37))),1)))</x:f>
        <x:v>48</x:v>
      </x:c>
      <x:c r="I37" t="n">
        <x:f>IF(C37=0,"",IF(C37=1,F37,_xlfn.AGGREGATE(16,6,(Test_Runs!$H$2:$H$144/((Test_Runs!$B$2:$B$144=A37)*(Test_Runs!$E$2:$E$144=B37))),0.25)))</x:f>
        <x:v>48</x:v>
      </x:c>
      <x:c r="J37" t="n">
        <x:f>IF(C37=0,"",IF(C37=1,F37,_xlfn.AGGREGATE(12,6,(Test_Runs!$H$2:$H$144/((Test_Runs!$B$2:$B$144=A37)*(Test_Runs!$E$2:$E$144=B37))))))</x:f>
        <x:v>48</x:v>
      </x:c>
      <x:c r="K37" t="n">
        <x:f>IF(C37=0,"",IF(C37=1,F37,_xlfn.AGGREGATE(16,6,(Test_Runs!$H$2:$H$144/((Test_Runs!$B$2:$B$144=A37)*(Test_Runs!$E$2:$E$144=B37))),0.75)))</x:f>
        <x:v>48</x:v>
      </x:c>
      <x:c r="L37" t="n">
        <x:f>IF(C37=0,"",_xlfn.MAXIFS(Test_Runs!$H:$H,Test_Runs!$B:$B,A37,Test_Runs!$E:$E,B37))</x:f>
        <x:v>48</x:v>
      </x:c>
      <x:c r="M37" t="n">
        <x:f>COUNTIFS(Test_Runs!$B:$B,A37,Test_Runs!$E:$E,B37,Test_Runs!$J:$J,"&gt;0")</x:f>
        <x:v>1</x:v>
      </x:c>
      <x:c r="N37" t="n">
        <x:f>SUMIFS(Test_Runs!$J:$J,Test_Runs!$B:$B,A37,Test_Runs!$E:$E,B37)</x:f>
        <x:v>1.6</x:v>
      </x:c>
      <x:c r="O37" t="n">
        <x:f>IF(M37=0,"",N37/M37)</x:f>
        <x:v>1.6</x:v>
      </x:c>
      <x:c r="P37" t="n">
        <x:f>COUNTIFS(Test_Runs!$B:$B,A37,Test_Runs!$E:$E,B37,Test_Runs!$S:$S,"&gt;0")</x:f>
        <x:v>1</x:v>
      </x:c>
      <x:c r="Q37" t="n">
        <x:f>SUMIFS(Test_Runs!$S:$S,Test_Runs!$B:$B,A37,Test_Runs!$E:$E,B37)</x:f>
        <x:v>312.77</x:v>
      </x:c>
      <x:c r="R37" t="n">
        <x:f>IF(P37=0,"",Q37/P37)</x:f>
        <x:v>312.77</x:v>
      </x:c>
      <x:c r="S37" t="e">
        <x:f>COUNTIFS(Test_Runs!$B:$B,A37,Test_Runs!$E:$E,B37,Test_Runs!$O:$O,"&gt;0")</x:f>
        <x:v>#VALUE!</x:v>
      </x:c>
      <x:c r="T37" t="e">
        <x:f>SUMIFS(Test_Runs!$O:$O,Test_Runs!$B:$B,A37,Test_Runs!$E:$E,B37)</x:f>
        <x:v>#VALUE!</x:v>
      </x:c>
      <x:c r="U37" t="e">
        <x:f>IF(S37=0,"",T37/S37)</x:f>
        <x:v>#VALUE!</x:v>
      </x:c>
      <x:c r="V37" t="n">
        <x:f>IFERROR(INDEX(Benchmark_Versions!$I:$I,MATCH(B37,Benchmark_Versions!$A:$A,0)),1)</x:f>
        <x:v>1</x:v>
      </x:c>
      <x:c r="W37" t="n">
        <x:f>IF(F37="","",F37*V37)</x:f>
        <x:v>48</x:v>
      </x:c>
      <x:c r="X37" t="n">
        <x:f>IF(OR(W37="",W37=0,O37=""),"",O37/W37)</x:f>
        <x:v>0.03333333333333333</x:v>
      </x:c>
      <x:c r="Y37" t="n">
        <x:f>IF(OR(W37="",O37="",O37=0),"",W37/O37)</x:f>
        <x:v>30</x:v>
      </x:c>
      <x:c r="Z37" t="n">
        <x:f>IF(OR(W37="",R37="",R37=0),"",W37/R37)</x:f>
        <x:v>0.15346740416280336</x:v>
      </x:c>
    </x:row>
    <x:row r="38">
      <x:c r="A38" t="inlineStr">
        <x:is>
          <x:t xml:space="preserve">meta|muse-spark-1.3|xhigh|reasoning|fallback-na</x:t>
        </x:is>
      </x:c>
      <x:c r="B38" t="inlineStr">
        <x:is>
          <x:t xml:space="preserve">AA|v4.3.2</x:t>
        </x:is>
      </x:c>
      <x:c r="C38" t="n">
        <x:f>COUNTIFS(Test_Runs!$B:$B,A38,Test_Runs!$E:$E,B38,Test_Runs!$H:$H,"&gt;=0")</x:f>
        <x:v>1</x:v>
      </x:c>
      <x:c r="D38" t="n">
        <x:f>SUMIFS(Test_Runs!$H:$H,Test_Runs!$B:$B,A38,Test_Runs!$E:$E,B38)</x:f>
        <x:v>45</x:v>
      </x:c>
      <x:c r="E38" t="n">
        <x:f>SUMIFS(Test_Runs!$I:$I,Test_Runs!$B:$B,A38,Test_Runs!$E:$E,B38)</x:f>
        <x:v>2025</x:v>
      </x:c>
      <x:c r="F38" t="n">
        <x:f>IF(C38=0,"",D38/C38)</x:f>
        <x:v>45</x:v>
      </x:c>
      <x:c r="G38" t="n">
        <x:f>IF(C38&lt;2,0,SQRT(MAX(0,(E38-(D38*D38/C38))/(C38-1))))</x:f>
        <x:v>0</x:v>
      </x:c>
      <x:c r="H38" t="n">
        <x:f>IF(C38=0,"",IF(C38=1,F38,_xlfn.AGGREGATE(15,6,(Test_Runs!$H$2:$H$144/((Test_Runs!$B$2:$B$144=A38)*(Test_Runs!$E$2:$E$144=B38))),1)))</x:f>
        <x:v>45</x:v>
      </x:c>
      <x:c r="I38" t="n">
        <x:f>IF(C38=0,"",IF(C38=1,F38,_xlfn.AGGREGATE(16,6,(Test_Runs!$H$2:$H$144/((Test_Runs!$B$2:$B$144=A38)*(Test_Runs!$E$2:$E$144=B38))),0.25)))</x:f>
        <x:v>45</x:v>
      </x:c>
      <x:c r="J38" t="n">
        <x:f>IF(C38=0,"",IF(C38=1,F38,_xlfn.AGGREGATE(12,6,(Test_Runs!$H$2:$H$144/((Test_Runs!$B$2:$B$144=A38)*(Test_Runs!$E$2:$E$144=B38))))))</x:f>
        <x:v>45</x:v>
      </x:c>
      <x:c r="K38" t="n">
        <x:f>IF(C38=0,"",IF(C38=1,F38,_xlfn.AGGREGATE(16,6,(Test_Runs!$H$2:$H$144/((Test_Runs!$B$2:$B$144=A38)*(Test_Runs!$E$2:$E$144=B38))),0.75)))</x:f>
        <x:v>45</x:v>
      </x:c>
      <x:c r="L38" t="n">
        <x:f>IF(C38=0,"",_xlfn.MAXIFS(Test_Runs!$H:$H,Test_Runs!$B:$B,A38,Test_Runs!$E:$E,B38))</x:f>
        <x:v>45</x:v>
      </x:c>
      <x:c r="M38" t="n">
        <x:f>COUNTIFS(Test_Runs!$B:$B,A38,Test_Runs!$E:$E,B38,Test_Runs!$J:$J,"&gt;0")</x:f>
        <x:v>1</x:v>
      </x:c>
      <x:c r="N38" t="n">
        <x:f>SUMIFS(Test_Runs!$J:$J,Test_Runs!$B:$B,A38,Test_Runs!$E:$E,B38)</x:f>
        <x:v>1.37</x:v>
      </x:c>
      <x:c r="O38" t="n">
        <x:f>IF(M38=0,"",N38/M38)</x:f>
        <x:v>1.37</x:v>
      </x:c>
      <x:c r="P38" t="n">
        <x:f>COUNTIFS(Test_Runs!$B:$B,A38,Test_Runs!$E:$E,B38,Test_Runs!$S:$S,"&gt;0")</x:f>
        <x:v>0</x:v>
      </x:c>
      <x:c r="Q38" t="n">
        <x:f>SUMIFS(Test_Runs!$S:$S,Test_Runs!$B:$B,A38,Test_Runs!$E:$E,B38)</x:f>
        <x:v>0</x:v>
      </x:c>
      <x:c r="R38" t="str">
        <x:f>IF(P38=0,"",Q38/P38)</x:f>
      </x:c>
      <x:c r="S38" t="e">
        <x:f>COUNTIFS(Test_Runs!$B:$B,A38,Test_Runs!$E:$E,B38,Test_Runs!$O:$O,"&gt;0")</x:f>
        <x:v>#VALUE!</x:v>
      </x:c>
      <x:c r="T38" t="e">
        <x:f>SUMIFS(Test_Runs!$O:$O,Test_Runs!$B:$B,A38,Test_Runs!$E:$E,B38)</x:f>
        <x:v>#VALUE!</x:v>
      </x:c>
      <x:c r="U38" t="e">
        <x:f>IF(S38=0,"",T38/S38)</x:f>
        <x:v>#VALUE!</x:v>
      </x:c>
      <x:c r="V38" t="n">
        <x:f>IFERROR(INDEX(Benchmark_Versions!$I:$I,MATCH(B38,Benchmark_Versions!$A:$A,0)),1)</x:f>
        <x:v>1</x:v>
      </x:c>
      <x:c r="W38" t="n">
        <x:f>IF(F38="","",F38*V38)</x:f>
        <x:v>45</x:v>
      </x:c>
      <x:c r="X38" t="n">
        <x:f>IF(OR(W38="",W38=0,O38=""),"",O38/W38)</x:f>
        <x:v>0.030444444444444448</x:v>
      </x:c>
      <x:c r="Y38" t="n">
        <x:f>IF(OR(W38="",O38="",O38=0),"",W38/O38)</x:f>
        <x:v>32.84671532846715</x:v>
      </x:c>
      <x:c r="Z38" t="str">
        <x:f>IF(OR(W38="",R38="",R38=0),"",W38/R38)</x:f>
      </x:c>
    </x:row>
    <x:row r="39">
      <x:c r="A39" t="inlineStr">
        <x:is>
          <x:t xml:space="preserve">minimax|minimax-m3|reasoning|reasoning|fallback-na</x:t>
        </x:is>
      </x:c>
      <x:c r="B39" t="inlineStr">
        <x:is>
          <x:t xml:space="preserve">AA|v4.3.2</x:t>
        </x:is>
      </x:c>
      <x:c r="C39" t="n">
        <x:f>COUNTIFS(Test_Runs!$B:$B,A39,Test_Runs!$E:$E,B39,Test_Runs!$H:$H,"&gt;=0")</x:f>
        <x:v>1</x:v>
      </x:c>
      <x:c r="D39" t="n">
        <x:f>SUMIFS(Test_Runs!$H:$H,Test_Runs!$B:$B,A39,Test_Runs!$E:$E,B39)</x:f>
        <x:v>29</x:v>
      </x:c>
      <x:c r="E39" t="n">
        <x:f>SUMIFS(Test_Runs!$I:$I,Test_Runs!$B:$B,A39,Test_Runs!$E:$E,B39)</x:f>
        <x:v>841</x:v>
      </x:c>
      <x:c r="F39" t="n">
        <x:f>IF(C39=0,"",D39/C39)</x:f>
        <x:v>29</x:v>
      </x:c>
      <x:c r="G39" t="n">
        <x:f>IF(C39&lt;2,0,SQRT(MAX(0,(E39-(D39*D39/C39))/(C39-1))))</x:f>
        <x:v>0</x:v>
      </x:c>
      <x:c r="H39" t="n">
        <x:f>IF(C39=0,"",IF(C39=1,F39,_xlfn.AGGREGATE(15,6,(Test_Runs!$H$2:$H$144/((Test_Runs!$B$2:$B$144=A39)*(Test_Runs!$E$2:$E$144=B39))),1)))</x:f>
        <x:v>29</x:v>
      </x:c>
      <x:c r="I39" t="n">
        <x:f>IF(C39=0,"",IF(C39=1,F39,_xlfn.AGGREGATE(16,6,(Test_Runs!$H$2:$H$144/((Test_Runs!$B$2:$B$144=A39)*(Test_Runs!$E$2:$E$144=B39))),0.25)))</x:f>
        <x:v>29</x:v>
      </x:c>
      <x:c r="J39" t="n">
        <x:f>IF(C39=0,"",IF(C39=1,F39,_xlfn.AGGREGATE(12,6,(Test_Runs!$H$2:$H$144/((Test_Runs!$B$2:$B$144=A39)*(Test_Runs!$E$2:$E$144=B39))))))</x:f>
        <x:v>29</x:v>
      </x:c>
      <x:c r="K39" t="n">
        <x:f>IF(C39=0,"",IF(C39=1,F39,_xlfn.AGGREGATE(16,6,(Test_Runs!$H$2:$H$144/((Test_Runs!$B$2:$B$144=A39)*(Test_Runs!$E$2:$E$144=B39))),0.75)))</x:f>
        <x:v>29</x:v>
      </x:c>
      <x:c r="L39" t="n">
        <x:f>IF(C39=0,"",_xlfn.MAXIFS(Test_Runs!$H:$H,Test_Runs!$B:$B,A39,Test_Runs!$E:$E,B39))</x:f>
        <x:v>29</x:v>
      </x:c>
      <x:c r="M39" t="n">
        <x:f>COUNTIFS(Test_Runs!$B:$B,A39,Test_Runs!$E:$E,B39,Test_Runs!$J:$J,"&gt;0")</x:f>
        <x:v>1</x:v>
      </x:c>
      <x:c r="N39" t="n">
        <x:f>SUMIFS(Test_Runs!$J:$J,Test_Runs!$B:$B,A39,Test_Runs!$E:$E,B39)</x:f>
        <x:v>0.51</x:v>
      </x:c>
      <x:c r="O39" t="n">
        <x:f>IF(M39=0,"",N39/M39)</x:f>
        <x:v>0.51</x:v>
      </x:c>
      <x:c r="P39" t="n">
        <x:f>COUNTIFS(Test_Runs!$B:$B,A39,Test_Runs!$E:$E,B39,Test_Runs!$S:$S,"&gt;0")</x:f>
        <x:v>1</x:v>
      </x:c>
      <x:c r="Q39" t="n">
        <x:f>SUMIFS(Test_Runs!$S:$S,Test_Runs!$B:$B,A39,Test_Runs!$E:$E,B39)</x:f>
        <x:v>295.4</x:v>
      </x:c>
      <x:c r="R39" t="n">
        <x:f>IF(P39=0,"",Q39/P39)</x:f>
        <x:v>295.4</x:v>
      </x:c>
      <x:c r="S39" t="e">
        <x:f>COUNTIFS(Test_Runs!$B:$B,A39,Test_Runs!$E:$E,B39,Test_Runs!$O:$O,"&gt;0")</x:f>
        <x:v>#VALUE!</x:v>
      </x:c>
      <x:c r="T39" t="e">
        <x:f>SUMIFS(Test_Runs!$O:$O,Test_Runs!$B:$B,A39,Test_Runs!$E:$E,B39)</x:f>
        <x:v>#VALUE!</x:v>
      </x:c>
      <x:c r="U39" t="e">
        <x:f>IF(S39=0,"",T39/S39)</x:f>
        <x:v>#VALUE!</x:v>
      </x:c>
      <x:c r="V39" t="n">
        <x:f>IFERROR(INDEX(Benchmark_Versions!$I:$I,MATCH(B39,Benchmark_Versions!$A:$A,0)),1)</x:f>
        <x:v>1</x:v>
      </x:c>
      <x:c r="W39" t="n">
        <x:f>IF(F39="","",F39*V39)</x:f>
        <x:v>29</x:v>
      </x:c>
      <x:c r="X39" t="n">
        <x:f>IF(OR(W39="",W39=0,O39=""),"",O39/W39)</x:f>
        <x:v>0.017586206896551725</x:v>
      </x:c>
      <x:c r="Y39" t="n">
        <x:f>IF(OR(W39="",O39="",O39=0),"",W39/O39)</x:f>
        <x:v>56.86274509803921</x:v>
      </x:c>
      <x:c r="Z39" t="n">
        <x:f>IF(OR(W39="",R39="",R39=0),"",W39/R39)</x:f>
        <x:v>0.09817197020988491</x:v>
      </x:c>
    </x:row>
    <x:row r="40">
      <x:c r="A40" t="inlineStr">
        <x:is>
          <x:t xml:space="preserve">openai|gpt-5.6-luna|high|reasoning|fallback-na</x:t>
        </x:is>
      </x:c>
      <x:c r="B40" t="inlineStr">
        <x:is>
          <x:t xml:space="preserve">AA|v4.3.2</x:t>
        </x:is>
      </x:c>
      <x:c r="C40" t="n">
        <x:f>COUNTIFS(Test_Runs!$B:$B,A40,Test_Runs!$E:$E,B40,Test_Runs!$H:$H,"&gt;=0")</x:f>
        <x:v>1</x:v>
      </x:c>
      <x:c r="D40" t="n">
        <x:f>SUMIFS(Test_Runs!$H:$H,Test_Runs!$B:$B,A40,Test_Runs!$E:$E,B40)</x:f>
        <x:v>32</x:v>
      </x:c>
      <x:c r="E40" t="n">
        <x:f>SUMIFS(Test_Runs!$I:$I,Test_Runs!$B:$B,A40,Test_Runs!$E:$E,B40)</x:f>
        <x:v>1024</x:v>
      </x:c>
      <x:c r="F40" t="n">
        <x:f>IF(C40=0,"",D40/C40)</x:f>
        <x:v>32</x:v>
      </x:c>
      <x:c r="G40" t="n">
        <x:f>IF(C40&lt;2,0,SQRT(MAX(0,(E40-(D40*D40/C40))/(C40-1))))</x:f>
        <x:v>0</x:v>
      </x:c>
      <x:c r="H40" t="n">
        <x:f>IF(C40=0,"",IF(C40=1,F40,_xlfn.AGGREGATE(15,6,(Test_Runs!$H$2:$H$144/((Test_Runs!$B$2:$B$144=A40)*(Test_Runs!$E$2:$E$144=B40))),1)))</x:f>
        <x:v>32</x:v>
      </x:c>
      <x:c r="I40" t="n">
        <x:f>IF(C40=0,"",IF(C40=1,F40,_xlfn.AGGREGATE(16,6,(Test_Runs!$H$2:$H$144/((Test_Runs!$B$2:$B$144=A40)*(Test_Runs!$E$2:$E$144=B40))),0.25)))</x:f>
        <x:v>32</x:v>
      </x:c>
      <x:c r="J40" t="n">
        <x:f>IF(C40=0,"",IF(C40=1,F40,_xlfn.AGGREGATE(12,6,(Test_Runs!$H$2:$H$144/((Test_Runs!$B$2:$B$144=A40)*(Test_Runs!$E$2:$E$144=B40))))))</x:f>
        <x:v>32</x:v>
      </x:c>
      <x:c r="K40" t="n">
        <x:f>IF(C40=0,"",IF(C40=1,F40,_xlfn.AGGREGATE(16,6,(Test_Runs!$H$2:$H$144/((Test_Runs!$B$2:$B$144=A40)*(Test_Runs!$E$2:$E$144=B40))),0.75)))</x:f>
        <x:v>32</x:v>
      </x:c>
      <x:c r="L40" t="n">
        <x:f>IF(C40=0,"",_xlfn.MAXIFS(Test_Runs!$H:$H,Test_Runs!$B:$B,A40,Test_Runs!$E:$E,B40))</x:f>
        <x:v>32</x:v>
      </x:c>
      <x:c r="M40" t="n">
        <x:f>COUNTIFS(Test_Runs!$B:$B,A40,Test_Runs!$E:$E,B40,Test_Runs!$J:$J,"&gt;0")</x:f>
        <x:v>1</x:v>
      </x:c>
      <x:c r="N40" t="n">
        <x:f>SUMIFS(Test_Runs!$J:$J,Test_Runs!$B:$B,A40,Test_Runs!$E:$E,B40)</x:f>
        <x:v>0.04</x:v>
      </x:c>
      <x:c r="O40" t="n">
        <x:f>IF(M40=0,"",N40/M40)</x:f>
        <x:v>0.04</x:v>
      </x:c>
      <x:c r="P40" t="n">
        <x:f>COUNTIFS(Test_Runs!$B:$B,A40,Test_Runs!$E:$E,B40,Test_Runs!$S:$S,"&gt;0")</x:f>
        <x:v>0</x:v>
      </x:c>
      <x:c r="Q40" t="n">
        <x:f>SUMIFS(Test_Runs!$S:$S,Test_Runs!$B:$B,A40,Test_Runs!$E:$E,B40)</x:f>
        <x:v>0</x:v>
      </x:c>
      <x:c r="R40" t="str">
        <x:f>IF(P40=0,"",Q40/P40)</x:f>
      </x:c>
      <x:c r="S40" t="e">
        <x:f>COUNTIFS(Test_Runs!$B:$B,A40,Test_Runs!$E:$E,B40,Test_Runs!$O:$O,"&gt;0")</x:f>
        <x:v>#VALUE!</x:v>
      </x:c>
      <x:c r="T40" t="e">
        <x:f>SUMIFS(Test_Runs!$O:$O,Test_Runs!$B:$B,A40,Test_Runs!$E:$E,B40)</x:f>
        <x:v>#VALUE!</x:v>
      </x:c>
      <x:c r="U40" t="e">
        <x:f>IF(S40=0,"",T40/S40)</x:f>
        <x:v>#VALUE!</x:v>
      </x:c>
      <x:c r="V40" t="n">
        <x:f>IFERROR(INDEX(Benchmark_Versions!$I:$I,MATCH(B40,Benchmark_Versions!$A:$A,0)),1)</x:f>
        <x:v>1</x:v>
      </x:c>
      <x:c r="W40" t="n">
        <x:f>IF(F40="","",F40*V40)</x:f>
        <x:v>32</x:v>
      </x:c>
      <x:c r="X40" t="n">
        <x:f>IF(OR(W40="",W40=0,O40=""),"",O40/W40)</x:f>
        <x:v>0.00125</x:v>
      </x:c>
      <x:c r="Y40" t="n">
        <x:f>IF(OR(W40="",O40="",O40=0),"",W40/O40)</x:f>
        <x:v>800</x:v>
      </x:c>
      <x:c r="Z40" t="str">
        <x:f>IF(OR(W40="",R40="",R40=0),"",W40/R40)</x:f>
      </x:c>
    </x:row>
    <x:row r="41">
      <x:c r="A41" t="inlineStr">
        <x:is>
          <x:t xml:space="preserve">openai|gpt-5.6-luna|low|reasoning|fallback-na</x:t>
        </x:is>
      </x:c>
      <x:c r="B41" t="inlineStr">
        <x:is>
          <x:t xml:space="preserve">AA|v4.3.2</x:t>
        </x:is>
      </x:c>
      <x:c r="C41" t="n">
        <x:f>COUNTIFS(Test_Runs!$B:$B,A41,Test_Runs!$E:$E,B41,Test_Runs!$H:$H,"&gt;=0")</x:f>
        <x:v>1</x:v>
      </x:c>
      <x:c r="D41" t="n">
        <x:f>SUMIFS(Test_Runs!$H:$H,Test_Runs!$B:$B,A41,Test_Runs!$E:$E,B41)</x:f>
        <x:v>21</x:v>
      </x:c>
      <x:c r="E41" t="n">
        <x:f>SUMIFS(Test_Runs!$I:$I,Test_Runs!$B:$B,A41,Test_Runs!$E:$E,B41)</x:f>
        <x:v>441</x:v>
      </x:c>
      <x:c r="F41" t="n">
        <x:f>IF(C41=0,"",D41/C41)</x:f>
        <x:v>21</x:v>
      </x:c>
      <x:c r="G41" t="n">
        <x:f>IF(C41&lt;2,0,SQRT(MAX(0,(E41-(D41*D41/C41))/(C41-1))))</x:f>
        <x:v>0</x:v>
      </x:c>
      <x:c r="H41" t="n">
        <x:f>IF(C41=0,"",IF(C41=1,F41,_xlfn.AGGREGATE(15,6,(Test_Runs!$H$2:$H$144/((Test_Runs!$B$2:$B$144=A41)*(Test_Runs!$E$2:$E$144=B41))),1)))</x:f>
        <x:v>21</x:v>
      </x:c>
      <x:c r="I41" t="n">
        <x:f>IF(C41=0,"",IF(C41=1,F41,_xlfn.AGGREGATE(16,6,(Test_Runs!$H$2:$H$144/((Test_Runs!$B$2:$B$144=A41)*(Test_Runs!$E$2:$E$144=B41))),0.25)))</x:f>
        <x:v>21</x:v>
      </x:c>
      <x:c r="J41" t="n">
        <x:f>IF(C41=0,"",IF(C41=1,F41,_xlfn.AGGREGATE(12,6,(Test_Runs!$H$2:$H$144/((Test_Runs!$B$2:$B$144=A41)*(Test_Runs!$E$2:$E$144=B41))))))</x:f>
        <x:v>21</x:v>
      </x:c>
      <x:c r="K41" t="n">
        <x:f>IF(C41=0,"",IF(C41=1,F41,_xlfn.AGGREGATE(16,6,(Test_Runs!$H$2:$H$144/((Test_Runs!$B$2:$B$144=A41)*(Test_Runs!$E$2:$E$144=B41))),0.75)))</x:f>
        <x:v>21</x:v>
      </x:c>
      <x:c r="L41" t="n">
        <x:f>IF(C41=0,"",_xlfn.MAXIFS(Test_Runs!$H:$H,Test_Runs!$B:$B,A41,Test_Runs!$E:$E,B41))</x:f>
        <x:v>21</x:v>
      </x:c>
      <x:c r="M41" t="n">
        <x:f>COUNTIFS(Test_Runs!$B:$B,A41,Test_Runs!$E:$E,B41,Test_Runs!$J:$J,"&gt;0")</x:f>
        <x:v>1</x:v>
      </x:c>
      <x:c r="N41" t="n">
        <x:f>SUMIFS(Test_Runs!$J:$J,Test_Runs!$B:$B,A41,Test_Runs!$E:$E,B41)</x:f>
        <x:v>0.01</x:v>
      </x:c>
      <x:c r="O41" t="n">
        <x:f>IF(M41=0,"",N41/M41)</x:f>
        <x:v>0.01</x:v>
      </x:c>
      <x:c r="P41" t="n">
        <x:f>COUNTIFS(Test_Runs!$B:$B,A41,Test_Runs!$E:$E,B41,Test_Runs!$S:$S,"&gt;0")</x:f>
        <x:v>0</x:v>
      </x:c>
      <x:c r="Q41" t="n">
        <x:f>SUMIFS(Test_Runs!$S:$S,Test_Runs!$B:$B,A41,Test_Runs!$E:$E,B41)</x:f>
        <x:v>0</x:v>
      </x:c>
      <x:c r="R41" t="str">
        <x:f>IF(P41=0,"",Q41/P41)</x:f>
      </x:c>
      <x:c r="S41" t="e">
        <x:f>COUNTIFS(Test_Runs!$B:$B,A41,Test_Runs!$E:$E,B41,Test_Runs!$O:$O,"&gt;0")</x:f>
        <x:v>#VALUE!</x:v>
      </x:c>
      <x:c r="T41" t="e">
        <x:f>SUMIFS(Test_Runs!$O:$O,Test_Runs!$B:$B,A41,Test_Runs!$E:$E,B41)</x:f>
        <x:v>#VALUE!</x:v>
      </x:c>
      <x:c r="U41" t="e">
        <x:f>IF(S41=0,"",T41/S41)</x:f>
        <x:v>#VALUE!</x:v>
      </x:c>
      <x:c r="V41" t="n">
        <x:f>IFERROR(INDEX(Benchmark_Versions!$I:$I,MATCH(B41,Benchmark_Versions!$A:$A,0)),1)</x:f>
        <x:v>1</x:v>
      </x:c>
      <x:c r="W41" t="n">
        <x:f>IF(F41="","",F41*V41)</x:f>
        <x:v>21</x:v>
      </x:c>
      <x:c r="X41" t="n">
        <x:f>IF(OR(W41="",W41=0,O41=""),"",O41/W41)</x:f>
        <x:v>0.0004761904761904762</x:v>
      </x:c>
      <x:c r="Y41" t="n">
        <x:f>IF(OR(W41="",O41="",O41=0),"",W41/O41)</x:f>
        <x:v>2100</x:v>
      </x:c>
      <x:c r="Z41" t="str">
        <x:f>IF(OR(W41="",R41="",R41=0),"",W41/R41)</x:f>
      </x:c>
    </x:row>
    <x:row r="42">
      <x:c r="A42" t="inlineStr">
        <x:is>
          <x:t xml:space="preserve">openai|gpt-5.6-luna|max|reasoning|fallback-na</x:t>
        </x:is>
      </x:c>
      <x:c r="B42" t="inlineStr">
        <x:is>
          <x:t xml:space="preserve">AA|v4.3.2</x:t>
        </x:is>
      </x:c>
      <x:c r="C42" t="n">
        <x:f>COUNTIFS(Test_Runs!$B:$B,A42,Test_Runs!$E:$E,B42,Test_Runs!$H:$H,"&gt;=0")</x:f>
        <x:v>1</x:v>
      </x:c>
      <x:c r="D42" t="n">
        <x:f>SUMIFS(Test_Runs!$H:$H,Test_Runs!$B:$B,A42,Test_Runs!$E:$E,B42)</x:f>
        <x:v>37</x:v>
      </x:c>
      <x:c r="E42" t="n">
        <x:f>SUMIFS(Test_Runs!$I:$I,Test_Runs!$B:$B,A42,Test_Runs!$E:$E,B42)</x:f>
        <x:v>1369</x:v>
      </x:c>
      <x:c r="F42" t="n">
        <x:f>IF(C42=0,"",D42/C42)</x:f>
        <x:v>37</x:v>
      </x:c>
      <x:c r="G42" t="n">
        <x:f>IF(C42&lt;2,0,SQRT(MAX(0,(E42-(D42*D42/C42))/(C42-1))))</x:f>
        <x:v>0</x:v>
      </x:c>
      <x:c r="H42" t="n">
        <x:f>IF(C42=0,"",IF(C42=1,F42,_xlfn.AGGREGATE(15,6,(Test_Runs!$H$2:$H$144/((Test_Runs!$B$2:$B$144=A42)*(Test_Runs!$E$2:$E$144=B42))),1)))</x:f>
        <x:v>37</x:v>
      </x:c>
      <x:c r="I42" t="n">
        <x:f>IF(C42=0,"",IF(C42=1,F42,_xlfn.AGGREGATE(16,6,(Test_Runs!$H$2:$H$144/((Test_Runs!$B$2:$B$144=A42)*(Test_Runs!$E$2:$E$144=B42))),0.25)))</x:f>
        <x:v>37</x:v>
      </x:c>
      <x:c r="J42" t="n">
        <x:f>IF(C42=0,"",IF(C42=1,F42,_xlfn.AGGREGATE(12,6,(Test_Runs!$H$2:$H$144/((Test_Runs!$B$2:$B$144=A42)*(Test_Runs!$E$2:$E$144=B42))))))</x:f>
        <x:v>37</x:v>
      </x:c>
      <x:c r="K42" t="n">
        <x:f>IF(C42=0,"",IF(C42=1,F42,_xlfn.AGGREGATE(16,6,(Test_Runs!$H$2:$H$144/((Test_Runs!$B$2:$B$144=A42)*(Test_Runs!$E$2:$E$144=B42))),0.75)))</x:f>
        <x:v>37</x:v>
      </x:c>
      <x:c r="L42" t="n">
        <x:f>IF(C42=0,"",_xlfn.MAXIFS(Test_Runs!$H:$H,Test_Runs!$B:$B,A42,Test_Runs!$E:$E,B42))</x:f>
        <x:v>37</x:v>
      </x:c>
      <x:c r="M42" t="n">
        <x:f>COUNTIFS(Test_Runs!$B:$B,A42,Test_Runs!$E:$E,B42,Test_Runs!$J:$J,"&gt;0")</x:f>
        <x:v>1</x:v>
      </x:c>
      <x:c r="N42" t="n">
        <x:f>SUMIFS(Test_Runs!$J:$J,Test_Runs!$B:$B,A42,Test_Runs!$E:$E,B42)</x:f>
        <x:v>0.18</x:v>
      </x:c>
      <x:c r="O42" t="n">
        <x:f>IF(M42=0,"",N42/M42)</x:f>
        <x:v>0.18</x:v>
      </x:c>
      <x:c r="P42" t="n">
        <x:f>COUNTIFS(Test_Runs!$B:$B,A42,Test_Runs!$E:$E,B42,Test_Runs!$S:$S,"&gt;0")</x:f>
        <x:v>0</x:v>
      </x:c>
      <x:c r="Q42" t="n">
        <x:f>SUMIFS(Test_Runs!$S:$S,Test_Runs!$B:$B,A42,Test_Runs!$E:$E,B42)</x:f>
        <x:v>0</x:v>
      </x:c>
      <x:c r="R42" t="str">
        <x:f>IF(P42=0,"",Q42/P42)</x:f>
      </x:c>
      <x:c r="S42" t="e">
        <x:f>COUNTIFS(Test_Runs!$B:$B,A42,Test_Runs!$E:$E,B42,Test_Runs!$O:$O,"&gt;0")</x:f>
        <x:v>#VALUE!</x:v>
      </x:c>
      <x:c r="T42" t="e">
        <x:f>SUMIFS(Test_Runs!$O:$O,Test_Runs!$B:$B,A42,Test_Runs!$E:$E,B42)</x:f>
        <x:v>#VALUE!</x:v>
      </x:c>
      <x:c r="U42" t="e">
        <x:f>IF(S42=0,"",T42/S42)</x:f>
        <x:v>#VALUE!</x:v>
      </x:c>
      <x:c r="V42" t="n">
        <x:f>IFERROR(INDEX(Benchmark_Versions!$I:$I,MATCH(B42,Benchmark_Versions!$A:$A,0)),1)</x:f>
        <x:v>1</x:v>
      </x:c>
      <x:c r="W42" t="n">
        <x:f>IF(F42="","",F42*V42)</x:f>
        <x:v>37</x:v>
      </x:c>
      <x:c r="X42" t="n">
        <x:f>IF(OR(W42="",W42=0,O42=""),"",O42/W42)</x:f>
        <x:v>0.004864864864864865</x:v>
      </x:c>
      <x:c r="Y42" t="n">
        <x:f>IF(OR(W42="",O42="",O42=0),"",W42/O42)</x:f>
        <x:v>205.55555555555557</x:v>
      </x:c>
      <x:c r="Z42" t="str">
        <x:f>IF(OR(W42="",R42="",R42=0),"",W42/R42)</x:f>
      </x:c>
    </x:row>
    <x:row r="43">
      <x:c r="A43" t="inlineStr">
        <x:is>
          <x:t xml:space="preserve">openai|gpt-5.6-luna|medium|reasoning|fallback-na</x:t>
        </x:is>
      </x:c>
      <x:c r="B43" t="inlineStr">
        <x:is>
          <x:t xml:space="preserve">AA|v4.3.2</x:t>
        </x:is>
      </x:c>
      <x:c r="C43" t="n">
        <x:f>COUNTIFS(Test_Runs!$B:$B,A43,Test_Runs!$E:$E,B43,Test_Runs!$H:$H,"&gt;=0")</x:f>
        <x:v>1</x:v>
      </x:c>
      <x:c r="D43" t="n">
        <x:f>SUMIFS(Test_Runs!$H:$H,Test_Runs!$B:$B,A43,Test_Runs!$E:$E,B43)</x:f>
        <x:v>25</x:v>
      </x:c>
      <x:c r="E43" t="n">
        <x:f>SUMIFS(Test_Runs!$I:$I,Test_Runs!$B:$B,A43,Test_Runs!$E:$E,B43)</x:f>
        <x:v>625</x:v>
      </x:c>
      <x:c r="F43" t="n">
        <x:f>IF(C43=0,"",D43/C43)</x:f>
        <x:v>25</x:v>
      </x:c>
      <x:c r="G43" t="n">
        <x:f>IF(C43&lt;2,0,SQRT(MAX(0,(E43-(D43*D43/C43))/(C43-1))))</x:f>
        <x:v>0</x:v>
      </x:c>
      <x:c r="H43" t="n">
        <x:f>IF(C43=0,"",IF(C43=1,F43,_xlfn.AGGREGATE(15,6,(Test_Runs!$H$2:$H$144/((Test_Runs!$B$2:$B$144=A43)*(Test_Runs!$E$2:$E$144=B43))),1)))</x:f>
        <x:v>25</x:v>
      </x:c>
      <x:c r="I43" t="n">
        <x:f>IF(C43=0,"",IF(C43=1,F43,_xlfn.AGGREGATE(16,6,(Test_Runs!$H$2:$H$144/((Test_Runs!$B$2:$B$144=A43)*(Test_Runs!$E$2:$E$144=B43))),0.25)))</x:f>
        <x:v>25</x:v>
      </x:c>
      <x:c r="J43" t="n">
        <x:f>IF(C43=0,"",IF(C43=1,F43,_xlfn.AGGREGATE(12,6,(Test_Runs!$H$2:$H$144/((Test_Runs!$B$2:$B$144=A43)*(Test_Runs!$E$2:$E$144=B43))))))</x:f>
        <x:v>25</x:v>
      </x:c>
      <x:c r="K43" t="n">
        <x:f>IF(C43=0,"",IF(C43=1,F43,_xlfn.AGGREGATE(16,6,(Test_Runs!$H$2:$H$144/((Test_Runs!$B$2:$B$144=A43)*(Test_Runs!$E$2:$E$144=B43))),0.75)))</x:f>
        <x:v>25</x:v>
      </x:c>
      <x:c r="L43" t="n">
        <x:f>IF(C43=0,"",_xlfn.MAXIFS(Test_Runs!$H:$H,Test_Runs!$B:$B,A43,Test_Runs!$E:$E,B43))</x:f>
        <x:v>25</x:v>
      </x:c>
      <x:c r="M43" t="n">
        <x:f>COUNTIFS(Test_Runs!$B:$B,A43,Test_Runs!$E:$E,B43,Test_Runs!$J:$J,"&gt;0")</x:f>
        <x:v>1</x:v>
      </x:c>
      <x:c r="N43" t="n">
        <x:f>SUMIFS(Test_Runs!$J:$J,Test_Runs!$B:$B,A43,Test_Runs!$E:$E,B43)</x:f>
        <x:v>0.02</x:v>
      </x:c>
      <x:c r="O43" t="n">
        <x:f>IF(M43=0,"",N43/M43)</x:f>
        <x:v>0.02</x:v>
      </x:c>
      <x:c r="P43" t="n">
        <x:f>COUNTIFS(Test_Runs!$B:$B,A43,Test_Runs!$E:$E,B43,Test_Runs!$S:$S,"&gt;0")</x:f>
        <x:v>0</x:v>
      </x:c>
      <x:c r="Q43" t="n">
        <x:f>SUMIFS(Test_Runs!$S:$S,Test_Runs!$B:$B,A43,Test_Runs!$E:$E,B43)</x:f>
        <x:v>0</x:v>
      </x:c>
      <x:c r="R43" t="str">
        <x:f>IF(P43=0,"",Q43/P43)</x:f>
      </x:c>
      <x:c r="S43" t="e">
        <x:f>COUNTIFS(Test_Runs!$B:$B,A43,Test_Runs!$E:$E,B43,Test_Runs!$O:$O,"&gt;0")</x:f>
        <x:v>#VALUE!</x:v>
      </x:c>
      <x:c r="T43" t="e">
        <x:f>SUMIFS(Test_Runs!$O:$O,Test_Runs!$B:$B,A43,Test_Runs!$E:$E,B43)</x:f>
        <x:v>#VALUE!</x:v>
      </x:c>
      <x:c r="U43" t="e">
        <x:f>IF(S43=0,"",T43/S43)</x:f>
        <x:v>#VALUE!</x:v>
      </x:c>
      <x:c r="V43" t="n">
        <x:f>IFERROR(INDEX(Benchmark_Versions!$I:$I,MATCH(B43,Benchmark_Versions!$A:$A,0)),1)</x:f>
        <x:v>1</x:v>
      </x:c>
      <x:c r="W43" t="n">
        <x:f>IF(F43="","",F43*V43)</x:f>
        <x:v>25</x:v>
      </x:c>
      <x:c r="X43" t="n">
        <x:f>IF(OR(W43="",W43=0,O43=""),"",O43/W43)</x:f>
        <x:v>0.0008</x:v>
      </x:c>
      <x:c r="Y43" t="n">
        <x:f>IF(OR(W43="",O43="",O43=0),"",W43/O43)</x:f>
        <x:v>1250</x:v>
      </x:c>
      <x:c r="Z43" t="str">
        <x:f>IF(OR(W43="",R43="",R43=0),"",W43/R43)</x:f>
      </x:c>
    </x:row>
    <x:row r="44">
      <x:c r="A44" t="inlineStr">
        <x:is>
          <x:t xml:space="preserve">openai|gpt-5.6-luna|non-reasoning|nonreasoning|fallback-na</x:t>
        </x:is>
      </x:c>
      <x:c r="B44" t="inlineStr">
        <x:is>
          <x:t xml:space="preserve">AA|v4.3.2</x:t>
        </x:is>
      </x:c>
      <x:c r="C44" t="n">
        <x:f>COUNTIFS(Test_Runs!$B:$B,A44,Test_Runs!$E:$E,B44,Test_Runs!$H:$H,"&gt;=0")</x:f>
        <x:v>1</x:v>
      </x:c>
      <x:c r="D44" t="n">
        <x:f>SUMIFS(Test_Runs!$H:$H,Test_Runs!$B:$B,A44,Test_Runs!$E:$E,B44)</x:f>
        <x:v>16</x:v>
      </x:c>
      <x:c r="E44" t="n">
        <x:f>SUMIFS(Test_Runs!$I:$I,Test_Runs!$B:$B,A44,Test_Runs!$E:$E,B44)</x:f>
        <x:v>256</x:v>
      </x:c>
      <x:c r="F44" t="n">
        <x:f>IF(C44=0,"",D44/C44)</x:f>
        <x:v>16</x:v>
      </x:c>
      <x:c r="G44" t="n">
        <x:f>IF(C44&lt;2,0,SQRT(MAX(0,(E44-(D44*D44/C44))/(C44-1))))</x:f>
        <x:v>0</x:v>
      </x:c>
      <x:c r="H44" t="n">
        <x:f>IF(C44=0,"",IF(C44=1,F44,_xlfn.AGGREGATE(15,6,(Test_Runs!$H$2:$H$144/((Test_Runs!$B$2:$B$144=A44)*(Test_Runs!$E$2:$E$144=B44))),1)))</x:f>
        <x:v>16</x:v>
      </x:c>
      <x:c r="I44" t="n">
        <x:f>IF(C44=0,"",IF(C44=1,F44,_xlfn.AGGREGATE(16,6,(Test_Runs!$H$2:$H$144/((Test_Runs!$B$2:$B$144=A44)*(Test_Runs!$E$2:$E$144=B44))),0.25)))</x:f>
        <x:v>16</x:v>
      </x:c>
      <x:c r="J44" t="n">
        <x:f>IF(C44=0,"",IF(C44=1,F44,_xlfn.AGGREGATE(12,6,(Test_Runs!$H$2:$H$144/((Test_Runs!$B$2:$B$144=A44)*(Test_Runs!$E$2:$E$144=B44))))))</x:f>
        <x:v>16</x:v>
      </x:c>
      <x:c r="K44" t="n">
        <x:f>IF(C44=0,"",IF(C44=1,F44,_xlfn.AGGREGATE(16,6,(Test_Runs!$H$2:$H$144/((Test_Runs!$B$2:$B$144=A44)*(Test_Runs!$E$2:$E$144=B44))),0.75)))</x:f>
        <x:v>16</x:v>
      </x:c>
      <x:c r="L44" t="n">
        <x:f>IF(C44=0,"",_xlfn.MAXIFS(Test_Runs!$H:$H,Test_Runs!$B:$B,A44,Test_Runs!$E:$E,B44))</x:f>
        <x:v>16</x:v>
      </x:c>
      <x:c r="M44" t="n">
        <x:f>COUNTIFS(Test_Runs!$B:$B,A44,Test_Runs!$E:$E,B44,Test_Runs!$J:$J,"&gt;0")</x:f>
        <x:v>1</x:v>
      </x:c>
      <x:c r="N44" t="n">
        <x:f>SUMIFS(Test_Runs!$J:$J,Test_Runs!$B:$B,A44,Test_Runs!$E:$E,B44)</x:f>
        <x:v>0.01</x:v>
      </x:c>
      <x:c r="O44" t="n">
        <x:f>IF(M44=0,"",N44/M44)</x:f>
        <x:v>0.01</x:v>
      </x:c>
      <x:c r="P44" t="n">
        <x:f>COUNTIFS(Test_Runs!$B:$B,A44,Test_Runs!$E:$E,B44,Test_Runs!$S:$S,"&gt;0")</x:f>
        <x:v>0</x:v>
      </x:c>
      <x:c r="Q44" t="n">
        <x:f>SUMIFS(Test_Runs!$S:$S,Test_Runs!$B:$B,A44,Test_Runs!$E:$E,B44)</x:f>
        <x:v>0</x:v>
      </x:c>
      <x:c r="R44" t="str">
        <x:f>IF(P44=0,"",Q44/P44)</x:f>
      </x:c>
      <x:c r="S44" t="e">
        <x:f>COUNTIFS(Test_Runs!$B:$B,A44,Test_Runs!$E:$E,B44,Test_Runs!$O:$O,"&gt;0")</x:f>
        <x:v>#VALUE!</x:v>
      </x:c>
      <x:c r="T44" t="e">
        <x:f>SUMIFS(Test_Runs!$O:$O,Test_Runs!$B:$B,A44,Test_Runs!$E:$E,B44)</x:f>
        <x:v>#VALUE!</x:v>
      </x:c>
      <x:c r="U44" t="e">
        <x:f>IF(S44=0,"",T44/S44)</x:f>
        <x:v>#VALUE!</x:v>
      </x:c>
      <x:c r="V44" t="n">
        <x:f>IFERROR(INDEX(Benchmark_Versions!$I:$I,MATCH(B44,Benchmark_Versions!$A:$A,0)),1)</x:f>
        <x:v>1</x:v>
      </x:c>
      <x:c r="W44" t="n">
        <x:f>IF(F44="","",F44*V44)</x:f>
        <x:v>16</x:v>
      </x:c>
      <x:c r="X44" t="n">
        <x:f>IF(OR(W44="",W44=0,O44=""),"",O44/W44)</x:f>
        <x:v>0.000625</x:v>
      </x:c>
      <x:c r="Y44" t="n">
        <x:f>IF(OR(W44="",O44="",O44=0),"",W44/O44)</x:f>
        <x:v>1600</x:v>
      </x:c>
      <x:c r="Z44" t="str">
        <x:f>IF(OR(W44="",R44="",R44=0),"",W44/R44)</x:f>
      </x:c>
    </x:row>
    <x:row r="45">
      <x:c r="A45" t="inlineStr">
        <x:is>
          <x:t xml:space="preserve">openai|gpt-5.6-luna|xhigh|reasoning|fallback-na</x:t>
        </x:is>
      </x:c>
      <x:c r="B45" t="inlineStr">
        <x:is>
          <x:t xml:space="preserve">AA|v4.3.2</x:t>
        </x:is>
      </x:c>
      <x:c r="C45" t="n">
        <x:f>COUNTIFS(Test_Runs!$B:$B,A45,Test_Runs!$E:$E,B45,Test_Runs!$H:$H,"&gt;=0")</x:f>
        <x:v>1</x:v>
      </x:c>
      <x:c r="D45" t="n">
        <x:f>SUMIFS(Test_Runs!$H:$H,Test_Runs!$B:$B,A45,Test_Runs!$E:$E,B45)</x:f>
        <x:v>35</x:v>
      </x:c>
      <x:c r="E45" t="n">
        <x:f>SUMIFS(Test_Runs!$I:$I,Test_Runs!$B:$B,A45,Test_Runs!$E:$E,B45)</x:f>
        <x:v>1225</x:v>
      </x:c>
      <x:c r="F45" t="n">
        <x:f>IF(C45=0,"",D45/C45)</x:f>
        <x:v>35</x:v>
      </x:c>
      <x:c r="G45" t="n">
        <x:f>IF(C45&lt;2,0,SQRT(MAX(0,(E45-(D45*D45/C45))/(C45-1))))</x:f>
        <x:v>0</x:v>
      </x:c>
      <x:c r="H45" t="n">
        <x:f>IF(C45=0,"",IF(C45=1,F45,_xlfn.AGGREGATE(15,6,(Test_Runs!$H$2:$H$144/((Test_Runs!$B$2:$B$144=A45)*(Test_Runs!$E$2:$E$144=B45))),1)))</x:f>
        <x:v>35</x:v>
      </x:c>
      <x:c r="I45" t="n">
        <x:f>IF(C45=0,"",IF(C45=1,F45,_xlfn.AGGREGATE(16,6,(Test_Runs!$H$2:$H$144/((Test_Runs!$B$2:$B$144=A45)*(Test_Runs!$E$2:$E$144=B45))),0.25)))</x:f>
        <x:v>35</x:v>
      </x:c>
      <x:c r="J45" t="n">
        <x:f>IF(C45=0,"",IF(C45=1,F45,_xlfn.AGGREGATE(12,6,(Test_Runs!$H$2:$H$144/((Test_Runs!$B$2:$B$144=A45)*(Test_Runs!$E$2:$E$144=B45))))))</x:f>
        <x:v>35</x:v>
      </x:c>
      <x:c r="K45" t="n">
        <x:f>IF(C45=0,"",IF(C45=1,F45,_xlfn.AGGREGATE(16,6,(Test_Runs!$H$2:$H$144/((Test_Runs!$B$2:$B$144=A45)*(Test_Runs!$E$2:$E$144=B45))),0.75)))</x:f>
        <x:v>35</x:v>
      </x:c>
      <x:c r="L45" t="n">
        <x:f>IF(C45=0,"",_xlfn.MAXIFS(Test_Runs!$H:$H,Test_Runs!$B:$B,A45,Test_Runs!$E:$E,B45))</x:f>
        <x:v>35</x:v>
      </x:c>
      <x:c r="M45" t="n">
        <x:f>COUNTIFS(Test_Runs!$B:$B,A45,Test_Runs!$E:$E,B45,Test_Runs!$J:$J,"&gt;0")</x:f>
        <x:v>1</x:v>
      </x:c>
      <x:c r="N45" t="n">
        <x:f>SUMIFS(Test_Runs!$J:$J,Test_Runs!$B:$B,A45,Test_Runs!$E:$E,B45)</x:f>
        <x:v>0.09</x:v>
      </x:c>
      <x:c r="O45" t="n">
        <x:f>IF(M45=0,"",N45/M45)</x:f>
        <x:v>0.09</x:v>
      </x:c>
      <x:c r="P45" t="n">
        <x:f>COUNTIFS(Test_Runs!$B:$B,A45,Test_Runs!$E:$E,B45,Test_Runs!$S:$S,"&gt;0")</x:f>
        <x:v>0</x:v>
      </x:c>
      <x:c r="Q45" t="n">
        <x:f>SUMIFS(Test_Runs!$S:$S,Test_Runs!$B:$B,A45,Test_Runs!$E:$E,B45)</x:f>
        <x:v>0</x:v>
      </x:c>
      <x:c r="R45" t="str">
        <x:f>IF(P45=0,"",Q45/P45)</x:f>
      </x:c>
      <x:c r="S45" t="e">
        <x:f>COUNTIFS(Test_Runs!$B:$B,A45,Test_Runs!$E:$E,B45,Test_Runs!$O:$O,"&gt;0")</x:f>
        <x:v>#VALUE!</x:v>
      </x:c>
      <x:c r="T45" t="e">
        <x:f>SUMIFS(Test_Runs!$O:$O,Test_Runs!$B:$B,A45,Test_Runs!$E:$E,B45)</x:f>
        <x:v>#VALUE!</x:v>
      </x:c>
      <x:c r="U45" t="e">
        <x:f>IF(S45=0,"",T45/S45)</x:f>
        <x:v>#VALUE!</x:v>
      </x:c>
      <x:c r="V45" t="n">
        <x:f>IFERROR(INDEX(Benchmark_Versions!$I:$I,MATCH(B45,Benchmark_Versions!$A:$A,0)),1)</x:f>
        <x:v>1</x:v>
      </x:c>
      <x:c r="W45" t="n">
        <x:f>IF(F45="","",F45*V45)</x:f>
        <x:v>35</x:v>
      </x:c>
      <x:c r="X45" t="n">
        <x:f>IF(OR(W45="",W45=0,O45=""),"",O45/W45)</x:f>
        <x:v>0.0025714285714285713</x:v>
      </x:c>
      <x:c r="Y45" t="n">
        <x:f>IF(OR(W45="",O45="",O45=0),"",W45/O45)</x:f>
        <x:v>388.8888888888889</x:v>
      </x:c>
      <x:c r="Z45" t="str">
        <x:f>IF(OR(W45="",R45="",R45=0),"",W45/R45)</x:f>
      </x:c>
    </x:row>
    <x:row r="46">
      <x:c r="A46" t="inlineStr">
        <x:is>
          <x:t xml:space="preserve">openai|gpt-5.6-sol|high|reasoning|fallback-na</x:t>
        </x:is>
      </x:c>
      <x:c r="B46" t="inlineStr">
        <x:is>
          <x:t xml:space="preserve">AA|v4.3.2</x:t>
        </x:is>
      </x:c>
      <x:c r="C46" t="n">
        <x:f>COUNTIFS(Test_Runs!$B:$B,A46,Test_Runs!$E:$E,B46,Test_Runs!$H:$H,"&gt;=0")</x:f>
        <x:v>1</x:v>
      </x:c>
      <x:c r="D46" t="n">
        <x:f>SUMIFS(Test_Runs!$H:$H,Test_Runs!$B:$B,A46,Test_Runs!$E:$E,B46)</x:f>
        <x:v>42</x:v>
      </x:c>
      <x:c r="E46" t="n">
        <x:f>SUMIFS(Test_Runs!$I:$I,Test_Runs!$B:$B,A46,Test_Runs!$E:$E,B46)</x:f>
        <x:v>1764</x:v>
      </x:c>
      <x:c r="F46" t="n">
        <x:f>IF(C46=0,"",D46/C46)</x:f>
        <x:v>42</x:v>
      </x:c>
      <x:c r="G46" t="n">
        <x:f>IF(C46&lt;2,0,SQRT(MAX(0,(E46-(D46*D46/C46))/(C46-1))))</x:f>
        <x:v>0</x:v>
      </x:c>
      <x:c r="H46" t="n">
        <x:f>IF(C46=0,"",IF(C46=1,F46,_xlfn.AGGREGATE(15,6,(Test_Runs!$H$2:$H$144/((Test_Runs!$B$2:$B$144=A46)*(Test_Runs!$E$2:$E$144=B46))),1)))</x:f>
        <x:v>42</x:v>
      </x:c>
      <x:c r="I46" t="n">
        <x:f>IF(C46=0,"",IF(C46=1,F46,_xlfn.AGGREGATE(16,6,(Test_Runs!$H$2:$H$144/((Test_Runs!$B$2:$B$144=A46)*(Test_Runs!$E$2:$E$144=B46))),0.25)))</x:f>
        <x:v>42</x:v>
      </x:c>
      <x:c r="J46" t="n">
        <x:f>IF(C46=0,"",IF(C46=1,F46,_xlfn.AGGREGATE(12,6,(Test_Runs!$H$2:$H$144/((Test_Runs!$B$2:$B$144=A46)*(Test_Runs!$E$2:$E$144=B46))))))</x:f>
        <x:v>42</x:v>
      </x:c>
      <x:c r="K46" t="n">
        <x:f>IF(C46=0,"",IF(C46=1,F46,_xlfn.AGGREGATE(16,6,(Test_Runs!$H$2:$H$144/((Test_Runs!$B$2:$B$144=A46)*(Test_Runs!$E$2:$E$144=B46))),0.75)))</x:f>
        <x:v>42</x:v>
      </x:c>
      <x:c r="L46" t="n">
        <x:f>IF(C46=0,"",_xlfn.MAXIFS(Test_Runs!$H:$H,Test_Runs!$B:$B,A46,Test_Runs!$E:$E,B46))</x:f>
        <x:v>42</x:v>
      </x:c>
      <x:c r="M46" t="n">
        <x:f>COUNTIFS(Test_Runs!$B:$B,A46,Test_Runs!$E:$E,B46,Test_Runs!$J:$J,"&gt;0")</x:f>
        <x:v>1</x:v>
      </x:c>
      <x:c r="N46" t="n">
        <x:f>SUMIFS(Test_Runs!$J:$J,Test_Runs!$B:$B,A46,Test_Runs!$E:$E,B46)</x:f>
        <x:v>0.81</x:v>
      </x:c>
      <x:c r="O46" t="n">
        <x:f>IF(M46=0,"",N46/M46)</x:f>
        <x:v>0.81</x:v>
      </x:c>
      <x:c r="P46" t="n">
        <x:f>COUNTIFS(Test_Runs!$B:$B,A46,Test_Runs!$E:$E,B46,Test_Runs!$S:$S,"&gt;0")</x:f>
        <x:v>0</x:v>
      </x:c>
      <x:c r="Q46" t="n">
        <x:f>SUMIFS(Test_Runs!$S:$S,Test_Runs!$B:$B,A46,Test_Runs!$E:$E,B46)</x:f>
        <x:v>0</x:v>
      </x:c>
      <x:c r="R46" t="str">
        <x:f>IF(P46=0,"",Q46/P46)</x:f>
      </x:c>
      <x:c r="S46" t="e">
        <x:f>COUNTIFS(Test_Runs!$B:$B,A46,Test_Runs!$E:$E,B46,Test_Runs!$O:$O,"&gt;0")</x:f>
        <x:v>#VALUE!</x:v>
      </x:c>
      <x:c r="T46" t="e">
        <x:f>SUMIFS(Test_Runs!$O:$O,Test_Runs!$B:$B,A46,Test_Runs!$E:$E,B46)</x:f>
        <x:v>#VALUE!</x:v>
      </x:c>
      <x:c r="U46" t="e">
        <x:f>IF(S46=0,"",T46/S46)</x:f>
        <x:v>#VALUE!</x:v>
      </x:c>
      <x:c r="V46" t="n">
        <x:f>IFERROR(INDEX(Benchmark_Versions!$I:$I,MATCH(B46,Benchmark_Versions!$A:$A,0)),1)</x:f>
        <x:v>1</x:v>
      </x:c>
      <x:c r="W46" t="n">
        <x:f>IF(F46="","",F46*V46)</x:f>
        <x:v>42</x:v>
      </x:c>
      <x:c r="X46" t="n">
        <x:f>IF(OR(W46="",W46=0,O46=""),"",O46/W46)</x:f>
        <x:v>0.019285714285714288</x:v>
      </x:c>
      <x:c r="Y46" t="n">
        <x:f>IF(OR(W46="",O46="",O46=0),"",W46/O46)</x:f>
        <x:v>51.85185185185185</x:v>
      </x:c>
      <x:c r="Z46" t="str">
        <x:f>IF(OR(W46="",R46="",R46=0),"",W46/R46)</x:f>
      </x:c>
    </x:row>
    <x:row r="47">
      <x:c r="A47" t="inlineStr">
        <x:is>
          <x:t xml:space="preserve">openai|gpt-5.6-sol|low|reasoning|fallback-na</x:t>
        </x:is>
      </x:c>
      <x:c r="B47" t="inlineStr">
        <x:is>
          <x:t xml:space="preserve">AA|v4.3.2</x:t>
        </x:is>
      </x:c>
      <x:c r="C47" t="n">
        <x:f>COUNTIFS(Test_Runs!$B:$B,A47,Test_Runs!$E:$E,B47,Test_Runs!$H:$H,"&gt;=0")</x:f>
        <x:v>1</x:v>
      </x:c>
      <x:c r="D47" t="n">
        <x:f>SUMIFS(Test_Runs!$H:$H,Test_Runs!$B:$B,A47,Test_Runs!$E:$E,B47)</x:f>
        <x:v>33</x:v>
      </x:c>
      <x:c r="E47" t="n">
        <x:f>SUMIFS(Test_Runs!$I:$I,Test_Runs!$B:$B,A47,Test_Runs!$E:$E,B47)</x:f>
        <x:v>1089</x:v>
      </x:c>
      <x:c r="F47" t="n">
        <x:f>IF(C47=0,"",D47/C47)</x:f>
        <x:v>33</x:v>
      </x:c>
      <x:c r="G47" t="n">
        <x:f>IF(C47&lt;2,0,SQRT(MAX(0,(E47-(D47*D47/C47))/(C47-1))))</x:f>
        <x:v>0</x:v>
      </x:c>
      <x:c r="H47" t="n">
        <x:f>IF(C47=0,"",IF(C47=1,F47,_xlfn.AGGREGATE(15,6,(Test_Runs!$H$2:$H$144/((Test_Runs!$B$2:$B$144=A47)*(Test_Runs!$E$2:$E$144=B47))),1)))</x:f>
        <x:v>33</x:v>
      </x:c>
      <x:c r="I47" t="n">
        <x:f>IF(C47=0,"",IF(C47=1,F47,_xlfn.AGGREGATE(16,6,(Test_Runs!$H$2:$H$144/((Test_Runs!$B$2:$B$144=A47)*(Test_Runs!$E$2:$E$144=B47))),0.25)))</x:f>
        <x:v>33</x:v>
      </x:c>
      <x:c r="J47" t="n">
        <x:f>IF(C47=0,"",IF(C47=1,F47,_xlfn.AGGREGATE(12,6,(Test_Runs!$H$2:$H$144/((Test_Runs!$B$2:$B$144=A47)*(Test_Runs!$E$2:$E$144=B47))))))</x:f>
        <x:v>33</x:v>
      </x:c>
      <x:c r="K47" t="n">
        <x:f>IF(C47=0,"",IF(C47=1,F47,_xlfn.AGGREGATE(16,6,(Test_Runs!$H$2:$H$144/((Test_Runs!$B$2:$B$144=A47)*(Test_Runs!$E$2:$E$144=B47))),0.75)))</x:f>
        <x:v>33</x:v>
      </x:c>
      <x:c r="L47" t="n">
        <x:f>IF(C47=0,"",_xlfn.MAXIFS(Test_Runs!$H:$H,Test_Runs!$B:$B,A47,Test_Runs!$E:$E,B47))</x:f>
        <x:v>33</x:v>
      </x:c>
      <x:c r="M47" t="n">
        <x:f>COUNTIFS(Test_Runs!$B:$B,A47,Test_Runs!$E:$E,B47,Test_Runs!$J:$J,"&gt;0")</x:f>
        <x:v>1</x:v>
      </x:c>
      <x:c r="N47" t="n">
        <x:f>SUMIFS(Test_Runs!$J:$J,Test_Runs!$B:$B,A47,Test_Runs!$E:$E,B47)</x:f>
        <x:v>0.26</x:v>
      </x:c>
      <x:c r="O47" t="n">
        <x:f>IF(M47=0,"",N47/M47)</x:f>
        <x:v>0.26</x:v>
      </x:c>
      <x:c r="P47" t="n">
        <x:f>COUNTIFS(Test_Runs!$B:$B,A47,Test_Runs!$E:$E,B47,Test_Runs!$S:$S,"&gt;0")</x:f>
        <x:v>0</x:v>
      </x:c>
      <x:c r="Q47" t="n">
        <x:f>SUMIFS(Test_Runs!$S:$S,Test_Runs!$B:$B,A47,Test_Runs!$E:$E,B47)</x:f>
        <x:v>0</x:v>
      </x:c>
      <x:c r="R47" t="str">
        <x:f>IF(P47=0,"",Q47/P47)</x:f>
      </x:c>
      <x:c r="S47" t="e">
        <x:f>COUNTIFS(Test_Runs!$B:$B,A47,Test_Runs!$E:$E,B47,Test_Runs!$O:$O,"&gt;0")</x:f>
        <x:v>#VALUE!</x:v>
      </x:c>
      <x:c r="T47" t="e">
        <x:f>SUMIFS(Test_Runs!$O:$O,Test_Runs!$B:$B,A47,Test_Runs!$E:$E,B47)</x:f>
        <x:v>#VALUE!</x:v>
      </x:c>
      <x:c r="U47" t="e">
        <x:f>IF(S47=0,"",T47/S47)</x:f>
        <x:v>#VALUE!</x:v>
      </x:c>
      <x:c r="V47" t="n">
        <x:f>IFERROR(INDEX(Benchmark_Versions!$I:$I,MATCH(B47,Benchmark_Versions!$A:$A,0)),1)</x:f>
        <x:v>1</x:v>
      </x:c>
      <x:c r="W47" t="n">
        <x:f>IF(F47="","",F47*V47)</x:f>
        <x:v>33</x:v>
      </x:c>
      <x:c r="X47" t="n">
        <x:f>IF(OR(W47="",W47=0,O47=""),"",O47/W47)</x:f>
        <x:v>0.00787878787878788</x:v>
      </x:c>
      <x:c r="Y47" t="n">
        <x:f>IF(OR(W47="",O47="",O47=0),"",W47/O47)</x:f>
        <x:v>126.92307692307692</x:v>
      </x:c>
      <x:c r="Z47" t="str">
        <x:f>IF(OR(W47="",R47="",R47=0),"",W47/R47)</x:f>
      </x:c>
    </x:row>
    <x:row r="48">
      <x:c r="A48" t="inlineStr">
        <x:is>
          <x:t xml:space="preserve">openai|gpt-5.6-sol|max|reasoning|fallback-na</x:t>
        </x:is>
      </x:c>
      <x:c r="B48" t="inlineStr">
        <x:is>
          <x:t xml:space="preserve">AA|v4.3.2</x:t>
        </x:is>
      </x:c>
      <x:c r="C48" t="n">
        <x:f>COUNTIFS(Test_Runs!$B:$B,A48,Test_Runs!$E:$E,B48,Test_Runs!$H:$H,"&gt;=0")</x:f>
        <x:v>1</x:v>
      </x:c>
      <x:c r="D48" t="n">
        <x:f>SUMIFS(Test_Runs!$H:$H,Test_Runs!$B:$B,A48,Test_Runs!$E:$E,B48)</x:f>
        <x:v>47</x:v>
      </x:c>
      <x:c r="E48" t="n">
        <x:f>SUMIFS(Test_Runs!$I:$I,Test_Runs!$B:$B,A48,Test_Runs!$E:$E,B48)</x:f>
        <x:v>2209</x:v>
      </x:c>
      <x:c r="F48" t="n">
        <x:f>IF(C48=0,"",D48/C48)</x:f>
        <x:v>47</x:v>
      </x:c>
      <x:c r="G48" t="n">
        <x:f>IF(C48&lt;2,0,SQRT(MAX(0,(E48-(D48*D48/C48))/(C48-1))))</x:f>
        <x:v>0</x:v>
      </x:c>
      <x:c r="H48" t="n">
        <x:f>IF(C48=0,"",IF(C48=1,F48,_xlfn.AGGREGATE(15,6,(Test_Runs!$H$2:$H$144/((Test_Runs!$B$2:$B$144=A48)*(Test_Runs!$E$2:$E$144=B48))),1)))</x:f>
        <x:v>47</x:v>
      </x:c>
      <x:c r="I48" t="n">
        <x:f>IF(C48=0,"",IF(C48=1,F48,_xlfn.AGGREGATE(16,6,(Test_Runs!$H$2:$H$144/((Test_Runs!$B$2:$B$144=A48)*(Test_Runs!$E$2:$E$144=B48))),0.25)))</x:f>
        <x:v>47</x:v>
      </x:c>
      <x:c r="J48" t="n">
        <x:f>IF(C48=0,"",IF(C48=1,F48,_xlfn.AGGREGATE(12,6,(Test_Runs!$H$2:$H$144/((Test_Runs!$B$2:$B$144=A48)*(Test_Runs!$E$2:$E$144=B48))))))</x:f>
        <x:v>47</x:v>
      </x:c>
      <x:c r="K48" t="n">
        <x:f>IF(C48=0,"",IF(C48=1,F48,_xlfn.AGGREGATE(16,6,(Test_Runs!$H$2:$H$144/((Test_Runs!$B$2:$B$144=A48)*(Test_Runs!$E$2:$E$144=B48))),0.75)))</x:f>
        <x:v>47</x:v>
      </x:c>
      <x:c r="L48" t="n">
        <x:f>IF(C48=0,"",_xlfn.MAXIFS(Test_Runs!$H:$H,Test_Runs!$B:$B,A48,Test_Runs!$E:$E,B48))</x:f>
        <x:v>47</x:v>
      </x:c>
      <x:c r="M48" t="n">
        <x:f>COUNTIFS(Test_Runs!$B:$B,A48,Test_Runs!$E:$E,B48,Test_Runs!$J:$J,"&gt;0")</x:f>
        <x:v>1</x:v>
      </x:c>
      <x:c r="N48" t="n">
        <x:f>SUMIFS(Test_Runs!$J:$J,Test_Runs!$B:$B,A48,Test_Runs!$E:$E,B48)</x:f>
        <x:v>1.99</x:v>
      </x:c>
      <x:c r="O48" t="n">
        <x:f>IF(M48=0,"",N48/M48)</x:f>
        <x:v>1.99</x:v>
      </x:c>
      <x:c r="P48" t="n">
        <x:f>COUNTIFS(Test_Runs!$B:$B,A48,Test_Runs!$E:$E,B48,Test_Runs!$S:$S,"&gt;0")</x:f>
        <x:v>0</x:v>
      </x:c>
      <x:c r="Q48" t="n">
        <x:f>SUMIFS(Test_Runs!$S:$S,Test_Runs!$B:$B,A48,Test_Runs!$E:$E,B48)</x:f>
        <x:v>0</x:v>
      </x:c>
      <x:c r="R48" t="str">
        <x:f>IF(P48=0,"",Q48/P48)</x:f>
      </x:c>
      <x:c r="S48" t="e">
        <x:f>COUNTIFS(Test_Runs!$B:$B,A48,Test_Runs!$E:$E,B48,Test_Runs!$O:$O,"&gt;0")</x:f>
        <x:v>#VALUE!</x:v>
      </x:c>
      <x:c r="T48" t="e">
        <x:f>SUMIFS(Test_Runs!$O:$O,Test_Runs!$B:$B,A48,Test_Runs!$E:$E,B48)</x:f>
        <x:v>#VALUE!</x:v>
      </x:c>
      <x:c r="U48" t="e">
        <x:f>IF(S48=0,"",T48/S48)</x:f>
        <x:v>#VALUE!</x:v>
      </x:c>
      <x:c r="V48" t="n">
        <x:f>IFERROR(INDEX(Benchmark_Versions!$I:$I,MATCH(B48,Benchmark_Versions!$A:$A,0)),1)</x:f>
        <x:v>1</x:v>
      </x:c>
      <x:c r="W48" t="n">
        <x:f>IF(F48="","",F48*V48)</x:f>
        <x:v>47</x:v>
      </x:c>
      <x:c r="X48" t="n">
        <x:f>IF(OR(W48="",W48=0,O48=""),"",O48/W48)</x:f>
        <x:v>0.042340425531914895</x:v>
      </x:c>
      <x:c r="Y48" t="n">
        <x:f>IF(OR(W48="",O48="",O48=0),"",W48/O48)</x:f>
        <x:v>23.618090452261306</x:v>
      </x:c>
      <x:c r="Z48" t="str">
        <x:f>IF(OR(W48="",R48="",R48=0),"",W48/R48)</x:f>
      </x:c>
    </x:row>
    <x:row r="49">
      <x:c r="A49" t="inlineStr">
        <x:is>
          <x:t xml:space="preserve">openai|gpt-5.6-sol|medium|reasoning|fallback-na</x:t>
        </x:is>
      </x:c>
      <x:c r="B49" t="inlineStr">
        <x:is>
          <x:t xml:space="preserve">AA|v4.3.2</x:t>
        </x:is>
      </x:c>
      <x:c r="C49" t="n">
        <x:f>COUNTIFS(Test_Runs!$B:$B,A49,Test_Runs!$E:$E,B49,Test_Runs!$H:$H,"&gt;=0")</x:f>
        <x:v>1</x:v>
      </x:c>
      <x:c r="D49" t="n">
        <x:f>SUMIFS(Test_Runs!$H:$H,Test_Runs!$B:$B,A49,Test_Runs!$E:$E,B49)</x:f>
        <x:v>39</x:v>
      </x:c>
      <x:c r="E49" t="n">
        <x:f>SUMIFS(Test_Runs!$I:$I,Test_Runs!$B:$B,A49,Test_Runs!$E:$E,B49)</x:f>
        <x:v>1521</x:v>
      </x:c>
      <x:c r="F49" t="n">
        <x:f>IF(C49=0,"",D49/C49)</x:f>
        <x:v>39</x:v>
      </x:c>
      <x:c r="G49" t="n">
        <x:f>IF(C49&lt;2,0,SQRT(MAX(0,(E49-(D49*D49/C49))/(C49-1))))</x:f>
        <x:v>0</x:v>
      </x:c>
      <x:c r="H49" t="n">
        <x:f>IF(C49=0,"",IF(C49=1,F49,_xlfn.AGGREGATE(15,6,(Test_Runs!$H$2:$H$144/((Test_Runs!$B$2:$B$144=A49)*(Test_Runs!$E$2:$E$144=B49))),1)))</x:f>
        <x:v>39</x:v>
      </x:c>
      <x:c r="I49" t="n">
        <x:f>IF(C49=0,"",IF(C49=1,F49,_xlfn.AGGREGATE(16,6,(Test_Runs!$H$2:$H$144/((Test_Runs!$B$2:$B$144=A49)*(Test_Runs!$E$2:$E$144=B49))),0.25)))</x:f>
        <x:v>39</x:v>
      </x:c>
      <x:c r="J49" t="n">
        <x:f>IF(C49=0,"",IF(C49=1,F49,_xlfn.AGGREGATE(12,6,(Test_Runs!$H$2:$H$144/((Test_Runs!$B$2:$B$144=A49)*(Test_Runs!$E$2:$E$144=B49))))))</x:f>
        <x:v>39</x:v>
      </x:c>
      <x:c r="K49" t="n">
        <x:f>IF(C49=0,"",IF(C49=1,F49,_xlfn.AGGREGATE(16,6,(Test_Runs!$H$2:$H$144/((Test_Runs!$B$2:$B$144=A49)*(Test_Runs!$E$2:$E$144=B49))),0.75)))</x:f>
        <x:v>39</x:v>
      </x:c>
      <x:c r="L49" t="n">
        <x:f>IF(C49=0,"",_xlfn.MAXIFS(Test_Runs!$H:$H,Test_Runs!$B:$B,A49,Test_Runs!$E:$E,B49))</x:f>
        <x:v>39</x:v>
      </x:c>
      <x:c r="M49" t="n">
        <x:f>COUNTIFS(Test_Runs!$B:$B,A49,Test_Runs!$E:$E,B49,Test_Runs!$J:$J,"&gt;0")</x:f>
        <x:v>1</x:v>
      </x:c>
      <x:c r="N49" t="n">
        <x:f>SUMIFS(Test_Runs!$J:$J,Test_Runs!$B:$B,A49,Test_Runs!$E:$E,B49)</x:f>
        <x:v>0.5</x:v>
      </x:c>
      <x:c r="O49" t="n">
        <x:f>IF(M49=0,"",N49/M49)</x:f>
        <x:v>0.5</x:v>
      </x:c>
      <x:c r="P49" t="n">
        <x:f>COUNTIFS(Test_Runs!$B:$B,A49,Test_Runs!$E:$E,B49,Test_Runs!$S:$S,"&gt;0")</x:f>
        <x:v>0</x:v>
      </x:c>
      <x:c r="Q49" t="n">
        <x:f>SUMIFS(Test_Runs!$S:$S,Test_Runs!$B:$B,A49,Test_Runs!$E:$E,B49)</x:f>
        <x:v>0</x:v>
      </x:c>
      <x:c r="R49" t="str">
        <x:f>IF(P49=0,"",Q49/P49)</x:f>
      </x:c>
      <x:c r="S49" t="e">
        <x:f>COUNTIFS(Test_Runs!$B:$B,A49,Test_Runs!$E:$E,B49,Test_Runs!$O:$O,"&gt;0")</x:f>
        <x:v>#VALUE!</x:v>
      </x:c>
      <x:c r="T49" t="e">
        <x:f>SUMIFS(Test_Runs!$O:$O,Test_Runs!$B:$B,A49,Test_Runs!$E:$E,B49)</x:f>
        <x:v>#VALUE!</x:v>
      </x:c>
      <x:c r="U49" t="e">
        <x:f>IF(S49=0,"",T49/S49)</x:f>
        <x:v>#VALUE!</x:v>
      </x:c>
      <x:c r="V49" t="n">
        <x:f>IFERROR(INDEX(Benchmark_Versions!$I:$I,MATCH(B49,Benchmark_Versions!$A:$A,0)),1)</x:f>
        <x:v>1</x:v>
      </x:c>
      <x:c r="W49" t="n">
        <x:f>IF(F49="","",F49*V49)</x:f>
        <x:v>39</x:v>
      </x:c>
      <x:c r="X49" t="n">
        <x:f>IF(OR(W49="",W49=0,O49=""),"",O49/W49)</x:f>
        <x:v>0.01282051282051282</x:v>
      </x:c>
      <x:c r="Y49" t="n">
        <x:f>IF(OR(W49="",O49="",O49=0),"",W49/O49)</x:f>
        <x:v>78</x:v>
      </x:c>
      <x:c r="Z49" t="str">
        <x:f>IF(OR(W49="",R49="",R49=0),"",W49/R49)</x:f>
      </x:c>
    </x:row>
    <x:row r="50">
      <x:c r="A50" t="inlineStr">
        <x:is>
          <x:t xml:space="preserve">openai|gpt-5.6-sol|non-reasoning|nonreasoning|fallback-na</x:t>
        </x:is>
      </x:c>
      <x:c r="B50" t="inlineStr">
        <x:is>
          <x:t xml:space="preserve">AA|v4.3.2</x:t>
        </x:is>
      </x:c>
      <x:c r="C50" t="n">
        <x:f>COUNTIFS(Test_Runs!$B:$B,A50,Test_Runs!$E:$E,B50,Test_Runs!$H:$H,"&gt;=0")</x:f>
        <x:v>1</x:v>
      </x:c>
      <x:c r="D50" t="n">
        <x:f>SUMIFS(Test_Runs!$H:$H,Test_Runs!$B:$B,A50,Test_Runs!$E:$E,B50)</x:f>
        <x:v>28</x:v>
      </x:c>
      <x:c r="E50" t="n">
        <x:f>SUMIFS(Test_Runs!$I:$I,Test_Runs!$B:$B,A50,Test_Runs!$E:$E,B50)</x:f>
        <x:v>784</x:v>
      </x:c>
      <x:c r="F50" t="n">
        <x:f>IF(C50=0,"",D50/C50)</x:f>
        <x:v>28</x:v>
      </x:c>
      <x:c r="G50" t="n">
        <x:f>IF(C50&lt;2,0,SQRT(MAX(0,(E50-(D50*D50/C50))/(C50-1))))</x:f>
        <x:v>0</x:v>
      </x:c>
      <x:c r="H50" t="n">
        <x:f>IF(C50=0,"",IF(C50=1,F50,_xlfn.AGGREGATE(15,6,(Test_Runs!$H$2:$H$144/((Test_Runs!$B$2:$B$144=A50)*(Test_Runs!$E$2:$E$144=B50))),1)))</x:f>
        <x:v>28</x:v>
      </x:c>
      <x:c r="I50" t="n">
        <x:f>IF(C50=0,"",IF(C50=1,F50,_xlfn.AGGREGATE(16,6,(Test_Runs!$H$2:$H$144/((Test_Runs!$B$2:$B$144=A50)*(Test_Runs!$E$2:$E$144=B50))),0.25)))</x:f>
        <x:v>28</x:v>
      </x:c>
      <x:c r="J50" t="n">
        <x:f>IF(C50=0,"",IF(C50=1,F50,_xlfn.AGGREGATE(12,6,(Test_Runs!$H$2:$H$144/((Test_Runs!$B$2:$B$144=A50)*(Test_Runs!$E$2:$E$144=B50))))))</x:f>
        <x:v>28</x:v>
      </x:c>
      <x:c r="K50" t="n">
        <x:f>IF(C50=0,"",IF(C50=1,F50,_xlfn.AGGREGATE(16,6,(Test_Runs!$H$2:$H$144/((Test_Runs!$B$2:$B$144=A50)*(Test_Runs!$E$2:$E$144=B50))),0.75)))</x:f>
        <x:v>28</x:v>
      </x:c>
      <x:c r="L50" t="n">
        <x:f>IF(C50=0,"",_xlfn.MAXIFS(Test_Runs!$H:$H,Test_Runs!$B:$B,A50,Test_Runs!$E:$E,B50))</x:f>
        <x:v>28</x:v>
      </x:c>
      <x:c r="M50" t="n">
        <x:f>COUNTIFS(Test_Runs!$B:$B,A50,Test_Runs!$E:$E,B50,Test_Runs!$J:$J,"&gt;0")</x:f>
        <x:v>0</x:v>
      </x:c>
      <x:c r="N50" t="n">
        <x:f>SUMIFS(Test_Runs!$J:$J,Test_Runs!$B:$B,A50,Test_Runs!$E:$E,B50)</x:f>
        <x:v>0</x:v>
      </x:c>
      <x:c r="O50" t="str">
        <x:f>IF(M50=0,"",N50/M50)</x:f>
      </x:c>
      <x:c r="P50" t="n">
        <x:f>COUNTIFS(Test_Runs!$B:$B,A50,Test_Runs!$E:$E,B50,Test_Runs!$S:$S,"&gt;0")</x:f>
        <x:v>0</x:v>
      </x:c>
      <x:c r="Q50" t="n">
        <x:f>SUMIFS(Test_Runs!$S:$S,Test_Runs!$B:$B,A50,Test_Runs!$E:$E,B50)</x:f>
        <x:v>0</x:v>
      </x:c>
      <x:c r="R50" t="str">
        <x:f>IF(P50=0,"",Q50/P50)</x:f>
      </x:c>
      <x:c r="S50" t="e">
        <x:f>COUNTIFS(Test_Runs!$B:$B,A50,Test_Runs!$E:$E,B50,Test_Runs!$O:$O,"&gt;0")</x:f>
        <x:v>#VALUE!</x:v>
      </x:c>
      <x:c r="T50" t="e">
        <x:f>SUMIFS(Test_Runs!$O:$O,Test_Runs!$B:$B,A50,Test_Runs!$E:$E,B50)</x:f>
        <x:v>#VALUE!</x:v>
      </x:c>
      <x:c r="U50" t="e">
        <x:f>IF(S50=0,"",T50/S50)</x:f>
        <x:v>#VALUE!</x:v>
      </x:c>
      <x:c r="V50" t="n">
        <x:f>IFERROR(INDEX(Benchmark_Versions!$I:$I,MATCH(B50,Benchmark_Versions!$A:$A,0)),1)</x:f>
        <x:v>1</x:v>
      </x:c>
      <x:c r="W50" t="n">
        <x:f>IF(F50="","",F50*V50)</x:f>
        <x:v>28</x:v>
      </x:c>
      <x:c r="X50" t="str">
        <x:f>IF(OR(W50="",W50=0,O50=""),"",O50/W50)</x:f>
      </x:c>
      <x:c r="Y50" t="str">
        <x:f>IF(OR(W50="",O50="",O50=0),"",W50/O50)</x:f>
      </x:c>
      <x:c r="Z50" t="str">
        <x:f>IF(OR(W50="",R50="",R50=0),"",W50/R50)</x:f>
      </x:c>
    </x:row>
    <x:row r="51">
      <x:c r="A51" t="inlineStr">
        <x:is>
          <x:t xml:space="preserve">openai|gpt-5.6-sol|xhigh|reasoning|fallback-na</x:t>
        </x:is>
      </x:c>
      <x:c r="B51" t="inlineStr">
        <x:is>
          <x:t xml:space="preserve">AA|v4.3.2</x:t>
        </x:is>
      </x:c>
      <x:c r="C51" t="n">
        <x:f>COUNTIFS(Test_Runs!$B:$B,A51,Test_Runs!$E:$E,B51,Test_Runs!$H:$H,"&gt;=0")</x:f>
        <x:v>1</x:v>
      </x:c>
      <x:c r="D51" t="n">
        <x:f>SUMIFS(Test_Runs!$H:$H,Test_Runs!$B:$B,A51,Test_Runs!$E:$E,B51)</x:f>
        <x:v>44</x:v>
      </x:c>
      <x:c r="E51" t="n">
        <x:f>SUMIFS(Test_Runs!$I:$I,Test_Runs!$B:$B,A51,Test_Runs!$E:$E,B51)</x:f>
        <x:v>1936</x:v>
      </x:c>
      <x:c r="F51" t="n">
        <x:f>IF(C51=0,"",D51/C51)</x:f>
        <x:v>44</x:v>
      </x:c>
      <x:c r="G51" t="n">
        <x:f>IF(C51&lt;2,0,SQRT(MAX(0,(E51-(D51*D51/C51))/(C51-1))))</x:f>
        <x:v>0</x:v>
      </x:c>
      <x:c r="H51" t="n">
        <x:f>IF(C51=0,"",IF(C51=1,F51,_xlfn.AGGREGATE(15,6,(Test_Runs!$H$2:$H$144/((Test_Runs!$B$2:$B$144=A51)*(Test_Runs!$E$2:$E$144=B51))),1)))</x:f>
        <x:v>44</x:v>
      </x:c>
      <x:c r="I51" t="n">
        <x:f>IF(C51=0,"",IF(C51=1,F51,_xlfn.AGGREGATE(16,6,(Test_Runs!$H$2:$H$144/((Test_Runs!$B$2:$B$144=A51)*(Test_Runs!$E$2:$E$144=B51))),0.25)))</x:f>
        <x:v>44</x:v>
      </x:c>
      <x:c r="J51" t="n">
        <x:f>IF(C51=0,"",IF(C51=1,F51,_xlfn.AGGREGATE(12,6,(Test_Runs!$H$2:$H$144/((Test_Runs!$B$2:$B$144=A51)*(Test_Runs!$E$2:$E$144=B51))))))</x:f>
        <x:v>44</x:v>
      </x:c>
      <x:c r="K51" t="n">
        <x:f>IF(C51=0,"",IF(C51=1,F51,_xlfn.AGGREGATE(16,6,(Test_Runs!$H$2:$H$144/((Test_Runs!$B$2:$B$144=A51)*(Test_Runs!$E$2:$E$144=B51))),0.75)))</x:f>
        <x:v>44</x:v>
      </x:c>
      <x:c r="L51" t="n">
        <x:f>IF(C51=0,"",_xlfn.MAXIFS(Test_Runs!$H:$H,Test_Runs!$B:$B,A51,Test_Runs!$E:$E,B51))</x:f>
        <x:v>44</x:v>
      </x:c>
      <x:c r="M51" t="n">
        <x:f>COUNTIFS(Test_Runs!$B:$B,A51,Test_Runs!$E:$E,B51,Test_Runs!$J:$J,"&gt;0")</x:f>
        <x:v>1</x:v>
      </x:c>
      <x:c r="N51" t="n">
        <x:f>SUMIFS(Test_Runs!$J:$J,Test_Runs!$B:$B,A51,Test_Runs!$E:$E,B51)</x:f>
        <x:v>1.18</x:v>
      </x:c>
      <x:c r="O51" t="n">
        <x:f>IF(M51=0,"",N51/M51)</x:f>
        <x:v>1.18</x:v>
      </x:c>
      <x:c r="P51" t="n">
        <x:f>COUNTIFS(Test_Runs!$B:$B,A51,Test_Runs!$E:$E,B51,Test_Runs!$S:$S,"&gt;0")</x:f>
        <x:v>0</x:v>
      </x:c>
      <x:c r="Q51" t="n">
        <x:f>SUMIFS(Test_Runs!$S:$S,Test_Runs!$B:$B,A51,Test_Runs!$E:$E,B51)</x:f>
        <x:v>0</x:v>
      </x:c>
      <x:c r="R51" t="str">
        <x:f>IF(P51=0,"",Q51/P51)</x:f>
      </x:c>
      <x:c r="S51" t="e">
        <x:f>COUNTIFS(Test_Runs!$B:$B,A51,Test_Runs!$E:$E,B51,Test_Runs!$O:$O,"&gt;0")</x:f>
        <x:v>#VALUE!</x:v>
      </x:c>
      <x:c r="T51" t="e">
        <x:f>SUMIFS(Test_Runs!$O:$O,Test_Runs!$B:$B,A51,Test_Runs!$E:$E,B51)</x:f>
        <x:v>#VALUE!</x:v>
      </x:c>
      <x:c r="U51" t="e">
        <x:f>IF(S51=0,"",T51/S51)</x:f>
        <x:v>#VALUE!</x:v>
      </x:c>
      <x:c r="V51" t="n">
        <x:f>IFERROR(INDEX(Benchmark_Versions!$I:$I,MATCH(B51,Benchmark_Versions!$A:$A,0)),1)</x:f>
        <x:v>1</x:v>
      </x:c>
      <x:c r="W51" t="n">
        <x:f>IF(F51="","",F51*V51)</x:f>
        <x:v>44</x:v>
      </x:c>
      <x:c r="X51" t="n">
        <x:f>IF(OR(W51="",W51=0,O51=""),"",O51/W51)</x:f>
        <x:v>0.026818181818181817</x:v>
      </x:c>
      <x:c r="Y51" t="n">
        <x:f>IF(OR(W51="",O51="",O51=0),"",W51/O51)</x:f>
        <x:v>37.28813559322034</x:v>
      </x:c>
      <x:c r="Z51" t="str">
        <x:f>IF(OR(W51="",R51="",R51=0),"",W51/R51)</x:f>
      </x:c>
    </x:row>
    <x:row r="52">
      <x:c r="A52" t="inlineStr">
        <x:is>
          <x:t xml:space="preserve">openai|gpt-6-astra|high|reasoning|fallback-na</x:t>
        </x:is>
      </x:c>
      <x:c r="B52" t="inlineStr">
        <x:is>
          <x:t xml:space="preserve">AA|v4.3.2</x:t>
        </x:is>
      </x:c>
      <x:c r="C52" t="n">
        <x:f>COUNTIFS(Test_Runs!$B:$B,A52,Test_Runs!$E:$E,B52,Test_Runs!$H:$H,"&gt;=0")</x:f>
        <x:v>2</x:v>
      </x:c>
      <x:c r="D52" t="n">
        <x:f>SUMIFS(Test_Runs!$H:$H,Test_Runs!$B:$B,A52,Test_Runs!$E:$E,B52)</x:f>
        <x:v>102</x:v>
      </x:c>
      <x:c r="E52" t="n">
        <x:f>SUMIFS(Test_Runs!$I:$I,Test_Runs!$B:$B,A52,Test_Runs!$E:$E,B52)</x:f>
        <x:v>5202</x:v>
      </x:c>
      <x:c r="F52" t="n">
        <x:f>IF(C52=0,"",D52/C52)</x:f>
        <x:v>51</x:v>
      </x:c>
      <x:c r="G52" t="n">
        <x:f>IF(C52&lt;2,0,SQRT(MAX(0,(E52-(D52*D52/C52))/(C52-1))))</x:f>
        <x:v>0</x:v>
      </x:c>
      <x:c r="H52" t="n">
        <x:f>IF(C52=0,"",IF(C52=1,F52,_xlfn.AGGREGATE(15,6,(Test_Runs!$H$2:$H$144/((Test_Runs!$B$2:$B$144=A52)*(Test_Runs!$E$2:$E$144=B52))),1)))</x:f>
        <x:v>0</x:v>
      </x:c>
      <x:c r="I52" t="n">
        <x:f>IF(C52=0,"",IF(C52=1,F52,_xlfn.AGGREGATE(16,6,(Test_Runs!$H$2:$H$144/((Test_Runs!$B$2:$B$144=A52)*(Test_Runs!$E$2:$E$144=B52))),0.25)))</x:f>
        <x:v>0</x:v>
      </x:c>
      <x:c r="J52" t="str">
        <x:f>IF(C52=0,"",IF(C52=1,F52,_xlfn.AGGREGATE(12,6,(Test_Runs!$H$2:$H$144/((Test_Runs!$B$2:$B$144=A52)*(Test_Runs!$E$2:$E$144=B52))))))</x:f>
      </x:c>
      <x:c r="K52" t="n">
        <x:f>IF(C52=0,"",IF(C52=1,F52,_xlfn.AGGREGATE(16,6,(Test_Runs!$H$2:$H$144/((Test_Runs!$B$2:$B$144=A52)*(Test_Runs!$E$2:$E$144=B52))),0.75)))</x:f>
        <x:v>0</x:v>
      </x:c>
      <x:c r="L52" t="n">
        <x:f>IF(C52=0,"",_xlfn.MAXIFS(Test_Runs!$H:$H,Test_Runs!$B:$B,A52,Test_Runs!$E:$E,B52))</x:f>
        <x:v>51</x:v>
      </x:c>
      <x:c r="M52" t="n">
        <x:f>COUNTIFS(Test_Runs!$B:$B,A52,Test_Runs!$E:$E,B52,Test_Runs!$J:$J,"&gt;0")</x:f>
        <x:v>2</x:v>
      </x:c>
      <x:c r="N52" t="n">
        <x:f>SUMIFS(Test_Runs!$J:$J,Test_Runs!$B:$B,A52,Test_Runs!$E:$E,B52)</x:f>
        <x:v>3.46</x:v>
      </x:c>
      <x:c r="O52" t="n">
        <x:f>IF(M52=0,"",N52/M52)</x:f>
        <x:v>1.73</x:v>
      </x:c>
      <x:c r="P52" t="n">
        <x:f>COUNTIFS(Test_Runs!$B:$B,A52,Test_Runs!$E:$E,B52,Test_Runs!$S:$S,"&gt;0")</x:f>
        <x:v>1</x:v>
      </x:c>
      <x:c r="Q52" t="n">
        <x:f>SUMIFS(Test_Runs!$S:$S,Test_Runs!$B:$B,A52,Test_Runs!$E:$E,B52)</x:f>
        <x:v>227.58</x:v>
      </x:c>
      <x:c r="R52" t="n">
        <x:f>IF(P52=0,"",Q52/P52)</x:f>
        <x:v>227.58</x:v>
      </x:c>
      <x:c r="S52" t="e">
        <x:f>COUNTIFS(Test_Runs!$B:$B,A52,Test_Runs!$E:$E,B52,Test_Runs!$O:$O,"&gt;0")</x:f>
        <x:v>#VALUE!</x:v>
      </x:c>
      <x:c r="T52" t="e">
        <x:f>SUMIFS(Test_Runs!$O:$O,Test_Runs!$B:$B,A52,Test_Runs!$E:$E,B52)</x:f>
        <x:v>#VALUE!</x:v>
      </x:c>
      <x:c r="U52" t="e">
        <x:f>IF(S52=0,"",T52/S52)</x:f>
        <x:v>#VALUE!</x:v>
      </x:c>
      <x:c r="V52" t="n">
        <x:f>IFERROR(INDEX(Benchmark_Versions!$I:$I,MATCH(B52,Benchmark_Versions!$A:$A,0)),1)</x:f>
        <x:v>1</x:v>
      </x:c>
      <x:c r="W52" t="n">
        <x:f>IF(F52="","",F52*V52)</x:f>
        <x:v>51</x:v>
      </x:c>
      <x:c r="X52" t="n">
        <x:f>IF(OR(W52="",W52=0,O52=""),"",O52/W52)</x:f>
        <x:v>0.03392156862745098</x:v>
      </x:c>
      <x:c r="Y52" t="n">
        <x:f>IF(OR(W52="",O52="",O52=0),"",W52/O52)</x:f>
        <x:v>29.479768786127167</x:v>
      </x:c>
      <x:c r="Z52" t="n">
        <x:f>IF(OR(W52="",R52="",R52=0),"",W52/R52)</x:f>
        <x:v>0.22409702082784075</x:v>
      </x:c>
    </x:row>
    <x:row r="53">
      <x:c r="A53" t="inlineStr">
        <x:is>
          <x:t xml:space="preserve">openai|gpt-6-astra|low|reasoning|fallback-na</x:t>
        </x:is>
      </x:c>
      <x:c r="B53" t="inlineStr">
        <x:is>
          <x:t xml:space="preserve">AA|v4.3.2</x:t>
        </x:is>
      </x:c>
      <x:c r="C53" t="n">
        <x:f>COUNTIFS(Test_Runs!$B:$B,A53,Test_Runs!$E:$E,B53,Test_Runs!$H:$H,"&gt;=0")</x:f>
        <x:v>2</x:v>
      </x:c>
      <x:c r="D53" t="n">
        <x:f>SUMIFS(Test_Runs!$H:$H,Test_Runs!$B:$B,A53,Test_Runs!$E:$E,B53)</x:f>
        <x:v>92</x:v>
      </x:c>
      <x:c r="E53" t="n">
        <x:f>SUMIFS(Test_Runs!$I:$I,Test_Runs!$B:$B,A53,Test_Runs!$E:$E,B53)</x:f>
        <x:v>4232</x:v>
      </x:c>
      <x:c r="F53" t="n">
        <x:f>IF(C53=0,"",D53/C53)</x:f>
        <x:v>46</x:v>
      </x:c>
      <x:c r="G53" t="n">
        <x:f>IF(C53&lt;2,0,SQRT(MAX(0,(E53-(D53*D53/C53))/(C53-1))))</x:f>
        <x:v>0</x:v>
      </x:c>
      <x:c r="H53" t="n">
        <x:f>IF(C53=0,"",IF(C53=1,F53,_xlfn.AGGREGATE(15,6,(Test_Runs!$H$2:$H$144/((Test_Runs!$B$2:$B$144=A53)*(Test_Runs!$E$2:$E$144=B53))),1)))</x:f>
        <x:v>0</x:v>
      </x:c>
      <x:c r="I53" t="n">
        <x:f>IF(C53=0,"",IF(C53=1,F53,_xlfn.AGGREGATE(16,6,(Test_Runs!$H$2:$H$144/((Test_Runs!$B$2:$B$144=A53)*(Test_Runs!$E$2:$E$144=B53))),0.25)))</x:f>
        <x:v>0</x:v>
      </x:c>
      <x:c r="J53" t="str">
        <x:f>IF(C53=0,"",IF(C53=1,F53,_xlfn.AGGREGATE(12,6,(Test_Runs!$H$2:$H$144/((Test_Runs!$B$2:$B$144=A53)*(Test_Runs!$E$2:$E$144=B53))))))</x:f>
      </x:c>
      <x:c r="K53" t="n">
        <x:f>IF(C53=0,"",IF(C53=1,F53,_xlfn.AGGREGATE(16,6,(Test_Runs!$H$2:$H$144/((Test_Runs!$B$2:$B$144=A53)*(Test_Runs!$E$2:$E$144=B53))),0.75)))</x:f>
        <x:v>0</x:v>
      </x:c>
      <x:c r="L53" t="n">
        <x:f>IF(C53=0,"",_xlfn.MAXIFS(Test_Runs!$H:$H,Test_Runs!$B:$B,A53,Test_Runs!$E:$E,B53))</x:f>
        <x:v>46</x:v>
      </x:c>
      <x:c r="M53" t="n">
        <x:f>COUNTIFS(Test_Runs!$B:$B,A53,Test_Runs!$E:$E,B53,Test_Runs!$J:$J,"&gt;0")</x:f>
        <x:v>2</x:v>
      </x:c>
      <x:c r="N53" t="n">
        <x:f>SUMIFS(Test_Runs!$J:$J,Test_Runs!$B:$B,A53,Test_Runs!$E:$E,B53)</x:f>
        <x:v>1.64</x:v>
      </x:c>
      <x:c r="O53" t="n">
        <x:f>IF(M53=0,"",N53/M53)</x:f>
        <x:v>0.82</x:v>
      </x:c>
      <x:c r="P53" t="n">
        <x:f>COUNTIFS(Test_Runs!$B:$B,A53,Test_Runs!$E:$E,B53,Test_Runs!$S:$S,"&gt;0")</x:f>
        <x:v>1</x:v>
      </x:c>
      <x:c r="Q53" t="n">
        <x:f>SUMIFS(Test_Runs!$S:$S,Test_Runs!$B:$B,A53,Test_Runs!$E:$E,B53)</x:f>
        <x:v>84.99</x:v>
      </x:c>
      <x:c r="R53" t="n">
        <x:f>IF(P53=0,"",Q53/P53)</x:f>
        <x:v>84.99</x:v>
      </x:c>
      <x:c r="S53" t="e">
        <x:f>COUNTIFS(Test_Runs!$B:$B,A53,Test_Runs!$E:$E,B53,Test_Runs!$O:$O,"&gt;0")</x:f>
        <x:v>#VALUE!</x:v>
      </x:c>
      <x:c r="T53" t="e">
        <x:f>SUMIFS(Test_Runs!$O:$O,Test_Runs!$B:$B,A53,Test_Runs!$E:$E,B53)</x:f>
        <x:v>#VALUE!</x:v>
      </x:c>
      <x:c r="U53" t="e">
        <x:f>IF(S53=0,"",T53/S53)</x:f>
        <x:v>#VALUE!</x:v>
      </x:c>
      <x:c r="V53" t="n">
        <x:f>IFERROR(INDEX(Benchmark_Versions!$I:$I,MATCH(B53,Benchmark_Versions!$A:$A,0)),1)</x:f>
        <x:v>1</x:v>
      </x:c>
      <x:c r="W53" t="n">
        <x:f>IF(F53="","",F53*V53)</x:f>
        <x:v>46</x:v>
      </x:c>
      <x:c r="X53" t="n">
        <x:f>IF(OR(W53="",W53=0,O53=""),"",O53/W53)</x:f>
        <x:v>0.017826086956521738</x:v>
      </x:c>
      <x:c r="Y53" t="n">
        <x:f>IF(OR(W53="",O53="",O53=0),"",W53/O53)</x:f>
        <x:v>56.09756097560976</x:v>
      </x:c>
      <x:c r="Z53" t="n">
        <x:f>IF(OR(W53="",R53="",R53=0),"",W53/R53)</x:f>
        <x:v>0.5412401458995176</x:v>
      </x:c>
    </x:row>
    <x:row r="54">
      <x:c r="A54" t="inlineStr">
        <x:is>
          <x:t xml:space="preserve">openai|gpt-6-astra|max|reasoning|fallback-na</x:t>
        </x:is>
      </x:c>
      <x:c r="B54" t="inlineStr">
        <x:is>
          <x:t xml:space="preserve">AA|v4.3.2</x:t>
        </x:is>
      </x:c>
      <x:c r="C54" t="n">
        <x:f>COUNTIFS(Test_Runs!$B:$B,A54,Test_Runs!$E:$E,B54,Test_Runs!$H:$H,"&gt;=0")</x:f>
        <x:v>2</x:v>
      </x:c>
      <x:c r="D54" t="n">
        <x:f>SUMIFS(Test_Runs!$H:$H,Test_Runs!$B:$B,A54,Test_Runs!$E:$E,B54)</x:f>
        <x:v>106</x:v>
      </x:c>
      <x:c r="E54" t="n">
        <x:f>SUMIFS(Test_Runs!$I:$I,Test_Runs!$B:$B,A54,Test_Runs!$E:$E,B54)</x:f>
        <x:v>5618</x:v>
      </x:c>
      <x:c r="F54" t="n">
        <x:f>IF(C54=0,"",D54/C54)</x:f>
        <x:v>53</x:v>
      </x:c>
      <x:c r="G54" t="n">
        <x:f>IF(C54&lt;2,0,SQRT(MAX(0,(E54-(D54*D54/C54))/(C54-1))))</x:f>
        <x:v>0</x:v>
      </x:c>
      <x:c r="H54" t="n">
        <x:f>IF(C54=0,"",IF(C54=1,F54,_xlfn.AGGREGATE(15,6,(Test_Runs!$H$2:$H$144/((Test_Runs!$B$2:$B$144=A54)*(Test_Runs!$E$2:$E$144=B54))),1)))</x:f>
        <x:v>0</x:v>
      </x:c>
      <x:c r="I54" t="n">
        <x:f>IF(C54=0,"",IF(C54=1,F54,_xlfn.AGGREGATE(16,6,(Test_Runs!$H$2:$H$144/((Test_Runs!$B$2:$B$144=A54)*(Test_Runs!$E$2:$E$144=B54))),0.25)))</x:f>
        <x:v>0</x:v>
      </x:c>
      <x:c r="J54" t="str">
        <x:f>IF(C54=0,"",IF(C54=1,F54,_xlfn.AGGREGATE(12,6,(Test_Runs!$H$2:$H$144/((Test_Runs!$B$2:$B$144=A54)*(Test_Runs!$E$2:$E$144=B54))))))</x:f>
      </x:c>
      <x:c r="K54" t="n">
        <x:f>IF(C54=0,"",IF(C54=1,F54,_xlfn.AGGREGATE(16,6,(Test_Runs!$H$2:$H$144/((Test_Runs!$B$2:$B$144=A54)*(Test_Runs!$E$2:$E$144=B54))),0.75)))</x:f>
        <x:v>0</x:v>
      </x:c>
      <x:c r="L54" t="n">
        <x:f>IF(C54=0,"",_xlfn.MAXIFS(Test_Runs!$H:$H,Test_Runs!$B:$B,A54,Test_Runs!$E:$E,B54))</x:f>
        <x:v>53</x:v>
      </x:c>
      <x:c r="M54" t="n">
        <x:f>COUNTIFS(Test_Runs!$B:$B,A54,Test_Runs!$E:$E,B54,Test_Runs!$J:$J,"&gt;0")</x:f>
        <x:v>2</x:v>
      </x:c>
      <x:c r="N54" t="n">
        <x:f>SUMIFS(Test_Runs!$J:$J,Test_Runs!$B:$B,A54,Test_Runs!$E:$E,B54)</x:f>
        <x:v>6.52</x:v>
      </x:c>
      <x:c r="O54" t="n">
        <x:f>IF(M54=0,"",N54/M54)</x:f>
        <x:v>3.26</x:v>
      </x:c>
      <x:c r="P54" t="n">
        <x:f>COUNTIFS(Test_Runs!$B:$B,A54,Test_Runs!$E:$E,B54,Test_Runs!$S:$S,"&gt;0")</x:f>
        <x:v>1</x:v>
      </x:c>
      <x:c r="Q54" t="n">
        <x:f>SUMIFS(Test_Runs!$S:$S,Test_Runs!$B:$B,A54,Test_Runs!$E:$E,B54)</x:f>
        <x:v>424.31</x:v>
      </x:c>
      <x:c r="R54" t="n">
        <x:f>IF(P54=0,"",Q54/P54)</x:f>
        <x:v>424.31</x:v>
      </x:c>
      <x:c r="S54" t="e">
        <x:f>COUNTIFS(Test_Runs!$B:$B,A54,Test_Runs!$E:$E,B54,Test_Runs!$O:$O,"&gt;0")</x:f>
        <x:v>#VALUE!</x:v>
      </x:c>
      <x:c r="T54" t="e">
        <x:f>SUMIFS(Test_Runs!$O:$O,Test_Runs!$B:$B,A54,Test_Runs!$E:$E,B54)</x:f>
        <x:v>#VALUE!</x:v>
      </x:c>
      <x:c r="U54" t="e">
        <x:f>IF(S54=0,"",T54/S54)</x:f>
        <x:v>#VALUE!</x:v>
      </x:c>
      <x:c r="V54" t="n">
        <x:f>IFERROR(INDEX(Benchmark_Versions!$I:$I,MATCH(B54,Benchmark_Versions!$A:$A,0)),1)</x:f>
        <x:v>1</x:v>
      </x:c>
      <x:c r="W54" t="n">
        <x:f>IF(F54="","",F54*V54)</x:f>
        <x:v>53</x:v>
      </x:c>
      <x:c r="X54" t="n">
        <x:f>IF(OR(W54="",W54=0,O54=""),"",O54/W54)</x:f>
        <x:v>0.061509433962264146</x:v>
      </x:c>
      <x:c r="Y54" t="n">
        <x:f>IF(OR(W54="",O54="",O54=0),"",W54/O54)</x:f>
        <x:v>16.257668711656443</x:v>
      </x:c>
      <x:c r="Z54" t="n">
        <x:f>IF(OR(W54="",R54="",R54=0),"",W54/R54)</x:f>
        <x:v>0.124908675261012</x:v>
      </x:c>
    </x:row>
    <x:row r="55">
      <x:c r="A55" t="inlineStr">
        <x:is>
          <x:t xml:space="preserve">openai|gpt-6-astra|medium|reasoning|fallback-na</x:t>
        </x:is>
      </x:c>
      <x:c r="B55" t="inlineStr">
        <x:is>
          <x:t xml:space="preserve">AA|v4.3.2</x:t>
        </x:is>
      </x:c>
      <x:c r="C55" t="n">
        <x:f>COUNTIFS(Test_Runs!$B:$B,A55,Test_Runs!$E:$E,B55,Test_Runs!$H:$H,"&gt;=0")</x:f>
        <x:v>2</x:v>
      </x:c>
      <x:c r="D55" t="n">
        <x:f>SUMIFS(Test_Runs!$H:$H,Test_Runs!$B:$B,A55,Test_Runs!$E:$E,B55)</x:f>
        <x:v>100</x:v>
      </x:c>
      <x:c r="E55" t="n">
        <x:f>SUMIFS(Test_Runs!$I:$I,Test_Runs!$B:$B,A55,Test_Runs!$E:$E,B55)</x:f>
        <x:v>5000</x:v>
      </x:c>
      <x:c r="F55" t="n">
        <x:f>IF(C55=0,"",D55/C55)</x:f>
        <x:v>50</x:v>
      </x:c>
      <x:c r="G55" t="n">
        <x:f>IF(C55&lt;2,0,SQRT(MAX(0,(E55-(D55*D55/C55))/(C55-1))))</x:f>
        <x:v>0</x:v>
      </x:c>
      <x:c r="H55" t="n">
        <x:f>IF(C55=0,"",IF(C55=1,F55,_xlfn.AGGREGATE(15,6,(Test_Runs!$H$2:$H$144/((Test_Runs!$B$2:$B$144=A55)*(Test_Runs!$E$2:$E$144=B55))),1)))</x:f>
        <x:v>0</x:v>
      </x:c>
      <x:c r="I55" t="n">
        <x:f>IF(C55=0,"",IF(C55=1,F55,_xlfn.AGGREGATE(16,6,(Test_Runs!$H$2:$H$144/((Test_Runs!$B$2:$B$144=A55)*(Test_Runs!$E$2:$E$144=B55))),0.25)))</x:f>
        <x:v>0</x:v>
      </x:c>
      <x:c r="J55" t="str">
        <x:f>IF(C55=0,"",IF(C55=1,F55,_xlfn.AGGREGATE(12,6,(Test_Runs!$H$2:$H$144/((Test_Runs!$B$2:$B$144=A55)*(Test_Runs!$E$2:$E$144=B55))))))</x:f>
      </x:c>
      <x:c r="K55" t="n">
        <x:f>IF(C55=0,"",IF(C55=1,F55,_xlfn.AGGREGATE(16,6,(Test_Runs!$H$2:$H$144/((Test_Runs!$B$2:$B$144=A55)*(Test_Runs!$E$2:$E$144=B55))),0.75)))</x:f>
        <x:v>0</x:v>
      </x:c>
      <x:c r="L55" t="n">
        <x:f>IF(C55=0,"",_xlfn.MAXIFS(Test_Runs!$H:$H,Test_Runs!$B:$B,A55,Test_Runs!$E:$E,B55))</x:f>
        <x:v>50</x:v>
      </x:c>
      <x:c r="M55" t="n">
        <x:f>COUNTIFS(Test_Runs!$B:$B,A55,Test_Runs!$E:$E,B55,Test_Runs!$J:$J,"&gt;0")</x:f>
        <x:v>2</x:v>
      </x:c>
      <x:c r="N55" t="n">
        <x:f>SUMIFS(Test_Runs!$J:$J,Test_Runs!$B:$B,A55,Test_Runs!$E:$E,B55)</x:f>
        <x:v>3.08</x:v>
      </x:c>
      <x:c r="O55" t="n">
        <x:f>IF(M55=0,"",N55/M55)</x:f>
        <x:v>1.54</x:v>
      </x:c>
      <x:c r="P55" t="n">
        <x:f>COUNTIFS(Test_Runs!$B:$B,A55,Test_Runs!$E:$E,B55,Test_Runs!$S:$S,"&gt;0")</x:f>
        <x:v>1</x:v>
      </x:c>
      <x:c r="Q55" t="n">
        <x:f>SUMIFS(Test_Runs!$S:$S,Test_Runs!$B:$B,A55,Test_Runs!$E:$E,B55)</x:f>
        <x:v>183.36</x:v>
      </x:c>
      <x:c r="R55" t="n">
        <x:f>IF(P55=0,"",Q55/P55)</x:f>
        <x:v>183.36</x:v>
      </x:c>
      <x:c r="S55" t="e">
        <x:f>COUNTIFS(Test_Runs!$B:$B,A55,Test_Runs!$E:$E,B55,Test_Runs!$O:$O,"&gt;0")</x:f>
        <x:v>#VALUE!</x:v>
      </x:c>
      <x:c r="T55" t="e">
        <x:f>SUMIFS(Test_Runs!$O:$O,Test_Runs!$B:$B,A55,Test_Runs!$E:$E,B55)</x:f>
        <x:v>#VALUE!</x:v>
      </x:c>
      <x:c r="U55" t="e">
        <x:f>IF(S55=0,"",T55/S55)</x:f>
        <x:v>#VALUE!</x:v>
      </x:c>
      <x:c r="V55" t="n">
        <x:f>IFERROR(INDEX(Benchmark_Versions!$I:$I,MATCH(B55,Benchmark_Versions!$A:$A,0)),1)</x:f>
        <x:v>1</x:v>
      </x:c>
      <x:c r="W55" t="n">
        <x:f>IF(F55="","",F55*V55)</x:f>
        <x:v>50</x:v>
      </x:c>
      <x:c r="X55" t="n">
        <x:f>IF(OR(W55="",W55=0,O55=""),"",O55/W55)</x:f>
        <x:v>0.0308</x:v>
      </x:c>
      <x:c r="Y55" t="n">
        <x:f>IF(OR(W55="",O55="",O55=0),"",W55/O55)</x:f>
        <x:v>32.467532467532465</x:v>
      </x:c>
      <x:c r="Z55" t="n">
        <x:f>IF(OR(W55="",R55="",R55=0),"",W55/R55)</x:f>
        <x:v>0.27268760907504364</x:v>
      </x:c>
    </x:row>
    <x:row r="56">
      <x:c r="A56" t="inlineStr">
        <x:is>
          <x:t xml:space="preserve">openai|gpt-6-astra|xhigh|reasoning|fallback-na</x:t>
        </x:is>
      </x:c>
      <x:c r="B56" t="inlineStr">
        <x:is>
          <x:t xml:space="preserve">AA|v4.3.2</x:t>
        </x:is>
      </x:c>
      <x:c r="C56" t="n">
        <x:f>COUNTIFS(Test_Runs!$B:$B,A56,Test_Runs!$E:$E,B56,Test_Runs!$H:$H,"&gt;=0")</x:f>
        <x:v>2</x:v>
      </x:c>
      <x:c r="D56" t="n">
        <x:f>SUMIFS(Test_Runs!$H:$H,Test_Runs!$B:$B,A56,Test_Runs!$E:$E,B56)</x:f>
        <x:v>104</x:v>
      </x:c>
      <x:c r="E56" t="n">
        <x:f>SUMIFS(Test_Runs!$I:$I,Test_Runs!$B:$B,A56,Test_Runs!$E:$E,B56)</x:f>
        <x:v>5408</x:v>
      </x:c>
      <x:c r="F56" t="n">
        <x:f>IF(C56=0,"",D56/C56)</x:f>
        <x:v>52</x:v>
      </x:c>
      <x:c r="G56" t="n">
        <x:f>IF(C56&lt;2,0,SQRT(MAX(0,(E56-(D56*D56/C56))/(C56-1))))</x:f>
        <x:v>0</x:v>
      </x:c>
      <x:c r="H56" t="n">
        <x:f>IF(C56=0,"",IF(C56=1,F56,_xlfn.AGGREGATE(15,6,(Test_Runs!$H$2:$H$144/((Test_Runs!$B$2:$B$144=A56)*(Test_Runs!$E$2:$E$144=B56))),1)))</x:f>
        <x:v>0</x:v>
      </x:c>
      <x:c r="I56" t="n">
        <x:f>IF(C56=0,"",IF(C56=1,F56,_xlfn.AGGREGATE(16,6,(Test_Runs!$H$2:$H$144/((Test_Runs!$B$2:$B$144=A56)*(Test_Runs!$E$2:$E$144=B56))),0.25)))</x:f>
        <x:v>0</x:v>
      </x:c>
      <x:c r="J56" t="str">
        <x:f>IF(C56=0,"",IF(C56=1,F56,_xlfn.AGGREGATE(12,6,(Test_Runs!$H$2:$H$144/((Test_Runs!$B$2:$B$144=A56)*(Test_Runs!$E$2:$E$144=B56))))))</x:f>
      </x:c>
      <x:c r="K56" t="n">
        <x:f>IF(C56=0,"",IF(C56=1,F56,_xlfn.AGGREGATE(16,6,(Test_Runs!$H$2:$H$144/((Test_Runs!$B$2:$B$144=A56)*(Test_Runs!$E$2:$E$144=B56))),0.75)))</x:f>
        <x:v>0</x:v>
      </x:c>
      <x:c r="L56" t="n">
        <x:f>IF(C56=0,"",_xlfn.MAXIFS(Test_Runs!$H:$H,Test_Runs!$B:$B,A56,Test_Runs!$E:$E,B56))</x:f>
        <x:v>52</x:v>
      </x:c>
      <x:c r="M56" t="n">
        <x:f>COUNTIFS(Test_Runs!$B:$B,A56,Test_Runs!$E:$E,B56,Test_Runs!$J:$J,"&gt;0")</x:f>
        <x:v>2</x:v>
      </x:c>
      <x:c r="N56" t="n">
        <x:f>SUMIFS(Test_Runs!$J:$J,Test_Runs!$B:$B,A56,Test_Runs!$E:$E,B56)</x:f>
        <x:v>4.62</x:v>
      </x:c>
      <x:c r="O56" t="n">
        <x:f>IF(M56=0,"",N56/M56)</x:f>
        <x:v>2.31</x:v>
      </x:c>
      <x:c r="P56" t="n">
        <x:f>COUNTIFS(Test_Runs!$B:$B,A56,Test_Runs!$E:$E,B56,Test_Runs!$S:$S,"&gt;0")</x:f>
        <x:v>1</x:v>
      </x:c>
      <x:c r="Q56" t="n">
        <x:f>SUMIFS(Test_Runs!$S:$S,Test_Runs!$B:$B,A56,Test_Runs!$E:$E,B56)</x:f>
        <x:v>310.88</x:v>
      </x:c>
      <x:c r="R56" t="n">
        <x:f>IF(P56=0,"",Q56/P56)</x:f>
        <x:v>310.88</x:v>
      </x:c>
      <x:c r="S56" t="e">
        <x:f>COUNTIFS(Test_Runs!$B:$B,A56,Test_Runs!$E:$E,B56,Test_Runs!$O:$O,"&gt;0")</x:f>
        <x:v>#VALUE!</x:v>
      </x:c>
      <x:c r="T56" t="e">
        <x:f>SUMIFS(Test_Runs!$O:$O,Test_Runs!$B:$B,A56,Test_Runs!$E:$E,B56)</x:f>
        <x:v>#VALUE!</x:v>
      </x:c>
      <x:c r="U56" t="e">
        <x:f>IF(S56=0,"",T56/S56)</x:f>
        <x:v>#VALUE!</x:v>
      </x:c>
      <x:c r="V56" t="n">
        <x:f>IFERROR(INDEX(Benchmark_Versions!$I:$I,MATCH(B56,Benchmark_Versions!$A:$A,0)),1)</x:f>
        <x:v>1</x:v>
      </x:c>
      <x:c r="W56" t="n">
        <x:f>IF(F56="","",F56*V56)</x:f>
        <x:v>52</x:v>
      </x:c>
      <x:c r="X56" t="n">
        <x:f>IF(OR(W56="",W56=0,O56=""),"",O56/W56)</x:f>
        <x:v>0.044423076923076926</x:v>
      </x:c>
      <x:c r="Y56" t="n">
        <x:f>IF(OR(W56="",O56="",O56=0),"",W56/O56)</x:f>
        <x:v>22.51082251082251</x:v>
      </x:c>
      <x:c r="Z56" t="n">
        <x:f>IF(OR(W56="",R56="",R56=0),"",W56/R56)</x:f>
        <x:v>0.16726711271230058</x:v>
      </x:c>
    </x:row>
    <x:row r="57">
      <x:c r="A57" t="inlineStr">
        <x:is>
          <x:t xml:space="preserve">openai|gpt-6-luna|high|reasoning|fallback-na</x:t>
        </x:is>
      </x:c>
      <x:c r="B57" t="inlineStr">
        <x:is>
          <x:t xml:space="preserve">AA|v4.3.2</x:t>
        </x:is>
      </x:c>
      <x:c r="C57" t="n">
        <x:f>COUNTIFS(Test_Runs!$B:$B,A57,Test_Runs!$E:$E,B57,Test_Runs!$H:$H,"&gt;=0")</x:f>
        <x:v>2</x:v>
      </x:c>
      <x:c r="D57" t="n">
        <x:f>SUMIFS(Test_Runs!$H:$H,Test_Runs!$B:$B,A57,Test_Runs!$E:$E,B57)</x:f>
        <x:v>65</x:v>
      </x:c>
      <x:c r="E57" t="n">
        <x:f>SUMIFS(Test_Runs!$I:$I,Test_Runs!$B:$B,A57,Test_Runs!$E:$E,B57)</x:f>
        <x:v>2113</x:v>
      </x:c>
      <x:c r="F57" t="n">
        <x:f>IF(C57=0,"",D57/C57)</x:f>
        <x:v>32.5</x:v>
      </x:c>
      <x:c r="G57" t="n">
        <x:f>IF(C57&lt;2,0,SQRT(MAX(0,(E57-(D57*D57/C57))/(C57-1))))</x:f>
        <x:v>0.7071067811865476</x:v>
      </x:c>
      <x:c r="H57" t="n">
        <x:f>IF(C57=0,"",IF(C57=1,F57,_xlfn.AGGREGATE(15,6,(Test_Runs!$H$2:$H$144/((Test_Runs!$B$2:$B$144=A57)*(Test_Runs!$E$2:$E$144=B57))),1)))</x:f>
        <x:v>0</x:v>
      </x:c>
      <x:c r="I57" t="n">
        <x:f>IF(C57=0,"",IF(C57=1,F57,_xlfn.AGGREGATE(16,6,(Test_Runs!$H$2:$H$144/((Test_Runs!$B$2:$B$144=A57)*(Test_Runs!$E$2:$E$144=B57))),0.25)))</x:f>
        <x:v>0</x:v>
      </x:c>
      <x:c r="J57" t="str">
        <x:f>IF(C57=0,"",IF(C57=1,F57,_xlfn.AGGREGATE(12,6,(Test_Runs!$H$2:$H$144/((Test_Runs!$B$2:$B$144=A57)*(Test_Runs!$E$2:$E$144=B57))))))</x:f>
      </x:c>
      <x:c r="K57" t="n">
        <x:f>IF(C57=0,"",IF(C57=1,F57,_xlfn.AGGREGATE(16,6,(Test_Runs!$H$2:$H$144/((Test_Runs!$B$2:$B$144=A57)*(Test_Runs!$E$2:$E$144=B57))),0.75)))</x:f>
        <x:v>0</x:v>
      </x:c>
      <x:c r="L57" t="n">
        <x:f>IF(C57=0,"",_xlfn.MAXIFS(Test_Runs!$H:$H,Test_Runs!$B:$B,A57,Test_Runs!$E:$E,B57))</x:f>
        <x:v>33</x:v>
      </x:c>
      <x:c r="M57" t="n">
        <x:f>COUNTIFS(Test_Runs!$B:$B,A57,Test_Runs!$E:$E,B57,Test_Runs!$J:$J,"&gt;0")</x:f>
        <x:v>2</x:v>
      </x:c>
      <x:c r="N57" t="n">
        <x:f>SUMIFS(Test_Runs!$J:$J,Test_Runs!$B:$B,A57,Test_Runs!$E:$E,B57)</x:f>
        <x:v>0.06</x:v>
      </x:c>
      <x:c r="O57" t="n">
        <x:f>IF(M57=0,"",N57/M57)</x:f>
        <x:v>0.03</x:v>
      </x:c>
      <x:c r="P57" t="n">
        <x:f>COUNTIFS(Test_Runs!$B:$B,A57,Test_Runs!$E:$E,B57,Test_Runs!$S:$S,"&gt;0")</x:f>
        <x:v>1</x:v>
      </x:c>
      <x:c r="Q57" t="n">
        <x:f>SUMIFS(Test_Runs!$S:$S,Test_Runs!$B:$B,A57,Test_Runs!$E:$E,B57)</x:f>
        <x:v>130.19</x:v>
      </x:c>
      <x:c r="R57" t="n">
        <x:f>IF(P57=0,"",Q57/P57)</x:f>
        <x:v>130.19</x:v>
      </x:c>
      <x:c r="S57" t="e">
        <x:f>COUNTIFS(Test_Runs!$B:$B,A57,Test_Runs!$E:$E,B57,Test_Runs!$O:$O,"&gt;0")</x:f>
        <x:v>#VALUE!</x:v>
      </x:c>
      <x:c r="T57" t="e">
        <x:f>SUMIFS(Test_Runs!$O:$O,Test_Runs!$B:$B,A57,Test_Runs!$E:$E,B57)</x:f>
        <x:v>#VALUE!</x:v>
      </x:c>
      <x:c r="U57" t="e">
        <x:f>IF(S57=0,"",T57/S57)</x:f>
        <x:v>#VALUE!</x:v>
      </x:c>
      <x:c r="V57" t="n">
        <x:f>IFERROR(INDEX(Benchmark_Versions!$I:$I,MATCH(B57,Benchmark_Versions!$A:$A,0)),1)</x:f>
        <x:v>1</x:v>
      </x:c>
      <x:c r="W57" t="n">
        <x:f>IF(F57="","",F57*V57)</x:f>
        <x:v>32.5</x:v>
      </x:c>
      <x:c r="X57" t="n">
        <x:f>IF(OR(W57="",W57=0,O57=""),"",O57/W57)</x:f>
        <x:v>0.0009230769230769231</x:v>
      </x:c>
      <x:c r="Y57" t="n">
        <x:f>IF(OR(W57="",O57="",O57=0),"",W57/O57)</x:f>
        <x:v>1083.3333333333335</x:v>
      </x:c>
      <x:c r="Z57" t="n">
        <x:f>IF(OR(W57="",R57="",R57=0),"",W57/R57)</x:f>
        <x:v>0.24963514862892697</x:v>
      </x:c>
    </x:row>
    <x:row r="58">
      <x:c r="A58" t="inlineStr">
        <x:is>
          <x:t xml:space="preserve">openai|gpt-6-luna|low|reasoning|fallback-na</x:t>
        </x:is>
      </x:c>
      <x:c r="B58" t="inlineStr">
        <x:is>
          <x:t xml:space="preserve">AA|v4.3.2</x:t>
        </x:is>
      </x:c>
      <x:c r="C58" t="n">
        <x:f>COUNTIFS(Test_Runs!$B:$B,A58,Test_Runs!$E:$E,B58,Test_Runs!$H:$H,"&gt;=0")</x:f>
        <x:v>2</x:v>
      </x:c>
      <x:c r="D58" t="n">
        <x:f>SUMIFS(Test_Runs!$H:$H,Test_Runs!$B:$B,A58,Test_Runs!$E:$E,B58)</x:f>
        <x:v>43</x:v>
      </x:c>
      <x:c r="E58" t="n">
        <x:f>SUMIFS(Test_Runs!$I:$I,Test_Runs!$B:$B,A58,Test_Runs!$E:$E,B58)</x:f>
        <x:v>925</x:v>
      </x:c>
      <x:c r="F58" t="n">
        <x:f>IF(C58=0,"",D58/C58)</x:f>
        <x:v>21.5</x:v>
      </x:c>
      <x:c r="G58" t="n">
        <x:f>IF(C58&lt;2,0,SQRT(MAX(0,(E58-(D58*D58/C58))/(C58-1))))</x:f>
        <x:v>0.7071067811865476</x:v>
      </x:c>
      <x:c r="H58" t="n">
        <x:f>IF(C58=0,"",IF(C58=1,F58,_xlfn.AGGREGATE(15,6,(Test_Runs!$H$2:$H$144/((Test_Runs!$B$2:$B$144=A58)*(Test_Runs!$E$2:$E$144=B58))),1)))</x:f>
        <x:v>0</x:v>
      </x:c>
      <x:c r="I58" t="n">
        <x:f>IF(C58=0,"",IF(C58=1,F58,_xlfn.AGGREGATE(16,6,(Test_Runs!$H$2:$H$144/((Test_Runs!$B$2:$B$144=A58)*(Test_Runs!$E$2:$E$144=B58))),0.25)))</x:f>
        <x:v>0</x:v>
      </x:c>
      <x:c r="J58" t="str">
        <x:f>IF(C58=0,"",IF(C58=1,F58,_xlfn.AGGREGATE(12,6,(Test_Runs!$H$2:$H$144/((Test_Runs!$B$2:$B$144=A58)*(Test_Runs!$E$2:$E$144=B58))))))</x:f>
      </x:c>
      <x:c r="K58" t="n">
        <x:f>IF(C58=0,"",IF(C58=1,F58,_xlfn.AGGREGATE(16,6,(Test_Runs!$H$2:$H$144/((Test_Runs!$B$2:$B$144=A58)*(Test_Runs!$E$2:$E$144=B58))),0.75)))</x:f>
        <x:v>0</x:v>
      </x:c>
      <x:c r="L58" t="n">
        <x:f>IF(C58=0,"",_xlfn.MAXIFS(Test_Runs!$H:$H,Test_Runs!$B:$B,A58,Test_Runs!$E:$E,B58))</x:f>
        <x:v>22</x:v>
      </x:c>
      <x:c r="M58" t="n">
        <x:f>COUNTIFS(Test_Runs!$B:$B,A58,Test_Runs!$E:$E,B58,Test_Runs!$J:$J,"&gt;0")</x:f>
        <x:v>2</x:v>
      </x:c>
      <x:c r="N58" t="n">
        <x:f>SUMIFS(Test_Runs!$J:$J,Test_Runs!$B:$B,A58,Test_Runs!$E:$E,B58)</x:f>
        <x:v>0.009</x:v>
      </x:c>
      <x:c r="O58" t="n">
        <x:f>IF(M58=0,"",N58/M58)</x:f>
        <x:v>0.0045</x:v>
      </x:c>
      <x:c r="P58" t="n">
        <x:f>COUNTIFS(Test_Runs!$B:$B,A58,Test_Runs!$E:$E,B58,Test_Runs!$S:$S,"&gt;0")</x:f>
        <x:v>1</x:v>
      </x:c>
      <x:c r="Q58" t="n">
        <x:f>SUMIFS(Test_Runs!$S:$S,Test_Runs!$B:$B,A58,Test_Runs!$E:$E,B58)</x:f>
        <x:v>14.13</x:v>
      </x:c>
      <x:c r="R58" t="n">
        <x:f>IF(P58=0,"",Q58/P58)</x:f>
        <x:v>14.13</x:v>
      </x:c>
      <x:c r="S58" t="e">
        <x:f>COUNTIFS(Test_Runs!$B:$B,A58,Test_Runs!$E:$E,B58,Test_Runs!$O:$O,"&gt;0")</x:f>
        <x:v>#VALUE!</x:v>
      </x:c>
      <x:c r="T58" t="e">
        <x:f>SUMIFS(Test_Runs!$O:$O,Test_Runs!$B:$B,A58,Test_Runs!$E:$E,B58)</x:f>
        <x:v>#VALUE!</x:v>
      </x:c>
      <x:c r="U58" t="e">
        <x:f>IF(S58=0,"",T58/S58)</x:f>
        <x:v>#VALUE!</x:v>
      </x:c>
      <x:c r="V58" t="n">
        <x:f>IFERROR(INDEX(Benchmark_Versions!$I:$I,MATCH(B58,Benchmark_Versions!$A:$A,0)),1)</x:f>
        <x:v>1</x:v>
      </x:c>
      <x:c r="W58" t="n">
        <x:f>IF(F58="","",F58*V58)</x:f>
        <x:v>21.5</x:v>
      </x:c>
      <x:c r="X58" t="n">
        <x:f>IF(OR(W58="",W58=0,O58=""),"",O58/W58)</x:f>
        <x:v>0.00020930232558139534</x:v>
      </x:c>
      <x:c r="Y58" t="n">
        <x:f>IF(OR(W58="",O58="",O58=0),"",W58/O58)</x:f>
        <x:v>4777.777777777778</x:v>
      </x:c>
      <x:c r="Z58" t="n">
        <x:f>IF(OR(W58="",R58="",R58=0),"",W58/R58)</x:f>
        <x:v>1.5215852795470628</x:v>
      </x:c>
    </x:row>
    <x:row r="59">
      <x:c r="A59" t="inlineStr">
        <x:is>
          <x:t xml:space="preserve">openai|gpt-6-luna|max|reasoning|fallback-na</x:t>
        </x:is>
      </x:c>
      <x:c r="B59" t="inlineStr">
        <x:is>
          <x:t xml:space="preserve">AA|v4.3.2</x:t>
        </x:is>
      </x:c>
      <x:c r="C59" t="n">
        <x:f>COUNTIFS(Test_Runs!$B:$B,A59,Test_Runs!$E:$E,B59,Test_Runs!$H:$H,"&gt;=0")</x:f>
        <x:v>2</x:v>
      </x:c>
      <x:c r="D59" t="n">
        <x:f>SUMIFS(Test_Runs!$H:$H,Test_Runs!$B:$B,A59,Test_Runs!$E:$E,B59)</x:f>
        <x:v>75</x:v>
      </x:c>
      <x:c r="E59" t="n">
        <x:f>SUMIFS(Test_Runs!$I:$I,Test_Runs!$B:$B,A59,Test_Runs!$E:$E,B59)</x:f>
        <x:v>2813</x:v>
      </x:c>
      <x:c r="F59" t="n">
        <x:f>IF(C59=0,"",D59/C59)</x:f>
        <x:v>37.5</x:v>
      </x:c>
      <x:c r="G59" t="n">
        <x:f>IF(C59&lt;2,0,SQRT(MAX(0,(E59-(D59*D59/C59))/(C59-1))))</x:f>
        <x:v>0.7071067811865476</x:v>
      </x:c>
      <x:c r="H59" t="n">
        <x:f>IF(C59=0,"",IF(C59=1,F59,_xlfn.AGGREGATE(15,6,(Test_Runs!$H$2:$H$144/((Test_Runs!$B$2:$B$144=A59)*(Test_Runs!$E$2:$E$144=B59))),1)))</x:f>
        <x:v>0</x:v>
      </x:c>
      <x:c r="I59" t="n">
        <x:f>IF(C59=0,"",IF(C59=1,F59,_xlfn.AGGREGATE(16,6,(Test_Runs!$H$2:$H$144/((Test_Runs!$B$2:$B$144=A59)*(Test_Runs!$E$2:$E$144=B59))),0.25)))</x:f>
        <x:v>0</x:v>
      </x:c>
      <x:c r="J59" t="str">
        <x:f>IF(C59=0,"",IF(C59=1,F59,_xlfn.AGGREGATE(12,6,(Test_Runs!$H$2:$H$144/((Test_Runs!$B$2:$B$144=A59)*(Test_Runs!$E$2:$E$144=B59))))))</x:f>
      </x:c>
      <x:c r="K59" t="n">
        <x:f>IF(C59=0,"",IF(C59=1,F59,_xlfn.AGGREGATE(16,6,(Test_Runs!$H$2:$H$144/((Test_Runs!$B$2:$B$144=A59)*(Test_Runs!$E$2:$E$144=B59))),0.75)))</x:f>
        <x:v>0</x:v>
      </x:c>
      <x:c r="L59" t="n">
        <x:f>IF(C59=0,"",_xlfn.MAXIFS(Test_Runs!$H:$H,Test_Runs!$B:$B,A59,Test_Runs!$E:$E,B59))</x:f>
        <x:v>38</x:v>
      </x:c>
      <x:c r="M59" t="n">
        <x:f>COUNTIFS(Test_Runs!$B:$B,A59,Test_Runs!$E:$E,B59,Test_Runs!$J:$J,"&gt;0")</x:f>
        <x:v>2</x:v>
      </x:c>
      <x:c r="N59" t="n">
        <x:f>SUMIFS(Test_Runs!$J:$J,Test_Runs!$B:$B,A59,Test_Runs!$E:$E,B59)</x:f>
        <x:v>0.14</x:v>
      </x:c>
      <x:c r="O59" t="n">
        <x:f>IF(M59=0,"",N59/M59)</x:f>
        <x:v>0.07</x:v>
      </x:c>
      <x:c r="P59" t="n">
        <x:f>COUNTIFS(Test_Runs!$B:$B,A59,Test_Runs!$E:$E,B59,Test_Runs!$S:$S,"&gt;0")</x:f>
        <x:v>1</x:v>
      </x:c>
      <x:c r="Q59" t="n">
        <x:f>SUMIFS(Test_Runs!$S:$S,Test_Runs!$B:$B,A59,Test_Runs!$E:$E,B59)</x:f>
        <x:v>313.32</x:v>
      </x:c>
      <x:c r="R59" t="n">
        <x:f>IF(P59=0,"",Q59/P59)</x:f>
        <x:v>313.32</x:v>
      </x:c>
      <x:c r="S59" t="e">
        <x:f>COUNTIFS(Test_Runs!$B:$B,A59,Test_Runs!$E:$E,B59,Test_Runs!$O:$O,"&gt;0")</x:f>
        <x:v>#VALUE!</x:v>
      </x:c>
      <x:c r="T59" t="e">
        <x:f>SUMIFS(Test_Runs!$O:$O,Test_Runs!$B:$B,A59,Test_Runs!$E:$E,B59)</x:f>
        <x:v>#VALUE!</x:v>
      </x:c>
      <x:c r="U59" t="e">
        <x:f>IF(S59=0,"",T59/S59)</x:f>
        <x:v>#VALUE!</x:v>
      </x:c>
      <x:c r="V59" t="n">
        <x:f>IFERROR(INDEX(Benchmark_Versions!$I:$I,MATCH(B59,Benchmark_Versions!$A:$A,0)),1)</x:f>
        <x:v>1</x:v>
      </x:c>
      <x:c r="W59" t="n">
        <x:f>IF(F59="","",F59*V59)</x:f>
        <x:v>37.5</x:v>
      </x:c>
      <x:c r="X59" t="n">
        <x:f>IF(OR(W59="",W59=0,O59=""),"",O59/W59)</x:f>
        <x:v>0.0018666666666666669</x:v>
      </x:c>
      <x:c r="Y59" t="n">
        <x:f>IF(OR(W59="",O59="",O59=0),"",W59/O59)</x:f>
        <x:v>535.7142857142857</x:v>
      </x:c>
      <x:c r="Z59" t="n">
        <x:f>IF(OR(W59="",R59="",R59=0),"",W59/R59)</x:f>
        <x:v>0.11968594408272692</x:v>
      </x:c>
    </x:row>
    <x:row r="60">
      <x:c r="A60" t="inlineStr">
        <x:is>
          <x:t xml:space="preserve">openai|gpt-6-luna|medium|reasoning|fallback-na</x:t>
        </x:is>
      </x:c>
      <x:c r="B60" t="inlineStr">
        <x:is>
          <x:t xml:space="preserve">AA|v4.3.2</x:t>
        </x:is>
      </x:c>
      <x:c r="C60" t="n">
        <x:f>COUNTIFS(Test_Runs!$B:$B,A60,Test_Runs!$E:$E,B60,Test_Runs!$H:$H,"&gt;=0")</x:f>
        <x:v>2</x:v>
      </x:c>
      <x:c r="D60" t="n">
        <x:f>SUMIFS(Test_Runs!$H:$H,Test_Runs!$B:$B,A60,Test_Runs!$E:$E,B60)</x:f>
        <x:v>59</x:v>
      </x:c>
      <x:c r="E60" t="n">
        <x:f>SUMIFS(Test_Runs!$I:$I,Test_Runs!$B:$B,A60,Test_Runs!$E:$E,B60)</x:f>
        <x:v>1741</x:v>
      </x:c>
      <x:c r="F60" t="n">
        <x:f>IF(C60=0,"",D60/C60)</x:f>
        <x:v>29.5</x:v>
      </x:c>
      <x:c r="G60" t="n">
        <x:f>IF(C60&lt;2,0,SQRT(MAX(0,(E60-(D60*D60/C60))/(C60-1))))</x:f>
        <x:v>0.7071067811865476</x:v>
      </x:c>
      <x:c r="H60" t="n">
        <x:f>IF(C60=0,"",IF(C60=1,F60,_xlfn.AGGREGATE(15,6,(Test_Runs!$H$2:$H$144/((Test_Runs!$B$2:$B$144=A60)*(Test_Runs!$E$2:$E$144=B60))),1)))</x:f>
        <x:v>0</x:v>
      </x:c>
      <x:c r="I60" t="n">
        <x:f>IF(C60=0,"",IF(C60=1,F60,_xlfn.AGGREGATE(16,6,(Test_Runs!$H$2:$H$144/((Test_Runs!$B$2:$B$144=A60)*(Test_Runs!$E$2:$E$144=B60))),0.25)))</x:f>
        <x:v>0</x:v>
      </x:c>
      <x:c r="J60" t="str">
        <x:f>IF(C60=0,"",IF(C60=1,F60,_xlfn.AGGREGATE(12,6,(Test_Runs!$H$2:$H$144/((Test_Runs!$B$2:$B$144=A60)*(Test_Runs!$E$2:$E$144=B60))))))</x:f>
      </x:c>
      <x:c r="K60" t="n">
        <x:f>IF(C60=0,"",IF(C60=1,F60,_xlfn.AGGREGATE(16,6,(Test_Runs!$H$2:$H$144/((Test_Runs!$B$2:$B$144=A60)*(Test_Runs!$E$2:$E$144=B60))),0.75)))</x:f>
        <x:v>0</x:v>
      </x:c>
      <x:c r="L60" t="n">
        <x:f>IF(C60=0,"",_xlfn.MAXIFS(Test_Runs!$H:$H,Test_Runs!$B:$B,A60,Test_Runs!$E:$E,B60))</x:f>
        <x:v>30</x:v>
      </x:c>
      <x:c r="M60" t="n">
        <x:f>COUNTIFS(Test_Runs!$B:$B,A60,Test_Runs!$E:$E,B60,Test_Runs!$J:$J,"&gt;0")</x:f>
        <x:v>2</x:v>
      </x:c>
      <x:c r="N60" t="n">
        <x:f>SUMIFS(Test_Runs!$J:$J,Test_Runs!$B:$B,A60,Test_Runs!$E:$E,B60)</x:f>
        <x:v>0.04</x:v>
      </x:c>
      <x:c r="O60" t="n">
        <x:f>IF(M60=0,"",N60/M60)</x:f>
        <x:v>0.02</x:v>
      </x:c>
      <x:c r="P60" t="n">
        <x:f>COUNTIFS(Test_Runs!$B:$B,A60,Test_Runs!$E:$E,B60,Test_Runs!$S:$S,"&gt;0")</x:f>
        <x:v>0</x:v>
      </x:c>
      <x:c r="Q60" t="n">
        <x:f>SUMIFS(Test_Runs!$S:$S,Test_Runs!$B:$B,A60,Test_Runs!$E:$E,B60)</x:f>
        <x:v>0</x:v>
      </x:c>
      <x:c r="R60" t="str">
        <x:f>IF(P60=0,"",Q60/P60)</x:f>
      </x:c>
      <x:c r="S60" t="e">
        <x:f>COUNTIFS(Test_Runs!$B:$B,A60,Test_Runs!$E:$E,B60,Test_Runs!$O:$O,"&gt;0")</x:f>
        <x:v>#VALUE!</x:v>
      </x:c>
      <x:c r="T60" t="e">
        <x:f>SUMIFS(Test_Runs!$O:$O,Test_Runs!$B:$B,A60,Test_Runs!$E:$E,B60)</x:f>
        <x:v>#VALUE!</x:v>
      </x:c>
      <x:c r="U60" t="e">
        <x:f>IF(S60=0,"",T60/S60)</x:f>
        <x:v>#VALUE!</x:v>
      </x:c>
      <x:c r="V60" t="n">
        <x:f>IFERROR(INDEX(Benchmark_Versions!$I:$I,MATCH(B60,Benchmark_Versions!$A:$A,0)),1)</x:f>
        <x:v>1</x:v>
      </x:c>
      <x:c r="W60" t="n">
        <x:f>IF(F60="","",F60*V60)</x:f>
        <x:v>29.5</x:v>
      </x:c>
      <x:c r="X60" t="n">
        <x:f>IF(OR(W60="",W60=0,O60=""),"",O60/W60)</x:f>
        <x:v>0.0006779661016949153</x:v>
      </x:c>
      <x:c r="Y60" t="n">
        <x:f>IF(OR(W60="",O60="",O60=0),"",W60/O60)</x:f>
        <x:v>1475</x:v>
      </x:c>
      <x:c r="Z60" t="str">
        <x:f>IF(OR(W60="",R60="",R60=0),"",W60/R60)</x:f>
      </x:c>
    </x:row>
    <x:row r="61">
      <x:c r="A61" t="inlineStr">
        <x:is>
          <x:t xml:space="preserve">openai|gpt-6-luna|non-reasoning|nonreasoning|fallback-na</x:t>
        </x:is>
      </x:c>
      <x:c r="B61" t="inlineStr">
        <x:is>
          <x:t xml:space="preserve">AA|v4.3.2</x:t>
        </x:is>
      </x:c>
      <x:c r="C61" t="n">
        <x:f>COUNTIFS(Test_Runs!$B:$B,A61,Test_Runs!$E:$E,B61,Test_Runs!$H:$H,"&gt;=0")</x:f>
        <x:v>2</x:v>
      </x:c>
      <x:c r="D61" t="n">
        <x:f>SUMIFS(Test_Runs!$H:$H,Test_Runs!$B:$B,A61,Test_Runs!$E:$E,B61)</x:f>
        <x:v>36</x:v>
      </x:c>
      <x:c r="E61" t="n">
        <x:f>SUMIFS(Test_Runs!$I:$I,Test_Runs!$B:$B,A61,Test_Runs!$E:$E,B61)</x:f>
        <x:v>648</x:v>
      </x:c>
      <x:c r="F61" t="n">
        <x:f>IF(C61=0,"",D61/C61)</x:f>
        <x:v>18</x:v>
      </x:c>
      <x:c r="G61" t="n">
        <x:f>IF(C61&lt;2,0,SQRT(MAX(0,(E61-(D61*D61/C61))/(C61-1))))</x:f>
        <x:v>0</x:v>
      </x:c>
      <x:c r="H61" t="n">
        <x:f>IF(C61=0,"",IF(C61=1,F61,_xlfn.AGGREGATE(15,6,(Test_Runs!$H$2:$H$144/((Test_Runs!$B$2:$B$144=A61)*(Test_Runs!$E$2:$E$144=B61))),1)))</x:f>
        <x:v>0</x:v>
      </x:c>
      <x:c r="I61" t="n">
        <x:f>IF(C61=0,"",IF(C61=1,F61,_xlfn.AGGREGATE(16,6,(Test_Runs!$H$2:$H$144/((Test_Runs!$B$2:$B$144=A61)*(Test_Runs!$E$2:$E$144=B61))),0.25)))</x:f>
        <x:v>0</x:v>
      </x:c>
      <x:c r="J61" t="str">
        <x:f>IF(C61=0,"",IF(C61=1,F61,_xlfn.AGGREGATE(12,6,(Test_Runs!$H$2:$H$144/((Test_Runs!$B$2:$B$144=A61)*(Test_Runs!$E$2:$E$144=B61))))))</x:f>
      </x:c>
      <x:c r="K61" t="n">
        <x:f>IF(C61=0,"",IF(C61=1,F61,_xlfn.AGGREGATE(16,6,(Test_Runs!$H$2:$H$144/((Test_Runs!$B$2:$B$144=A61)*(Test_Runs!$E$2:$E$144=B61))),0.75)))</x:f>
        <x:v>0</x:v>
      </x:c>
      <x:c r="L61" t="n">
        <x:f>IF(C61=0,"",_xlfn.MAXIFS(Test_Runs!$H:$H,Test_Runs!$B:$B,A61,Test_Runs!$E:$E,B61))</x:f>
        <x:v>18</x:v>
      </x:c>
      <x:c r="M61" t="n">
        <x:f>COUNTIFS(Test_Runs!$B:$B,A61,Test_Runs!$E:$E,B61,Test_Runs!$J:$J,"&gt;0")</x:f>
        <x:v>2</x:v>
      </x:c>
      <x:c r="N61" t="n">
        <x:f>SUMIFS(Test_Runs!$J:$J,Test_Runs!$B:$B,A61,Test_Runs!$E:$E,B61)</x:f>
        <x:v>0.02</x:v>
      </x:c>
      <x:c r="O61" t="n">
        <x:f>IF(M61=0,"",N61/M61)</x:f>
        <x:v>0.01</x:v>
      </x:c>
      <x:c r="P61" t="n">
        <x:f>COUNTIFS(Test_Runs!$B:$B,A61,Test_Runs!$E:$E,B61,Test_Runs!$S:$S,"&gt;0")</x:f>
        <x:v>1</x:v>
      </x:c>
      <x:c r="Q61" t="n">
        <x:f>SUMIFS(Test_Runs!$S:$S,Test_Runs!$B:$B,A61,Test_Runs!$E:$E,B61)</x:f>
        <x:v>25.35</x:v>
      </x:c>
      <x:c r="R61" t="n">
        <x:f>IF(P61=0,"",Q61/P61)</x:f>
        <x:v>25.35</x:v>
      </x:c>
      <x:c r="S61" t="e">
        <x:f>COUNTIFS(Test_Runs!$B:$B,A61,Test_Runs!$E:$E,B61,Test_Runs!$O:$O,"&gt;0")</x:f>
        <x:v>#VALUE!</x:v>
      </x:c>
      <x:c r="T61" t="e">
        <x:f>SUMIFS(Test_Runs!$O:$O,Test_Runs!$B:$B,A61,Test_Runs!$E:$E,B61)</x:f>
        <x:v>#VALUE!</x:v>
      </x:c>
      <x:c r="U61" t="e">
        <x:f>IF(S61=0,"",T61/S61)</x:f>
        <x:v>#VALUE!</x:v>
      </x:c>
      <x:c r="V61" t="n">
        <x:f>IFERROR(INDEX(Benchmark_Versions!$I:$I,MATCH(B61,Benchmark_Versions!$A:$A,0)),1)</x:f>
        <x:v>1</x:v>
      </x:c>
      <x:c r="W61" t="n">
        <x:f>IF(F61="","",F61*V61)</x:f>
        <x:v>18</x:v>
      </x:c>
      <x:c r="X61" t="n">
        <x:f>IF(OR(W61="",W61=0,O61=""),"",O61/W61)</x:f>
        <x:v>0.0005555555555555556</x:v>
      </x:c>
      <x:c r="Y61" t="n">
        <x:f>IF(OR(W61="",O61="",O61=0),"",W61/O61)</x:f>
        <x:v>1800</x:v>
      </x:c>
      <x:c r="Z61" t="n">
        <x:f>IF(OR(W61="",R61="",R61=0),"",W61/R61)</x:f>
        <x:v>0.7100591715976331</x:v>
      </x:c>
    </x:row>
    <x:row r="62">
      <x:c r="A62" t="inlineStr">
        <x:is>
          <x:t xml:space="preserve">openai|gpt-6-luna|xhigh|reasoning|fallback-na</x:t>
        </x:is>
      </x:c>
      <x:c r="B62" t="inlineStr">
        <x:is>
          <x:t xml:space="preserve">AA|v4.3.2</x:t>
        </x:is>
      </x:c>
      <x:c r="C62" t="n">
        <x:f>COUNTIFS(Test_Runs!$B:$B,A62,Test_Runs!$E:$E,B62,Test_Runs!$H:$H,"&gt;=0")</x:f>
        <x:v>2</x:v>
      </x:c>
      <x:c r="D62" t="n">
        <x:f>SUMIFS(Test_Runs!$H:$H,Test_Runs!$B:$B,A62,Test_Runs!$E:$E,B62)</x:f>
        <x:v>69</x:v>
      </x:c>
      <x:c r="E62" t="n">
        <x:f>SUMIFS(Test_Runs!$I:$I,Test_Runs!$B:$B,A62,Test_Runs!$E:$E,B62)</x:f>
        <x:v>2381</x:v>
      </x:c>
      <x:c r="F62" t="n">
        <x:f>IF(C62=0,"",D62/C62)</x:f>
        <x:v>34.5</x:v>
      </x:c>
      <x:c r="G62" t="n">
        <x:f>IF(C62&lt;2,0,SQRT(MAX(0,(E62-(D62*D62/C62))/(C62-1))))</x:f>
        <x:v>0.7071067811865476</x:v>
      </x:c>
      <x:c r="H62" t="n">
        <x:f>IF(C62=0,"",IF(C62=1,F62,_xlfn.AGGREGATE(15,6,(Test_Runs!$H$2:$H$144/((Test_Runs!$B$2:$B$144=A62)*(Test_Runs!$E$2:$E$144=B62))),1)))</x:f>
        <x:v>0</x:v>
      </x:c>
      <x:c r="I62" t="n">
        <x:f>IF(C62=0,"",IF(C62=1,F62,_xlfn.AGGREGATE(16,6,(Test_Runs!$H$2:$H$144/((Test_Runs!$B$2:$B$144=A62)*(Test_Runs!$E$2:$E$144=B62))),0.25)))</x:f>
        <x:v>0</x:v>
      </x:c>
      <x:c r="J62" t="str">
        <x:f>IF(C62=0,"",IF(C62=1,F62,_xlfn.AGGREGATE(12,6,(Test_Runs!$H$2:$H$144/((Test_Runs!$B$2:$B$144=A62)*(Test_Runs!$E$2:$E$144=B62))))))</x:f>
      </x:c>
      <x:c r="K62" t="n">
        <x:f>IF(C62=0,"",IF(C62=1,F62,_xlfn.AGGREGATE(16,6,(Test_Runs!$H$2:$H$144/((Test_Runs!$B$2:$B$144=A62)*(Test_Runs!$E$2:$E$144=B62))),0.75)))</x:f>
        <x:v>0</x:v>
      </x:c>
      <x:c r="L62" t="n">
        <x:f>IF(C62=0,"",_xlfn.MAXIFS(Test_Runs!$H:$H,Test_Runs!$B:$B,A62,Test_Runs!$E:$E,B62))</x:f>
        <x:v>35</x:v>
      </x:c>
      <x:c r="M62" t="n">
        <x:f>COUNTIFS(Test_Runs!$B:$B,A62,Test_Runs!$E:$E,B62,Test_Runs!$J:$J,"&gt;0")</x:f>
        <x:v>2</x:v>
      </x:c>
      <x:c r="N62" t="n">
        <x:f>SUMIFS(Test_Runs!$J:$J,Test_Runs!$B:$B,A62,Test_Runs!$E:$E,B62)</x:f>
        <x:v>0.08</x:v>
      </x:c>
      <x:c r="O62" t="n">
        <x:f>IF(M62=0,"",N62/M62)</x:f>
        <x:v>0.04</x:v>
      </x:c>
      <x:c r="P62" t="n">
        <x:f>COUNTIFS(Test_Runs!$B:$B,A62,Test_Runs!$E:$E,B62,Test_Runs!$S:$S,"&gt;0")</x:f>
        <x:v>1</x:v>
      </x:c>
      <x:c r="Q62" t="n">
        <x:f>SUMIFS(Test_Runs!$S:$S,Test_Runs!$B:$B,A62,Test_Runs!$E:$E,B62)</x:f>
        <x:v>174.23</x:v>
      </x:c>
      <x:c r="R62" t="n">
        <x:f>IF(P62=0,"",Q62/P62)</x:f>
        <x:v>174.23</x:v>
      </x:c>
      <x:c r="S62" t="e">
        <x:f>COUNTIFS(Test_Runs!$B:$B,A62,Test_Runs!$E:$E,B62,Test_Runs!$O:$O,"&gt;0")</x:f>
        <x:v>#VALUE!</x:v>
      </x:c>
      <x:c r="T62" t="e">
        <x:f>SUMIFS(Test_Runs!$O:$O,Test_Runs!$B:$B,A62,Test_Runs!$E:$E,B62)</x:f>
        <x:v>#VALUE!</x:v>
      </x:c>
      <x:c r="U62" t="e">
        <x:f>IF(S62=0,"",T62/S62)</x:f>
        <x:v>#VALUE!</x:v>
      </x:c>
      <x:c r="V62" t="n">
        <x:f>IFERROR(INDEX(Benchmark_Versions!$I:$I,MATCH(B62,Benchmark_Versions!$A:$A,0)),1)</x:f>
        <x:v>1</x:v>
      </x:c>
      <x:c r="W62" t="n">
        <x:f>IF(F62="","",F62*V62)</x:f>
        <x:v>34.5</x:v>
      </x:c>
      <x:c r="X62" t="n">
        <x:f>IF(OR(W62="",W62=0,O62=""),"",O62/W62)</x:f>
        <x:v>0.0011594202898550724</x:v>
      </x:c>
      <x:c r="Y62" t="n">
        <x:f>IF(OR(W62="",O62="",O62=0),"",W62/O62)</x:f>
        <x:v>862.5</x:v>
      </x:c>
      <x:c r="Z62" t="n">
        <x:f>IF(OR(W62="",R62="",R62=0),"",W62/R62)</x:f>
        <x:v>0.19801411926763474</x:v>
      </x:c>
    </x:row>
    <x:row r="63">
      <x:c r="A63" t="inlineStr">
        <x:is>
          <x:t xml:space="preserve">openai|gpt-6-sol|high|reasoning|fallback-na</x:t>
        </x:is>
      </x:c>
      <x:c r="B63" t="inlineStr">
        <x:is>
          <x:t xml:space="preserve">AA|v4.3.2</x:t>
        </x:is>
      </x:c>
      <x:c r="C63" t="n">
        <x:f>COUNTIFS(Test_Runs!$B:$B,A63,Test_Runs!$E:$E,B63,Test_Runs!$H:$H,"&gt;=0")</x:f>
        <x:v>1</x:v>
      </x:c>
      <x:c r="D63" t="n">
        <x:f>SUMIFS(Test_Runs!$H:$H,Test_Runs!$B:$B,A63,Test_Runs!$E:$E,B63)</x:f>
        <x:v>43</x:v>
      </x:c>
      <x:c r="E63" t="n">
        <x:f>SUMIFS(Test_Runs!$I:$I,Test_Runs!$B:$B,A63,Test_Runs!$E:$E,B63)</x:f>
        <x:v>1849</x:v>
      </x:c>
      <x:c r="F63" t="n">
        <x:f>IF(C63=0,"",D63/C63)</x:f>
        <x:v>43</x:v>
      </x:c>
      <x:c r="G63" t="n">
        <x:f>IF(C63&lt;2,0,SQRT(MAX(0,(E63-(D63*D63/C63))/(C63-1))))</x:f>
        <x:v>0</x:v>
      </x:c>
      <x:c r="H63" t="n">
        <x:f>IF(C63=0,"",IF(C63=1,F63,_xlfn.AGGREGATE(15,6,(Test_Runs!$H$2:$H$144/((Test_Runs!$B$2:$B$144=A63)*(Test_Runs!$E$2:$E$144=B63))),1)))</x:f>
        <x:v>43</x:v>
      </x:c>
      <x:c r="I63" t="n">
        <x:f>IF(C63=0,"",IF(C63=1,F63,_xlfn.AGGREGATE(16,6,(Test_Runs!$H$2:$H$144/((Test_Runs!$B$2:$B$144=A63)*(Test_Runs!$E$2:$E$144=B63))),0.25)))</x:f>
        <x:v>43</x:v>
      </x:c>
      <x:c r="J63" t="n">
        <x:f>IF(C63=0,"",IF(C63=1,F63,_xlfn.AGGREGATE(12,6,(Test_Runs!$H$2:$H$144/((Test_Runs!$B$2:$B$144=A63)*(Test_Runs!$E$2:$E$144=B63))))))</x:f>
        <x:v>43</x:v>
      </x:c>
      <x:c r="K63" t="n">
        <x:f>IF(C63=0,"",IF(C63=1,F63,_xlfn.AGGREGATE(16,6,(Test_Runs!$H$2:$H$144/((Test_Runs!$B$2:$B$144=A63)*(Test_Runs!$E$2:$E$144=B63))),0.75)))</x:f>
        <x:v>43</x:v>
      </x:c>
      <x:c r="L63" t="n">
        <x:f>IF(C63=0,"",_xlfn.MAXIFS(Test_Runs!$H:$H,Test_Runs!$B:$B,A63,Test_Runs!$E:$E,B63))</x:f>
        <x:v>43</x:v>
      </x:c>
      <x:c r="M63" t="n">
        <x:f>COUNTIFS(Test_Runs!$B:$B,A63,Test_Runs!$E:$E,B63,Test_Runs!$J:$J,"&gt;0")</x:f>
        <x:v>1</x:v>
      </x:c>
      <x:c r="N63" t="n">
        <x:f>SUMIFS(Test_Runs!$J:$J,Test_Runs!$B:$B,A63,Test_Runs!$E:$E,B63)</x:f>
        <x:v>0.37</x:v>
      </x:c>
      <x:c r="O63" t="n">
        <x:f>IF(M63=0,"",N63/M63)</x:f>
        <x:v>0.37</x:v>
      </x:c>
      <x:c r="P63" t="n">
        <x:f>COUNTIFS(Test_Runs!$B:$B,A63,Test_Runs!$E:$E,B63,Test_Runs!$S:$S,"&gt;0")</x:f>
        <x:v>1</x:v>
      </x:c>
      <x:c r="Q63" t="n">
        <x:f>SUMIFS(Test_Runs!$S:$S,Test_Runs!$B:$B,A63,Test_Runs!$E:$E,B63)</x:f>
        <x:v>126.07</x:v>
      </x:c>
      <x:c r="R63" t="n">
        <x:f>IF(P63=0,"",Q63/P63)</x:f>
        <x:v>126.07</x:v>
      </x:c>
      <x:c r="S63" t="e">
        <x:f>COUNTIFS(Test_Runs!$B:$B,A63,Test_Runs!$E:$E,B63,Test_Runs!$O:$O,"&gt;0")</x:f>
        <x:v>#VALUE!</x:v>
      </x:c>
      <x:c r="T63" t="e">
        <x:f>SUMIFS(Test_Runs!$O:$O,Test_Runs!$B:$B,A63,Test_Runs!$E:$E,B63)</x:f>
        <x:v>#VALUE!</x:v>
      </x:c>
      <x:c r="U63" t="e">
        <x:f>IF(S63=0,"",T63/S63)</x:f>
        <x:v>#VALUE!</x:v>
      </x:c>
      <x:c r="V63" t="n">
        <x:f>IFERROR(INDEX(Benchmark_Versions!$I:$I,MATCH(B63,Benchmark_Versions!$A:$A,0)),1)</x:f>
        <x:v>1</x:v>
      </x:c>
      <x:c r="W63" t="n">
        <x:f>IF(F63="","",F63*V63)</x:f>
        <x:v>43</x:v>
      </x:c>
      <x:c r="X63" t="n">
        <x:f>IF(OR(W63="",W63=0,O63=""),"",O63/W63)</x:f>
        <x:v>0.008604651162790697</x:v>
      </x:c>
      <x:c r="Y63" t="n">
        <x:f>IF(OR(W63="",O63="",O63=0),"",W63/O63)</x:f>
        <x:v>116.21621621621622</x:v>
      </x:c>
      <x:c r="Z63" t="n">
        <x:f>IF(OR(W63="",R63="",R63=0),"",W63/R63)</x:f>
        <x:v>0.3410803521852939</x:v>
      </x:c>
    </x:row>
    <x:row r="64">
      <x:c r="A64" t="inlineStr">
        <x:is>
          <x:t xml:space="preserve">openai|gpt-6-sol|low|reasoning|fallback-na</x:t>
        </x:is>
      </x:c>
      <x:c r="B64" t="inlineStr">
        <x:is>
          <x:t xml:space="preserve">AA|v4.3.2</x:t>
        </x:is>
      </x:c>
      <x:c r="C64" t="n">
        <x:f>COUNTIFS(Test_Runs!$B:$B,A64,Test_Runs!$E:$E,B64,Test_Runs!$H:$H,"&gt;=0")</x:f>
        <x:v>1</x:v>
      </x:c>
      <x:c r="D64" t="n">
        <x:f>SUMIFS(Test_Runs!$H:$H,Test_Runs!$B:$B,A64,Test_Runs!$E:$E,B64)</x:f>
        <x:v>34</x:v>
      </x:c>
      <x:c r="E64" t="n">
        <x:f>SUMIFS(Test_Runs!$I:$I,Test_Runs!$B:$B,A64,Test_Runs!$E:$E,B64)</x:f>
        <x:v>1156</x:v>
      </x:c>
      <x:c r="F64" t="n">
        <x:f>IF(C64=0,"",D64/C64)</x:f>
        <x:v>34</x:v>
      </x:c>
      <x:c r="G64" t="n">
        <x:f>IF(C64&lt;2,0,SQRT(MAX(0,(E64-(D64*D64/C64))/(C64-1))))</x:f>
        <x:v>0</x:v>
      </x:c>
      <x:c r="H64" t="n">
        <x:f>IF(C64=0,"",IF(C64=1,F64,_xlfn.AGGREGATE(15,6,(Test_Runs!$H$2:$H$144/((Test_Runs!$B$2:$B$144=A64)*(Test_Runs!$E$2:$E$144=B64))),1)))</x:f>
        <x:v>34</x:v>
      </x:c>
      <x:c r="I64" t="n">
        <x:f>IF(C64=0,"",IF(C64=1,F64,_xlfn.AGGREGATE(16,6,(Test_Runs!$H$2:$H$144/((Test_Runs!$B$2:$B$144=A64)*(Test_Runs!$E$2:$E$144=B64))),0.25)))</x:f>
        <x:v>34</x:v>
      </x:c>
      <x:c r="J64" t="n">
        <x:f>IF(C64=0,"",IF(C64=1,F64,_xlfn.AGGREGATE(12,6,(Test_Runs!$H$2:$H$144/((Test_Runs!$B$2:$B$144=A64)*(Test_Runs!$E$2:$E$144=B64))))))</x:f>
        <x:v>34</x:v>
      </x:c>
      <x:c r="K64" t="n">
        <x:f>IF(C64=0,"",IF(C64=1,F64,_xlfn.AGGREGATE(16,6,(Test_Runs!$H$2:$H$144/((Test_Runs!$B$2:$B$144=A64)*(Test_Runs!$E$2:$E$144=B64))),0.75)))</x:f>
        <x:v>34</x:v>
      </x:c>
      <x:c r="L64" t="n">
        <x:f>IF(C64=0,"",_xlfn.MAXIFS(Test_Runs!$H:$H,Test_Runs!$B:$B,A64,Test_Runs!$E:$E,B64))</x:f>
        <x:v>34</x:v>
      </x:c>
      <x:c r="M64" t="n">
        <x:f>COUNTIFS(Test_Runs!$B:$B,A64,Test_Runs!$E:$E,B64,Test_Runs!$J:$J,"&gt;0")</x:f>
        <x:v>1</x:v>
      </x:c>
      <x:c r="N64" t="n">
        <x:f>SUMIFS(Test_Runs!$J:$J,Test_Runs!$B:$B,A64,Test_Runs!$E:$E,B64)</x:f>
        <x:v>0.13</x:v>
      </x:c>
      <x:c r="O64" t="n">
        <x:f>IF(M64=0,"",N64/M64)</x:f>
        <x:v>0.13</x:v>
      </x:c>
      <x:c r="P64" t="n">
        <x:f>COUNTIFS(Test_Runs!$B:$B,A64,Test_Runs!$E:$E,B64,Test_Runs!$S:$S,"&gt;0")</x:f>
        <x:v>1</x:v>
      </x:c>
      <x:c r="Q64" t="n">
        <x:f>SUMIFS(Test_Runs!$S:$S,Test_Runs!$B:$B,A64,Test_Runs!$E:$E,B64)</x:f>
        <x:v>41.07</x:v>
      </x:c>
      <x:c r="R64" t="n">
        <x:f>IF(P64=0,"",Q64/P64)</x:f>
        <x:v>41.07</x:v>
      </x:c>
      <x:c r="S64" t="e">
        <x:f>COUNTIFS(Test_Runs!$B:$B,A64,Test_Runs!$E:$E,B64,Test_Runs!$O:$O,"&gt;0")</x:f>
        <x:v>#VALUE!</x:v>
      </x:c>
      <x:c r="T64" t="e">
        <x:f>SUMIFS(Test_Runs!$O:$O,Test_Runs!$B:$B,A64,Test_Runs!$E:$E,B64)</x:f>
        <x:v>#VALUE!</x:v>
      </x:c>
      <x:c r="U64" t="e">
        <x:f>IF(S64=0,"",T64/S64)</x:f>
        <x:v>#VALUE!</x:v>
      </x:c>
      <x:c r="V64" t="n">
        <x:f>IFERROR(INDEX(Benchmark_Versions!$I:$I,MATCH(B64,Benchmark_Versions!$A:$A,0)),1)</x:f>
        <x:v>1</x:v>
      </x:c>
      <x:c r="W64" t="n">
        <x:f>IF(F64="","",F64*V64)</x:f>
        <x:v>34</x:v>
      </x:c>
      <x:c r="X64" t="n">
        <x:f>IF(OR(W64="",W64=0,O64=""),"",O64/W64)</x:f>
        <x:v>0.003823529411764706</x:v>
      </x:c>
      <x:c r="Y64" t="n">
        <x:f>IF(OR(W64="",O64="",O64=0),"",W64/O64)</x:f>
        <x:v>261.53846153846155</x:v>
      </x:c>
      <x:c r="Z64" t="n">
        <x:f>IF(OR(W64="",R64="",R64=0),"",W64/R64)</x:f>
        <x:v>0.827854881908936</x:v>
      </x:c>
    </x:row>
    <x:row r="65">
      <x:c r="A65" t="inlineStr">
        <x:is>
          <x:t xml:space="preserve">openai|gpt-6-sol|max|reasoning|fallback-na</x:t>
        </x:is>
      </x:c>
      <x:c r="B65" t="inlineStr">
        <x:is>
          <x:t xml:space="preserve">AA|v4.3.2</x:t>
        </x:is>
      </x:c>
      <x:c r="C65" t="n">
        <x:f>COUNTIFS(Test_Runs!$B:$B,A65,Test_Runs!$E:$E,B65,Test_Runs!$H:$H,"&gt;=0")</x:f>
        <x:v>2</x:v>
      </x:c>
      <x:c r="D65" t="n">
        <x:f>SUMIFS(Test_Runs!$H:$H,Test_Runs!$B:$B,A65,Test_Runs!$E:$E,B65)</x:f>
        <x:v>96</x:v>
      </x:c>
      <x:c r="E65" t="n">
        <x:f>SUMIFS(Test_Runs!$I:$I,Test_Runs!$B:$B,A65,Test_Runs!$E:$E,B65)</x:f>
        <x:v>4608</x:v>
      </x:c>
      <x:c r="F65" t="n">
        <x:f>IF(C65=0,"",D65/C65)</x:f>
        <x:v>48</x:v>
      </x:c>
      <x:c r="G65" t="n">
        <x:f>IF(C65&lt;2,0,SQRT(MAX(0,(E65-(D65*D65/C65))/(C65-1))))</x:f>
        <x:v>0</x:v>
      </x:c>
      <x:c r="H65" t="n">
        <x:f>IF(C65=0,"",IF(C65=1,F65,_xlfn.AGGREGATE(15,6,(Test_Runs!$H$2:$H$144/((Test_Runs!$B$2:$B$144=A65)*(Test_Runs!$E$2:$E$144=B65))),1)))</x:f>
        <x:v>0</x:v>
      </x:c>
      <x:c r="I65" t="n">
        <x:f>IF(C65=0,"",IF(C65=1,F65,_xlfn.AGGREGATE(16,6,(Test_Runs!$H$2:$H$144/((Test_Runs!$B$2:$B$144=A65)*(Test_Runs!$E$2:$E$144=B65))),0.25)))</x:f>
        <x:v>0</x:v>
      </x:c>
      <x:c r="J65" t="str">
        <x:f>IF(C65=0,"",IF(C65=1,F65,_xlfn.AGGREGATE(12,6,(Test_Runs!$H$2:$H$144/((Test_Runs!$B$2:$B$144=A65)*(Test_Runs!$E$2:$E$144=B65))))))</x:f>
      </x:c>
      <x:c r="K65" t="n">
        <x:f>IF(C65=0,"",IF(C65=1,F65,_xlfn.AGGREGATE(16,6,(Test_Runs!$H$2:$H$144/((Test_Runs!$B$2:$B$144=A65)*(Test_Runs!$E$2:$E$144=B65))),0.75)))</x:f>
        <x:v>0</x:v>
      </x:c>
      <x:c r="L65" t="n">
        <x:f>IF(C65=0,"",_xlfn.MAXIFS(Test_Runs!$H:$H,Test_Runs!$B:$B,A65,Test_Runs!$E:$E,B65))</x:f>
        <x:v>48</x:v>
      </x:c>
      <x:c r="M65" t="n">
        <x:f>COUNTIFS(Test_Runs!$B:$B,A65,Test_Runs!$E:$E,B65,Test_Runs!$J:$J,"&gt;0")</x:f>
        <x:v>2</x:v>
      </x:c>
      <x:c r="N65" t="n">
        <x:f>SUMIFS(Test_Runs!$J:$J,Test_Runs!$B:$B,A65,Test_Runs!$E:$E,B65)</x:f>
        <x:v>2.1</x:v>
      </x:c>
      <x:c r="O65" t="n">
        <x:f>IF(M65=0,"",N65/M65)</x:f>
        <x:v>1.05</x:v>
      </x:c>
      <x:c r="P65" t="n">
        <x:f>COUNTIFS(Test_Runs!$B:$B,A65,Test_Runs!$E:$E,B65,Test_Runs!$S:$S,"&gt;0")</x:f>
        <x:v>2</x:v>
      </x:c>
      <x:c r="Q65" t="n">
        <x:f>SUMIFS(Test_Runs!$S:$S,Test_Runs!$B:$B,A65,Test_Runs!$E:$E,B65)</x:f>
        <x:v>642.1600000000001</x:v>
      </x:c>
      <x:c r="R65" t="n">
        <x:f>IF(P65=0,"",Q65/P65)</x:f>
        <x:v>321.08000000000004</x:v>
      </x:c>
      <x:c r="S65" t="e">
        <x:f>COUNTIFS(Test_Runs!$B:$B,A65,Test_Runs!$E:$E,B65,Test_Runs!$O:$O,"&gt;0")</x:f>
        <x:v>#VALUE!</x:v>
      </x:c>
      <x:c r="T65" t="e">
        <x:f>SUMIFS(Test_Runs!$O:$O,Test_Runs!$B:$B,A65,Test_Runs!$E:$E,B65)</x:f>
        <x:v>#VALUE!</x:v>
      </x:c>
      <x:c r="U65" t="e">
        <x:f>IF(S65=0,"",T65/S65)</x:f>
        <x:v>#VALUE!</x:v>
      </x:c>
      <x:c r="V65" t="n">
        <x:f>IFERROR(INDEX(Benchmark_Versions!$I:$I,MATCH(B65,Benchmark_Versions!$A:$A,0)),1)</x:f>
        <x:v>1</x:v>
      </x:c>
      <x:c r="W65" t="n">
        <x:f>IF(F65="","",F65*V65)</x:f>
        <x:v>48</x:v>
      </x:c>
      <x:c r="X65" t="n">
        <x:f>IF(OR(W65="",W65=0,O65=""),"",O65/W65)</x:f>
        <x:v>0.021875000000000002</x:v>
      </x:c>
      <x:c r="Y65" t="n">
        <x:f>IF(OR(W65="",O65="",O65=0),"",W65/O65)</x:f>
        <x:v>45.714285714285715</x:v>
      </x:c>
      <x:c r="Z65" t="n">
        <x:f>IF(OR(W65="",R65="",R65=0),"",W65/R65)</x:f>
        <x:v>0.14949545284664256</x:v>
      </x:c>
    </x:row>
    <x:row r="66">
      <x:c r="A66" t="inlineStr">
        <x:is>
          <x:t xml:space="preserve">openai|gpt-6-sol|medium|reasoning|fallback-na</x:t>
        </x:is>
      </x:c>
      <x:c r="B66" t="inlineStr">
        <x:is>
          <x:t xml:space="preserve">AA|v4.3.2</x:t>
        </x:is>
      </x:c>
      <x:c r="C66" t="n">
        <x:f>COUNTIFS(Test_Runs!$B:$B,A66,Test_Runs!$E:$E,B66,Test_Runs!$H:$H,"&gt;=0")</x:f>
        <x:v>1</x:v>
      </x:c>
      <x:c r="D66" t="n">
        <x:f>SUMIFS(Test_Runs!$H:$H,Test_Runs!$B:$B,A66,Test_Runs!$E:$E,B66)</x:f>
        <x:v>40</x:v>
      </x:c>
      <x:c r="E66" t="n">
        <x:f>SUMIFS(Test_Runs!$I:$I,Test_Runs!$B:$B,A66,Test_Runs!$E:$E,B66)</x:f>
        <x:v>1600</x:v>
      </x:c>
      <x:c r="F66" t="n">
        <x:f>IF(C66=0,"",D66/C66)</x:f>
        <x:v>40</x:v>
      </x:c>
      <x:c r="G66" t="n">
        <x:f>IF(C66&lt;2,0,SQRT(MAX(0,(E66-(D66*D66/C66))/(C66-1))))</x:f>
        <x:v>0</x:v>
      </x:c>
      <x:c r="H66" t="n">
        <x:f>IF(C66=0,"",IF(C66=1,F66,_xlfn.AGGREGATE(15,6,(Test_Runs!$H$2:$H$144/((Test_Runs!$B$2:$B$144=A66)*(Test_Runs!$E$2:$E$144=B66))),1)))</x:f>
        <x:v>40</x:v>
      </x:c>
      <x:c r="I66" t="n">
        <x:f>IF(C66=0,"",IF(C66=1,F66,_xlfn.AGGREGATE(16,6,(Test_Runs!$H$2:$H$144/((Test_Runs!$B$2:$B$144=A66)*(Test_Runs!$E$2:$E$144=B66))),0.25)))</x:f>
        <x:v>40</x:v>
      </x:c>
      <x:c r="J66" t="n">
        <x:f>IF(C66=0,"",IF(C66=1,F66,_xlfn.AGGREGATE(12,6,(Test_Runs!$H$2:$H$144/((Test_Runs!$B$2:$B$144=A66)*(Test_Runs!$E$2:$E$144=B66))))))</x:f>
        <x:v>40</x:v>
      </x:c>
      <x:c r="K66" t="n">
        <x:f>IF(C66=0,"",IF(C66=1,F66,_xlfn.AGGREGATE(16,6,(Test_Runs!$H$2:$H$144/((Test_Runs!$B$2:$B$144=A66)*(Test_Runs!$E$2:$E$144=B66))),0.75)))</x:f>
        <x:v>40</x:v>
      </x:c>
      <x:c r="L66" t="n">
        <x:f>IF(C66=0,"",_xlfn.MAXIFS(Test_Runs!$H:$H,Test_Runs!$B:$B,A66,Test_Runs!$E:$E,B66))</x:f>
        <x:v>40</x:v>
      </x:c>
      <x:c r="M66" t="n">
        <x:f>COUNTIFS(Test_Runs!$B:$B,A66,Test_Runs!$E:$E,B66,Test_Runs!$J:$J,"&gt;0")</x:f>
        <x:v>1</x:v>
      </x:c>
      <x:c r="N66" t="n">
        <x:f>SUMIFS(Test_Runs!$J:$J,Test_Runs!$B:$B,A66,Test_Runs!$E:$E,B66)</x:f>
        <x:v>0.25</x:v>
      </x:c>
      <x:c r="O66" t="n">
        <x:f>IF(M66=0,"",N66/M66)</x:f>
        <x:v>0.25</x:v>
      </x:c>
      <x:c r="P66" t="n">
        <x:f>COUNTIFS(Test_Runs!$B:$B,A66,Test_Runs!$E:$E,B66,Test_Runs!$S:$S,"&gt;0")</x:f>
        <x:v>0</x:v>
      </x:c>
      <x:c r="Q66" t="n">
        <x:f>SUMIFS(Test_Runs!$S:$S,Test_Runs!$B:$B,A66,Test_Runs!$E:$E,B66)</x:f>
        <x:v>0</x:v>
      </x:c>
      <x:c r="R66" t="str">
        <x:f>IF(P66=0,"",Q66/P66)</x:f>
      </x:c>
      <x:c r="S66" t="e">
        <x:f>COUNTIFS(Test_Runs!$B:$B,A66,Test_Runs!$E:$E,B66,Test_Runs!$O:$O,"&gt;0")</x:f>
        <x:v>#VALUE!</x:v>
      </x:c>
      <x:c r="T66" t="e">
        <x:f>SUMIFS(Test_Runs!$O:$O,Test_Runs!$B:$B,A66,Test_Runs!$E:$E,B66)</x:f>
        <x:v>#VALUE!</x:v>
      </x:c>
      <x:c r="U66" t="e">
        <x:f>IF(S66=0,"",T66/S66)</x:f>
        <x:v>#VALUE!</x:v>
      </x:c>
      <x:c r="V66" t="n">
        <x:f>IFERROR(INDEX(Benchmark_Versions!$I:$I,MATCH(B66,Benchmark_Versions!$A:$A,0)),1)</x:f>
        <x:v>1</x:v>
      </x:c>
      <x:c r="W66" t="n">
        <x:f>IF(F66="","",F66*V66)</x:f>
        <x:v>40</x:v>
      </x:c>
      <x:c r="X66" t="n">
        <x:f>IF(OR(W66="",W66=0,O66=""),"",O66/W66)</x:f>
        <x:v>0.00625</x:v>
      </x:c>
      <x:c r="Y66" t="n">
        <x:f>IF(OR(W66="",O66="",O66=0),"",W66/O66)</x:f>
        <x:v>160</x:v>
      </x:c>
      <x:c r="Z66" t="str">
        <x:f>IF(OR(W66="",R66="",R66=0),"",W66/R66)</x:f>
      </x:c>
    </x:row>
    <x:row r="67">
      <x:c r="A67" t="inlineStr">
        <x:is>
          <x:t xml:space="preserve">openai|gpt-6-sol|non-reasoning|nonreasoning|fallback-na</x:t>
        </x:is>
      </x:c>
      <x:c r="B67" t="inlineStr">
        <x:is>
          <x:t xml:space="preserve">AA|v4.3.2</x:t>
        </x:is>
      </x:c>
      <x:c r="C67" t="n">
        <x:f>COUNTIFS(Test_Runs!$B:$B,A67,Test_Runs!$E:$E,B67,Test_Runs!$H:$H,"&gt;=0")</x:f>
        <x:v>1</x:v>
      </x:c>
      <x:c r="D67" t="n">
        <x:f>SUMIFS(Test_Runs!$H:$H,Test_Runs!$B:$B,A67,Test_Runs!$E:$E,B67)</x:f>
        <x:v>28</x:v>
      </x:c>
      <x:c r="E67" t="n">
        <x:f>SUMIFS(Test_Runs!$I:$I,Test_Runs!$B:$B,A67,Test_Runs!$E:$E,B67)</x:f>
        <x:v>784</x:v>
      </x:c>
      <x:c r="F67" t="n">
        <x:f>IF(C67=0,"",D67/C67)</x:f>
        <x:v>28</x:v>
      </x:c>
      <x:c r="G67" t="n">
        <x:f>IF(C67&lt;2,0,SQRT(MAX(0,(E67-(D67*D67/C67))/(C67-1))))</x:f>
        <x:v>0</x:v>
      </x:c>
      <x:c r="H67" t="n">
        <x:f>IF(C67=0,"",IF(C67=1,F67,_xlfn.AGGREGATE(15,6,(Test_Runs!$H$2:$H$144/((Test_Runs!$B$2:$B$144=A67)*(Test_Runs!$E$2:$E$144=B67))),1)))</x:f>
        <x:v>28</x:v>
      </x:c>
      <x:c r="I67" t="n">
        <x:f>IF(C67=0,"",IF(C67=1,F67,_xlfn.AGGREGATE(16,6,(Test_Runs!$H$2:$H$144/((Test_Runs!$B$2:$B$144=A67)*(Test_Runs!$E$2:$E$144=B67))),0.25)))</x:f>
        <x:v>28</x:v>
      </x:c>
      <x:c r="J67" t="n">
        <x:f>IF(C67=0,"",IF(C67=1,F67,_xlfn.AGGREGATE(12,6,(Test_Runs!$H$2:$H$144/((Test_Runs!$B$2:$B$144=A67)*(Test_Runs!$E$2:$E$144=B67))))))</x:f>
        <x:v>28</x:v>
      </x:c>
      <x:c r="K67" t="n">
        <x:f>IF(C67=0,"",IF(C67=1,F67,_xlfn.AGGREGATE(16,6,(Test_Runs!$H$2:$H$144/((Test_Runs!$B$2:$B$144=A67)*(Test_Runs!$E$2:$E$144=B67))),0.75)))</x:f>
        <x:v>28</x:v>
      </x:c>
      <x:c r="L67" t="n">
        <x:f>IF(C67=0,"",_xlfn.MAXIFS(Test_Runs!$H:$H,Test_Runs!$B:$B,A67,Test_Runs!$E:$E,B67))</x:f>
        <x:v>28</x:v>
      </x:c>
      <x:c r="M67" t="n">
        <x:f>COUNTIFS(Test_Runs!$B:$B,A67,Test_Runs!$E:$E,B67,Test_Runs!$J:$J,"&gt;0")</x:f>
        <x:v>1</x:v>
      </x:c>
      <x:c r="N67" t="n">
        <x:f>SUMIFS(Test_Runs!$J:$J,Test_Runs!$B:$B,A67,Test_Runs!$E:$E,B67)</x:f>
        <x:v>0.33</x:v>
      </x:c>
      <x:c r="O67" t="n">
        <x:f>IF(M67=0,"",N67/M67)</x:f>
        <x:v>0.33</x:v>
      </x:c>
      <x:c r="P67" t="n">
        <x:f>COUNTIFS(Test_Runs!$B:$B,A67,Test_Runs!$E:$E,B67,Test_Runs!$S:$S,"&gt;0")</x:f>
        <x:v>1</x:v>
      </x:c>
      <x:c r="Q67" t="n">
        <x:f>SUMIFS(Test_Runs!$S:$S,Test_Runs!$B:$B,A67,Test_Runs!$E:$E,B67)</x:f>
        <x:v>61.89</x:v>
      </x:c>
      <x:c r="R67" t="n">
        <x:f>IF(P67=0,"",Q67/P67)</x:f>
        <x:v>61.89</x:v>
      </x:c>
      <x:c r="S67" t="e">
        <x:f>COUNTIFS(Test_Runs!$B:$B,A67,Test_Runs!$E:$E,B67,Test_Runs!$O:$O,"&gt;0")</x:f>
        <x:v>#VALUE!</x:v>
      </x:c>
      <x:c r="T67" t="e">
        <x:f>SUMIFS(Test_Runs!$O:$O,Test_Runs!$B:$B,A67,Test_Runs!$E:$E,B67)</x:f>
        <x:v>#VALUE!</x:v>
      </x:c>
      <x:c r="U67" t="e">
        <x:f>IF(S67=0,"",T67/S67)</x:f>
        <x:v>#VALUE!</x:v>
      </x:c>
      <x:c r="V67" t="n">
        <x:f>IFERROR(INDEX(Benchmark_Versions!$I:$I,MATCH(B67,Benchmark_Versions!$A:$A,0)),1)</x:f>
        <x:v>1</x:v>
      </x:c>
      <x:c r="W67" t="n">
        <x:f>IF(F67="","",F67*V67)</x:f>
        <x:v>28</x:v>
      </x:c>
      <x:c r="X67" t="n">
        <x:f>IF(OR(W67="",W67=0,O67=""),"",O67/W67)</x:f>
        <x:v>0.011785714285714287</x:v>
      </x:c>
      <x:c r="Y67" t="n">
        <x:f>IF(OR(W67="",O67="",O67=0),"",W67/O67)</x:f>
        <x:v>84.84848484848484</x:v>
      </x:c>
      <x:c r="Z67" t="n">
        <x:f>IF(OR(W67="",R67="",R67=0),"",W67/R67)</x:f>
        <x:v>0.45241557602197446</x:v>
      </x:c>
    </x:row>
    <x:row r="68">
      <x:c r="A68" t="inlineStr">
        <x:is>
          <x:t xml:space="preserve">openai|gpt-6-sol|xhigh|reasoning|fallback-na</x:t>
        </x:is>
      </x:c>
      <x:c r="B68" t="inlineStr">
        <x:is>
          <x:t xml:space="preserve">AA|v4.3.2</x:t>
        </x:is>
      </x:c>
      <x:c r="C68" t="n">
        <x:f>COUNTIFS(Test_Runs!$B:$B,A68,Test_Runs!$E:$E,B68,Test_Runs!$H:$H,"&gt;=0")</x:f>
        <x:v>1</x:v>
      </x:c>
      <x:c r="D68" t="n">
        <x:f>SUMIFS(Test_Runs!$H:$H,Test_Runs!$B:$B,A68,Test_Runs!$E:$E,B68)</x:f>
        <x:v>44</x:v>
      </x:c>
      <x:c r="E68" t="n">
        <x:f>SUMIFS(Test_Runs!$I:$I,Test_Runs!$B:$B,A68,Test_Runs!$E:$E,B68)</x:f>
        <x:v>1936</x:v>
      </x:c>
      <x:c r="F68" t="n">
        <x:f>IF(C68=0,"",D68/C68)</x:f>
        <x:v>44</x:v>
      </x:c>
      <x:c r="G68" t="n">
        <x:f>IF(C68&lt;2,0,SQRT(MAX(0,(E68-(D68*D68/C68))/(C68-1))))</x:f>
        <x:v>0</x:v>
      </x:c>
      <x:c r="H68" t="n">
        <x:f>IF(C68=0,"",IF(C68=1,F68,_xlfn.AGGREGATE(15,6,(Test_Runs!$H$2:$H$144/((Test_Runs!$B$2:$B$144=A68)*(Test_Runs!$E$2:$E$144=B68))),1)))</x:f>
        <x:v>44</x:v>
      </x:c>
      <x:c r="I68" t="n">
        <x:f>IF(C68=0,"",IF(C68=1,F68,_xlfn.AGGREGATE(16,6,(Test_Runs!$H$2:$H$144/((Test_Runs!$B$2:$B$144=A68)*(Test_Runs!$E$2:$E$144=B68))),0.25)))</x:f>
        <x:v>44</x:v>
      </x:c>
      <x:c r="J68" t="n">
        <x:f>IF(C68=0,"",IF(C68=1,F68,_xlfn.AGGREGATE(12,6,(Test_Runs!$H$2:$H$144/((Test_Runs!$B$2:$B$144=A68)*(Test_Runs!$E$2:$E$144=B68))))))</x:f>
        <x:v>44</x:v>
      </x:c>
      <x:c r="K68" t="n">
        <x:f>IF(C68=0,"",IF(C68=1,F68,_xlfn.AGGREGATE(16,6,(Test_Runs!$H$2:$H$144/((Test_Runs!$B$2:$B$144=A68)*(Test_Runs!$E$2:$E$144=B68))),0.75)))</x:f>
        <x:v>44</x:v>
      </x:c>
      <x:c r="L68" t="n">
        <x:f>IF(C68=0,"",_xlfn.MAXIFS(Test_Runs!$H:$H,Test_Runs!$B:$B,A68,Test_Runs!$E:$E,B68))</x:f>
        <x:v>44</x:v>
      </x:c>
      <x:c r="M68" t="n">
        <x:f>COUNTIFS(Test_Runs!$B:$B,A68,Test_Runs!$E:$E,B68,Test_Runs!$J:$J,"&gt;0")</x:f>
        <x:v>1</x:v>
      </x:c>
      <x:c r="N68" t="n">
        <x:f>SUMIFS(Test_Runs!$J:$J,Test_Runs!$B:$B,A68,Test_Runs!$E:$E,B68)</x:f>
        <x:v>0.53</x:v>
      </x:c>
      <x:c r="O68" t="n">
        <x:f>IF(M68=0,"",N68/M68)</x:f>
        <x:v>0.53</x:v>
      </x:c>
      <x:c r="P68" t="n">
        <x:f>COUNTIFS(Test_Runs!$B:$B,A68,Test_Runs!$E:$E,B68,Test_Runs!$S:$S,"&gt;0")</x:f>
        <x:v>1</x:v>
      </x:c>
      <x:c r="Q68" t="n">
        <x:f>SUMIFS(Test_Runs!$S:$S,Test_Runs!$B:$B,A68,Test_Runs!$E:$E,B68)</x:f>
        <x:v>199.13</x:v>
      </x:c>
      <x:c r="R68" t="n">
        <x:f>IF(P68=0,"",Q68/P68)</x:f>
        <x:v>199.13</x:v>
      </x:c>
      <x:c r="S68" t="e">
        <x:f>COUNTIFS(Test_Runs!$B:$B,A68,Test_Runs!$E:$E,B68,Test_Runs!$O:$O,"&gt;0")</x:f>
        <x:v>#VALUE!</x:v>
      </x:c>
      <x:c r="T68" t="e">
        <x:f>SUMIFS(Test_Runs!$O:$O,Test_Runs!$B:$B,A68,Test_Runs!$E:$E,B68)</x:f>
        <x:v>#VALUE!</x:v>
      </x:c>
      <x:c r="U68" t="e">
        <x:f>IF(S68=0,"",T68/S68)</x:f>
        <x:v>#VALUE!</x:v>
      </x:c>
      <x:c r="V68" t="n">
        <x:f>IFERROR(INDEX(Benchmark_Versions!$I:$I,MATCH(B68,Benchmark_Versions!$A:$A,0)),1)</x:f>
        <x:v>1</x:v>
      </x:c>
      <x:c r="W68" t="n">
        <x:f>IF(F68="","",F68*V68)</x:f>
        <x:v>44</x:v>
      </x:c>
      <x:c r="X68" t="n">
        <x:f>IF(OR(W68="",W68=0,O68=""),"",O68/W68)</x:f>
        <x:v>0.012045454545454547</x:v>
      </x:c>
      <x:c r="Y68" t="n">
        <x:f>IF(OR(W68="",O68="",O68=0),"",W68/O68)</x:f>
        <x:v>83.0188679245283</x:v>
      </x:c>
      <x:c r="Z68" t="n">
        <x:f>IF(OR(W68="",R68="",R68=0),"",W68/R68)</x:f>
        <x:v>0.22096118113795007</x:v>
      </x:c>
    </x:row>
    <x:row r="69">
      <x:c r="A69" t="inlineStr">
        <x:is>
          <x:t xml:space="preserve">xiaomi|mimo-v2.6-flash|reasoning|reasoning|fallback-na</x:t>
        </x:is>
      </x:c>
      <x:c r="B69" t="inlineStr">
        <x:is>
          <x:t xml:space="preserve">AA|v4.3.2</x:t>
        </x:is>
      </x:c>
      <x:c r="C69" t="n">
        <x:f>COUNTIFS(Test_Runs!$B:$B,A69,Test_Runs!$E:$E,B69,Test_Runs!$H:$H,"&gt;=0")</x:f>
        <x:v>2</x:v>
      </x:c>
      <x:c r="D69" t="n">
        <x:f>SUMIFS(Test_Runs!$H:$H,Test_Runs!$B:$B,A69,Test_Runs!$E:$E,B69)</x:f>
        <x:v>76</x:v>
      </x:c>
      <x:c r="E69" t="n">
        <x:f>SUMIFS(Test_Runs!$I:$I,Test_Runs!$B:$B,A69,Test_Runs!$E:$E,B69)</x:f>
        <x:v>2888</x:v>
      </x:c>
      <x:c r="F69" t="n">
        <x:f>IF(C69=0,"",D69/C69)</x:f>
        <x:v>38</x:v>
      </x:c>
      <x:c r="G69" t="n">
        <x:f>IF(C69&lt;2,0,SQRT(MAX(0,(E69-(D69*D69/C69))/(C69-1))))</x:f>
        <x:v>0</x:v>
      </x:c>
      <x:c r="H69" t="n">
        <x:f>IF(C69=0,"",IF(C69=1,F69,_xlfn.AGGREGATE(15,6,(Test_Runs!$H$2:$H$144/((Test_Runs!$B$2:$B$144=A69)*(Test_Runs!$E$2:$E$144=B69))),1)))</x:f>
        <x:v>0</x:v>
      </x:c>
      <x:c r="I69" t="n">
        <x:f>IF(C69=0,"",IF(C69=1,F69,_xlfn.AGGREGATE(16,6,(Test_Runs!$H$2:$H$144/((Test_Runs!$B$2:$B$144=A69)*(Test_Runs!$E$2:$E$144=B69))),0.25)))</x:f>
        <x:v>0</x:v>
      </x:c>
      <x:c r="J69" t="str">
        <x:f>IF(C69=0,"",IF(C69=1,F69,_xlfn.AGGREGATE(12,6,(Test_Runs!$H$2:$H$144/((Test_Runs!$B$2:$B$144=A69)*(Test_Runs!$E$2:$E$144=B69))))))</x:f>
      </x:c>
      <x:c r="K69" t="n">
        <x:f>IF(C69=0,"",IF(C69=1,F69,_xlfn.AGGREGATE(16,6,(Test_Runs!$H$2:$H$144/((Test_Runs!$B$2:$B$144=A69)*(Test_Runs!$E$2:$E$144=B69))),0.75)))</x:f>
        <x:v>0</x:v>
      </x:c>
      <x:c r="L69" t="n">
        <x:f>IF(C69=0,"",_xlfn.MAXIFS(Test_Runs!$H:$H,Test_Runs!$B:$B,A69,Test_Runs!$E:$E,B69))</x:f>
        <x:v>38</x:v>
      </x:c>
      <x:c r="M69" t="n">
        <x:f>COUNTIFS(Test_Runs!$B:$B,A69,Test_Runs!$E:$E,B69,Test_Runs!$J:$J,"&gt;0")</x:f>
        <x:v>2</x:v>
      </x:c>
      <x:c r="N69" t="n">
        <x:f>SUMIFS(Test_Runs!$J:$J,Test_Runs!$B:$B,A69,Test_Runs!$E:$E,B69)</x:f>
        <x:v>0.12</x:v>
      </x:c>
      <x:c r="O69" t="n">
        <x:f>IF(M69=0,"",N69/M69)</x:f>
        <x:v>0.06</x:v>
      </x:c>
      <x:c r="P69" t="n">
        <x:f>COUNTIFS(Test_Runs!$B:$B,A69,Test_Runs!$E:$E,B69,Test_Runs!$S:$S,"&gt;0")</x:f>
        <x:v>1</x:v>
      </x:c>
      <x:c r="Q69" t="n">
        <x:f>SUMIFS(Test_Runs!$S:$S,Test_Runs!$B:$B,A69,Test_Runs!$E:$E,B69)</x:f>
        <x:v>1253.14</x:v>
      </x:c>
      <x:c r="R69" t="n">
        <x:f>IF(P69=0,"",Q69/P69)</x:f>
        <x:v>1253.14</x:v>
      </x:c>
      <x:c r="S69" t="e">
        <x:f>COUNTIFS(Test_Runs!$B:$B,A69,Test_Runs!$E:$E,B69,Test_Runs!$O:$O,"&gt;0")</x:f>
        <x:v>#VALUE!</x:v>
      </x:c>
      <x:c r="T69" t="e">
        <x:f>SUMIFS(Test_Runs!$O:$O,Test_Runs!$B:$B,A69,Test_Runs!$E:$E,B69)</x:f>
        <x:v>#VALUE!</x:v>
      </x:c>
      <x:c r="U69" t="e">
        <x:f>IF(S69=0,"",T69/S69)</x:f>
        <x:v>#VALUE!</x:v>
      </x:c>
      <x:c r="V69" t="n">
        <x:f>IFERROR(INDEX(Benchmark_Versions!$I:$I,MATCH(B69,Benchmark_Versions!$A:$A,0)),1)</x:f>
        <x:v>1</x:v>
      </x:c>
      <x:c r="W69" t="n">
        <x:f>IF(F69="","",F69*V69)</x:f>
        <x:v>38</x:v>
      </x:c>
      <x:c r="X69" t="n">
        <x:f>IF(OR(W69="",W69=0,O69=""),"",O69/W69)</x:f>
        <x:v>0.0015789473684210526</x:v>
      </x:c>
      <x:c r="Y69" t="n">
        <x:f>IF(OR(W69="",O69="",O69=0),"",W69/O69)</x:f>
        <x:v>633.3333333333334</x:v>
      </x:c>
      <x:c r="Z69" t="n">
        <x:f>IF(OR(W69="",R69="",R69=0),"",W69/R69)</x:f>
        <x:v>0.030323826547712145</x:v>
      </x:c>
    </x:row>
    <x:row r="70">
      <x:c r="A70" t="inlineStr">
        <x:is>
          <x:t xml:space="preserve">z-ai|glm-5.3-flash|reasoning|reasoning|fallback-na</x:t>
        </x:is>
      </x:c>
      <x:c r="B70" t="inlineStr">
        <x:is>
          <x:t xml:space="preserve">AA|v4.3.2</x:t>
        </x:is>
      </x:c>
      <x:c r="C70" t="n">
        <x:f>COUNTIFS(Test_Runs!$B:$B,A70,Test_Runs!$E:$E,B70,Test_Runs!$H:$H,"&gt;=0")</x:f>
        <x:v>2</x:v>
      </x:c>
      <x:c r="D70" t="n">
        <x:f>SUMIFS(Test_Runs!$H:$H,Test_Runs!$B:$B,A70,Test_Runs!$E:$E,B70)</x:f>
        <x:v>84</x:v>
      </x:c>
      <x:c r="E70" t="n">
        <x:f>SUMIFS(Test_Runs!$I:$I,Test_Runs!$B:$B,A70,Test_Runs!$E:$E,B70)</x:f>
        <x:v>3528</x:v>
      </x:c>
      <x:c r="F70" t="n">
        <x:f>IF(C70=0,"",D70/C70)</x:f>
        <x:v>42</x:v>
      </x:c>
      <x:c r="G70" t="n">
        <x:f>IF(C70&lt;2,0,SQRT(MAX(0,(E70-(D70*D70/C70))/(C70-1))))</x:f>
        <x:v>0</x:v>
      </x:c>
      <x:c r="H70" t="n">
        <x:f>IF(C70=0,"",IF(C70=1,F70,_xlfn.AGGREGATE(15,6,(Test_Runs!$H$2:$H$144/((Test_Runs!$B$2:$B$144=A70)*(Test_Runs!$E$2:$E$144=B70))),1)))</x:f>
        <x:v>0</x:v>
      </x:c>
      <x:c r="I70" t="n">
        <x:f>IF(C70=0,"",IF(C70=1,F70,_xlfn.AGGREGATE(16,6,(Test_Runs!$H$2:$H$144/((Test_Runs!$B$2:$B$144=A70)*(Test_Runs!$E$2:$E$144=B70))),0.25)))</x:f>
        <x:v>0</x:v>
      </x:c>
      <x:c r="J70" t="str">
        <x:f>IF(C70=0,"",IF(C70=1,F70,_xlfn.AGGREGATE(12,6,(Test_Runs!$H$2:$H$144/((Test_Runs!$B$2:$B$144=A70)*(Test_Runs!$E$2:$E$144=B70))))))</x:f>
      </x:c>
      <x:c r="K70" t="n">
        <x:f>IF(C70=0,"",IF(C70=1,F70,_xlfn.AGGREGATE(16,6,(Test_Runs!$H$2:$H$144/((Test_Runs!$B$2:$B$144=A70)*(Test_Runs!$E$2:$E$144=B70))),0.75)))</x:f>
        <x:v>0</x:v>
      </x:c>
      <x:c r="L70" t="n">
        <x:f>IF(C70=0,"",_xlfn.MAXIFS(Test_Runs!$H:$H,Test_Runs!$B:$B,A70,Test_Runs!$E:$E,B70))</x:f>
        <x:v>42</x:v>
      </x:c>
      <x:c r="M70" t="n">
        <x:f>COUNTIFS(Test_Runs!$B:$B,A70,Test_Runs!$E:$E,B70,Test_Runs!$J:$J,"&gt;0")</x:f>
        <x:v>2</x:v>
      </x:c>
      <x:c r="N70" t="n">
        <x:f>SUMIFS(Test_Runs!$J:$J,Test_Runs!$B:$B,A70,Test_Runs!$E:$E,B70)</x:f>
        <x:v>0.5</x:v>
      </x:c>
      <x:c r="O70" t="n">
        <x:f>IF(M70=0,"",N70/M70)</x:f>
        <x:v>0.25</x:v>
      </x:c>
      <x:c r="P70" t="n">
        <x:f>COUNTIFS(Test_Runs!$B:$B,A70,Test_Runs!$E:$E,B70,Test_Runs!$S:$S,"&gt;0")</x:f>
        <x:v>1</x:v>
      </x:c>
      <x:c r="Q70" t="n">
        <x:f>SUMIFS(Test_Runs!$S:$S,Test_Runs!$B:$B,A70,Test_Runs!$E:$E,B70)</x:f>
        <x:v>984.14</x:v>
      </x:c>
      <x:c r="R70" t="n">
        <x:f>IF(P70=0,"",Q70/P70)</x:f>
        <x:v>984.14</x:v>
      </x:c>
      <x:c r="S70" t="e">
        <x:f>COUNTIFS(Test_Runs!$B:$B,A70,Test_Runs!$E:$E,B70,Test_Runs!$O:$O,"&gt;0")</x:f>
        <x:v>#VALUE!</x:v>
      </x:c>
      <x:c r="T70" t="e">
        <x:f>SUMIFS(Test_Runs!$O:$O,Test_Runs!$B:$B,A70,Test_Runs!$E:$E,B70)</x:f>
        <x:v>#VALUE!</x:v>
      </x:c>
      <x:c r="U70" t="e">
        <x:f>IF(S70=0,"",T70/S70)</x:f>
        <x:v>#VALUE!</x:v>
      </x:c>
      <x:c r="V70" t="n">
        <x:f>IFERROR(INDEX(Benchmark_Versions!$I:$I,MATCH(B70,Benchmark_Versions!$A:$A,0)),1)</x:f>
        <x:v>1</x:v>
      </x:c>
      <x:c r="W70" t="n">
        <x:f>IF(F70="","",F70*V70)</x:f>
        <x:v>42</x:v>
      </x:c>
      <x:c r="X70" t="n">
        <x:f>IF(OR(W70="",W70=0,O70=""),"",O70/W70)</x:f>
        <x:v>0.005952380952380952</x:v>
      </x:c>
      <x:c r="Y70" t="n">
        <x:f>IF(OR(W70="",O70="",O70=0),"",W70/O70)</x:f>
        <x:v>168</x:v>
      </x:c>
      <x:c r="Z70" t="n">
        <x:f>IF(OR(W70="",R70="",R70=0),"",W70/R70)</x:f>
        <x:v>0.042676854919015586</x:v>
      </x:c>
    </x:row>
    <x:row r="71">
      <x:c r="A71" t="inlineStr">
        <x:is>
          <x:t xml:space="preserve">z-ai|glm-5.3|low|reasoning|fallback-na</x:t>
        </x:is>
      </x:c>
      <x:c r="B71" t="inlineStr">
        <x:is>
          <x:t xml:space="preserve">AA|v4.3.2</x:t>
        </x:is>
      </x:c>
      <x:c r="C71" t="n">
        <x:f>COUNTIFS(Test_Runs!$B:$B,A71,Test_Runs!$E:$E,B71,Test_Runs!$H:$H,"&gt;=0")</x:f>
        <x:v>2</x:v>
      </x:c>
      <x:c r="D71" t="n">
        <x:f>SUMIFS(Test_Runs!$H:$H,Test_Runs!$B:$B,A71,Test_Runs!$E:$E,B71)</x:f>
        <x:v>68</x:v>
      </x:c>
      <x:c r="E71" t="n">
        <x:f>SUMIFS(Test_Runs!$I:$I,Test_Runs!$B:$B,A71,Test_Runs!$E:$E,B71)</x:f>
        <x:v>2312</x:v>
      </x:c>
      <x:c r="F71" t="n">
        <x:f>IF(C71=0,"",D71/C71)</x:f>
        <x:v>34</x:v>
      </x:c>
      <x:c r="G71" t="n">
        <x:f>IF(C71&lt;2,0,SQRT(MAX(0,(E71-(D71*D71/C71))/(C71-1))))</x:f>
        <x:v>0</x:v>
      </x:c>
      <x:c r="H71" t="n">
        <x:f>IF(C71=0,"",IF(C71=1,F71,_xlfn.AGGREGATE(15,6,(Test_Runs!$H$2:$H$144/((Test_Runs!$B$2:$B$144=A71)*(Test_Runs!$E$2:$E$144=B71))),1)))</x:f>
        <x:v>0</x:v>
      </x:c>
      <x:c r="I71" t="n">
        <x:f>IF(C71=0,"",IF(C71=1,F71,_xlfn.AGGREGATE(16,6,(Test_Runs!$H$2:$H$144/((Test_Runs!$B$2:$B$144=A71)*(Test_Runs!$E$2:$E$144=B71))),0.25)))</x:f>
        <x:v>0</x:v>
      </x:c>
      <x:c r="J71" t="str">
        <x:f>IF(C71=0,"",IF(C71=1,F71,_xlfn.AGGREGATE(12,6,(Test_Runs!$H$2:$H$144/((Test_Runs!$B$2:$B$144=A71)*(Test_Runs!$E$2:$E$144=B71))))))</x:f>
      </x:c>
      <x:c r="K71" t="n">
        <x:f>IF(C71=0,"",IF(C71=1,F71,_xlfn.AGGREGATE(16,6,(Test_Runs!$H$2:$H$144/((Test_Runs!$B$2:$B$144=A71)*(Test_Runs!$E$2:$E$144=B71))),0.75)))</x:f>
        <x:v>0</x:v>
      </x:c>
      <x:c r="L71" t="n">
        <x:f>IF(C71=0,"",_xlfn.MAXIFS(Test_Runs!$H:$H,Test_Runs!$B:$B,A71,Test_Runs!$E:$E,B71))</x:f>
        <x:v>34</x:v>
      </x:c>
      <x:c r="M71" t="n">
        <x:f>COUNTIFS(Test_Runs!$B:$B,A71,Test_Runs!$E:$E,B71,Test_Runs!$J:$J,"&gt;0")</x:f>
        <x:v>2</x:v>
      </x:c>
      <x:c r="N71" t="n">
        <x:f>SUMIFS(Test_Runs!$J:$J,Test_Runs!$B:$B,A71,Test_Runs!$E:$E,B71)</x:f>
        <x:v>1.7</x:v>
      </x:c>
      <x:c r="O71" t="n">
        <x:f>IF(M71=0,"",N71/M71)</x:f>
        <x:v>0.85</x:v>
      </x:c>
      <x:c r="P71" t="n">
        <x:f>COUNTIFS(Test_Runs!$B:$B,A71,Test_Runs!$E:$E,B71,Test_Runs!$S:$S,"&gt;0")</x:f>
        <x:v>0</x:v>
      </x:c>
      <x:c r="Q71" t="n">
        <x:f>SUMIFS(Test_Runs!$S:$S,Test_Runs!$B:$B,A71,Test_Runs!$E:$E,B71)</x:f>
        <x:v>0</x:v>
      </x:c>
      <x:c r="R71" t="str">
        <x:f>IF(P71=0,"",Q71/P71)</x:f>
      </x:c>
      <x:c r="S71" t="e">
        <x:f>COUNTIFS(Test_Runs!$B:$B,A71,Test_Runs!$E:$E,B71,Test_Runs!$O:$O,"&gt;0")</x:f>
        <x:v>#VALUE!</x:v>
      </x:c>
      <x:c r="T71" t="e">
        <x:f>SUMIFS(Test_Runs!$O:$O,Test_Runs!$B:$B,A71,Test_Runs!$E:$E,B71)</x:f>
        <x:v>#VALUE!</x:v>
      </x:c>
      <x:c r="U71" t="e">
        <x:f>IF(S71=0,"",T71/S71)</x:f>
        <x:v>#VALUE!</x:v>
      </x:c>
      <x:c r="V71" t="n">
        <x:f>IFERROR(INDEX(Benchmark_Versions!$I:$I,MATCH(B71,Benchmark_Versions!$A:$A,0)),1)</x:f>
        <x:v>1</x:v>
      </x:c>
      <x:c r="W71" t="n">
        <x:f>IF(F71="","",F71*V71)</x:f>
        <x:v>34</x:v>
      </x:c>
      <x:c r="X71" t="n">
        <x:f>IF(OR(W71="",W71=0,O71=""),"",O71/W71)</x:f>
        <x:v>0.024999999999999998</x:v>
      </x:c>
      <x:c r="Y71" t="n">
        <x:f>IF(OR(W71="",O71="",O71=0),"",W71/O71)</x:f>
        <x:v>40</x:v>
      </x:c>
      <x:c r="Z71" t="str">
        <x:f>IF(OR(W71="",R71="",R71=0),"",W71/R71)</x:f>
      </x:c>
    </x:row>
    <x:row r="72">
      <x:c r="A72" t="inlineStr">
        <x:is>
          <x:t xml:space="preserve">z-ai|glm-5.3|max|reasoning|fallback-na</x:t>
        </x:is>
      </x:c>
      <x:c r="B72" t="inlineStr">
        <x:is>
          <x:t xml:space="preserve">AA|v4.3.2</x:t>
        </x:is>
      </x:c>
      <x:c r="C72" t="n">
        <x:f>COUNTIFS(Test_Runs!$B:$B,A72,Test_Runs!$E:$E,B72,Test_Runs!$H:$H,"&gt;=0")</x:f>
        <x:v>2</x:v>
      </x:c>
      <x:c r="D72" t="n">
        <x:f>SUMIFS(Test_Runs!$H:$H,Test_Runs!$B:$B,A72,Test_Runs!$E:$E,B72)</x:f>
        <x:v>90</x:v>
      </x:c>
      <x:c r="E72" t="n">
        <x:f>SUMIFS(Test_Runs!$I:$I,Test_Runs!$B:$B,A72,Test_Runs!$E:$E,B72)</x:f>
        <x:v>4050</x:v>
      </x:c>
      <x:c r="F72" t="n">
        <x:f>IF(C72=0,"",D72/C72)</x:f>
        <x:v>45</x:v>
      </x:c>
      <x:c r="G72" t="n">
        <x:f>IF(C72&lt;2,0,SQRT(MAX(0,(E72-(D72*D72/C72))/(C72-1))))</x:f>
        <x:v>0</x:v>
      </x:c>
      <x:c r="H72" t="n">
        <x:f>IF(C72=0,"",IF(C72=1,F72,_xlfn.AGGREGATE(15,6,(Test_Runs!$H$2:$H$144/((Test_Runs!$B$2:$B$144=A72)*(Test_Runs!$E$2:$E$144=B72))),1)))</x:f>
        <x:v>0</x:v>
      </x:c>
      <x:c r="I72" t="n">
        <x:f>IF(C72=0,"",IF(C72=1,F72,_xlfn.AGGREGATE(16,6,(Test_Runs!$H$2:$H$144/((Test_Runs!$B$2:$B$144=A72)*(Test_Runs!$E$2:$E$144=B72))),0.25)))</x:f>
        <x:v>0</x:v>
      </x:c>
      <x:c r="J72" t="str">
        <x:f>IF(C72=0,"",IF(C72=1,F72,_xlfn.AGGREGATE(12,6,(Test_Runs!$H$2:$H$144/((Test_Runs!$B$2:$B$144=A72)*(Test_Runs!$E$2:$E$144=B72))))))</x:f>
      </x:c>
      <x:c r="K72" t="n">
        <x:f>IF(C72=0,"",IF(C72=1,F72,_xlfn.AGGREGATE(16,6,(Test_Runs!$H$2:$H$144/((Test_Runs!$B$2:$B$144=A72)*(Test_Runs!$E$2:$E$144=B72))),0.75)))</x:f>
        <x:v>0</x:v>
      </x:c>
      <x:c r="L72" t="n">
        <x:f>IF(C72=0,"",_xlfn.MAXIFS(Test_Runs!$H:$H,Test_Runs!$B:$B,A72,Test_Runs!$E:$E,B72))</x:f>
        <x:v>45</x:v>
      </x:c>
      <x:c r="M72" t="n">
        <x:f>COUNTIFS(Test_Runs!$B:$B,A72,Test_Runs!$E:$E,B72,Test_Runs!$J:$J,"&gt;0")</x:f>
        <x:v>2</x:v>
      </x:c>
      <x:c r="N72" t="n">
        <x:f>SUMIFS(Test_Runs!$J:$J,Test_Runs!$B:$B,A72,Test_Runs!$E:$E,B72)</x:f>
        <x:v>4.02</x:v>
      </x:c>
      <x:c r="O72" t="n">
        <x:f>IF(M72=0,"",N72/M72)</x:f>
        <x:v>2.01</x:v>
      </x:c>
      <x:c r="P72" t="n">
        <x:f>COUNTIFS(Test_Runs!$B:$B,A72,Test_Runs!$E:$E,B72,Test_Runs!$S:$S,"&gt;0")</x:f>
        <x:v>0</x:v>
      </x:c>
      <x:c r="Q72" t="n">
        <x:f>SUMIFS(Test_Runs!$S:$S,Test_Runs!$B:$B,A72,Test_Runs!$E:$E,B72)</x:f>
        <x:v>0</x:v>
      </x:c>
      <x:c r="R72" t="str">
        <x:f>IF(P72=0,"",Q72/P72)</x:f>
      </x:c>
      <x:c r="S72" t="e">
        <x:f>COUNTIFS(Test_Runs!$B:$B,A72,Test_Runs!$E:$E,B72,Test_Runs!$O:$O,"&gt;0")</x:f>
        <x:v>#VALUE!</x:v>
      </x:c>
      <x:c r="T72" t="e">
        <x:f>SUMIFS(Test_Runs!$O:$O,Test_Runs!$B:$B,A72,Test_Runs!$E:$E,B72)</x:f>
        <x:v>#VALUE!</x:v>
      </x:c>
      <x:c r="U72" t="e">
        <x:f>IF(S72=0,"",T72/S72)</x:f>
        <x:v>#VALUE!</x:v>
      </x:c>
      <x:c r="V72" t="n">
        <x:f>IFERROR(INDEX(Benchmark_Versions!$I:$I,MATCH(B72,Benchmark_Versions!$A:$A,0)),1)</x:f>
        <x:v>1</x:v>
      </x:c>
      <x:c r="W72" t="n">
        <x:f>IF(F72="","",F72*V72)</x:f>
        <x:v>45</x:v>
      </x:c>
      <x:c r="X72" t="n">
        <x:f>IF(OR(W72="",W72=0,O72=""),"",O72/W72)</x:f>
        <x:v>0.04466666666666666</x:v>
      </x:c>
      <x:c r="Y72" t="n">
        <x:f>IF(OR(W72="",O72="",O72=0),"",W72/O72)</x:f>
        <x:v>22.38805970149254</x:v>
      </x:c>
      <x:c r="Z72" t="str">
        <x:f>IF(OR(W72="",R72="",R72=0),"",W72/R72)</x:f>
      </x:c>
    </x:row>
    <x:row r="73">
      <x:c r="A73" t="inlineStr">
        <x:is>
          <x:t xml:space="preserve">google|gemini-4-argon|high|reasoning|fallback-na</x:t>
        </x:is>
      </x:c>
      <x:c r="B73" t="inlineStr">
        <x:is>
          <x:t xml:space="preserve">AA|v4.3.2</x:t>
        </x:is>
      </x:c>
      <x:c r="C73" t="n">
        <x:f>COUNTIFS(Test_Runs!$B:$B,A73,Test_Runs!$E:$E,B73,Test_Runs!$H:$H,"&gt;=0")</x:f>
        <x:v>3</x:v>
      </x:c>
      <x:c r="D73" t="n">
        <x:f>SUMIFS(Test_Runs!$H:$H,Test_Runs!$B:$B,A73,Test_Runs!$E:$E,B73)</x:f>
        <x:v>159</x:v>
      </x:c>
      <x:c r="E73" t="n">
        <x:f>SUMIFS(Test_Runs!$I:$I,Test_Runs!$B:$B,A73,Test_Runs!$E:$E,B73)</x:f>
        <x:v>8427</x:v>
      </x:c>
      <x:c r="F73" t="n">
        <x:f>IF(C73=0,"",D73/C73)</x:f>
        <x:v>53</x:v>
      </x:c>
      <x:c r="G73" t="n">
        <x:f>IF(C73&lt;2,0,SQRT(MAX(0,(E73-(D73*D73/C73))/(C73-1))))</x:f>
        <x:v>0</x:v>
      </x:c>
      <x:c r="H73" t="n">
        <x:f>IF(C73=0,"",IF(C73=1,F73,_xlfn.AGGREGATE(15,6,(Test_Runs!$H$2:$H$144/((Test_Runs!$B$2:$B$144=A73)*(Test_Runs!$E$2:$E$144=B73))),1)))</x:f>
        <x:v>0</x:v>
      </x:c>
      <x:c r="I73" t="n">
        <x:f>IF(C73=0,"",IF(C73=1,F73,_xlfn.AGGREGATE(16,6,(Test_Runs!$H$2:$H$144/((Test_Runs!$B$2:$B$144=A73)*(Test_Runs!$E$2:$E$144=B73))),0.25)))</x:f>
        <x:v>0</x:v>
      </x:c>
      <x:c r="J73" t="str">
        <x:f>IF(C73=0,"",IF(C73=1,F73,_xlfn.AGGREGATE(12,6,(Test_Runs!$H$2:$H$144/((Test_Runs!$B$2:$B$144=A73)*(Test_Runs!$E$2:$E$144=B73))))))</x:f>
      </x:c>
      <x:c r="K73" t="n">
        <x:f>IF(C73=0,"",IF(C73=1,F73,_xlfn.AGGREGATE(16,6,(Test_Runs!$H$2:$H$144/((Test_Runs!$B$2:$B$144=A73)*(Test_Runs!$E$2:$E$144=B73))),0.75)))</x:f>
        <x:v>0</x:v>
      </x:c>
      <x:c r="L73" t="n">
        <x:f>IF(C73=0,"",_xlfn.MAXIFS(Test_Runs!$H:$H,Test_Runs!$B:$B,A73,Test_Runs!$E:$E,B73))</x:f>
        <x:v>53</x:v>
      </x:c>
      <x:c r="M73" t="n">
        <x:f>COUNTIFS(Test_Runs!$B:$B,A73,Test_Runs!$E:$E,B73,Test_Runs!$J:$J,"&gt;0")</x:f>
        <x:v>3</x:v>
      </x:c>
      <x:c r="N73" t="n">
        <x:f>SUMIFS(Test_Runs!$J:$J,Test_Runs!$B:$B,A73,Test_Runs!$E:$E,B73)</x:f>
        <x:v>5.97</x:v>
      </x:c>
      <x:c r="O73" t="n">
        <x:f>IF(M73=0,"",N73/M73)</x:f>
        <x:v>1.99</x:v>
      </x:c>
      <x:c r="P73" t="n">
        <x:f>COUNTIFS(Test_Runs!$B:$B,A73,Test_Runs!$E:$E,B73,Test_Runs!$S:$S,"&gt;0")</x:f>
        <x:v>0</x:v>
      </x:c>
      <x:c r="Q73" t="n">
        <x:f>SUMIFS(Test_Runs!$S:$S,Test_Runs!$B:$B,A73,Test_Runs!$E:$E,B73)</x:f>
        <x:v>0</x:v>
      </x:c>
      <x:c r="R73" t="str">
        <x:f>IF(P73=0,"",Q73/P73)</x:f>
      </x:c>
      <x:c r="S73" t="e">
        <x:f>COUNTIFS(Test_Runs!$B:$B,A73,Test_Runs!$E:$E,B73,Test_Runs!$O:$O,"&gt;0")</x:f>
        <x:v>#VALUE!</x:v>
      </x:c>
      <x:c r="T73" t="e">
        <x:f>SUMIFS(Test_Runs!$O:$O,Test_Runs!$B:$B,A73,Test_Runs!$E:$E,B73)</x:f>
        <x:v>#VALUE!</x:v>
      </x:c>
      <x:c r="U73" t="e">
        <x:f>IF(S73=0,"",T73/S73)</x:f>
        <x:v>#VALUE!</x:v>
      </x:c>
      <x:c r="V73" t="n">
        <x:f>IFERROR(INDEX(Benchmark_Versions!$I:$I,MATCH(B73,Benchmark_Versions!$A:$A,0)),1)</x:f>
        <x:v>1</x:v>
      </x:c>
      <x:c r="W73" t="n">
        <x:f>IF(F73="","",F73*V73)</x:f>
        <x:v>53</x:v>
      </x:c>
      <x:c r="X73" t="n">
        <x:f>IF(OR(W73="",W73=0,O73=""),"",O73/W73)</x:f>
        <x:v>0.03754716981132075</x:v>
      </x:c>
      <x:c r="Y73" t="n">
        <x:f>IF(OR(W73="",O73="",O73=0),"",W73/O73)</x:f>
        <x:v>26.633165829145728</x:v>
      </x:c>
      <x:c r="Z73" t="str">
        <x:f>IF(OR(W73="",R73="",R73=0),"",W73/R73)</x:f>
      </x:c>
    </x:row>
    <x:row r="74">
      <x:c r="A74" t="inlineStr">
        <x:is>
          <x:t xml:space="preserve">openai|gpt-6-1-sol|low|reasoning|fallback-na</x:t>
        </x:is>
      </x:c>
      <x:c r="B74" t="inlineStr">
        <x:is>
          <x:t xml:space="preserve">AA|v4.3.2</x:t>
        </x:is>
      </x:c>
      <x:c r="C74" t="n">
        <x:f>COUNTIFS(Test_Runs!$B:$B,A74,Test_Runs!$E:$E,B74,Test_Runs!$H:$H,"&gt;=0")</x:f>
        <x:v>1</x:v>
      </x:c>
      <x:c r="D74" t="n">
        <x:f>SUMIFS(Test_Runs!$H:$H,Test_Runs!$B:$B,A74,Test_Runs!$E:$E,B74)</x:f>
        <x:v>42</x:v>
      </x:c>
      <x:c r="E74" t="n">
        <x:f>SUMIFS(Test_Runs!$I:$I,Test_Runs!$B:$B,A74,Test_Runs!$E:$E,B74)</x:f>
        <x:v>1764</x:v>
      </x:c>
      <x:c r="F74" t="n">
        <x:f>IF(C74=0,"",D74/C74)</x:f>
        <x:v>42</x:v>
      </x:c>
      <x:c r="G74" t="n">
        <x:f>IF(C74&lt;2,0,SQRT(MAX(0,(E74-(D74*D74/C74))/(C74-1))))</x:f>
        <x:v>0</x:v>
      </x:c>
      <x:c r="H74" t="n">
        <x:f>IF(C74=0,"",IF(C74=1,F74,_xlfn.AGGREGATE(15,6,(Test_Runs!$H$2:$H$144/((Test_Runs!$B$2:$B$144=A74)*(Test_Runs!$E$2:$E$144=B74))),1)))</x:f>
        <x:v>42</x:v>
      </x:c>
      <x:c r="I74" t="n">
        <x:f>IF(C74=0,"",IF(C74=1,F74,_xlfn.AGGREGATE(16,6,(Test_Runs!$H$2:$H$144/((Test_Runs!$B$2:$B$144=A74)*(Test_Runs!$E$2:$E$144=B74))),0.25)))</x:f>
        <x:v>42</x:v>
      </x:c>
      <x:c r="J74" t="n">
        <x:f>IF(C74=0,"",IF(C74=1,F74,_xlfn.AGGREGATE(12,6,(Test_Runs!$H$2:$H$144/((Test_Runs!$B$2:$B$144=A74)*(Test_Runs!$E$2:$E$144=B74))))))</x:f>
        <x:v>42</x:v>
      </x:c>
      <x:c r="K74" t="n">
        <x:f>IF(C74=0,"",IF(C74=1,F74,_xlfn.AGGREGATE(16,6,(Test_Runs!$H$2:$H$144/((Test_Runs!$B$2:$B$144=A74)*(Test_Runs!$E$2:$E$144=B74))),0.75)))</x:f>
        <x:v>42</x:v>
      </x:c>
      <x:c r="L74" t="n">
        <x:f>IF(C74=0,"",_xlfn.MAXIFS(Test_Runs!$H:$H,Test_Runs!$B:$B,A74,Test_Runs!$E:$E,B74))</x:f>
        <x:v>42</x:v>
      </x:c>
      <x:c r="M74" t="n">
        <x:f>COUNTIFS(Test_Runs!$B:$B,A74,Test_Runs!$E:$E,B74,Test_Runs!$J:$J,"&gt;0")</x:f>
        <x:v>1</x:v>
      </x:c>
      <x:c r="N74" t="n">
        <x:f>SUMIFS(Test_Runs!$J:$J,Test_Runs!$B:$B,A74,Test_Runs!$E:$E,B74)</x:f>
        <x:v>0.13</x:v>
      </x:c>
      <x:c r="O74" t="n">
        <x:f>IF(M74=0,"",N74/M74)</x:f>
        <x:v>0.13</x:v>
      </x:c>
      <x:c r="P74" t="n">
        <x:f>COUNTIFS(Test_Runs!$B:$B,A74,Test_Runs!$E:$E,B74,Test_Runs!$S:$S,"&gt;0")</x:f>
        <x:v>0</x:v>
      </x:c>
      <x:c r="Q74" t="n">
        <x:f>SUMIFS(Test_Runs!$S:$S,Test_Runs!$B:$B,A74,Test_Runs!$E:$E,B74)</x:f>
        <x:v>0</x:v>
      </x:c>
      <x:c r="R74" t="str">
        <x:f>IF(P74=0,"",Q74/P74)</x:f>
      </x:c>
      <x:c r="S74" t="e">
        <x:f>COUNTIFS(Test_Runs!$B:$B,A74,Test_Runs!$E:$E,B74,Test_Runs!$O:$O,"&gt;0")</x:f>
        <x:v>#VALUE!</x:v>
      </x:c>
      <x:c r="T74" t="e">
        <x:f>SUMIFS(Test_Runs!$O:$O,Test_Runs!$B:$B,A74,Test_Runs!$E:$E,B74)</x:f>
        <x:v>#VALUE!</x:v>
      </x:c>
      <x:c r="U74" t="e">
        <x:f>IF(S74=0,"",T74/S74)</x:f>
        <x:v>#VALUE!</x:v>
      </x:c>
      <x:c r="V74" t="n">
        <x:f>IFERROR(INDEX(Benchmark_Versions!$I:$I,MATCH(B74,Benchmark_Versions!$A:$A,0)),1)</x:f>
        <x:v>1</x:v>
      </x:c>
      <x:c r="W74" t="n">
        <x:f>IF(F74="","",F74*V74)</x:f>
        <x:v>42</x:v>
      </x:c>
      <x:c r="X74" t="n">
        <x:f>IF(OR(W74="",W74=0,O74=""),"",O74/W74)</x:f>
        <x:v>0.0030952380952380953</x:v>
      </x:c>
      <x:c r="Y74" t="n">
        <x:f>IF(OR(W74="",O74="",O74=0),"",W74/O74)</x:f>
        <x:v>323.07692307692304</x:v>
      </x:c>
      <x:c r="Z74" t="str">
        <x:f>IF(OR(W74="",R74="",R74=0),"",W74/R74)</x:f>
      </x:c>
    </x:row>
    <x:row r="75">
      <x:c r="A75" t="inlineStr">
        <x:is>
          <x:t xml:space="preserve">openai|gpt-6-1-sol|medium|reasoning|fallback-na</x:t>
        </x:is>
      </x:c>
      <x:c r="B75" t="inlineStr">
        <x:is>
          <x:t xml:space="preserve">AA|v4.3.2</x:t>
        </x:is>
      </x:c>
      <x:c r="C75" t="n">
        <x:f>COUNTIFS(Test_Runs!$B:$B,A75,Test_Runs!$E:$E,B75,Test_Runs!$H:$H,"&gt;=0")</x:f>
        <x:v>1</x:v>
      </x:c>
      <x:c r="D75" t="n">
        <x:f>SUMIFS(Test_Runs!$H:$H,Test_Runs!$B:$B,A75,Test_Runs!$E:$E,B75)</x:f>
        <x:v>48</x:v>
      </x:c>
      <x:c r="E75" t="n">
        <x:f>SUMIFS(Test_Runs!$I:$I,Test_Runs!$B:$B,A75,Test_Runs!$E:$E,B75)</x:f>
        <x:v>2304</x:v>
      </x:c>
      <x:c r="F75" t="n">
        <x:f>IF(C75=0,"",D75/C75)</x:f>
        <x:v>48</x:v>
      </x:c>
      <x:c r="G75" t="n">
        <x:f>IF(C75&lt;2,0,SQRT(MAX(0,(E75-(D75*D75/C75))/(C75-1))))</x:f>
        <x:v>0</x:v>
      </x:c>
      <x:c r="H75" t="n">
        <x:f>IF(C75=0,"",IF(C75=1,F75,_xlfn.AGGREGATE(15,6,(Test_Runs!$H$2:$H$144/((Test_Runs!$B$2:$B$144=A75)*(Test_Runs!$E$2:$E$144=B75))),1)))</x:f>
        <x:v>48</x:v>
      </x:c>
      <x:c r="I75" t="n">
        <x:f>IF(C75=0,"",IF(C75=1,F75,_xlfn.AGGREGATE(16,6,(Test_Runs!$H$2:$H$144/((Test_Runs!$B$2:$B$144=A75)*(Test_Runs!$E$2:$E$144=B75))),0.25)))</x:f>
        <x:v>48</x:v>
      </x:c>
      <x:c r="J75" t="n">
        <x:f>IF(C75=0,"",IF(C75=1,F75,_xlfn.AGGREGATE(12,6,(Test_Runs!$H$2:$H$144/((Test_Runs!$B$2:$B$144=A75)*(Test_Runs!$E$2:$E$144=B75))))))</x:f>
        <x:v>48</x:v>
      </x:c>
      <x:c r="K75" t="n">
        <x:f>IF(C75=0,"",IF(C75=1,F75,_xlfn.AGGREGATE(16,6,(Test_Runs!$H$2:$H$144/((Test_Runs!$B$2:$B$144=A75)*(Test_Runs!$E$2:$E$144=B75))),0.75)))</x:f>
        <x:v>48</x:v>
      </x:c>
      <x:c r="L75" t="n">
        <x:f>IF(C75=0,"",_xlfn.MAXIFS(Test_Runs!$H:$H,Test_Runs!$B:$B,A75,Test_Runs!$E:$E,B75))</x:f>
        <x:v>48</x:v>
      </x:c>
      <x:c r="M75" t="n">
        <x:f>COUNTIFS(Test_Runs!$B:$B,A75,Test_Runs!$E:$E,B75,Test_Runs!$J:$J,"&gt;0")</x:f>
        <x:v>1</x:v>
      </x:c>
      <x:c r="N75" t="n">
        <x:f>SUMIFS(Test_Runs!$J:$J,Test_Runs!$B:$B,A75,Test_Runs!$E:$E,B75)</x:f>
        <x:v>0.21</x:v>
      </x:c>
      <x:c r="O75" t="n">
        <x:f>IF(M75=0,"",N75/M75)</x:f>
        <x:v>0.21</x:v>
      </x:c>
      <x:c r="P75" t="n">
        <x:f>COUNTIFS(Test_Runs!$B:$B,A75,Test_Runs!$E:$E,B75,Test_Runs!$S:$S,"&gt;0")</x:f>
        <x:v>0</x:v>
      </x:c>
      <x:c r="Q75" t="n">
        <x:f>SUMIFS(Test_Runs!$S:$S,Test_Runs!$B:$B,A75,Test_Runs!$E:$E,B75)</x:f>
        <x:v>0</x:v>
      </x:c>
      <x:c r="R75" t="str">
        <x:f>IF(P75=0,"",Q75/P75)</x:f>
      </x:c>
      <x:c r="S75" t="e">
        <x:f>COUNTIFS(Test_Runs!$B:$B,A75,Test_Runs!$E:$E,B75,Test_Runs!$O:$O,"&gt;0")</x:f>
        <x:v>#VALUE!</x:v>
      </x:c>
      <x:c r="T75" t="e">
        <x:f>SUMIFS(Test_Runs!$O:$O,Test_Runs!$B:$B,A75,Test_Runs!$E:$E,B75)</x:f>
        <x:v>#VALUE!</x:v>
      </x:c>
      <x:c r="U75" t="e">
        <x:f>IF(S75=0,"",T75/S75)</x:f>
        <x:v>#VALUE!</x:v>
      </x:c>
      <x:c r="V75" t="n">
        <x:f>IFERROR(INDEX(Benchmark_Versions!$I:$I,MATCH(B75,Benchmark_Versions!$A:$A,0)),1)</x:f>
        <x:v>1</x:v>
      </x:c>
      <x:c r="W75" t="n">
        <x:f>IF(F75="","",F75*V75)</x:f>
        <x:v>48</x:v>
      </x:c>
      <x:c r="X75" t="n">
        <x:f>IF(OR(W75="",W75=0,O75=""),"",O75/W75)</x:f>
        <x:v>0.0043749999999999995</x:v>
      </x:c>
      <x:c r="Y75" t="n">
        <x:f>IF(OR(W75="",O75="",O75=0),"",W75/O75)</x:f>
        <x:v>228.57142857142858</x:v>
      </x:c>
      <x:c r="Z75" t="str">
        <x:f>IF(OR(W75="",R75="",R75=0),"",W75/R75)</x:f>
      </x:c>
    </x:row>
    <x:row r="76">
      <x:c r="A76" t="inlineStr">
        <x:is>
          <x:t xml:space="preserve">openai|gpt-6-1-sol|high|reasoning|fallback-na</x:t>
        </x:is>
      </x:c>
      <x:c r="B76" t="inlineStr">
        <x:is>
          <x:t xml:space="preserve">AA|v4.3.2</x:t>
        </x:is>
      </x:c>
      <x:c r="C76" t="n">
        <x:f>COUNTIFS(Test_Runs!$B:$B,A76,Test_Runs!$E:$E,B76,Test_Runs!$H:$H,"&gt;=0")</x:f>
        <x:v>1</x:v>
      </x:c>
      <x:c r="D76" t="n">
        <x:f>SUMIFS(Test_Runs!$H:$H,Test_Runs!$B:$B,A76,Test_Runs!$E:$E,B76)</x:f>
        <x:v>50</x:v>
      </x:c>
      <x:c r="E76" t="n">
        <x:f>SUMIFS(Test_Runs!$I:$I,Test_Runs!$B:$B,A76,Test_Runs!$E:$E,B76)</x:f>
        <x:v>2500</x:v>
      </x:c>
      <x:c r="F76" t="n">
        <x:f>IF(C76=0,"",D76/C76)</x:f>
        <x:v>50</x:v>
      </x:c>
      <x:c r="G76" t="n">
        <x:f>IF(C76&lt;2,0,SQRT(MAX(0,(E76-(D76*D76/C76))/(C76-1))))</x:f>
        <x:v>0</x:v>
      </x:c>
      <x:c r="H76" t="n">
        <x:f>IF(C76=0,"",IF(C76=1,F76,_xlfn.AGGREGATE(15,6,(Test_Runs!$H$2:$H$144/((Test_Runs!$B$2:$B$144=A76)*(Test_Runs!$E$2:$E$144=B76))),1)))</x:f>
        <x:v>50</x:v>
      </x:c>
      <x:c r="I76" t="n">
        <x:f>IF(C76=0,"",IF(C76=1,F76,_xlfn.AGGREGATE(16,6,(Test_Runs!$H$2:$H$144/((Test_Runs!$B$2:$B$144=A76)*(Test_Runs!$E$2:$E$144=B76))),0.25)))</x:f>
        <x:v>50</x:v>
      </x:c>
      <x:c r="J76" t="n">
        <x:f>IF(C76=0,"",IF(C76=1,F76,_xlfn.AGGREGATE(12,6,(Test_Runs!$H$2:$H$144/((Test_Runs!$B$2:$B$144=A76)*(Test_Runs!$E$2:$E$144=B76))))))</x:f>
        <x:v>50</x:v>
      </x:c>
      <x:c r="K76" t="n">
        <x:f>IF(C76=0,"",IF(C76=1,F76,_xlfn.AGGREGATE(16,6,(Test_Runs!$H$2:$H$144/((Test_Runs!$B$2:$B$144=A76)*(Test_Runs!$E$2:$E$144=B76))),0.75)))</x:f>
        <x:v>50</x:v>
      </x:c>
      <x:c r="L76" t="n">
        <x:f>IF(C76=0,"",_xlfn.MAXIFS(Test_Runs!$H:$H,Test_Runs!$B:$B,A76,Test_Runs!$E:$E,B76))</x:f>
        <x:v>50</x:v>
      </x:c>
      <x:c r="M76" t="n">
        <x:f>COUNTIFS(Test_Runs!$B:$B,A76,Test_Runs!$E:$E,B76,Test_Runs!$J:$J,"&gt;0")</x:f>
        <x:v>1</x:v>
      </x:c>
      <x:c r="N76" t="n">
        <x:f>SUMIFS(Test_Runs!$J:$J,Test_Runs!$B:$B,A76,Test_Runs!$E:$E,B76)</x:f>
        <x:v>0.32</x:v>
      </x:c>
      <x:c r="O76" t="n">
        <x:f>IF(M76=0,"",N76/M76)</x:f>
        <x:v>0.32</x:v>
      </x:c>
      <x:c r="P76" t="n">
        <x:f>COUNTIFS(Test_Runs!$B:$B,A76,Test_Runs!$E:$E,B76,Test_Runs!$S:$S,"&gt;0")</x:f>
        <x:v>0</x:v>
      </x:c>
      <x:c r="Q76" t="n">
        <x:f>SUMIFS(Test_Runs!$S:$S,Test_Runs!$B:$B,A76,Test_Runs!$E:$E,B76)</x:f>
        <x:v>0</x:v>
      </x:c>
      <x:c r="R76" t="str">
        <x:f>IF(P76=0,"",Q76/P76)</x:f>
      </x:c>
      <x:c r="S76" t="e">
        <x:f>COUNTIFS(Test_Runs!$B:$B,A76,Test_Runs!$E:$E,B76,Test_Runs!$O:$O,"&gt;0")</x:f>
        <x:v>#VALUE!</x:v>
      </x:c>
      <x:c r="T76" t="e">
        <x:f>SUMIFS(Test_Runs!$O:$O,Test_Runs!$B:$B,A76,Test_Runs!$E:$E,B76)</x:f>
        <x:v>#VALUE!</x:v>
      </x:c>
      <x:c r="U76" t="e">
        <x:f>IF(S76=0,"",T76/S76)</x:f>
        <x:v>#VALUE!</x:v>
      </x:c>
      <x:c r="V76" t="n">
        <x:f>IFERROR(INDEX(Benchmark_Versions!$I:$I,MATCH(B76,Benchmark_Versions!$A:$A,0)),1)</x:f>
        <x:v>1</x:v>
      </x:c>
      <x:c r="W76" t="n">
        <x:f>IF(F76="","",F76*V76)</x:f>
        <x:v>50</x:v>
      </x:c>
      <x:c r="X76" t="n">
        <x:f>IF(OR(W76="",W76=0,O76=""),"",O76/W76)</x:f>
        <x:v>0.0064</x:v>
      </x:c>
      <x:c r="Y76" t="n">
        <x:f>IF(OR(W76="",O76="",O76=0),"",W76/O76)</x:f>
        <x:v>156.25</x:v>
      </x:c>
      <x:c r="Z76" t="str">
        <x:f>IF(OR(W76="",R76="",R76=0),"",W76/R76)</x:f>
      </x:c>
    </x:row>
    <x:row r="77">
      <x:c r="A77" t="inlineStr">
        <x:is>
          <x:t xml:space="preserve">openai|gpt-6-1-sol|xhigh|reasoning|fallback-na</x:t>
        </x:is>
      </x:c>
      <x:c r="B77" t="inlineStr">
        <x:is>
          <x:t xml:space="preserve">AA|v4.3.2</x:t>
        </x:is>
      </x:c>
      <x:c r="C77" t="n">
        <x:f>COUNTIFS(Test_Runs!$B:$B,A77,Test_Runs!$E:$E,B77,Test_Runs!$H:$H,"&gt;=0")</x:f>
        <x:v>1</x:v>
      </x:c>
      <x:c r="D77" t="n">
        <x:f>SUMIFS(Test_Runs!$H:$H,Test_Runs!$B:$B,A77,Test_Runs!$E:$E,B77)</x:f>
        <x:v>51</x:v>
      </x:c>
      <x:c r="E77" t="n">
        <x:f>SUMIFS(Test_Runs!$I:$I,Test_Runs!$B:$B,A77,Test_Runs!$E:$E,B77)</x:f>
        <x:v>2601</x:v>
      </x:c>
      <x:c r="F77" t="n">
        <x:f>IF(C77=0,"",D77/C77)</x:f>
        <x:v>51</x:v>
      </x:c>
      <x:c r="G77" t="n">
        <x:f>IF(C77&lt;2,0,SQRT(MAX(0,(E77-(D77*D77/C77))/(C77-1))))</x:f>
        <x:v>0</x:v>
      </x:c>
      <x:c r="H77" t="n">
        <x:f>IF(C77=0,"",IF(C77=1,F77,_xlfn.AGGREGATE(15,6,(Test_Runs!$H$2:$H$144/((Test_Runs!$B$2:$B$144=A77)*(Test_Runs!$E$2:$E$144=B77))),1)))</x:f>
        <x:v>51</x:v>
      </x:c>
      <x:c r="I77" t="n">
        <x:f>IF(C77=0,"",IF(C77=1,F77,_xlfn.AGGREGATE(16,6,(Test_Runs!$H$2:$H$144/((Test_Runs!$B$2:$B$144=A77)*(Test_Runs!$E$2:$E$144=B77))),0.25)))</x:f>
        <x:v>51</x:v>
      </x:c>
      <x:c r="J77" t="n">
        <x:f>IF(C77=0,"",IF(C77=1,F77,_xlfn.AGGREGATE(12,6,(Test_Runs!$H$2:$H$144/((Test_Runs!$B$2:$B$144=A77)*(Test_Runs!$E$2:$E$144=B77))))))</x:f>
        <x:v>51</x:v>
      </x:c>
      <x:c r="K77" t="n">
        <x:f>IF(C77=0,"",IF(C77=1,F77,_xlfn.AGGREGATE(16,6,(Test_Runs!$H$2:$H$144/((Test_Runs!$B$2:$B$144=A77)*(Test_Runs!$E$2:$E$144=B77))),0.75)))</x:f>
        <x:v>51</x:v>
      </x:c>
      <x:c r="L77" t="n">
        <x:f>IF(C77=0,"",_xlfn.MAXIFS(Test_Runs!$H:$H,Test_Runs!$B:$B,A77,Test_Runs!$E:$E,B77))</x:f>
        <x:v>51</x:v>
      </x:c>
      <x:c r="M77" t="n">
        <x:f>COUNTIFS(Test_Runs!$B:$B,A77,Test_Runs!$E:$E,B77,Test_Runs!$J:$J,"&gt;0")</x:f>
        <x:v>1</x:v>
      </x:c>
      <x:c r="N77" t="n">
        <x:f>SUMIFS(Test_Runs!$J:$J,Test_Runs!$B:$B,A77,Test_Runs!$E:$E,B77)</x:f>
        <x:v>0.39</x:v>
      </x:c>
      <x:c r="O77" t="n">
        <x:f>IF(M77=0,"",N77/M77)</x:f>
        <x:v>0.39</x:v>
      </x:c>
      <x:c r="P77" t="n">
        <x:f>COUNTIFS(Test_Runs!$B:$B,A77,Test_Runs!$E:$E,B77,Test_Runs!$S:$S,"&gt;0")</x:f>
        <x:v>0</x:v>
      </x:c>
      <x:c r="Q77" t="n">
        <x:f>SUMIFS(Test_Runs!$S:$S,Test_Runs!$B:$B,A77,Test_Runs!$E:$E,B77)</x:f>
        <x:v>0</x:v>
      </x:c>
      <x:c r="R77" t="str">
        <x:f>IF(P77=0,"",Q77/P77)</x:f>
      </x:c>
      <x:c r="S77" t="e">
        <x:f>COUNTIFS(Test_Runs!$B:$B,A77,Test_Runs!$E:$E,B77,Test_Runs!$O:$O,"&gt;0")</x:f>
        <x:v>#VALUE!</x:v>
      </x:c>
      <x:c r="T77" t="e">
        <x:f>SUMIFS(Test_Runs!$O:$O,Test_Runs!$B:$B,A77,Test_Runs!$E:$E,B77)</x:f>
        <x:v>#VALUE!</x:v>
      </x:c>
      <x:c r="U77" t="e">
        <x:f>IF(S77=0,"",T77/S77)</x:f>
        <x:v>#VALUE!</x:v>
      </x:c>
      <x:c r="V77" t="n">
        <x:f>IFERROR(INDEX(Benchmark_Versions!$I:$I,MATCH(B77,Benchmark_Versions!$A:$A,0)),1)</x:f>
        <x:v>1</x:v>
      </x:c>
      <x:c r="W77" t="n">
        <x:f>IF(F77="","",F77*V77)</x:f>
        <x:v>51</x:v>
      </x:c>
      <x:c r="X77" t="n">
        <x:f>IF(OR(W77="",W77=0,O77=""),"",O77/W77)</x:f>
        <x:v>0.007647058823529412</x:v>
      </x:c>
      <x:c r="Y77" t="n">
        <x:f>IF(OR(W77="",O77="",O77=0),"",W77/O77)</x:f>
        <x:v>130.76923076923077</x:v>
      </x:c>
      <x:c r="Z77" t="str">
        <x:f>IF(OR(W77="",R77="",R77=0),"",W77/R77)</x:f>
      </x:c>
    </x:row>
    <x:row r="78">
      <x:c r="A78" t="inlineStr">
        <x:is>
          <x:t xml:space="preserve">openai|gpt-6-1-sol|max|reasoning|fallback-na</x:t>
        </x:is>
      </x:c>
      <x:c r="B78" t="inlineStr">
        <x:is>
          <x:t xml:space="preserve">AA|v4.3.2</x:t>
        </x:is>
      </x:c>
      <x:c r="C78" t="n">
        <x:f>COUNTIFS(Test_Runs!$B:$B,A78,Test_Runs!$E:$E,B78,Test_Runs!$H:$H,"&gt;=0")</x:f>
        <x:v>1</x:v>
      </x:c>
      <x:c r="D78" t="n">
        <x:f>SUMIFS(Test_Runs!$H:$H,Test_Runs!$B:$B,A78,Test_Runs!$E:$E,B78)</x:f>
        <x:v>52</x:v>
      </x:c>
      <x:c r="E78" t="n">
        <x:f>SUMIFS(Test_Runs!$I:$I,Test_Runs!$B:$B,A78,Test_Runs!$E:$E,B78)</x:f>
        <x:v>2704</x:v>
      </x:c>
      <x:c r="F78" t="n">
        <x:f>IF(C78=0,"",D78/C78)</x:f>
        <x:v>52</x:v>
      </x:c>
      <x:c r="G78" t="n">
        <x:f>IF(C78&lt;2,0,SQRT(MAX(0,(E78-(D78*D78/C78))/(C78-1))))</x:f>
        <x:v>0</x:v>
      </x:c>
      <x:c r="H78" t="n">
        <x:f>IF(C78=0,"",IF(C78=1,F78,_xlfn.AGGREGATE(15,6,(Test_Runs!$H$2:$H$144/((Test_Runs!$B$2:$B$144=A78)*(Test_Runs!$E$2:$E$144=B78))),1)))</x:f>
        <x:v>52</x:v>
      </x:c>
      <x:c r="I78" t="n">
        <x:f>IF(C78=0,"",IF(C78=1,F78,_xlfn.AGGREGATE(16,6,(Test_Runs!$H$2:$H$144/((Test_Runs!$B$2:$B$144=A78)*(Test_Runs!$E$2:$E$144=B78))),0.25)))</x:f>
        <x:v>52</x:v>
      </x:c>
      <x:c r="J78" t="n">
        <x:f>IF(C78=0,"",IF(C78=1,F78,_xlfn.AGGREGATE(12,6,(Test_Runs!$H$2:$H$144/((Test_Runs!$B$2:$B$144=A78)*(Test_Runs!$E$2:$E$144=B78))))))</x:f>
        <x:v>52</x:v>
      </x:c>
      <x:c r="K78" t="n">
        <x:f>IF(C78=0,"",IF(C78=1,F78,_xlfn.AGGREGATE(16,6,(Test_Runs!$H$2:$H$144/((Test_Runs!$B$2:$B$144=A78)*(Test_Runs!$E$2:$E$144=B78))),0.75)))</x:f>
        <x:v>52</x:v>
      </x:c>
      <x:c r="L78" t="n">
        <x:f>IF(C78=0,"",_xlfn.MAXIFS(Test_Runs!$H:$H,Test_Runs!$B:$B,A78,Test_Runs!$E:$E,B78))</x:f>
        <x:v>52</x:v>
      </x:c>
      <x:c r="M78" t="n">
        <x:f>COUNTIFS(Test_Runs!$B:$B,A78,Test_Runs!$E:$E,B78,Test_Runs!$J:$J,"&gt;0")</x:f>
        <x:v>1</x:v>
      </x:c>
      <x:c r="N78" t="n">
        <x:f>SUMIFS(Test_Runs!$J:$J,Test_Runs!$B:$B,A78,Test_Runs!$E:$E,B78)</x:f>
        <x:v>0.72</x:v>
      </x:c>
      <x:c r="O78" t="n">
        <x:f>IF(M78=0,"",N78/M78)</x:f>
        <x:v>0.72</x:v>
      </x:c>
      <x:c r="P78" t="n">
        <x:f>COUNTIFS(Test_Runs!$B:$B,A78,Test_Runs!$E:$E,B78,Test_Runs!$S:$S,"&gt;0")</x:f>
        <x:v>0</x:v>
      </x:c>
      <x:c r="Q78" t="n">
        <x:f>SUMIFS(Test_Runs!$S:$S,Test_Runs!$B:$B,A78,Test_Runs!$E:$E,B78)</x:f>
        <x:v>0</x:v>
      </x:c>
      <x:c r="R78" t="str">
        <x:f>IF(P78=0,"",Q78/P78)</x:f>
      </x:c>
      <x:c r="S78" t="e">
        <x:f>COUNTIFS(Test_Runs!$B:$B,A78,Test_Runs!$E:$E,B78,Test_Runs!$O:$O,"&gt;0")</x:f>
        <x:v>#VALUE!</x:v>
      </x:c>
      <x:c r="T78" t="e">
        <x:f>SUMIFS(Test_Runs!$O:$O,Test_Runs!$B:$B,A78,Test_Runs!$E:$E,B78)</x:f>
        <x:v>#VALUE!</x:v>
      </x:c>
      <x:c r="U78" t="e">
        <x:f>IF(S78=0,"",T78/S78)</x:f>
        <x:v>#VALUE!</x:v>
      </x:c>
      <x:c r="V78" t="n">
        <x:f>IFERROR(INDEX(Benchmark_Versions!$I:$I,MATCH(B78,Benchmark_Versions!$A:$A,0)),1)</x:f>
        <x:v>1</x:v>
      </x:c>
      <x:c r="W78" t="n">
        <x:f>IF(F78="","",F78*V78)</x:f>
        <x:v>52</x:v>
      </x:c>
      <x:c r="X78" t="n">
        <x:f>IF(OR(W78="",W78=0,O78=""),"",O78/W78)</x:f>
        <x:v>0.013846153846153845</x:v>
      </x:c>
      <x:c r="Y78" t="n">
        <x:f>IF(OR(W78="",O78="",O78=0),"",W78/O78)</x:f>
        <x:v>72.22222222222223</x:v>
      </x:c>
      <x:c r="Z78" t="str">
        <x:f>IF(OR(W78="",R78="",R78=0),"",W78/R78)</x:f>
      </x:c>
    </x:row>
    <x:row r="79">
      <x:c r="A79" t="inlineStr">
        <x:is>
          <x:t xml:space="preserve">anthropic|claude-haiku-5-5|low|reasoning|fallback-na</x:t>
        </x:is>
      </x:c>
      <x:c r="B79" t="inlineStr">
        <x:is>
          <x:t xml:space="preserve">AA|v4.3.2</x:t>
        </x:is>
      </x:c>
      <x:c r="C79" t="n">
        <x:f>COUNTIFS(Test_Runs!$B:$B,A79,Test_Runs!$E:$E,B79,Test_Runs!$H:$H,"&gt;=0")</x:f>
        <x:v>1</x:v>
      </x:c>
      <x:c r="D79" t="n">
        <x:f>SUMIFS(Test_Runs!$H:$H,Test_Runs!$B:$B,A79,Test_Runs!$E:$E,B79)</x:f>
        <x:v>29</x:v>
      </x:c>
      <x:c r="E79" t="n">
        <x:f>SUMIFS(Test_Runs!$I:$I,Test_Runs!$B:$B,A79,Test_Runs!$E:$E,B79)</x:f>
        <x:v>841</x:v>
      </x:c>
      <x:c r="F79" t="n">
        <x:f>IF(C79=0,"",D79/C79)</x:f>
        <x:v>29</x:v>
      </x:c>
      <x:c r="G79" t="n">
        <x:f>IF(C79&lt;2,0,SQRT(MAX(0,(E79-(D79*D79/C79))/(C79-1))))</x:f>
        <x:v>0</x:v>
      </x:c>
      <x:c r="H79" t="n">
        <x:f>IF(C79=0,"",IF(C79=1,F79,_xlfn.AGGREGATE(15,6,(Test_Runs!$H$2:$H$144/((Test_Runs!$B$2:$B$144=A79)*(Test_Runs!$E$2:$E$144=B79))),1)))</x:f>
        <x:v>29</x:v>
      </x:c>
      <x:c r="I79" t="n">
        <x:f>IF(C79=0,"",IF(C79=1,F79,_xlfn.AGGREGATE(16,6,(Test_Runs!$H$2:$H$144/((Test_Runs!$B$2:$B$144=A79)*(Test_Runs!$E$2:$E$144=B79))),0.25)))</x:f>
        <x:v>29</x:v>
      </x:c>
      <x:c r="J79" t="n">
        <x:f>IF(C79=0,"",IF(C79=1,F79,_xlfn.AGGREGATE(12,6,(Test_Runs!$H$2:$H$144/((Test_Runs!$B$2:$B$144=A79)*(Test_Runs!$E$2:$E$144=B79))))))</x:f>
        <x:v>29</x:v>
      </x:c>
      <x:c r="K79" t="n">
        <x:f>IF(C79=0,"",IF(C79=1,F79,_xlfn.AGGREGATE(16,6,(Test_Runs!$H$2:$H$144/((Test_Runs!$B$2:$B$144=A79)*(Test_Runs!$E$2:$E$144=B79))),0.75)))</x:f>
        <x:v>29</x:v>
      </x:c>
      <x:c r="L79" t="n">
        <x:f>IF(C79=0,"",_xlfn.MAXIFS(Test_Runs!$H:$H,Test_Runs!$B:$B,A79,Test_Runs!$E:$E,B79))</x:f>
        <x:v>29</x:v>
      </x:c>
      <x:c r="M79" t="n">
        <x:f>COUNTIFS(Test_Runs!$B:$B,A79,Test_Runs!$E:$E,B79,Test_Runs!$J:$J,"&gt;0")</x:f>
        <x:v>1</x:v>
      </x:c>
      <x:c r="N79" t="n">
        <x:f>SUMIFS(Test_Runs!$J:$J,Test_Runs!$B:$B,A79,Test_Runs!$E:$E,B79)</x:f>
        <x:v>0.02</x:v>
      </x:c>
      <x:c r="O79" t="n">
        <x:f>IF(M79=0,"",N79/M79)</x:f>
        <x:v>0.02</x:v>
      </x:c>
      <x:c r="P79" t="n">
        <x:f>COUNTIFS(Test_Runs!$B:$B,A79,Test_Runs!$E:$E,B79,Test_Runs!$S:$S,"&gt;0")</x:f>
        <x:v>0</x:v>
      </x:c>
      <x:c r="Q79" t="n">
        <x:f>SUMIFS(Test_Runs!$S:$S,Test_Runs!$B:$B,A79,Test_Runs!$E:$E,B79)</x:f>
        <x:v>0</x:v>
      </x:c>
      <x:c r="R79" t="str">
        <x:f>IF(P79=0,"",Q79/P79)</x:f>
      </x:c>
      <x:c r="S79" t="e">
        <x:f>COUNTIFS(Test_Runs!$B:$B,A79,Test_Runs!$E:$E,B79,Test_Runs!$O:$O,"&gt;0")</x:f>
        <x:v>#VALUE!</x:v>
      </x:c>
      <x:c r="T79" t="e">
        <x:f>SUMIFS(Test_Runs!$O:$O,Test_Runs!$B:$B,A79,Test_Runs!$E:$E,B79)</x:f>
        <x:v>#VALUE!</x:v>
      </x:c>
      <x:c r="U79" t="e">
        <x:f>IF(S79=0,"",T79/S79)</x:f>
        <x:v>#VALUE!</x:v>
      </x:c>
      <x:c r="V79" t="n">
        <x:f>IFERROR(INDEX(Benchmark_Versions!$I:$I,MATCH(B79,Benchmark_Versions!$A:$A,0)),1)</x:f>
        <x:v>1</x:v>
      </x:c>
      <x:c r="W79" t="n">
        <x:f>IF(F79="","",F79*V79)</x:f>
        <x:v>29</x:v>
      </x:c>
      <x:c r="X79" t="n">
        <x:f>IF(OR(W79="",W79=0,O79=""),"",O79/W79)</x:f>
        <x:v>0.0006896551724137932</x:v>
      </x:c>
      <x:c r="Y79" t="n">
        <x:f>IF(OR(W79="",O79="",O79=0),"",W79/O79)</x:f>
        <x:v>1450</x:v>
      </x:c>
      <x:c r="Z79" t="str">
        <x:f>IF(OR(W79="",R79="",R79=0),"",W79/R79)</x:f>
      </x:c>
    </x:row>
    <x:row r="80">
      <x:c r="A80" t="inlineStr">
        <x:is>
          <x:t xml:space="preserve">anthropic|claude-haiku-5-5|medium|reasoning|fallback-na</x:t>
        </x:is>
      </x:c>
      <x:c r="B80" t="inlineStr">
        <x:is>
          <x:t xml:space="preserve">AA|v4.3.2</x:t>
        </x:is>
      </x:c>
      <x:c r="C80" t="n">
        <x:f>COUNTIFS(Test_Runs!$B:$B,A80,Test_Runs!$E:$E,B80,Test_Runs!$H:$H,"&gt;=0")</x:f>
        <x:v>1</x:v>
      </x:c>
      <x:c r="D80" t="n">
        <x:f>SUMIFS(Test_Runs!$H:$H,Test_Runs!$B:$B,A80,Test_Runs!$E:$E,B80)</x:f>
        <x:v>34</x:v>
      </x:c>
      <x:c r="E80" t="n">
        <x:f>SUMIFS(Test_Runs!$I:$I,Test_Runs!$B:$B,A80,Test_Runs!$E:$E,B80)</x:f>
        <x:v>1156</x:v>
      </x:c>
      <x:c r="F80" t="n">
        <x:f>IF(C80=0,"",D80/C80)</x:f>
        <x:v>34</x:v>
      </x:c>
      <x:c r="G80" t="n">
        <x:f>IF(C80&lt;2,0,SQRT(MAX(0,(E80-(D80*D80/C80))/(C80-1))))</x:f>
        <x:v>0</x:v>
      </x:c>
      <x:c r="H80" t="n">
        <x:f>IF(C80=0,"",IF(C80=1,F80,_xlfn.AGGREGATE(15,6,(Test_Runs!$H$2:$H$144/((Test_Runs!$B$2:$B$144=A80)*(Test_Runs!$E$2:$E$144=B80))),1)))</x:f>
        <x:v>34</x:v>
      </x:c>
      <x:c r="I80" t="n">
        <x:f>IF(C80=0,"",IF(C80=1,F80,_xlfn.AGGREGATE(16,6,(Test_Runs!$H$2:$H$144/((Test_Runs!$B$2:$B$144=A80)*(Test_Runs!$E$2:$E$144=B80))),0.25)))</x:f>
        <x:v>34</x:v>
      </x:c>
      <x:c r="J80" t="n">
        <x:f>IF(C80=0,"",IF(C80=1,F80,_xlfn.AGGREGATE(12,6,(Test_Runs!$H$2:$H$144/((Test_Runs!$B$2:$B$144=A80)*(Test_Runs!$E$2:$E$144=B80))))))</x:f>
        <x:v>34</x:v>
      </x:c>
      <x:c r="K80" t="n">
        <x:f>IF(C80=0,"",IF(C80=1,F80,_xlfn.AGGREGATE(16,6,(Test_Runs!$H$2:$H$144/((Test_Runs!$B$2:$B$144=A80)*(Test_Runs!$E$2:$E$144=B80))),0.75)))</x:f>
        <x:v>34</x:v>
      </x:c>
      <x:c r="L80" t="n">
        <x:f>IF(C80=0,"",_xlfn.MAXIFS(Test_Runs!$H:$H,Test_Runs!$B:$B,A80,Test_Runs!$E:$E,B80))</x:f>
        <x:v>34</x:v>
      </x:c>
      <x:c r="M80" t="n">
        <x:f>COUNTIFS(Test_Runs!$B:$B,A80,Test_Runs!$E:$E,B80,Test_Runs!$J:$J,"&gt;0")</x:f>
        <x:v>1</x:v>
      </x:c>
      <x:c r="N80" t="n">
        <x:f>SUMIFS(Test_Runs!$J:$J,Test_Runs!$B:$B,A80,Test_Runs!$E:$E,B80)</x:f>
        <x:v>0.05</x:v>
      </x:c>
      <x:c r="O80" t="n">
        <x:f>IF(M80=0,"",N80/M80)</x:f>
        <x:v>0.05</x:v>
      </x:c>
      <x:c r="P80" t="n">
        <x:f>COUNTIFS(Test_Runs!$B:$B,A80,Test_Runs!$E:$E,B80,Test_Runs!$S:$S,"&gt;0")</x:f>
        <x:v>0</x:v>
      </x:c>
      <x:c r="Q80" t="n">
        <x:f>SUMIFS(Test_Runs!$S:$S,Test_Runs!$B:$B,A80,Test_Runs!$E:$E,B80)</x:f>
        <x:v>0</x:v>
      </x:c>
      <x:c r="R80" t="str">
        <x:f>IF(P80=0,"",Q80/P80)</x:f>
      </x:c>
      <x:c r="S80" t="e">
        <x:f>COUNTIFS(Test_Runs!$B:$B,A80,Test_Runs!$E:$E,B80,Test_Runs!$O:$O,"&gt;0")</x:f>
        <x:v>#VALUE!</x:v>
      </x:c>
      <x:c r="T80" t="e">
        <x:f>SUMIFS(Test_Runs!$O:$O,Test_Runs!$B:$B,A80,Test_Runs!$E:$E,B80)</x:f>
        <x:v>#VALUE!</x:v>
      </x:c>
      <x:c r="U80" t="e">
        <x:f>IF(S80=0,"",T80/S80)</x:f>
        <x:v>#VALUE!</x:v>
      </x:c>
      <x:c r="V80" t="n">
        <x:f>IFERROR(INDEX(Benchmark_Versions!$I:$I,MATCH(B80,Benchmark_Versions!$A:$A,0)),1)</x:f>
        <x:v>1</x:v>
      </x:c>
      <x:c r="W80" t="n">
        <x:f>IF(F80="","",F80*V80)</x:f>
        <x:v>34</x:v>
      </x:c>
      <x:c r="X80" t="n">
        <x:f>IF(OR(W80="",W80=0,O80=""),"",O80/W80)</x:f>
        <x:v>0.0014705882352941176</x:v>
      </x:c>
      <x:c r="Y80" t="n">
        <x:f>IF(OR(W80="",O80="",O80=0),"",W80/O80)</x:f>
        <x:v>680</x:v>
      </x:c>
      <x:c r="Z80" t="str">
        <x:f>IF(OR(W80="",R80="",R80=0),"",W80/R80)</x:f>
      </x:c>
    </x:row>
    <x:row r="81">
      <x:c r="A81" t="inlineStr">
        <x:is>
          <x:t xml:space="preserve">anthropic|claude-haiku-5-5|high|reasoning|fallback-na</x:t>
        </x:is>
      </x:c>
      <x:c r="B81" t="inlineStr">
        <x:is>
          <x:t xml:space="preserve">AA|v4.3.2</x:t>
        </x:is>
      </x:c>
      <x:c r="C81" t="n">
        <x:f>COUNTIFS(Test_Runs!$B:$B,A81,Test_Runs!$E:$E,B81,Test_Runs!$H:$H,"&gt;=0")</x:f>
        <x:v>1</x:v>
      </x:c>
      <x:c r="D81" t="n">
        <x:f>SUMIFS(Test_Runs!$H:$H,Test_Runs!$B:$B,A81,Test_Runs!$E:$E,B81)</x:f>
        <x:v>38</x:v>
      </x:c>
      <x:c r="E81" t="n">
        <x:f>SUMIFS(Test_Runs!$I:$I,Test_Runs!$B:$B,A81,Test_Runs!$E:$E,B81)</x:f>
        <x:v>1444</x:v>
      </x:c>
      <x:c r="F81" t="n">
        <x:f>IF(C81=0,"",D81/C81)</x:f>
        <x:v>38</x:v>
      </x:c>
      <x:c r="G81" t="n">
        <x:f>IF(C81&lt;2,0,SQRT(MAX(0,(E81-(D81*D81/C81))/(C81-1))))</x:f>
        <x:v>0</x:v>
      </x:c>
      <x:c r="H81" t="n">
        <x:f>IF(C81=0,"",IF(C81=1,F81,_xlfn.AGGREGATE(15,6,(Test_Runs!$H$2:$H$144/((Test_Runs!$B$2:$B$144=A81)*(Test_Runs!$E$2:$E$144=B81))),1)))</x:f>
        <x:v>38</x:v>
      </x:c>
      <x:c r="I81" t="n">
        <x:f>IF(C81=0,"",IF(C81=1,F81,_xlfn.AGGREGATE(16,6,(Test_Runs!$H$2:$H$144/((Test_Runs!$B$2:$B$144=A81)*(Test_Runs!$E$2:$E$144=B81))),0.25)))</x:f>
        <x:v>38</x:v>
      </x:c>
      <x:c r="J81" t="n">
        <x:f>IF(C81=0,"",IF(C81=1,F81,_xlfn.AGGREGATE(12,6,(Test_Runs!$H$2:$H$144/((Test_Runs!$B$2:$B$144=A81)*(Test_Runs!$E$2:$E$144=B81))))))</x:f>
        <x:v>38</x:v>
      </x:c>
      <x:c r="K81" t="n">
        <x:f>IF(C81=0,"",IF(C81=1,F81,_xlfn.AGGREGATE(16,6,(Test_Runs!$H$2:$H$144/((Test_Runs!$B$2:$B$144=A81)*(Test_Runs!$E$2:$E$144=B81))),0.75)))</x:f>
        <x:v>38</x:v>
      </x:c>
      <x:c r="L81" t="n">
        <x:f>IF(C81=0,"",_xlfn.MAXIFS(Test_Runs!$H:$H,Test_Runs!$B:$B,A81,Test_Runs!$E:$E,B81))</x:f>
        <x:v>38</x:v>
      </x:c>
      <x:c r="M81" t="n">
        <x:f>COUNTIFS(Test_Runs!$B:$B,A81,Test_Runs!$E:$E,B81,Test_Runs!$J:$J,"&gt;0")</x:f>
        <x:v>1</x:v>
      </x:c>
      <x:c r="N81" t="n">
        <x:f>SUMIFS(Test_Runs!$J:$J,Test_Runs!$B:$B,A81,Test_Runs!$E:$E,B81)</x:f>
        <x:v>0.08</x:v>
      </x:c>
      <x:c r="O81" t="n">
        <x:f>IF(M81=0,"",N81/M81)</x:f>
        <x:v>0.08</x:v>
      </x:c>
      <x:c r="P81" t="n">
        <x:f>COUNTIFS(Test_Runs!$B:$B,A81,Test_Runs!$E:$E,B81,Test_Runs!$S:$S,"&gt;0")</x:f>
        <x:v>0</x:v>
      </x:c>
      <x:c r="Q81" t="n">
        <x:f>SUMIFS(Test_Runs!$S:$S,Test_Runs!$B:$B,A81,Test_Runs!$E:$E,B81)</x:f>
        <x:v>0</x:v>
      </x:c>
      <x:c r="R81" t="str">
        <x:f>IF(P81=0,"",Q81/P81)</x:f>
      </x:c>
      <x:c r="S81" t="e">
        <x:f>COUNTIFS(Test_Runs!$B:$B,A81,Test_Runs!$E:$E,B81,Test_Runs!$O:$O,"&gt;0")</x:f>
        <x:v>#VALUE!</x:v>
      </x:c>
      <x:c r="T81" t="e">
        <x:f>SUMIFS(Test_Runs!$O:$O,Test_Runs!$B:$B,A81,Test_Runs!$E:$E,B81)</x:f>
        <x:v>#VALUE!</x:v>
      </x:c>
      <x:c r="U81" t="e">
        <x:f>IF(S81=0,"",T81/S81)</x:f>
        <x:v>#VALUE!</x:v>
      </x:c>
      <x:c r="V81" t="n">
        <x:f>IFERROR(INDEX(Benchmark_Versions!$I:$I,MATCH(B81,Benchmark_Versions!$A:$A,0)),1)</x:f>
        <x:v>1</x:v>
      </x:c>
      <x:c r="W81" t="n">
        <x:f>IF(F81="","",F81*V81)</x:f>
        <x:v>38</x:v>
      </x:c>
      <x:c r="X81" t="n">
        <x:f>IF(OR(W81="",W81=0,O81=""),"",O81/W81)</x:f>
        <x:v>0.002105263157894737</x:v>
      </x:c>
      <x:c r="Y81" t="n">
        <x:f>IF(OR(W81="",O81="",O81=0),"",W81/O81)</x:f>
        <x:v>475</x:v>
      </x:c>
      <x:c r="Z81" t="str">
        <x:f>IF(OR(W81="",R81="",R81=0),"",W81/R81)</x:f>
      </x:c>
    </x:row>
    <x:row r="82">
      <x:c r="A82" t="inlineStr">
        <x:is>
          <x:t xml:space="preserve">anthropic|claude-haiku-5-5|xhigh|reasoning|fallback-na</x:t>
        </x:is>
      </x:c>
      <x:c r="B82" t="inlineStr">
        <x:is>
          <x:t xml:space="preserve">AA|v4.3.2</x:t>
        </x:is>
      </x:c>
      <x:c r="C82" t="n">
        <x:f>COUNTIFS(Test_Runs!$B:$B,A82,Test_Runs!$E:$E,B82,Test_Runs!$H:$H,"&gt;=0")</x:f>
        <x:v>1</x:v>
      </x:c>
      <x:c r="D82" t="n">
        <x:f>SUMIFS(Test_Runs!$H:$H,Test_Runs!$B:$B,A82,Test_Runs!$E:$E,B82)</x:f>
        <x:v>41</x:v>
      </x:c>
      <x:c r="E82" t="n">
        <x:f>SUMIFS(Test_Runs!$I:$I,Test_Runs!$B:$B,A82,Test_Runs!$E:$E,B82)</x:f>
        <x:v>1681</x:v>
      </x:c>
      <x:c r="F82" t="n">
        <x:f>IF(C82=0,"",D82/C82)</x:f>
        <x:v>41</x:v>
      </x:c>
      <x:c r="G82" t="n">
        <x:f>IF(C82&lt;2,0,SQRT(MAX(0,(E82-(D82*D82/C82))/(C82-1))))</x:f>
        <x:v>0</x:v>
      </x:c>
      <x:c r="H82" t="n">
        <x:f>IF(C82=0,"",IF(C82=1,F82,_xlfn.AGGREGATE(15,6,(Test_Runs!$H$2:$H$144/((Test_Runs!$B$2:$B$144=A82)*(Test_Runs!$E$2:$E$144=B82))),1)))</x:f>
        <x:v>41</x:v>
      </x:c>
      <x:c r="I82" t="n">
        <x:f>IF(C82=0,"",IF(C82=1,F82,_xlfn.AGGREGATE(16,6,(Test_Runs!$H$2:$H$144/((Test_Runs!$B$2:$B$144=A82)*(Test_Runs!$E$2:$E$144=B82))),0.25)))</x:f>
        <x:v>41</x:v>
      </x:c>
      <x:c r="J82" t="n">
        <x:f>IF(C82=0,"",IF(C82=1,F82,_xlfn.AGGREGATE(12,6,(Test_Runs!$H$2:$H$144/((Test_Runs!$B$2:$B$144=A82)*(Test_Runs!$E$2:$E$144=B82))))))</x:f>
        <x:v>41</x:v>
      </x:c>
      <x:c r="K82" t="n">
        <x:f>IF(C82=0,"",IF(C82=1,F82,_xlfn.AGGREGATE(16,6,(Test_Runs!$H$2:$H$144/((Test_Runs!$B$2:$B$144=A82)*(Test_Runs!$E$2:$E$144=B82))),0.75)))</x:f>
        <x:v>41</x:v>
      </x:c>
      <x:c r="L82" t="n">
        <x:f>IF(C82=0,"",_xlfn.MAXIFS(Test_Runs!$H:$H,Test_Runs!$B:$B,A82,Test_Runs!$E:$E,B82))</x:f>
        <x:v>41</x:v>
      </x:c>
      <x:c r="M82" t="n">
        <x:f>COUNTIFS(Test_Runs!$B:$B,A82,Test_Runs!$E:$E,B82,Test_Runs!$J:$J,"&gt;0")</x:f>
        <x:v>1</x:v>
      </x:c>
      <x:c r="N82" t="n">
        <x:f>SUMIFS(Test_Runs!$J:$J,Test_Runs!$B:$B,A82,Test_Runs!$E:$E,B82)</x:f>
        <x:v>0.12</x:v>
      </x:c>
      <x:c r="O82" t="n">
        <x:f>IF(M82=0,"",N82/M82)</x:f>
        <x:v>0.12</x:v>
      </x:c>
      <x:c r="P82" t="n">
        <x:f>COUNTIFS(Test_Runs!$B:$B,A82,Test_Runs!$E:$E,B82,Test_Runs!$S:$S,"&gt;0")</x:f>
        <x:v>0</x:v>
      </x:c>
      <x:c r="Q82" t="n">
        <x:f>SUMIFS(Test_Runs!$S:$S,Test_Runs!$B:$B,A82,Test_Runs!$E:$E,B82)</x:f>
        <x:v>0</x:v>
      </x:c>
      <x:c r="R82" t="str">
        <x:f>IF(P82=0,"",Q82/P82)</x:f>
      </x:c>
      <x:c r="S82" t="e">
        <x:f>COUNTIFS(Test_Runs!$B:$B,A82,Test_Runs!$E:$E,B82,Test_Runs!$O:$O,"&gt;0")</x:f>
        <x:v>#VALUE!</x:v>
      </x:c>
      <x:c r="T82" t="e">
        <x:f>SUMIFS(Test_Runs!$O:$O,Test_Runs!$B:$B,A82,Test_Runs!$E:$E,B82)</x:f>
        <x:v>#VALUE!</x:v>
      </x:c>
      <x:c r="U82" t="e">
        <x:f>IF(S82=0,"",T82/S82)</x:f>
        <x:v>#VALUE!</x:v>
      </x:c>
      <x:c r="V82" t="n">
        <x:f>IFERROR(INDEX(Benchmark_Versions!$I:$I,MATCH(B82,Benchmark_Versions!$A:$A,0)),1)</x:f>
        <x:v>1</x:v>
      </x:c>
      <x:c r="W82" t="n">
        <x:f>IF(F82="","",F82*V82)</x:f>
        <x:v>41</x:v>
      </x:c>
      <x:c r="X82" t="n">
        <x:f>IF(OR(W82="",W82=0,O82=""),"",O82/W82)</x:f>
        <x:v>0.002926829268292683</x:v>
      </x:c>
      <x:c r="Y82" t="n">
        <x:f>IF(OR(W82="",O82="",O82=0),"",W82/O82)</x:f>
        <x:v>341.6666666666667</x:v>
      </x:c>
      <x:c r="Z82" t="str">
        <x:f>IF(OR(W82="",R82="",R82=0),"",W82/R82)</x:f>
      </x:c>
    </x:row>
    <x:row r="83">
      <x:c r="A83" t="inlineStr">
        <x:is>
          <x:t xml:space="preserve">anthropic|claude-haiku-5-5|max|reasoning|fallback-na</x:t>
        </x:is>
      </x:c>
      <x:c r="B83" t="inlineStr">
        <x:is>
          <x:t xml:space="preserve">AA|v4.3.2</x:t>
        </x:is>
      </x:c>
      <x:c r="C83" t="n">
        <x:f>COUNTIFS(Test_Runs!$B:$B,A83,Test_Runs!$E:$E,B83,Test_Runs!$H:$H,"&gt;=0")</x:f>
        <x:v>1</x:v>
      </x:c>
      <x:c r="D83" t="n">
        <x:f>SUMIFS(Test_Runs!$H:$H,Test_Runs!$B:$B,A83,Test_Runs!$E:$E,B83)</x:f>
        <x:v>43</x:v>
      </x:c>
      <x:c r="E83" t="n">
        <x:f>SUMIFS(Test_Runs!$I:$I,Test_Runs!$B:$B,A83,Test_Runs!$E:$E,B83)</x:f>
        <x:v>1849</x:v>
      </x:c>
      <x:c r="F83" t="n">
        <x:f>IF(C83=0,"",D83/C83)</x:f>
        <x:v>43</x:v>
      </x:c>
      <x:c r="G83" t="n">
        <x:f>IF(C83&lt;2,0,SQRT(MAX(0,(E83-(D83*D83/C83))/(C83-1))))</x:f>
        <x:v>0</x:v>
      </x:c>
      <x:c r="H83" t="n">
        <x:f>IF(C83=0,"",IF(C83=1,F83,_xlfn.AGGREGATE(15,6,(Test_Runs!$H$2:$H$144/((Test_Runs!$B$2:$B$144=A83)*(Test_Runs!$E$2:$E$144=B83))),1)))</x:f>
        <x:v>43</x:v>
      </x:c>
      <x:c r="I83" t="n">
        <x:f>IF(C83=0,"",IF(C83=1,F83,_xlfn.AGGREGATE(16,6,(Test_Runs!$H$2:$H$144/((Test_Runs!$B$2:$B$144=A83)*(Test_Runs!$E$2:$E$144=B83))),0.25)))</x:f>
        <x:v>43</x:v>
      </x:c>
      <x:c r="J83" t="n">
        <x:f>IF(C83=0,"",IF(C83=1,F83,_xlfn.AGGREGATE(12,6,(Test_Runs!$H$2:$H$144/((Test_Runs!$B$2:$B$144=A83)*(Test_Runs!$E$2:$E$144=B83))))))</x:f>
        <x:v>43</x:v>
      </x:c>
      <x:c r="K83" t="n">
        <x:f>IF(C83=0,"",IF(C83=1,F83,_xlfn.AGGREGATE(16,6,(Test_Runs!$H$2:$H$144/((Test_Runs!$B$2:$B$144=A83)*(Test_Runs!$E$2:$E$144=B83))),0.75)))</x:f>
        <x:v>43</x:v>
      </x:c>
      <x:c r="L83" t="n">
        <x:f>IF(C83=0,"",_xlfn.MAXIFS(Test_Runs!$H:$H,Test_Runs!$B:$B,A83,Test_Runs!$E:$E,B83))</x:f>
        <x:v>43</x:v>
      </x:c>
      <x:c r="M83" t="n">
        <x:f>COUNTIFS(Test_Runs!$B:$B,A83,Test_Runs!$E:$E,B83,Test_Runs!$J:$J,"&gt;0")</x:f>
        <x:v>1</x:v>
      </x:c>
      <x:c r="N83" t="n">
        <x:f>SUMIFS(Test_Runs!$J:$J,Test_Runs!$B:$B,A83,Test_Runs!$E:$E,B83)</x:f>
        <x:v>0.21</x:v>
      </x:c>
      <x:c r="O83" t="n">
        <x:f>IF(M83=0,"",N83/M83)</x:f>
        <x:v>0.21</x:v>
      </x:c>
      <x:c r="P83" t="n">
        <x:f>COUNTIFS(Test_Runs!$B:$B,A83,Test_Runs!$E:$E,B83,Test_Runs!$S:$S,"&gt;0")</x:f>
        <x:v>0</x:v>
      </x:c>
      <x:c r="Q83" t="n">
        <x:f>SUMIFS(Test_Runs!$S:$S,Test_Runs!$B:$B,A83,Test_Runs!$E:$E,B83)</x:f>
        <x:v>0</x:v>
      </x:c>
      <x:c r="R83" t="str">
        <x:f>IF(P83=0,"",Q83/P83)</x:f>
      </x:c>
      <x:c r="S83" t="e">
        <x:f>COUNTIFS(Test_Runs!$B:$B,A83,Test_Runs!$E:$E,B83,Test_Runs!$O:$O,"&gt;0")</x:f>
        <x:v>#VALUE!</x:v>
      </x:c>
      <x:c r="T83" t="e">
        <x:f>SUMIFS(Test_Runs!$O:$O,Test_Runs!$B:$B,A83,Test_Runs!$E:$E,B83)</x:f>
        <x:v>#VALUE!</x:v>
      </x:c>
      <x:c r="U83" t="e">
        <x:f>IF(S83=0,"",T83/S83)</x:f>
        <x:v>#VALUE!</x:v>
      </x:c>
      <x:c r="V83" t="n">
        <x:f>IFERROR(INDEX(Benchmark_Versions!$I:$I,MATCH(B83,Benchmark_Versions!$A:$A,0)),1)</x:f>
        <x:v>1</x:v>
      </x:c>
      <x:c r="W83" t="n">
        <x:f>IF(F83="","",F83*V83)</x:f>
        <x:v>43</x:v>
      </x:c>
      <x:c r="X83" t="n">
        <x:f>IF(OR(W83="",W83=0,O83=""),"",O83/W83)</x:f>
        <x:v>0.004883720930232558</x:v>
      </x:c>
      <x:c r="Y83" t="n">
        <x:f>IF(OR(W83="",O83="",O83=0),"",W83/O83)</x:f>
        <x:v>204.76190476190476</x:v>
      </x:c>
      <x:c r="Z83" t="str">
        <x:f>IF(OR(W83="",R83="",R83=0),"",W83/R83)</x:f>
      </x:c>
    </x:row>
    <x:row r="84">
      <x:c r="A84" t="inlineStr">
        <x:is>
          <x:t xml:space="preserve">mistral|mistral-large-4-preview|reasoning|reasoning|fallback-na</x:t>
        </x:is>
      </x:c>
      <x:c r="B84" t="inlineStr">
        <x:is>
          <x:t xml:space="preserve">AA|v4.3.2</x:t>
        </x:is>
      </x:c>
      <x:c r="C84" t="n">
        <x:f>COUNTIFS(Test_Runs!$B:$B,A84,Test_Runs!$E:$E,B84,Test_Runs!$H:$H,"&gt;=0")</x:f>
        <x:v>1</x:v>
      </x:c>
      <x:c r="D84" t="n">
        <x:f>SUMIFS(Test_Runs!$H:$H,Test_Runs!$B:$B,A84,Test_Runs!$E:$E,B84)</x:f>
        <x:v>38</x:v>
      </x:c>
      <x:c r="E84" t="n">
        <x:f>SUMIFS(Test_Runs!$I:$I,Test_Runs!$B:$B,A84,Test_Runs!$E:$E,B84)</x:f>
        <x:v>1444</x:v>
      </x:c>
      <x:c r="F84" t="n">
        <x:f>IF(C84=0,"",D84/C84)</x:f>
        <x:v>38</x:v>
      </x:c>
      <x:c r="G84" t="n">
        <x:f>IF(C84&lt;2,0,SQRT(MAX(0,(E84-(D84*D84/C84))/(C84-1))))</x:f>
        <x:v>0</x:v>
      </x:c>
      <x:c r="H84" t="n">
        <x:f>IF(C84=0,"",IF(C84=1,F84,_xlfn.AGGREGATE(15,6,(Test_Runs!$H$2:$H$144/((Test_Runs!$B$2:$B$144=A84)*(Test_Runs!$E$2:$E$144=B84))),1)))</x:f>
        <x:v>38</x:v>
      </x:c>
      <x:c r="I84" t="n">
        <x:f>IF(C84=0,"",IF(C84=1,F84,_xlfn.AGGREGATE(16,6,(Test_Runs!$H$2:$H$144/((Test_Runs!$B$2:$B$144=A84)*(Test_Runs!$E$2:$E$144=B84))),0.25)))</x:f>
        <x:v>38</x:v>
      </x:c>
      <x:c r="J84" t="n">
        <x:f>IF(C84=0,"",IF(C84=1,F84,_xlfn.AGGREGATE(12,6,(Test_Runs!$H$2:$H$144/((Test_Runs!$B$2:$B$144=A84)*(Test_Runs!$E$2:$E$144=B84))))))</x:f>
        <x:v>38</x:v>
      </x:c>
      <x:c r="K84" t="n">
        <x:f>IF(C84=0,"",IF(C84=1,F84,_xlfn.AGGREGATE(16,6,(Test_Runs!$H$2:$H$144/((Test_Runs!$B$2:$B$144=A84)*(Test_Runs!$E$2:$E$144=B84))),0.75)))</x:f>
        <x:v>38</x:v>
      </x:c>
      <x:c r="L84" t="n">
        <x:f>IF(C84=0,"",_xlfn.MAXIFS(Test_Runs!$H:$H,Test_Runs!$B:$B,A84,Test_Runs!$E:$E,B84))</x:f>
        <x:v>38</x:v>
      </x:c>
      <x:c r="M84" t="n">
        <x:f>COUNTIFS(Test_Runs!$B:$B,A84,Test_Runs!$E:$E,B84,Test_Runs!$J:$J,"&gt;0")</x:f>
        <x:v>1</x:v>
      </x:c>
      <x:c r="N84" t="n">
        <x:f>SUMIFS(Test_Runs!$J:$J,Test_Runs!$B:$B,A84,Test_Runs!$E:$E,B84)</x:f>
        <x:v>1.13</x:v>
      </x:c>
      <x:c r="O84" t="n">
        <x:f>IF(M84=0,"",N84/M84)</x:f>
        <x:v>1.13</x:v>
      </x:c>
      <x:c r="P84" t="n">
        <x:f>COUNTIFS(Test_Runs!$B:$B,A84,Test_Runs!$E:$E,B84,Test_Runs!$S:$S,"&gt;0")</x:f>
        <x:v>0</x:v>
      </x:c>
      <x:c r="Q84" t="n">
        <x:f>SUMIFS(Test_Runs!$S:$S,Test_Runs!$B:$B,A84,Test_Runs!$E:$E,B84)</x:f>
        <x:v>0</x:v>
      </x:c>
      <x:c r="R84" t="str">
        <x:f>IF(P84=0,"",Q84/P84)</x:f>
      </x:c>
      <x:c r="S84" t="e">
        <x:f>COUNTIFS(Test_Runs!$B:$B,A84,Test_Runs!$E:$E,B84,Test_Runs!$O:$O,"&gt;0")</x:f>
        <x:v>#VALUE!</x:v>
      </x:c>
      <x:c r="T84" t="e">
        <x:f>SUMIFS(Test_Runs!$O:$O,Test_Runs!$B:$B,A84,Test_Runs!$E:$E,B84)</x:f>
        <x:v>#VALUE!</x:v>
      </x:c>
      <x:c r="U84" t="e">
        <x:f>IF(S84=0,"",T84/S84)</x:f>
        <x:v>#VALUE!</x:v>
      </x:c>
      <x:c r="V84" t="n">
        <x:f>IFERROR(INDEX(Benchmark_Versions!$I:$I,MATCH(B84,Benchmark_Versions!$A:$A,0)),1)</x:f>
        <x:v>1</x:v>
      </x:c>
      <x:c r="W84" t="n">
        <x:f>IF(F84="","",F84*V84)</x:f>
        <x:v>38</x:v>
      </x:c>
      <x:c r="X84" t="n">
        <x:f>IF(OR(W84="",W84=0,O84=""),"",O84/W84)</x:f>
        <x:v>0.029736842105263155</x:v>
      </x:c>
      <x:c r="Y84" t="n">
        <x:f>IF(OR(W84="",O84="",O84=0),"",W84/O84)</x:f>
        <x:v>33.6283185840708</x:v>
      </x:c>
      <x:c r="Z84" t="str">
        <x:f>IF(OR(W84="",R84="",R84=0),"",W84/R84)</x:f>
      </x:c>
    </x:row>
    <x:row r="85">
      <x:c r="A85" t="inlineStr">
        <x:is>
          <x:t xml:space="preserve">spacexai|grok-4-7|xhigh|reasoning|fallback-na</x:t>
        </x:is>
      </x:c>
      <x:c r="B85" t="inlineStr">
        <x:is>
          <x:t xml:space="preserve">AA|v4.3.2</x:t>
        </x:is>
      </x:c>
      <x:c r="C85" t="n">
        <x:f>COUNTIFS(Test_Runs!$B:$B,A85,Test_Runs!$E:$E,B85,Test_Runs!$H:$H,"&gt;=0")</x:f>
        <x:v>1</x:v>
      </x:c>
      <x:c r="D85" t="n">
        <x:f>SUMIFS(Test_Runs!$H:$H,Test_Runs!$B:$B,A85,Test_Runs!$E:$E,B85)</x:f>
        <x:v>46</x:v>
      </x:c>
      <x:c r="E85" t="n">
        <x:f>SUMIFS(Test_Runs!$I:$I,Test_Runs!$B:$B,A85,Test_Runs!$E:$E,B85)</x:f>
        <x:v>2116</x:v>
      </x:c>
      <x:c r="F85" t="n">
        <x:f>IF(C85=0,"",D85/C85)</x:f>
        <x:v>46</x:v>
      </x:c>
      <x:c r="G85" t="n">
        <x:f>IF(C85&lt;2,0,SQRT(MAX(0,(E85-(D85*D85/C85))/(C85-1))))</x:f>
        <x:v>0</x:v>
      </x:c>
      <x:c r="H85" t="n">
        <x:f>IF(C85=0,"",IF(C85=1,F85,_xlfn.AGGREGATE(15,6,(Test_Runs!$H$2:$H$144/((Test_Runs!$B$2:$B$144=A85)*(Test_Runs!$E$2:$E$144=B85))),1)))</x:f>
        <x:v>46</x:v>
      </x:c>
      <x:c r="I85" t="n">
        <x:f>IF(C85=0,"",IF(C85=1,F85,_xlfn.AGGREGATE(16,6,(Test_Runs!$H$2:$H$144/((Test_Runs!$B$2:$B$144=A85)*(Test_Runs!$E$2:$E$144=B85))),0.25)))</x:f>
        <x:v>46</x:v>
      </x:c>
      <x:c r="J85" t="n">
        <x:f>IF(C85=0,"",IF(C85=1,F85,_xlfn.AGGREGATE(12,6,(Test_Runs!$H$2:$H$144/((Test_Runs!$B$2:$B$144=A85)*(Test_Runs!$E$2:$E$144=B85))))))</x:f>
        <x:v>46</x:v>
      </x:c>
      <x:c r="K85" t="n">
        <x:f>IF(C85=0,"",IF(C85=1,F85,_xlfn.AGGREGATE(16,6,(Test_Runs!$H$2:$H$144/((Test_Runs!$B$2:$B$144=A85)*(Test_Runs!$E$2:$E$144=B85))),0.75)))</x:f>
        <x:v>46</x:v>
      </x:c>
      <x:c r="L85" t="n">
        <x:f>IF(C85=0,"",_xlfn.MAXIFS(Test_Runs!$H:$H,Test_Runs!$B:$B,A85,Test_Runs!$E:$E,B85))</x:f>
        <x:v>46</x:v>
      </x:c>
      <x:c r="M85" t="n">
        <x:f>COUNTIFS(Test_Runs!$B:$B,A85,Test_Runs!$E:$E,B85,Test_Runs!$J:$J,"&gt;0")</x:f>
        <x:v>1</x:v>
      </x:c>
      <x:c r="N85" t="n">
        <x:f>SUMIFS(Test_Runs!$J:$J,Test_Runs!$B:$B,A85,Test_Runs!$E:$E,B85)</x:f>
        <x:v>3.74</x:v>
      </x:c>
      <x:c r="O85" t="n">
        <x:f>IF(M85=0,"",N85/M85)</x:f>
        <x:v>3.74</x:v>
      </x:c>
      <x:c r="P85" t="n">
        <x:f>COUNTIFS(Test_Runs!$B:$B,A85,Test_Runs!$E:$E,B85,Test_Runs!$S:$S,"&gt;0")</x:f>
        <x:v>0</x:v>
      </x:c>
      <x:c r="Q85" t="n">
        <x:f>SUMIFS(Test_Runs!$S:$S,Test_Runs!$B:$B,A85,Test_Runs!$E:$E,B85)</x:f>
        <x:v>0</x:v>
      </x:c>
      <x:c r="R85" t="str">
        <x:f>IF(P85=0,"",Q85/P85)</x:f>
      </x:c>
      <x:c r="S85" t="e">
        <x:f>COUNTIFS(Test_Runs!$B:$B,A85,Test_Runs!$E:$E,B85,Test_Runs!$O:$O,"&gt;0")</x:f>
        <x:v>#VALUE!</x:v>
      </x:c>
      <x:c r="T85" t="e">
        <x:f>SUMIFS(Test_Runs!$O:$O,Test_Runs!$B:$B,A85,Test_Runs!$E:$E,B85)</x:f>
        <x:v>#VALUE!</x:v>
      </x:c>
      <x:c r="U85" t="e">
        <x:f>IF(S85=0,"",T85/S85)</x:f>
        <x:v>#VALUE!</x:v>
      </x:c>
      <x:c r="V85" t="n">
        <x:f>IFERROR(INDEX(Benchmark_Versions!$I:$I,MATCH(B85,Benchmark_Versions!$A:$A,0)),1)</x:f>
        <x:v>1</x:v>
      </x:c>
      <x:c r="W85" t="n">
        <x:f>IF(F85="","",F85*V85)</x:f>
        <x:v>46</x:v>
      </x:c>
      <x:c r="X85" t="n">
        <x:f>IF(OR(W85="",W85=0,O85=""),"",O85/W85)</x:f>
        <x:v>0.08130434782608696</x:v>
      </x:c>
      <x:c r="Y85" t="n">
        <x:f>IF(OR(W85="",O85="",O85=0),"",W85/O85)</x:f>
        <x:v>12.29946524064171</x:v>
      </x:c>
      <x:c r="Z85" t="str">
        <x:f>IF(OR(W85="",R85="",R85=0),"",W85/R85)</x:f>
      </x:c>
    </x:row>
    <x:row r="86">
      <x:c r="A86" t="inlineStr">
        <x:is>
          <x:t xml:space="preserve">upstage|solar-mini-4|reasoning|reasoning|fallback-na</x:t>
        </x:is>
      </x:c>
      <x:c r="B86" t="inlineStr">
        <x:is>
          <x:t xml:space="preserve">AA|v4.3.2</x:t>
        </x:is>
      </x:c>
      <x:c r="C86" t="n">
        <x:f>COUNTIFS(Test_Runs!$B:$B,A86,Test_Runs!$E:$E,B86,Test_Runs!$H:$H,"&gt;=0")</x:f>
        <x:v>1</x:v>
      </x:c>
      <x:c r="D86" t="n">
        <x:f>SUMIFS(Test_Runs!$H:$H,Test_Runs!$B:$B,A86,Test_Runs!$E:$E,B86)</x:f>
        <x:v>24</x:v>
      </x:c>
      <x:c r="E86" t="n">
        <x:f>SUMIFS(Test_Runs!$I:$I,Test_Runs!$B:$B,A86,Test_Runs!$E:$E,B86)</x:f>
        <x:v>576</x:v>
      </x:c>
      <x:c r="F86" t="n">
        <x:f>IF(C86=0,"",D86/C86)</x:f>
        <x:v>24</x:v>
      </x:c>
      <x:c r="G86" t="n">
        <x:f>IF(C86&lt;2,0,SQRT(MAX(0,(E86-(D86*D86/C86))/(C86-1))))</x:f>
        <x:v>0</x:v>
      </x:c>
      <x:c r="H86" t="n">
        <x:f>IF(C86=0,"",IF(C86=1,F86,_xlfn.AGGREGATE(15,6,(Test_Runs!$H$2:$H$144/((Test_Runs!$B$2:$B$144=A86)*(Test_Runs!$E$2:$E$144=B86))),1)))</x:f>
        <x:v>24</x:v>
      </x:c>
      <x:c r="I86" t="n">
        <x:f>IF(C86=0,"",IF(C86=1,F86,_xlfn.AGGREGATE(16,6,(Test_Runs!$H$2:$H$144/((Test_Runs!$B$2:$B$144=A86)*(Test_Runs!$E$2:$E$144=B86))),0.25)))</x:f>
        <x:v>24</x:v>
      </x:c>
      <x:c r="J86" t="n">
        <x:f>IF(C86=0,"",IF(C86=1,F86,_xlfn.AGGREGATE(12,6,(Test_Runs!$H$2:$H$144/((Test_Runs!$B$2:$B$144=A86)*(Test_Runs!$E$2:$E$144=B86))))))</x:f>
        <x:v>24</x:v>
      </x:c>
      <x:c r="K86" t="n">
        <x:f>IF(C86=0,"",IF(C86=1,F86,_xlfn.AGGREGATE(16,6,(Test_Runs!$H$2:$H$144/((Test_Runs!$B$2:$B$144=A86)*(Test_Runs!$E$2:$E$144=B86))),0.75)))</x:f>
        <x:v>24</x:v>
      </x:c>
      <x:c r="L86" t="n">
        <x:f>IF(C86=0,"",_xlfn.MAXIFS(Test_Runs!$H:$H,Test_Runs!$B:$B,A86,Test_Runs!$E:$E,B86))</x:f>
        <x:v>24</x:v>
      </x:c>
      <x:c r="M86" t="n">
        <x:f>COUNTIFS(Test_Runs!$B:$B,A86,Test_Runs!$E:$E,B86,Test_Runs!$J:$J,"&gt;0")</x:f>
        <x:v>1</x:v>
      </x:c>
      <x:c r="N86" t="n">
        <x:f>SUMIFS(Test_Runs!$J:$J,Test_Runs!$B:$B,A86,Test_Runs!$E:$E,B86)</x:f>
        <x:v>0.37</x:v>
      </x:c>
      <x:c r="O86" t="n">
        <x:f>IF(M86=0,"",N86/M86)</x:f>
        <x:v>0.37</x:v>
      </x:c>
      <x:c r="P86" t="n">
        <x:f>COUNTIFS(Test_Runs!$B:$B,A86,Test_Runs!$E:$E,B86,Test_Runs!$S:$S,"&gt;0")</x:f>
        <x:v>0</x:v>
      </x:c>
      <x:c r="Q86" t="n">
        <x:f>SUMIFS(Test_Runs!$S:$S,Test_Runs!$B:$B,A86,Test_Runs!$E:$E,B86)</x:f>
        <x:v>0</x:v>
      </x:c>
      <x:c r="R86" t="str">
        <x:f>IF(P86=0,"",Q86/P86)</x:f>
      </x:c>
      <x:c r="S86" t="e">
        <x:f>COUNTIFS(Test_Runs!$B:$B,A86,Test_Runs!$E:$E,B86,Test_Runs!$O:$O,"&gt;0")</x:f>
        <x:v>#VALUE!</x:v>
      </x:c>
      <x:c r="T86" t="e">
        <x:f>SUMIFS(Test_Runs!$O:$O,Test_Runs!$B:$B,A86,Test_Runs!$E:$E,B86)</x:f>
        <x:v>#VALUE!</x:v>
      </x:c>
      <x:c r="U86" t="e">
        <x:f>IF(S86=0,"",T86/S86)</x:f>
        <x:v>#VALUE!</x:v>
      </x:c>
      <x:c r="V86" t="n">
        <x:f>IFERROR(INDEX(Benchmark_Versions!$I:$I,MATCH(B86,Benchmark_Versions!$A:$A,0)),1)</x:f>
        <x:v>1</x:v>
      </x:c>
      <x:c r="W86" t="n">
        <x:f>IF(F86="","",F86*V86)</x:f>
        <x:v>24</x:v>
      </x:c>
      <x:c r="X86" t="n">
        <x:f>IF(OR(W86="",W86=0,O86=""),"",O86/W86)</x:f>
        <x:v>0.015416666666666667</x:v>
      </x:c>
      <x:c r="Y86" t="n">
        <x:f>IF(OR(W86="",O86="",O86=0),"",W86/O86)</x:f>
        <x:v>64.86486486486487</x:v>
      </x:c>
      <x:c r="Z86" t="str">
        <x:f>IF(OR(W86="",R86="",R86=0),"",W86/R86)</x:f>
      </x:c>
    </x:row>
    <x:row r="87">
      <x:c r="A87" t="inlineStr">
        <x:is>
          <x:t xml:space="preserve">google|gemini-4-argon|high|reasoning|fallback-na</x:t>
        </x:is>
      </x:c>
      <x:c r="B87" t="inlineStr">
        <x:is>
          <x:t xml:space="preserve">AA|v4.3.2</x:t>
        </x:is>
      </x:c>
      <x:c r="C87" t="n">
        <x:f>COUNTIFS(Test_Runs!$B:$B,A87,Test_Runs!$E:$E,B87,Test_Runs!$H:$H,"&gt;=0")</x:f>
        <x:v>3</x:v>
      </x:c>
      <x:c r="D87" t="n">
        <x:f>SUMIFS(Test_Runs!$H:$H,Test_Runs!$B:$B,A87,Test_Runs!$E:$E,B87)</x:f>
        <x:v>159</x:v>
      </x:c>
      <x:c r="E87" t="n">
        <x:f>SUMIFS(Test_Runs!$I:$I,Test_Runs!$B:$B,A87,Test_Runs!$E:$E,B87)</x:f>
        <x:v>8427</x:v>
      </x:c>
      <x:c r="F87" t="n">
        <x:f>IF(C87=0,"",D87/C87)</x:f>
        <x:v>53</x:v>
      </x:c>
      <x:c r="G87" t="n">
        <x:f>IF(C87&lt;2,0,SQRT(MAX(0,(E87-(D87*D87/C87))/(C87-1))))</x:f>
        <x:v>0</x:v>
      </x:c>
      <x:c r="H87" t="n">
        <x:f>IF(C87=0,"",IF(C87=1,F87,_xlfn.AGGREGATE(15,6,(Test_Runs!$H$2:$H$144/((Test_Runs!$B$2:$B$144=A87)*(Test_Runs!$E$2:$E$144=B87))),1)))</x:f>
        <x:v>0</x:v>
      </x:c>
      <x:c r="I87" t="n">
        <x:f>IF(C87=0,"",IF(C87=1,F87,_xlfn.AGGREGATE(16,6,(Test_Runs!$H$2:$H$144/((Test_Runs!$B$2:$B$144=A87)*(Test_Runs!$E$2:$E$144=B87))),0.25)))</x:f>
        <x:v>0</x:v>
      </x:c>
      <x:c r="J87" t="str">
        <x:f>IF(C87=0,"",IF(C87=1,F87,_xlfn.AGGREGATE(12,6,(Test_Runs!$H$2:$H$144/((Test_Runs!$B$2:$B$144=A87)*(Test_Runs!$E$2:$E$144=B87))))))</x:f>
      </x:c>
      <x:c r="K87" t="n">
        <x:f>IF(C87=0,"",IF(C87=1,F87,_xlfn.AGGREGATE(16,6,(Test_Runs!$H$2:$H$144/((Test_Runs!$B$2:$B$144=A87)*(Test_Runs!$E$2:$E$144=B87))),0.75)))</x:f>
        <x:v>0</x:v>
      </x:c>
      <x:c r="L87" t="n">
        <x:f>IF(C87=0,"",_xlfn.MAXIFS(Test_Runs!$H:$H,Test_Runs!$B:$B,A87,Test_Runs!$E:$E,B87))</x:f>
        <x:v>53</x:v>
      </x:c>
      <x:c r="M87" t="n">
        <x:f>COUNTIFS(Test_Runs!$B:$B,A87,Test_Runs!$E:$E,B87,Test_Runs!$J:$J,"&gt;0")</x:f>
        <x:v>3</x:v>
      </x:c>
      <x:c r="N87" t="n">
        <x:f>SUMIFS(Test_Runs!$J:$J,Test_Runs!$B:$B,A87,Test_Runs!$E:$E,B87)</x:f>
        <x:v>5.97</x:v>
      </x:c>
      <x:c r="O87" t="n">
        <x:f>IF(M87=0,"",N87/M87)</x:f>
        <x:v>1.99</x:v>
      </x:c>
      <x:c r="P87" t="n">
        <x:f>COUNTIFS(Test_Runs!$B:$B,A87,Test_Runs!$E:$E,B87,Test_Runs!$S:$S,"&gt;0")</x:f>
        <x:v>0</x:v>
      </x:c>
      <x:c r="Q87" t="n">
        <x:f>SUMIFS(Test_Runs!$S:$S,Test_Runs!$B:$B,A87,Test_Runs!$E:$E,B87)</x:f>
        <x:v>0</x:v>
      </x:c>
      <x:c r="R87" t="str">
        <x:f>IF(P87=0,"",Q87/P87)</x:f>
      </x:c>
      <x:c r="S87" t="e">
        <x:f>COUNTIFS(Test_Runs!$B:$B,A87,Test_Runs!$E:$E,B87,Test_Runs!$O:$O,"&gt;0")</x:f>
        <x:v>#VALUE!</x:v>
      </x:c>
      <x:c r="T87" t="e">
        <x:f>SUMIFS(Test_Runs!$O:$O,Test_Runs!$B:$B,A87,Test_Runs!$E:$E,B87)</x:f>
        <x:v>#VALUE!</x:v>
      </x:c>
      <x:c r="U87" t="e">
        <x:f>IF(S87=0,"",T87/S87)</x:f>
        <x:v>#VALUE!</x:v>
      </x:c>
      <x:c r="V87" t="n">
        <x:f>IFERROR(INDEX(Benchmark_Versions!$I:$I,MATCH(B87,Benchmark_Versions!$A:$A,0)),1)</x:f>
        <x:v>1</x:v>
      </x:c>
      <x:c r="W87" t="n">
        <x:f>IF(F87="","",F87*V87)</x:f>
        <x:v>53</x:v>
      </x:c>
      <x:c r="X87" t="n">
        <x:f>IF(OR(W87="",W87=0,O87=""),"",O87/W87)</x:f>
        <x:v>0.03754716981132075</x:v>
      </x:c>
      <x:c r="Y87" t="n">
        <x:f>IF(OR(W87="",O87="",O87=0),"",W87/O87)</x:f>
        <x:v>26.633165829145728</x:v>
      </x:c>
      <x:c r="Z87" t="str">
        <x:f>IF(OR(W87="",R87="",R87=0),"",W87/R87)</x:f>
      </x:c>
    </x:row>
    <x:row r="88">
      <x:c r="A88" t="inlineStr">
        <x:is>
          <x:t xml:space="preserve">meta|muse-wonder-full|max|reasoning|fallback-na</x:t>
        </x:is>
      </x:c>
      <x:c r="B88" t="inlineStr">
        <x:is>
          <x:t xml:space="preserve">AA|v4.3.2</x:t>
        </x:is>
      </x:c>
      <x:c r="C88" t="n">
        <x:f>COUNTIFS(Test_Runs!$B:$B,A88,Test_Runs!$E:$E,B88,Test_Runs!$H:$H,"&gt;=0")</x:f>
        <x:v>1</x:v>
      </x:c>
      <x:c r="D88" t="n">
        <x:f>SUMIFS(Test_Runs!$H:$H,Test_Runs!$B:$B,A88,Test_Runs!$E:$E,B88)</x:f>
        <x:v>56</x:v>
      </x:c>
      <x:c r="E88" t="n">
        <x:f>SUMIFS(Test_Runs!$I:$I,Test_Runs!$B:$B,A88,Test_Runs!$E:$E,B88)</x:f>
        <x:v>3136</x:v>
      </x:c>
      <x:c r="F88" t="n">
        <x:f>IF(C88=0,"",D88/C88)</x:f>
        <x:v>56</x:v>
      </x:c>
      <x:c r="G88" t="n">
        <x:f>IF(C88&lt;2,0,SQRT(MAX(0,(E88-(D88*D88/C88))/(C88-1))))</x:f>
        <x:v>0</x:v>
      </x:c>
      <x:c r="H88" t="n">
        <x:f>IF(C88=0,"",IF(C88=1,F88,_xlfn.AGGREGATE(15,6,(Test_Runs!$H$2:$H$144/((Test_Runs!$B$2:$B$144=A88)*(Test_Runs!$E$2:$E$144=B88))),1)))</x:f>
        <x:v>56</x:v>
      </x:c>
      <x:c r="I88" t="n">
        <x:f>IF(C88=0,"",IF(C88=1,F88,_xlfn.AGGREGATE(16,6,(Test_Runs!$H$2:$H$144/((Test_Runs!$B$2:$B$144=A88)*(Test_Runs!$E$2:$E$144=B88))),0.25)))</x:f>
        <x:v>56</x:v>
      </x:c>
      <x:c r="J88" t="n">
        <x:f>IF(C88=0,"",IF(C88=1,F88,_xlfn.AGGREGATE(12,6,(Test_Runs!$H$2:$H$144/((Test_Runs!$B$2:$B$144=A88)*(Test_Runs!$E$2:$E$144=B88))))))</x:f>
        <x:v>56</x:v>
      </x:c>
      <x:c r="K88" t="n">
        <x:f>IF(C88=0,"",IF(C88=1,F88,_xlfn.AGGREGATE(16,6,(Test_Runs!$H$2:$H$144/((Test_Runs!$B$2:$B$144=A88)*(Test_Runs!$E$2:$E$144=B88))),0.75)))</x:f>
        <x:v>56</x:v>
      </x:c>
      <x:c r="L88" t="n">
        <x:f>IF(C88=0,"",_xlfn.MAXIFS(Test_Runs!$H:$H,Test_Runs!$B:$B,A88,Test_Runs!$E:$E,B88))</x:f>
        <x:v>56</x:v>
      </x:c>
      <x:c r="M88" t="n">
        <x:f>COUNTIFS(Test_Runs!$B:$B,A88,Test_Runs!$E:$E,B88,Test_Runs!$J:$J,"&gt;0")</x:f>
        <x:v>0</x:v>
      </x:c>
      <x:c r="N88" t="n">
        <x:f>SUMIFS(Test_Runs!$J:$J,Test_Runs!$B:$B,A88,Test_Runs!$E:$E,B88)</x:f>
        <x:v>0</x:v>
      </x:c>
      <x:c r="O88" t="str">
        <x:f>IF(M88=0,"",N88/M88)</x:f>
      </x:c>
      <x:c r="P88" t="n">
        <x:f>COUNTIFS(Test_Runs!$B:$B,A88,Test_Runs!$E:$E,B88,Test_Runs!$S:$S,"&gt;0")</x:f>
        <x:v>0</x:v>
      </x:c>
      <x:c r="Q88" t="n">
        <x:f>SUMIFS(Test_Runs!$S:$S,Test_Runs!$B:$B,A88,Test_Runs!$E:$E,B88)</x:f>
        <x:v>0</x:v>
      </x:c>
      <x:c r="R88" t="str">
        <x:f>IF(P88=0,"",Q88/P88)</x:f>
      </x:c>
      <x:c r="S88" t="e">
        <x:f>COUNTIFS(Test_Runs!$B:$B,A88,Test_Runs!$E:$E,B88,Test_Runs!$O:$O,"&gt;0")</x:f>
        <x:v>#VALUE!</x:v>
      </x:c>
      <x:c r="T88" t="e">
        <x:f>SUMIFS(Test_Runs!$O:$O,Test_Runs!$B:$B,A88,Test_Runs!$E:$E,B88)</x:f>
        <x:v>#VALUE!</x:v>
      </x:c>
      <x:c r="U88" t="e">
        <x:f>IF(S88=0,"",T88/S88)</x:f>
        <x:v>#VALUE!</x:v>
      </x:c>
      <x:c r="V88" t="n">
        <x:f>IFERROR(INDEX(Benchmark_Versions!$I:$I,MATCH(B88,Benchmark_Versions!$A:$A,0)),1)</x:f>
        <x:v>1</x:v>
      </x:c>
      <x:c r="W88" t="n">
        <x:f>IF(F88="","",F88*V88)</x:f>
        <x:v>56</x:v>
      </x:c>
      <x:c r="X88" t="str">
        <x:f>IF(OR(W88="",W88=0,O88=""),"",O88/W88)</x:f>
      </x:c>
      <x:c r="Y88" t="str">
        <x:f>IF(OR(W88="",O88="",O88=0),"",W88/O88)</x:f>
      </x:c>
      <x:c r="Z88" t="str">
        <x:f>IF(OR(W88="",R88="",R88=0),"",W88/R88)</x:f>
      </x:c>
    </x:row>
    <x:row r="89" s="14" customFormat="1">
      <x:c r="A89" t="inlineStr">
        <x:is>
          <x:t xml:space="preserve">openai|gpt-6-1-sol|max|yes|fallback-na</x:t>
        </x:is>
      </x:c>
      <x:c r="B89" t="inlineStr">
        <x:is>
          <x:t xml:space="preserve">AA|v4.3.2</x:t>
        </x:is>
      </x:c>
      <x:c r="C89" t="n">
        <x:f>COUNTIFS(Test_Runs!$B:$B,A89,Test_Runs!$E:$E,B89,Test_Runs!$H:$H,"&gt;=0")</x:f>
        <x:v>1</x:v>
      </x:c>
      <x:c r="D89" t="n">
        <x:f>SUMIFS(Test_Runs!$H:$H,Test_Runs!$B:$B,A89,Test_Runs!$E:$E,B89)</x:f>
        <x:v>52</x:v>
      </x:c>
      <x:c r="E89" t="n">
        <x:f>SUMIFS(Test_Runs!$I:$I,Test_Runs!$B:$B,A89,Test_Runs!$E:$E,B89)</x:f>
        <x:v>2704</x:v>
      </x:c>
      <x:c r="F89" t="n">
        <x:f>IF(C89=0,"",D89/C89)</x:f>
        <x:v>52</x:v>
      </x:c>
      <x:c r="G89" t="n">
        <x:f>IF(C89&lt;2,0,SQRT(MAX(0,(E89-(D89*D89/C89))/(C89-1))))</x:f>
        <x:v>0</x:v>
      </x:c>
      <x:c r="H89" t="n">
        <x:f>IF(C89=0,"",IF(C89=1,F89,_xlfn.AGGREGATE(15,6,(Test_Runs!$H$2:$H$144/((Test_Runs!$B$2:$B$144=A89)*(Test_Runs!$E$2:$E$144=B89))),1)))</x:f>
        <x:v>52</x:v>
      </x:c>
      <x:c r="I89" t="n">
        <x:f>IF(C89=0,"",IF(C89=1,F89,_xlfn.AGGREGATE(16,6,(Test_Runs!$H$2:$H$144/((Test_Runs!$B$2:$B$144=A89)*(Test_Runs!$E$2:$E$144=B89))),0.25)))</x:f>
        <x:v>52</x:v>
      </x:c>
      <x:c r="J89" t="n">
        <x:f>IF(C89=0,"",IF(C89=1,F89,_xlfn.AGGREGATE(12,6,(Test_Runs!$H$2:$H$144/((Test_Runs!$B$2:$B$144=A89)*(Test_Runs!$E$2:$E$144=B89))))))</x:f>
        <x:v>52</x:v>
      </x:c>
      <x:c r="K89" t="n">
        <x:f>IF(C89=0,"",IF(C89=1,F89,_xlfn.AGGREGATE(16,6,(Test_Runs!$H$2:$H$144/((Test_Runs!$B$2:$B$144=A89)*(Test_Runs!$E$2:$E$144=B89))),0.75)))</x:f>
        <x:v>52</x:v>
      </x:c>
      <x:c r="L89" t="n">
        <x:f>IF(C89=0,"",_xlfn.MAXIFS(Test_Runs!$H:$H,Test_Runs!$B:$B,A89,Test_Runs!$E:$E,B89))</x:f>
        <x:v>52</x:v>
      </x:c>
      <x:c r="M89" t="n">
        <x:f>COUNTIFS(Test_Runs!$B:$B,A89,Test_Runs!$E:$E,B89,Test_Runs!$J:$J,"&gt;0")</x:f>
        <x:v>1</x:v>
      </x:c>
      <x:c r="N89" t="n">
        <x:f>SUMIFS(Test_Runs!$J:$J,Test_Runs!$B:$B,A89,Test_Runs!$E:$E,B89)</x:f>
        <x:v>0.72</x:v>
      </x:c>
      <x:c r="O89" t="n">
        <x:f>IF(M89=0,"",N89/M89)</x:f>
        <x:v>0.72</x:v>
      </x:c>
      <x:c r="P89" t="n">
        <x:f>COUNTIFS(Test_Runs!$B:$B,A89,Test_Runs!$E:$E,B89,Test_Runs!$S:$S,"&gt;0")</x:f>
        <x:v>0</x:v>
      </x:c>
      <x:c r="Q89" t="n">
        <x:f>SUMIFS(Test_Runs!$S:$S,Test_Runs!$B:$B,A89,Test_Runs!$E:$E,B89)</x:f>
        <x:v>0</x:v>
      </x:c>
      <x:c r="R89" t="str">
        <x:f>IF(P89=0,"",Q89/P89)</x:f>
      </x:c>
      <x:c r="S89" t="e">
        <x:f>COUNTIFS(Test_Runs!$B:$B,A89,Test_Runs!$E:$E,B89,Test_Runs!$O:$O,"&gt;0")</x:f>
        <x:v>#VALUE!</x:v>
      </x:c>
      <x:c r="T89" t="e">
        <x:f>SUMIFS(Test_Runs!$O:$O,Test_Runs!$B:$B,A89,Test_Runs!$E:$E,B89)</x:f>
        <x:v>#VALUE!</x:v>
      </x:c>
      <x:c r="U89" t="e">
        <x:f>IF(S89=0,"",T89/S89)</x:f>
        <x:v>#VALUE!</x:v>
      </x:c>
      <x:c r="V89" t="n">
        <x:f>IFERROR(INDEX(Benchmark_Versions!$I:$I,MATCH(B89,Benchmark_Versions!$A:$A,0)),1)</x:f>
        <x:v>1</x:v>
      </x:c>
      <x:c r="W89" t="n">
        <x:f>IF(F89="","",F89*V89)</x:f>
        <x:v>52</x:v>
      </x:c>
      <x:c r="X89" t="n">
        <x:f>IF(OR(W89="",W89=0,O89=""),"",O89/W89)</x:f>
        <x:v>0.013846153846153845</x:v>
      </x:c>
      <x:c r="Y89" t="n">
        <x:f>IF(OR(W89="",O89="",O89=0),"",W89/O89)</x:f>
        <x:v>72.22222222222223</x:v>
      </x:c>
      <x:c r="Z89" t="str">
        <x:f>IF(OR(W89="",R89="",R89=0),"",W89/R89)</x:f>
      </x:c>
    </x:row>
    <x:row r="90" s="14" customFormat="1">
      <x:c r="A90" t="inlineStr">
        <x:is>
          <x:t xml:space="preserve">anthropic|claude-haiku-5-5|max|yes|fallback-na</x:t>
        </x:is>
      </x:c>
      <x:c r="B90" t="inlineStr">
        <x:is>
          <x:t xml:space="preserve">AA|v4.3.2</x:t>
        </x:is>
      </x:c>
      <x:c r="C90" t="n">
        <x:f>COUNTIFS(Test_Runs!$B:$B,A90,Test_Runs!$E:$E,B90,Test_Runs!$H:$H,"&gt;=0")</x:f>
        <x:v>1</x:v>
      </x:c>
      <x:c r="D90" t="n">
        <x:f>SUMIFS(Test_Runs!$H:$H,Test_Runs!$B:$B,A90,Test_Runs!$E:$E,B90)</x:f>
        <x:v>43</x:v>
      </x:c>
      <x:c r="E90" t="n">
        <x:f>SUMIFS(Test_Runs!$I:$I,Test_Runs!$B:$B,A90,Test_Runs!$E:$E,B90)</x:f>
        <x:v>1849</x:v>
      </x:c>
      <x:c r="F90" t="n">
        <x:f>IF(C90=0,"",D90/C90)</x:f>
        <x:v>43</x:v>
      </x:c>
      <x:c r="G90" t="n">
        <x:f>IF(C90&lt;2,0,SQRT(MAX(0,(E90-(D90*D90/C90))/(C90-1))))</x:f>
        <x:v>0</x:v>
      </x:c>
      <x:c r="H90" t="n">
        <x:f>IF(C90=0,"",IF(C90=1,F90,_xlfn.AGGREGATE(15,6,(Test_Runs!$H$2:$H$144/((Test_Runs!$B$2:$B$144=A90)*(Test_Runs!$E$2:$E$144=B90))),1)))</x:f>
        <x:v>43</x:v>
      </x:c>
      <x:c r="I90" t="n">
        <x:f>IF(C90=0,"",IF(C90=1,F90,_xlfn.AGGREGATE(16,6,(Test_Runs!$H$2:$H$144/((Test_Runs!$B$2:$B$144=A90)*(Test_Runs!$E$2:$E$144=B90))),0.25)))</x:f>
        <x:v>43</x:v>
      </x:c>
      <x:c r="J90" t="n">
        <x:f>IF(C90=0,"",IF(C90=1,F90,_xlfn.AGGREGATE(12,6,(Test_Runs!$H$2:$H$144/((Test_Runs!$B$2:$B$144=A90)*(Test_Runs!$E$2:$E$144=B90))))))</x:f>
        <x:v>43</x:v>
      </x:c>
      <x:c r="K90" t="n">
        <x:f>IF(C90=0,"",IF(C90=1,F90,_xlfn.AGGREGATE(16,6,(Test_Runs!$H$2:$H$144/((Test_Runs!$B$2:$B$144=A90)*(Test_Runs!$E$2:$E$144=B90))),0.75)))</x:f>
        <x:v>43</x:v>
      </x:c>
      <x:c r="L90" t="n">
        <x:f>IF(C90=0,"",_xlfn.MAXIFS(Test_Runs!$H:$H,Test_Runs!$B:$B,A90,Test_Runs!$E:$E,B90))</x:f>
        <x:v>43</x:v>
      </x:c>
      <x:c r="M90" t="n">
        <x:f>COUNTIFS(Test_Runs!$B:$B,A90,Test_Runs!$E:$E,B90,Test_Runs!$J:$J,"&gt;0")</x:f>
        <x:v>1</x:v>
      </x:c>
      <x:c r="N90" t="n">
        <x:f>SUMIFS(Test_Runs!$J:$J,Test_Runs!$B:$B,A90,Test_Runs!$E:$E,B90)</x:f>
        <x:v>0.21</x:v>
      </x:c>
      <x:c r="O90" t="n">
        <x:f>IF(M90=0,"",N90/M90)</x:f>
        <x:v>0.21</x:v>
      </x:c>
      <x:c r="P90" t="n">
        <x:f>COUNTIFS(Test_Runs!$B:$B,A90,Test_Runs!$E:$E,B90,Test_Runs!$S:$S,"&gt;0")</x:f>
        <x:v>0</x:v>
      </x:c>
      <x:c r="Q90" t="n">
        <x:f>SUMIFS(Test_Runs!$S:$S,Test_Runs!$B:$B,A90,Test_Runs!$E:$E,B90)</x:f>
        <x:v>0</x:v>
      </x:c>
      <x:c r="R90" t="str">
        <x:f>IF(P90=0,"",Q90/P90)</x:f>
      </x:c>
      <x:c r="S90" t="e">
        <x:f>COUNTIFS(Test_Runs!$B:$B,A90,Test_Runs!$E:$E,B90,Test_Runs!$O:$O,"&gt;0")</x:f>
        <x:v>#VALUE!</x:v>
      </x:c>
      <x:c r="T90" t="e">
        <x:f>SUMIFS(Test_Runs!$O:$O,Test_Runs!$B:$B,A90,Test_Runs!$E:$E,B90)</x:f>
        <x:v>#VALUE!</x:v>
      </x:c>
      <x:c r="U90" t="e">
        <x:f>IF(S90=0,"",T90/S90)</x:f>
        <x:v>#VALUE!</x:v>
      </x:c>
      <x:c r="V90" t="n">
        <x:f>IFERROR(INDEX(Benchmark_Versions!$I:$I,MATCH(B90,Benchmark_Versions!$A:$A,0)),1)</x:f>
        <x:v>1</x:v>
      </x:c>
      <x:c r="W90" t="n">
        <x:f>IF(F90="","",F90*V90)</x:f>
        <x:v>43</x:v>
      </x:c>
      <x:c r="X90" t="n">
        <x:f>IF(OR(W90="",W90=0,O90=""),"",O90/W90)</x:f>
        <x:v>0.004883720930232558</x:v>
      </x:c>
      <x:c r="Y90" t="n">
        <x:f>IF(OR(W90="",O90="",O90=0),"",W90/O90)</x:f>
        <x:v>204.76190476190476</x:v>
      </x:c>
      <x:c r="Z90" t="str">
        <x:f>IF(OR(W90="",R90="",R90=0),"",W90/R90)</x:f>
      </x:c>
    </x:row>
    <x:row r="91" s="14" customFormat="1">
      <x:c r="A91" t="inlineStr">
        <x:is>
          <x:t xml:space="preserve">mistral|mistral-large-4-preview|reasoning|yes|fallback-na</x:t>
        </x:is>
      </x:c>
      <x:c r="B91" t="inlineStr">
        <x:is>
          <x:t xml:space="preserve">AA|v4.3.2</x:t>
        </x:is>
      </x:c>
      <x:c r="C91" t="n">
        <x:f>COUNTIFS(Test_Runs!$B:$B,A91,Test_Runs!$E:$E,B91,Test_Runs!$H:$H,"&gt;=0")</x:f>
        <x:v>1</x:v>
      </x:c>
      <x:c r="D91" t="n">
        <x:f>SUMIFS(Test_Runs!$H:$H,Test_Runs!$B:$B,A91,Test_Runs!$E:$E,B91)</x:f>
        <x:v>38</x:v>
      </x:c>
      <x:c r="E91" t="n">
        <x:f>SUMIFS(Test_Runs!$I:$I,Test_Runs!$B:$B,A91,Test_Runs!$E:$E,B91)</x:f>
        <x:v>1444</x:v>
      </x:c>
      <x:c r="F91" t="n">
        <x:f>IF(C91=0,"",D91/C91)</x:f>
        <x:v>38</x:v>
      </x:c>
      <x:c r="G91" t="n">
        <x:f>IF(C91&lt;2,0,SQRT(MAX(0,(E91-(D91*D91/C91))/(C91-1))))</x:f>
        <x:v>0</x:v>
      </x:c>
      <x:c r="H91" t="n">
        <x:f>IF(C91=0,"",IF(C91=1,F91,_xlfn.AGGREGATE(15,6,(Test_Runs!$H$2:$H$144/((Test_Runs!$B$2:$B$144=A91)*(Test_Runs!$E$2:$E$144=B91))),1)))</x:f>
        <x:v>38</x:v>
      </x:c>
      <x:c r="I91" t="n">
        <x:f>IF(C91=0,"",IF(C91=1,F91,_xlfn.AGGREGATE(16,6,(Test_Runs!$H$2:$H$144/((Test_Runs!$B$2:$B$144=A91)*(Test_Runs!$E$2:$E$144=B91))),0.25)))</x:f>
        <x:v>38</x:v>
      </x:c>
      <x:c r="J91" t="n">
        <x:f>IF(C91=0,"",IF(C91=1,F91,_xlfn.AGGREGATE(12,6,(Test_Runs!$H$2:$H$144/((Test_Runs!$B$2:$B$144=A91)*(Test_Runs!$E$2:$E$144=B91))))))</x:f>
        <x:v>38</x:v>
      </x:c>
      <x:c r="K91" t="n">
        <x:f>IF(C91=0,"",IF(C91=1,F91,_xlfn.AGGREGATE(16,6,(Test_Runs!$H$2:$H$144/((Test_Runs!$B$2:$B$144=A91)*(Test_Runs!$E$2:$E$144=B91))),0.75)))</x:f>
        <x:v>38</x:v>
      </x:c>
      <x:c r="L91" t="n">
        <x:f>IF(C91=0,"",_xlfn.MAXIFS(Test_Runs!$H:$H,Test_Runs!$B:$B,A91,Test_Runs!$E:$E,B91))</x:f>
        <x:v>38</x:v>
      </x:c>
      <x:c r="M91" t="n">
        <x:f>COUNTIFS(Test_Runs!$B:$B,A91,Test_Runs!$E:$E,B91,Test_Runs!$J:$J,"&gt;0")</x:f>
        <x:v>1</x:v>
      </x:c>
      <x:c r="N91" t="n">
        <x:f>SUMIFS(Test_Runs!$J:$J,Test_Runs!$B:$B,A91,Test_Runs!$E:$E,B91)</x:f>
        <x:v>1.13</x:v>
      </x:c>
      <x:c r="O91" t="n">
        <x:f>IF(M91=0,"",N91/M91)</x:f>
        <x:v>1.13</x:v>
      </x:c>
      <x:c r="P91" t="n">
        <x:f>COUNTIFS(Test_Runs!$B:$B,A91,Test_Runs!$E:$E,B91,Test_Runs!$S:$S,"&gt;0")</x:f>
        <x:v>0</x:v>
      </x:c>
      <x:c r="Q91" t="n">
        <x:f>SUMIFS(Test_Runs!$S:$S,Test_Runs!$B:$B,A91,Test_Runs!$E:$E,B91)</x:f>
        <x:v>0</x:v>
      </x:c>
      <x:c r="R91" t="str">
        <x:f>IF(P91=0,"",Q91/P91)</x:f>
      </x:c>
      <x:c r="S91" t="e">
        <x:f>COUNTIFS(Test_Runs!$B:$B,A91,Test_Runs!$E:$E,B91,Test_Runs!$O:$O,"&gt;0")</x:f>
        <x:v>#VALUE!</x:v>
      </x:c>
      <x:c r="T91" t="e">
        <x:f>SUMIFS(Test_Runs!$O:$O,Test_Runs!$B:$B,A91,Test_Runs!$E:$E,B91)</x:f>
        <x:v>#VALUE!</x:v>
      </x:c>
      <x:c r="U91" t="e">
        <x:f>IF(S91=0,"",T91/S91)</x:f>
        <x:v>#VALUE!</x:v>
      </x:c>
      <x:c r="V91" t="n">
        <x:f>IFERROR(INDEX(Benchmark_Versions!$I:$I,MATCH(B91,Benchmark_Versions!$A:$A,0)),1)</x:f>
        <x:v>1</x:v>
      </x:c>
      <x:c r="W91" t="n">
        <x:f>IF(F91="","",F91*V91)</x:f>
        <x:v>38</x:v>
      </x:c>
      <x:c r="X91" t="n">
        <x:f>IF(OR(W91="",W91=0,O91=""),"",O91/W91)</x:f>
        <x:v>0.029736842105263155</x:v>
      </x:c>
      <x:c r="Y91" t="n">
        <x:f>IF(OR(W91="",O91="",O91=0),"",W91/O91)</x:f>
        <x:v>33.6283185840708</x:v>
      </x:c>
      <x:c r="Z91" t="str">
        <x:f>IF(OR(W91="",R91="",R91=0),"",W91/R91)</x:f>
      </x:c>
    </x:row>
    <x:row r="92" s="14" customFormat="1">
      <x:c r="A92" t="inlineStr">
        <x:is>
          <x:t xml:space="preserve">spacexai|grok-4-7|xhigh|yes|fallback-na</x:t>
        </x:is>
      </x:c>
      <x:c r="B92" t="inlineStr">
        <x:is>
          <x:t xml:space="preserve">AA|v4.3.2</x:t>
        </x:is>
      </x:c>
      <x:c r="C92" t="n">
        <x:f>COUNTIFS(Test_Runs!$B:$B,A92,Test_Runs!$E:$E,B92,Test_Runs!$H:$H,"&gt;=0")</x:f>
        <x:v>1</x:v>
      </x:c>
      <x:c r="D92" t="n">
        <x:f>SUMIFS(Test_Runs!$H:$H,Test_Runs!$B:$B,A92,Test_Runs!$E:$E,B92)</x:f>
        <x:v>46</x:v>
      </x:c>
      <x:c r="E92" t="n">
        <x:f>SUMIFS(Test_Runs!$I:$I,Test_Runs!$B:$B,A92,Test_Runs!$E:$E,B92)</x:f>
        <x:v>2116</x:v>
      </x:c>
      <x:c r="F92" t="n">
        <x:f>IF(C92=0,"",D92/C92)</x:f>
        <x:v>46</x:v>
      </x:c>
      <x:c r="G92" t="n">
        <x:f>IF(C92&lt;2,0,SQRT(MAX(0,(E92-(D92*D92/C92))/(C92-1))))</x:f>
        <x:v>0</x:v>
      </x:c>
      <x:c r="H92" t="n">
        <x:f>IF(C92=0,"",IF(C92=1,F92,_xlfn.AGGREGATE(15,6,(Test_Runs!$H$2:$H$144/((Test_Runs!$B$2:$B$144=A92)*(Test_Runs!$E$2:$E$144=B92))),1)))</x:f>
        <x:v>46</x:v>
      </x:c>
      <x:c r="I92" t="n">
        <x:f>IF(C92=0,"",IF(C92=1,F92,_xlfn.AGGREGATE(16,6,(Test_Runs!$H$2:$H$144/((Test_Runs!$B$2:$B$144=A92)*(Test_Runs!$E$2:$E$144=B92))),0.25)))</x:f>
        <x:v>46</x:v>
      </x:c>
      <x:c r="J92" t="n">
        <x:f>IF(C92=0,"",IF(C92=1,F92,_xlfn.AGGREGATE(12,6,(Test_Runs!$H$2:$H$144/((Test_Runs!$B$2:$B$144=A92)*(Test_Runs!$E$2:$E$144=B92))))))</x:f>
        <x:v>46</x:v>
      </x:c>
      <x:c r="K92" t="n">
        <x:f>IF(C92=0,"",IF(C92=1,F92,_xlfn.AGGREGATE(16,6,(Test_Runs!$H$2:$H$144/((Test_Runs!$B$2:$B$144=A92)*(Test_Runs!$E$2:$E$144=B92))),0.75)))</x:f>
        <x:v>46</x:v>
      </x:c>
      <x:c r="L92" t="n">
        <x:f>IF(C92=0,"",_xlfn.MAXIFS(Test_Runs!$H:$H,Test_Runs!$B:$B,A92,Test_Runs!$E:$E,B92))</x:f>
        <x:v>46</x:v>
      </x:c>
      <x:c r="M92" t="n">
        <x:f>COUNTIFS(Test_Runs!$B:$B,A92,Test_Runs!$E:$E,B92,Test_Runs!$J:$J,"&gt;0")</x:f>
        <x:v>1</x:v>
      </x:c>
      <x:c r="N92" t="n">
        <x:f>SUMIFS(Test_Runs!$J:$J,Test_Runs!$B:$B,A92,Test_Runs!$E:$E,B92)</x:f>
        <x:v>3.74</x:v>
      </x:c>
      <x:c r="O92" t="n">
        <x:f>IF(M92=0,"",N92/M92)</x:f>
        <x:v>3.74</x:v>
      </x:c>
      <x:c r="P92" t="n">
        <x:f>COUNTIFS(Test_Runs!$B:$B,A92,Test_Runs!$E:$E,B92,Test_Runs!$S:$S,"&gt;0")</x:f>
        <x:v>0</x:v>
      </x:c>
      <x:c r="Q92" t="n">
        <x:f>SUMIFS(Test_Runs!$S:$S,Test_Runs!$B:$B,A92,Test_Runs!$E:$E,B92)</x:f>
        <x:v>0</x:v>
      </x:c>
      <x:c r="R92" t="str">
        <x:f>IF(P92=0,"",Q92/P92)</x:f>
      </x:c>
      <x:c r="S92" t="e">
        <x:f>COUNTIFS(Test_Runs!$B:$B,A92,Test_Runs!$E:$E,B92,Test_Runs!$O:$O,"&gt;0")</x:f>
        <x:v>#VALUE!</x:v>
      </x:c>
      <x:c r="T92" t="e">
        <x:f>SUMIFS(Test_Runs!$O:$O,Test_Runs!$B:$B,A92,Test_Runs!$E:$E,B92)</x:f>
        <x:v>#VALUE!</x:v>
      </x:c>
      <x:c r="U92" t="e">
        <x:f>IF(S92=0,"",T92/S92)</x:f>
        <x:v>#VALUE!</x:v>
      </x:c>
      <x:c r="V92" t="n">
        <x:f>IFERROR(INDEX(Benchmark_Versions!$I:$I,MATCH(B92,Benchmark_Versions!$A:$A,0)),1)</x:f>
        <x:v>1</x:v>
      </x:c>
      <x:c r="W92" t="n">
        <x:f>IF(F92="","",F92*V92)</x:f>
        <x:v>46</x:v>
      </x:c>
      <x:c r="X92" t="n">
        <x:f>IF(OR(W92="",W92=0,O92=""),"",O92/W92)</x:f>
        <x:v>0.08130434782608696</x:v>
      </x:c>
      <x:c r="Y92" t="n">
        <x:f>IF(OR(W92="",O92="",O92=0),"",W92/O92)</x:f>
        <x:v>12.29946524064171</x:v>
      </x:c>
      <x:c r="Z92" t="str">
        <x:f>IF(OR(W92="",R92="",R92=0),"",W92/R92)</x:f>
      </x:c>
    </x:row>
    <x:row r="93" s="14" customFormat="1">
      <x:c r="A93" t="inlineStr">
        <x:is>
          <x:t xml:space="preserve">deepseek|deepseek-v4-pro-0813|non-reasoning|nonreasoning|fallback-na</x:t>
        </x:is>
      </x:c>
      <x:c r="B93" t="inlineStr">
        <x:is>
          <x:t xml:space="preserve">AA|v4.3.2</x:t>
        </x:is>
      </x:c>
      <x:c r="C93" t="n">
        <x:f>COUNTIFS(Test_Runs!$B:$B,A93,Test_Runs!$E:$E,B93,Test_Runs!$H:$H,"&gt;=0")</x:f>
        <x:v>1</x:v>
      </x:c>
      <x:c r="D93" t="n">
        <x:f>SUMIFS(Test_Runs!$H:$H,Test_Runs!$B:$B,A93,Test_Runs!$E:$E,B93)</x:f>
        <x:v>20</x:v>
      </x:c>
      <x:c r="E93" t="n">
        <x:f>SUMIFS(Test_Runs!$I:$I,Test_Runs!$B:$B,A93,Test_Runs!$E:$E,B93)</x:f>
        <x:v>400</x:v>
      </x:c>
      <x:c r="F93" t="n">
        <x:f>IF(C93=0,"",D93/C93)</x:f>
        <x:v>20</x:v>
      </x:c>
      <x:c r="G93" t="n">
        <x:f>IF(C93&lt;2,0,SQRT(MAX(0,(E93-(D93*D93/C93))/(C93-1))))</x:f>
        <x:v>0</x:v>
      </x:c>
      <x:c r="H93" t="n">
        <x:f>IF(C93=0,"",IF(C93=1,F93,_xlfn.AGGREGATE(15,6,(Test_Runs!$H$2:$H$144/((Test_Runs!$B$2:$B$144=A93)*(Test_Runs!$E$2:$E$144=B93))),1)))</x:f>
        <x:v>20</x:v>
      </x:c>
      <x:c r="I93" t="n">
        <x:f>IF(C93=0,"",IF(C93=1,F93,_xlfn.AGGREGATE(16,6,(Test_Runs!$H$2:$H$144/((Test_Runs!$B$2:$B$144=A93)*(Test_Runs!$E$2:$E$144=B93))),0.25)))</x:f>
        <x:v>20</x:v>
      </x:c>
      <x:c r="J93" t="n">
        <x:f>IF(C93=0,"",IF(C93=1,F93,_xlfn.AGGREGATE(12,6,(Test_Runs!$H$2:$H$144/((Test_Runs!$B$2:$B$144=A93)*(Test_Runs!$E$2:$E$144=B93))))))</x:f>
        <x:v>20</x:v>
      </x:c>
      <x:c r="K93" t="n">
        <x:f>IF(C93=0,"",IF(C93=1,F93,_xlfn.AGGREGATE(16,6,(Test_Runs!$H$2:$H$144/((Test_Runs!$B$2:$B$144=A93)*(Test_Runs!$E$2:$E$144=B93))),0.75)))</x:f>
        <x:v>20</x:v>
      </x:c>
      <x:c r="L93" t="n">
        <x:f>IF(C93=0,"",_xlfn.MAXIFS(Test_Runs!$H:$H,Test_Runs!$B:$B,A93,Test_Runs!$E:$E,B93))</x:f>
        <x:v>20</x:v>
      </x:c>
      <x:c r="M93" t="n">
        <x:f>COUNTIFS(Test_Runs!$B:$B,A93,Test_Runs!$E:$E,B93,Test_Runs!$J:$J,"&gt;0")</x:f>
        <x:v>1</x:v>
      </x:c>
      <x:c r="N93" t="n">
        <x:f>SUMIFS(Test_Runs!$J:$J,Test_Runs!$B:$B,A93,Test_Runs!$E:$E,B93)</x:f>
        <x:v>0.36</x:v>
      </x:c>
      <x:c r="O93" t="n">
        <x:f>IF(M93=0,"",N93/M93)</x:f>
        <x:v>0.36</x:v>
      </x:c>
      <x:c r="P93" t="n">
        <x:f>COUNTIFS(Test_Runs!$B:$B,A93,Test_Runs!$E:$E,B93,Test_Runs!$S:$S,"&gt;0")</x:f>
        <x:v>0</x:v>
      </x:c>
      <x:c r="Q93" t="n">
        <x:f>SUMIFS(Test_Runs!$S:$S,Test_Runs!$B:$B,A93,Test_Runs!$E:$E,B93)</x:f>
        <x:v>0</x:v>
      </x:c>
      <x:c r="R93" t="str">
        <x:f>IF(P93=0,"",Q93/P93)</x:f>
      </x:c>
      <x:c r="S93" t="e">
        <x:f>COUNTIFS(Test_Runs!$B:$B,A93,Test_Runs!$E:$E,B93,Test_Runs!$O:$O,"&gt;0")</x:f>
        <x:v>#VALUE!</x:v>
      </x:c>
      <x:c r="T93" t="e">
        <x:f>SUMIFS(Test_Runs!$O:$O,Test_Runs!$B:$B,A93,Test_Runs!$E:$E,B93)</x:f>
        <x:v>#VALUE!</x:v>
      </x:c>
      <x:c r="U93" t="e">
        <x:f>IF(S93=0,"",T93/S93)</x:f>
        <x:v>#VALUE!</x:v>
      </x:c>
      <x:c r="V93" t="n">
        <x:f>IFERROR(INDEX(Benchmark_Versions!$I:$I,MATCH(B93,Benchmark_Versions!$A:$A,0)),1)</x:f>
        <x:v>1</x:v>
      </x:c>
      <x:c r="W93" t="n">
        <x:f>IF(F93="","",F93*V93)</x:f>
        <x:v>20</x:v>
      </x:c>
      <x:c r="X93" t="n">
        <x:f>IF(OR(W93="",W93=0,O93=""),"",O93/W93)</x:f>
        <x:v>0.018</x:v>
      </x:c>
      <x:c r="Y93" t="n">
        <x:f>IF(OR(W93="",O93="",O93=0),"",W93/O93)</x:f>
        <x:v>55.55555555555556</x:v>
      </x:c>
      <x:c r="Z93" t="str">
        <x:f>IF(OR(W93="",R93="",R93=0),"",W93/R93)</x:f>
      </x:c>
    </x:row>
    <x:row r="94" s="14" customFormat="1">
      <x:c r="A94" t="inlineStr">
        <x:is>
          <x:t xml:space="preserve">deepseek|deepseek-v4-pro-0813|max|reasoning|fallback-na</x:t>
        </x:is>
      </x:c>
      <x:c r="B94" t="inlineStr">
        <x:is>
          <x:t xml:space="preserve">AA|v4.3.2</x:t>
        </x:is>
      </x:c>
      <x:c r="C94" t="n">
        <x:f>COUNTIFS(Test_Runs!$B:$B,A94,Test_Runs!$E:$E,B94,Test_Runs!$H:$H,"&gt;=0")</x:f>
        <x:v>1</x:v>
      </x:c>
      <x:c r="D94" t="n">
        <x:f>SUMIFS(Test_Runs!$H:$H,Test_Runs!$B:$B,A94,Test_Runs!$E:$E,B94)</x:f>
        <x:v>36</x:v>
      </x:c>
      <x:c r="E94" t="n">
        <x:f>SUMIFS(Test_Runs!$I:$I,Test_Runs!$B:$B,A94,Test_Runs!$E:$E,B94)</x:f>
        <x:v>1296</x:v>
      </x:c>
      <x:c r="F94" t="n">
        <x:f>IF(C94=0,"",D94/C94)</x:f>
        <x:v>36</x:v>
      </x:c>
      <x:c r="G94" t="n">
        <x:f>IF(C94&lt;2,0,SQRT(MAX(0,(E94-(D94*D94/C94))/(C94-1))))</x:f>
        <x:v>0</x:v>
      </x:c>
      <x:c r="H94" t="n">
        <x:f>IF(C94=0,"",IF(C94=1,F94,_xlfn.AGGREGATE(15,6,(Test_Runs!$H$2:$H$144/((Test_Runs!$B$2:$B$144=A94)*(Test_Runs!$E$2:$E$144=B94))),1)))</x:f>
        <x:v>36</x:v>
      </x:c>
      <x:c r="I94" t="n">
        <x:f>IF(C94=0,"",IF(C94=1,F94,_xlfn.AGGREGATE(16,6,(Test_Runs!$H$2:$H$144/((Test_Runs!$B$2:$B$144=A94)*(Test_Runs!$E$2:$E$144=B94))),0.25)))</x:f>
        <x:v>36</x:v>
      </x:c>
      <x:c r="J94" t="n">
        <x:f>IF(C94=0,"",IF(C94=1,F94,_xlfn.AGGREGATE(12,6,(Test_Runs!$H$2:$H$144/((Test_Runs!$B$2:$B$144=A94)*(Test_Runs!$E$2:$E$144=B94))))))</x:f>
        <x:v>36</x:v>
      </x:c>
      <x:c r="K94" t="n">
        <x:f>IF(C94=0,"",IF(C94=1,F94,_xlfn.AGGREGATE(16,6,(Test_Runs!$H$2:$H$144/((Test_Runs!$B$2:$B$144=A94)*(Test_Runs!$E$2:$E$144=B94))),0.75)))</x:f>
        <x:v>36</x:v>
      </x:c>
      <x:c r="L94" t="n">
        <x:f>IF(C94=0,"",_xlfn.MAXIFS(Test_Runs!$H:$H,Test_Runs!$B:$B,A94,Test_Runs!$E:$E,B94))</x:f>
        <x:v>36</x:v>
      </x:c>
      <x:c r="M94" t="n">
        <x:f>COUNTIFS(Test_Runs!$B:$B,A94,Test_Runs!$E:$E,B94,Test_Runs!$J:$J,"&gt;0")</x:f>
        <x:v>1</x:v>
      </x:c>
      <x:c r="N94" t="n">
        <x:f>SUMIFS(Test_Runs!$J:$J,Test_Runs!$B:$B,A94,Test_Runs!$E:$E,B94)</x:f>
        <x:v>0.67</x:v>
      </x:c>
      <x:c r="O94" t="n">
        <x:f>IF(M94=0,"",N94/M94)</x:f>
        <x:v>0.67</x:v>
      </x:c>
      <x:c r="P94" t="n">
        <x:f>COUNTIFS(Test_Runs!$B:$B,A94,Test_Runs!$E:$E,B94,Test_Runs!$S:$S,"&gt;0")</x:f>
        <x:v>0</x:v>
      </x:c>
      <x:c r="Q94" t="n">
        <x:f>SUMIFS(Test_Runs!$S:$S,Test_Runs!$B:$B,A94,Test_Runs!$E:$E,B94)</x:f>
        <x:v>0</x:v>
      </x:c>
      <x:c r="R94" t="str">
        <x:f>IF(P94=0,"",Q94/P94)</x:f>
      </x:c>
      <x:c r="S94" t="e">
        <x:f>COUNTIFS(Test_Runs!$B:$B,A94,Test_Runs!$E:$E,B94,Test_Runs!$O:$O,"&gt;0")</x:f>
        <x:v>#VALUE!</x:v>
      </x:c>
      <x:c r="T94" t="e">
        <x:f>SUMIFS(Test_Runs!$O:$O,Test_Runs!$B:$B,A94,Test_Runs!$E:$E,B94)</x:f>
        <x:v>#VALUE!</x:v>
      </x:c>
      <x:c r="U94" t="e">
        <x:f>IF(S94=0,"",T94/S94)</x:f>
        <x:v>#VALUE!</x:v>
      </x:c>
      <x:c r="V94" t="n">
        <x:f>IFERROR(INDEX(Benchmark_Versions!$I:$I,MATCH(B94,Benchmark_Versions!$A:$A,0)),1)</x:f>
        <x:v>1</x:v>
      </x:c>
      <x:c r="W94" t="n">
        <x:f>IF(F94="","",F94*V94)</x:f>
        <x:v>36</x:v>
      </x:c>
      <x:c r="X94" t="n">
        <x:f>IF(OR(W94="",W94=0,O94=""),"",O94/W94)</x:f>
        <x:v>0.018611111111111113</x:v>
      </x:c>
      <x:c r="Y94" t="n">
        <x:f>IF(OR(W94="",O94="",O94=0),"",W94/O94)</x:f>
        <x:v>53.731343283582085</x:v>
      </x:c>
      <x:c r="Z94" t="str">
        <x:f>IF(OR(W94="",R94="",R94=0),"",W94/R94)</x:f>
      </x:c>
    </x:row>
    <x:row r="95" s="14" customFormat="1">
      <x:c r="A95" t="inlineStr">
        <x:is>
          <x:t xml:space="preserve">xiaomi|mimo-v2-6-pro|reasoning|yes|fallback-na</x:t>
        </x:is>
      </x:c>
      <x:c r="B95" t="inlineStr">
        <x:is>
          <x:t xml:space="preserve">AA|v4.3.2</x:t>
        </x:is>
      </x:c>
      <x:c r="C95" t="n">
        <x:f>COUNTIFS(Test_Runs!$B:$B,A95,Test_Runs!$E:$E,B95,Test_Runs!$H:$H,"&gt;=0")</x:f>
        <x:v>1</x:v>
      </x:c>
      <x:c r="D95" t="n">
        <x:f>SUMIFS(Test_Runs!$H:$H,Test_Runs!$B:$B,A95,Test_Runs!$E:$E,B95)</x:f>
        <x:v>46</x:v>
      </x:c>
      <x:c r="E95" t="n">
        <x:f>SUMIFS(Test_Runs!$I:$I,Test_Runs!$B:$B,A95,Test_Runs!$E:$E,B95)</x:f>
        <x:v>2116</x:v>
      </x:c>
      <x:c r="F95" t="n">
        <x:f>IF(C95=0,"",D95/C95)</x:f>
        <x:v>46</x:v>
      </x:c>
      <x:c r="G95" t="n">
        <x:f>IF(C95&lt;2,0,SQRT(MAX(0,(E95-(D95*D95/C95))/(C95-1))))</x:f>
        <x:v>0</x:v>
      </x:c>
      <x:c r="H95" t="n">
        <x:f>IF(C95=0,"",IF(C95=1,F95,_xlfn.AGGREGATE(15,6,(Test_Runs!$H$2:$H$144/((Test_Runs!$B$2:$B$144=A95)*(Test_Runs!$E$2:$E$144=B95))),1)))</x:f>
        <x:v>46</x:v>
      </x:c>
      <x:c r="I95" t="n">
        <x:f>IF(C95=0,"",IF(C95=1,F95,_xlfn.AGGREGATE(16,6,(Test_Runs!$H$2:$H$144/((Test_Runs!$B$2:$B$144=A95)*(Test_Runs!$E$2:$E$144=B95))),0.25)))</x:f>
        <x:v>46</x:v>
      </x:c>
      <x:c r="J95" t="n">
        <x:f>IF(C95=0,"",IF(C95=1,F95,_xlfn.AGGREGATE(12,6,(Test_Runs!$H$2:$H$144/((Test_Runs!$B$2:$B$144=A95)*(Test_Runs!$E$2:$E$144=B95))))))</x:f>
        <x:v>46</x:v>
      </x:c>
      <x:c r="K95" t="n">
        <x:f>IF(C95=0,"",IF(C95=1,F95,_xlfn.AGGREGATE(16,6,(Test_Runs!$H$2:$H$144/((Test_Runs!$B$2:$B$144=A95)*(Test_Runs!$E$2:$E$144=B95))),0.75)))</x:f>
        <x:v>46</x:v>
      </x:c>
      <x:c r="L95" t="n">
        <x:f>IF(C95=0,"",_xlfn.MAXIFS(Test_Runs!$H:$H,Test_Runs!$B:$B,A95,Test_Runs!$E:$E,B95))</x:f>
        <x:v>46</x:v>
      </x:c>
      <x:c r="M95" t="n">
        <x:f>COUNTIFS(Test_Runs!$B:$B,A95,Test_Runs!$E:$E,B95,Test_Runs!$J:$J,"&gt;0")</x:f>
        <x:v>1</x:v>
      </x:c>
      <x:c r="N95" t="n">
        <x:f>SUMIFS(Test_Runs!$J:$J,Test_Runs!$B:$B,A95,Test_Runs!$E:$E,B95)</x:f>
        <x:v>0.13</x:v>
      </x:c>
      <x:c r="O95" t="n">
        <x:f>IF(M95=0,"",N95/M95)</x:f>
        <x:v>0.13</x:v>
      </x:c>
      <x:c r="P95" t="n">
        <x:f>COUNTIFS(Test_Runs!$B:$B,A95,Test_Runs!$E:$E,B95,Test_Runs!$S:$S,"&gt;0")</x:f>
        <x:v>0</x:v>
      </x:c>
      <x:c r="Q95" t="n">
        <x:f>SUMIFS(Test_Runs!$S:$S,Test_Runs!$B:$B,A95,Test_Runs!$E:$E,B95)</x:f>
        <x:v>0</x:v>
      </x:c>
      <x:c r="R95" t="str">
        <x:f>IF(P95=0,"",Q95/P95)</x:f>
      </x:c>
      <x:c r="S95" t="e">
        <x:f>COUNTIFS(Test_Runs!$B:$B,A95,Test_Runs!$E:$E,B95,Test_Runs!$O:$O,"&gt;0")</x:f>
        <x:v>#VALUE!</x:v>
      </x:c>
      <x:c r="T95" t="e">
        <x:f>SUMIFS(Test_Runs!$O:$O,Test_Runs!$B:$B,A95,Test_Runs!$E:$E,B95)</x:f>
        <x:v>#VALUE!</x:v>
      </x:c>
      <x:c r="U95" t="e">
        <x:f>IF(S95=0,"",T95/S95)</x:f>
        <x:v>#VALUE!</x:v>
      </x:c>
      <x:c r="V95" t="n">
        <x:f>IFERROR(INDEX(Benchmark_Versions!$I:$I,MATCH(B95,Benchmark_Versions!$A:$A,0)),1)</x:f>
        <x:v>1</x:v>
      </x:c>
      <x:c r="W95" t="n">
        <x:f>IF(F95="","",F95*V95)</x:f>
        <x:v>46</x:v>
      </x:c>
      <x:c r="X95" t="n">
        <x:f>IF(OR(W95="",W95=0,O95=""),"",O95/W95)</x:f>
        <x:v>0.002826086956521739</x:v>
      </x:c>
      <x:c r="Y95" t="n">
        <x:f>IF(OR(W95="",O95="",O95=0),"",W95/O95)</x:f>
        <x:v>353.8461538461538</x:v>
      </x:c>
      <x:c r="Z95" t="str">
        <x:f>IF(OR(W95="",R95="",R95=0),"",W95/R95)</x:f>
      </x:c>
    </x:row>
    <x:row r="96" s="14" customFormat="1">
      <x:c r="A96" t="inlineStr">
        <x:is>
          <x:t xml:space="preserve">meta|muse-wonder|max|reasoning|fallback-na</x:t>
        </x:is>
      </x:c>
      <x:c r="B96" t="inlineStr">
        <x:is>
          <x:t xml:space="preserve">AA|v4.3.2</x:t>
        </x:is>
      </x:c>
      <x:c r="C96" t="n">
        <x:f>COUNTIFS(Test_Runs!$B:$B,A96,Test_Runs!$E:$E,B96,Test_Runs!$H:$H,"&gt;=0")</x:f>
        <x:v>1</x:v>
      </x:c>
      <x:c r="D96" t="n">
        <x:f>SUMIFS(Test_Runs!$H:$H,Test_Runs!$B:$B,A96,Test_Runs!$E:$E,B96)</x:f>
        <x:v>52</x:v>
      </x:c>
      <x:c r="E96" t="n">
        <x:f>SUMIFS(Test_Runs!$I:$I,Test_Runs!$B:$B,A96,Test_Runs!$E:$E,B96)</x:f>
        <x:v>2704</x:v>
      </x:c>
      <x:c r="F96" t="n">
        <x:f>IF(C96=0,"",D96/C96)</x:f>
        <x:v>52</x:v>
      </x:c>
      <x:c r="G96" t="n">
        <x:f>IF(C96&lt;2,0,SQRT(MAX(0,(E96-(D96*D96/C96))/(C96-1))))</x:f>
        <x:v>0</x:v>
      </x:c>
      <x:c r="H96" t="n">
        <x:f>IF(C96=0,"",IF(C96=1,F96,_xlfn.AGGREGATE(15,6,(Test_Runs!$H$2:$H$144/((Test_Runs!$B$2:$B$144=A96)*(Test_Runs!$E$2:$E$144=B96))),1)))</x:f>
        <x:v>52</x:v>
      </x:c>
      <x:c r="I96" t="n">
        <x:f>IF(C96=0,"",IF(C96=1,F96,_xlfn.AGGREGATE(16,6,(Test_Runs!$H$2:$H$144/((Test_Runs!$B$2:$B$144=A96)*(Test_Runs!$E$2:$E$144=B96))),0.25)))</x:f>
        <x:v>52</x:v>
      </x:c>
      <x:c r="J96" t="n">
        <x:f>IF(C96=0,"",IF(C96=1,F96,_xlfn.AGGREGATE(12,6,(Test_Runs!$H$2:$H$144/((Test_Runs!$B$2:$B$144=A96)*(Test_Runs!$E$2:$E$144=B96))))))</x:f>
        <x:v>52</x:v>
      </x:c>
      <x:c r="K96" t="n">
        <x:f>IF(C96=0,"",IF(C96=1,F96,_xlfn.AGGREGATE(16,6,(Test_Runs!$H$2:$H$144/((Test_Runs!$B$2:$B$144=A96)*(Test_Runs!$E$2:$E$144=B96))),0.75)))</x:f>
        <x:v>52</x:v>
      </x:c>
      <x:c r="L96" t="n">
        <x:f>IF(C96=0,"",_xlfn.MAXIFS(Test_Runs!$H:$H,Test_Runs!$B:$B,A96,Test_Runs!$E:$E,B96))</x:f>
        <x:v>52</x:v>
      </x:c>
      <x:c r="M96" t="n">
        <x:f>COUNTIFS(Test_Runs!$B:$B,A96,Test_Runs!$E:$E,B96,Test_Runs!$J:$J,"&gt;0")</x:f>
        <x:v>1</x:v>
      </x:c>
      <x:c r="N96" t="n">
        <x:f>SUMIFS(Test_Runs!$J:$J,Test_Runs!$B:$B,A96,Test_Runs!$E:$E,B96)</x:f>
        <x:v>4.52</x:v>
      </x:c>
      <x:c r="O96" t="n">
        <x:f>IF(M96=0,"",N96/M96)</x:f>
        <x:v>4.52</x:v>
      </x:c>
      <x:c r="P96" t="n">
        <x:f>COUNTIFS(Test_Runs!$B:$B,A96,Test_Runs!$E:$E,B96,Test_Runs!$S:$S,"&gt;0")</x:f>
        <x:v>0</x:v>
      </x:c>
      <x:c r="Q96" t="n">
        <x:f>SUMIFS(Test_Runs!$S:$S,Test_Runs!$B:$B,A96,Test_Runs!$E:$E,B96)</x:f>
        <x:v>0</x:v>
      </x:c>
      <x:c r="R96" t="str">
        <x:f>IF(P96=0,"",Q96/P96)</x:f>
      </x:c>
      <x:c r="S96" t="e">
        <x:f>COUNTIFS(Test_Runs!$B:$B,A96,Test_Runs!$E:$E,B96,Test_Runs!$O:$O,"&gt;0")</x:f>
        <x:v>#VALUE!</x:v>
      </x:c>
      <x:c r="T96" t="e">
        <x:f>SUMIFS(Test_Runs!$O:$O,Test_Runs!$B:$B,A96,Test_Runs!$E:$E,B96)</x:f>
        <x:v>#VALUE!</x:v>
      </x:c>
      <x:c r="U96" t="e">
        <x:f>IF(S96=0,"",T96/S96)</x:f>
        <x:v>#VALUE!</x:v>
      </x:c>
      <x:c r="V96" t="n">
        <x:f>IFERROR(INDEX(Benchmark_Versions!$I:$I,MATCH(B96,Benchmark_Versions!$A:$A,0)),1)</x:f>
        <x:v>1</x:v>
      </x:c>
      <x:c r="W96" t="n">
        <x:f>IF(F96="","",F96*V96)</x:f>
        <x:v>52</x:v>
      </x:c>
      <x:c r="X96" t="n">
        <x:f>IF(OR(W96="",W96=0,O96=""),"",O96/W96)</x:f>
        <x:v>0.08692307692307691</x:v>
      </x:c>
      <x:c r="Y96" t="n">
        <x:f>IF(OR(W96="",O96="",O96=0),"",W96/O96)</x:f>
        <x:v>11.504424778761063</x:v>
      </x:c>
      <x:c r="Z96" t="str">
        <x:f>IF(OR(W96="",R96="",R96=0),"",W96/R96)</x:f>
      </x:c>
    </x:row>
    <x:row r="97" s="14" customFormat="1">
      <x:c r="A97" t="inlineStr">
        <x:is>
          <x:t xml:space="preserve">openai|gpt-6-1-sol|xhigh|yes|fallback-na</x:t>
        </x:is>
      </x:c>
      <x:c r="B97" t="inlineStr">
        <x:is>
          <x:t xml:space="preserve">AA|v4.3.2</x:t>
        </x:is>
      </x:c>
      <x:c r="C97" t="n">
        <x:f>COUNTIFS(Test_Runs!$B:$B,A97,Test_Runs!$E:$E,B97,Test_Runs!$H:$H,"&gt;=0")</x:f>
        <x:v>1</x:v>
      </x:c>
      <x:c r="D97" t="n">
        <x:f>SUMIFS(Test_Runs!$H:$H,Test_Runs!$B:$B,A97,Test_Runs!$E:$E,B97)</x:f>
        <x:v>51</x:v>
      </x:c>
      <x:c r="E97" t="n">
        <x:f>SUMIFS(Test_Runs!$I:$I,Test_Runs!$B:$B,A97,Test_Runs!$E:$E,B97)</x:f>
        <x:v>2601</x:v>
      </x:c>
      <x:c r="F97" t="n">
        <x:f>IF(C97=0,"",D97/C97)</x:f>
        <x:v>51</x:v>
      </x:c>
      <x:c r="G97" t="n">
        <x:f>IF(C97&lt;2,0,SQRT(MAX(0,(E97-(D97*D97/C97))/(C97-1))))</x:f>
        <x:v>0</x:v>
      </x:c>
      <x:c r="H97" t="n">
        <x:f>IF(C97=0,"",IF(C97=1,F97,_xlfn.AGGREGATE(15,6,(Test_Runs!$H$2:$H$144/((Test_Runs!$B$2:$B$144=A97)*(Test_Runs!$E$2:$E$144=B97))),1)))</x:f>
        <x:v>51</x:v>
      </x:c>
      <x:c r="I97" t="n">
        <x:f>IF(C97=0,"",IF(C97=1,F97,_xlfn.AGGREGATE(16,6,(Test_Runs!$H$2:$H$144/((Test_Runs!$B$2:$B$144=A97)*(Test_Runs!$E$2:$E$144=B97))),0.25)))</x:f>
        <x:v>51</x:v>
      </x:c>
      <x:c r="J97" t="n">
        <x:f>IF(C97=0,"",IF(C97=1,F97,_xlfn.AGGREGATE(12,6,(Test_Runs!$H$2:$H$144/((Test_Runs!$B$2:$B$144=A97)*(Test_Runs!$E$2:$E$144=B97))))))</x:f>
        <x:v>51</x:v>
      </x:c>
      <x:c r="K97" t="n">
        <x:f>IF(C97=0,"",IF(C97=1,F97,_xlfn.AGGREGATE(16,6,(Test_Runs!$H$2:$H$144/((Test_Runs!$B$2:$B$144=A97)*(Test_Runs!$E$2:$E$144=B97))),0.75)))</x:f>
        <x:v>51</x:v>
      </x:c>
      <x:c r="L97" t="n">
        <x:f>IF(C97=0,"",_xlfn.MAXIFS(Test_Runs!$H:$H,Test_Runs!$B:$B,A97,Test_Runs!$E:$E,B97))</x:f>
        <x:v>51</x:v>
      </x:c>
      <x:c r="M97" t="n">
        <x:f>COUNTIFS(Test_Runs!$B:$B,A97,Test_Runs!$E:$E,B97,Test_Runs!$J:$J,"&gt;0")</x:f>
        <x:v>1</x:v>
      </x:c>
      <x:c r="N97" t="n">
        <x:f>SUMIFS(Test_Runs!$J:$J,Test_Runs!$B:$B,A97,Test_Runs!$E:$E,B97)</x:f>
        <x:v>0.39</x:v>
      </x:c>
      <x:c r="O97" t="n">
        <x:f>IF(M97=0,"",N97/M97)</x:f>
        <x:v>0.39</x:v>
      </x:c>
      <x:c r="P97" t="n">
        <x:f>COUNTIFS(Test_Runs!$B:$B,A97,Test_Runs!$E:$E,B97,Test_Runs!$S:$S,"&gt;0")</x:f>
        <x:v>0</x:v>
      </x:c>
      <x:c r="Q97" t="n">
        <x:f>SUMIFS(Test_Runs!$S:$S,Test_Runs!$B:$B,A97,Test_Runs!$E:$E,B97)</x:f>
        <x:v>0</x:v>
      </x:c>
      <x:c r="R97" t="str">
        <x:f>IF(P97=0,"",Q97/P97)</x:f>
      </x:c>
      <x:c r="S97" t="e">
        <x:f>COUNTIFS(Test_Runs!$B:$B,A97,Test_Runs!$E:$E,B97,Test_Runs!$O:$O,"&gt;0")</x:f>
        <x:v>#VALUE!</x:v>
      </x:c>
      <x:c r="T97" t="e">
        <x:f>SUMIFS(Test_Runs!$O:$O,Test_Runs!$B:$B,A97,Test_Runs!$E:$E,B97)</x:f>
        <x:v>#VALUE!</x:v>
      </x:c>
      <x:c r="U97" t="e">
        <x:f>IF(S97=0,"",T97/S97)</x:f>
        <x:v>#VALUE!</x:v>
      </x:c>
      <x:c r="V97" t="n">
        <x:f>IFERROR(INDEX(Benchmark_Versions!$I:$I,MATCH(B97,Benchmark_Versions!$A:$A,0)),1)</x:f>
        <x:v>1</x:v>
      </x:c>
      <x:c r="W97" t="n">
        <x:f>IF(F97="","",F97*V97)</x:f>
        <x:v>51</x:v>
      </x:c>
      <x:c r="X97" t="n">
        <x:f>IF(OR(W97="",W97=0,O97=""),"",O97/W97)</x:f>
        <x:v>0.007647058823529412</x:v>
      </x:c>
      <x:c r="Y97" t="n">
        <x:f>IF(OR(W97="",O97="",O97=0),"",W97/O97)</x:f>
        <x:v>130.76923076923077</x:v>
      </x:c>
      <x:c r="Z97" t="str">
        <x:f>IF(OR(W97="",R97="",R97=0),"",W97/R97)</x:f>
      </x:c>
    </x:row>
    <x:row r="98" s="14" customFormat="1">
      <x:c r="A98" t="inlineStr">
        <x:is>
          <x:t xml:space="preserve">openai|gpt-6-1-sol|high|yes|fallback-na</x:t>
        </x:is>
      </x:c>
      <x:c r="B98" t="inlineStr">
        <x:is>
          <x:t xml:space="preserve">AA|v4.3.2</x:t>
        </x:is>
      </x:c>
      <x:c r="C98" t="n">
        <x:f>COUNTIFS(Test_Runs!$B:$B,A98,Test_Runs!$E:$E,B98,Test_Runs!$H:$H,"&gt;=0")</x:f>
        <x:v>1</x:v>
      </x:c>
      <x:c r="D98" t="n">
        <x:f>SUMIFS(Test_Runs!$H:$H,Test_Runs!$B:$B,A98,Test_Runs!$E:$E,B98)</x:f>
        <x:v>50</x:v>
      </x:c>
      <x:c r="E98" t="n">
        <x:f>SUMIFS(Test_Runs!$I:$I,Test_Runs!$B:$B,A98,Test_Runs!$E:$E,B98)</x:f>
        <x:v>2500</x:v>
      </x:c>
      <x:c r="F98" t="n">
        <x:f>IF(C98=0,"",D98/C98)</x:f>
        <x:v>50</x:v>
      </x:c>
      <x:c r="G98" t="n">
        <x:f>IF(C98&lt;2,0,SQRT(MAX(0,(E98-(D98*D98/C98))/(C98-1))))</x:f>
        <x:v>0</x:v>
      </x:c>
      <x:c r="H98" t="n">
        <x:f>IF(C98=0,"",IF(C98=1,F98,_xlfn.AGGREGATE(15,6,(Test_Runs!$H$2:$H$144/((Test_Runs!$B$2:$B$144=A98)*(Test_Runs!$E$2:$E$144=B98))),1)))</x:f>
        <x:v>50</x:v>
      </x:c>
      <x:c r="I98" t="n">
        <x:f>IF(C98=0,"",IF(C98=1,F98,_xlfn.AGGREGATE(16,6,(Test_Runs!$H$2:$H$144/((Test_Runs!$B$2:$B$144=A98)*(Test_Runs!$E$2:$E$144=B98))),0.25)))</x:f>
        <x:v>50</x:v>
      </x:c>
      <x:c r="J98" t="n">
        <x:f>IF(C98=0,"",IF(C98=1,F98,_xlfn.AGGREGATE(12,6,(Test_Runs!$H$2:$H$144/((Test_Runs!$B$2:$B$144=A98)*(Test_Runs!$E$2:$E$144=B98))))))</x:f>
        <x:v>50</x:v>
      </x:c>
      <x:c r="K98" t="n">
        <x:f>IF(C98=0,"",IF(C98=1,F98,_xlfn.AGGREGATE(16,6,(Test_Runs!$H$2:$H$144/((Test_Runs!$B$2:$B$144=A98)*(Test_Runs!$E$2:$E$144=B98))),0.75)))</x:f>
        <x:v>50</x:v>
      </x:c>
      <x:c r="L98" t="n">
        <x:f>IF(C98=0,"",_xlfn.MAXIFS(Test_Runs!$H:$H,Test_Runs!$B:$B,A98,Test_Runs!$E:$E,B98))</x:f>
        <x:v>50</x:v>
      </x:c>
      <x:c r="M98" t="n">
        <x:f>COUNTIFS(Test_Runs!$B:$B,A98,Test_Runs!$E:$E,B98,Test_Runs!$J:$J,"&gt;0")</x:f>
        <x:v>1</x:v>
      </x:c>
      <x:c r="N98" t="n">
        <x:f>SUMIFS(Test_Runs!$J:$J,Test_Runs!$B:$B,A98,Test_Runs!$E:$E,B98)</x:f>
        <x:v>0.32</x:v>
      </x:c>
      <x:c r="O98" t="n">
        <x:f>IF(M98=0,"",N98/M98)</x:f>
        <x:v>0.32</x:v>
      </x:c>
      <x:c r="P98" t="n">
        <x:f>COUNTIFS(Test_Runs!$B:$B,A98,Test_Runs!$E:$E,B98,Test_Runs!$S:$S,"&gt;0")</x:f>
        <x:v>0</x:v>
      </x:c>
      <x:c r="Q98" t="n">
        <x:f>SUMIFS(Test_Runs!$S:$S,Test_Runs!$B:$B,A98,Test_Runs!$E:$E,B98)</x:f>
        <x:v>0</x:v>
      </x:c>
      <x:c r="R98" t="str">
        <x:f>IF(P98=0,"",Q98/P98)</x:f>
      </x:c>
      <x:c r="S98" t="e">
        <x:f>COUNTIFS(Test_Runs!$B:$B,A98,Test_Runs!$E:$E,B98,Test_Runs!$O:$O,"&gt;0")</x:f>
        <x:v>#VALUE!</x:v>
      </x:c>
      <x:c r="T98" t="e">
        <x:f>SUMIFS(Test_Runs!$O:$O,Test_Runs!$B:$B,A98,Test_Runs!$E:$E,B98)</x:f>
        <x:v>#VALUE!</x:v>
      </x:c>
      <x:c r="U98" t="e">
        <x:f>IF(S98=0,"",T98/S98)</x:f>
        <x:v>#VALUE!</x:v>
      </x:c>
      <x:c r="V98" t="n">
        <x:f>IFERROR(INDEX(Benchmark_Versions!$I:$I,MATCH(B98,Benchmark_Versions!$A:$A,0)),1)</x:f>
        <x:v>1</x:v>
      </x:c>
      <x:c r="W98" t="n">
        <x:f>IF(F98="","",F98*V98)</x:f>
        <x:v>50</x:v>
      </x:c>
      <x:c r="X98" t="n">
        <x:f>IF(OR(W98="",W98=0,O98=""),"",O98/W98)</x:f>
        <x:v>0.0064</x:v>
      </x:c>
      <x:c r="Y98" t="n">
        <x:f>IF(OR(W98="",O98="",O98=0),"",W98/O98)</x:f>
        <x:v>156.25</x:v>
      </x:c>
      <x:c r="Z98" t="str">
        <x:f>IF(OR(W98="",R98="",R98=0),"",W98/R98)</x:f>
      </x:c>
    </x:row>
    <x:row r="99" s="14" customFormat="1">
      <x:c r="A99" t="inlineStr">
        <x:is>
          <x:t xml:space="preserve">openai|gpt-6-1-sol|medium|yes|fallback-na</x:t>
        </x:is>
      </x:c>
      <x:c r="B99" t="inlineStr">
        <x:is>
          <x:t xml:space="preserve">AA|v4.3.2</x:t>
        </x:is>
      </x:c>
      <x:c r="C99" t="n">
        <x:f>COUNTIFS(Test_Runs!$B:$B,A99,Test_Runs!$E:$E,B99,Test_Runs!$H:$H,"&gt;=0")</x:f>
        <x:v>1</x:v>
      </x:c>
      <x:c r="D99" t="n">
        <x:f>SUMIFS(Test_Runs!$H:$H,Test_Runs!$B:$B,A99,Test_Runs!$E:$E,B99)</x:f>
        <x:v>48</x:v>
      </x:c>
      <x:c r="E99" t="n">
        <x:f>SUMIFS(Test_Runs!$I:$I,Test_Runs!$B:$B,A99,Test_Runs!$E:$E,B99)</x:f>
        <x:v>2304</x:v>
      </x:c>
      <x:c r="F99" t="n">
        <x:f>IF(C99=0,"",D99/C99)</x:f>
        <x:v>48</x:v>
      </x:c>
      <x:c r="G99" t="n">
        <x:f>IF(C99&lt;2,0,SQRT(MAX(0,(E99-(D99*D99/C99))/(C99-1))))</x:f>
        <x:v>0</x:v>
      </x:c>
      <x:c r="H99" t="n">
        <x:f>IF(C99=0,"",IF(C99=1,F99,_xlfn.AGGREGATE(15,6,(Test_Runs!$H$2:$H$144/((Test_Runs!$B$2:$B$144=A99)*(Test_Runs!$E$2:$E$144=B99))),1)))</x:f>
        <x:v>48</x:v>
      </x:c>
      <x:c r="I99" t="n">
        <x:f>IF(C99=0,"",IF(C99=1,F99,_xlfn.AGGREGATE(16,6,(Test_Runs!$H$2:$H$144/((Test_Runs!$B$2:$B$144=A99)*(Test_Runs!$E$2:$E$144=B99))),0.25)))</x:f>
        <x:v>48</x:v>
      </x:c>
      <x:c r="J99" t="n">
        <x:f>IF(C99=0,"",IF(C99=1,F99,_xlfn.AGGREGATE(12,6,(Test_Runs!$H$2:$H$144/((Test_Runs!$B$2:$B$144=A99)*(Test_Runs!$E$2:$E$144=B99))))))</x:f>
        <x:v>48</x:v>
      </x:c>
      <x:c r="K99" t="n">
        <x:f>IF(C99=0,"",IF(C99=1,F99,_xlfn.AGGREGATE(16,6,(Test_Runs!$H$2:$H$144/((Test_Runs!$B$2:$B$144=A99)*(Test_Runs!$E$2:$E$144=B99))),0.75)))</x:f>
        <x:v>48</x:v>
      </x:c>
      <x:c r="L99" t="n">
        <x:f>IF(C99=0,"",_xlfn.MAXIFS(Test_Runs!$H:$H,Test_Runs!$B:$B,A99,Test_Runs!$E:$E,B99))</x:f>
        <x:v>48</x:v>
      </x:c>
      <x:c r="M99" t="n">
        <x:f>COUNTIFS(Test_Runs!$B:$B,A99,Test_Runs!$E:$E,B99,Test_Runs!$J:$J,"&gt;0")</x:f>
        <x:v>1</x:v>
      </x:c>
      <x:c r="N99" t="n">
        <x:f>SUMIFS(Test_Runs!$J:$J,Test_Runs!$B:$B,A99,Test_Runs!$E:$E,B99)</x:f>
        <x:v>0.21</x:v>
      </x:c>
      <x:c r="O99" t="n">
        <x:f>IF(M99=0,"",N99/M99)</x:f>
        <x:v>0.21</x:v>
      </x:c>
      <x:c r="P99" t="n">
        <x:f>COUNTIFS(Test_Runs!$B:$B,A99,Test_Runs!$E:$E,B99,Test_Runs!$S:$S,"&gt;0")</x:f>
        <x:v>0</x:v>
      </x:c>
      <x:c r="Q99" t="n">
        <x:f>SUMIFS(Test_Runs!$S:$S,Test_Runs!$B:$B,A99,Test_Runs!$E:$E,B99)</x:f>
        <x:v>0</x:v>
      </x:c>
      <x:c r="R99" t="str">
        <x:f>IF(P99=0,"",Q99/P99)</x:f>
      </x:c>
      <x:c r="S99" t="e">
        <x:f>COUNTIFS(Test_Runs!$B:$B,A99,Test_Runs!$E:$E,B99,Test_Runs!$O:$O,"&gt;0")</x:f>
        <x:v>#VALUE!</x:v>
      </x:c>
      <x:c r="T99" t="e">
        <x:f>SUMIFS(Test_Runs!$O:$O,Test_Runs!$B:$B,A99,Test_Runs!$E:$E,B99)</x:f>
        <x:v>#VALUE!</x:v>
      </x:c>
      <x:c r="U99" t="e">
        <x:f>IF(S99=0,"",T99/S99)</x:f>
        <x:v>#VALUE!</x:v>
      </x:c>
      <x:c r="V99" t="n">
        <x:f>IFERROR(INDEX(Benchmark_Versions!$I:$I,MATCH(B99,Benchmark_Versions!$A:$A,0)),1)</x:f>
        <x:v>1</x:v>
      </x:c>
      <x:c r="W99" t="n">
        <x:f>IF(F99="","",F99*V99)</x:f>
        <x:v>48</x:v>
      </x:c>
      <x:c r="X99" t="n">
        <x:f>IF(OR(W99="",W99=0,O99=""),"",O99/W99)</x:f>
        <x:v>0.0043749999999999995</x:v>
      </x:c>
      <x:c r="Y99" t="n">
        <x:f>IF(OR(W99="",O99="",O99=0),"",W99/O99)</x:f>
        <x:v>228.57142857142858</x:v>
      </x:c>
      <x:c r="Z99" t="str">
        <x:f>IF(OR(W99="",R99="",R99=0),"",W99/R99)</x:f>
      </x:c>
    </x:row>
    <x:row r="100" s="14" customFormat="1">
      <x:c r="A100" t="inlineStr">
        <x:is>
          <x:t xml:space="preserve">openai|gpt-6-1-sol|low|yes|fallback-na</x:t>
        </x:is>
      </x:c>
      <x:c r="B100" t="inlineStr">
        <x:is>
          <x:t xml:space="preserve">AA|v4.3.2</x:t>
        </x:is>
      </x:c>
      <x:c r="C100" t="n">
        <x:f>COUNTIFS(Test_Runs!$B:$B,A100,Test_Runs!$E:$E,B100,Test_Runs!$H:$H,"&gt;=0")</x:f>
        <x:v>1</x:v>
      </x:c>
      <x:c r="D100" t="n">
        <x:f>SUMIFS(Test_Runs!$H:$H,Test_Runs!$B:$B,A100,Test_Runs!$E:$E,B100)</x:f>
        <x:v>42</x:v>
      </x:c>
      <x:c r="E100" t="n">
        <x:f>SUMIFS(Test_Runs!$I:$I,Test_Runs!$B:$B,A100,Test_Runs!$E:$E,B100)</x:f>
        <x:v>1764</x:v>
      </x:c>
      <x:c r="F100" t="n">
        <x:f>IF(C100=0,"",D100/C100)</x:f>
        <x:v>42</x:v>
      </x:c>
      <x:c r="G100" t="n">
        <x:f>IF(C100&lt;2,0,SQRT(MAX(0,(E100-(D100*D100/C100))/(C100-1))))</x:f>
        <x:v>0</x:v>
      </x:c>
      <x:c r="H100" t="n">
        <x:f>IF(C100=0,"",IF(C100=1,F100,_xlfn.AGGREGATE(15,6,(Test_Runs!$H$2:$H$144/((Test_Runs!$B$2:$B$144=A100)*(Test_Runs!$E$2:$E$144=B100))),1)))</x:f>
        <x:v>42</x:v>
      </x:c>
      <x:c r="I100" t="n">
        <x:f>IF(C100=0,"",IF(C100=1,F100,_xlfn.AGGREGATE(16,6,(Test_Runs!$H$2:$H$144/((Test_Runs!$B$2:$B$144=A100)*(Test_Runs!$E$2:$E$144=B100))),0.25)))</x:f>
        <x:v>42</x:v>
      </x:c>
      <x:c r="J100" t="n">
        <x:f>IF(C100=0,"",IF(C100=1,F100,_xlfn.AGGREGATE(12,6,(Test_Runs!$H$2:$H$144/((Test_Runs!$B$2:$B$144=A100)*(Test_Runs!$E$2:$E$144=B100))))))</x:f>
        <x:v>42</x:v>
      </x:c>
      <x:c r="K100" t="n">
        <x:f>IF(C100=0,"",IF(C100=1,F100,_xlfn.AGGREGATE(16,6,(Test_Runs!$H$2:$H$144/((Test_Runs!$B$2:$B$144=A100)*(Test_Runs!$E$2:$E$144=B100))),0.75)))</x:f>
        <x:v>42</x:v>
      </x:c>
      <x:c r="L100" t="n">
        <x:f>IF(C100=0,"",_xlfn.MAXIFS(Test_Runs!$H:$H,Test_Runs!$B:$B,A100,Test_Runs!$E:$E,B100))</x:f>
        <x:v>42</x:v>
      </x:c>
      <x:c r="M100" t="n">
        <x:f>COUNTIFS(Test_Runs!$B:$B,A100,Test_Runs!$E:$E,B100,Test_Runs!$J:$J,"&gt;0")</x:f>
        <x:v>1</x:v>
      </x:c>
      <x:c r="N100" t="n">
        <x:f>SUMIFS(Test_Runs!$J:$J,Test_Runs!$B:$B,A100,Test_Runs!$E:$E,B100)</x:f>
        <x:v>0.13</x:v>
      </x:c>
      <x:c r="O100" t="n">
        <x:f>IF(M100=0,"",N100/M100)</x:f>
        <x:v>0.13</x:v>
      </x:c>
      <x:c r="P100" t="n">
        <x:f>COUNTIFS(Test_Runs!$B:$B,A100,Test_Runs!$E:$E,B100,Test_Runs!$S:$S,"&gt;0")</x:f>
        <x:v>0</x:v>
      </x:c>
      <x:c r="Q100" t="n">
        <x:f>SUMIFS(Test_Runs!$S:$S,Test_Runs!$B:$B,A100,Test_Runs!$E:$E,B100)</x:f>
        <x:v>0</x:v>
      </x:c>
      <x:c r="R100" t="str">
        <x:f>IF(P100=0,"",Q100/P100)</x:f>
      </x:c>
      <x:c r="S100" t="e">
        <x:f>COUNTIFS(Test_Runs!$B:$B,A100,Test_Runs!$E:$E,B100,Test_Runs!$O:$O,"&gt;0")</x:f>
        <x:v>#VALUE!</x:v>
      </x:c>
      <x:c r="T100" t="e">
        <x:f>SUMIFS(Test_Runs!$O:$O,Test_Runs!$B:$B,A100,Test_Runs!$E:$E,B100)</x:f>
        <x:v>#VALUE!</x:v>
      </x:c>
      <x:c r="U100" t="e">
        <x:f>IF(S100=0,"",T100/S100)</x:f>
        <x:v>#VALUE!</x:v>
      </x:c>
      <x:c r="V100" t="n">
        <x:f>IFERROR(INDEX(Benchmark_Versions!$I:$I,MATCH(B100,Benchmark_Versions!$A:$A,0)),1)</x:f>
        <x:v>1</x:v>
      </x:c>
      <x:c r="W100" t="n">
        <x:f>IF(F100="","",F100*V100)</x:f>
        <x:v>42</x:v>
      </x:c>
      <x:c r="X100" t="n">
        <x:f>IF(OR(W100="",W100=0,O100=""),"",O100/W100)</x:f>
        <x:v>0.0030952380952380953</x:v>
      </x:c>
      <x:c r="Y100" t="n">
        <x:f>IF(OR(W100="",O100="",O100=0),"",W100/O100)</x:f>
        <x:v>323.07692307692304</x:v>
      </x:c>
      <x:c r="Z100" t="str">
        <x:f>IF(OR(W100="",R100="",R100=0),"",W100/R100)</x:f>
      </x:c>
    </x:row>
    <x:row r="101" s="14" customFormat="1">
      <x:c r="A101" t="inlineStr">
        <x:is>
          <x:t xml:space="preserve">openai|gpt-5-6-terra|max|reasoning|fallback-na</x:t>
        </x:is>
      </x:c>
      <x:c r="B101" t="inlineStr">
        <x:is>
          <x:t xml:space="preserve">AA|v4.3.2</x:t>
        </x:is>
      </x:c>
      <x:c r="C101" t="n">
        <x:f>COUNTIFS(Test_Runs!$B:$B,A101,Test_Runs!$E:$E,B101,Test_Runs!$H:$H,"&gt;=0")</x:f>
        <x:v>1</x:v>
      </x:c>
      <x:c r="D101" t="n">
        <x:f>SUMIFS(Test_Runs!$H:$H,Test_Runs!$B:$B,A101,Test_Runs!$E:$E,B101)</x:f>
        <x:v>42</x:v>
      </x:c>
      <x:c r="E101" t="n">
        <x:f>SUMIFS(Test_Runs!$I:$I,Test_Runs!$B:$B,A101,Test_Runs!$E:$E,B101)</x:f>
        <x:v>1764</x:v>
      </x:c>
      <x:c r="F101" t="n">
        <x:f>IF(C101=0,"",D101/C101)</x:f>
        <x:v>42</x:v>
      </x:c>
      <x:c r="G101" t="n">
        <x:f>IF(C101&lt;2,0,SQRT(MAX(0,(E101-(D101*D101/C101))/(C101-1))))</x:f>
        <x:v>0</x:v>
      </x:c>
      <x:c r="H101" t="n">
        <x:f>IF(C101=0,"",IF(C101=1,F101,_xlfn.AGGREGATE(15,6,(Test_Runs!$H$2:$H$144/((Test_Runs!$B$2:$B$144=A101)*(Test_Runs!$E$2:$E$144=B101))),1)))</x:f>
        <x:v>42</x:v>
      </x:c>
      <x:c r="I101" t="n">
        <x:f>IF(C101=0,"",IF(C101=1,F101,_xlfn.AGGREGATE(16,6,(Test_Runs!$H$2:$H$144/((Test_Runs!$B$2:$B$144=A101)*(Test_Runs!$E$2:$E$144=B101))),0.25)))</x:f>
        <x:v>42</x:v>
      </x:c>
      <x:c r="J101" t="n">
        <x:f>IF(C101=0,"",IF(C101=1,F101,_xlfn.AGGREGATE(12,6,(Test_Runs!$H$2:$H$144/((Test_Runs!$B$2:$B$144=A101)*(Test_Runs!$E$2:$E$144=B101))))))</x:f>
        <x:v>42</x:v>
      </x:c>
      <x:c r="K101" t="n">
        <x:f>IF(C101=0,"",IF(C101=1,F101,_xlfn.AGGREGATE(16,6,(Test_Runs!$H$2:$H$144/((Test_Runs!$B$2:$B$144=A101)*(Test_Runs!$E$2:$E$144=B101))),0.75)))</x:f>
        <x:v>42</x:v>
      </x:c>
      <x:c r="L101" t="n">
        <x:f>IF(C101=0,"",_xlfn.MAXIFS(Test_Runs!$H:$H,Test_Runs!$B:$B,A101,Test_Runs!$E:$E,B101))</x:f>
        <x:v>42</x:v>
      </x:c>
      <x:c r="M101" t="n">
        <x:f>COUNTIFS(Test_Runs!$B:$B,A101,Test_Runs!$E:$E,B101,Test_Runs!$J:$J,"&gt;0")</x:f>
        <x:v>1</x:v>
      </x:c>
      <x:c r="N101" t="n">
        <x:f>SUMIFS(Test_Runs!$J:$J,Test_Runs!$B:$B,A101,Test_Runs!$E:$E,B101)</x:f>
        <x:v>1.4</x:v>
      </x:c>
      <x:c r="O101" t="n">
        <x:f>IF(M101=0,"",N101/M101)</x:f>
        <x:v>1.4</x:v>
      </x:c>
      <x:c r="P101" t="n">
        <x:f>COUNTIFS(Test_Runs!$B:$B,A101,Test_Runs!$E:$E,B101,Test_Runs!$S:$S,"&gt;0")</x:f>
        <x:v>0</x:v>
      </x:c>
      <x:c r="Q101" t="n">
        <x:f>SUMIFS(Test_Runs!$S:$S,Test_Runs!$B:$B,A101,Test_Runs!$E:$E,B101)</x:f>
        <x:v>0</x:v>
      </x:c>
      <x:c r="R101" t="str">
        <x:f>IF(P101=0,"",Q101/P101)</x:f>
      </x:c>
      <x:c r="S101" t="e">
        <x:f>COUNTIFS(Test_Runs!$B:$B,A101,Test_Runs!$E:$E,B101,Test_Runs!$O:$O,"&gt;0")</x:f>
        <x:v>#VALUE!</x:v>
      </x:c>
      <x:c r="T101" t="e">
        <x:f>SUMIFS(Test_Runs!$O:$O,Test_Runs!$B:$B,A101,Test_Runs!$E:$E,B101)</x:f>
        <x:v>#VALUE!</x:v>
      </x:c>
      <x:c r="U101" t="e">
        <x:f>IF(S101=0,"",T101/S101)</x:f>
        <x:v>#VALUE!</x:v>
      </x:c>
      <x:c r="V101" t="n">
        <x:f>IFERROR(INDEX(Benchmark_Versions!$I:$I,MATCH(B101,Benchmark_Versions!$A:$A,0)),1)</x:f>
        <x:v>1</x:v>
      </x:c>
      <x:c r="W101" t="n">
        <x:f>IF(F101="","",F101*V101)</x:f>
        <x:v>42</x:v>
      </x:c>
      <x:c r="X101" t="n">
        <x:f>IF(OR(W101="",W101=0,O101=""),"",O101/W101)</x:f>
        <x:v>0.03333333333333333</x:v>
      </x:c>
      <x:c r="Y101" t="n">
        <x:f>IF(OR(W101="",O101="",O101=0),"",W101/O101)</x:f>
        <x:v>30.000000000000004</x:v>
      </x:c>
      <x:c r="Z101" t="str">
        <x:f>IF(OR(W101="",R101="",R101=0),"",W101/R101)</x:f>
      </x:c>
    </x:row>
    <x:row r="102" s="14" customFormat="1">
      <x:c r="A102" t="inlineStr">
        <x:is>
          <x:t xml:space="preserve">openai|gpt-5-6-terra|xhigh|reasoning|fallback-na</x:t>
        </x:is>
      </x:c>
      <x:c r="B102" t="inlineStr">
        <x:is>
          <x:t xml:space="preserve">AA|v4.3.2</x:t>
        </x:is>
      </x:c>
      <x:c r="C102" t="n">
        <x:f>COUNTIFS(Test_Runs!$B:$B,A102,Test_Runs!$E:$E,B102,Test_Runs!$H:$H,"&gt;=0")</x:f>
        <x:v>1</x:v>
      </x:c>
      <x:c r="D102" t="n">
        <x:f>SUMIFS(Test_Runs!$H:$H,Test_Runs!$B:$B,A102,Test_Runs!$E:$E,B102)</x:f>
        <x:v>38</x:v>
      </x:c>
      <x:c r="E102" t="n">
        <x:f>SUMIFS(Test_Runs!$I:$I,Test_Runs!$B:$B,A102,Test_Runs!$E:$E,B102)</x:f>
        <x:v>1444</x:v>
      </x:c>
      <x:c r="F102" t="n">
        <x:f>IF(C102=0,"",D102/C102)</x:f>
        <x:v>38</x:v>
      </x:c>
      <x:c r="G102" t="n">
        <x:f>IF(C102&lt;2,0,SQRT(MAX(0,(E102-(D102*D102/C102))/(C102-1))))</x:f>
        <x:v>0</x:v>
      </x:c>
      <x:c r="H102" t="n">
        <x:f>IF(C102=0,"",IF(C102=1,F102,_xlfn.AGGREGATE(15,6,(Test_Runs!$H$2:$H$144/((Test_Runs!$B$2:$B$144=A102)*(Test_Runs!$E$2:$E$144=B102))),1)))</x:f>
        <x:v>38</x:v>
      </x:c>
      <x:c r="I102" t="n">
        <x:f>IF(C102=0,"",IF(C102=1,F102,_xlfn.AGGREGATE(16,6,(Test_Runs!$H$2:$H$144/((Test_Runs!$B$2:$B$144=A102)*(Test_Runs!$E$2:$E$144=B102))),0.25)))</x:f>
        <x:v>38</x:v>
      </x:c>
      <x:c r="J102" t="n">
        <x:f>IF(C102=0,"",IF(C102=1,F102,_xlfn.AGGREGATE(12,6,(Test_Runs!$H$2:$H$144/((Test_Runs!$B$2:$B$144=A102)*(Test_Runs!$E$2:$E$144=B102))))))</x:f>
        <x:v>38</x:v>
      </x:c>
      <x:c r="K102" t="n">
        <x:f>IF(C102=0,"",IF(C102=1,F102,_xlfn.AGGREGATE(16,6,(Test_Runs!$H$2:$H$144/((Test_Runs!$B$2:$B$144=A102)*(Test_Runs!$E$2:$E$144=B102))),0.75)))</x:f>
        <x:v>38</x:v>
      </x:c>
      <x:c r="L102" t="n">
        <x:f>IF(C102=0,"",_xlfn.MAXIFS(Test_Runs!$H:$H,Test_Runs!$B:$B,A102,Test_Runs!$E:$E,B102))</x:f>
        <x:v>38</x:v>
      </x:c>
      <x:c r="M102" t="n">
        <x:f>COUNTIFS(Test_Runs!$B:$B,A102,Test_Runs!$E:$E,B102,Test_Runs!$J:$J,"&gt;0")</x:f>
        <x:v>1</x:v>
      </x:c>
      <x:c r="N102" t="n">
        <x:f>SUMIFS(Test_Runs!$J:$J,Test_Runs!$B:$B,A102,Test_Runs!$E:$E,B102)</x:f>
        <x:v>0.63</x:v>
      </x:c>
      <x:c r="O102" t="n">
        <x:f>IF(M102=0,"",N102/M102)</x:f>
        <x:v>0.63</x:v>
      </x:c>
      <x:c r="P102" t="n">
        <x:f>COUNTIFS(Test_Runs!$B:$B,A102,Test_Runs!$E:$E,B102,Test_Runs!$S:$S,"&gt;0")</x:f>
        <x:v>0</x:v>
      </x:c>
      <x:c r="Q102" t="n">
        <x:f>SUMIFS(Test_Runs!$S:$S,Test_Runs!$B:$B,A102,Test_Runs!$E:$E,B102)</x:f>
        <x:v>0</x:v>
      </x:c>
      <x:c r="R102" t="str">
        <x:f>IF(P102=0,"",Q102/P102)</x:f>
      </x:c>
      <x:c r="S102" t="e">
        <x:f>COUNTIFS(Test_Runs!$B:$B,A102,Test_Runs!$E:$E,B102,Test_Runs!$O:$O,"&gt;0")</x:f>
        <x:v>#VALUE!</x:v>
      </x:c>
      <x:c r="T102" t="e">
        <x:f>SUMIFS(Test_Runs!$O:$O,Test_Runs!$B:$B,A102,Test_Runs!$E:$E,B102)</x:f>
        <x:v>#VALUE!</x:v>
      </x:c>
      <x:c r="U102" t="e">
        <x:f>IF(S102=0,"",T102/S102)</x:f>
        <x:v>#VALUE!</x:v>
      </x:c>
      <x:c r="V102" t="n">
        <x:f>IFERROR(INDEX(Benchmark_Versions!$I:$I,MATCH(B102,Benchmark_Versions!$A:$A,0)),1)</x:f>
        <x:v>1</x:v>
      </x:c>
      <x:c r="W102" t="n">
        <x:f>IF(F102="","",F102*V102)</x:f>
        <x:v>38</x:v>
      </x:c>
      <x:c r="X102" t="n">
        <x:f>IF(OR(W102="",W102=0,O102=""),"",O102/W102)</x:f>
        <x:v>0.016578947368421054</x:v>
      </x:c>
      <x:c r="Y102" t="n">
        <x:f>IF(OR(W102="",O102="",O102=0),"",W102/O102)</x:f>
        <x:v>60.317460317460316</x:v>
      </x:c>
      <x:c r="Z102" t="str">
        <x:f>IF(OR(W102="",R102="",R102=0),"",W102/R102)</x:f>
      </x:c>
    </x:row>
    <x:row r="103" s="14" customFormat="1">
      <x:c r="A103" t="inlineStr">
        <x:is>
          <x:t xml:space="preserve">openai|gpt-5-6-terra|high|reasoning|fallback-na</x:t>
        </x:is>
      </x:c>
      <x:c r="B103" t="inlineStr">
        <x:is>
          <x:t xml:space="preserve">AA|v4.3.2</x:t>
        </x:is>
      </x:c>
      <x:c r="C103" t="n">
        <x:f>COUNTIFS(Test_Runs!$B:$B,A103,Test_Runs!$E:$E,B103,Test_Runs!$H:$H,"&gt;=0")</x:f>
        <x:v>1</x:v>
      </x:c>
      <x:c r="D103" t="n">
        <x:f>SUMIFS(Test_Runs!$H:$H,Test_Runs!$B:$B,A103,Test_Runs!$E:$E,B103)</x:f>
        <x:v>34</x:v>
      </x:c>
      <x:c r="E103" t="n">
        <x:f>SUMIFS(Test_Runs!$I:$I,Test_Runs!$B:$B,A103,Test_Runs!$E:$E,B103)</x:f>
        <x:v>1156</x:v>
      </x:c>
      <x:c r="F103" t="n">
        <x:f>IF(C103=0,"",D103/C103)</x:f>
        <x:v>34</x:v>
      </x:c>
      <x:c r="G103" t="n">
        <x:f>IF(C103&lt;2,0,SQRT(MAX(0,(E103-(D103*D103/C103))/(C103-1))))</x:f>
        <x:v>0</x:v>
      </x:c>
      <x:c r="H103" t="n">
        <x:f>IF(C103=0,"",IF(C103=1,F103,_xlfn.AGGREGATE(15,6,(Test_Runs!$H$2:$H$144/((Test_Runs!$B$2:$B$144=A103)*(Test_Runs!$E$2:$E$144=B103))),1)))</x:f>
        <x:v>34</x:v>
      </x:c>
      <x:c r="I103" t="n">
        <x:f>IF(C103=0,"",IF(C103=1,F103,_xlfn.AGGREGATE(16,6,(Test_Runs!$H$2:$H$144/((Test_Runs!$B$2:$B$144=A103)*(Test_Runs!$E$2:$E$144=B103))),0.25)))</x:f>
        <x:v>34</x:v>
      </x:c>
      <x:c r="J103" t="n">
        <x:f>IF(C103=0,"",IF(C103=1,F103,_xlfn.AGGREGATE(12,6,(Test_Runs!$H$2:$H$144/((Test_Runs!$B$2:$B$144=A103)*(Test_Runs!$E$2:$E$144=B103))))))</x:f>
        <x:v>34</x:v>
      </x:c>
      <x:c r="K103" t="n">
        <x:f>IF(C103=0,"",IF(C103=1,F103,_xlfn.AGGREGATE(16,6,(Test_Runs!$H$2:$H$144/((Test_Runs!$B$2:$B$144=A103)*(Test_Runs!$E$2:$E$144=B103))),0.75)))</x:f>
        <x:v>34</x:v>
      </x:c>
      <x:c r="L103" t="n">
        <x:f>IF(C103=0,"",_xlfn.MAXIFS(Test_Runs!$H:$H,Test_Runs!$B:$B,A103,Test_Runs!$E:$E,B103))</x:f>
        <x:v>34</x:v>
      </x:c>
      <x:c r="M103" t="n">
        <x:f>COUNTIFS(Test_Runs!$B:$B,A103,Test_Runs!$E:$E,B103,Test_Runs!$J:$J,"&gt;0")</x:f>
        <x:v>1</x:v>
      </x:c>
      <x:c r="N103" t="n">
        <x:f>SUMIFS(Test_Runs!$J:$J,Test_Runs!$B:$B,A103,Test_Runs!$E:$E,B103)</x:f>
        <x:v>0.34</x:v>
      </x:c>
      <x:c r="O103" t="n">
        <x:f>IF(M103=0,"",N103/M103)</x:f>
        <x:v>0.34</x:v>
      </x:c>
      <x:c r="P103" t="n">
        <x:f>COUNTIFS(Test_Runs!$B:$B,A103,Test_Runs!$E:$E,B103,Test_Runs!$S:$S,"&gt;0")</x:f>
        <x:v>0</x:v>
      </x:c>
      <x:c r="Q103" t="n">
        <x:f>SUMIFS(Test_Runs!$S:$S,Test_Runs!$B:$B,A103,Test_Runs!$E:$E,B103)</x:f>
        <x:v>0</x:v>
      </x:c>
      <x:c r="R103" t="str">
        <x:f>IF(P103=0,"",Q103/P103)</x:f>
      </x:c>
      <x:c r="S103" t="e">
        <x:f>COUNTIFS(Test_Runs!$B:$B,A103,Test_Runs!$E:$E,B103,Test_Runs!$O:$O,"&gt;0")</x:f>
        <x:v>#VALUE!</x:v>
      </x:c>
      <x:c r="T103" t="e">
        <x:f>SUMIFS(Test_Runs!$O:$O,Test_Runs!$B:$B,A103,Test_Runs!$E:$E,B103)</x:f>
        <x:v>#VALUE!</x:v>
      </x:c>
      <x:c r="U103" t="e">
        <x:f>IF(S103=0,"",T103/S103)</x:f>
        <x:v>#VALUE!</x:v>
      </x:c>
      <x:c r="V103" t="n">
        <x:f>IFERROR(INDEX(Benchmark_Versions!$I:$I,MATCH(B103,Benchmark_Versions!$A:$A,0)),1)</x:f>
        <x:v>1</x:v>
      </x:c>
      <x:c r="W103" t="n">
        <x:f>IF(F103="","",F103*V103)</x:f>
        <x:v>34</x:v>
      </x:c>
      <x:c r="X103" t="n">
        <x:f>IF(OR(W103="",W103=0,O103=""),"",O103/W103)</x:f>
        <x:v>0.01</x:v>
      </x:c>
      <x:c r="Y103" t="n">
        <x:f>IF(OR(W103="",O103="",O103=0),"",W103/O103)</x:f>
        <x:v>99.99999999999999</x:v>
      </x:c>
      <x:c r="Z103" t="str">
        <x:f>IF(OR(W103="",R103="",R103=0),"",W103/R103)</x:f>
      </x:c>
    </x:row>
    <x:row r="104" s="14" customFormat="1">
      <x:c r="A104" t="inlineStr">
        <x:is>
          <x:t xml:space="preserve">openai|gpt-5-6-terra|medium|reasoning|fallback-na</x:t>
        </x:is>
      </x:c>
      <x:c r="B104" t="inlineStr">
        <x:is>
          <x:t xml:space="preserve">AA|v4.3.2</x:t>
        </x:is>
      </x:c>
      <x:c r="C104" t="n">
        <x:f>COUNTIFS(Test_Runs!$B:$B,A104,Test_Runs!$E:$E,B104,Test_Runs!$H:$H,"&gt;=0")</x:f>
        <x:v>1</x:v>
      </x:c>
      <x:c r="D104" t="n">
        <x:f>SUMIFS(Test_Runs!$H:$H,Test_Runs!$B:$B,A104,Test_Runs!$E:$E,B104)</x:f>
        <x:v>30</x:v>
      </x:c>
      <x:c r="E104" t="n">
        <x:f>SUMIFS(Test_Runs!$I:$I,Test_Runs!$B:$B,A104,Test_Runs!$E:$E,B104)</x:f>
        <x:v>900</x:v>
      </x:c>
      <x:c r="F104" t="n">
        <x:f>IF(C104=0,"",D104/C104)</x:f>
        <x:v>30</x:v>
      </x:c>
      <x:c r="G104" t="n">
        <x:f>IF(C104&lt;2,0,SQRT(MAX(0,(E104-(D104*D104/C104))/(C104-1))))</x:f>
        <x:v>0</x:v>
      </x:c>
      <x:c r="H104" t="n">
        <x:f>IF(C104=0,"",IF(C104=1,F104,_xlfn.AGGREGATE(15,6,(Test_Runs!$H$2:$H$144/((Test_Runs!$B$2:$B$144=A104)*(Test_Runs!$E$2:$E$144=B104))),1)))</x:f>
        <x:v>30</x:v>
      </x:c>
      <x:c r="I104" t="n">
        <x:f>IF(C104=0,"",IF(C104=1,F104,_xlfn.AGGREGATE(16,6,(Test_Runs!$H$2:$H$144/((Test_Runs!$B$2:$B$144=A104)*(Test_Runs!$E$2:$E$144=B104))),0.25)))</x:f>
        <x:v>30</x:v>
      </x:c>
      <x:c r="J104" t="n">
        <x:f>IF(C104=0,"",IF(C104=1,F104,_xlfn.AGGREGATE(12,6,(Test_Runs!$H$2:$H$144/((Test_Runs!$B$2:$B$144=A104)*(Test_Runs!$E$2:$E$144=B104))))))</x:f>
        <x:v>30</x:v>
      </x:c>
      <x:c r="K104" t="n">
        <x:f>IF(C104=0,"",IF(C104=1,F104,_xlfn.AGGREGATE(16,6,(Test_Runs!$H$2:$H$144/((Test_Runs!$B$2:$B$144=A104)*(Test_Runs!$E$2:$E$144=B104))),0.75)))</x:f>
        <x:v>30</x:v>
      </x:c>
      <x:c r="L104" t="n">
        <x:f>IF(C104=0,"",_xlfn.MAXIFS(Test_Runs!$H:$H,Test_Runs!$B:$B,A104,Test_Runs!$E:$E,B104))</x:f>
        <x:v>30</x:v>
      </x:c>
      <x:c r="M104" t="n">
        <x:f>COUNTIFS(Test_Runs!$B:$B,A104,Test_Runs!$E:$E,B104,Test_Runs!$J:$J,"&gt;0")</x:f>
        <x:v>1</x:v>
      </x:c>
      <x:c r="N104" t="n">
        <x:f>SUMIFS(Test_Runs!$J:$J,Test_Runs!$B:$B,A104,Test_Runs!$E:$E,B104)</x:f>
        <x:v>0.18</x:v>
      </x:c>
      <x:c r="O104" t="n">
        <x:f>IF(M104=0,"",N104/M104)</x:f>
        <x:v>0.18</x:v>
      </x:c>
      <x:c r="P104" t="n">
        <x:f>COUNTIFS(Test_Runs!$B:$B,A104,Test_Runs!$E:$E,B104,Test_Runs!$S:$S,"&gt;0")</x:f>
        <x:v>0</x:v>
      </x:c>
      <x:c r="Q104" t="n">
        <x:f>SUMIFS(Test_Runs!$S:$S,Test_Runs!$B:$B,A104,Test_Runs!$E:$E,B104)</x:f>
        <x:v>0</x:v>
      </x:c>
      <x:c r="R104" t="str">
        <x:f>IF(P104=0,"",Q104/P104)</x:f>
      </x:c>
      <x:c r="S104" t="e">
        <x:f>COUNTIFS(Test_Runs!$B:$B,A104,Test_Runs!$E:$E,B104,Test_Runs!$O:$O,"&gt;0")</x:f>
        <x:v>#VALUE!</x:v>
      </x:c>
      <x:c r="T104" t="e">
        <x:f>SUMIFS(Test_Runs!$O:$O,Test_Runs!$B:$B,A104,Test_Runs!$E:$E,B104)</x:f>
        <x:v>#VALUE!</x:v>
      </x:c>
      <x:c r="U104" t="e">
        <x:f>IF(S104=0,"",T104/S104)</x:f>
        <x:v>#VALUE!</x:v>
      </x:c>
      <x:c r="V104" t="n">
        <x:f>IFERROR(INDEX(Benchmark_Versions!$I:$I,MATCH(B104,Benchmark_Versions!$A:$A,0)),1)</x:f>
        <x:v>1</x:v>
      </x:c>
      <x:c r="W104" t="n">
        <x:f>IF(F104="","",F104*V104)</x:f>
        <x:v>30</x:v>
      </x:c>
      <x:c r="X104" t="n">
        <x:f>IF(OR(W104="",W104=0,O104=""),"",O104/W104)</x:f>
        <x:v>0.006</x:v>
      </x:c>
      <x:c r="Y104" t="n">
        <x:f>IF(OR(W104="",O104="",O104=0),"",W104/O104)</x:f>
        <x:v>166.66666666666669</x:v>
      </x:c>
      <x:c r="Z104" t="str">
        <x:f>IF(OR(W104="",R104="",R104=0),"",W104/R104)</x:f>
      </x:c>
    </x:row>
    <x:row r="105" s="14" customFormat="1">
      <x:c r="A105" t="inlineStr">
        <x:is>
          <x:t xml:space="preserve">openai|gpt-5-6-terra|low|reasoning|fallback-na</x:t>
        </x:is>
      </x:c>
      <x:c r="B105" t="inlineStr">
        <x:is>
          <x:t xml:space="preserve">AA|v4.3.2</x:t>
        </x:is>
      </x:c>
      <x:c r="C105" t="n">
        <x:f>COUNTIFS(Test_Runs!$B:$B,A105,Test_Runs!$E:$E,B105,Test_Runs!$H:$H,"&gt;=0")</x:f>
        <x:v>1</x:v>
      </x:c>
      <x:c r="D105" t="n">
        <x:f>SUMIFS(Test_Runs!$H:$H,Test_Runs!$B:$B,A105,Test_Runs!$E:$E,B105)</x:f>
        <x:v>27</x:v>
      </x:c>
      <x:c r="E105" t="n">
        <x:f>SUMIFS(Test_Runs!$I:$I,Test_Runs!$B:$B,A105,Test_Runs!$E:$E,B105)</x:f>
        <x:v>729</x:v>
      </x:c>
      <x:c r="F105" t="n">
        <x:f>IF(C105=0,"",D105/C105)</x:f>
        <x:v>27</x:v>
      </x:c>
      <x:c r="G105" t="n">
        <x:f>IF(C105&lt;2,0,SQRT(MAX(0,(E105-(D105*D105/C105))/(C105-1))))</x:f>
        <x:v>0</x:v>
      </x:c>
      <x:c r="H105" t="n">
        <x:f>IF(C105=0,"",IF(C105=1,F105,_xlfn.AGGREGATE(15,6,(Test_Runs!$H$2:$H$144/((Test_Runs!$B$2:$B$144=A105)*(Test_Runs!$E$2:$E$144=B105))),1)))</x:f>
        <x:v>27</x:v>
      </x:c>
      <x:c r="I105" t="n">
        <x:f>IF(C105=0,"",IF(C105=1,F105,_xlfn.AGGREGATE(16,6,(Test_Runs!$H$2:$H$144/((Test_Runs!$B$2:$B$144=A105)*(Test_Runs!$E$2:$E$144=B105))),0.25)))</x:f>
        <x:v>27</x:v>
      </x:c>
      <x:c r="J105" t="n">
        <x:f>IF(C105=0,"",IF(C105=1,F105,_xlfn.AGGREGATE(12,6,(Test_Runs!$H$2:$H$144/((Test_Runs!$B$2:$B$144=A105)*(Test_Runs!$E$2:$E$144=B105))))))</x:f>
        <x:v>27</x:v>
      </x:c>
      <x:c r="K105" t="n">
        <x:f>IF(C105=0,"",IF(C105=1,F105,_xlfn.AGGREGATE(16,6,(Test_Runs!$H$2:$H$144/((Test_Runs!$B$2:$B$144=A105)*(Test_Runs!$E$2:$E$144=B105))),0.75)))</x:f>
        <x:v>27</x:v>
      </x:c>
      <x:c r="L105" t="n">
        <x:f>IF(C105=0,"",_xlfn.MAXIFS(Test_Runs!$H:$H,Test_Runs!$B:$B,A105,Test_Runs!$E:$E,B105))</x:f>
        <x:v>27</x:v>
      </x:c>
      <x:c r="M105" t="n">
        <x:f>COUNTIFS(Test_Runs!$B:$B,A105,Test_Runs!$E:$E,B105,Test_Runs!$J:$J,"&gt;0")</x:f>
        <x:v>1</x:v>
      </x:c>
      <x:c r="N105" t="n">
        <x:f>SUMIFS(Test_Runs!$J:$J,Test_Runs!$B:$B,A105,Test_Runs!$E:$E,B105)</x:f>
        <x:v>0.14</x:v>
      </x:c>
      <x:c r="O105" t="n">
        <x:f>IF(M105=0,"",N105/M105)</x:f>
        <x:v>0.14</x:v>
      </x:c>
      <x:c r="P105" t="n">
        <x:f>COUNTIFS(Test_Runs!$B:$B,A105,Test_Runs!$E:$E,B105,Test_Runs!$S:$S,"&gt;0")</x:f>
        <x:v>0</x:v>
      </x:c>
      <x:c r="Q105" t="n">
        <x:f>SUMIFS(Test_Runs!$S:$S,Test_Runs!$B:$B,A105,Test_Runs!$E:$E,B105)</x:f>
        <x:v>0</x:v>
      </x:c>
      <x:c r="R105" t="str">
        <x:f>IF(P105=0,"",Q105/P105)</x:f>
      </x:c>
      <x:c r="S105" t="e">
        <x:f>COUNTIFS(Test_Runs!$B:$B,A105,Test_Runs!$E:$E,B105,Test_Runs!$O:$O,"&gt;0")</x:f>
        <x:v>#VALUE!</x:v>
      </x:c>
      <x:c r="T105" t="e">
        <x:f>SUMIFS(Test_Runs!$O:$O,Test_Runs!$B:$B,A105,Test_Runs!$E:$E,B105)</x:f>
        <x:v>#VALUE!</x:v>
      </x:c>
      <x:c r="U105" t="e">
        <x:f>IF(S105=0,"",T105/S105)</x:f>
        <x:v>#VALUE!</x:v>
      </x:c>
      <x:c r="V105" t="n">
        <x:f>IFERROR(INDEX(Benchmark_Versions!$I:$I,MATCH(B105,Benchmark_Versions!$A:$A,0)),1)</x:f>
        <x:v>1</x:v>
      </x:c>
      <x:c r="W105" t="n">
        <x:f>IF(F105="","",F105*V105)</x:f>
        <x:v>27</x:v>
      </x:c>
      <x:c r="X105" t="n">
        <x:f>IF(OR(W105="",W105=0,O105=""),"",O105/W105)</x:f>
        <x:v>0.005185185185185186</x:v>
      </x:c>
      <x:c r="Y105" t="n">
        <x:f>IF(OR(W105="",O105="",O105=0),"",W105/O105)</x:f>
        <x:v>192.85714285714283</x:v>
      </x:c>
      <x:c r="Z105" t="str">
        <x:f>IF(OR(W105="",R105="",R105=0),"",W105/R105)</x:f>
      </x:c>
    </x:row>
    <x:row r="106" s="14" customFormat="1">
      <x:c r="A106" t="inlineStr">
        <x:is>
          <x:t xml:space="preserve">openai|gpt-5-6-terra|non-reasoning|nonreasoning|fallback-na</x:t>
        </x:is>
      </x:c>
      <x:c r="B106" t="inlineStr">
        <x:is>
          <x:t xml:space="preserve">AA|v4.3.2</x:t>
        </x:is>
      </x:c>
      <x:c r="C106" t="n">
        <x:f>COUNTIFS(Test_Runs!$B:$B,A106,Test_Runs!$E:$E,B106,Test_Runs!$H:$H,"&gt;=0")</x:f>
        <x:v>1</x:v>
      </x:c>
      <x:c r="D106" t="n">
        <x:f>SUMIFS(Test_Runs!$H:$H,Test_Runs!$B:$B,A106,Test_Runs!$E:$E,B106)</x:f>
        <x:v>21</x:v>
      </x:c>
      <x:c r="E106" t="n">
        <x:f>SUMIFS(Test_Runs!$I:$I,Test_Runs!$B:$B,A106,Test_Runs!$E:$E,B106)</x:f>
        <x:v>441</x:v>
      </x:c>
      <x:c r="F106" t="n">
        <x:f>IF(C106=0,"",D106/C106)</x:f>
        <x:v>21</x:v>
      </x:c>
      <x:c r="G106" t="n">
        <x:f>IF(C106&lt;2,0,SQRT(MAX(0,(E106-(D106*D106/C106))/(C106-1))))</x:f>
        <x:v>0</x:v>
      </x:c>
      <x:c r="H106" t="n">
        <x:f>IF(C106=0,"",IF(C106=1,F106,_xlfn.AGGREGATE(15,6,(Test_Runs!$H$2:$H$144/((Test_Runs!$B$2:$B$144=A106)*(Test_Runs!$E$2:$E$144=B106))),1)))</x:f>
        <x:v>21</x:v>
      </x:c>
      <x:c r="I106" t="n">
        <x:f>IF(C106=0,"",IF(C106=1,F106,_xlfn.AGGREGATE(16,6,(Test_Runs!$H$2:$H$144/((Test_Runs!$B$2:$B$144=A106)*(Test_Runs!$E$2:$E$144=B106))),0.25)))</x:f>
        <x:v>21</x:v>
      </x:c>
      <x:c r="J106" t="n">
        <x:f>IF(C106=0,"",IF(C106=1,F106,_xlfn.AGGREGATE(12,6,(Test_Runs!$H$2:$H$144/((Test_Runs!$B$2:$B$144=A106)*(Test_Runs!$E$2:$E$144=B106))))))</x:f>
        <x:v>21</x:v>
      </x:c>
      <x:c r="K106" t="n">
        <x:f>IF(C106=0,"",IF(C106=1,F106,_xlfn.AGGREGATE(16,6,(Test_Runs!$H$2:$H$144/((Test_Runs!$B$2:$B$144=A106)*(Test_Runs!$E$2:$E$144=B106))),0.75)))</x:f>
        <x:v>21</x:v>
      </x:c>
      <x:c r="L106" t="n">
        <x:f>IF(C106=0,"",_xlfn.MAXIFS(Test_Runs!$H:$H,Test_Runs!$B:$B,A106,Test_Runs!$E:$E,B106))</x:f>
        <x:v>21</x:v>
      </x:c>
      <x:c r="M106" t="n">
        <x:f>COUNTIFS(Test_Runs!$B:$B,A106,Test_Runs!$E:$E,B106,Test_Runs!$J:$J,"&gt;0")</x:f>
        <x:v>1</x:v>
      </x:c>
      <x:c r="N106" t="n">
        <x:f>SUMIFS(Test_Runs!$J:$J,Test_Runs!$B:$B,A106,Test_Runs!$E:$E,B106)</x:f>
        <x:v>0.14</x:v>
      </x:c>
      <x:c r="O106" t="n">
        <x:f>IF(M106=0,"",N106/M106)</x:f>
        <x:v>0.14</x:v>
      </x:c>
      <x:c r="P106" t="n">
        <x:f>COUNTIFS(Test_Runs!$B:$B,A106,Test_Runs!$E:$E,B106,Test_Runs!$S:$S,"&gt;0")</x:f>
        <x:v>0</x:v>
      </x:c>
      <x:c r="Q106" t="n">
        <x:f>SUMIFS(Test_Runs!$S:$S,Test_Runs!$B:$B,A106,Test_Runs!$E:$E,B106)</x:f>
        <x:v>0</x:v>
      </x:c>
      <x:c r="R106" t="str">
        <x:f>IF(P106=0,"",Q106/P106)</x:f>
      </x:c>
      <x:c r="S106" t="e">
        <x:f>COUNTIFS(Test_Runs!$B:$B,A106,Test_Runs!$E:$E,B106,Test_Runs!$O:$O,"&gt;0")</x:f>
        <x:v>#VALUE!</x:v>
      </x:c>
      <x:c r="T106" t="e">
        <x:f>SUMIFS(Test_Runs!$O:$O,Test_Runs!$B:$B,A106,Test_Runs!$E:$E,B106)</x:f>
        <x:v>#VALUE!</x:v>
      </x:c>
      <x:c r="U106" t="e">
        <x:f>IF(S106=0,"",T106/S106)</x:f>
        <x:v>#VALUE!</x:v>
      </x:c>
      <x:c r="V106" t="n">
        <x:f>IFERROR(INDEX(Benchmark_Versions!$I:$I,MATCH(B106,Benchmark_Versions!$A:$A,0)),1)</x:f>
        <x:v>1</x:v>
      </x:c>
      <x:c r="W106" t="n">
        <x:f>IF(F106="","",F106*V106)</x:f>
        <x:v>21</x:v>
      </x:c>
      <x:c r="X106" t="n">
        <x:f>IF(OR(W106="",W106=0,O106=""),"",O106/W106)</x:f>
        <x:v>0.006666666666666667</x:v>
      </x:c>
      <x:c r="Y106" t="n">
        <x:f>IF(OR(W106="",O106="",O106=0),"",W106/O106)</x:f>
        <x:v>149.99999999999997</x:v>
      </x:c>
      <x:c r="Z106" t="str">
        <x:f>IF(OR(W106="",R106="",R106=0),"",W106/R106)</x:f>
      </x:c>
    </x:row>
    <x:row r="107" s="14" customFormat="1">
      <x:c r="A107" t="inlineStr">
        <x:is>
          <x:t xml:space="preserve">anthropic|claude-haiku-5-5|xhigh|yes|fallback-na</x:t>
        </x:is>
      </x:c>
      <x:c r="B107" t="inlineStr">
        <x:is>
          <x:t xml:space="preserve">AA|v4.3.2</x:t>
        </x:is>
      </x:c>
      <x:c r="C107" t="n">
        <x:f>COUNTIFS(Test_Runs!$B:$B,A107,Test_Runs!$E:$E,B107,Test_Runs!$H:$H,"&gt;=0")</x:f>
        <x:v>1</x:v>
      </x:c>
      <x:c r="D107" t="n">
        <x:f>SUMIFS(Test_Runs!$H:$H,Test_Runs!$B:$B,A107,Test_Runs!$E:$E,B107)</x:f>
        <x:v>41</x:v>
      </x:c>
      <x:c r="E107" t="n">
        <x:f>SUMIFS(Test_Runs!$I:$I,Test_Runs!$B:$B,A107,Test_Runs!$E:$E,B107)</x:f>
        <x:v>1681</x:v>
      </x:c>
      <x:c r="F107" t="n">
        <x:f>IF(C107=0,"",D107/C107)</x:f>
        <x:v>41</x:v>
      </x:c>
      <x:c r="G107" t="n">
        <x:f>IF(C107&lt;2,0,SQRT(MAX(0,(E107-(D107*D107/C107))/(C107-1))))</x:f>
        <x:v>0</x:v>
      </x:c>
      <x:c r="H107" t="n">
        <x:f>IF(C107=0,"",IF(C107=1,F107,_xlfn.AGGREGATE(15,6,(Test_Runs!$H$2:$H$144/((Test_Runs!$B$2:$B$144=A107)*(Test_Runs!$E$2:$E$144=B107))),1)))</x:f>
        <x:v>41</x:v>
      </x:c>
      <x:c r="I107" t="n">
        <x:f>IF(C107=0,"",IF(C107=1,F107,_xlfn.AGGREGATE(16,6,(Test_Runs!$H$2:$H$144/((Test_Runs!$B$2:$B$144=A107)*(Test_Runs!$E$2:$E$144=B107))),0.25)))</x:f>
        <x:v>41</x:v>
      </x:c>
      <x:c r="J107" t="n">
        <x:f>IF(C107=0,"",IF(C107=1,F107,_xlfn.AGGREGATE(12,6,(Test_Runs!$H$2:$H$144/((Test_Runs!$B$2:$B$144=A107)*(Test_Runs!$E$2:$E$144=B107))))))</x:f>
        <x:v>41</x:v>
      </x:c>
      <x:c r="K107" t="n">
        <x:f>IF(C107=0,"",IF(C107=1,F107,_xlfn.AGGREGATE(16,6,(Test_Runs!$H$2:$H$144/((Test_Runs!$B$2:$B$144=A107)*(Test_Runs!$E$2:$E$144=B107))),0.75)))</x:f>
        <x:v>41</x:v>
      </x:c>
      <x:c r="L107" t="n">
        <x:f>IF(C107=0,"",_xlfn.MAXIFS(Test_Runs!$H:$H,Test_Runs!$B:$B,A107,Test_Runs!$E:$E,B107))</x:f>
        <x:v>41</x:v>
      </x:c>
      <x:c r="M107" t="n">
        <x:f>COUNTIFS(Test_Runs!$B:$B,A107,Test_Runs!$E:$E,B107,Test_Runs!$J:$J,"&gt;0")</x:f>
        <x:v>1</x:v>
      </x:c>
      <x:c r="N107" t="n">
        <x:f>SUMIFS(Test_Runs!$J:$J,Test_Runs!$B:$B,A107,Test_Runs!$E:$E,B107)</x:f>
        <x:v>0.12</x:v>
      </x:c>
      <x:c r="O107" t="n">
        <x:f>IF(M107=0,"",N107/M107)</x:f>
        <x:v>0.12</x:v>
      </x:c>
      <x:c r="P107" t="n">
        <x:f>COUNTIFS(Test_Runs!$B:$B,A107,Test_Runs!$E:$E,B107,Test_Runs!$S:$S,"&gt;0")</x:f>
        <x:v>0</x:v>
      </x:c>
      <x:c r="Q107" t="n">
        <x:f>SUMIFS(Test_Runs!$S:$S,Test_Runs!$B:$B,A107,Test_Runs!$E:$E,B107)</x:f>
        <x:v>0</x:v>
      </x:c>
      <x:c r="R107" t="str">
        <x:f>IF(P107=0,"",Q107/P107)</x:f>
      </x:c>
      <x:c r="S107" t="e">
        <x:f>COUNTIFS(Test_Runs!$B:$B,A107,Test_Runs!$E:$E,B107,Test_Runs!$O:$O,"&gt;0")</x:f>
        <x:v>#VALUE!</x:v>
      </x:c>
      <x:c r="T107" t="e">
        <x:f>SUMIFS(Test_Runs!$O:$O,Test_Runs!$B:$B,A107,Test_Runs!$E:$E,B107)</x:f>
        <x:v>#VALUE!</x:v>
      </x:c>
      <x:c r="U107" t="e">
        <x:f>IF(S107=0,"",T107/S107)</x:f>
        <x:v>#VALUE!</x:v>
      </x:c>
      <x:c r="V107" t="n">
        <x:f>IFERROR(INDEX(Benchmark_Versions!$I:$I,MATCH(B107,Benchmark_Versions!$A:$A,0)),1)</x:f>
        <x:v>1</x:v>
      </x:c>
      <x:c r="W107" t="n">
        <x:f>IF(F107="","",F107*V107)</x:f>
        <x:v>41</x:v>
      </x:c>
      <x:c r="X107" t="n">
        <x:f>IF(OR(W107="",W107=0,O107=""),"",O107/W107)</x:f>
        <x:v>0.002926829268292683</x:v>
      </x:c>
      <x:c r="Y107" t="n">
        <x:f>IF(OR(W107="",O107="",O107=0),"",W107/O107)</x:f>
        <x:v>341.6666666666667</x:v>
      </x:c>
      <x:c r="Z107" t="str">
        <x:f>IF(OR(W107="",R107="",R107=0),"",W107/R107)</x:f>
      </x:c>
    </x:row>
    <x:row r="108" s="14" customFormat="1">
      <x:c r="A108" t="inlineStr">
        <x:is>
          <x:t xml:space="preserve">anthropic|claude-haiku-5-5|high|yes|fallback-na</x:t>
        </x:is>
      </x:c>
      <x:c r="B108" t="inlineStr">
        <x:is>
          <x:t xml:space="preserve">AA|v4.3.2</x:t>
        </x:is>
      </x:c>
      <x:c r="C108" t="n">
        <x:f>COUNTIFS(Test_Runs!$B:$B,A108,Test_Runs!$E:$E,B108,Test_Runs!$H:$H,"&gt;=0")</x:f>
        <x:v>1</x:v>
      </x:c>
      <x:c r="D108" t="n">
        <x:f>SUMIFS(Test_Runs!$H:$H,Test_Runs!$B:$B,A108,Test_Runs!$E:$E,B108)</x:f>
        <x:v>38</x:v>
      </x:c>
      <x:c r="E108" t="n">
        <x:f>SUMIFS(Test_Runs!$I:$I,Test_Runs!$B:$B,A108,Test_Runs!$E:$E,B108)</x:f>
        <x:v>1444</x:v>
      </x:c>
      <x:c r="F108" t="n">
        <x:f>IF(C108=0,"",D108/C108)</x:f>
        <x:v>38</x:v>
      </x:c>
      <x:c r="G108" t="n">
        <x:f>IF(C108&lt;2,0,SQRT(MAX(0,(E108-(D108*D108/C108))/(C108-1))))</x:f>
        <x:v>0</x:v>
      </x:c>
      <x:c r="H108" t="n">
        <x:f>IF(C108=0,"",IF(C108=1,F108,_xlfn.AGGREGATE(15,6,(Test_Runs!$H$2:$H$144/((Test_Runs!$B$2:$B$144=A108)*(Test_Runs!$E$2:$E$144=B108))),1)))</x:f>
        <x:v>38</x:v>
      </x:c>
      <x:c r="I108" t="n">
        <x:f>IF(C108=0,"",IF(C108=1,F108,_xlfn.AGGREGATE(16,6,(Test_Runs!$H$2:$H$144/((Test_Runs!$B$2:$B$144=A108)*(Test_Runs!$E$2:$E$144=B108))),0.25)))</x:f>
        <x:v>38</x:v>
      </x:c>
      <x:c r="J108" t="n">
        <x:f>IF(C108=0,"",IF(C108=1,F108,_xlfn.AGGREGATE(12,6,(Test_Runs!$H$2:$H$144/((Test_Runs!$B$2:$B$144=A108)*(Test_Runs!$E$2:$E$144=B108))))))</x:f>
        <x:v>38</x:v>
      </x:c>
      <x:c r="K108" t="n">
        <x:f>IF(C108=0,"",IF(C108=1,F108,_xlfn.AGGREGATE(16,6,(Test_Runs!$H$2:$H$144/((Test_Runs!$B$2:$B$144=A108)*(Test_Runs!$E$2:$E$144=B108))),0.75)))</x:f>
        <x:v>38</x:v>
      </x:c>
      <x:c r="L108" t="n">
        <x:f>IF(C108=0,"",_xlfn.MAXIFS(Test_Runs!$H:$H,Test_Runs!$B:$B,A108,Test_Runs!$E:$E,B108))</x:f>
        <x:v>38</x:v>
      </x:c>
      <x:c r="M108" t="n">
        <x:f>COUNTIFS(Test_Runs!$B:$B,A108,Test_Runs!$E:$E,B108,Test_Runs!$J:$J,"&gt;0")</x:f>
        <x:v>1</x:v>
      </x:c>
      <x:c r="N108" t="n">
        <x:f>SUMIFS(Test_Runs!$J:$J,Test_Runs!$B:$B,A108,Test_Runs!$E:$E,B108)</x:f>
        <x:v>0.08</x:v>
      </x:c>
      <x:c r="O108" t="n">
        <x:f>IF(M108=0,"",N108/M108)</x:f>
        <x:v>0.08</x:v>
      </x:c>
      <x:c r="P108" t="n">
        <x:f>COUNTIFS(Test_Runs!$B:$B,A108,Test_Runs!$E:$E,B108,Test_Runs!$S:$S,"&gt;0")</x:f>
        <x:v>0</x:v>
      </x:c>
      <x:c r="Q108" t="n">
        <x:f>SUMIFS(Test_Runs!$S:$S,Test_Runs!$B:$B,A108,Test_Runs!$E:$E,B108)</x:f>
        <x:v>0</x:v>
      </x:c>
      <x:c r="R108" t="str">
        <x:f>IF(P108=0,"",Q108/P108)</x:f>
      </x:c>
      <x:c r="S108" t="e">
        <x:f>COUNTIFS(Test_Runs!$B:$B,A108,Test_Runs!$E:$E,B108,Test_Runs!$O:$O,"&gt;0")</x:f>
        <x:v>#VALUE!</x:v>
      </x:c>
      <x:c r="T108" t="e">
        <x:f>SUMIFS(Test_Runs!$O:$O,Test_Runs!$B:$B,A108,Test_Runs!$E:$E,B108)</x:f>
        <x:v>#VALUE!</x:v>
      </x:c>
      <x:c r="U108" t="e">
        <x:f>IF(S108=0,"",T108/S108)</x:f>
        <x:v>#VALUE!</x:v>
      </x:c>
      <x:c r="V108" t="n">
        <x:f>IFERROR(INDEX(Benchmark_Versions!$I:$I,MATCH(B108,Benchmark_Versions!$A:$A,0)),1)</x:f>
        <x:v>1</x:v>
      </x:c>
      <x:c r="W108" t="n">
        <x:f>IF(F108="","",F108*V108)</x:f>
        <x:v>38</x:v>
      </x:c>
      <x:c r="X108" t="n">
        <x:f>IF(OR(W108="",W108=0,O108=""),"",O108/W108)</x:f>
        <x:v>0.002105263157894737</x:v>
      </x:c>
      <x:c r="Y108" t="n">
        <x:f>IF(OR(W108="",O108="",O108=0),"",W108/O108)</x:f>
        <x:v>475</x:v>
      </x:c>
      <x:c r="Z108" t="str">
        <x:f>IF(OR(W108="",R108="",R108=0),"",W108/R108)</x:f>
      </x:c>
    </x:row>
    <x:row r="109" s="14" customFormat="1">
      <x:c r="A109" t="inlineStr">
        <x:is>
          <x:t xml:space="preserve">anthropic|claude-haiku-5-5|medium|yes|fallback-na</x:t>
        </x:is>
      </x:c>
      <x:c r="B109" t="inlineStr">
        <x:is>
          <x:t xml:space="preserve">AA|v4.3.2</x:t>
        </x:is>
      </x:c>
      <x:c r="C109" t="n">
        <x:f>COUNTIFS(Test_Runs!$B:$B,A109,Test_Runs!$E:$E,B109,Test_Runs!$H:$H,"&gt;=0")</x:f>
        <x:v>1</x:v>
      </x:c>
      <x:c r="D109" t="n">
        <x:f>SUMIFS(Test_Runs!$H:$H,Test_Runs!$B:$B,A109,Test_Runs!$E:$E,B109)</x:f>
        <x:v>34</x:v>
      </x:c>
      <x:c r="E109" t="n">
        <x:f>SUMIFS(Test_Runs!$I:$I,Test_Runs!$B:$B,A109,Test_Runs!$E:$E,B109)</x:f>
        <x:v>1156</x:v>
      </x:c>
      <x:c r="F109" t="n">
        <x:f>IF(C109=0,"",D109/C109)</x:f>
        <x:v>34</x:v>
      </x:c>
      <x:c r="G109" t="n">
        <x:f>IF(C109&lt;2,0,SQRT(MAX(0,(E109-(D109*D109/C109))/(C109-1))))</x:f>
        <x:v>0</x:v>
      </x:c>
      <x:c r="H109" t="n">
        <x:f>IF(C109=0,"",IF(C109=1,F109,_xlfn.AGGREGATE(15,6,(Test_Runs!$H$2:$H$144/((Test_Runs!$B$2:$B$144=A109)*(Test_Runs!$E$2:$E$144=B109))),1)))</x:f>
        <x:v>34</x:v>
      </x:c>
      <x:c r="I109" t="n">
        <x:f>IF(C109=0,"",IF(C109=1,F109,_xlfn.AGGREGATE(16,6,(Test_Runs!$H$2:$H$144/((Test_Runs!$B$2:$B$144=A109)*(Test_Runs!$E$2:$E$144=B109))),0.25)))</x:f>
        <x:v>34</x:v>
      </x:c>
      <x:c r="J109" t="n">
        <x:f>IF(C109=0,"",IF(C109=1,F109,_xlfn.AGGREGATE(12,6,(Test_Runs!$H$2:$H$144/((Test_Runs!$B$2:$B$144=A109)*(Test_Runs!$E$2:$E$144=B109))))))</x:f>
        <x:v>34</x:v>
      </x:c>
      <x:c r="K109" t="n">
        <x:f>IF(C109=0,"",IF(C109=1,F109,_xlfn.AGGREGATE(16,6,(Test_Runs!$H$2:$H$144/((Test_Runs!$B$2:$B$144=A109)*(Test_Runs!$E$2:$E$144=B109))),0.75)))</x:f>
        <x:v>34</x:v>
      </x:c>
      <x:c r="L109" t="n">
        <x:f>IF(C109=0,"",_xlfn.MAXIFS(Test_Runs!$H:$H,Test_Runs!$B:$B,A109,Test_Runs!$E:$E,B109))</x:f>
        <x:v>34</x:v>
      </x:c>
      <x:c r="M109" t="n">
        <x:f>COUNTIFS(Test_Runs!$B:$B,A109,Test_Runs!$E:$E,B109,Test_Runs!$J:$J,"&gt;0")</x:f>
        <x:v>1</x:v>
      </x:c>
      <x:c r="N109" t="n">
        <x:f>SUMIFS(Test_Runs!$J:$J,Test_Runs!$B:$B,A109,Test_Runs!$E:$E,B109)</x:f>
        <x:v>0.05</x:v>
      </x:c>
      <x:c r="O109" t="n">
        <x:f>IF(M109=0,"",N109/M109)</x:f>
        <x:v>0.05</x:v>
      </x:c>
      <x:c r="P109" t="n">
        <x:f>COUNTIFS(Test_Runs!$B:$B,A109,Test_Runs!$E:$E,B109,Test_Runs!$S:$S,"&gt;0")</x:f>
        <x:v>0</x:v>
      </x:c>
      <x:c r="Q109" t="n">
        <x:f>SUMIFS(Test_Runs!$S:$S,Test_Runs!$B:$B,A109,Test_Runs!$E:$E,B109)</x:f>
        <x:v>0</x:v>
      </x:c>
      <x:c r="R109" t="str">
        <x:f>IF(P109=0,"",Q109/P109)</x:f>
      </x:c>
      <x:c r="S109" t="e">
        <x:f>COUNTIFS(Test_Runs!$B:$B,A109,Test_Runs!$E:$E,B109,Test_Runs!$O:$O,"&gt;0")</x:f>
        <x:v>#VALUE!</x:v>
      </x:c>
      <x:c r="T109" t="e">
        <x:f>SUMIFS(Test_Runs!$O:$O,Test_Runs!$B:$B,A109,Test_Runs!$E:$E,B109)</x:f>
        <x:v>#VALUE!</x:v>
      </x:c>
      <x:c r="U109" t="e">
        <x:f>IF(S109=0,"",T109/S109)</x:f>
        <x:v>#VALUE!</x:v>
      </x:c>
      <x:c r="V109" t="n">
        <x:f>IFERROR(INDEX(Benchmark_Versions!$I:$I,MATCH(B109,Benchmark_Versions!$A:$A,0)),1)</x:f>
        <x:v>1</x:v>
      </x:c>
      <x:c r="W109" t="n">
        <x:f>IF(F109="","",F109*V109)</x:f>
        <x:v>34</x:v>
      </x:c>
      <x:c r="X109" t="n">
        <x:f>IF(OR(W109="",W109=0,O109=""),"",O109/W109)</x:f>
        <x:v>0.0014705882352941176</x:v>
      </x:c>
      <x:c r="Y109" t="n">
        <x:f>IF(OR(W109="",O109="",O109=0),"",W109/O109)</x:f>
        <x:v>680</x:v>
      </x:c>
      <x:c r="Z109" t="str">
        <x:f>IF(OR(W109="",R109="",R109=0),"",W109/R109)</x:f>
      </x:c>
    </x:row>
    <x:row r="110" s="14" customFormat="1">
      <x:c r="A110" t="inlineStr">
        <x:is>
          <x:t xml:space="preserve">anthropic|claude-haiku-5-5|low|yes|fallback-na</x:t>
        </x:is>
      </x:c>
      <x:c r="B110" t="inlineStr">
        <x:is>
          <x:t xml:space="preserve">AA|v4.3.2</x:t>
        </x:is>
      </x:c>
      <x:c r="C110" t="n">
        <x:f>COUNTIFS(Test_Runs!$B:$B,A110,Test_Runs!$E:$E,B110,Test_Runs!$H:$H,"&gt;=0")</x:f>
        <x:v>1</x:v>
      </x:c>
      <x:c r="D110" t="n">
        <x:f>SUMIFS(Test_Runs!$H:$H,Test_Runs!$B:$B,A110,Test_Runs!$E:$E,B110)</x:f>
        <x:v>29</x:v>
      </x:c>
      <x:c r="E110" t="n">
        <x:f>SUMIFS(Test_Runs!$I:$I,Test_Runs!$B:$B,A110,Test_Runs!$E:$E,B110)</x:f>
        <x:v>841</x:v>
      </x:c>
      <x:c r="F110" t="n">
        <x:f>IF(C110=0,"",D110/C110)</x:f>
        <x:v>29</x:v>
      </x:c>
      <x:c r="G110" t="n">
        <x:f>IF(C110&lt;2,0,SQRT(MAX(0,(E110-(D110*D110/C110))/(C110-1))))</x:f>
        <x:v>0</x:v>
      </x:c>
      <x:c r="H110" t="n">
        <x:f>IF(C110=0,"",IF(C110=1,F110,_xlfn.AGGREGATE(15,6,(Test_Runs!$H$2:$H$144/((Test_Runs!$B$2:$B$144=A110)*(Test_Runs!$E$2:$E$144=B110))),1)))</x:f>
        <x:v>29</x:v>
      </x:c>
      <x:c r="I110" t="n">
        <x:f>IF(C110=0,"",IF(C110=1,F110,_xlfn.AGGREGATE(16,6,(Test_Runs!$H$2:$H$144/((Test_Runs!$B$2:$B$144=A110)*(Test_Runs!$E$2:$E$144=B110))),0.25)))</x:f>
        <x:v>29</x:v>
      </x:c>
      <x:c r="J110" t="n">
        <x:f>IF(C110=0,"",IF(C110=1,F110,_xlfn.AGGREGATE(12,6,(Test_Runs!$H$2:$H$144/((Test_Runs!$B$2:$B$144=A110)*(Test_Runs!$E$2:$E$144=B110))))))</x:f>
        <x:v>29</x:v>
      </x:c>
      <x:c r="K110" t="n">
        <x:f>IF(C110=0,"",IF(C110=1,F110,_xlfn.AGGREGATE(16,6,(Test_Runs!$H$2:$H$144/((Test_Runs!$B$2:$B$144=A110)*(Test_Runs!$E$2:$E$144=B110))),0.75)))</x:f>
        <x:v>29</x:v>
      </x:c>
      <x:c r="L110" t="n">
        <x:f>IF(C110=0,"",_xlfn.MAXIFS(Test_Runs!$H:$H,Test_Runs!$B:$B,A110,Test_Runs!$E:$E,B110))</x:f>
        <x:v>29</x:v>
      </x:c>
      <x:c r="M110" t="n">
        <x:f>COUNTIFS(Test_Runs!$B:$B,A110,Test_Runs!$E:$E,B110,Test_Runs!$J:$J,"&gt;0")</x:f>
        <x:v>1</x:v>
      </x:c>
      <x:c r="N110" t="n">
        <x:f>SUMIFS(Test_Runs!$J:$J,Test_Runs!$B:$B,A110,Test_Runs!$E:$E,B110)</x:f>
        <x:v>0.02</x:v>
      </x:c>
      <x:c r="O110" t="n">
        <x:f>IF(M110=0,"",N110/M110)</x:f>
        <x:v>0.02</x:v>
      </x:c>
      <x:c r="P110" t="n">
        <x:f>COUNTIFS(Test_Runs!$B:$B,A110,Test_Runs!$E:$E,B110,Test_Runs!$S:$S,"&gt;0")</x:f>
        <x:v>0</x:v>
      </x:c>
      <x:c r="Q110" t="n">
        <x:f>SUMIFS(Test_Runs!$S:$S,Test_Runs!$B:$B,A110,Test_Runs!$E:$E,B110)</x:f>
        <x:v>0</x:v>
      </x:c>
      <x:c r="R110" t="str">
        <x:f>IF(P110=0,"",Q110/P110)</x:f>
      </x:c>
      <x:c r="S110" t="e">
        <x:f>COUNTIFS(Test_Runs!$B:$B,A110,Test_Runs!$E:$E,B110,Test_Runs!$O:$O,"&gt;0")</x:f>
        <x:v>#VALUE!</x:v>
      </x:c>
      <x:c r="T110" t="e">
        <x:f>SUMIFS(Test_Runs!$O:$O,Test_Runs!$B:$B,A110,Test_Runs!$E:$E,B110)</x:f>
        <x:v>#VALUE!</x:v>
      </x:c>
      <x:c r="U110" t="e">
        <x:f>IF(S110=0,"",T110/S110)</x:f>
        <x:v>#VALUE!</x:v>
      </x:c>
      <x:c r="V110" t="n">
        <x:f>IFERROR(INDEX(Benchmark_Versions!$I:$I,MATCH(B110,Benchmark_Versions!$A:$A,0)),1)</x:f>
        <x:v>1</x:v>
      </x:c>
      <x:c r="W110" t="n">
        <x:f>IF(F110="","",F110*V110)</x:f>
        <x:v>29</x:v>
      </x:c>
      <x:c r="X110" t="n">
        <x:f>IF(OR(W110="",W110=0,O110=""),"",O110/W110)</x:f>
        <x:v>0.0006896551724137932</x:v>
      </x:c>
      <x:c r="Y110" t="n">
        <x:f>IF(OR(W110="",O110="",O110=0),"",W110/O110)</x:f>
        <x:v>1450</x:v>
      </x:c>
      <x:c r="Z110" t="str">
        <x:f>IF(OR(W110="",R110="",R110=0),"",W110/R110)</x:f>
      </x:c>
    </x:row>
    <x:row r="111" s="14" customFormat="1">
      <x:c r="A111" t="inlineStr">
        <x:is>
          <x:t xml:space="preserve">google|gemini-3-1-pro-preview|not-stated|reasoning|fallback-na</x:t>
        </x:is>
      </x:c>
      <x:c r="B111" t="inlineStr">
        <x:is>
          <x:t xml:space="preserve">AA|v4.3.2</x:t>
        </x:is>
      </x:c>
      <x:c r="C111" t="n">
        <x:f>COUNTIFS(Test_Runs!$B:$B,A111,Test_Runs!$E:$E,B111,Test_Runs!$H:$H,"&gt;=0")</x:f>
        <x:v>1</x:v>
      </x:c>
      <x:c r="D111" t="n">
        <x:f>SUMIFS(Test_Runs!$H:$H,Test_Runs!$B:$B,A111,Test_Runs!$E:$E,B111)</x:f>
        <x:v>30</x:v>
      </x:c>
      <x:c r="E111" t="n">
        <x:f>SUMIFS(Test_Runs!$I:$I,Test_Runs!$B:$B,A111,Test_Runs!$E:$E,B111)</x:f>
        <x:v>900</x:v>
      </x:c>
      <x:c r="F111" t="n">
        <x:f>IF(C111=0,"",D111/C111)</x:f>
        <x:v>30</x:v>
      </x:c>
      <x:c r="G111" t="n">
        <x:f>IF(C111&lt;2,0,SQRT(MAX(0,(E111-(D111*D111/C111))/(C111-1))))</x:f>
        <x:v>0</x:v>
      </x:c>
      <x:c r="H111" t="n">
        <x:f>IF(C111=0,"",IF(C111=1,F111,_xlfn.AGGREGATE(15,6,(Test_Runs!$H$2:$H$144/((Test_Runs!$B$2:$B$144=A111)*(Test_Runs!$E$2:$E$144=B111))),1)))</x:f>
        <x:v>30</x:v>
      </x:c>
      <x:c r="I111" t="n">
        <x:f>IF(C111=0,"",IF(C111=1,F111,_xlfn.AGGREGATE(16,6,(Test_Runs!$H$2:$H$144/((Test_Runs!$B$2:$B$144=A111)*(Test_Runs!$E$2:$E$144=B111))),0.25)))</x:f>
        <x:v>30</x:v>
      </x:c>
      <x:c r="J111" t="n">
        <x:f>IF(C111=0,"",IF(C111=1,F111,_xlfn.AGGREGATE(12,6,(Test_Runs!$H$2:$H$144/((Test_Runs!$B$2:$B$144=A111)*(Test_Runs!$E$2:$E$144=B111))))))</x:f>
        <x:v>30</x:v>
      </x:c>
      <x:c r="K111" t="n">
        <x:f>IF(C111=0,"",IF(C111=1,F111,_xlfn.AGGREGATE(16,6,(Test_Runs!$H$2:$H$144/((Test_Runs!$B$2:$B$144=A111)*(Test_Runs!$E$2:$E$144=B111))),0.75)))</x:f>
        <x:v>30</x:v>
      </x:c>
      <x:c r="L111" t="n">
        <x:f>IF(C111=0,"",_xlfn.MAXIFS(Test_Runs!$H:$H,Test_Runs!$B:$B,A111,Test_Runs!$E:$E,B111))</x:f>
        <x:v>30</x:v>
      </x:c>
      <x:c r="M111" t="n">
        <x:f>COUNTIFS(Test_Runs!$B:$B,A111,Test_Runs!$E:$E,B111,Test_Runs!$J:$J,"&gt;0")</x:f>
        <x:v>1</x:v>
      </x:c>
      <x:c r="N111" t="n">
        <x:f>SUMIFS(Test_Runs!$J:$J,Test_Runs!$B:$B,A111,Test_Runs!$E:$E,B111)</x:f>
        <x:v>1.3</x:v>
      </x:c>
      <x:c r="O111" t="n">
        <x:f>IF(M111=0,"",N111/M111)</x:f>
        <x:v>1.3</x:v>
      </x:c>
      <x:c r="P111" t="n">
        <x:f>COUNTIFS(Test_Runs!$B:$B,A111,Test_Runs!$E:$E,B111,Test_Runs!$S:$S,"&gt;0")</x:f>
        <x:v>1</x:v>
      </x:c>
      <x:c r="Q111" t="n">
        <x:f>SUMIFS(Test_Runs!$S:$S,Test_Runs!$B:$B,A111,Test_Runs!$E:$E,B111)</x:f>
        <x:v>123.52</x:v>
      </x:c>
      <x:c r="R111" t="n">
        <x:f>IF(P111=0,"",Q111/P111)</x:f>
        <x:v>123.52</x:v>
      </x:c>
      <x:c r="S111" t="e">
        <x:f>COUNTIFS(Test_Runs!$B:$B,A111,Test_Runs!$E:$E,B111,Test_Runs!$O:$O,"&gt;0")</x:f>
        <x:v>#VALUE!</x:v>
      </x:c>
      <x:c r="T111" t="e">
        <x:f>SUMIFS(Test_Runs!$O:$O,Test_Runs!$B:$B,A111,Test_Runs!$E:$E,B111)</x:f>
        <x:v>#VALUE!</x:v>
      </x:c>
      <x:c r="U111" t="e">
        <x:f>IF(S111=0,"",T111/S111)</x:f>
        <x:v>#VALUE!</x:v>
      </x:c>
      <x:c r="V111" t="n">
        <x:f>IFERROR(INDEX(Benchmark_Versions!$I:$I,MATCH(B111,Benchmark_Versions!$A:$A,0)),1)</x:f>
        <x:v>1</x:v>
      </x:c>
      <x:c r="W111" t="n">
        <x:f>IF(F111="","",F111*V111)</x:f>
        <x:v>30</x:v>
      </x:c>
      <x:c r="X111" t="n">
        <x:f>IF(OR(W111="",W111=0,O111=""),"",O111/W111)</x:f>
        <x:v>0.043333333333333335</x:v>
      </x:c>
      <x:c r="Y111" t="n">
        <x:f>IF(OR(W111="",O111="",O111=0),"",W111/O111)</x:f>
        <x:v>23.076923076923077</x:v>
      </x:c>
      <x:c r="Z111" t="n">
        <x:f>IF(OR(W111="",R111="",R111=0),"",W111/R111)</x:f>
        <x:v>0.24287564766839378</x:v>
      </x:c>
    </x:row>
    <x:row r="112">
      <x:c r="A112" t="inlineStr">
        <x:is>
          <x:t xml:space="preserve">google|gemini-3-5-flash|high|reasoning|fallback-na</x:t>
        </x:is>
      </x:c>
      <x:c r="B112" t="inlineStr">
        <x:is>
          <x:t xml:space="preserve">AA|v4.3.2</x:t>
        </x:is>
      </x:c>
      <x:c r="C112" t="n">
        <x:f>COUNTIFS(Test_Runs!$B:$B,A112,Test_Runs!$E:$E,B112,Test_Runs!$H:$H,"&gt;=0")</x:f>
        <x:v>1</x:v>
      </x:c>
      <x:c r="D112" t="n">
        <x:f>SUMIFS(Test_Runs!$H:$H,Test_Runs!$B:$B,A112,Test_Runs!$E:$E,B112)</x:f>
        <x:v>33</x:v>
      </x:c>
      <x:c r="E112" t="n">
        <x:f>SUMIFS(Test_Runs!$I:$I,Test_Runs!$B:$B,A112,Test_Runs!$E:$E,B112)</x:f>
        <x:v>1089</x:v>
      </x:c>
      <x:c r="F112" t="n">
        <x:f>IF(C112=0,"",D112/C112)</x:f>
        <x:v>33</x:v>
      </x:c>
      <x:c r="G112" t="n">
        <x:f>IF(C112&lt;2,0,SQRT(MAX(0,(E112-(D112*D112/C112))/(C112-1))))</x:f>
        <x:v>0</x:v>
      </x:c>
      <x:c r="H112" t="n">
        <x:f>IF(C112=0,"",IF(C112=1,F112,_xlfn.AGGREGATE(15,6,(Test_Runs!$H$2:$H$144/((Test_Runs!$B$2:$B$144=A112)*(Test_Runs!$E$2:$E$144=B112))),1)))</x:f>
        <x:v>33</x:v>
      </x:c>
      <x:c r="I112" t="n">
        <x:f>IF(C112=0,"",IF(C112=1,F112,_xlfn.AGGREGATE(16,6,(Test_Runs!$H$2:$H$144/((Test_Runs!$B$2:$B$144=A112)*(Test_Runs!$E$2:$E$144=B112))),0.25)))</x:f>
        <x:v>33</x:v>
      </x:c>
      <x:c r="J112" t="n">
        <x:f>IF(C112=0,"",IF(C112=1,F112,_xlfn.AGGREGATE(12,6,(Test_Runs!$H$2:$H$144/((Test_Runs!$B$2:$B$144=A112)*(Test_Runs!$E$2:$E$144=B112))))))</x:f>
        <x:v>33</x:v>
      </x:c>
      <x:c r="K112" t="n">
        <x:f>IF(C112=0,"",IF(C112=1,F112,_xlfn.AGGREGATE(16,6,(Test_Runs!$H$2:$H$144/((Test_Runs!$B$2:$B$144=A112)*(Test_Runs!$E$2:$E$144=B112))),0.75)))</x:f>
        <x:v>33</x:v>
      </x:c>
      <x:c r="L112" t="n">
        <x:f>IF(C112=0,"",_xlfn.MAXIFS(Test_Runs!$H:$H,Test_Runs!$B:$B,A112,Test_Runs!$E:$E,B112))</x:f>
        <x:v>33</x:v>
      </x:c>
      <x:c r="M112" t="n">
        <x:f>COUNTIFS(Test_Runs!$B:$B,A112,Test_Runs!$E:$E,B112,Test_Runs!$J:$J,"&gt;0")</x:f>
        <x:v>1</x:v>
      </x:c>
      <x:c r="N112" t="n">
        <x:f>SUMIFS(Test_Runs!$J:$J,Test_Runs!$B:$B,A112,Test_Runs!$E:$E,B112)</x:f>
        <x:v>3.69</x:v>
      </x:c>
      <x:c r="O112" t="n">
        <x:f>IF(M112=0,"",N112/M112)</x:f>
        <x:v>3.69</x:v>
      </x:c>
      <x:c r="P112" t="n">
        <x:f>COUNTIFS(Test_Runs!$B:$B,A112,Test_Runs!$E:$E,B112,Test_Runs!$S:$S,"&gt;0")</x:f>
        <x:v>0</x:v>
      </x:c>
      <x:c r="Q112" t="n">
        <x:f>SUMIFS(Test_Runs!$S:$S,Test_Runs!$B:$B,A112,Test_Runs!$E:$E,B112)</x:f>
        <x:v>0</x:v>
      </x:c>
      <x:c r="R112" t="str">
        <x:f>IF(P112=0,"",Q112/P112)</x:f>
      </x:c>
      <x:c r="S112" t="e">
        <x:f>COUNTIFS(Test_Runs!$B:$B,A112,Test_Runs!$E:$E,B112,Test_Runs!$O:$O,"&gt;0")</x:f>
        <x:v>#VALUE!</x:v>
      </x:c>
      <x:c r="T112" t="e">
        <x:f>SUMIFS(Test_Runs!$O:$O,Test_Runs!$B:$B,A112,Test_Runs!$E:$E,B112)</x:f>
        <x:v>#VALUE!</x:v>
      </x:c>
      <x:c r="U112" t="e">
        <x:f>IF(S112=0,"",T112/S112)</x:f>
        <x:v>#VALUE!</x:v>
      </x:c>
      <x:c r="V112" t="n">
        <x:f>IFERROR(INDEX(Benchmark_Versions!$I:$I,MATCH(B112,Benchmark_Versions!$A:$A,0)),1)</x:f>
        <x:v>1</x:v>
      </x:c>
      <x:c r="W112" t="n">
        <x:f>IF(F112="","",F112*V112)</x:f>
        <x:v>33</x:v>
      </x:c>
      <x:c r="X112" t="n">
        <x:f>IF(OR(W112="",W112=0,O112=""),"",O112/W112)</x:f>
        <x:v>0.11181818181818182</x:v>
      </x:c>
      <x:c r="Y112" t="n">
        <x:f>IF(OR(W112="",O112="",O112=0),"",W112/O112)</x:f>
        <x:v>8.94308943089431</x:v>
      </x:c>
      <x:c r="Z112" t="str">
        <x:f>IF(OR(W112="",R112="",R112=0),"",W112/R112)</x:f>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72" style="14" customWidth="1"/>
    <x:col min="7" max="7" width="24" style="14" customWidth="1"/>
  </x:cols>
  <x:sheetData>
    <x:row r="1">
      <x:c r="A1" s="6" t="inlineStr">
        <x:is>
          <x:t xml:space="preserve">benchmark_version_key</x:t>
        </x:is>
      </x:c>
      <x:c r="B1" s="6" t="inlineStr">
        <x:is>
          <x:t xml:space="preserve">baseline_class</x:t>
        </x:is>
      </x:c>
      <x:c r="C1" s="6" t="inlineStr">
        <x:is>
          <x:t xml:space="preserve">target_points</x:t>
        </x:is>
      </x:c>
      <x:c r="D1" s="6" t="inlineStr">
        <x:is>
          <x:t xml:space="preserve">anchor_family</x:t>
        </x:is>
      </x:c>
      <x:c r="E1" s="6" t="inlineStr">
        <x:is>
          <x:t xml:space="preserve">anchor_effort</x:t>
        </x:is>
      </x:c>
      <x:c r="F1" s="6" t="inlineStr">
        <x:is>
          <x:t xml:space="preserve">rationale</x:t>
        </x:is>
      </x:c>
      <x:c r="G1" s="6" t="inlineStr">
        <x:is>
          <x:t xml:space="preserve">editable</x:t>
        </x:is>
      </x:c>
    </x:row>
    <x:row r="2">
      <x:c r="A2" t="inlineStr">
        <x:is>
          <x:t xml:space="preserve">AA|v4.3.2</x:t>
        </x:is>
      </x:c>
      <x:c r="B2" t="inlineStr">
        <x:is>
          <x:t xml:space="preserve">low</x:t>
        </x:is>
      </x:c>
      <x:c r="C2" s="16" t="n">
        <x:v>30</x:v>
      </x:c>
      <x:c r="D2" s="16" t="inlineStr">
        <x:is>
          <x:t xml:space="preserve">GPT-6 Luna</x:t>
        </x:is>
      </x:c>
      <x:c r="E2" s="16" t="inlineStr">
        <x:is>
          <x:t xml:space="preserve">medium</x:t>
        </x:is>
      </x:c>
      <x:c r="F2" t="inlineStr">
        <x:is>
          <x:t xml:space="preserve">Usable general coding threshold around capable-mid tier.</x:t>
        </x:is>
      </x:c>
      <x:c r="G2" t="inlineStr">
        <x:is>
          <x:t xml:space="preserve">yes</x:t>
        </x:is>
      </x:c>
    </x:row>
    <x:row r="3">
      <x:c r="A3" t="inlineStr">
        <x:is>
          <x:t xml:space="preserve">AA|v4.3.2</x:t>
        </x:is>
      </x:c>
      <x:c r="B3" t="inlineStr">
        <x:is>
          <x:t xml:space="preserve">mid</x:t>
        </x:is>
      </x:c>
      <x:c r="C3" s="16" t="n">
        <x:v>40</x:v>
      </x:c>
      <x:c r="D3" s="16" t="inlineStr">
        <x:is>
          <x:t xml:space="preserve">Gemini 3.8 Flash</x:t>
        </x:is>
      </x:c>
      <x:c r="E3" s="16" t="inlineStr">
        <x:is>
          <x:t xml:space="preserve">medium</x:t>
        </x:is>
      </x:c>
      <x:c r="F3" t="inlineStr">
        <x:is>
          <x:t xml:space="preserve">Strong general threshold; cheap-but-limited models start failing here.</x:t>
        </x:is>
      </x:c>
      <x:c r="G3" t="inlineStr">
        <x:is>
          <x:t xml:space="preserve">yes</x:t>
        </x:is>
      </x:c>
    </x:row>
    <x:row r="4">
      <x:c r="A4" t="inlineStr">
        <x:is>
          <x:t xml:space="preserve">AA|v4.3.2</x:t>
        </x:is>
      </x:c>
      <x:c r="B4" t="inlineStr">
        <x:is>
          <x:t xml:space="preserve">mid-high</x:t>
        </x:is>
      </x:c>
      <x:c r="C4" s="16" t="n">
        <x:v>45</x:v>
      </x:c>
      <x:c r="D4" s="16" t="inlineStr">
        <x:is>
          <x:t xml:space="preserve">Muse Spark 1.3</x:t>
        </x:is>
      </x:c>
      <x:c r="E4" s="16" t="inlineStr">
        <x:is>
          <x:t xml:space="preserve">xhigh</x:t>
        </x:is>
      </x:c>
      <x:c r="F4" t="inlineStr">
        <x:is>
          <x:t xml:space="preserve">High capability while retaining practical speed/value.</x:t>
        </x:is>
      </x:c>
      <x:c r="G4" t="inlineStr">
        <x:is>
          <x:t xml:space="preserve">yes</x:t>
        </x:is>
      </x:c>
    </x:row>
    <x:row r="5">
      <x:c r="A5" t="inlineStr">
        <x:is>
          <x:t xml:space="preserve">AA|v4.3.2</x:t>
        </x:is>
      </x:c>
      <x:c r="B5" t="inlineStr">
        <x:is>
          <x:t xml:space="preserve">frontier</x:t>
        </x:is>
      </x:c>
      <x:c r="C5" s="16" t="n">
        <x:v>52</x:v>
      </x:c>
      <x:c r="D5" s="16" t="inlineStr">
        <x:is>
          <x:t xml:space="preserve">Claude Sonnet 5.5</x:t>
        </x:is>
      </x:c>
      <x:c r="E5" s="16" t="inlineStr">
        <x:is>
          <x:t xml:space="preserve">xhigh</x:t>
        </x:is>
      </x:c>
      <x:c r="F5" t="inlineStr">
        <x:is>
          <x:t xml:space="preserve">Frontier-lite threshold on current scale.</x:t>
        </x:is>
      </x:c>
      <x:c r="G5" t="inlineStr">
        <x:is>
          <x:t xml:space="preserve">yes</x:t>
        </x:is>
      </x:c>
    </x:row>
    <x:row r="6">
      <x:c r="A6" t="inlineStr">
        <x:is>
          <x:t xml:space="preserve">AA|v4.3.2</x:t>
        </x:is>
      </x:c>
      <x:c r="B6" t="inlineStr">
        <x:is>
          <x:t xml:space="preserve">example-50</x:t>
        </x:is>
      </x:c>
      <x:c r="C6" s="16" t="n">
        <x:v>50</x:v>
      </x:c>
      <x:c r="D6" s="16" t="str"/>
      <x:c r="E6" s="16" t="str"/>
      <x:c r="F6" t="inlineStr">
        <x:is>
          <x:t xml:space="preserve">Requested example target.</x:t>
        </x:is>
      </x:c>
      <x:c r="G6" t="inlineStr">
        <x:is>
          <x:t xml:space="preserve">yes</x:t>
        </x:is>
      </x:c>
    </x:row>
    <x:row r="7">
      <x:c r="A7" t="inlineStr">
        <x:is>
          <x:t xml:space="preserve">AA|v4.3.2</x:t>
        </x:is>
      </x:c>
      <x:c r="B7" t="inlineStr">
        <x:is>
          <x:t xml:space="preserve">example-65</x:t>
        </x:is>
      </x:c>
      <x:c r="C7" s="16" t="n">
        <x:v>65</x:v>
      </x:c>
      <x:c r="D7" s="16" t="str"/>
      <x:c r="E7" s="16" t="str"/>
      <x:c r="F7" t="inlineStr">
        <x:is>
          <x:t xml:space="preserve">Above current scale; retained for future leveled benchmarks.</x:t>
        </x:is>
      </x:c>
      <x:c r="G7" t="inlineStr">
        <x:is>
          <x:t xml:space="preserve">yes</x:t>
        </x:is>
      </x:c>
    </x:row>
    <x:row r="8">
      <x:c r="A8" t="inlineStr">
        <x:is>
          <x:t xml:space="preserve">AA|v4.3.2</x:t>
        </x:is>
      </x:c>
      <x:c r="B8" t="inlineStr">
        <x:is>
          <x:t xml:space="preserve">example-80</x:t>
        </x:is>
      </x:c>
      <x:c r="C8" s="16" t="n">
        <x:v>80</x:v>
      </x:c>
      <x:c r="D8" s="16" t="str"/>
      <x:c r="E8" s="16" t="str"/>
      <x:c r="F8" t="inlineStr">
        <x:is>
          <x:t xml:space="preserve">Above current scale; retained for future leveled benchmarks.</x:t>
        </x:is>
      </x:c>
      <x:c r="G8" t="inlineStr">
        <x:is>
          <x:t xml:space="preserve">yes</x:t>
        </x:is>
      </x:c>
    </x:row>
  </x:sheetData>
  <x:pageMargins left="0.7" right="0.7" top="0.75" bottom="0.75" header="0.3" footer="0.3"/>
</x:worksheet>
</file>

<file path=xl/worksheets/sheet22.xml><?xml version="1.0" encoding="utf-8"?>
<x:worksheet xmlns:x="http://schemas.openxmlformats.org/spreadsheetml/2006/main">
  <x:sheetFormatPr baseColWidth="8" defaultRowHeight="15"/>
  <x:cols>
    <x:col min="1" max="1" width="48" style="14" customWidth="1"/>
    <x:col min="2" max="2" width="48" style="14" customWidth="1"/>
    <x:col min="3" max="3" width="16" style="14" customWidth="1"/>
    <x:col min="4" max="4" width="16" style="14" customWidth="1"/>
    <x:col min="5" max="5" width="16" style="14" customWidth="1"/>
    <x:col min="6" max="6" width="16" style="14" customWidth="1"/>
    <x:col min="7" max="7" width="16" style="14" customWidth="1"/>
    <x:col min="8" max="8" width="16" style="14" customWidth="1"/>
    <x:col min="9" max="9" width="16" style="14" customWidth="1"/>
    <x:col min="10" max="10" width="16" style="14" customWidth="1"/>
    <x:col min="11" max="11" width="16" style="14" customWidth="1"/>
    <x:col min="12" max="12" width="16" style="14" customWidth="1"/>
    <x:col min="13" max="13" width="16" style="14" customWidth="1"/>
    <x:col min="14" max="14" width="16" style="14" customWidth="1"/>
    <x:col min="15" max="15" width="16" style="14" customWidth="1"/>
    <x:col min="16" max="16" width="16" style="14" customWidth="1"/>
    <x:col min="17" max="17" width="52" style="14" customWidth="1"/>
  </x:cols>
  <x:sheetData>
    <x:row r="1">
      <x:c r="A1" s="6" t="inlineStr">
        <x:is>
          <x:t xml:space="preserve">test_run_key</x:t>
        </x:is>
      </x:c>
      <x:c r="B1" s="6" t="inlineStr">
        <x:is>
          <x:t xml:space="preserve">model_variant_key</x:t>
        </x:is>
      </x:c>
      <x:c r="C1" s="6" t="inlineStr">
        <x:is>
          <x:t xml:space="preserve">benchmark_version_key</x:t>
        </x:is>
      </x:c>
      <x:c r="D1" s="6" t="inlineStr">
        <x:is>
          <x:t xml:space="preserve">raw_score</x:t>
        </x:is>
      </x:c>
      <x:c r="E1" s="6" t="inlineStr">
        <x:is>
          <x:t xml:space="preserve">level_factor</x:t>
        </x:is>
      </x:c>
      <x:c r="F1" s="6" t="inlineStr">
        <x:is>
          <x:t xml:space="preserve">levelled_score</x:t>
        </x:is>
      </x:c>
      <x:c r="G1" s="6" t="inlineStr">
        <x:is>
          <x:t xml:space="preserve">cost_task</x:t>
        </x:is>
      </x:c>
      <x:c r="H1" s="6" t="inlineStr">
        <x:is>
          <x:t xml:space="preserve">time_sec</x:t>
        </x:is>
      </x:c>
      <x:c r="I1" s="6" t="inlineStr">
        <x:is>
          <x:t xml:space="preserve">time_min</x:t>
        </x:is>
      </x:c>
      <x:c r="J1" s="6" t="inlineStr">
        <x:is>
          <x:t xml:space="preserve">speed_tps</x:t>
        </x:is>
      </x:c>
      <x:c r="K1" s="6" t="inlineStr">
        <x:is>
          <x:t xml:space="preserve">points_per_$</x:t>
        </x:is>
      </x:c>
      <x:c r="L1" s="6" t="inlineStr">
        <x:is>
          <x:t xml:space="preserve">$/point</x:t>
        </x:is>
      </x:c>
      <x:c r="M1" s="6" t="inlineStr">
        <x:is>
          <x:t xml:space="preserve">points_per_second</x:t>
        </x:is>
      </x:c>
      <x:c r="N1" s="6" t="inlineStr">
        <x:is>
          <x:t xml:space="preserve">abs_intel_norm</x:t>
        </x:is>
      </x:c>
      <x:c r="O1" s="6" t="inlineStr">
        <x:is>
          <x:t xml:space="preserve">abs_speed_norm</x:t>
        </x:is>
      </x:c>
      <x:c r="P1" s="6" t="inlineStr">
        <x:is>
          <x:t xml:space="preserve">cost_norm</x:t>
        </x:is>
      </x:c>
      <x:c r="Q1" s="6" t="inlineStr">
        <x:is>
          <x:t xml:space="preserve">notes</x:t>
        </x:is>
      </x:c>
    </x:row>
    <x:row r="2" s="14" customFormat="1">
      <x:c r="A2" t="inlineStr">
        <x:is>
          <x:t xml:space="preserve">openai|gpt-6-luna|non-reasoning|nonreasoning|fallback-na|aa-v4.3.2|snapshot-2026-09-28</x:t>
        </x:is>
      </x:c>
      <x:c r="B2" t="inlineStr">
        <x:is>
          <x:t xml:space="preserve">openai|gpt-6-luna|non-reasoning|nonreasoning|fallback-na</x:t>
        </x:is>
      </x:c>
      <x:c r="C2" t="inlineStr">
        <x:is>
          <x:t xml:space="preserve">AA|v4.3.2</x:t>
        </x:is>
      </x:c>
      <x:c r="D2" t="n">
        <x:v>18</x:v>
      </x:c>
      <x:c r="E2" t="n">
        <x:f>IFERROR(INDEX(Benchmark_Versions!$I:$I,MATCH(C2,Benchmark_Versions!$A:$A,0)),1)</x:f>
        <x:v>1</x:v>
      </x:c>
      <x:c r="F2" t="n">
        <x:f>IF(D2="","",D2*E2)</x:f>
        <x:v>18</x:v>
      </x:c>
      <x:c r="G2" t="n">
        <x:v>0.01</x:v>
      </x:c>
      <x:c r="H2" t="n">
        <x:v>25.35</x:v>
      </x:c>
      <x:c r="I2" t="n">
        <x:f>IF(H2="","",H2/60)</x:f>
        <x:v>0.42250000000000004</x:v>
      </x:c>
      <x:c r="J2" t="n">
        <x:v>144</x:v>
      </x:c>
      <x:c r="K2" t="n">
        <x:f>IF(OR(F2="",G2="",G2=0),"",F2/G2)</x:f>
        <x:v>1800</x:v>
      </x:c>
      <x:c r="L2" t="n">
        <x:f>IF(OR(F2="",F2=0,G2=""),"",G2/F2)</x:f>
        <x:v>0.0005555555555555556</x:v>
      </x:c>
      <x:c r="M2" t="n">
        <x:f>IF(OR(F2="",H2="",H2=0),"",F2/H2)</x:f>
        <x:v>0.7100591715976331</x:v>
      </x:c>
      <x:c r="N2" t="n">
        <x:f>IF(F2="","",F2/MAX($F$2:$F$144))</x:f>
        <x:v>0.3103448275862069</x:v>
      </x:c>
      <x:c r="O2" t="n">
        <x:f>IF(J2="","",J2/MAX($J$2:$J$144))</x:f>
        <x:v>0.4630225080385852</x:v>
      </x:c>
      <x:c r="P2" t="n">
        <x:f>IF(G2="","",_xlfn.MINIFS($G$2:$G$144,$G$2:$G$144,"&gt;0")/G2)</x:f>
        <x:v>0.44999999999999996</x:v>
      </x:c>
      <x:c r="Q2" t="inlineStr">
        <x:is>
          <x:t xml:space="preserve">Formula-derived; missing raw fields remain blank.</x:t>
        </x:is>
      </x:c>
    </x:row>
    <x:row r="3">
      <x:c r="A3" t="inlineStr">
        <x:is>
          <x:t xml:space="preserve">openai|gpt-6-luna|low|reasoning|fallback-na|aa-v4.3.2|snapshot-2026-09-28</x:t>
        </x:is>
      </x:c>
      <x:c r="B3" t="inlineStr">
        <x:is>
          <x:t xml:space="preserve">openai|gpt-6-luna|low|reasoning|fallback-na</x:t>
        </x:is>
      </x:c>
      <x:c r="C3" t="inlineStr">
        <x:is>
          <x:t xml:space="preserve">AA|v4.3.2</x:t>
        </x:is>
      </x:c>
      <x:c r="D3" t="n">
        <x:v>21</x:v>
      </x:c>
      <x:c r="E3" t="n">
        <x:f>IFERROR(INDEX(Benchmark_Versions!$I:$I,MATCH(C3,Benchmark_Versions!$A:$A,0)),1)</x:f>
        <x:v>1</x:v>
      </x:c>
      <x:c r="F3" t="n">
        <x:f>IF(D3="","",D3*E3)</x:f>
        <x:v>21</x:v>
      </x:c>
      <x:c r="G3" t="n">
        <x:v>0.0045</x:v>
      </x:c>
      <x:c r="H3" t="n">
        <x:v>14.13</x:v>
      </x:c>
      <x:c r="I3" t="n">
        <x:f>IF(H3="","",H3/60)</x:f>
        <x:v>0.23550000000000001</x:v>
      </x:c>
      <x:c r="J3" t="n">
        <x:v>145</x:v>
      </x:c>
      <x:c r="K3" t="n">
        <x:f>IF(OR(F3="",G3="",G3=0),"",F3/G3)</x:f>
        <x:v>4666.666666666667</x:v>
      </x:c>
      <x:c r="L3" t="n">
        <x:f>IF(OR(F3="",F3=0,G3=""),"",G3/F3)</x:f>
        <x:v>0.00021428571428571427</x:v>
      </x:c>
      <x:c r="M3" t="n">
        <x:f>IF(OR(F3="",H3="",H3=0),"",F3/H3)</x:f>
        <x:v>1.4861995753715498</x:v>
      </x:c>
      <x:c r="N3" t="n">
        <x:f>IF(F3="","",F3/MAX($F$2:$F$144))</x:f>
        <x:v>0.3620689655172414</x:v>
      </x:c>
      <x:c r="O3" t="n">
        <x:f>IF(J3="","",J3/MAX($J$2:$J$144))</x:f>
        <x:v>0.4662379421221865</x:v>
      </x:c>
      <x:c r="P3" t="n">
        <x:f>IF(G3="","",_xlfn.MINIFS($G$2:$G$144,$G$2:$G$144,"&gt;0")/G3)</x:f>
        <x:v>1</x:v>
      </x:c>
      <x:c r="Q3" t="inlineStr">
        <x:is>
          <x:t xml:space="preserve">Formula-derived; missing raw fields remain blank.</x:t>
        </x:is>
      </x:c>
    </x:row>
    <x:row r="4">
      <x:c r="A4" t="inlineStr">
        <x:is>
          <x:t xml:space="preserve">openai|gpt-6-luna|medium|reasoning|fallback-na|aa-v4.3.2|snapshot-2026-09-28</x:t>
        </x:is>
      </x:c>
      <x:c r="B4" t="inlineStr">
        <x:is>
          <x:t xml:space="preserve">openai|gpt-6-luna|medium|reasoning|fallback-na</x:t>
        </x:is>
      </x:c>
      <x:c r="C4" t="inlineStr">
        <x:is>
          <x:t xml:space="preserve">AA|v4.3.2</x:t>
        </x:is>
      </x:c>
      <x:c r="D4" t="n">
        <x:v>29</x:v>
      </x:c>
      <x:c r="E4" t="n">
        <x:f>IFERROR(INDEX(Benchmark_Versions!$I:$I,MATCH(C4,Benchmark_Versions!$A:$A,0)),1)</x:f>
        <x:v>1</x:v>
      </x:c>
      <x:c r="F4" t="n">
        <x:f>IF(D4="","",D4*E4)</x:f>
        <x:v>29</x:v>
      </x:c>
      <x:c r="G4" t="n">
        <x:v>0.02</x:v>
      </x:c>
      <x:c r="I4" t="str">
        <x:f>IF(H4="","",H4/60)</x:f>
      </x:c>
      <x:c r="K4" t="n">
        <x:f>IF(OR(F4="",G4="",G4=0),"",F4/G4)</x:f>
        <x:v>1450</x:v>
      </x:c>
      <x:c r="L4" t="n">
        <x:f>IF(OR(F4="",F4=0,G4=""),"",G4/F4)</x:f>
        <x:v>0.0006896551724137932</x:v>
      </x:c>
      <x:c r="M4" t="str">
        <x:f>IF(OR(F4="",H4="",H4=0),"",F4/H4)</x:f>
      </x:c>
      <x:c r="N4" t="n">
        <x:f>IF(F4="","",F4/MAX($F$2:$F$144))</x:f>
        <x:v>0.5</x:v>
      </x:c>
      <x:c r="O4" t="str">
        <x:f>IF(J4="","",J4/MAX($J$2:$J$144))</x:f>
      </x:c>
      <x:c r="P4" t="n">
        <x:f>IF(G4="","",_xlfn.MINIFS($G$2:$G$144,$G$2:$G$144,"&gt;0")/G4)</x:f>
        <x:v>0.22499999999999998</x:v>
      </x:c>
      <x:c r="Q4" t="inlineStr">
        <x:is>
          <x:t xml:space="preserve">Formula-derived; missing raw fields remain blank.</x:t>
        </x:is>
      </x:c>
    </x:row>
    <x:row r="5">
      <x:c r="A5" t="inlineStr">
        <x:is>
          <x:t xml:space="preserve">openai|gpt-6-luna|high|reasoning|fallback-na|aa-v4.3.2|snapshot-2026-09-28</x:t>
        </x:is>
      </x:c>
      <x:c r="B5" t="inlineStr">
        <x:is>
          <x:t xml:space="preserve">openai|gpt-6-luna|high|reasoning|fallback-na</x:t>
        </x:is>
      </x:c>
      <x:c r="C5" t="inlineStr">
        <x:is>
          <x:t xml:space="preserve">AA|v4.3.2</x:t>
        </x:is>
      </x:c>
      <x:c r="D5" t="n">
        <x:v>32</x:v>
      </x:c>
      <x:c r="E5" t="n">
        <x:f>IFERROR(INDEX(Benchmark_Versions!$I:$I,MATCH(C5,Benchmark_Versions!$A:$A,0)),1)</x:f>
        <x:v>1</x:v>
      </x:c>
      <x:c r="F5" t="n">
        <x:f>IF(D5="","",D5*E5)</x:f>
        <x:v>32</x:v>
      </x:c>
      <x:c r="G5" t="n">
        <x:v>0.03</x:v>
      </x:c>
      <x:c r="H5" t="n">
        <x:v>130.19</x:v>
      </x:c>
      <x:c r="I5" t="n">
        <x:f>IF(H5="","",H5/60)</x:f>
        <x:v>2.1698333333333335</x:v>
      </x:c>
      <x:c r="J5" t="n">
        <x:v>152</x:v>
      </x:c>
      <x:c r="K5" t="n">
        <x:f>IF(OR(F5="",G5="",G5=0),"",F5/G5)</x:f>
        <x:v>1066.6666666666667</x:v>
      </x:c>
      <x:c r="L5" t="n">
        <x:f>IF(OR(F5="",F5=0,G5=""),"",G5/F5)</x:f>
        <x:v>0.0009375</x:v>
      </x:c>
      <x:c r="M5" t="n">
        <x:f>IF(OR(F5="",H5="",H5=0),"",F5/H5)</x:f>
        <x:v>0.2457946078807896</x:v>
      </x:c>
      <x:c r="N5" t="n">
        <x:f>IF(F5="","",F5/MAX($F$2:$F$144))</x:f>
        <x:v>0.5517241379310345</x:v>
      </x:c>
      <x:c r="O5" t="n">
        <x:f>IF(J5="","",J5/MAX($J$2:$J$144))</x:f>
        <x:v>0.4887459807073955</x:v>
      </x:c>
      <x:c r="P5" t="n">
        <x:f>IF(G5="","",_xlfn.MINIFS($G$2:$G$144,$G$2:$G$144,"&gt;0")/G5)</x:f>
        <x:v>0.15</x:v>
      </x:c>
      <x:c r="Q5" t="inlineStr">
        <x:is>
          <x:t xml:space="preserve">Formula-derived; missing raw fields remain blank.</x:t>
        </x:is>
      </x:c>
    </x:row>
    <x:row r="6">
      <x:c r="A6" t="inlineStr">
        <x:is>
          <x:t xml:space="preserve">openai|gpt-6-luna|xhigh|reasoning|fallback-na|aa-v4.3.2|snapshot-2026-09-28</x:t>
        </x:is>
      </x:c>
      <x:c r="B6" t="inlineStr">
        <x:is>
          <x:t xml:space="preserve">openai|gpt-6-luna|xhigh|reasoning|fallback-na</x:t>
        </x:is>
      </x:c>
      <x:c r="C6" t="inlineStr">
        <x:is>
          <x:t xml:space="preserve">AA|v4.3.2</x:t>
        </x:is>
      </x:c>
      <x:c r="D6" t="n">
        <x:v>34</x:v>
      </x:c>
      <x:c r="E6" t="n">
        <x:f>IFERROR(INDEX(Benchmark_Versions!$I:$I,MATCH(C6,Benchmark_Versions!$A:$A,0)),1)</x:f>
        <x:v>1</x:v>
      </x:c>
      <x:c r="F6" t="n">
        <x:f>IF(D6="","",D6*E6)</x:f>
        <x:v>34</x:v>
      </x:c>
      <x:c r="G6" t="n">
        <x:v>0.04</x:v>
      </x:c>
      <x:c r="H6" t="n">
        <x:v>174.23</x:v>
      </x:c>
      <x:c r="I6" t="n">
        <x:f>IF(H6="","",H6/60)</x:f>
        <x:v>2.903833333333333</x:v>
      </x:c>
      <x:c r="J6" t="n">
        <x:v>156</x:v>
      </x:c>
      <x:c r="K6" t="n">
        <x:f>IF(OR(F6="",G6="",G6=0),"",F6/G6)</x:f>
        <x:v>850</x:v>
      </x:c>
      <x:c r="L6" t="n">
        <x:f>IF(OR(F6="",F6=0,G6=""),"",G6/F6)</x:f>
        <x:v>0.0011764705882352942</x:v>
      </x:c>
      <x:c r="M6" t="n">
        <x:f>IF(OR(F6="",H6="",H6=0),"",F6/H6)</x:f>
        <x:v>0.19514434942317627</x:v>
      </x:c>
      <x:c r="N6" t="n">
        <x:f>IF(F6="","",F6/MAX($F$2:$F$144))</x:f>
        <x:v>0.5862068965517241</x:v>
      </x:c>
      <x:c r="O6" t="n">
        <x:f>IF(J6="","",J6/MAX($J$2:$J$144))</x:f>
        <x:v>0.5016077170418006</x:v>
      </x:c>
      <x:c r="P6" t="n">
        <x:f>IF(G6="","",_xlfn.MINIFS($G$2:$G$144,$G$2:$G$144,"&gt;0")/G6)</x:f>
        <x:v>0.11249999999999999</x:v>
      </x:c>
      <x:c r="Q6" t="inlineStr">
        <x:is>
          <x:t xml:space="preserve">Formula-derived; missing raw fields remain blank.</x:t>
        </x:is>
      </x:c>
    </x:row>
    <x:row r="7">
      <x:c r="A7" t="inlineStr">
        <x:is>
          <x:t xml:space="preserve">openai|gpt-6-luna|max|reasoning|fallback-na|aa-v4.3.2|snapshot-2026-09-28</x:t>
        </x:is>
      </x:c>
      <x:c r="B7" t="inlineStr">
        <x:is>
          <x:t xml:space="preserve">openai|gpt-6-luna|max|reasoning|fallback-na</x:t>
        </x:is>
      </x:c>
      <x:c r="C7" t="inlineStr">
        <x:is>
          <x:t xml:space="preserve">AA|v4.3.2</x:t>
        </x:is>
      </x:c>
      <x:c r="D7" t="n">
        <x:v>37</x:v>
      </x:c>
      <x:c r="E7" t="n">
        <x:f>IFERROR(INDEX(Benchmark_Versions!$I:$I,MATCH(C7,Benchmark_Versions!$A:$A,0)),1)</x:f>
        <x:v>1</x:v>
      </x:c>
      <x:c r="F7" t="n">
        <x:f>IF(D7="","",D7*E7)</x:f>
        <x:v>37</x:v>
      </x:c>
      <x:c r="G7" t="n">
        <x:v>0.07000000000000001</x:v>
      </x:c>
      <x:c r="H7" t="n">
        <x:v>313.32</x:v>
      </x:c>
      <x:c r="I7" t="n">
        <x:f>IF(H7="","",H7/60)</x:f>
        <x:v>5.2219999999999995</x:v>
      </x:c>
      <x:c r="J7" t="n">
        <x:v>163</x:v>
      </x:c>
      <x:c r="K7" t="n">
        <x:f>IF(OR(F7="",G7="",G7=0),"",F7/G7)</x:f>
        <x:v>528.5714285714286</x:v>
      </x:c>
      <x:c r="L7" t="n">
        <x:f>IF(OR(F7="",F7=0,G7=""),"",G7/F7)</x:f>
        <x:v>0.001891891891891892</x:v>
      </x:c>
      <x:c r="M7" t="n">
        <x:f>IF(OR(F7="",H7="",H7=0),"",F7/H7)</x:f>
        <x:v>0.11809013149495723</x:v>
      </x:c>
      <x:c r="N7" t="n">
        <x:f>IF(F7="","",F7/MAX($F$2:$F$144))</x:f>
        <x:v>0.6379310344827587</x:v>
      </x:c>
      <x:c r="O7" t="n">
        <x:f>IF(J7="","",J7/MAX($J$2:$J$144))</x:f>
        <x:v>0.5241157556270096</x:v>
      </x:c>
      <x:c r="P7" t="n">
        <x:f>IF(G7="","",_xlfn.MINIFS($G$2:$G$144,$G$2:$G$144,"&gt;0")/G7)</x:f>
        <x:v>0.06428571428571428</x:v>
      </x:c>
      <x:c r="Q7" t="inlineStr">
        <x:is>
          <x:t xml:space="preserve">Formula-derived; missing raw fields remain blank.</x:t>
        </x:is>
      </x:c>
    </x:row>
    <x:row r="8">
      <x:c r="A8" t="inlineStr">
        <x:is>
          <x:t xml:space="preserve">openai|gpt-6-sol|non-reasoning|nonreasoning|fallback-na|aa-v4.3.2|snapshot-2026-09-28</x:t>
        </x:is>
      </x:c>
      <x:c r="B8" t="inlineStr">
        <x:is>
          <x:t xml:space="preserve">openai|gpt-6-sol|non-reasoning|nonreasoning|fallback-na</x:t>
        </x:is>
      </x:c>
      <x:c r="C8" t="inlineStr">
        <x:is>
          <x:t xml:space="preserve">AA|v4.3.2</x:t>
        </x:is>
      </x:c>
      <x:c r="D8" t="n">
        <x:v>28</x:v>
      </x:c>
      <x:c r="E8" t="n">
        <x:f>IFERROR(INDEX(Benchmark_Versions!$I:$I,MATCH(C8,Benchmark_Versions!$A:$A,0)),1)</x:f>
        <x:v>1</x:v>
      </x:c>
      <x:c r="F8" t="n">
        <x:f>IF(D8="","",D8*E8)</x:f>
        <x:v>28</x:v>
      </x:c>
      <x:c r="G8" t="n">
        <x:v>0.33</x:v>
      </x:c>
      <x:c r="H8" t="n">
        <x:v>61.89</x:v>
      </x:c>
      <x:c r="I8" t="n">
        <x:f>IF(H8="","",H8/60)</x:f>
        <x:v>1.0315</x:v>
      </x:c>
      <x:c r="J8" t="n">
        <x:v>79</x:v>
      </x:c>
      <x:c r="K8" t="n">
        <x:f>IF(OR(F8="",G8="",G8=0),"",F8/G8)</x:f>
        <x:v>84.84848484848484</x:v>
      </x:c>
      <x:c r="L8" t="n">
        <x:f>IF(OR(F8="",F8=0,G8=""),"",G8/F8)</x:f>
        <x:v>0.011785714285714287</x:v>
      </x:c>
      <x:c r="M8" t="n">
        <x:f>IF(OR(F8="",H8="",H8=0),"",F8/H8)</x:f>
        <x:v>0.45241557602197446</x:v>
      </x:c>
      <x:c r="N8" t="n">
        <x:f>IF(F8="","",F8/MAX($F$2:$F$144))</x:f>
        <x:v>0.4827586206896552</x:v>
      </x:c>
      <x:c r="O8" t="n">
        <x:f>IF(J8="","",J8/MAX($J$2:$J$144))</x:f>
        <x:v>0.2540192926045016</x:v>
      </x:c>
      <x:c r="P8" t="n">
        <x:f>IF(G8="","",_xlfn.MINIFS($G$2:$G$144,$G$2:$G$144,"&gt;0")/G8)</x:f>
        <x:v>0.013636363636363634</x:v>
      </x:c>
      <x:c r="Q8" t="inlineStr">
        <x:is>
          <x:t xml:space="preserve">Formula-derived; missing raw fields remain blank.</x:t>
        </x:is>
      </x:c>
    </x:row>
    <x:row r="9">
      <x:c r="A9" t="inlineStr">
        <x:is>
          <x:t xml:space="preserve">openai|gpt-6-sol|low|reasoning|fallback-na|aa-v4.3.2|snapshot-2026-09-28</x:t>
        </x:is>
      </x:c>
      <x:c r="B9" t="inlineStr">
        <x:is>
          <x:t xml:space="preserve">openai|gpt-6-sol|low|reasoning|fallback-na</x:t>
        </x:is>
      </x:c>
      <x:c r="C9" t="inlineStr">
        <x:is>
          <x:t xml:space="preserve">AA|v4.3.2</x:t>
        </x:is>
      </x:c>
      <x:c r="D9" t="n">
        <x:v>34</x:v>
      </x:c>
      <x:c r="E9" t="n">
        <x:f>IFERROR(INDEX(Benchmark_Versions!$I:$I,MATCH(C9,Benchmark_Versions!$A:$A,0)),1)</x:f>
        <x:v>1</x:v>
      </x:c>
      <x:c r="F9" t="n">
        <x:f>IF(D9="","",D9*E9)</x:f>
        <x:v>34</x:v>
      </x:c>
      <x:c r="G9" t="n">
        <x:v>0.13</x:v>
      </x:c>
      <x:c r="H9" t="n">
        <x:v>41.07</x:v>
      </x:c>
      <x:c r="I9" t="n">
        <x:f>IF(H9="","",H9/60)</x:f>
        <x:v>0.6845</x:v>
      </x:c>
      <x:c r="J9" t="n">
        <x:v>82</x:v>
      </x:c>
      <x:c r="K9" t="n">
        <x:f>IF(OR(F9="",G9="",G9=0),"",F9/G9)</x:f>
        <x:v>261.53846153846155</x:v>
      </x:c>
      <x:c r="L9" t="n">
        <x:f>IF(OR(F9="",F9=0,G9=""),"",G9/F9)</x:f>
        <x:v>0.003823529411764706</x:v>
      </x:c>
      <x:c r="M9" t="n">
        <x:f>IF(OR(F9="",H9="",H9=0),"",F9/H9)</x:f>
        <x:v>0.827854881908936</x:v>
      </x:c>
      <x:c r="N9" t="n">
        <x:f>IF(F9="","",F9/MAX($F$2:$F$144))</x:f>
        <x:v>0.5862068965517241</x:v>
      </x:c>
      <x:c r="O9" t="n">
        <x:f>IF(J9="","",J9/MAX($J$2:$J$144))</x:f>
        <x:v>0.26366559485530544</x:v>
      </x:c>
      <x:c r="P9" t="n">
        <x:f>IF(G9="","",_xlfn.MINIFS($G$2:$G$144,$G$2:$G$144,"&gt;0")/G9)</x:f>
        <x:v>0.03461538461538461</x:v>
      </x:c>
      <x:c r="Q9" t="inlineStr">
        <x:is>
          <x:t xml:space="preserve">Formula-derived; missing raw fields remain blank.</x:t>
        </x:is>
      </x:c>
    </x:row>
    <x:row r="10">
      <x:c r="A10" t="inlineStr">
        <x:is>
          <x:t xml:space="preserve">openai|gpt-6-sol|medium|reasoning|fallback-na|aa-v4.3.2|snapshot-2026-09-28</x:t>
        </x:is>
      </x:c>
      <x:c r="B10" t="inlineStr">
        <x:is>
          <x:t xml:space="preserve">openai|gpt-6-sol|medium|reasoning|fallback-na</x:t>
        </x:is>
      </x:c>
      <x:c r="C10" t="inlineStr">
        <x:is>
          <x:t xml:space="preserve">AA|v4.3.2</x:t>
        </x:is>
      </x:c>
      <x:c r="D10" t="n">
        <x:v>40</x:v>
      </x:c>
      <x:c r="E10" t="n">
        <x:f>IFERROR(INDEX(Benchmark_Versions!$I:$I,MATCH(C10,Benchmark_Versions!$A:$A,0)),1)</x:f>
        <x:v>1</x:v>
      </x:c>
      <x:c r="F10" t="n">
        <x:f>IF(D10="","",D10*E10)</x:f>
        <x:v>40</x:v>
      </x:c>
      <x:c r="G10" t="n">
        <x:v>0.25</x:v>
      </x:c>
      <x:c r="I10" t="str">
        <x:f>IF(H10="","",H10/60)</x:f>
      </x:c>
      <x:c r="K10" t="n">
        <x:f>IF(OR(F10="",G10="",G10=0),"",F10/G10)</x:f>
        <x:v>160</x:v>
      </x:c>
      <x:c r="L10" t="n">
        <x:f>IF(OR(F10="",F10=0,G10=""),"",G10/F10)</x:f>
        <x:v>0.00625</x:v>
      </x:c>
      <x:c r="M10" t="str">
        <x:f>IF(OR(F10="",H10="",H10=0),"",F10/H10)</x:f>
      </x:c>
      <x:c r="N10" t="n">
        <x:f>IF(F10="","",F10/MAX($F$2:$F$144))</x:f>
        <x:v>0.6896551724137931</x:v>
      </x:c>
      <x:c r="O10" t="str">
        <x:f>IF(J10="","",J10/MAX($J$2:$J$144))</x:f>
      </x:c>
      <x:c r="P10" t="n">
        <x:f>IF(G10="","",_xlfn.MINIFS($G$2:$G$144,$G$2:$G$144,"&gt;0")/G10)</x:f>
        <x:v>0.018</x:v>
      </x:c>
      <x:c r="Q10" t="inlineStr">
        <x:is>
          <x:t xml:space="preserve">Formula-derived; missing raw fields remain blank.</x:t>
        </x:is>
      </x:c>
    </x:row>
    <x:row r="11">
      <x:c r="A11" t="inlineStr">
        <x:is>
          <x:t xml:space="preserve">openai|gpt-6-sol|high|reasoning|fallback-na|aa-v4.3.2|snapshot-2026-09-28</x:t>
        </x:is>
      </x:c>
      <x:c r="B11" t="inlineStr">
        <x:is>
          <x:t xml:space="preserve">openai|gpt-6-sol|high|reasoning|fallback-na</x:t>
        </x:is>
      </x:c>
      <x:c r="C11" t="inlineStr">
        <x:is>
          <x:t xml:space="preserve">AA|v4.3.2</x:t>
        </x:is>
      </x:c>
      <x:c r="D11" t="n">
        <x:v>43</x:v>
      </x:c>
      <x:c r="E11" t="n">
        <x:f>IFERROR(INDEX(Benchmark_Versions!$I:$I,MATCH(C11,Benchmark_Versions!$A:$A,0)),1)</x:f>
        <x:v>1</x:v>
      </x:c>
      <x:c r="F11" t="n">
        <x:f>IF(D11="","",D11*E11)</x:f>
        <x:v>43</x:v>
      </x:c>
      <x:c r="G11" t="n">
        <x:v>0.37</x:v>
      </x:c>
      <x:c r="H11" t="n">
        <x:v>126.07</x:v>
      </x:c>
      <x:c r="I11" t="n">
        <x:f>IF(H11="","",H11/60)</x:f>
        <x:v>2.1011666666666664</x:v>
      </x:c>
      <x:c r="J11" t="n">
        <x:v>81</x:v>
      </x:c>
      <x:c r="K11" t="n">
        <x:f>IF(OR(F11="",G11="",G11=0),"",F11/G11)</x:f>
        <x:v>116.21621621621622</x:v>
      </x:c>
      <x:c r="L11" t="n">
        <x:f>IF(OR(F11="",F11=0,G11=""),"",G11/F11)</x:f>
        <x:v>0.008604651162790697</x:v>
      </x:c>
      <x:c r="M11" t="n">
        <x:f>IF(OR(F11="",H11="",H11=0),"",F11/H11)</x:f>
        <x:v>0.3410803521852939</x:v>
      </x:c>
      <x:c r="N11" t="n">
        <x:f>IF(F11="","",F11/MAX($F$2:$F$144))</x:f>
        <x:v>0.7413793103448276</x:v>
      </x:c>
      <x:c r="O11" t="n">
        <x:f>IF(J11="","",J11/MAX($J$2:$J$144))</x:f>
        <x:v>0.2604501607717042</x:v>
      </x:c>
      <x:c r="P11" t="n">
        <x:f>IF(G11="","",_xlfn.MINIFS($G$2:$G$144,$G$2:$G$144,"&gt;0")/G11)</x:f>
        <x:v>0.012162162162162161</x:v>
      </x:c>
      <x:c r="Q11" t="inlineStr">
        <x:is>
          <x:t xml:space="preserve">Formula-derived; missing raw fields remain blank.</x:t>
        </x:is>
      </x:c>
    </x:row>
    <x:row r="12">
      <x:c r="A12" t="inlineStr">
        <x:is>
          <x:t xml:space="preserve">openai|gpt-6-sol|xhigh|reasoning|fallback-na|aa-v4.3.2|snapshot-2026-09-28</x:t>
        </x:is>
      </x:c>
      <x:c r="B12" t="inlineStr">
        <x:is>
          <x:t xml:space="preserve">openai|gpt-6-sol|xhigh|reasoning|fallback-na</x:t>
        </x:is>
      </x:c>
      <x:c r="C12" t="inlineStr">
        <x:is>
          <x:t xml:space="preserve">AA|v4.3.2</x:t>
        </x:is>
      </x:c>
      <x:c r="D12" t="n">
        <x:v>44</x:v>
      </x:c>
      <x:c r="E12" t="n">
        <x:f>IFERROR(INDEX(Benchmark_Versions!$I:$I,MATCH(C12,Benchmark_Versions!$A:$A,0)),1)</x:f>
        <x:v>1</x:v>
      </x:c>
      <x:c r="F12" t="n">
        <x:f>IF(D12="","",D12*E12)</x:f>
        <x:v>44</x:v>
      </x:c>
      <x:c r="G12" t="n">
        <x:v>0.53</x:v>
      </x:c>
      <x:c r="H12" t="n">
        <x:v>199.13</x:v>
      </x:c>
      <x:c r="I12" t="n">
        <x:f>IF(H12="","",H12/60)</x:f>
        <x:v>3.318833333333333</x:v>
      </x:c>
      <x:c r="J12" t="n">
        <x:v>80</x:v>
      </x:c>
      <x:c r="K12" t="n">
        <x:f>IF(OR(F12="",G12="",G12=0),"",F12/G12)</x:f>
        <x:v>83.0188679245283</x:v>
      </x:c>
      <x:c r="L12" t="n">
        <x:f>IF(OR(F12="",F12=0,G12=""),"",G12/F12)</x:f>
        <x:v>0.012045454545454547</x:v>
      </x:c>
      <x:c r="M12" t="n">
        <x:f>IF(OR(F12="",H12="",H12=0),"",F12/H12)</x:f>
        <x:v>0.22096118113795007</x:v>
      </x:c>
      <x:c r="N12" t="n">
        <x:f>IF(F12="","",F12/MAX($F$2:$F$144))</x:f>
        <x:v>0.7586206896551724</x:v>
      </x:c>
      <x:c r="O12" t="n">
        <x:f>IF(J12="","",J12/MAX($J$2:$J$144))</x:f>
        <x:v>0.2572347266881029</x:v>
      </x:c>
      <x:c r="P12" t="n">
        <x:f>IF(G12="","",_xlfn.MINIFS($G$2:$G$144,$G$2:$G$144,"&gt;0")/G12)</x:f>
        <x:v>0.008490566037735847</x:v>
      </x:c>
      <x:c r="Q12" t="inlineStr">
        <x:is>
          <x:t xml:space="preserve">Formula-derived; missing raw fields remain blank.</x:t>
        </x:is>
      </x:c>
    </x:row>
    <x:row r="13">
      <x:c r="A13" t="inlineStr">
        <x:is>
          <x:t xml:space="preserve">openai|gpt-6-sol|max|reasoning|fallback-na|aa-v4.3.2|snapshot-2026-09-28</x:t>
        </x:is>
      </x:c>
      <x:c r="B13" t="inlineStr">
        <x:is>
          <x:t xml:space="preserve">openai|gpt-6-sol|max|reasoning|fallback-na</x:t>
        </x:is>
      </x:c>
      <x:c r="C13" t="inlineStr">
        <x:is>
          <x:t xml:space="preserve">AA|v4.3.2</x:t>
        </x:is>
      </x:c>
      <x:c r="D13" t="n">
        <x:v>48</x:v>
      </x:c>
      <x:c r="E13" t="n">
        <x:f>IFERROR(INDEX(Benchmark_Versions!$I:$I,MATCH(C13,Benchmark_Versions!$A:$A,0)),1)</x:f>
        <x:v>1</x:v>
      </x:c>
      <x:c r="F13" t="n">
        <x:f>IF(D13="","",D13*E13)</x:f>
        <x:v>48</x:v>
      </x:c>
      <x:c r="G13" t="n">
        <x:v>1.06</x:v>
      </x:c>
      <x:c r="H13" t="n">
        <x:v>348.35</x:v>
      </x:c>
      <x:c r="I13" t="n">
        <x:f>IF(H13="","",H13/60)</x:f>
        <x:v>5.805833333333334</x:v>
      </x:c>
      <x:c r="J13" t="n">
        <x:v>90</x:v>
      </x:c>
      <x:c r="K13" t="n">
        <x:f>IF(OR(F13="",G13="",G13=0),"",F13/G13)</x:f>
        <x:v>45.283018867924525</x:v>
      </x:c>
      <x:c r="L13" t="n">
        <x:f>IF(OR(F13="",F13=0,G13=""),"",G13/F13)</x:f>
        <x:v>0.022083333333333333</x:v>
      </x:c>
      <x:c r="M13" t="n">
        <x:f>IF(OR(F13="",H13="",H13=0),"",F13/H13)</x:f>
        <x:v>0.13779245012200372</x:v>
      </x:c>
      <x:c r="N13" t="n">
        <x:f>IF(F13="","",F13/MAX($F$2:$F$144))</x:f>
        <x:v>0.8275862068965517</x:v>
      </x:c>
      <x:c r="O13" t="n">
        <x:f>IF(J13="","",J13/MAX($J$2:$J$144))</x:f>
        <x:v>0.28938906752411575</x:v>
      </x:c>
      <x:c r="P13" t="n">
        <x:f>IF(G13="","",_xlfn.MINIFS($G$2:$G$144,$G$2:$G$144,"&gt;0")/G13)</x:f>
        <x:v>0.004245283018867924</x:v>
      </x:c>
      <x:c r="Q13" t="inlineStr">
        <x:is>
          <x:t xml:space="preserve">Formula-derived; missing raw fields remain blank.</x:t>
        </x:is>
      </x:c>
    </x:row>
    <x:row r="14">
      <x:c r="A14" t="inlineStr">
        <x:is>
          <x:t xml:space="preserve">openai|gpt-6-astra|low|reasoning|fallback-na|aa-v4.3.2|snapshot-2026-09-28</x:t>
        </x:is>
      </x:c>
      <x:c r="B14" t="inlineStr">
        <x:is>
          <x:t xml:space="preserve">openai|gpt-6-astra|low|reasoning|fallback-na</x:t>
        </x:is>
      </x:c>
      <x:c r="C14" t="inlineStr">
        <x:is>
          <x:t xml:space="preserve">AA|v4.3.2</x:t>
        </x:is>
      </x:c>
      <x:c r="D14" t="n">
        <x:v>46</x:v>
      </x:c>
      <x:c r="E14" t="n">
        <x:f>IFERROR(INDEX(Benchmark_Versions!$I:$I,MATCH(C14,Benchmark_Versions!$A:$A,0)),1)</x:f>
        <x:v>1</x:v>
      </x:c>
      <x:c r="F14" t="n">
        <x:f>IF(D14="","",D14*E14)</x:f>
        <x:v>46</x:v>
      </x:c>
      <x:c r="G14" t="n">
        <x:v>0.82</x:v>
      </x:c>
      <x:c r="H14" t="n">
        <x:v>84.98999999999999</x:v>
      </x:c>
      <x:c r="I14" t="n">
        <x:f>IF(H14="","",H14/60)</x:f>
        <x:v>1.4164999999999999</x:v>
      </x:c>
      <x:c r="J14" t="n">
        <x:v>52</x:v>
      </x:c>
      <x:c r="K14" t="n">
        <x:f>IF(OR(F14="",G14="",G14=0),"",F14/G14)</x:f>
        <x:v>56.09756097560976</x:v>
      </x:c>
      <x:c r="L14" t="n">
        <x:f>IF(OR(F14="",F14=0,G14=""),"",G14/F14)</x:f>
        <x:v>0.017826086956521738</x:v>
      </x:c>
      <x:c r="M14" t="n">
        <x:f>IF(OR(F14="",H14="",H14=0),"",F14/H14)</x:f>
        <x:v>0.5412401458995176</x:v>
      </x:c>
      <x:c r="N14" t="n">
        <x:f>IF(F14="","",F14/MAX($F$2:$F$144))</x:f>
        <x:v>0.7931034482758621</x:v>
      </x:c>
      <x:c r="O14" t="n">
        <x:f>IF(J14="","",J14/MAX($J$2:$J$144))</x:f>
        <x:v>0.16720257234726688</x:v>
      </x:c>
      <x:c r="P14" t="n">
        <x:f>IF(G14="","",_xlfn.MINIFS($G$2:$G$144,$G$2:$G$144,"&gt;0")/G14)</x:f>
        <x:v>0.00548780487804878</x:v>
      </x:c>
      <x:c r="Q14" t="inlineStr">
        <x:is>
          <x:t xml:space="preserve">Formula-derived; missing raw fields remain blank.</x:t>
        </x:is>
      </x:c>
    </x:row>
    <x:row r="15">
      <x:c r="A15" t="inlineStr">
        <x:is>
          <x:t xml:space="preserve">openai|gpt-6-astra|medium|reasoning|fallback-na|aa-v4.3.2|snapshot-2026-09-28</x:t>
        </x:is>
      </x:c>
      <x:c r="B15" t="inlineStr">
        <x:is>
          <x:t xml:space="preserve">openai|gpt-6-astra|medium|reasoning|fallback-na</x:t>
        </x:is>
      </x:c>
      <x:c r="C15" t="inlineStr">
        <x:is>
          <x:t xml:space="preserve">AA|v4.3.2</x:t>
        </x:is>
      </x:c>
      <x:c r="D15" t="n">
        <x:v>50</x:v>
      </x:c>
      <x:c r="E15" t="n">
        <x:f>IFERROR(INDEX(Benchmark_Versions!$I:$I,MATCH(C15,Benchmark_Versions!$A:$A,0)),1)</x:f>
        <x:v>1</x:v>
      </x:c>
      <x:c r="F15" t="n">
        <x:f>IF(D15="","",D15*E15)</x:f>
        <x:v>50</x:v>
      </x:c>
      <x:c r="G15" t="n">
        <x:v>1.54</x:v>
      </x:c>
      <x:c r="H15" t="n">
        <x:v>183.36</x:v>
      </x:c>
      <x:c r="I15" t="n">
        <x:f>IF(H15="","",H15/60)</x:f>
        <x:v>3.056</x:v>
      </x:c>
      <x:c r="J15" t="n">
        <x:v>52</x:v>
      </x:c>
      <x:c r="K15" t="n">
        <x:f>IF(OR(F15="",G15="",G15=0),"",F15/G15)</x:f>
        <x:v>32.467532467532465</x:v>
      </x:c>
      <x:c r="L15" t="n">
        <x:f>IF(OR(F15="",F15=0,G15=""),"",G15/F15)</x:f>
        <x:v>0.0308</x:v>
      </x:c>
      <x:c r="M15" t="n">
        <x:f>IF(OR(F15="",H15="",H15=0),"",F15/H15)</x:f>
        <x:v>0.27268760907504364</x:v>
      </x:c>
      <x:c r="N15" t="n">
        <x:f>IF(F15="","",F15/MAX($F$2:$F$144))</x:f>
        <x:v>0.8620689655172413</x:v>
      </x:c>
      <x:c r="O15" t="n">
        <x:f>IF(J15="","",J15/MAX($J$2:$J$144))</x:f>
        <x:v>0.16720257234726688</x:v>
      </x:c>
      <x:c r="P15" t="n">
        <x:f>IF(G15="","",_xlfn.MINIFS($G$2:$G$144,$G$2:$G$144,"&gt;0")/G15)</x:f>
        <x:v>0.0029220779220779218</x:v>
      </x:c>
      <x:c r="Q15" t="inlineStr">
        <x:is>
          <x:t xml:space="preserve">Formula-derived; missing raw fields remain blank.</x:t>
        </x:is>
      </x:c>
    </x:row>
    <x:row r="16">
      <x:c r="A16" t="inlineStr">
        <x:is>
          <x:t xml:space="preserve">openai|gpt-6-astra|high|reasoning|fallback-na|aa-v4.3.2|snapshot-2026-09-28</x:t>
        </x:is>
      </x:c>
      <x:c r="B16" t="inlineStr">
        <x:is>
          <x:t xml:space="preserve">openai|gpt-6-astra|high|reasoning|fallback-na</x:t>
        </x:is>
      </x:c>
      <x:c r="C16" t="inlineStr">
        <x:is>
          <x:t xml:space="preserve">AA|v4.3.2</x:t>
        </x:is>
      </x:c>
      <x:c r="D16" t="n">
        <x:v>51</x:v>
      </x:c>
      <x:c r="E16" t="n">
        <x:f>IFERROR(INDEX(Benchmark_Versions!$I:$I,MATCH(C16,Benchmark_Versions!$A:$A,0)),1)</x:f>
        <x:v>1</x:v>
      </x:c>
      <x:c r="F16" t="n">
        <x:f>IF(D16="","",D16*E16)</x:f>
        <x:v>51</x:v>
      </x:c>
      <x:c r="G16" t="n">
        <x:v>1.73</x:v>
      </x:c>
      <x:c r="H16" t="n">
        <x:v>227.58</x:v>
      </x:c>
      <x:c r="I16" t="n">
        <x:f>IF(H16="","",H16/60)</x:f>
        <x:v>3.793</x:v>
      </x:c>
      <x:c r="J16" t="n">
        <x:v>52</x:v>
      </x:c>
      <x:c r="K16" t="n">
        <x:f>IF(OR(F16="",G16="",G16=0),"",F16/G16)</x:f>
        <x:v>29.479768786127167</x:v>
      </x:c>
      <x:c r="L16" t="n">
        <x:f>IF(OR(F16="",F16=0,G16=""),"",G16/F16)</x:f>
        <x:v>0.03392156862745098</x:v>
      </x:c>
      <x:c r="M16" t="n">
        <x:f>IF(OR(F16="",H16="",H16=0),"",F16/H16)</x:f>
        <x:v>0.22409702082784075</x:v>
      </x:c>
      <x:c r="N16" t="n">
        <x:f>IF(F16="","",F16/MAX($F$2:$F$144))</x:f>
        <x:v>0.8793103448275862</x:v>
      </x:c>
      <x:c r="O16" t="n">
        <x:f>IF(J16="","",J16/MAX($J$2:$J$144))</x:f>
        <x:v>0.16720257234726688</x:v>
      </x:c>
      <x:c r="P16" t="n">
        <x:f>IF(G16="","",_xlfn.MINIFS($G$2:$G$144,$G$2:$G$144,"&gt;0")/G16)</x:f>
        <x:v>0.002601156069364162</x:v>
      </x:c>
      <x:c r="Q16" t="inlineStr">
        <x:is>
          <x:t xml:space="preserve">Formula-derived; missing raw fields remain blank.</x:t>
        </x:is>
      </x:c>
    </x:row>
    <x:row r="17">
      <x:c r="A17" t="inlineStr">
        <x:is>
          <x:t xml:space="preserve">openai|gpt-6-astra|xhigh|reasoning|fallback-na|aa-v4.3.2|snapshot-2026-09-28</x:t>
        </x:is>
      </x:c>
      <x:c r="B17" t="inlineStr">
        <x:is>
          <x:t xml:space="preserve">openai|gpt-6-astra|xhigh|reasoning|fallback-na</x:t>
        </x:is>
      </x:c>
      <x:c r="C17" t="inlineStr">
        <x:is>
          <x:t xml:space="preserve">AA|v4.3.2</x:t>
        </x:is>
      </x:c>
      <x:c r="D17" t="n">
        <x:v>52</x:v>
      </x:c>
      <x:c r="E17" t="n">
        <x:f>IFERROR(INDEX(Benchmark_Versions!$I:$I,MATCH(C17,Benchmark_Versions!$A:$A,0)),1)</x:f>
        <x:v>1</x:v>
      </x:c>
      <x:c r="F17" t="n">
        <x:f>IF(D17="","",D17*E17)</x:f>
        <x:v>52</x:v>
      </x:c>
      <x:c r="G17" t="n">
        <x:v>2.31</x:v>
      </x:c>
      <x:c r="H17" t="n">
        <x:v>310.88</x:v>
      </x:c>
      <x:c r="I17" t="n">
        <x:f>IF(H17="","",H17/60)</x:f>
        <x:v>5.181333333333333</x:v>
      </x:c>
      <x:c r="J17" t="n">
        <x:v>54</x:v>
      </x:c>
      <x:c r="K17" t="n">
        <x:f>IF(OR(F17="",G17="",G17=0),"",F17/G17)</x:f>
        <x:v>22.51082251082251</x:v>
      </x:c>
      <x:c r="L17" t="n">
        <x:f>IF(OR(F17="",F17=0,G17=""),"",G17/F17)</x:f>
        <x:v>0.044423076923076926</x:v>
      </x:c>
      <x:c r="M17" t="n">
        <x:f>IF(OR(F17="",H17="",H17=0),"",F17/H17)</x:f>
        <x:v>0.16726711271230058</x:v>
      </x:c>
      <x:c r="N17" t="n">
        <x:f>IF(F17="","",F17/MAX($F$2:$F$144))</x:f>
        <x:v>0.896551724137931</x:v>
      </x:c>
      <x:c r="O17" t="n">
        <x:f>IF(J17="","",J17/MAX($J$2:$J$144))</x:f>
        <x:v>0.17363344051446947</x:v>
      </x:c>
      <x:c r="P17" t="n">
        <x:f>IF(G17="","",_xlfn.MINIFS($G$2:$G$144,$G$2:$G$144,"&gt;0")/G17)</x:f>
        <x:v>0.0019480519480519478</x:v>
      </x:c>
      <x:c r="Q17" t="inlineStr">
        <x:is>
          <x:t xml:space="preserve">Formula-derived; missing raw fields remain blank.</x:t>
        </x:is>
      </x:c>
    </x:row>
    <x:row r="18">
      <x:c r="A18" t="inlineStr">
        <x:is>
          <x:t xml:space="preserve">openai|gpt-6-astra|max|reasoning|fallback-na|aa-v4.3.2|snapshot-2026-09-28</x:t>
        </x:is>
      </x:c>
      <x:c r="B18" t="inlineStr">
        <x:is>
          <x:t xml:space="preserve">openai|gpt-6-astra|max|reasoning|fallback-na</x:t>
        </x:is>
      </x:c>
      <x:c r="C18" t="inlineStr">
        <x:is>
          <x:t xml:space="preserve">AA|v4.3.2</x:t>
        </x:is>
      </x:c>
      <x:c r="D18" t="n">
        <x:v>53</x:v>
      </x:c>
      <x:c r="E18" t="n">
        <x:f>IFERROR(INDEX(Benchmark_Versions!$I:$I,MATCH(C18,Benchmark_Versions!$A:$A,0)),1)</x:f>
        <x:v>1</x:v>
      </x:c>
      <x:c r="F18" t="n">
        <x:f>IF(D18="","",D18*E18)</x:f>
        <x:v>53</x:v>
      </x:c>
      <x:c r="G18" t="n">
        <x:v>3.26</x:v>
      </x:c>
      <x:c r="H18" t="n">
        <x:v>424.31</x:v>
      </x:c>
      <x:c r="I18" t="n">
        <x:f>IF(H18="","",H18/60)</x:f>
        <x:v>7.071833333333333</x:v>
      </x:c>
      <x:c r="J18" t="n">
        <x:v>64</x:v>
      </x:c>
      <x:c r="K18" t="n">
        <x:f>IF(OR(F18="",G18="",G18=0),"",F18/G18)</x:f>
        <x:v>16.257668711656443</x:v>
      </x:c>
      <x:c r="L18" t="n">
        <x:f>IF(OR(F18="",F18=0,G18=""),"",G18/F18)</x:f>
        <x:v>0.061509433962264146</x:v>
      </x:c>
      <x:c r="M18" t="n">
        <x:f>IF(OR(F18="",H18="",H18=0),"",F18/H18)</x:f>
        <x:v>0.124908675261012</x:v>
      </x:c>
      <x:c r="N18" t="n">
        <x:f>IF(F18="","",F18/MAX($F$2:$F$144))</x:f>
        <x:v>0.9137931034482759</x:v>
      </x:c>
      <x:c r="O18" t="n">
        <x:f>IF(J18="","",J18/MAX($J$2:$J$144))</x:f>
        <x:v>0.2057877813504823</x:v>
      </x:c>
      <x:c r="P18" t="n">
        <x:f>IF(G18="","",_xlfn.MINIFS($G$2:$G$144,$G$2:$G$144,"&gt;0")/G18)</x:f>
        <x:v>0.0013803680981595093</x:v>
      </x:c>
      <x:c r="Q18" t="inlineStr">
        <x:is>
          <x:t xml:space="preserve">Formula-derived; missing raw fields remain blank.</x:t>
        </x:is>
      </x:c>
    </x:row>
    <x:row r="19">
      <x:c r="A19" t="inlineStr">
        <x:is>
          <x:t xml:space="preserve">openai|gpt-5.6-luna|non-reasoning|nonreasoning|fallback-na|aa-v4.3.2|snapshot-2026-09-28</x:t>
        </x:is>
      </x:c>
      <x:c r="B19" t="inlineStr">
        <x:is>
          <x:t xml:space="preserve">openai|gpt-5.6-luna|non-reasoning|nonreasoning|fallback-na</x:t>
        </x:is>
      </x:c>
      <x:c r="C19" t="inlineStr">
        <x:is>
          <x:t xml:space="preserve">AA|v4.3.2</x:t>
        </x:is>
      </x:c>
      <x:c r="D19" t="n">
        <x:v>16</x:v>
      </x:c>
      <x:c r="E19" t="n">
        <x:f>IFERROR(INDEX(Benchmark_Versions!$I:$I,MATCH(C19,Benchmark_Versions!$A:$A,0)),1)</x:f>
        <x:v>1</x:v>
      </x:c>
      <x:c r="F19" t="n">
        <x:f>IF(D19="","",D19*E19)</x:f>
        <x:v>16</x:v>
      </x:c>
      <x:c r="G19" t="n">
        <x:v>0.01</x:v>
      </x:c>
      <x:c r="I19" t="str">
        <x:f>IF(H19="","",H19/60)</x:f>
      </x:c>
      <x:c r="J19" t="n">
        <x:v>122</x:v>
      </x:c>
      <x:c r="K19" t="n">
        <x:f>IF(OR(F19="",G19="",G19=0),"",F19/G19)</x:f>
        <x:v>1600</x:v>
      </x:c>
      <x:c r="L19" t="n">
        <x:f>IF(OR(F19="",F19=0,G19=""),"",G19/F19)</x:f>
        <x:v>0.000625</x:v>
      </x:c>
      <x:c r="M19" t="str">
        <x:f>IF(OR(F19="",H19="",H19=0),"",F19/H19)</x:f>
      </x:c>
      <x:c r="N19" t="n">
        <x:f>IF(F19="","",F19/MAX($F$2:$F$144))</x:f>
        <x:v>0.27586206896551724</x:v>
      </x:c>
      <x:c r="O19" t="n">
        <x:f>IF(J19="","",J19/MAX($J$2:$J$144))</x:f>
        <x:v>0.39228295819935693</x:v>
      </x:c>
      <x:c r="P19" t="n">
        <x:f>IF(G19="","",_xlfn.MINIFS($G$2:$G$144,$G$2:$G$144,"&gt;0")/G19)</x:f>
        <x:v>0.44999999999999996</x:v>
      </x:c>
      <x:c r="Q19" t="inlineStr">
        <x:is>
          <x:t xml:space="preserve">Formula-derived; missing raw fields remain blank.</x:t>
        </x:is>
      </x:c>
    </x:row>
    <x:row r="20">
      <x:c r="A20" t="inlineStr">
        <x:is>
          <x:t xml:space="preserve">openai|gpt-5.6-luna|low|reasoning|fallback-na|aa-v4.3.2|snapshot-2026-09-28</x:t>
        </x:is>
      </x:c>
      <x:c r="B20" t="inlineStr">
        <x:is>
          <x:t xml:space="preserve">openai|gpt-5.6-luna|low|reasoning|fallback-na</x:t>
        </x:is>
      </x:c>
      <x:c r="C20" t="inlineStr">
        <x:is>
          <x:t xml:space="preserve">AA|v4.3.2</x:t>
        </x:is>
      </x:c>
      <x:c r="D20" t="n">
        <x:v>21</x:v>
      </x:c>
      <x:c r="E20" t="n">
        <x:f>IFERROR(INDEX(Benchmark_Versions!$I:$I,MATCH(C20,Benchmark_Versions!$A:$A,0)),1)</x:f>
        <x:v>1</x:v>
      </x:c>
      <x:c r="F20" t="n">
        <x:f>IF(D20="","",D20*E20)</x:f>
        <x:v>21</x:v>
      </x:c>
      <x:c r="G20" t="n">
        <x:v>0.01</x:v>
      </x:c>
      <x:c r="I20" t="str">
        <x:f>IF(H20="","",H20/60)</x:f>
      </x:c>
      <x:c r="J20" t="n">
        <x:v>117</x:v>
      </x:c>
      <x:c r="K20" t="n">
        <x:f>IF(OR(F20="",G20="",G20=0),"",F20/G20)</x:f>
        <x:v>2100</x:v>
      </x:c>
      <x:c r="L20" t="n">
        <x:f>IF(OR(F20="",F20=0,G20=""),"",G20/F20)</x:f>
        <x:v>0.0004761904761904762</x:v>
      </x:c>
      <x:c r="M20" t="str">
        <x:f>IF(OR(F20="",H20="",H20=0),"",F20/H20)</x:f>
      </x:c>
      <x:c r="N20" t="n">
        <x:f>IF(F20="","",F20/MAX($F$2:$F$144))</x:f>
        <x:v>0.3620689655172414</x:v>
      </x:c>
      <x:c r="O20" t="n">
        <x:f>IF(J20="","",J20/MAX($J$2:$J$144))</x:f>
        <x:v>0.3762057877813505</x:v>
      </x:c>
      <x:c r="P20" t="n">
        <x:f>IF(G20="","",_xlfn.MINIFS($G$2:$G$144,$G$2:$G$144,"&gt;0")/G20)</x:f>
        <x:v>0.44999999999999996</x:v>
      </x:c>
      <x:c r="Q20" t="inlineStr">
        <x:is>
          <x:t xml:space="preserve">Formula-derived; missing raw fields remain blank.</x:t>
        </x:is>
      </x:c>
    </x:row>
    <x:row r="21">
      <x:c r="A21" t="inlineStr">
        <x:is>
          <x:t xml:space="preserve">openai|gpt-5.6-luna|medium|reasoning|fallback-na|aa-v4.3.2|snapshot-2026-09-28</x:t>
        </x:is>
      </x:c>
      <x:c r="B21" t="inlineStr">
        <x:is>
          <x:t xml:space="preserve">openai|gpt-5.6-luna|medium|reasoning|fallback-na</x:t>
        </x:is>
      </x:c>
      <x:c r="C21" t="inlineStr">
        <x:is>
          <x:t xml:space="preserve">AA|v4.3.2</x:t>
        </x:is>
      </x:c>
      <x:c r="D21" t="n">
        <x:v>25</x:v>
      </x:c>
      <x:c r="E21" t="n">
        <x:f>IFERROR(INDEX(Benchmark_Versions!$I:$I,MATCH(C21,Benchmark_Versions!$A:$A,0)),1)</x:f>
        <x:v>1</x:v>
      </x:c>
      <x:c r="F21" t="n">
        <x:f>IF(D21="","",D21*E21)</x:f>
        <x:v>25</x:v>
      </x:c>
      <x:c r="G21" t="n">
        <x:v>0.02</x:v>
      </x:c>
      <x:c r="I21" t="str">
        <x:f>IF(H21="","",H21/60)</x:f>
      </x:c>
      <x:c r="J21" t="n">
        <x:v>120</x:v>
      </x:c>
      <x:c r="K21" t="n">
        <x:f>IF(OR(F21="",G21="",G21=0),"",F21/G21)</x:f>
        <x:v>1250</x:v>
      </x:c>
      <x:c r="L21" t="n">
        <x:f>IF(OR(F21="",F21=0,G21=""),"",G21/F21)</x:f>
        <x:v>0.0008</x:v>
      </x:c>
      <x:c r="M21" t="str">
        <x:f>IF(OR(F21="",H21="",H21=0),"",F21/H21)</x:f>
      </x:c>
      <x:c r="N21" t="n">
        <x:f>IF(F21="","",F21/MAX($F$2:$F$144))</x:f>
        <x:v>0.43103448275862066</x:v>
      </x:c>
      <x:c r="O21" t="n">
        <x:f>IF(J21="","",J21/MAX($J$2:$J$144))</x:f>
        <x:v>0.3858520900321543</x:v>
      </x:c>
      <x:c r="P21" t="n">
        <x:f>IF(G21="","",_xlfn.MINIFS($G$2:$G$144,$G$2:$G$144,"&gt;0")/G21)</x:f>
        <x:v>0.22499999999999998</x:v>
      </x:c>
      <x:c r="Q21" t="inlineStr">
        <x:is>
          <x:t xml:space="preserve">Formula-derived; missing raw fields remain blank.</x:t>
        </x:is>
      </x:c>
    </x:row>
    <x:row r="22">
      <x:c r="A22" t="inlineStr">
        <x:is>
          <x:t xml:space="preserve">openai|gpt-5.6-luna|high|reasoning|fallback-na|aa-v4.3.2|snapshot-2026-09-28</x:t>
        </x:is>
      </x:c>
      <x:c r="B22" t="inlineStr">
        <x:is>
          <x:t xml:space="preserve">openai|gpt-5.6-luna|high|reasoning|fallback-na</x:t>
        </x:is>
      </x:c>
      <x:c r="C22" t="inlineStr">
        <x:is>
          <x:t xml:space="preserve">AA|v4.3.2</x:t>
        </x:is>
      </x:c>
      <x:c r="D22" t="n">
        <x:v>32</x:v>
      </x:c>
      <x:c r="E22" t="n">
        <x:f>IFERROR(INDEX(Benchmark_Versions!$I:$I,MATCH(C22,Benchmark_Versions!$A:$A,0)),1)</x:f>
        <x:v>1</x:v>
      </x:c>
      <x:c r="F22" t="n">
        <x:f>IF(D22="","",D22*E22)</x:f>
        <x:v>32</x:v>
      </x:c>
      <x:c r="G22" t="n">
        <x:v>0.04</x:v>
      </x:c>
      <x:c r="I22" t="str">
        <x:f>IF(H22="","",H22/60)</x:f>
      </x:c>
      <x:c r="J22" t="n">
        <x:v>117</x:v>
      </x:c>
      <x:c r="K22" t="n">
        <x:f>IF(OR(F22="",G22="",G22=0),"",F22/G22)</x:f>
        <x:v>800</x:v>
      </x:c>
      <x:c r="L22" t="n">
        <x:f>IF(OR(F22="",F22=0,G22=""),"",G22/F22)</x:f>
        <x:v>0.00125</x:v>
      </x:c>
      <x:c r="M22" t="str">
        <x:f>IF(OR(F22="",H22="",H22=0),"",F22/H22)</x:f>
      </x:c>
      <x:c r="N22" t="n">
        <x:f>IF(F22="","",F22/MAX($F$2:$F$144))</x:f>
        <x:v>0.5517241379310345</x:v>
      </x:c>
      <x:c r="O22" t="n">
        <x:f>IF(J22="","",J22/MAX($J$2:$J$144))</x:f>
        <x:v>0.3762057877813505</x:v>
      </x:c>
      <x:c r="P22" t="n">
        <x:f>IF(G22="","",_xlfn.MINIFS($G$2:$G$144,$G$2:$G$144,"&gt;0")/G22)</x:f>
        <x:v>0.11249999999999999</x:v>
      </x:c>
      <x:c r="Q22" t="inlineStr">
        <x:is>
          <x:t xml:space="preserve">Formula-derived; missing raw fields remain blank.</x:t>
        </x:is>
      </x:c>
    </x:row>
    <x:row r="23">
      <x:c r="A23" t="inlineStr">
        <x:is>
          <x:t xml:space="preserve">openai|gpt-5.6-luna|xhigh|reasoning|fallback-na|aa-v4.3.2|snapshot-2026-09-28</x:t>
        </x:is>
      </x:c>
      <x:c r="B23" t="inlineStr">
        <x:is>
          <x:t xml:space="preserve">openai|gpt-5.6-luna|xhigh|reasoning|fallback-na</x:t>
        </x:is>
      </x:c>
      <x:c r="C23" t="inlineStr">
        <x:is>
          <x:t xml:space="preserve">AA|v4.3.2</x:t>
        </x:is>
      </x:c>
      <x:c r="D23" t="n">
        <x:v>35</x:v>
      </x:c>
      <x:c r="E23" t="n">
        <x:f>IFERROR(INDEX(Benchmark_Versions!$I:$I,MATCH(C23,Benchmark_Versions!$A:$A,0)),1)</x:f>
        <x:v>1</x:v>
      </x:c>
      <x:c r="F23" t="n">
        <x:f>IF(D23="","",D23*E23)</x:f>
        <x:v>35</x:v>
      </x:c>
      <x:c r="G23" t="n">
        <x:v>0.09</x:v>
      </x:c>
      <x:c r="I23" t="str">
        <x:f>IF(H23="","",H23/60)</x:f>
      </x:c>
      <x:c r="J23" t="n">
        <x:v>124</x:v>
      </x:c>
      <x:c r="K23" t="n">
        <x:f>IF(OR(F23="",G23="",G23=0),"",F23/G23)</x:f>
        <x:v>388.8888888888889</x:v>
      </x:c>
      <x:c r="L23" t="n">
        <x:f>IF(OR(F23="",F23=0,G23=""),"",G23/F23)</x:f>
        <x:v>0.0025714285714285713</x:v>
      </x:c>
      <x:c r="M23" t="str">
        <x:f>IF(OR(F23="",H23="",H23=0),"",F23/H23)</x:f>
      </x:c>
      <x:c r="N23" t="n">
        <x:f>IF(F23="","",F23/MAX($F$2:$F$144))</x:f>
        <x:v>0.603448275862069</x:v>
      </x:c>
      <x:c r="O23" t="n">
        <x:f>IF(J23="","",J23/MAX($J$2:$J$144))</x:f>
        <x:v>0.3987138263665595</x:v>
      </x:c>
      <x:c r="P23" t="n">
        <x:f>IF(G23="","",_xlfn.MINIFS($G$2:$G$144,$G$2:$G$144,"&gt;0")/G23)</x:f>
        <x:v>0.049999999999999996</x:v>
      </x:c>
      <x:c r="Q23" t="inlineStr">
        <x:is>
          <x:t xml:space="preserve">Formula-derived; missing raw fields remain blank.</x:t>
        </x:is>
      </x:c>
    </x:row>
    <x:row r="24">
      <x:c r="A24" t="inlineStr">
        <x:is>
          <x:t xml:space="preserve">openai|gpt-5.6-luna|max|reasoning|fallback-na|aa-v4.3.2|snapshot-2026-09-28</x:t>
        </x:is>
      </x:c>
      <x:c r="B24" t="inlineStr">
        <x:is>
          <x:t xml:space="preserve">openai|gpt-5.6-luna|max|reasoning|fallback-na</x:t>
        </x:is>
      </x:c>
      <x:c r="C24" t="inlineStr">
        <x:is>
          <x:t xml:space="preserve">AA|v4.3.2</x:t>
        </x:is>
      </x:c>
      <x:c r="D24" t="n">
        <x:v>37</x:v>
      </x:c>
      <x:c r="E24" t="n">
        <x:f>IFERROR(INDEX(Benchmark_Versions!$I:$I,MATCH(C24,Benchmark_Versions!$A:$A,0)),1)</x:f>
        <x:v>1</x:v>
      </x:c>
      <x:c r="F24" t="n">
        <x:f>IF(D24="","",D24*E24)</x:f>
        <x:v>37</x:v>
      </x:c>
      <x:c r="G24" t="n">
        <x:v>0.18</x:v>
      </x:c>
      <x:c r="I24" t="str">
        <x:f>IF(H24="","",H24/60)</x:f>
      </x:c>
      <x:c r="J24" t="n">
        <x:v>121</x:v>
      </x:c>
      <x:c r="K24" t="n">
        <x:f>IF(OR(F24="",G24="",G24=0),"",F24/G24)</x:f>
        <x:v>205.55555555555557</x:v>
      </x:c>
      <x:c r="L24" t="n">
        <x:f>IF(OR(F24="",F24=0,G24=""),"",G24/F24)</x:f>
        <x:v>0.004864864864864865</x:v>
      </x:c>
      <x:c r="M24" t="str">
        <x:f>IF(OR(F24="",H24="",H24=0),"",F24/H24)</x:f>
      </x:c>
      <x:c r="N24" t="n">
        <x:f>IF(F24="","",F24/MAX($F$2:$F$144))</x:f>
        <x:v>0.6379310344827587</x:v>
      </x:c>
      <x:c r="O24" t="n">
        <x:f>IF(J24="","",J24/MAX($J$2:$J$144))</x:f>
        <x:v>0.3890675241157556</x:v>
      </x:c>
      <x:c r="P24" t="n">
        <x:f>IF(G24="","",_xlfn.MINIFS($G$2:$G$144,$G$2:$G$144,"&gt;0")/G24)</x:f>
        <x:v>0.024999999999999998</x:v>
      </x:c>
      <x:c r="Q24" t="inlineStr">
        <x:is>
          <x:t xml:space="preserve">Formula-derived; missing raw fields remain blank.</x:t>
        </x:is>
      </x:c>
    </x:row>
    <x:row r="25">
      <x:c r="A25" t="inlineStr">
        <x:is>
          <x:t xml:space="preserve">openai|gpt-5.6-sol|non-reasoning|nonreasoning|fallback-na|aa-v4.3.2|snapshot-2026-09-28</x:t>
        </x:is>
      </x:c>
      <x:c r="B25" t="inlineStr">
        <x:is>
          <x:t xml:space="preserve">openai|gpt-5.6-sol|non-reasoning|nonreasoning|fallback-na</x:t>
        </x:is>
      </x:c>
      <x:c r="C25" t="inlineStr">
        <x:is>
          <x:t xml:space="preserve">AA|v4.3.2</x:t>
        </x:is>
      </x:c>
      <x:c r="D25" t="n">
        <x:v>28</x:v>
      </x:c>
      <x:c r="E25" t="n">
        <x:f>IFERROR(INDEX(Benchmark_Versions!$I:$I,MATCH(C25,Benchmark_Versions!$A:$A,0)),1)</x:f>
        <x:v>1</x:v>
      </x:c>
      <x:c r="F25" t="n">
        <x:f>IF(D25="","",D25*E25)</x:f>
        <x:v>28</x:v>
      </x:c>
      <x:c r="I25" t="str">
        <x:f>IF(H25="","",H25/60)</x:f>
      </x:c>
      <x:c r="J25" t="n">
        <x:v>84</x:v>
      </x:c>
      <x:c r="K25" t="str">
        <x:f>IF(OR(F25="",G25="",G25=0),"",F25/G25)</x:f>
      </x:c>
      <x:c r="L25" t="str">
        <x:f>IF(OR(F25="",F25=0,G25=""),"",G25/F25)</x:f>
      </x:c>
      <x:c r="M25" t="str">
        <x:f>IF(OR(F25="",H25="",H25=0),"",F25/H25)</x:f>
      </x:c>
      <x:c r="N25" t="n">
        <x:f>IF(F25="","",F25/MAX($F$2:$F$144))</x:f>
        <x:v>0.4827586206896552</x:v>
      </x:c>
      <x:c r="O25" t="n">
        <x:f>IF(J25="","",J25/MAX($J$2:$J$144))</x:f>
        <x:v>0.27009646302250806</x:v>
      </x:c>
      <x:c r="P25" t="str">
        <x:f>IF(G25="","",_xlfn.MINIFS($G$2:$G$144,$G$2:$G$144,"&gt;0")/G25)</x:f>
      </x:c>
      <x:c r="Q25" t="inlineStr">
        <x:is>
          <x:t xml:space="preserve">Formula-derived; missing raw fields remain blank.</x:t>
        </x:is>
      </x:c>
    </x:row>
    <x:row r="26">
      <x:c r="A26" t="inlineStr">
        <x:is>
          <x:t xml:space="preserve">openai|gpt-5.6-sol|low|reasoning|fallback-na|aa-v4.3.2|snapshot-2026-09-28</x:t>
        </x:is>
      </x:c>
      <x:c r="B26" t="inlineStr">
        <x:is>
          <x:t xml:space="preserve">openai|gpt-5.6-sol|low|reasoning|fallback-na</x:t>
        </x:is>
      </x:c>
      <x:c r="C26" t="inlineStr">
        <x:is>
          <x:t xml:space="preserve">AA|v4.3.2</x:t>
        </x:is>
      </x:c>
      <x:c r="D26" t="n">
        <x:v>33</x:v>
      </x:c>
      <x:c r="E26" t="n">
        <x:f>IFERROR(INDEX(Benchmark_Versions!$I:$I,MATCH(C26,Benchmark_Versions!$A:$A,0)),1)</x:f>
        <x:v>1</x:v>
      </x:c>
      <x:c r="F26" t="n">
        <x:f>IF(D26="","",D26*E26)</x:f>
        <x:v>33</x:v>
      </x:c>
      <x:c r="G26" t="n">
        <x:v>0.26</x:v>
      </x:c>
      <x:c r="I26" t="str">
        <x:f>IF(H26="","",H26/60)</x:f>
      </x:c>
      <x:c r="J26" t="n">
        <x:v>80</x:v>
      </x:c>
      <x:c r="K26" t="n">
        <x:f>IF(OR(F26="",G26="",G26=0),"",F26/G26)</x:f>
        <x:v>126.92307692307692</x:v>
      </x:c>
      <x:c r="L26" t="n">
        <x:f>IF(OR(F26="",F26=0,G26=""),"",G26/F26)</x:f>
        <x:v>0.00787878787878788</x:v>
      </x:c>
      <x:c r="M26" t="str">
        <x:f>IF(OR(F26="",H26="",H26=0),"",F26/H26)</x:f>
      </x:c>
      <x:c r="N26" t="n">
        <x:f>IF(F26="","",F26/MAX($F$2:$F$144))</x:f>
        <x:v>0.5689655172413793</x:v>
      </x:c>
      <x:c r="O26" t="n">
        <x:f>IF(J26="","",J26/MAX($J$2:$J$144))</x:f>
        <x:v>0.2572347266881029</x:v>
      </x:c>
      <x:c r="P26" t="n">
        <x:f>IF(G26="","",_xlfn.MINIFS($G$2:$G$144,$G$2:$G$144,"&gt;0")/G26)</x:f>
        <x:v>0.017307692307692305</x:v>
      </x:c>
      <x:c r="Q26" t="inlineStr">
        <x:is>
          <x:t xml:space="preserve">Formula-derived; missing raw fields remain blank.</x:t>
        </x:is>
      </x:c>
    </x:row>
    <x:row r="27">
      <x:c r="A27" t="inlineStr">
        <x:is>
          <x:t xml:space="preserve">openai|gpt-5.6-sol|medium|reasoning|fallback-na|aa-v4.3.2|snapshot-2026-09-28</x:t>
        </x:is>
      </x:c>
      <x:c r="B27" t="inlineStr">
        <x:is>
          <x:t xml:space="preserve">openai|gpt-5.6-sol|medium|reasoning|fallback-na</x:t>
        </x:is>
      </x:c>
      <x:c r="C27" t="inlineStr">
        <x:is>
          <x:t xml:space="preserve">AA|v4.3.2</x:t>
        </x:is>
      </x:c>
      <x:c r="D27" t="n">
        <x:v>39</x:v>
      </x:c>
      <x:c r="E27" t="n">
        <x:f>IFERROR(INDEX(Benchmark_Versions!$I:$I,MATCH(C27,Benchmark_Versions!$A:$A,0)),1)</x:f>
        <x:v>1</x:v>
      </x:c>
      <x:c r="F27" t="n">
        <x:f>IF(D27="","",D27*E27)</x:f>
        <x:v>39</x:v>
      </x:c>
      <x:c r="G27" t="n">
        <x:v>0.5</x:v>
      </x:c>
      <x:c r="I27" t="str">
        <x:f>IF(H27="","",H27/60)</x:f>
      </x:c>
      <x:c r="J27" t="n">
        <x:v>82</x:v>
      </x:c>
      <x:c r="K27" t="n">
        <x:f>IF(OR(F27="",G27="",G27=0),"",F27/G27)</x:f>
        <x:v>78</x:v>
      </x:c>
      <x:c r="L27" t="n">
        <x:f>IF(OR(F27="",F27=0,G27=""),"",G27/F27)</x:f>
        <x:v>0.01282051282051282</x:v>
      </x:c>
      <x:c r="M27" t="str">
        <x:f>IF(OR(F27="",H27="",H27=0),"",F27/H27)</x:f>
      </x:c>
      <x:c r="N27" t="n">
        <x:f>IF(F27="","",F27/MAX($F$2:$F$144))</x:f>
        <x:v>0.6724137931034483</x:v>
      </x:c>
      <x:c r="O27" t="n">
        <x:f>IF(J27="","",J27/MAX($J$2:$J$144))</x:f>
        <x:v>0.26366559485530544</x:v>
      </x:c>
      <x:c r="P27" t="n">
        <x:f>IF(G27="","",_xlfn.MINIFS($G$2:$G$144,$G$2:$G$144,"&gt;0")/G27)</x:f>
        <x:v>0.009</x:v>
      </x:c>
      <x:c r="Q27" t="inlineStr">
        <x:is>
          <x:t xml:space="preserve">Formula-derived; missing raw fields remain blank.</x:t>
        </x:is>
      </x:c>
    </x:row>
    <x:row r="28">
      <x:c r="A28" t="inlineStr">
        <x:is>
          <x:t xml:space="preserve">openai|gpt-5.6-sol|high|reasoning|fallback-na|aa-v4.3.2|snapshot-2026-09-28</x:t>
        </x:is>
      </x:c>
      <x:c r="B28" t="inlineStr">
        <x:is>
          <x:t xml:space="preserve">openai|gpt-5.6-sol|high|reasoning|fallback-na</x:t>
        </x:is>
      </x:c>
      <x:c r="C28" t="inlineStr">
        <x:is>
          <x:t xml:space="preserve">AA|v4.3.2</x:t>
        </x:is>
      </x:c>
      <x:c r="D28" t="n">
        <x:v>42</x:v>
      </x:c>
      <x:c r="E28" t="n">
        <x:f>IFERROR(INDEX(Benchmark_Versions!$I:$I,MATCH(C28,Benchmark_Versions!$A:$A,0)),1)</x:f>
        <x:v>1</x:v>
      </x:c>
      <x:c r="F28" t="n">
        <x:f>IF(D28="","",D28*E28)</x:f>
        <x:v>42</x:v>
      </x:c>
      <x:c r="G28" t="n">
        <x:v>0.8100000000000001</x:v>
      </x:c>
      <x:c r="I28" t="str">
        <x:f>IF(H28="","",H28/60)</x:f>
      </x:c>
      <x:c r="J28" t="n">
        <x:v>81</x:v>
      </x:c>
      <x:c r="K28" t="n">
        <x:f>IF(OR(F28="",G28="",G28=0),"",F28/G28)</x:f>
        <x:v>51.85185185185185</x:v>
      </x:c>
      <x:c r="L28" t="n">
        <x:f>IF(OR(F28="",F28=0,G28=""),"",G28/F28)</x:f>
        <x:v>0.019285714285714288</x:v>
      </x:c>
      <x:c r="M28" t="str">
        <x:f>IF(OR(F28="",H28="",H28=0),"",F28/H28)</x:f>
      </x:c>
      <x:c r="N28" t="n">
        <x:f>IF(F28="","",F28/MAX($F$2:$F$144))</x:f>
        <x:v>0.7241379310344828</x:v>
      </x:c>
      <x:c r="O28" t="n">
        <x:f>IF(J28="","",J28/MAX($J$2:$J$144))</x:f>
        <x:v>0.2604501607717042</x:v>
      </x:c>
      <x:c r="P28" t="n">
        <x:f>IF(G28="","",_xlfn.MINIFS($G$2:$G$144,$G$2:$G$144,"&gt;0")/G28)</x:f>
        <x:v>0.005555555555555555</x:v>
      </x:c>
      <x:c r="Q28" t="inlineStr">
        <x:is>
          <x:t xml:space="preserve">Formula-derived; missing raw fields remain blank.</x:t>
        </x:is>
      </x:c>
    </x:row>
    <x:row r="29">
      <x:c r="A29" t="inlineStr">
        <x:is>
          <x:t xml:space="preserve">openai|gpt-5.6-sol|xhigh|reasoning|fallback-na|aa-v4.3.2|snapshot-2026-09-28</x:t>
        </x:is>
      </x:c>
      <x:c r="B29" t="inlineStr">
        <x:is>
          <x:t xml:space="preserve">openai|gpt-5.6-sol|xhigh|reasoning|fallback-na</x:t>
        </x:is>
      </x:c>
      <x:c r="C29" t="inlineStr">
        <x:is>
          <x:t xml:space="preserve">AA|v4.3.2</x:t>
        </x:is>
      </x:c>
      <x:c r="D29" t="n">
        <x:v>44</x:v>
      </x:c>
      <x:c r="E29" t="n">
        <x:f>IFERROR(INDEX(Benchmark_Versions!$I:$I,MATCH(C29,Benchmark_Versions!$A:$A,0)),1)</x:f>
        <x:v>1</x:v>
      </x:c>
      <x:c r="F29" t="n">
        <x:f>IF(D29="","",D29*E29)</x:f>
        <x:v>44</x:v>
      </x:c>
      <x:c r="G29" t="n">
        <x:v>1.18</x:v>
      </x:c>
      <x:c r="I29" t="str">
        <x:f>IF(H29="","",H29/60)</x:f>
      </x:c>
      <x:c r="J29" t="n">
        <x:v>83</x:v>
      </x:c>
      <x:c r="K29" t="n">
        <x:f>IF(OR(F29="",G29="",G29=0),"",F29/G29)</x:f>
        <x:v>37.28813559322034</x:v>
      </x:c>
      <x:c r="L29" t="n">
        <x:f>IF(OR(F29="",F29=0,G29=""),"",G29/F29)</x:f>
        <x:v>0.026818181818181817</x:v>
      </x:c>
      <x:c r="M29" t="str">
        <x:f>IF(OR(F29="",H29="",H29=0),"",F29/H29)</x:f>
      </x:c>
      <x:c r="N29" t="n">
        <x:f>IF(F29="","",F29/MAX($F$2:$F$144))</x:f>
        <x:v>0.7586206896551724</x:v>
      </x:c>
      <x:c r="O29" t="n">
        <x:f>IF(J29="","",J29/MAX($J$2:$J$144))</x:f>
        <x:v>0.26688102893890675</x:v>
      </x:c>
      <x:c r="P29" t="n">
        <x:f>IF(G29="","",_xlfn.MINIFS($G$2:$G$144,$G$2:$G$144,"&gt;0")/G29)</x:f>
        <x:v>0.003813559322033898</x:v>
      </x:c>
      <x:c r="Q29" t="inlineStr">
        <x:is>
          <x:t xml:space="preserve">Formula-derived; missing raw fields remain blank.</x:t>
        </x:is>
      </x:c>
    </x:row>
    <x:row r="30">
      <x:c r="A30" t="inlineStr">
        <x:is>
          <x:t xml:space="preserve">openai|gpt-5.6-sol|max|reasoning|fallback-na|aa-v4.3.2|snapshot-2026-09-28</x:t>
        </x:is>
      </x:c>
      <x:c r="B30" t="inlineStr">
        <x:is>
          <x:t xml:space="preserve">openai|gpt-5.6-sol|max|reasoning|fallback-na</x:t>
        </x:is>
      </x:c>
      <x:c r="C30" t="inlineStr">
        <x:is>
          <x:t xml:space="preserve">AA|v4.3.2</x:t>
        </x:is>
      </x:c>
      <x:c r="D30" t="n">
        <x:v>47</x:v>
      </x:c>
      <x:c r="E30" t="n">
        <x:f>IFERROR(INDEX(Benchmark_Versions!$I:$I,MATCH(C30,Benchmark_Versions!$A:$A,0)),1)</x:f>
        <x:v>1</x:v>
      </x:c>
      <x:c r="F30" t="n">
        <x:f>IF(D30="","",D30*E30)</x:f>
        <x:v>47</x:v>
      </x:c>
      <x:c r="G30" t="n">
        <x:v>1.99</x:v>
      </x:c>
      <x:c r="I30" t="str">
        <x:f>IF(H30="","",H30/60)</x:f>
      </x:c>
      <x:c r="J30" t="n">
        <x:v>90</x:v>
      </x:c>
      <x:c r="K30" t="n">
        <x:f>IF(OR(F30="",G30="",G30=0),"",F30/G30)</x:f>
        <x:v>23.618090452261306</x:v>
      </x:c>
      <x:c r="L30" t="n">
        <x:f>IF(OR(F30="",F30=0,G30=""),"",G30/F30)</x:f>
        <x:v>0.042340425531914895</x:v>
      </x:c>
      <x:c r="M30" t="str">
        <x:f>IF(OR(F30="",H30="",H30=0),"",F30/H30)</x:f>
      </x:c>
      <x:c r="N30" t="n">
        <x:f>IF(F30="","",F30/MAX($F$2:$F$144))</x:f>
        <x:v>0.8103448275862069</x:v>
      </x:c>
      <x:c r="O30" t="n">
        <x:f>IF(J30="","",J30/MAX($J$2:$J$144))</x:f>
        <x:v>0.28938906752411575</x:v>
      </x:c>
      <x:c r="P30" t="n">
        <x:f>IF(G30="","",_xlfn.MINIFS($G$2:$G$144,$G$2:$G$144,"&gt;0")/G30)</x:f>
        <x:v>0.0022613065326633165</x:v>
      </x:c>
      <x:c r="Q30" t="inlineStr">
        <x:is>
          <x:t xml:space="preserve">Formula-derived; missing raw fields remain blank.</x:t>
        </x:is>
      </x:c>
    </x:row>
    <x:row r="31">
      <x:c r="A31" t="inlineStr">
        <x:is>
          <x:t xml:space="preserve">anthropic|claude-sonnet-5.5|low|reasoning|fallback-true|aa-v4.3.2|snapshot-2026-09-28</x:t>
        </x:is>
      </x:c>
      <x:c r="B31" t="inlineStr">
        <x:is>
          <x:t xml:space="preserve">anthropic|claude-sonnet-5.5|low|reasoning|fallback-true</x:t>
        </x:is>
      </x:c>
      <x:c r="C31" t="inlineStr">
        <x:is>
          <x:t xml:space="preserve">AA|v4.3.2</x:t>
        </x:is>
      </x:c>
      <x:c r="D31" t="n">
        <x:v>36</x:v>
      </x:c>
      <x:c r="E31" t="n">
        <x:f>IFERROR(INDEX(Benchmark_Versions!$I:$I,MATCH(C31,Benchmark_Versions!$A:$A,0)),1)</x:f>
        <x:v>1</x:v>
      </x:c>
      <x:c r="F31" t="n">
        <x:f>IF(D31="","",D31*E31)</x:f>
        <x:v>36</x:v>
      </x:c>
      <x:c r="G31" t="n">
        <x:v>0.41</x:v>
      </x:c>
      <x:c r="I31" t="str">
        <x:f>IF(H31="","",H31/60)</x:f>
      </x:c>
      <x:c r="J31" t="n">
        <x:v>89</x:v>
      </x:c>
      <x:c r="K31" t="n">
        <x:f>IF(OR(F31="",G31="",G31=0),"",F31/G31)</x:f>
        <x:v>87.8048780487805</x:v>
      </x:c>
      <x:c r="L31" t="n">
        <x:f>IF(OR(F31="",F31=0,G31=""),"",G31/F31)</x:f>
        <x:v>0.011388888888888888</x:v>
      </x:c>
      <x:c r="M31" t="str">
        <x:f>IF(OR(F31="",H31="",H31=0),"",F31/H31)</x:f>
      </x:c>
      <x:c r="N31" t="n">
        <x:f>IF(F31="","",F31/MAX($F$2:$F$144))</x:f>
        <x:v>0.6206896551724138</x:v>
      </x:c>
      <x:c r="O31" t="n">
        <x:f>IF(J31="","",J31/MAX($J$2:$J$144))</x:f>
        <x:v>0.2861736334405145</x:v>
      </x:c>
      <x:c r="P31" t="n">
        <x:f>IF(G31="","",_xlfn.MINIFS($G$2:$G$144,$G$2:$G$144,"&gt;0")/G31)</x:f>
        <x:v>0.01097560975609756</x:v>
      </x:c>
      <x:c r="Q31" t="inlineStr">
        <x:is>
          <x:t xml:space="preserve">Formula-derived; missing raw fields remain blank.</x:t>
        </x:is>
      </x:c>
    </x:row>
    <x:row r="32">
      <x:c r="A32" t="inlineStr">
        <x:is>
          <x:t xml:space="preserve">anthropic|claude-sonnet-5.5|medium|reasoning|fallback-true|aa-v4.3.2|snapshot-2026-09-28</x:t>
        </x:is>
      </x:c>
      <x:c r="B32" t="inlineStr">
        <x:is>
          <x:t xml:space="preserve">anthropic|claude-sonnet-5.5|medium|reasoning|fallback-true</x:t>
        </x:is>
      </x:c>
      <x:c r="C32" t="inlineStr">
        <x:is>
          <x:t xml:space="preserve">AA|v4.3.2</x:t>
        </x:is>
      </x:c>
      <x:c r="D32" t="n">
        <x:v>41</x:v>
      </x:c>
      <x:c r="E32" t="n">
        <x:f>IFERROR(INDEX(Benchmark_Versions!$I:$I,MATCH(C32,Benchmark_Versions!$A:$A,0)),1)</x:f>
        <x:v>1</x:v>
      </x:c>
      <x:c r="F32" t="n">
        <x:f>IF(D32="","",D32*E32)</x:f>
        <x:v>41</x:v>
      </x:c>
      <x:c r="G32" t="n">
        <x:v>0.59</x:v>
      </x:c>
      <x:c r="I32" t="str">
        <x:f>IF(H32="","",H32/60)</x:f>
      </x:c>
      <x:c r="J32" t="n">
        <x:v>111</x:v>
      </x:c>
      <x:c r="K32" t="n">
        <x:f>IF(OR(F32="",G32="",G32=0),"",F32/G32)</x:f>
        <x:v>69.49152542372882</x:v>
      </x:c>
      <x:c r="L32" t="n">
        <x:f>IF(OR(F32="",F32=0,G32=""),"",G32/F32)</x:f>
        <x:v>0.014390243902439023</x:v>
      </x:c>
      <x:c r="M32" t="str">
        <x:f>IF(OR(F32="",H32="",H32=0),"",F32/H32)</x:f>
      </x:c>
      <x:c r="N32" t="n">
        <x:f>IF(F32="","",F32/MAX($F$2:$F$144))</x:f>
        <x:v>0.7068965517241379</x:v>
      </x:c>
      <x:c r="O32" t="n">
        <x:f>IF(J32="","",J32/MAX($J$2:$J$144))</x:f>
        <x:v>0.35691318327974275</x:v>
      </x:c>
      <x:c r="P32" t="n">
        <x:f>IF(G32="","",_xlfn.MINIFS($G$2:$G$144,$G$2:$G$144,"&gt;0")/G32)</x:f>
        <x:v>0.007627118644067796</x:v>
      </x:c>
      <x:c r="Q32" t="inlineStr">
        <x:is>
          <x:t xml:space="preserve">Formula-derived; missing raw fields remain blank.</x:t>
        </x:is>
      </x:c>
    </x:row>
    <x:row r="33">
      <x:c r="A33" t="inlineStr">
        <x:is>
          <x:t xml:space="preserve">anthropic|claude-sonnet-5.5|high|reasoning|fallback-true|aa-v4.3.2|snapshot-2026-09-28</x:t>
        </x:is>
      </x:c>
      <x:c r="B33" t="inlineStr">
        <x:is>
          <x:t xml:space="preserve">anthropic|claude-sonnet-5.5|high|reasoning|fallback-true</x:t>
        </x:is>
      </x:c>
      <x:c r="C33" t="inlineStr">
        <x:is>
          <x:t xml:space="preserve">AA|v4.3.2</x:t>
        </x:is>
      </x:c>
      <x:c r="D33" t="n">
        <x:v>47</x:v>
      </x:c>
      <x:c r="E33" t="n">
        <x:f>IFERROR(INDEX(Benchmark_Versions!$I:$I,MATCH(C33,Benchmark_Versions!$A:$A,0)),1)</x:f>
        <x:v>1</x:v>
      </x:c>
      <x:c r="F33" t="n">
        <x:f>IF(D33="","",D33*E33)</x:f>
        <x:v>47</x:v>
      </x:c>
      <x:c r="G33" t="n">
        <x:v>1.08</x:v>
      </x:c>
      <x:c r="I33" t="str">
        <x:f>IF(H33="","",H33/60)</x:f>
      </x:c>
      <x:c r="J33" t="n">
        <x:v>95</x:v>
      </x:c>
      <x:c r="K33" t="n">
        <x:f>IF(OR(F33="",G33="",G33=0),"",F33/G33)</x:f>
        <x:v>43.51851851851852</x:v>
      </x:c>
      <x:c r="L33" t="n">
        <x:f>IF(OR(F33="",F33=0,G33=""),"",G33/F33)</x:f>
        <x:v>0.02297872340425532</x:v>
      </x:c>
      <x:c r="M33" t="str">
        <x:f>IF(OR(F33="",H33="",H33=0),"",F33/H33)</x:f>
      </x:c>
      <x:c r="N33" t="n">
        <x:f>IF(F33="","",F33/MAX($F$2:$F$144))</x:f>
        <x:v>0.8103448275862069</x:v>
      </x:c>
      <x:c r="O33" t="n">
        <x:f>IF(J33="","",J33/MAX($J$2:$J$144))</x:f>
        <x:v>0.3054662379421222</x:v>
      </x:c>
      <x:c r="P33" t="n">
        <x:f>IF(G33="","",_xlfn.MINIFS($G$2:$G$144,$G$2:$G$144,"&gt;0")/G33)</x:f>
        <x:v>0.004166666666666666</x:v>
      </x:c>
      <x:c r="Q33" t="inlineStr">
        <x:is>
          <x:t xml:space="preserve">Formula-derived; missing raw fields remain blank.</x:t>
        </x:is>
      </x:c>
    </x:row>
    <x:row r="34">
      <x:c r="A34" t="inlineStr">
        <x:is>
          <x:t xml:space="preserve">anthropic|claude-sonnet-5.5|xhigh|reasoning|fallback-true|aa-v4.3.2|snapshot-2026-09-28</x:t>
        </x:is>
      </x:c>
      <x:c r="B34" t="inlineStr">
        <x:is>
          <x:t xml:space="preserve">anthropic|claude-sonnet-5.5|xhigh|reasoning|fallback-true</x:t>
        </x:is>
      </x:c>
      <x:c r="C34" t="inlineStr">
        <x:is>
          <x:t xml:space="preserve">AA|v4.3.2</x:t>
        </x:is>
      </x:c>
      <x:c r="D34" t="n">
        <x:v>52</x:v>
      </x:c>
      <x:c r="E34" t="n">
        <x:f>IFERROR(INDEX(Benchmark_Versions!$I:$I,MATCH(C34,Benchmark_Versions!$A:$A,0)),1)</x:f>
        <x:v>1</x:v>
      </x:c>
      <x:c r="F34" t="n">
        <x:f>IF(D34="","",D34*E34)</x:f>
        <x:v>52</x:v>
      </x:c>
      <x:c r="G34" t="n">
        <x:v>2.74</x:v>
      </x:c>
      <x:c r="I34" t="str">
        <x:f>IF(H34="","",H34/60)</x:f>
      </x:c>
      <x:c r="J34" t="n">
        <x:v>143</x:v>
      </x:c>
      <x:c r="K34" t="n">
        <x:f>IF(OR(F34="",G34="",G34=0),"",F34/G34)</x:f>
        <x:v>18.97810218978102</x:v>
      </x:c>
      <x:c r="L34" t="n">
        <x:f>IF(OR(F34="",F34=0,G34=""),"",G34/F34)</x:f>
        <x:v>0.0526923076923077</x:v>
      </x:c>
      <x:c r="M34" t="str">
        <x:f>IF(OR(F34="",H34="",H34=0),"",F34/H34)</x:f>
      </x:c>
      <x:c r="N34" t="n">
        <x:f>IF(F34="","",F34/MAX($F$2:$F$144))</x:f>
        <x:v>0.896551724137931</x:v>
      </x:c>
      <x:c r="O34" t="n">
        <x:f>IF(J34="","",J34/MAX($J$2:$J$144))</x:f>
        <x:v>0.45980707395498394</x:v>
      </x:c>
      <x:c r="P34" t="n">
        <x:f>IF(G34="","",_xlfn.MINIFS($G$2:$G$144,$G$2:$G$144,"&gt;0")/G34)</x:f>
        <x:v>0.0016423357664233575</x:v>
      </x:c>
      <x:c r="Q34" t="inlineStr">
        <x:is>
          <x:t xml:space="preserve">Formula-derived; missing raw fields remain blank.</x:t>
        </x:is>
      </x:c>
    </x:row>
    <x:row r="35">
      <x:c r="A35" t="inlineStr">
        <x:is>
          <x:t xml:space="preserve">anthropic|claude-sonnet-5.5|max|reasoning|fallback-true|aa-v4.3.2|snapshot-2026-09-28</x:t>
        </x:is>
      </x:c>
      <x:c r="B35" t="inlineStr">
        <x:is>
          <x:t xml:space="preserve">anthropic|claude-sonnet-5.5|max|reasoning|fallback-true</x:t>
        </x:is>
      </x:c>
      <x:c r="C35" t="inlineStr">
        <x:is>
          <x:t xml:space="preserve">AA|v4.3.2</x:t>
        </x:is>
      </x:c>
      <x:c r="D35" t="n">
        <x:v>56</x:v>
      </x:c>
      <x:c r="E35" t="n">
        <x:f>IFERROR(INDEX(Benchmark_Versions!$I:$I,MATCH(C35,Benchmark_Versions!$A:$A,0)),1)</x:f>
        <x:v>1</x:v>
      </x:c>
      <x:c r="F35" t="n">
        <x:f>IF(D35="","",D35*E35)</x:f>
        <x:v>56</x:v>
      </x:c>
      <x:c r="G35" t="n">
        <x:v>7.6</x:v>
      </x:c>
      <x:c r="I35" t="str">
        <x:f>IF(H35="","",H35/60)</x:f>
      </x:c>
      <x:c r="J35" t="n">
        <x:v>141.9</x:v>
      </x:c>
      <x:c r="K35" t="n">
        <x:f>IF(OR(F35="",G35="",G35=0),"",F35/G35)</x:f>
        <x:v>7.36842105263158</x:v>
      </x:c>
      <x:c r="L35" t="n">
        <x:f>IF(OR(F35="",F35=0,G35=""),"",G35/F35)</x:f>
        <x:v>0.1357142857142857</x:v>
      </x:c>
      <x:c r="M35" t="str">
        <x:f>IF(OR(F35="",H35="",H35=0),"",F35/H35)</x:f>
      </x:c>
      <x:c r="N35" t="n">
        <x:f>IF(F35="","",F35/MAX($F$2:$F$144))</x:f>
        <x:v>0.9655172413793104</x:v>
      </x:c>
      <x:c r="O35" t="n">
        <x:f>IF(J35="","",J35/MAX($J$2:$J$144))</x:f>
        <x:v>0.4562700964630225</x:v>
      </x:c>
      <x:c r="P35" t="n">
        <x:f>IF(G35="","",_xlfn.MINIFS($G$2:$G$144,$G$2:$G$144,"&gt;0")/G35)</x:f>
        <x:v>0.0005921052631578947</x:v>
      </x:c>
      <x:c r="Q35" t="inlineStr">
        <x:is>
          <x:t xml:space="preserve">Formula-derived; missing raw fields remain blank.</x:t>
        </x:is>
      </x:c>
    </x:row>
    <x:row r="36">
      <x:c r="A36" t="inlineStr">
        <x:is>
          <x:t xml:space="preserve">anthropic|claude-opus-5.5|low|reasoning|fallback-true|aa-v4.3.2|snapshot-2026-09-28</x:t>
        </x:is>
      </x:c>
      <x:c r="B36" t="inlineStr">
        <x:is>
          <x:t xml:space="preserve">anthropic|claude-opus-5.5|low|reasoning|fallback-true</x:t>
        </x:is>
      </x:c>
      <x:c r="C36" t="inlineStr">
        <x:is>
          <x:t xml:space="preserve">AA|v4.3.2</x:t>
        </x:is>
      </x:c>
      <x:c r="D36" t="n">
        <x:v>42</x:v>
      </x:c>
      <x:c r="E36" t="n">
        <x:f>IFERROR(INDEX(Benchmark_Versions!$I:$I,MATCH(C36,Benchmark_Versions!$A:$A,0)),1)</x:f>
        <x:v>1</x:v>
      </x:c>
      <x:c r="F36" t="n">
        <x:f>IF(D36="","",D36*E36)</x:f>
        <x:v>42</x:v>
      </x:c>
      <x:c r="G36" t="n">
        <x:v>0.55</x:v>
      </x:c>
      <x:c r="I36" t="str">
        <x:f>IF(H36="","",H36/60)</x:f>
      </x:c>
      <x:c r="J36" t="n">
        <x:v>75</x:v>
      </x:c>
      <x:c r="K36" t="n">
        <x:f>IF(OR(F36="",G36="",G36=0),"",F36/G36)</x:f>
        <x:v>76.36363636363636</x:v>
      </x:c>
      <x:c r="L36" t="n">
        <x:f>IF(OR(F36="",F36=0,G36=""),"",G36/F36)</x:f>
        <x:v>0.013095238095238096</x:v>
      </x:c>
      <x:c r="M36" t="str">
        <x:f>IF(OR(F36="",H36="",H36=0),"",F36/H36)</x:f>
      </x:c>
      <x:c r="N36" t="n">
        <x:f>IF(F36="","",F36/MAX($F$2:$F$144))</x:f>
        <x:v>0.7241379310344828</x:v>
      </x:c>
      <x:c r="O36" t="n">
        <x:f>IF(J36="","",J36/MAX($J$2:$J$144))</x:f>
        <x:v>0.24115755627009647</x:v>
      </x:c>
      <x:c r="P36" t="n">
        <x:f>IF(G36="","",_xlfn.MINIFS($G$2:$G$144,$G$2:$G$144,"&gt;0")/G36)</x:f>
        <x:v>0.00818181818181818</x:v>
      </x:c>
      <x:c r="Q36" t="inlineStr">
        <x:is>
          <x:t xml:space="preserve">Formula-derived; missing raw fields remain blank.</x:t>
        </x:is>
      </x:c>
    </x:row>
    <x:row r="37">
      <x:c r="A37" t="inlineStr">
        <x:is>
          <x:t xml:space="preserve">anthropic|claude-opus-5.5|medium|reasoning|fallback-true|aa-v4.3.2|snapshot-2026-09-28</x:t>
        </x:is>
      </x:c>
      <x:c r="B37" t="inlineStr">
        <x:is>
          <x:t xml:space="preserve">anthropic|claude-opus-5.5|medium|reasoning|fallback-true</x:t>
        </x:is>
      </x:c>
      <x:c r="C37" t="inlineStr">
        <x:is>
          <x:t xml:space="preserve">AA|v4.3.2</x:t>
        </x:is>
      </x:c>
      <x:c r="D37" t="n">
        <x:v>51</x:v>
      </x:c>
      <x:c r="E37" t="n">
        <x:f>IFERROR(INDEX(Benchmark_Versions!$I:$I,MATCH(C37,Benchmark_Versions!$A:$A,0)),1)</x:f>
        <x:v>1</x:v>
      </x:c>
      <x:c r="F37" t="n">
        <x:f>IF(D37="","",D37*E37)</x:f>
        <x:v>51</x:v>
      </x:c>
      <x:c r="G37" t="n">
        <x:v>1.34</x:v>
      </x:c>
      <x:c r="I37" t="str">
        <x:f>IF(H37="","",H37/60)</x:f>
      </x:c>
      <x:c r="J37" t="n">
        <x:v>76</x:v>
      </x:c>
      <x:c r="K37" t="n">
        <x:f>IF(OR(F37="",G37="",G37=0),"",F37/G37)</x:f>
        <x:v>38.059701492537314</x:v>
      </x:c>
      <x:c r="L37" t="n">
        <x:f>IF(OR(F37="",F37=0,G37=""),"",G37/F37)</x:f>
        <x:v>0.02627450980392157</x:v>
      </x:c>
      <x:c r="M37" t="str">
        <x:f>IF(OR(F37="",H37="",H37=0),"",F37/H37)</x:f>
      </x:c>
      <x:c r="N37" t="n">
        <x:f>IF(F37="","",F37/MAX($F$2:$F$144))</x:f>
        <x:v>0.8793103448275862</x:v>
      </x:c>
      <x:c r="O37" t="n">
        <x:f>IF(J37="","",J37/MAX($J$2:$J$144))</x:f>
        <x:v>0.24437299035369775</x:v>
      </x:c>
      <x:c r="P37" t="n">
        <x:f>IF(G37="","",_xlfn.MINIFS($G$2:$G$144,$G$2:$G$144,"&gt;0")/G37)</x:f>
        <x:v>0.00335820895522388</x:v>
      </x:c>
      <x:c r="Q37" t="inlineStr">
        <x:is>
          <x:t xml:space="preserve">Formula-derived; missing raw fields remain blank.</x:t>
        </x:is>
      </x:c>
    </x:row>
    <x:row r="38">
      <x:c r="A38" t="inlineStr">
        <x:is>
          <x:t xml:space="preserve">anthropic|claude-opus-5.5|high|reasoning|fallback-true|aa-v4.3.2|snapshot-2026-09-28</x:t>
        </x:is>
      </x:c>
      <x:c r="B38" t="inlineStr">
        <x:is>
          <x:t xml:space="preserve">anthropic|claude-opus-5.5|high|reasoning|fallback-true</x:t>
        </x:is>
      </x:c>
      <x:c r="C38" t="inlineStr">
        <x:is>
          <x:t xml:space="preserve">AA|v4.3.2</x:t>
        </x:is>
      </x:c>
      <x:c r="D38" t="n">
        <x:v>54</x:v>
      </x:c>
      <x:c r="E38" t="n">
        <x:f>IFERROR(INDEX(Benchmark_Versions!$I:$I,MATCH(C38,Benchmark_Versions!$A:$A,0)),1)</x:f>
        <x:v>1</x:v>
      </x:c>
      <x:c r="F38" t="n">
        <x:f>IF(D38="","",D38*E38)</x:f>
        <x:v>54</x:v>
      </x:c>
      <x:c r="G38" t="n">
        <x:v>1.82</x:v>
      </x:c>
      <x:c r="I38" t="str">
        <x:f>IF(H38="","",H38/60)</x:f>
      </x:c>
      <x:c r="J38" t="n">
        <x:v>79</x:v>
      </x:c>
      <x:c r="K38" t="n">
        <x:f>IF(OR(F38="",G38="",G38=0),"",F38/G38)</x:f>
        <x:v>29.670329670329668</x:v>
      </x:c>
      <x:c r="L38" t="n">
        <x:f>IF(OR(F38="",F38=0,G38=""),"",G38/F38)</x:f>
        <x:v>0.03370370370370371</x:v>
      </x:c>
      <x:c r="M38" t="str">
        <x:f>IF(OR(F38="",H38="",H38=0),"",F38/H38)</x:f>
      </x:c>
      <x:c r="N38" t="n">
        <x:f>IF(F38="","",F38/MAX($F$2:$F$144))</x:f>
        <x:v>0.9310344827586207</x:v>
      </x:c>
      <x:c r="O38" t="n">
        <x:f>IF(J38="","",J38/MAX($J$2:$J$144))</x:f>
        <x:v>0.2540192926045016</x:v>
      </x:c>
      <x:c r="P38" t="n">
        <x:f>IF(G38="","",_xlfn.MINIFS($G$2:$G$144,$G$2:$G$144,"&gt;0")/G38)</x:f>
        <x:v>0.0024725274725274724</x:v>
      </x:c>
      <x:c r="Q38" t="inlineStr">
        <x:is>
          <x:t xml:space="preserve">Formula-derived; missing raw fields remain blank.</x:t>
        </x:is>
      </x:c>
    </x:row>
    <x:row r="39">
      <x:c r="A39" t="inlineStr">
        <x:is>
          <x:t xml:space="preserve">anthropic|claude-opus-5.5|xhigh|reasoning|fallback-true|aa-v4.3.2|snapshot-2026-09-28</x:t>
        </x:is>
      </x:c>
      <x:c r="B39" t="inlineStr">
        <x:is>
          <x:t xml:space="preserve">anthropic|claude-opus-5.5|xhigh|reasoning|fallback-true</x:t>
        </x:is>
      </x:c>
      <x:c r="C39" t="inlineStr">
        <x:is>
          <x:t xml:space="preserve">AA|v4.3.2</x:t>
        </x:is>
      </x:c>
      <x:c r="D39" t="n">
        <x:v>56</x:v>
      </x:c>
      <x:c r="E39" t="n">
        <x:f>IFERROR(INDEX(Benchmark_Versions!$I:$I,MATCH(C39,Benchmark_Versions!$A:$A,0)),1)</x:f>
        <x:v>1</x:v>
      </x:c>
      <x:c r="F39" t="n">
        <x:f>IF(D39="","",D39*E39)</x:f>
        <x:v>56</x:v>
      </x:c>
      <x:c r="G39" t="n">
        <x:v>3.46</x:v>
      </x:c>
      <x:c r="I39" t="str">
        <x:f>IF(H39="","",H39/60)</x:f>
      </x:c>
      <x:c r="J39" t="n">
        <x:v>82</x:v>
      </x:c>
      <x:c r="K39" t="n">
        <x:f>IF(OR(F39="",G39="",G39=0),"",F39/G39)</x:f>
        <x:v>16.184971098265898</x:v>
      </x:c>
      <x:c r="L39" t="n">
        <x:f>IF(OR(F39="",F39=0,G39=""),"",G39/F39)</x:f>
        <x:v>0.061785714285714284</x:v>
      </x:c>
      <x:c r="M39" t="str">
        <x:f>IF(OR(F39="",H39="",H39=0),"",F39/H39)</x:f>
      </x:c>
      <x:c r="N39" t="n">
        <x:f>IF(F39="","",F39/MAX($F$2:$F$144))</x:f>
        <x:v>0.9655172413793104</x:v>
      </x:c>
      <x:c r="O39" t="n">
        <x:f>IF(J39="","",J39/MAX($J$2:$J$144))</x:f>
        <x:v>0.26366559485530544</x:v>
      </x:c>
      <x:c r="P39" t="n">
        <x:f>IF(G39="","",_xlfn.MINIFS($G$2:$G$144,$G$2:$G$144,"&gt;0")/G39)</x:f>
        <x:v>0.001300578034682081</x:v>
      </x:c>
      <x:c r="Q39" t="inlineStr">
        <x:is>
          <x:t xml:space="preserve">Formula-derived; missing raw fields remain blank.</x:t>
        </x:is>
      </x:c>
    </x:row>
    <x:row r="40">
      <x:c r="A40" t="inlineStr">
        <x:is>
          <x:t xml:space="preserve">anthropic|claude-opus-5.5|max|reasoning|fallback-true|aa-v4.3.2|snapshot-2026-09-28</x:t>
        </x:is>
      </x:c>
      <x:c r="B40" t="inlineStr">
        <x:is>
          <x:t xml:space="preserve">anthropic|claude-opus-5.5|max|reasoning|fallback-true</x:t>
        </x:is>
      </x:c>
      <x:c r="C40" t="inlineStr">
        <x:is>
          <x:t xml:space="preserve">AA|v4.3.2</x:t>
        </x:is>
      </x:c>
      <x:c r="D40" t="n">
        <x:v>58</x:v>
      </x:c>
      <x:c r="E40" t="n">
        <x:f>IFERROR(INDEX(Benchmark_Versions!$I:$I,MATCH(C40,Benchmark_Versions!$A:$A,0)),1)</x:f>
        <x:v>1</x:v>
      </x:c>
      <x:c r="F40" t="n">
        <x:f>IF(D40="","",D40*E40)</x:f>
        <x:v>58</x:v>
      </x:c>
      <x:c r="G40" t="n">
        <x:v>5.98</x:v>
      </x:c>
      <x:c r="I40" t="str">
        <x:f>IF(H40="","",H40/60)</x:f>
      </x:c>
      <x:c r="J40" t="n">
        <x:v>95</x:v>
      </x:c>
      <x:c r="K40" t="n">
        <x:f>IF(OR(F40="",G40="",G40=0),"",F40/G40)</x:f>
        <x:v>9.698996655518394</x:v>
      </x:c>
      <x:c r="L40" t="n">
        <x:f>IF(OR(F40="",F40=0,G40=""),"",G40/F40)</x:f>
        <x:v>0.10310344827586207</x:v>
      </x:c>
      <x:c r="M40" t="str">
        <x:f>IF(OR(F40="",H40="",H40=0),"",F40/H40)</x:f>
      </x:c>
      <x:c r="N40" t="n">
        <x:f>IF(F40="","",F40/MAX($F$2:$F$144))</x:f>
        <x:v>1</x:v>
      </x:c>
      <x:c r="O40" t="n">
        <x:f>IF(J40="","",J40/MAX($J$2:$J$144))</x:f>
        <x:v>0.3054662379421222</x:v>
      </x:c>
      <x:c r="P40" t="n">
        <x:f>IF(G40="","",_xlfn.MINIFS($G$2:$G$144,$G$2:$G$144,"&gt;0")/G40)</x:f>
        <x:v>0.0007525083612040132</x:v>
      </x:c>
      <x:c r="Q40" t="inlineStr">
        <x:is>
          <x:t xml:space="preserve">Formula-derived; missing raw fields remain blank.</x:t>
        </x:is>
      </x:c>
    </x:row>
    <x:row r="41">
      <x:c r="A41" t="inlineStr">
        <x:is>
          <x:t xml:space="preserve">anthropic|claude-opus-5|low|reasoning|fallback-na|aa-v4.3.2|snapshot-2026-09-28</x:t>
        </x:is>
      </x:c>
      <x:c r="B41" t="inlineStr">
        <x:is>
          <x:t xml:space="preserve">anthropic|claude-opus-5|low|reasoning|fallback-na</x:t>
        </x:is>
      </x:c>
      <x:c r="C41" t="inlineStr">
        <x:is>
          <x:t xml:space="preserve">AA|v4.3.2</x:t>
        </x:is>
      </x:c>
      <x:c r="D41" t="n">
        <x:v>40</x:v>
      </x:c>
      <x:c r="E41" t="n">
        <x:f>IFERROR(INDEX(Benchmark_Versions!$I:$I,MATCH(C41,Benchmark_Versions!$A:$A,0)),1)</x:f>
        <x:v>1</x:v>
      </x:c>
      <x:c r="F41" t="n">
        <x:f>IF(D41="","",D41*E41)</x:f>
        <x:v>40</x:v>
      </x:c>
      <x:c r="G41" t="n">
        <x:v>1.1</x:v>
      </x:c>
      <x:c r="I41" t="str">
        <x:f>IF(H41="","",H41/60)</x:f>
      </x:c>
      <x:c r="J41" t="n">
        <x:v>47</x:v>
      </x:c>
      <x:c r="K41" t="n">
        <x:f>IF(OR(F41="",G41="",G41=0),"",F41/G41)</x:f>
        <x:v>36.36363636363636</x:v>
      </x:c>
      <x:c r="L41" t="n">
        <x:f>IF(OR(F41="",F41=0,G41=""),"",G41/F41)</x:f>
        <x:v>0.027500000000000004</x:v>
      </x:c>
      <x:c r="M41" t="str">
        <x:f>IF(OR(F41="",H41="",H41=0),"",F41/H41)</x:f>
      </x:c>
      <x:c r="N41" t="n">
        <x:f>IF(F41="","",F41/MAX($F$2:$F$144))</x:f>
        <x:v>0.6896551724137931</x:v>
      </x:c>
      <x:c r="O41" t="n">
        <x:f>IF(J41="","",J41/MAX($J$2:$J$144))</x:f>
        <x:v>0.15112540192926044</x:v>
      </x:c>
      <x:c r="P41" t="n">
        <x:f>IF(G41="","",_xlfn.MINIFS($G$2:$G$144,$G$2:$G$144,"&gt;0")/G41)</x:f>
        <x:v>0.00409090909090909</x:v>
      </x:c>
      <x:c r="Q41" t="inlineStr">
        <x:is>
          <x:t xml:space="preserve">Formula-derived; missing raw fields remain blank.</x:t>
        </x:is>
      </x:c>
    </x:row>
    <x:row r="42">
      <x:c r="A42" t="inlineStr">
        <x:is>
          <x:t xml:space="preserve">anthropic|claude-opus-5|medium|reasoning|fallback-na|aa-v4.3.2|snapshot-2026-09-28</x:t>
        </x:is>
      </x:c>
      <x:c r="B42" t="inlineStr">
        <x:is>
          <x:t xml:space="preserve">anthropic|claude-opus-5|medium|reasoning|fallback-na</x:t>
        </x:is>
      </x:c>
      <x:c r="C42" t="inlineStr">
        <x:is>
          <x:t xml:space="preserve">AA|v4.3.2</x:t>
        </x:is>
      </x:c>
      <x:c r="D42" t="n">
        <x:v>45</x:v>
      </x:c>
      <x:c r="E42" t="n">
        <x:f>IFERROR(INDEX(Benchmark_Versions!$I:$I,MATCH(C42,Benchmark_Versions!$A:$A,0)),1)</x:f>
        <x:v>1</x:v>
      </x:c>
      <x:c r="F42" t="n">
        <x:f>IF(D42="","",D42*E42)</x:f>
        <x:v>45</x:v>
      </x:c>
      <x:c r="G42" t="n">
        <x:v>2.19</x:v>
      </x:c>
      <x:c r="I42" t="str">
        <x:f>IF(H42="","",H42/60)</x:f>
      </x:c>
      <x:c r="J42" t="n">
        <x:v>48</x:v>
      </x:c>
      <x:c r="K42" t="n">
        <x:f>IF(OR(F42="",G42="",G42=0),"",F42/G42)</x:f>
        <x:v>20.547945205479454</x:v>
      </x:c>
      <x:c r="L42" t="n">
        <x:f>IF(OR(F42="",F42=0,G42=""),"",G42/F42)</x:f>
        <x:v>0.048666666666666664</x:v>
      </x:c>
      <x:c r="M42" t="str">
        <x:f>IF(OR(F42="",H42="",H42=0),"",F42/H42)</x:f>
      </x:c>
      <x:c r="N42" t="n">
        <x:f>IF(F42="","",F42/MAX($F$2:$F$144))</x:f>
        <x:v>0.7758620689655172</x:v>
      </x:c>
      <x:c r="O42" t="n">
        <x:f>IF(J42="","",J42/MAX($J$2:$J$144))</x:f>
        <x:v>0.15434083601286175</x:v>
      </x:c>
      <x:c r="P42" t="n">
        <x:f>IF(G42="","",_xlfn.MINIFS($G$2:$G$144,$G$2:$G$144,"&gt;0")/G42)</x:f>
        <x:v>0.002054794520547945</x:v>
      </x:c>
      <x:c r="Q42" t="inlineStr">
        <x:is>
          <x:t xml:space="preserve">Formula-derived; missing raw fields remain blank.</x:t>
        </x:is>
      </x:c>
    </x:row>
    <x:row r="43">
      <x:c r="A43" t="inlineStr">
        <x:is>
          <x:t xml:space="preserve">anthropic|claude-opus-5|high|reasoning|fallback-na|aa-v4.3.2|snapshot-2026-09-28</x:t>
        </x:is>
      </x:c>
      <x:c r="B43" t="inlineStr">
        <x:is>
          <x:t xml:space="preserve">anthropic|claude-opus-5|high|reasoning|fallback-na</x:t>
        </x:is>
      </x:c>
      <x:c r="C43" t="inlineStr">
        <x:is>
          <x:t xml:space="preserve">AA|v4.3.2</x:t>
        </x:is>
      </x:c>
      <x:c r="D43" t="n">
        <x:v>48</x:v>
      </x:c>
      <x:c r="E43" t="n">
        <x:f>IFERROR(INDEX(Benchmark_Versions!$I:$I,MATCH(C43,Benchmark_Versions!$A:$A,0)),1)</x:f>
        <x:v>1</x:v>
      </x:c>
      <x:c r="F43" t="n">
        <x:f>IF(D43="","",D43*E43)</x:f>
        <x:v>48</x:v>
      </x:c>
      <x:c r="G43" t="n">
        <x:v>3.61</x:v>
      </x:c>
      <x:c r="I43" t="str">
        <x:f>IF(H43="","",H43/60)</x:f>
      </x:c>
      <x:c r="J43" t="n">
        <x:v>50</x:v>
      </x:c>
      <x:c r="K43" t="n">
        <x:f>IF(OR(F43="",G43="",G43=0),"",F43/G43)</x:f>
        <x:v>13.29639889196676</x:v>
      </x:c>
      <x:c r="L43" t="n">
        <x:f>IF(OR(F43="",F43=0,G43=""),"",G43/F43)</x:f>
        <x:v>0.07520833333333334</x:v>
      </x:c>
      <x:c r="M43" t="str">
        <x:f>IF(OR(F43="",H43="",H43=0),"",F43/H43)</x:f>
      </x:c>
      <x:c r="N43" t="n">
        <x:f>IF(F43="","",F43/MAX($F$2:$F$144))</x:f>
        <x:v>0.8275862068965517</x:v>
      </x:c>
      <x:c r="O43" t="n">
        <x:f>IF(J43="","",J43/MAX($J$2:$J$144))</x:f>
        <x:v>0.1607717041800643</x:v>
      </x:c>
      <x:c r="P43" t="n">
        <x:f>IF(G43="","",_xlfn.MINIFS($G$2:$G$144,$G$2:$G$144,"&gt;0")/G43)</x:f>
        <x:v>0.0012465373961218836</x:v>
      </x:c>
      <x:c r="Q43" t="inlineStr">
        <x:is>
          <x:t xml:space="preserve">Formula-derived; missing raw fields remain blank.</x:t>
        </x:is>
      </x:c>
    </x:row>
    <x:row r="44">
      <x:c r="A44" t="inlineStr">
        <x:is>
          <x:t xml:space="preserve">anthropic|claude-opus-5|xhigh|reasoning|fallback-na|aa-v4.3.2|snapshot-2026-09-28</x:t>
        </x:is>
      </x:c>
      <x:c r="B44" t="inlineStr">
        <x:is>
          <x:t xml:space="preserve">anthropic|claude-opus-5|xhigh|reasoning|fallback-na</x:t>
        </x:is>
      </x:c>
      <x:c r="C44" t="inlineStr">
        <x:is>
          <x:t xml:space="preserve">AA|v4.3.2</x:t>
        </x:is>
      </x:c>
      <x:c r="D44" t="n">
        <x:v>50</x:v>
      </x:c>
      <x:c r="E44" t="n">
        <x:f>IFERROR(INDEX(Benchmark_Versions!$I:$I,MATCH(C44,Benchmark_Versions!$A:$A,0)),1)</x:f>
        <x:v>1</x:v>
      </x:c>
      <x:c r="F44" t="n">
        <x:f>IF(D44="","",D44*E44)</x:f>
        <x:v>50</x:v>
      </x:c>
      <x:c r="G44" t="n">
        <x:v>4.88</x:v>
      </x:c>
      <x:c r="I44" t="str">
        <x:f>IF(H44="","",H44/60)</x:f>
      </x:c>
      <x:c r="J44" t="n">
        <x:v>49</x:v>
      </x:c>
      <x:c r="K44" t="n">
        <x:f>IF(OR(F44="",G44="",G44=0),"",F44/G44)</x:f>
        <x:v>10.245901639344263</x:v>
      </x:c>
      <x:c r="L44" t="n">
        <x:f>IF(OR(F44="",F44=0,G44=""),"",G44/F44)</x:f>
        <x:v>0.09759999999999999</x:v>
      </x:c>
      <x:c r="M44" t="str">
        <x:f>IF(OR(F44="",H44="",H44=0),"",F44/H44)</x:f>
      </x:c>
      <x:c r="N44" t="n">
        <x:f>IF(F44="","",F44/MAX($F$2:$F$144))</x:f>
        <x:v>0.8620689655172413</x:v>
      </x:c>
      <x:c r="O44" t="n">
        <x:f>IF(J44="","",J44/MAX($J$2:$J$144))</x:f>
        <x:v>0.15755627009646303</x:v>
      </x:c>
      <x:c r="P44" t="n">
        <x:f>IF(G44="","",_xlfn.MINIFS($G$2:$G$144,$G$2:$G$144,"&gt;0")/G44)</x:f>
        <x:v>0.0009221311475409835</x:v>
      </x:c>
      <x:c r="Q44" t="inlineStr">
        <x:is>
          <x:t xml:space="preserve">Formula-derived; missing raw fields remain blank.</x:t>
        </x:is>
      </x:c>
    </x:row>
    <x:row r="45">
      <x:c r="A45" t="inlineStr">
        <x:is>
          <x:t xml:space="preserve">anthropic|claude-opus-5|max|reasoning|fallback-na|aa-v4.3.2|snapshot-2026-09-28</x:t>
        </x:is>
      </x:c>
      <x:c r="B45" t="inlineStr">
        <x:is>
          <x:t xml:space="preserve">anthropic|claude-opus-5|max|reasoning|fallback-na</x:t>
        </x:is>
      </x:c>
      <x:c r="C45" t="inlineStr">
        <x:is>
          <x:t xml:space="preserve">AA|v4.3.2</x:t>
        </x:is>
      </x:c>
      <x:c r="D45" t="n">
        <x:v>51</x:v>
      </x:c>
      <x:c r="E45" t="n">
        <x:f>IFERROR(INDEX(Benchmark_Versions!$I:$I,MATCH(C45,Benchmark_Versions!$A:$A,0)),1)</x:f>
        <x:v>1</x:v>
      </x:c>
      <x:c r="F45" t="n">
        <x:f>IF(D45="","",D45*E45)</x:f>
        <x:v>51</x:v>
      </x:c>
      <x:c r="G45" t="n">
        <x:v>5.86</x:v>
      </x:c>
      <x:c r="I45" t="str">
        <x:f>IF(H45="","",H45/60)</x:f>
      </x:c>
      <x:c r="J45" t="n">
        <x:v>51</x:v>
      </x:c>
      <x:c r="K45" t="n">
        <x:f>IF(OR(F45="",G45="",G45=0),"",F45/G45)</x:f>
        <x:v>8.703071672354948</x:v>
      </x:c>
      <x:c r="L45" t="n">
        <x:f>IF(OR(F45="",F45=0,G45=""),"",G45/F45)</x:f>
        <x:v>0.11490196078431374</x:v>
      </x:c>
      <x:c r="M45" t="str">
        <x:f>IF(OR(F45="",H45="",H45=0),"",F45/H45)</x:f>
      </x:c>
      <x:c r="N45" t="n">
        <x:f>IF(F45="","",F45/MAX($F$2:$F$144))</x:f>
        <x:v>0.8793103448275862</x:v>
      </x:c>
      <x:c r="O45" t="n">
        <x:f>IF(J45="","",J45/MAX($J$2:$J$144))</x:f>
        <x:v>0.1639871382636656</x:v>
      </x:c>
      <x:c r="P45" t="n">
        <x:f>IF(G45="","",_xlfn.MINIFS($G$2:$G$144,$G$2:$G$144,"&gt;0")/G45)</x:f>
        <x:v>0.0007679180887372013</x:v>
      </x:c>
      <x:c r="Q45" t="inlineStr">
        <x:is>
          <x:t xml:space="preserve">Formula-derived; missing raw fields remain blank.</x:t>
        </x:is>
      </x:c>
    </x:row>
    <x:row r="46">
      <x:c r="A46" t="inlineStr">
        <x:is>
          <x:t xml:space="preserve">anthropic|claude-sonnet-5|non-reasoning|nonreasoning|fallback-na|aa-v4.3.2|snapshot-2026-09-28</x:t>
        </x:is>
      </x:c>
      <x:c r="B46" t="inlineStr">
        <x:is>
          <x:t xml:space="preserve">anthropic|claude-sonnet-5|non-reasoning|nonreasoning|fallback-na</x:t>
        </x:is>
      </x:c>
      <x:c r="C46" t="inlineStr">
        <x:is>
          <x:t xml:space="preserve">AA|v4.3.2</x:t>
        </x:is>
      </x:c>
      <x:c r="D46" t="n">
        <x:v>29</x:v>
      </x:c>
      <x:c r="E46" t="n">
        <x:f>IFERROR(INDEX(Benchmark_Versions!$I:$I,MATCH(C46,Benchmark_Versions!$A:$A,0)),1)</x:f>
        <x:v>1</x:v>
      </x:c>
      <x:c r="F46" t="n">
        <x:f>IF(D46="","",D46*E46)</x:f>
        <x:v>29</x:v>
      </x:c>
      <x:c r="I46" t="str">
        <x:f>IF(H46="","",H46/60)</x:f>
      </x:c>
      <x:c r="J46" t="n">
        <x:v>56</x:v>
      </x:c>
      <x:c r="K46" t="str">
        <x:f>IF(OR(F46="",G46="",G46=0),"",F46/G46)</x:f>
      </x:c>
      <x:c r="L46" t="str">
        <x:f>IF(OR(F46="",F46=0,G46=""),"",G46/F46)</x:f>
      </x:c>
      <x:c r="M46" t="str">
        <x:f>IF(OR(F46="",H46="",H46=0),"",F46/H46)</x:f>
      </x:c>
      <x:c r="N46" t="n">
        <x:f>IF(F46="","",F46/MAX($F$2:$F$144))</x:f>
        <x:v>0.5</x:v>
      </x:c>
      <x:c r="O46" t="n">
        <x:f>IF(J46="","",J46/MAX($J$2:$J$144))</x:f>
        <x:v>0.18006430868167203</x:v>
      </x:c>
      <x:c r="P46" t="str">
        <x:f>IF(G46="","",_xlfn.MINIFS($G$2:$G$144,$G$2:$G$144,"&gt;0")/G46)</x:f>
      </x:c>
      <x:c r="Q46" t="inlineStr">
        <x:is>
          <x:t xml:space="preserve">Formula-derived; missing raw fields remain blank.</x:t>
        </x:is>
      </x:c>
    </x:row>
    <x:row r="47">
      <x:c r="A47" t="inlineStr">
        <x:is>
          <x:t xml:space="preserve">anthropic|claude-sonnet-5|low|reasoning|fallback-na|aa-v4.3.2|snapshot-2026-09-28</x:t>
        </x:is>
      </x:c>
      <x:c r="B47" t="inlineStr">
        <x:is>
          <x:t xml:space="preserve">anthropic|claude-sonnet-5|low|reasoning|fallback-na</x:t>
        </x:is>
      </x:c>
      <x:c r="C47" t="inlineStr">
        <x:is>
          <x:t xml:space="preserve">AA|v4.3.2</x:t>
        </x:is>
      </x:c>
      <x:c r="D47" t="n">
        <x:v>25</x:v>
      </x:c>
      <x:c r="E47" t="n">
        <x:f>IFERROR(INDEX(Benchmark_Versions!$I:$I,MATCH(C47,Benchmark_Versions!$A:$A,0)),1)</x:f>
        <x:v>1</x:v>
      </x:c>
      <x:c r="F47" t="n">
        <x:f>IF(D47="","",D47*E47)</x:f>
        <x:v>25</x:v>
      </x:c>
      <x:c r="G47" t="n">
        <x:v>0.51</x:v>
      </x:c>
      <x:c r="I47" t="str">
        <x:f>IF(H47="","",H47/60)</x:f>
      </x:c>
      <x:c r="J47" t="n">
        <x:v>56</x:v>
      </x:c>
      <x:c r="K47" t="n">
        <x:f>IF(OR(F47="",G47="",G47=0),"",F47/G47)</x:f>
        <x:v>49.01960784313725</x:v>
      </x:c>
      <x:c r="L47" t="n">
        <x:f>IF(OR(F47="",F47=0,G47=""),"",G47/F47)</x:f>
        <x:v>0.0204</x:v>
      </x:c>
      <x:c r="M47" t="str">
        <x:f>IF(OR(F47="",H47="",H47=0),"",F47/H47)</x:f>
      </x:c>
      <x:c r="N47" t="n">
        <x:f>IF(F47="","",F47/MAX($F$2:$F$144))</x:f>
        <x:v>0.43103448275862066</x:v>
      </x:c>
      <x:c r="O47" t="n">
        <x:f>IF(J47="","",J47/MAX($J$2:$J$144))</x:f>
        <x:v>0.18006430868167203</x:v>
      </x:c>
      <x:c r="P47" t="n">
        <x:f>IF(G47="","",_xlfn.MINIFS($G$2:$G$144,$G$2:$G$144,"&gt;0")/G47)</x:f>
        <x:v>0.008823529411764706</x:v>
      </x:c>
      <x:c r="Q47" t="inlineStr">
        <x:is>
          <x:t xml:space="preserve">Formula-derived; missing raw fields remain blank.</x:t>
        </x:is>
      </x:c>
    </x:row>
    <x:row r="48">
      <x:c r="A48" t="inlineStr">
        <x:is>
          <x:t xml:space="preserve">anthropic|claude-sonnet-5|medium|reasoning|fallback-na|aa-v4.3.2|snapshot-2026-09-28</x:t>
        </x:is>
      </x:c>
      <x:c r="B48" t="inlineStr">
        <x:is>
          <x:t xml:space="preserve">anthropic|claude-sonnet-5|medium|reasoning|fallback-na</x:t>
        </x:is>
      </x:c>
      <x:c r="C48" t="inlineStr">
        <x:is>
          <x:t xml:space="preserve">AA|v4.3.2</x:t>
        </x:is>
      </x:c>
      <x:c r="D48" t="n">
        <x:v>28</x:v>
      </x:c>
      <x:c r="E48" t="n">
        <x:f>IFERROR(INDEX(Benchmark_Versions!$I:$I,MATCH(C48,Benchmark_Versions!$A:$A,0)),1)</x:f>
        <x:v>1</x:v>
      </x:c>
      <x:c r="F48" t="n">
        <x:f>IF(D48="","",D48*E48)</x:f>
        <x:v>28</x:v>
      </x:c>
      <x:c r="G48" t="n">
        <x:v>1</x:v>
      </x:c>
      <x:c r="I48" t="str">
        <x:f>IF(H48="","",H48/60)</x:f>
      </x:c>
      <x:c r="J48" t="n">
        <x:v>57</x:v>
      </x:c>
      <x:c r="K48" t="n">
        <x:f>IF(OR(F48="",G48="",G48=0),"",F48/G48)</x:f>
        <x:v>28</x:v>
      </x:c>
      <x:c r="L48" t="n">
        <x:f>IF(OR(F48="",F48=0,G48=""),"",G48/F48)</x:f>
        <x:v>0.03571428571428571</x:v>
      </x:c>
      <x:c r="M48" t="str">
        <x:f>IF(OR(F48="",H48="",H48=0),"",F48/H48)</x:f>
      </x:c>
      <x:c r="N48" t="n">
        <x:f>IF(F48="","",F48/MAX($F$2:$F$144))</x:f>
        <x:v>0.4827586206896552</x:v>
      </x:c>
      <x:c r="O48" t="n">
        <x:f>IF(J48="","",J48/MAX($J$2:$J$144))</x:f>
        <x:v>0.1832797427652733</x:v>
      </x:c>
      <x:c r="P48" t="n">
        <x:f>IF(G48="","",_xlfn.MINIFS($G$2:$G$144,$G$2:$G$144,"&gt;0")/G48)</x:f>
        <x:v>0.0045</x:v>
      </x:c>
      <x:c r="Q48" t="inlineStr">
        <x:is>
          <x:t xml:space="preserve">Formula-derived; missing raw fields remain blank.</x:t>
        </x:is>
      </x:c>
    </x:row>
    <x:row r="49">
      <x:c r="A49" t="inlineStr">
        <x:is>
          <x:t xml:space="preserve">anthropic|claude-sonnet-5|high|reasoning|fallback-na|aa-v4.3.2|snapshot-2026-09-28</x:t>
        </x:is>
      </x:c>
      <x:c r="B49" t="inlineStr">
        <x:is>
          <x:t xml:space="preserve">anthropic|claude-sonnet-5|high|reasoning|fallback-na</x:t>
        </x:is>
      </x:c>
      <x:c r="C49" t="inlineStr">
        <x:is>
          <x:t xml:space="preserve">AA|v4.3.2</x:t>
        </x:is>
      </x:c>
      <x:c r="D49" t="n">
        <x:v>32</x:v>
      </x:c>
      <x:c r="E49" t="n">
        <x:f>IFERROR(INDEX(Benchmark_Versions!$I:$I,MATCH(C49,Benchmark_Versions!$A:$A,0)),1)</x:f>
        <x:v>1</x:v>
      </x:c>
      <x:c r="F49" t="n">
        <x:f>IF(D49="","",D49*E49)</x:f>
        <x:v>32</x:v>
      </x:c>
      <x:c r="G49" t="n">
        <x:v>1.79</x:v>
      </x:c>
      <x:c r="I49" t="str">
        <x:f>IF(H49="","",H49/60)</x:f>
      </x:c>
      <x:c r="J49" t="n">
        <x:v>60</x:v>
      </x:c>
      <x:c r="K49" t="n">
        <x:f>IF(OR(F49="",G49="",G49=0),"",F49/G49)</x:f>
        <x:v>17.877094972067038</x:v>
      </x:c>
      <x:c r="L49" t="n">
        <x:f>IF(OR(F49="",F49=0,G49=""),"",G49/F49)</x:f>
        <x:v>0.0559375</x:v>
      </x:c>
      <x:c r="M49" t="str">
        <x:f>IF(OR(F49="",H49="",H49=0),"",F49/H49)</x:f>
      </x:c>
      <x:c r="N49" t="n">
        <x:f>IF(F49="","",F49/MAX($F$2:$F$144))</x:f>
        <x:v>0.5517241379310345</x:v>
      </x:c>
      <x:c r="O49" t="n">
        <x:f>IF(J49="","",J49/MAX($J$2:$J$144))</x:f>
        <x:v>0.19292604501607716</x:v>
      </x:c>
      <x:c r="P49" t="n">
        <x:f>IF(G49="","",_xlfn.MINIFS($G$2:$G$144,$G$2:$G$144,"&gt;0")/G49)</x:f>
        <x:v>0.0025139664804469273</x:v>
      </x:c>
      <x:c r="Q49" t="inlineStr">
        <x:is>
          <x:t xml:space="preserve">Formula-derived; missing raw fields remain blank.</x:t>
        </x:is>
      </x:c>
    </x:row>
    <x:row r="50">
      <x:c r="A50" t="inlineStr">
        <x:is>
          <x:t xml:space="preserve">anthropic|claude-sonnet-5|xhigh|reasoning|fallback-na|aa-v4.3.2|snapshot-2026-09-28</x:t>
        </x:is>
      </x:c>
      <x:c r="B50" t="inlineStr">
        <x:is>
          <x:t xml:space="preserve">anthropic|claude-sonnet-5|xhigh|reasoning|fallback-na</x:t>
        </x:is>
      </x:c>
      <x:c r="C50" t="inlineStr">
        <x:is>
          <x:t xml:space="preserve">AA|v4.3.2</x:t>
        </x:is>
      </x:c>
      <x:c r="E50" t="n">
        <x:f>IFERROR(INDEX(Benchmark_Versions!$I:$I,MATCH(C50,Benchmark_Versions!$A:$A,0)),1)</x:f>
        <x:v>1</x:v>
      </x:c>
      <x:c r="F50" t="str">
        <x:f>IF(D50="","",D50*E50)</x:f>
      </x:c>
      <x:c r="I50" t="str">
        <x:f>IF(H50="","",H50/60)</x:f>
      </x:c>
      <x:c r="J50" t="n">
        <x:v>65</x:v>
      </x:c>
      <x:c r="K50" t="str">
        <x:f>IF(OR(F50="",G50="",G50=0),"",F50/G50)</x:f>
      </x:c>
      <x:c r="L50" t="str">
        <x:f>IF(OR(F50="",F50=0,G50=""),"",G50/F50)</x:f>
      </x:c>
      <x:c r="M50" t="str">
        <x:f>IF(OR(F50="",H50="",H50=0),"",F50/H50)</x:f>
      </x:c>
      <x:c r="N50" t="str">
        <x:f>IF(F50="","",F50/MAX($F$2:$F$144))</x:f>
      </x:c>
      <x:c r="O50" t="n">
        <x:f>IF(J50="","",J50/MAX($J$2:$J$144))</x:f>
        <x:v>0.2090032154340836</x:v>
      </x:c>
      <x:c r="P50" t="str">
        <x:f>IF(G50="","",_xlfn.MINIFS($G$2:$G$144,$G$2:$G$144,"&gt;0")/G50)</x:f>
      </x:c>
      <x:c r="Q50" t="inlineStr">
        <x:is>
          <x:t xml:space="preserve">Formula-derived; missing raw fields remain blank.</x:t>
        </x:is>
      </x:c>
    </x:row>
    <x:row r="51">
      <x:c r="A51" t="inlineStr">
        <x:is>
          <x:t xml:space="preserve">anthropic|claude-sonnet-5|max|reasoning|fallback-na|aa-v4.3.2|snapshot-2026-09-28</x:t>
        </x:is>
      </x:c>
      <x:c r="B51" t="inlineStr">
        <x:is>
          <x:t xml:space="preserve">anthropic|claude-sonnet-5|max|reasoning|fallback-na</x:t>
        </x:is>
      </x:c>
      <x:c r="C51" t="inlineStr">
        <x:is>
          <x:t xml:space="preserve">AA|v4.3.2</x:t>
        </x:is>
      </x:c>
      <x:c r="D51" t="n">
        <x:v>38</x:v>
      </x:c>
      <x:c r="E51" t="n">
        <x:f>IFERROR(INDEX(Benchmark_Versions!$I:$I,MATCH(C51,Benchmark_Versions!$A:$A,0)),1)</x:f>
        <x:v>1</x:v>
      </x:c>
      <x:c r="F51" t="n">
        <x:f>IF(D51="","",D51*E51)</x:f>
        <x:v>38</x:v>
      </x:c>
      <x:c r="G51" t="n">
        <x:v>5.09</x:v>
      </x:c>
      <x:c r="I51" t="str">
        <x:f>IF(H51="","",H51/60)</x:f>
      </x:c>
      <x:c r="J51" t="n">
        <x:v>83.90000000000001</x:v>
      </x:c>
      <x:c r="K51" t="n">
        <x:f>IF(OR(F51="",G51="",G51=0),"",F51/G51)</x:f>
        <x:v>7.465618860510806</x:v>
      </x:c>
      <x:c r="L51" t="n">
        <x:f>IF(OR(F51="",F51=0,G51=""),"",G51/F51)</x:f>
        <x:v>0.13394736842105262</x:v>
      </x:c>
      <x:c r="M51" t="str">
        <x:f>IF(OR(F51="",H51="",H51=0),"",F51/H51)</x:f>
      </x:c>
      <x:c r="N51" t="n">
        <x:f>IF(F51="","",F51/MAX($F$2:$F$144))</x:f>
        <x:v>0.6551724137931034</x:v>
      </x:c>
      <x:c r="O51" t="n">
        <x:f>IF(J51="","",J51/MAX($J$2:$J$144))</x:f>
        <x:v>0.2697749196141479</x:v>
      </x:c>
      <x:c r="P51" t="n">
        <x:f>IF(G51="","",_xlfn.MINIFS($G$2:$G$144,$G$2:$G$144,"&gt;0")/G51)</x:f>
        <x:v>0.0008840864440078585</x:v>
      </x:c>
      <x:c r="Q51" t="inlineStr">
        <x:is>
          <x:t xml:space="preserve">Formula-derived; missing raw fields remain blank.</x:t>
        </x:is>
      </x:c>
    </x:row>
    <x:row r="52">
      <x:c r="A52" t="inlineStr">
        <x:is>
          <x:t xml:space="preserve">anthropic|claude-4.5-haiku|non-reasoning|nonreasoning|fallback-na|aa-v4.3.2|snapshot-2026-09-28</x:t>
        </x:is>
      </x:c>
      <x:c r="B52" t="inlineStr">
        <x:is>
          <x:t xml:space="preserve">anthropic|claude-4.5-haiku|non-reasoning|nonreasoning|fallback-na</x:t>
        </x:is>
      </x:c>
      <x:c r="C52" t="inlineStr">
        <x:is>
          <x:t xml:space="preserve">AA|v4.3.2</x:t>
        </x:is>
      </x:c>
      <x:c r="D52" t="n">
        <x:v>15</x:v>
      </x:c>
      <x:c r="E52" t="n">
        <x:f>IFERROR(INDEX(Benchmark_Versions!$I:$I,MATCH(C52,Benchmark_Versions!$A:$A,0)),1)</x:f>
        <x:v>1</x:v>
      </x:c>
      <x:c r="F52" t="n">
        <x:f>IF(D52="","",D52*E52)</x:f>
        <x:v>15</x:v>
      </x:c>
      <x:c r="I52" t="str">
        <x:f>IF(H52="","",H52/60)</x:f>
      </x:c>
      <x:c r="J52" t="n">
        <x:v>78.3</x:v>
      </x:c>
      <x:c r="K52" t="str">
        <x:f>IF(OR(F52="",G52="",G52=0),"",F52/G52)</x:f>
      </x:c>
      <x:c r="L52" t="str">
        <x:f>IF(OR(F52="",F52=0,G52=""),"",G52/F52)</x:f>
      </x:c>
      <x:c r="M52" t="str">
        <x:f>IF(OR(F52="",H52="",H52=0),"",F52/H52)</x:f>
      </x:c>
      <x:c r="N52" t="n">
        <x:f>IF(F52="","",F52/MAX($F$2:$F$144))</x:f>
        <x:v>0.25862068965517243</x:v>
      </x:c>
      <x:c r="O52" t="n">
        <x:f>IF(J52="","",J52/MAX($J$2:$J$144))</x:f>
        <x:v>0.2517684887459807</x:v>
      </x:c>
      <x:c r="P52" t="str">
        <x:f>IF(G52="","",_xlfn.MINIFS($G$2:$G$144,$G$2:$G$144,"&gt;0")/G52)</x:f>
      </x:c>
      <x:c r="Q52" t="inlineStr">
        <x:is>
          <x:t xml:space="preserve">Formula-derived; missing raw fields remain blank.</x:t>
        </x:is>
      </x:c>
    </x:row>
    <x:row r="53">
      <x:c r="A53" t="inlineStr">
        <x:is>
          <x:t xml:space="preserve">anthropic|claude-4.5-haiku|reasoning|reasoning|fallback-na|aa-v4.3.2|snapshot-2026-09-28</x:t>
        </x:is>
      </x:c>
      <x:c r="B53" t="inlineStr">
        <x:is>
          <x:t xml:space="preserve">anthropic|claude-4.5-haiku|reasoning|reasoning|fallback-na</x:t>
        </x:is>
      </x:c>
      <x:c r="C53" t="inlineStr">
        <x:is>
          <x:t xml:space="preserve">AA|v4.3.2</x:t>
        </x:is>
      </x:c>
      <x:c r="D53" t="n">
        <x:v>17</x:v>
      </x:c>
      <x:c r="E53" t="n">
        <x:f>IFERROR(INDEX(Benchmark_Versions!$I:$I,MATCH(C53,Benchmark_Versions!$A:$A,0)),1)</x:f>
        <x:v>1</x:v>
      </x:c>
      <x:c r="F53" t="n">
        <x:f>IF(D53="","",D53*E53)</x:f>
        <x:v>17</x:v>
      </x:c>
      <x:c r="G53" t="n">
        <x:v>0.28</x:v>
      </x:c>
      <x:c r="I53" t="str">
        <x:f>IF(H53="","",H53/60)</x:f>
      </x:c>
      <x:c r="J53" t="n">
        <x:v>80.3</x:v>
      </x:c>
      <x:c r="K53" t="n">
        <x:f>IF(OR(F53="",G53="",G53=0),"",F53/G53)</x:f>
        <x:v>60.71428571428571</x:v>
      </x:c>
      <x:c r="L53" t="n">
        <x:f>IF(OR(F53="",F53=0,G53=""),"",G53/F53)</x:f>
        <x:v>0.01647058823529412</x:v>
      </x:c>
      <x:c r="M53" t="str">
        <x:f>IF(OR(F53="",H53="",H53=0),"",F53/H53)</x:f>
      </x:c>
      <x:c r="N53" t="n">
        <x:f>IF(F53="","",F53/MAX($F$2:$F$144))</x:f>
        <x:v>0.29310344827586204</x:v>
      </x:c>
      <x:c r="O53" t="n">
        <x:f>IF(J53="","",J53/MAX($J$2:$J$144))</x:f>
        <x:v>0.2581993569131833</x:v>
      </x:c>
      <x:c r="P53" t="n">
        <x:f>IF(G53="","",_xlfn.MINIFS($G$2:$G$144,$G$2:$G$144,"&gt;0")/G53)</x:f>
        <x:v>0.01607142857142857</x:v>
      </x:c>
      <x:c r="Q53" t="inlineStr">
        <x:is>
          <x:t xml:space="preserve">Formula-derived; missing raw fields remain blank.</x:t>
        </x:is>
      </x:c>
    </x:row>
    <x:row r="54">
      <x:c r="A54" t="inlineStr">
        <x:is>
          <x:t xml:space="preserve">anthropic|claude-opus-4.5|non-reasoning|nonreasoning|fallback-na|aa-v4.3.2|snapshot-2026-09-28</x:t>
        </x:is>
      </x:c>
      <x:c r="B54" t="inlineStr">
        <x:is>
          <x:t xml:space="preserve">anthropic|claude-opus-4.5|non-reasoning|nonreasoning|fallback-na</x:t>
        </x:is>
      </x:c>
      <x:c r="C54" t="inlineStr">
        <x:is>
          <x:t xml:space="preserve">AA|v4.3.2</x:t>
        </x:is>
      </x:c>
      <x:c r="D54" t="n">
        <x:v>24</x:v>
      </x:c>
      <x:c r="E54" t="n">
        <x:f>IFERROR(INDEX(Benchmark_Versions!$I:$I,MATCH(C54,Benchmark_Versions!$A:$A,0)),1)</x:f>
        <x:v>1</x:v>
      </x:c>
      <x:c r="F54" t="n">
        <x:f>IF(D54="","",D54*E54)</x:f>
        <x:v>24</x:v>
      </x:c>
      <x:c r="I54" t="str">
        <x:f>IF(H54="","",H54/60)</x:f>
      </x:c>
      <x:c r="J54" t="n">
        <x:v>44</x:v>
      </x:c>
      <x:c r="K54" t="str">
        <x:f>IF(OR(F54="",G54="",G54=0),"",F54/G54)</x:f>
      </x:c>
      <x:c r="L54" t="str">
        <x:f>IF(OR(F54="",F54=0,G54=""),"",G54/F54)</x:f>
      </x:c>
      <x:c r="M54" t="str">
        <x:f>IF(OR(F54="",H54="",H54=0),"",F54/H54)</x:f>
      </x:c>
      <x:c r="N54" t="n">
        <x:f>IF(F54="","",F54/MAX($F$2:$F$144))</x:f>
        <x:v>0.41379310344827586</x:v>
      </x:c>
      <x:c r="O54" t="n">
        <x:f>IF(J54="","",J54/MAX($J$2:$J$144))</x:f>
        <x:v>0.1414790996784566</x:v>
      </x:c>
      <x:c r="P54" t="str">
        <x:f>IF(G54="","",_xlfn.MINIFS($G$2:$G$144,$G$2:$G$144,"&gt;0")/G54)</x:f>
      </x:c>
      <x:c r="Q54" t="inlineStr">
        <x:is>
          <x:t xml:space="preserve">Formula-derived; missing raw fields remain blank.</x:t>
        </x:is>
      </x:c>
    </x:row>
    <x:row r="55">
      <x:c r="A55" t="inlineStr">
        <x:is>
          <x:t xml:space="preserve">anthropic|claude-opus-4.5|reasoning|reasoning|fallback-na|aa-v4.3.2|snapshot-2026-09-28</x:t>
        </x:is>
      </x:c>
      <x:c r="B55" t="inlineStr">
        <x:is>
          <x:t xml:space="preserve">anthropic|claude-opus-4.5|reasoning|reasoning|fallback-na</x:t>
        </x:is>
      </x:c>
      <x:c r="C55" t="inlineStr">
        <x:is>
          <x:t xml:space="preserve">AA|v4.3.2</x:t>
        </x:is>
      </x:c>
      <x:c r="D55" t="n">
        <x:v>29</x:v>
      </x:c>
      <x:c r="E55" t="n">
        <x:f>IFERROR(INDEX(Benchmark_Versions!$I:$I,MATCH(C55,Benchmark_Versions!$A:$A,0)),1)</x:f>
        <x:v>1</x:v>
      </x:c>
      <x:c r="F55" t="n">
        <x:f>IF(D55="","",D55*E55)</x:f>
        <x:v>29</x:v>
      </x:c>
      <x:c r="I55" t="str">
        <x:f>IF(H55="","",H55/60)</x:f>
      </x:c>
      <x:c r="J55" t="n">
        <x:v>45</x:v>
      </x:c>
      <x:c r="K55" t="str">
        <x:f>IF(OR(F55="",G55="",G55=0),"",F55/G55)</x:f>
      </x:c>
      <x:c r="L55" t="str">
        <x:f>IF(OR(F55="",F55=0,G55=""),"",G55/F55)</x:f>
      </x:c>
      <x:c r="M55" t="str">
        <x:f>IF(OR(F55="",H55="",H55=0),"",F55/H55)</x:f>
      </x:c>
      <x:c r="N55" t="n">
        <x:f>IF(F55="","",F55/MAX($F$2:$F$144))</x:f>
        <x:v>0.5</x:v>
      </x:c>
      <x:c r="O55" t="n">
        <x:f>IF(J55="","",J55/MAX($J$2:$J$144))</x:f>
        <x:v>0.14469453376205788</x:v>
      </x:c>
      <x:c r="P55" t="str">
        <x:f>IF(G55="","",_xlfn.MINIFS($G$2:$G$144,$G$2:$G$144,"&gt;0")/G55)</x:f>
      </x:c>
      <x:c r="Q55" t="inlineStr">
        <x:is>
          <x:t xml:space="preserve">Formula-derived; missing raw fields remain blank.</x:t>
        </x:is>
      </x:c>
    </x:row>
    <x:row r="56">
      <x:c r="A56" t="inlineStr">
        <x:is>
          <x:t xml:space="preserve">z-ai|glm-5.3-flash|reasoning|reasoning|fallback-na|aa-v4.3.2|snapshot-2026-09-28</x:t>
        </x:is>
      </x:c>
      <x:c r="B56" t="inlineStr">
        <x:is>
          <x:t xml:space="preserve">z-ai|glm-5.3-flash|reasoning|reasoning|fallback-na</x:t>
        </x:is>
      </x:c>
      <x:c r="C56" t="inlineStr">
        <x:is>
          <x:t xml:space="preserve">AA|v4.3.2</x:t>
        </x:is>
      </x:c>
      <x:c r="D56" t="n">
        <x:v>42</x:v>
      </x:c>
      <x:c r="E56" t="n">
        <x:f>IFERROR(INDEX(Benchmark_Versions!$I:$I,MATCH(C56,Benchmark_Versions!$A:$A,0)),1)</x:f>
        <x:v>1</x:v>
      </x:c>
      <x:c r="F56" t="n">
        <x:f>IF(D56="","",D56*E56)</x:f>
        <x:v>42</x:v>
      </x:c>
      <x:c r="G56" t="n">
        <x:v>0.25</x:v>
      </x:c>
      <x:c r="H56" t="n">
        <x:v>984.14</x:v>
      </x:c>
      <x:c r="I56" t="n">
        <x:f>IF(H56="","",H56/60)</x:f>
        <x:v>16.402333333333335</x:v>
      </x:c>
      <x:c r="J56" t="n">
        <x:v>57</x:v>
      </x:c>
      <x:c r="K56" t="n">
        <x:f>IF(OR(F56="",G56="",G56=0),"",F56/G56)</x:f>
        <x:v>168</x:v>
      </x:c>
      <x:c r="L56" t="n">
        <x:f>IF(OR(F56="",F56=0,G56=""),"",G56/F56)</x:f>
        <x:v>0.005952380952380952</x:v>
      </x:c>
      <x:c r="M56" t="n">
        <x:f>IF(OR(F56="",H56="",H56=0),"",F56/H56)</x:f>
        <x:v>0.042676854919015586</x:v>
      </x:c>
      <x:c r="N56" t="n">
        <x:f>IF(F56="","",F56/MAX($F$2:$F$144))</x:f>
        <x:v>0.7241379310344828</x:v>
      </x:c>
      <x:c r="O56" t="n">
        <x:f>IF(J56="","",J56/MAX($J$2:$J$144))</x:f>
        <x:v>0.1832797427652733</x:v>
      </x:c>
      <x:c r="P56" t="n">
        <x:f>IF(G56="","",_xlfn.MINIFS($G$2:$G$144,$G$2:$G$144,"&gt;0")/G56)</x:f>
        <x:v>0.018</x:v>
      </x:c>
      <x:c r="Q56" t="inlineStr">
        <x:is>
          <x:t xml:space="preserve">Formula-derived; missing raw fields remain blank.</x:t>
        </x:is>
      </x:c>
    </x:row>
    <x:row r="57">
      <x:c r="A57" t="inlineStr">
        <x:is>
          <x:t xml:space="preserve">alibaba|qwen3.8-flash-next|reasoning|reasoning|fallback-na|aa-v4.3.2|snapshot-2026-09-28</x:t>
        </x:is>
      </x:c>
      <x:c r="B57" t="inlineStr">
        <x:is>
          <x:t xml:space="preserve">alibaba|qwen3.8-flash-next|reasoning|reasoning|fallback-na</x:t>
        </x:is>
      </x:c>
      <x:c r="C57" t="inlineStr">
        <x:is>
          <x:t xml:space="preserve">AA|v4.3.2</x:t>
        </x:is>
      </x:c>
      <x:c r="D57" t="n">
        <x:v>40</x:v>
      </x:c>
      <x:c r="E57" t="n">
        <x:f>IFERROR(INDEX(Benchmark_Versions!$I:$I,MATCH(C57,Benchmark_Versions!$A:$A,0)),1)</x:f>
        <x:v>1</x:v>
      </x:c>
      <x:c r="F57" t="n">
        <x:f>IF(D57="","",D57*E57)</x:f>
        <x:v>40</x:v>
      </x:c>
      <x:c r="G57" t="n">
        <x:v>0.37</x:v>
      </x:c>
      <x:c r="H57" t="n">
        <x:v>1662.06</x:v>
      </x:c>
      <x:c r="I57" t="n">
        <x:f>IF(H57="","",H57/60)</x:f>
        <x:v>27.701</x:v>
      </x:c>
      <x:c r="J57" t="n">
        <x:v>57</x:v>
      </x:c>
      <x:c r="K57" t="n">
        <x:f>IF(OR(F57="",G57="",G57=0),"",F57/G57)</x:f>
        <x:v>108.10810810810811</x:v>
      </x:c>
      <x:c r="L57" t="n">
        <x:f>IF(OR(F57="",F57=0,G57=""),"",G57/F57)</x:f>
        <x:v>0.00925</x:v>
      </x:c>
      <x:c r="M57" t="n">
        <x:f>IF(OR(F57="",H57="",H57=0),"",F57/H57)</x:f>
        <x:v>0.024066519860895516</x:v>
      </x:c>
      <x:c r="N57" t="n">
        <x:f>IF(F57="","",F57/MAX($F$2:$F$144))</x:f>
        <x:v>0.6896551724137931</x:v>
      </x:c>
      <x:c r="O57" t="n">
        <x:f>IF(J57="","",J57/MAX($J$2:$J$144))</x:f>
        <x:v>0.1832797427652733</x:v>
      </x:c>
      <x:c r="P57" t="n">
        <x:f>IF(G57="","",_xlfn.MINIFS($G$2:$G$144,$G$2:$G$144,"&gt;0")/G57)</x:f>
        <x:v>0.012162162162162161</x:v>
      </x:c>
      <x:c r="Q57" t="inlineStr">
        <x:is>
          <x:t xml:space="preserve">Formula-derived; missing raw fields remain blank.</x:t>
        </x:is>
      </x:c>
    </x:row>
    <x:row r="58">
      <x:c r="A58" t="inlineStr">
        <x:is>
          <x:t xml:space="preserve">xiaomi|mimo-v2.6-flash|reasoning|reasoning|fallback-na|aa-v4.3.2|snapshot-2026-09-28</x:t>
        </x:is>
      </x:c>
      <x:c r="B58" t="inlineStr">
        <x:is>
          <x:t xml:space="preserve">xiaomi|mimo-v2.6-flash|reasoning|reasoning|fallback-na</x:t>
        </x:is>
      </x:c>
      <x:c r="C58" t="inlineStr">
        <x:is>
          <x:t xml:space="preserve">AA|v4.3.2</x:t>
        </x:is>
      </x:c>
      <x:c r="D58" t="n">
        <x:v>38</x:v>
      </x:c>
      <x:c r="E58" t="n">
        <x:f>IFERROR(INDEX(Benchmark_Versions!$I:$I,MATCH(C58,Benchmark_Versions!$A:$A,0)),1)</x:f>
        <x:v>1</x:v>
      </x:c>
      <x:c r="F58" t="n">
        <x:f>IF(D58="","",D58*E58)</x:f>
        <x:v>38</x:v>
      </x:c>
      <x:c r="G58" t="n">
        <x:v>0.06</x:v>
      </x:c>
      <x:c r="H58" t="n">
        <x:v>1253.14</x:v>
      </x:c>
      <x:c r="I58" t="n">
        <x:f>IF(H58="","",H58/60)</x:f>
        <x:v>20.88566666666667</x:v>
      </x:c>
      <x:c r="J58" t="n">
        <x:v>62</x:v>
      </x:c>
      <x:c r="K58" t="n">
        <x:f>IF(OR(F58="",G58="",G58=0),"",F58/G58)</x:f>
        <x:v>633.3333333333334</x:v>
      </x:c>
      <x:c r="L58" t="n">
        <x:f>IF(OR(F58="",F58=0,G58=""),"",G58/F58)</x:f>
        <x:v>0.0015789473684210526</x:v>
      </x:c>
      <x:c r="M58" t="n">
        <x:f>IF(OR(F58="",H58="",H58=0),"",F58/H58)</x:f>
        <x:v>0.030323826547712145</x:v>
      </x:c>
      <x:c r="N58" t="n">
        <x:f>IF(F58="","",F58/MAX($F$2:$F$144))</x:f>
        <x:v>0.6551724137931034</x:v>
      </x:c>
      <x:c r="O58" t="n">
        <x:f>IF(J58="","",J58/MAX($J$2:$J$144))</x:f>
        <x:v>0.19935691318327975</x:v>
      </x:c>
      <x:c r="P58" t="n">
        <x:f>IF(G58="","",_xlfn.MINIFS($G$2:$G$144,$G$2:$G$144,"&gt;0")/G58)</x:f>
        <x:v>0.075</x:v>
      </x:c>
      <x:c r="Q58" t="inlineStr">
        <x:is>
          <x:t xml:space="preserve">Formula-derived; missing raw fields remain blank.</x:t>
        </x:is>
      </x:c>
    </x:row>
    <x:row r="59">
      <x:c r="A59" t="inlineStr">
        <x:is>
          <x:t xml:space="preserve">minimax|minimax-m3|reasoning|reasoning|fallback-na|aa-v4.3.2|snapshot-2026-09-28</x:t>
        </x:is>
      </x:c>
      <x:c r="B59" t="inlineStr">
        <x:is>
          <x:t xml:space="preserve">minimax|minimax-m3|reasoning|reasoning|fallback-na</x:t>
        </x:is>
      </x:c>
      <x:c r="C59" t="inlineStr">
        <x:is>
          <x:t xml:space="preserve">AA|v4.3.2</x:t>
        </x:is>
      </x:c>
      <x:c r="D59" t="n">
        <x:v>29</x:v>
      </x:c>
      <x:c r="E59" t="n">
        <x:f>IFERROR(INDEX(Benchmark_Versions!$I:$I,MATCH(C59,Benchmark_Versions!$A:$A,0)),1)</x:f>
        <x:v>1</x:v>
      </x:c>
      <x:c r="F59" t="n">
        <x:f>IF(D59="","",D59*E59)</x:f>
        <x:v>29</x:v>
      </x:c>
      <x:c r="G59" t="n">
        <x:v>0.51</x:v>
      </x:c>
      <x:c r="H59" t="n">
        <x:v>295.4</x:v>
      </x:c>
      <x:c r="I59" t="n">
        <x:f>IF(H59="","",H59/60)</x:f>
        <x:v>4.923333333333333</x:v>
      </x:c>
      <x:c r="J59" t="n">
        <x:v>174</x:v>
      </x:c>
      <x:c r="K59" t="n">
        <x:f>IF(OR(F59="",G59="",G59=0),"",F59/G59)</x:f>
        <x:v>56.86274509803921</x:v>
      </x:c>
      <x:c r="L59" t="n">
        <x:f>IF(OR(F59="",F59=0,G59=""),"",G59/F59)</x:f>
        <x:v>0.017586206896551725</x:v>
      </x:c>
      <x:c r="M59" t="n">
        <x:f>IF(OR(F59="",H59="",H59=0),"",F59/H59)</x:f>
        <x:v>0.09817197020988491</x:v>
      </x:c>
      <x:c r="N59" t="n">
        <x:f>IF(F59="","",F59/MAX($F$2:$F$144))</x:f>
        <x:v>0.5</x:v>
      </x:c>
      <x:c r="O59" t="n">
        <x:f>IF(J59="","",J59/MAX($J$2:$J$144))</x:f>
        <x:v>0.5594855305466238</x:v>
      </x:c>
      <x:c r="P59" t="n">
        <x:f>IF(G59="","",_xlfn.MINIFS($G$2:$G$144,$G$2:$G$144,"&gt;0")/G59)</x:f>
        <x:v>0.008823529411764706</x:v>
      </x:c>
      <x:c r="Q59" t="inlineStr">
        <x:is>
          <x:t xml:space="preserve">Formula-derived; missing raw fields remain blank.</x:t>
        </x:is>
      </x:c>
    </x:row>
    <x:row r="60">
      <x:c r="A60" t="inlineStr">
        <x:is>
          <x:t xml:space="preserve">meta|muse-spark-1.3|xhigh|reasoning|fallback-na|aa-v4.3.2|snapshot-2026-09-28</x:t>
        </x:is>
      </x:c>
      <x:c r="B60" t="inlineStr">
        <x:is>
          <x:t xml:space="preserve">meta|muse-spark-1.3|xhigh|reasoning|fallback-na</x:t>
        </x:is>
      </x:c>
      <x:c r="C60" t="inlineStr">
        <x:is>
          <x:t xml:space="preserve">AA|v4.3.2</x:t>
        </x:is>
      </x:c>
      <x:c r="D60" t="n">
        <x:v>45</x:v>
      </x:c>
      <x:c r="E60" t="n">
        <x:f>IFERROR(INDEX(Benchmark_Versions!$I:$I,MATCH(C60,Benchmark_Versions!$A:$A,0)),1)</x:f>
        <x:v>1</x:v>
      </x:c>
      <x:c r="F60" t="n">
        <x:f>IF(D60="","",D60*E60)</x:f>
        <x:v>45</x:v>
      </x:c>
      <x:c r="G60" t="n">
        <x:v>1.37</x:v>
      </x:c>
      <x:c r="I60" t="str">
        <x:f>IF(H60="","",H60/60)</x:f>
      </x:c>
      <x:c r="J60" t="n">
        <x:v>196</x:v>
      </x:c>
      <x:c r="K60" t="n">
        <x:f>IF(OR(F60="",G60="",G60=0),"",F60/G60)</x:f>
        <x:v>32.84671532846715</x:v>
      </x:c>
      <x:c r="L60" t="n">
        <x:f>IF(OR(F60="",F60=0,G60=""),"",G60/F60)</x:f>
        <x:v>0.030444444444444448</x:v>
      </x:c>
      <x:c r="M60" t="str">
        <x:f>IF(OR(F60="",H60="",H60=0),"",F60/H60)</x:f>
      </x:c>
      <x:c r="N60" t="n">
        <x:f>IF(F60="","",F60/MAX($F$2:$F$144))</x:f>
        <x:v>0.7758620689655172</x:v>
      </x:c>
      <x:c r="O60" t="n">
        <x:f>IF(J60="","",J60/MAX($J$2:$J$144))</x:f>
        <x:v>0.6302250803858521</x:v>
      </x:c>
      <x:c r="P60" t="n">
        <x:f>IF(G60="","",_xlfn.MINIFS($G$2:$G$144,$G$2:$G$144,"&gt;0")/G60)</x:f>
        <x:v>0.003284671532846715</x:v>
      </x:c>
      <x:c r="Q60" t="inlineStr">
        <x:is>
          <x:t xml:space="preserve">Formula-derived; missing raw fields remain blank.</x:t>
        </x:is>
      </x:c>
    </x:row>
    <x:row r="61">
      <x:c r="A61" t="inlineStr">
        <x:is>
          <x:t xml:space="preserve">meta|muse-spark-1.3|max|reasoning|fallback-na|aa-v4.3.2|snapshot-2026-09-28</x:t>
        </x:is>
      </x:c>
      <x:c r="B61" t="inlineStr">
        <x:is>
          <x:t xml:space="preserve">meta|muse-spark-1.3|max|reasoning|fallback-na</x:t>
        </x:is>
      </x:c>
      <x:c r="C61" t="inlineStr">
        <x:is>
          <x:t xml:space="preserve">AA|v4.3.2</x:t>
        </x:is>
      </x:c>
      <x:c r="D61" t="n">
        <x:v>48</x:v>
      </x:c>
      <x:c r="E61" t="n">
        <x:f>IFERROR(INDEX(Benchmark_Versions!$I:$I,MATCH(C61,Benchmark_Versions!$A:$A,0)),1)</x:f>
        <x:v>1</x:v>
      </x:c>
      <x:c r="F61" t="n">
        <x:f>IF(D61="","",D61*E61)</x:f>
        <x:v>48</x:v>
      </x:c>
      <x:c r="G61" t="n">
        <x:v>1.6</x:v>
      </x:c>
      <x:c r="H61" t="n">
        <x:v>312.77</x:v>
      </x:c>
      <x:c r="I61" t="n">
        <x:f>IF(H61="","",H61/60)</x:f>
        <x:v>5.212833333333333</x:v>
      </x:c>
      <x:c r="J61" t="n">
        <x:v>210</x:v>
      </x:c>
      <x:c r="K61" t="n">
        <x:f>IF(OR(F61="",G61="",G61=0),"",F61/G61)</x:f>
        <x:v>30</x:v>
      </x:c>
      <x:c r="L61" t="n">
        <x:f>IF(OR(F61="",F61=0,G61=""),"",G61/F61)</x:f>
        <x:v>0.03333333333333333</x:v>
      </x:c>
      <x:c r="M61" t="n">
        <x:f>IF(OR(F61="",H61="",H61=0),"",F61/H61)</x:f>
        <x:v>0.15346740416280336</x:v>
      </x:c>
      <x:c r="N61" t="n">
        <x:f>IF(F61="","",F61/MAX($F$2:$F$144))</x:f>
        <x:v>0.8275862068965517</x:v>
      </x:c>
      <x:c r="O61" t="n">
        <x:f>IF(J61="","",J61/MAX($J$2:$J$144))</x:f>
        <x:v>0.6752411575562701</x:v>
      </x:c>
      <x:c r="P61" t="n">
        <x:f>IF(G61="","",_xlfn.MINIFS($G$2:$G$144,$G$2:$G$144,"&gt;0")/G61)</x:f>
        <x:v>0.0028124999999999995</x:v>
      </x:c>
      <x:c r="Q61" t="inlineStr">
        <x:is>
          <x:t xml:space="preserve">Formula-derived; missing raw fields remain blank.</x:t>
        </x:is>
      </x:c>
    </x:row>
    <x:row r="62">
      <x:c r="A62" t="inlineStr">
        <x:is>
          <x:t xml:space="preserve">google|gemini-3.8-flash|low|reasoning|fallback-na|aa-v4.3.2|snapshot-2026-09-28</x:t>
        </x:is>
      </x:c>
      <x:c r="B62" t="inlineStr">
        <x:is>
          <x:t xml:space="preserve">google|gemini-3.8-flash|low|reasoning|fallback-na</x:t>
        </x:is>
      </x:c>
      <x:c r="C62" t="inlineStr">
        <x:is>
          <x:t xml:space="preserve">AA|v4.3.2</x:t>
        </x:is>
      </x:c>
      <x:c r="D62" t="n">
        <x:v>33</x:v>
      </x:c>
      <x:c r="E62" t="n">
        <x:f>IFERROR(INDEX(Benchmark_Versions!$I:$I,MATCH(C62,Benchmark_Versions!$A:$A,0)),1)</x:f>
        <x:v>1</x:v>
      </x:c>
      <x:c r="F62" t="n">
        <x:f>IF(D62="","",D62*E62)</x:f>
        <x:v>33</x:v>
      </x:c>
      <x:c r="I62" t="str">
        <x:f>IF(H62="","",H62/60)</x:f>
      </x:c>
      <x:c r="K62" t="str">
        <x:f>IF(OR(F62="",G62="",G62=0),"",F62/G62)</x:f>
      </x:c>
      <x:c r="L62" t="str">
        <x:f>IF(OR(F62="",F62=0,G62=""),"",G62/F62)</x:f>
      </x:c>
      <x:c r="M62" t="str">
        <x:f>IF(OR(F62="",H62="",H62=0),"",F62/H62)</x:f>
      </x:c>
      <x:c r="N62" t="n">
        <x:f>IF(F62="","",F62/MAX($F$2:$F$144))</x:f>
        <x:v>0.5689655172413793</x:v>
      </x:c>
      <x:c r="O62" t="str">
        <x:f>IF(J62="","",J62/MAX($J$2:$J$144))</x:f>
      </x:c>
      <x:c r="P62" t="str">
        <x:f>IF(G62="","",_xlfn.MINIFS($G$2:$G$144,$G$2:$G$144,"&gt;0")/G62)</x:f>
      </x:c>
      <x:c r="Q62" t="inlineStr">
        <x:is>
          <x:t xml:space="preserve">Formula-derived; missing raw fields remain blank.</x:t>
        </x:is>
      </x:c>
    </x:row>
    <x:row r="63">
      <x:c r="A63" t="inlineStr">
        <x:is>
          <x:t xml:space="preserve">google|gemini-3.8-flash|medium|reasoning|fallback-na|aa-v4.3.2|snapshot-2026-09-28</x:t>
        </x:is>
      </x:c>
      <x:c r="B63" t="inlineStr">
        <x:is>
          <x:t xml:space="preserve">google|gemini-3.8-flash|medium|reasoning|fallback-na</x:t>
        </x:is>
      </x:c>
      <x:c r="C63" t="inlineStr">
        <x:is>
          <x:t xml:space="preserve">AA|v4.3.2</x:t>
        </x:is>
      </x:c>
      <x:c r="D63" t="n">
        <x:v>40</x:v>
      </x:c>
      <x:c r="E63" t="n">
        <x:f>IFERROR(INDEX(Benchmark_Versions!$I:$I,MATCH(C63,Benchmark_Versions!$A:$A,0)),1)</x:f>
        <x:v>1</x:v>
      </x:c>
      <x:c r="F63" t="n">
        <x:f>IF(D63="","",D63*E63)</x:f>
        <x:v>40</x:v>
      </x:c>
      <x:c r="G63" t="n">
        <x:v>0.93</x:v>
      </x:c>
      <x:c r="I63" t="str">
        <x:f>IF(H63="","",H63/60)</x:f>
      </x:c>
      <x:c r="K63" t="n">
        <x:f>IF(OR(F63="",G63="",G63=0),"",F63/G63)</x:f>
        <x:v>43.01075268817204</x:v>
      </x:c>
      <x:c r="L63" t="n">
        <x:f>IF(OR(F63="",F63=0,G63=""),"",G63/F63)</x:f>
        <x:v>0.02325</x:v>
      </x:c>
      <x:c r="M63" t="str">
        <x:f>IF(OR(F63="",H63="",H63=0),"",F63/H63)</x:f>
      </x:c>
      <x:c r="N63" t="n">
        <x:f>IF(F63="","",F63/MAX($F$2:$F$144))</x:f>
        <x:v>0.6896551724137931</x:v>
      </x:c>
      <x:c r="O63" t="str">
        <x:f>IF(J63="","",J63/MAX($J$2:$J$144))</x:f>
      </x:c>
      <x:c r="P63" t="n">
        <x:f>IF(G63="","",_xlfn.MINIFS($G$2:$G$144,$G$2:$G$144,"&gt;0")/G63)</x:f>
        <x:v>0.004838709677419354</x:v>
      </x:c>
      <x:c r="Q63" t="inlineStr">
        <x:is>
          <x:t xml:space="preserve">Formula-derived; missing raw fields remain blank.</x:t>
        </x:is>
      </x:c>
    </x:row>
    <x:row r="64">
      <x:c r="A64" t="inlineStr">
        <x:is>
          <x:t xml:space="preserve">google|gemini-3.8-flash|high|reasoning|fallback-na|aa-v4.3.2|snapshot-2026-09-28</x:t>
        </x:is>
      </x:c>
      <x:c r="B64" t="inlineStr">
        <x:is>
          <x:t xml:space="preserve">google|gemini-3.8-flash|high|reasoning|fallback-na</x:t>
        </x:is>
      </x:c>
      <x:c r="C64" t="inlineStr">
        <x:is>
          <x:t xml:space="preserve">AA|v4.3.2</x:t>
        </x:is>
      </x:c>
      <x:c r="D64" t="n">
        <x:v>41</x:v>
      </x:c>
      <x:c r="E64" t="n">
        <x:f>IFERROR(INDEX(Benchmark_Versions!$I:$I,MATCH(C64,Benchmark_Versions!$A:$A,0)),1)</x:f>
        <x:v>1</x:v>
      </x:c>
      <x:c r="F64" t="n">
        <x:f>IF(D64="","",D64*E64)</x:f>
        <x:v>41</x:v>
      </x:c>
      <x:c r="G64" t="n">
        <x:v>1.24</x:v>
      </x:c>
      <x:c r="H64" t="n">
        <x:v>231.29</x:v>
      </x:c>
      <x:c r="I64" t="n">
        <x:f>IF(H64="","",H64/60)</x:f>
        <x:v>3.854833333333333</x:v>
      </x:c>
      <x:c r="J64" t="n">
        <x:v>311</x:v>
      </x:c>
      <x:c r="K64" t="n">
        <x:f>IF(OR(F64="",G64="",G64=0),"",F64/G64)</x:f>
        <x:v>33.064516129032256</x:v>
      </x:c>
      <x:c r="L64" t="n">
        <x:f>IF(OR(F64="",F64=0,G64=""),"",G64/F64)</x:f>
        <x:v>0.03024390243902439</x:v>
      </x:c>
      <x:c r="M64" t="n">
        <x:f>IF(OR(F64="",H64="",H64=0),"",F64/H64)</x:f>
        <x:v>0.1772666349604393</x:v>
      </x:c>
      <x:c r="N64" t="n">
        <x:f>IF(F64="","",F64/MAX($F$2:$F$144))</x:f>
        <x:v>0.7068965517241379</x:v>
      </x:c>
      <x:c r="O64" t="n">
        <x:f>IF(J64="","",J64/MAX($J$2:$J$144))</x:f>
        <x:v>1</x:v>
      </x:c>
      <x:c r="P64" t="n">
        <x:f>IF(G64="","",_xlfn.MINIFS($G$2:$G$144,$G$2:$G$144,"&gt;0")/G64)</x:f>
        <x:v>0.003629032258064516</x:v>
      </x:c>
      <x:c r="Q64" t="inlineStr">
        <x:is>
          <x:t xml:space="preserve">Formula-derived; missing raw fields remain blank.</x:t>
        </x:is>
      </x:c>
    </x:row>
    <x:row r="65">
      <x:c r="A65" t="inlineStr">
        <x:is>
          <x:t xml:space="preserve">deepseek|deepseek-v4.1-flash|non-reasoning|nonreasoning|fallback-na|aa-v4.3.2|snapshot-2026-09-28</x:t>
        </x:is>
      </x:c>
      <x:c r="B65" t="inlineStr">
        <x:is>
          <x:t xml:space="preserve">deepseek|deepseek-v4.1-flash|non-reasoning|nonreasoning|fallback-na</x:t>
        </x:is>
      </x:c>
      <x:c r="C65" t="inlineStr">
        <x:is>
          <x:t xml:space="preserve">AA|v4.3.2</x:t>
        </x:is>
      </x:c>
      <x:c r="D65" t="n">
        <x:v>25</x:v>
      </x:c>
      <x:c r="E65" t="n">
        <x:f>IFERROR(INDEX(Benchmark_Versions!$I:$I,MATCH(C65,Benchmark_Versions!$A:$A,0)),1)</x:f>
        <x:v>1</x:v>
      </x:c>
      <x:c r="F65" t="n">
        <x:f>IF(D65="","",D65*E65)</x:f>
        <x:v>25</x:v>
      </x:c>
      <x:c r="G65" t="n">
        <x:v>0.15</x:v>
      </x:c>
      <x:c r="I65" t="str">
        <x:f>IF(H65="","",H65/60)</x:f>
      </x:c>
      <x:c r="J65" t="n">
        <x:v>239</x:v>
      </x:c>
      <x:c r="K65" t="n">
        <x:f>IF(OR(F65="",G65="",G65=0),"",F65/G65)</x:f>
        <x:v>166.66666666666669</x:v>
      </x:c>
      <x:c r="L65" t="n">
        <x:f>IF(OR(F65="",F65=0,G65=""),"",G65/F65)</x:f>
        <x:v>0.006</x:v>
      </x:c>
      <x:c r="M65" t="str">
        <x:f>IF(OR(F65="",H65="",H65=0),"",F65/H65)</x:f>
      </x:c>
      <x:c r="N65" t="n">
        <x:f>IF(F65="","",F65/MAX($F$2:$F$144))</x:f>
        <x:v>0.43103448275862066</x:v>
      </x:c>
      <x:c r="O65" t="n">
        <x:f>IF(J65="","",J65/MAX($J$2:$J$144))</x:f>
        <x:v>0.7684887459807074</x:v>
      </x:c>
      <x:c r="P65" t="n">
        <x:f>IF(G65="","",_xlfn.MINIFS($G$2:$G$144,$G$2:$G$144,"&gt;0")/G65)</x:f>
        <x:v>0.03</x:v>
      </x:c>
      <x:c r="Q65" t="inlineStr">
        <x:is>
          <x:t xml:space="preserve">Formula-derived; missing raw fields remain blank.</x:t>
        </x:is>
      </x:c>
    </x:row>
    <x:row r="66">
      <x:c r="A66" t="inlineStr">
        <x:is>
          <x:t xml:space="preserve">deepseek|deepseek-v4.1-flash|max|reasoning|fallback-na|aa-v4.3.2|snapshot-2026-09-28</x:t>
        </x:is>
      </x:c>
      <x:c r="B66" t="inlineStr">
        <x:is>
          <x:t xml:space="preserve">deepseek|deepseek-v4.1-flash|max|reasoning|fallback-na</x:t>
        </x:is>
      </x:c>
      <x:c r="C66" t="inlineStr">
        <x:is>
          <x:t xml:space="preserve">AA|v4.3.2</x:t>
        </x:is>
      </x:c>
      <x:c r="D66" t="n">
        <x:v>39</x:v>
      </x:c>
      <x:c r="E66" t="n">
        <x:f>IFERROR(INDEX(Benchmark_Versions!$I:$I,MATCH(C66,Benchmark_Versions!$A:$A,0)),1)</x:f>
        <x:v>1</x:v>
      </x:c>
      <x:c r="F66" t="n">
        <x:f>IF(D66="","",D66*E66)</x:f>
        <x:v>39</x:v>
      </x:c>
      <x:c r="G66" t="n">
        <x:v>0.27</x:v>
      </x:c>
      <x:c r="I66" t="str">
        <x:f>IF(H66="","",H66/60)</x:f>
      </x:c>
      <x:c r="J66" t="n">
        <x:v>219.5</x:v>
      </x:c>
      <x:c r="K66" t="n">
        <x:f>IF(OR(F66="",G66="",G66=0),"",F66/G66)</x:f>
        <x:v>144.44444444444443</x:v>
      </x:c>
      <x:c r="L66" t="n">
        <x:f>IF(OR(F66="",F66=0,G66=""),"",G66/F66)</x:f>
        <x:v>0.006923076923076923</x:v>
      </x:c>
      <x:c r="M66" t="str">
        <x:f>IF(OR(F66="",H66="",H66=0),"",F66/H66)</x:f>
      </x:c>
      <x:c r="N66" t="n">
        <x:f>IF(F66="","",F66/MAX($F$2:$F$144))</x:f>
        <x:v>0.6724137931034483</x:v>
      </x:c>
      <x:c r="O66" t="n">
        <x:f>IF(J66="","",J66/MAX($J$2:$J$144))</x:f>
        <x:v>0.7057877813504824</x:v>
      </x:c>
      <x:c r="P66" t="n">
        <x:f>IF(G66="","",_xlfn.MINIFS($G$2:$G$144,$G$2:$G$144,"&gt;0")/G66)</x:f>
        <x:v>0.016666666666666663</x:v>
      </x:c>
      <x:c r="Q66" t="inlineStr">
        <x:is>
          <x:t xml:space="preserve">Formula-derived; missing raw fields remain blank.</x:t>
        </x:is>
      </x:c>
    </x:row>
    <x:row r="67">
      <x:c r="A67" t="inlineStr">
        <x:is>
          <x:t xml:space="preserve">z-ai|glm-5.3|low|reasoning|fallback-na|aa-v4.3.2|snapshot-2026-09-28</x:t>
        </x:is>
      </x:c>
      <x:c r="B67" t="inlineStr">
        <x:is>
          <x:t xml:space="preserve">z-ai|glm-5.3|low|reasoning|fallback-na</x:t>
        </x:is>
      </x:c>
      <x:c r="C67" t="inlineStr">
        <x:is>
          <x:t xml:space="preserve">AA|v4.3.2</x:t>
        </x:is>
      </x:c>
      <x:c r="D67" t="n">
        <x:v>34</x:v>
      </x:c>
      <x:c r="E67" t="n">
        <x:f>IFERROR(INDEX(Benchmark_Versions!$I:$I,MATCH(C67,Benchmark_Versions!$A:$A,0)),1)</x:f>
        <x:v>1</x:v>
      </x:c>
      <x:c r="F67" t="n">
        <x:f>IF(D67="","",D67*E67)</x:f>
        <x:v>34</x:v>
      </x:c>
      <x:c r="G67" t="n">
        <x:v>0.85</x:v>
      </x:c>
      <x:c r="I67" t="str">
        <x:f>IF(H67="","",H67/60)</x:f>
      </x:c>
      <x:c r="J67" t="n">
        <x:v>85</x:v>
      </x:c>
      <x:c r="K67" t="n">
        <x:f>IF(OR(F67="",G67="",G67=0),"",F67/G67)</x:f>
        <x:v>40</x:v>
      </x:c>
      <x:c r="L67" t="n">
        <x:f>IF(OR(F67="",F67=0,G67=""),"",G67/F67)</x:f>
        <x:v>0.024999999999999998</x:v>
      </x:c>
      <x:c r="M67" t="str">
        <x:f>IF(OR(F67="",H67="",H67=0),"",F67/H67)</x:f>
      </x:c>
      <x:c r="N67" t="n">
        <x:f>IF(F67="","",F67/MAX($F$2:$F$144))</x:f>
        <x:v>0.5862068965517241</x:v>
      </x:c>
      <x:c r="O67" t="n">
        <x:f>IF(J67="","",J67/MAX($J$2:$J$144))</x:f>
        <x:v>0.2733118971061093</x:v>
      </x:c>
      <x:c r="P67" t="n">
        <x:f>IF(G67="","",_xlfn.MINIFS($G$2:$G$144,$G$2:$G$144,"&gt;0")/G67)</x:f>
        <x:v>0.005294117647058823</x:v>
      </x:c>
      <x:c r="Q67" t="inlineStr">
        <x:is>
          <x:t xml:space="preserve">Formula-derived; missing raw fields remain blank.</x:t>
        </x:is>
      </x:c>
    </x:row>
    <x:row r="68">
      <x:c r="A68" t="inlineStr">
        <x:is>
          <x:t xml:space="preserve">z-ai|glm-5.3|max|reasoning|fallback-na|aa-v4.3.2|snapshot-2026-09-28</x:t>
        </x:is>
      </x:c>
      <x:c r="B68" t="inlineStr">
        <x:is>
          <x:t xml:space="preserve">z-ai|glm-5.3|max|reasoning|fallback-na</x:t>
        </x:is>
      </x:c>
      <x:c r="C68" t="inlineStr">
        <x:is>
          <x:t xml:space="preserve">AA|v4.3.2</x:t>
        </x:is>
      </x:c>
      <x:c r="D68" t="n">
        <x:v>45</x:v>
      </x:c>
      <x:c r="E68" t="n">
        <x:f>IFERROR(INDEX(Benchmark_Versions!$I:$I,MATCH(C68,Benchmark_Versions!$A:$A,0)),1)</x:f>
        <x:v>1</x:v>
      </x:c>
      <x:c r="F68" t="n">
        <x:f>IF(D68="","",D68*E68)</x:f>
        <x:v>45</x:v>
      </x:c>
      <x:c r="G68" t="n">
        <x:v>2.01</x:v>
      </x:c>
      <x:c r="I68" t="str">
        <x:f>IF(H68="","",H68/60)</x:f>
      </x:c>
      <x:c r="J68" t="n">
        <x:v>91</x:v>
      </x:c>
      <x:c r="K68" t="n">
        <x:f>IF(OR(F68="",G68="",G68=0),"",F68/G68)</x:f>
        <x:v>22.38805970149254</x:v>
      </x:c>
      <x:c r="L68" t="n">
        <x:f>IF(OR(F68="",F68=0,G68=""),"",G68/F68)</x:f>
        <x:v>0.04466666666666666</x:v>
      </x:c>
      <x:c r="M68" t="str">
        <x:f>IF(OR(F68="",H68="",H68=0),"",F68/H68)</x:f>
      </x:c>
      <x:c r="N68" t="n">
        <x:f>IF(F68="","",F68/MAX($F$2:$F$144))</x:f>
        <x:v>0.7758620689655172</x:v>
      </x:c>
      <x:c r="O68" t="n">
        <x:f>IF(J68="","",J68/MAX($J$2:$J$144))</x:f>
        <x:v>0.29260450160771706</x:v>
      </x:c>
      <x:c r="P68" t="n">
        <x:f>IF(G68="","",_xlfn.MINIFS($G$2:$G$144,$G$2:$G$144,"&gt;0")/G68)</x:f>
        <x:v>0.002238805970149254</x:v>
      </x:c>
      <x:c r="Q68" t="inlineStr">
        <x:is>
          <x:t xml:space="preserve">Formula-derived; missing raw fields remain blank.</x:t>
        </x:is>
      </x:c>
    </x:row>
    <x:row r="69">
      <x:c r="A69" t="inlineStr">
        <x:is>
          <x:t xml:space="preserve">alibaba|qwen3.8-max-0902|reasoning|reasoning|fallback-na|aa-v4.3.2|snapshot-2026-09-28</x:t>
        </x:is>
      </x:c>
      <x:c r="B69" t="inlineStr">
        <x:is>
          <x:t xml:space="preserve">alibaba|qwen3.8-max-0902|reasoning|reasoning|fallback-na</x:t>
        </x:is>
      </x:c>
      <x:c r="C69" t="inlineStr">
        <x:is>
          <x:t xml:space="preserve">AA|v4.3.2</x:t>
        </x:is>
      </x:c>
      <x:c r="D69" t="n">
        <x:v>45</x:v>
      </x:c>
      <x:c r="E69" t="n">
        <x:f>IFERROR(INDEX(Benchmark_Versions!$I:$I,MATCH(C69,Benchmark_Versions!$A:$A,0)),1)</x:f>
        <x:v>1</x:v>
      </x:c>
      <x:c r="F69" t="n">
        <x:f>IF(D69="","",D69*E69)</x:f>
        <x:v>45</x:v>
      </x:c>
      <x:c r="I69" t="str">
        <x:f>IF(H69="","",H69/60)</x:f>
      </x:c>
      <x:c r="J69" t="n">
        <x:v>39</x:v>
      </x:c>
      <x:c r="K69" t="str">
        <x:f>IF(OR(F69="",G69="",G69=0),"",F69/G69)</x:f>
      </x:c>
      <x:c r="L69" t="str">
        <x:f>IF(OR(F69="",F69=0,G69=""),"",G69/F69)</x:f>
      </x:c>
      <x:c r="M69" t="str">
        <x:f>IF(OR(F69="",H69="",H69=0),"",F69/H69)</x:f>
      </x:c>
      <x:c r="N69" t="n">
        <x:f>IF(F69="","",F69/MAX($F$2:$F$144))</x:f>
        <x:v>0.7758620689655172</x:v>
      </x:c>
      <x:c r="O69" t="n">
        <x:f>IF(J69="","",J69/MAX($J$2:$J$144))</x:f>
        <x:v>0.12540192926045016</x:v>
      </x:c>
      <x:c r="P69" t="str">
        <x:f>IF(G69="","",_xlfn.MINIFS($G$2:$G$144,$G$2:$G$144,"&gt;0")/G69)</x:f>
      </x:c>
      <x:c r="Q69" t="inlineStr">
        <x:is>
          <x:t xml:space="preserve">Formula-derived; missing raw fields remain blank.</x:t>
        </x:is>
      </x:c>
    </x:row>
    <x:row r="70">
      <x:c r="A70" t="inlineStr">
        <x:is>
          <x:t xml:space="preserve">alibaba|qwen3.8-27b|medium|reasoning|fallback-na|aa-v4.3.2|snapshot-2026-09-28</x:t>
        </x:is>
      </x:c>
      <x:c r="B70" t="inlineStr">
        <x:is>
          <x:t xml:space="preserve">alibaba|qwen3.8-27b|medium|reasoning|fallback-na</x:t>
        </x:is>
      </x:c>
      <x:c r="C70" t="inlineStr">
        <x:is>
          <x:t xml:space="preserve">AA|v4.3.2</x:t>
        </x:is>
      </x:c>
      <x:c r="D70" t="n">
        <x:v>28</x:v>
      </x:c>
      <x:c r="E70" t="n">
        <x:f>IFERROR(INDEX(Benchmark_Versions!$I:$I,MATCH(C70,Benchmark_Versions!$A:$A,0)),1)</x:f>
        <x:v>1</x:v>
      </x:c>
      <x:c r="F70" t="n">
        <x:f>IF(D70="","",D70*E70)</x:f>
        <x:v>28</x:v>
      </x:c>
      <x:c r="I70" t="str">
        <x:f>IF(H70="","",H70/60)</x:f>
      </x:c>
      <x:c r="J70" t="n">
        <x:v>56</x:v>
      </x:c>
      <x:c r="K70" t="str">
        <x:f>IF(OR(F70="",G70="",G70=0),"",F70/G70)</x:f>
      </x:c>
      <x:c r="L70" t="str">
        <x:f>IF(OR(F70="",F70=0,G70=""),"",G70/F70)</x:f>
      </x:c>
      <x:c r="M70" t="str">
        <x:f>IF(OR(F70="",H70="",H70=0),"",F70/H70)</x:f>
      </x:c>
      <x:c r="N70" t="n">
        <x:f>IF(F70="","",F70/MAX($F$2:$F$144))</x:f>
        <x:v>0.4827586206896552</x:v>
      </x:c>
      <x:c r="O70" t="n">
        <x:f>IF(J70="","",J70/MAX($J$2:$J$144))</x:f>
        <x:v>0.18006430868167203</x:v>
      </x:c>
      <x:c r="P70" t="str">
        <x:f>IF(G70="","",_xlfn.MINIFS($G$2:$G$144,$G$2:$G$144,"&gt;0")/G70)</x:f>
      </x:c>
      <x:c r="Q70" t="inlineStr">
        <x:is>
          <x:t xml:space="preserve">Formula-derived; missing raw fields remain blank.</x:t>
        </x:is>
      </x:c>
    </x:row>
    <x:row r="71">
      <x:c r="A71" t="inlineStr">
        <x:is>
          <x:t xml:space="preserve">alibaba|qwen3.8-27b|xhigh|reasoning|fallback-na|aa-v4.3.2|snapshot-2026-09-28</x:t>
        </x:is>
      </x:c>
      <x:c r="B71" t="inlineStr">
        <x:is>
          <x:t xml:space="preserve">alibaba|qwen3.8-27b|xhigh|reasoning|fallback-na</x:t>
        </x:is>
      </x:c>
      <x:c r="C71" t="inlineStr">
        <x:is>
          <x:t xml:space="preserve">AA|v4.3.2</x:t>
        </x:is>
      </x:c>
      <x:c r="D71" t="n">
        <x:v>34</x:v>
      </x:c>
      <x:c r="E71" t="n">
        <x:f>IFERROR(INDEX(Benchmark_Versions!$I:$I,MATCH(C71,Benchmark_Versions!$A:$A,0)),1)</x:f>
        <x:v>1</x:v>
      </x:c>
      <x:c r="F71" t="n">
        <x:f>IF(D71="","",D71*E71)</x:f>
        <x:v>34</x:v>
      </x:c>
      <x:c r="I71" t="str">
        <x:f>IF(H71="","",H71/60)</x:f>
      </x:c>
      <x:c r="J71" t="n">
        <x:v>47</x:v>
      </x:c>
      <x:c r="K71" t="str">
        <x:f>IF(OR(F71="",G71="",G71=0),"",F71/G71)</x:f>
      </x:c>
      <x:c r="L71" t="str">
        <x:f>IF(OR(F71="",F71=0,G71=""),"",G71/F71)</x:f>
      </x:c>
      <x:c r="M71" t="str">
        <x:f>IF(OR(F71="",H71="",H71=0),"",F71/H71)</x:f>
      </x:c>
      <x:c r="N71" t="n">
        <x:f>IF(F71="","",F71/MAX($F$2:$F$144))</x:f>
        <x:v>0.5862068965517241</x:v>
      </x:c>
      <x:c r="O71" t="n">
        <x:f>IF(J71="","",J71/MAX($J$2:$J$144))</x:f>
        <x:v>0.15112540192926044</x:v>
      </x:c>
      <x:c r="P71" t="str">
        <x:f>IF(G71="","",_xlfn.MINIFS($G$2:$G$144,$G$2:$G$144,"&gt;0")/G71)</x:f>
      </x:c>
      <x:c r="Q71" t="inlineStr">
        <x:is>
          <x:t xml:space="preserve">Formula-derived; missing raw fields remain blank.</x:t>
        </x:is>
      </x:c>
    </x:row>
    <x:row r="72">
      <x:c r="A72" t="inlineStr">
        <x:is>
          <x:t xml:space="preserve">kimi|kimi-k3|max|reasoning|fallback-na|aa-v4.3.2|snapshot-2026-09-28</x:t>
        </x:is>
      </x:c>
      <x:c r="B72" t="inlineStr">
        <x:is>
          <x:t xml:space="preserve">kimi|kimi-k3|max|reasoning|fallback-na</x:t>
        </x:is>
      </x:c>
      <x:c r="C72" t="inlineStr">
        <x:is>
          <x:t xml:space="preserve">AA|v4.3.2</x:t>
        </x:is>
      </x:c>
      <x:c r="D72" t="n">
        <x:v>44</x:v>
      </x:c>
      <x:c r="E72" t="n">
        <x:f>IFERROR(INDEX(Benchmark_Versions!$I:$I,MATCH(C72,Benchmark_Versions!$A:$A,0)),1)</x:f>
        <x:v>1</x:v>
      </x:c>
      <x:c r="F72" t="n">
        <x:f>IF(D72="","",D72*E72)</x:f>
        <x:v>44</x:v>
      </x:c>
      <x:c r="G72" t="n">
        <x:v>2</x:v>
      </x:c>
      <x:c r="I72" t="str">
        <x:f>IF(H72="","",H72/60)</x:f>
      </x:c>
      <x:c r="K72" t="n">
        <x:f>IF(OR(F72="",G72="",G72=0),"",F72/G72)</x:f>
        <x:v>22</x:v>
      </x:c>
      <x:c r="L72" t="n">
        <x:f>IF(OR(F72="",F72=0,G72=""),"",G72/F72)</x:f>
        <x:v>0.045454545454545456</x:v>
      </x:c>
      <x:c r="M72" t="str">
        <x:f>IF(OR(F72="",H72="",H72=0),"",F72/H72)</x:f>
      </x:c>
      <x:c r="N72" t="n">
        <x:f>IF(F72="","",F72/MAX($F$2:$F$144))</x:f>
        <x:v>0.7586206896551724</x:v>
      </x:c>
      <x:c r="O72" t="str">
        <x:f>IF(J72="","",J72/MAX($J$2:$J$144))</x:f>
      </x:c>
      <x:c r="P72" t="n">
        <x:f>IF(G72="","",_xlfn.MINIFS($G$2:$G$144,$G$2:$G$144,"&gt;0")/G72)</x:f>
        <x:v>0.00225</x:v>
      </x:c>
      <x:c r="Q72" t="inlineStr">
        <x:is>
          <x:t xml:space="preserve">Formula-derived; missing raw fields remain blank.</x:t>
        </x:is>
      </x:c>
    </x:row>
    <x:row r="73">
      <x:c r="A73" t="inlineStr">
        <x:is>
          <x:t xml:space="preserve">google|gemini-4-argon|high|reasoning|fallback-na|aa-v4.3.2|snapshot-2026-10-04</x:t>
        </x:is>
      </x:c>
      <x:c r="B73" t="inlineStr">
        <x:is>
          <x:t xml:space="preserve">google|gemini-4-argon|high|reasoning|fallback-na</x:t>
        </x:is>
      </x:c>
      <x:c r="C73" t="inlineStr">
        <x:is>
          <x:t xml:space="preserve">AA|v4.3.2</x:t>
        </x:is>
      </x:c>
      <x:c r="D73" t="n">
        <x:v>53</x:v>
      </x:c>
      <x:c r="E73" t="n">
        <x:f>IFERROR(INDEX(Benchmark_Versions!$I:$I,MATCH(C73,Benchmark_Versions!$A:$A,0)),1)</x:f>
        <x:v>1</x:v>
      </x:c>
      <x:c r="F73" t="n">
        <x:f>IF(D73="","",D73*E73)</x:f>
        <x:v>53</x:v>
      </x:c>
      <x:c r="G73" t="n">
        <x:v>1.99</x:v>
      </x:c>
      <x:c r="I73" t="str">
        <x:f>IF(H73="","",H73/60)</x:f>
      </x:c>
      <x:c r="K73" t="n">
        <x:f>IF(OR(F73="",G73="",G73=0),"",F73/G73)</x:f>
        <x:v>26.633165829145728</x:v>
      </x:c>
      <x:c r="L73" t="n">
        <x:f>IF(OR(F73="",F73=0,G73=""),"",G73/F73)</x:f>
        <x:v>0.03754716981132075</x:v>
      </x:c>
      <x:c r="M73" t="str">
        <x:f>IF(OR(F73="",H73="",H73=0),"",F73/H73)</x:f>
      </x:c>
      <x:c r="N73" t="n">
        <x:f>IF(F73="","",F73/MAX($F$2:$F$144))</x:f>
        <x:v>0.9137931034482759</x:v>
      </x:c>
      <x:c r="O73" t="str">
        <x:f>IF(J73="","",J73/MAX($J$2:$J$144))</x:f>
      </x:c>
      <x:c r="P73" t="n">
        <x:f>IF(G73="","",_xlfn.MINIFS($G$2:$G$144,$G$2:$G$144,"&gt;0")/G73)</x:f>
        <x:v>0.0022613065326633165</x:v>
      </x:c>
      <x:c r="Q73" t="inlineStr">
        <x:is>
          <x:t xml:space="preserve">Formula-derived; missing raw fields remain blank.</x:t>
        </x:is>
      </x:c>
    </x:row>
    <x:row r="74">
      <x:c r="A74" t="inlineStr">
        <x:is>
          <x:t xml:space="preserve">openai|gpt-6-1-sol|low|reasoning|fallback-na|aa-v4.3.2|snapshot-2026-10-11</x:t>
        </x:is>
      </x:c>
      <x:c r="B74" t="inlineStr">
        <x:is>
          <x:t xml:space="preserve">openai|gpt-6-1-sol|low|reasoning|fallback-na</x:t>
        </x:is>
      </x:c>
      <x:c r="C74" t="inlineStr">
        <x:is>
          <x:t xml:space="preserve">AA|v4.3.2</x:t>
        </x:is>
      </x:c>
      <x:c r="D74" t="n">
        <x:v>42</x:v>
      </x:c>
      <x:c r="E74" t="n">
        <x:f>IFERROR(INDEX(Benchmark_Versions!$I:$I,MATCH(C74,Benchmark_Versions!$A:$A,0)),1)</x:f>
        <x:v>1</x:v>
      </x:c>
      <x:c r="F74" t="n">
        <x:f>IF(D74="","",D74*E74)</x:f>
        <x:v>42</x:v>
      </x:c>
      <x:c r="G74" t="n">
        <x:v>1.99</x:v>
      </x:c>
      <x:c r="I74" t="str">
        <x:f>IF(H74="","",H74/60)</x:f>
      </x:c>
      <x:c r="K74" t="n">
        <x:f>IF(OR(F74="",G74="",G74=0),"",F74/G74)</x:f>
        <x:v>21.105527638190956</x:v>
      </x:c>
      <x:c r="L74" t="n">
        <x:f>IF(OR(F74="",F74=0,G74=""),"",G74/F74)</x:f>
        <x:v>0.04738095238095238</x:v>
      </x:c>
      <x:c r="M74" t="str">
        <x:f>IF(OR(F74="",H74="",H74=0),"",F74/H74)</x:f>
      </x:c>
      <x:c r="N74" t="n">
        <x:f>IF(F74="","",F74/MAX($F$2:$F$144))</x:f>
        <x:v>0.7241379310344828</x:v>
      </x:c>
      <x:c r="O74" t="str">
        <x:f>IF(J74="","",J74/MAX($J$2:$J$144))</x:f>
      </x:c>
      <x:c r="P74" t="n">
        <x:f>IF(G74="","",_xlfn.MINIFS($G$2:$G$144,$G$2:$G$144,"&gt;0")/G74)</x:f>
        <x:v>0.0022613065326633165</x:v>
      </x:c>
      <x:c r="Q74" t="inlineStr">
        <x:is>
          <x:t xml:space="preserve">Formula-derived; missing raw fields remain blank.</x:t>
        </x:is>
      </x:c>
    </x:row>
    <x:row r="75">
      <x:c r="A75" t="inlineStr">
        <x:is>
          <x:t xml:space="preserve">openai|gpt-6-1-sol|medium|reasoning|fallback-na|aa-v4.3.2|snapshot-2026-10-11</x:t>
        </x:is>
      </x:c>
      <x:c r="B75" t="inlineStr">
        <x:is>
          <x:t xml:space="preserve">openai|gpt-6-1-sol|medium|reasoning|fallback-na</x:t>
        </x:is>
      </x:c>
      <x:c r="C75" t="inlineStr">
        <x:is>
          <x:t xml:space="preserve">AA|v4.3.2</x:t>
        </x:is>
      </x:c>
      <x:c r="D75" t="n">
        <x:v>48</x:v>
      </x:c>
      <x:c r="E75" t="n">
        <x:f>IFERROR(INDEX(Benchmark_Versions!$I:$I,MATCH(C75,Benchmark_Versions!$A:$A,0)),1)</x:f>
        <x:v>1</x:v>
      </x:c>
      <x:c r="F75" t="n">
        <x:f>IF(D75="","",D75*E75)</x:f>
        <x:v>48</x:v>
      </x:c>
      <x:c r="G75" t="n">
        <x:v>1.99</x:v>
      </x:c>
      <x:c r="I75" t="str">
        <x:f>IF(H75="","",H75/60)</x:f>
      </x:c>
      <x:c r="K75" t="n">
        <x:f>IF(OR(F75="",G75="",G75=0),"",F75/G75)</x:f>
        <x:v>24.12060301507538</x:v>
      </x:c>
      <x:c r="L75" t="n">
        <x:f>IF(OR(F75="",F75=0,G75=""),"",G75/F75)</x:f>
        <x:v>0.04145833333333333</x:v>
      </x:c>
      <x:c r="M75" t="str">
        <x:f>IF(OR(F75="",H75="",H75=0),"",F75/H75)</x:f>
      </x:c>
      <x:c r="N75" t="n">
        <x:f>IF(F75="","",F75/MAX($F$2:$F$144))</x:f>
        <x:v>0.8275862068965517</x:v>
      </x:c>
      <x:c r="O75" t="str">
        <x:f>IF(J75="","",J75/MAX($J$2:$J$144))</x:f>
      </x:c>
      <x:c r="P75" t="n">
        <x:f>IF(G75="","",_xlfn.MINIFS($G$2:$G$144,$G$2:$G$144,"&gt;0")/G75)</x:f>
        <x:v>0.0022613065326633165</x:v>
      </x:c>
      <x:c r="Q75" t="inlineStr">
        <x:is>
          <x:t xml:space="preserve">Formula-derived; missing raw fields remain blank.</x:t>
        </x:is>
      </x:c>
    </x:row>
    <x:row r="76">
      <x:c r="A76" t="inlineStr">
        <x:is>
          <x:t xml:space="preserve">openai|gpt-6-1-sol|high|reasoning|fallback-na|aa-v4.3.2|snapshot-2026-10-11</x:t>
        </x:is>
      </x:c>
      <x:c r="B76" t="inlineStr">
        <x:is>
          <x:t xml:space="preserve">openai|gpt-6-1-sol|high|reasoning|fallback-na</x:t>
        </x:is>
      </x:c>
      <x:c r="C76" t="inlineStr">
        <x:is>
          <x:t xml:space="preserve">AA|v4.3.2</x:t>
        </x:is>
      </x:c>
      <x:c r="D76" t="n">
        <x:v>50</x:v>
      </x:c>
      <x:c r="E76" t="n">
        <x:f>IFERROR(INDEX(Benchmark_Versions!$I:$I,MATCH(C76,Benchmark_Versions!$A:$A,0)),1)</x:f>
        <x:v>1</x:v>
      </x:c>
      <x:c r="F76" t="n">
        <x:f>IF(D76="","",D76*E76)</x:f>
        <x:v>50</x:v>
      </x:c>
      <x:c r="G76" t="n">
        <x:v>1.99</x:v>
      </x:c>
      <x:c r="I76" t="str">
        <x:f>IF(H76="","",H76/60)</x:f>
      </x:c>
      <x:c r="K76" t="n">
        <x:f>IF(OR(F76="",G76="",G76=0),"",F76/G76)</x:f>
        <x:v>25.12562814070352</x:v>
      </x:c>
      <x:c r="L76" t="n">
        <x:f>IF(OR(F76="",F76=0,G76=""),"",G76/F76)</x:f>
        <x:v>0.0398</x:v>
      </x:c>
      <x:c r="M76" t="str">
        <x:f>IF(OR(F76="",H76="",H76=0),"",F76/H76)</x:f>
      </x:c>
      <x:c r="N76" t="n">
        <x:f>IF(F76="","",F76/MAX($F$2:$F$144))</x:f>
        <x:v>0.8620689655172413</x:v>
      </x:c>
      <x:c r="O76" t="str">
        <x:f>IF(J76="","",J76/MAX($J$2:$J$144))</x:f>
      </x:c>
      <x:c r="P76" t="n">
        <x:f>IF(G76="","",_xlfn.MINIFS($G$2:$G$144,$G$2:$G$144,"&gt;0")/G76)</x:f>
        <x:v>0.0022613065326633165</x:v>
      </x:c>
      <x:c r="Q76" t="inlineStr">
        <x:is>
          <x:t xml:space="preserve">Formula-derived; missing raw fields remain blank.</x:t>
        </x:is>
      </x:c>
    </x:row>
    <x:row r="77">
      <x:c r="A77" t="inlineStr">
        <x:is>
          <x:t xml:space="preserve">openai|gpt-6-1-sol|xhigh|reasoning|fallback-na|aa-v4.3.2|snapshot-2026-10-11</x:t>
        </x:is>
      </x:c>
      <x:c r="B77" t="inlineStr">
        <x:is>
          <x:t xml:space="preserve">openai|gpt-6-1-sol|xhigh|reasoning|fallback-na</x:t>
        </x:is>
      </x:c>
      <x:c r="C77" t="inlineStr">
        <x:is>
          <x:t xml:space="preserve">AA|v4.3.2</x:t>
        </x:is>
      </x:c>
      <x:c r="D77" t="n">
        <x:v>51</x:v>
      </x:c>
      <x:c r="E77" t="n">
        <x:f>IFERROR(INDEX(Benchmark_Versions!$I:$I,MATCH(C77,Benchmark_Versions!$A:$A,0)),1)</x:f>
        <x:v>1</x:v>
      </x:c>
      <x:c r="F77" t="n">
        <x:f>IF(D77="","",D77*E77)</x:f>
        <x:v>51</x:v>
      </x:c>
      <x:c r="G77" t="n">
        <x:v>1.99</x:v>
      </x:c>
      <x:c r="I77" t="str">
        <x:f>IF(H77="","",H77/60)</x:f>
      </x:c>
      <x:c r="K77" t="n">
        <x:f>IF(OR(F77="",G77="",G77=0),"",F77/G77)</x:f>
        <x:v>25.628140703517587</x:v>
      </x:c>
      <x:c r="L77" t="n">
        <x:f>IF(OR(F77="",F77=0,G77=""),"",G77/F77)</x:f>
        <x:v>0.03901960784313725</x:v>
      </x:c>
      <x:c r="M77" t="str">
        <x:f>IF(OR(F77="",H77="",H77=0),"",F77/H77)</x:f>
      </x:c>
      <x:c r="N77" t="n">
        <x:f>IF(F77="","",F77/MAX($F$2:$F$144))</x:f>
        <x:v>0.8793103448275862</x:v>
      </x:c>
      <x:c r="O77" t="str">
        <x:f>IF(J77="","",J77/MAX($J$2:$J$144))</x:f>
      </x:c>
      <x:c r="P77" t="n">
        <x:f>IF(G77="","",_xlfn.MINIFS($G$2:$G$144,$G$2:$G$144,"&gt;0")/G77)</x:f>
        <x:v>0.0022613065326633165</x:v>
      </x:c>
      <x:c r="Q77" t="inlineStr">
        <x:is>
          <x:t xml:space="preserve">Formula-derived; missing raw fields remain blank.</x:t>
        </x:is>
      </x:c>
    </x:row>
    <x:row r="78">
      <x:c r="A78" t="inlineStr">
        <x:is>
          <x:t xml:space="preserve">openai|gpt-6-1-sol|max|reasoning|fallback-na|aa-v4.3.2|snapshot-2026-10-11</x:t>
        </x:is>
      </x:c>
      <x:c r="B78" t="inlineStr">
        <x:is>
          <x:t xml:space="preserve">openai|gpt-6-1-sol|max|reasoning|fallback-na</x:t>
        </x:is>
      </x:c>
      <x:c r="C78" t="inlineStr">
        <x:is>
          <x:t xml:space="preserve">AA|v4.3.2</x:t>
        </x:is>
      </x:c>
      <x:c r="D78" t="n">
        <x:v>52</x:v>
      </x:c>
      <x:c r="E78" t="n">
        <x:f>IFERROR(INDEX(Benchmark_Versions!$I:$I,MATCH(C78,Benchmark_Versions!$A:$A,0)),1)</x:f>
        <x:v>1</x:v>
      </x:c>
      <x:c r="F78" t="n">
        <x:f>IF(D78="","",D78*E78)</x:f>
        <x:v>52</x:v>
      </x:c>
      <x:c r="G78" t="n">
        <x:v>1.99</x:v>
      </x:c>
      <x:c r="I78" t="str">
        <x:f>IF(H78="","",H78/60)</x:f>
      </x:c>
      <x:c r="K78" t="n">
        <x:f>IF(OR(F78="",G78="",G78=0),"",F78/G78)</x:f>
        <x:v>26.13065326633166</x:v>
      </x:c>
      <x:c r="L78" t="n">
        <x:f>IF(OR(F78="",F78=0,G78=""),"",G78/F78)</x:f>
        <x:v>0.03826923076923077</x:v>
      </x:c>
      <x:c r="M78" t="str">
        <x:f>IF(OR(F78="",H78="",H78=0),"",F78/H78)</x:f>
      </x:c>
      <x:c r="N78" t="n">
        <x:f>IF(F78="","",F78/MAX($F$2:$F$144))</x:f>
        <x:v>0.896551724137931</x:v>
      </x:c>
      <x:c r="O78" t="str">
        <x:f>IF(J78="","",J78/MAX($J$2:$J$144))</x:f>
      </x:c>
      <x:c r="P78" t="n">
        <x:f>IF(G78="","",_xlfn.MINIFS($G$2:$G$144,$G$2:$G$144,"&gt;0")/G78)</x:f>
        <x:v>0.0022613065326633165</x:v>
      </x:c>
      <x:c r="Q78" t="inlineStr">
        <x:is>
          <x:t xml:space="preserve">Formula-derived; missing raw fields remain blank.</x:t>
        </x:is>
      </x:c>
    </x:row>
    <x:row r="79">
      <x:c r="A79" t="inlineStr">
        <x:is>
          <x:t xml:space="preserve">anthropic|claude-haiku-5-5|low|reasoning|fallback-na|aa-v4.3.2|snapshot-2026-10-11</x:t>
        </x:is>
      </x:c>
      <x:c r="B79" t="inlineStr">
        <x:is>
          <x:t xml:space="preserve">anthropic|claude-haiku-5-5|low|reasoning|fallback-na</x:t>
        </x:is>
      </x:c>
      <x:c r="C79" t="inlineStr">
        <x:is>
          <x:t xml:space="preserve">AA|v4.3.2</x:t>
        </x:is>
      </x:c>
      <x:c r="D79" t="n">
        <x:v>29</x:v>
      </x:c>
      <x:c r="E79" t="n">
        <x:f>IFERROR(INDEX(Benchmark_Versions!$I:$I,MATCH(C79,Benchmark_Versions!$A:$A,0)),1)</x:f>
        <x:v>1</x:v>
      </x:c>
      <x:c r="F79" t="n">
        <x:f>IF(D79="","",D79*E79)</x:f>
        <x:v>29</x:v>
      </x:c>
      <x:c r="G79" t="n">
        <x:v>1.99</x:v>
      </x:c>
      <x:c r="I79" t="str">
        <x:f>IF(H79="","",H79/60)</x:f>
      </x:c>
      <x:c r="K79" t="n">
        <x:f>IF(OR(F79="",G79="",G79=0),"",F79/G79)</x:f>
        <x:v>14.57286432160804</x:v>
      </x:c>
      <x:c r="L79" t="n">
        <x:f>IF(OR(F79="",F79=0,G79=""),"",G79/F79)</x:f>
        <x:v>0.06862068965517241</x:v>
      </x:c>
      <x:c r="M79" t="str">
        <x:f>IF(OR(F79="",H79="",H79=0),"",F79/H79)</x:f>
      </x:c>
      <x:c r="N79" t="n">
        <x:f>IF(F79="","",F79/MAX($F$2:$F$144))</x:f>
        <x:v>0.5</x:v>
      </x:c>
      <x:c r="O79" t="str">
        <x:f>IF(J79="","",J79/MAX($J$2:$J$144))</x:f>
      </x:c>
      <x:c r="P79" t="n">
        <x:f>IF(G79="","",_xlfn.MINIFS($G$2:$G$144,$G$2:$G$144,"&gt;0")/G79)</x:f>
        <x:v>0.0022613065326633165</x:v>
      </x:c>
      <x:c r="Q79" t="inlineStr">
        <x:is>
          <x:t xml:space="preserve">Formula-derived; missing raw fields remain blank.</x:t>
        </x:is>
      </x:c>
    </x:row>
    <x:row r="80">
      <x:c r="A80" t="inlineStr">
        <x:is>
          <x:t xml:space="preserve">anthropic|claude-haiku-5-5|medium|reasoning|fallback-na|aa-v4.3.2|snapshot-2026-10-11</x:t>
        </x:is>
      </x:c>
      <x:c r="B80" t="inlineStr">
        <x:is>
          <x:t xml:space="preserve">anthropic|claude-haiku-5-5|medium|reasoning|fallback-na</x:t>
        </x:is>
      </x:c>
      <x:c r="C80" t="inlineStr">
        <x:is>
          <x:t xml:space="preserve">AA|v4.3.2</x:t>
        </x:is>
      </x:c>
      <x:c r="D80" t="n">
        <x:v>34</x:v>
      </x:c>
      <x:c r="E80" t="n">
        <x:f>IFERROR(INDEX(Benchmark_Versions!$I:$I,MATCH(C80,Benchmark_Versions!$A:$A,0)),1)</x:f>
        <x:v>1</x:v>
      </x:c>
      <x:c r="F80" t="n">
        <x:f>IF(D80="","",D80*E80)</x:f>
        <x:v>34</x:v>
      </x:c>
      <x:c r="G80" t="n">
        <x:v>1.99</x:v>
      </x:c>
      <x:c r="I80" t="str">
        <x:f>IF(H80="","",H80/60)</x:f>
      </x:c>
      <x:c r="K80" t="n">
        <x:f>IF(OR(F80="",G80="",G80=0),"",F80/G80)</x:f>
        <x:v>17.08542713567839</x:v>
      </x:c>
      <x:c r="L80" t="n">
        <x:f>IF(OR(F80="",F80=0,G80=""),"",G80/F80)</x:f>
        <x:v>0.058529411764705885</x:v>
      </x:c>
      <x:c r="M80" t="str">
        <x:f>IF(OR(F80="",H80="",H80=0),"",F80/H80)</x:f>
      </x:c>
      <x:c r="N80" t="n">
        <x:f>IF(F80="","",F80/MAX($F$2:$F$144))</x:f>
        <x:v>0.5862068965517241</x:v>
      </x:c>
      <x:c r="O80" t="str">
        <x:f>IF(J80="","",J80/MAX($J$2:$J$144))</x:f>
      </x:c>
      <x:c r="P80" t="n">
        <x:f>IF(G80="","",_xlfn.MINIFS($G$2:$G$144,$G$2:$G$144,"&gt;0")/G80)</x:f>
        <x:v>0.0022613065326633165</x:v>
      </x:c>
      <x:c r="Q80" t="inlineStr">
        <x:is>
          <x:t xml:space="preserve">Formula-derived; missing raw fields remain blank.</x:t>
        </x:is>
      </x:c>
    </x:row>
    <x:row r="81">
      <x:c r="A81" t="inlineStr">
        <x:is>
          <x:t xml:space="preserve">anthropic|claude-haiku-5-5|high|reasoning|fallback-na|aa-v4.3.2|snapshot-2026-10-11</x:t>
        </x:is>
      </x:c>
      <x:c r="B81" t="inlineStr">
        <x:is>
          <x:t xml:space="preserve">anthropic|claude-haiku-5-5|high|reasoning|fallback-na</x:t>
        </x:is>
      </x:c>
      <x:c r="C81" t="inlineStr">
        <x:is>
          <x:t xml:space="preserve">AA|v4.3.2</x:t>
        </x:is>
      </x:c>
      <x:c r="D81" t="n">
        <x:v>38</x:v>
      </x:c>
      <x:c r="E81" t="n">
        <x:f>IFERROR(INDEX(Benchmark_Versions!$I:$I,MATCH(C81,Benchmark_Versions!$A:$A,0)),1)</x:f>
        <x:v>1</x:v>
      </x:c>
      <x:c r="F81" t="n">
        <x:f>IF(D81="","",D81*E81)</x:f>
        <x:v>38</x:v>
      </x:c>
      <x:c r="G81" t="n">
        <x:v>1.99</x:v>
      </x:c>
      <x:c r="I81" t="str">
        <x:f>IF(H81="","",H81/60)</x:f>
      </x:c>
      <x:c r="K81" t="n">
        <x:f>IF(OR(F81="",G81="",G81=0),"",F81/G81)</x:f>
        <x:v>19.095477386934675</x:v>
      </x:c>
      <x:c r="L81" t="n">
        <x:f>IF(OR(F81="",F81=0,G81=""),"",G81/F81)</x:f>
        <x:v>0.05236842105263158</x:v>
      </x:c>
      <x:c r="M81" t="str">
        <x:f>IF(OR(F81="",H81="",H81=0),"",F81/H81)</x:f>
      </x:c>
      <x:c r="N81" t="n">
        <x:f>IF(F81="","",F81/MAX($F$2:$F$144))</x:f>
        <x:v>0.6551724137931034</x:v>
      </x:c>
      <x:c r="O81" t="str">
        <x:f>IF(J81="","",J81/MAX($J$2:$J$144))</x:f>
      </x:c>
      <x:c r="P81" t="n">
        <x:f>IF(G81="","",_xlfn.MINIFS($G$2:$G$144,$G$2:$G$144,"&gt;0")/G81)</x:f>
        <x:v>0.0022613065326633165</x:v>
      </x:c>
      <x:c r="Q81" t="inlineStr">
        <x:is>
          <x:t xml:space="preserve">Formula-derived; missing raw fields remain blank.</x:t>
        </x:is>
      </x:c>
    </x:row>
    <x:row r="82">
      <x:c r="A82" t="inlineStr">
        <x:is>
          <x:t xml:space="preserve">anthropic|claude-haiku-5-5|xhigh|reasoning|fallback-na|aa-v4.3.2|snapshot-2026-10-11</x:t>
        </x:is>
      </x:c>
      <x:c r="B82" t="inlineStr">
        <x:is>
          <x:t xml:space="preserve">anthropic|claude-haiku-5-5|xhigh|reasoning|fallback-na</x:t>
        </x:is>
      </x:c>
      <x:c r="C82" t="inlineStr">
        <x:is>
          <x:t xml:space="preserve">AA|v4.3.2</x:t>
        </x:is>
      </x:c>
      <x:c r="D82" t="n">
        <x:v>41</x:v>
      </x:c>
      <x:c r="E82" t="n">
        <x:f>IFERROR(INDEX(Benchmark_Versions!$I:$I,MATCH(C82,Benchmark_Versions!$A:$A,0)),1)</x:f>
        <x:v>1</x:v>
      </x:c>
      <x:c r="F82" t="n">
        <x:f>IF(D82="","",D82*E82)</x:f>
        <x:v>41</x:v>
      </x:c>
      <x:c r="G82" t="n">
        <x:v>1.99</x:v>
      </x:c>
      <x:c r="I82" t="str">
        <x:f>IF(H82="","",H82/60)</x:f>
      </x:c>
      <x:c r="K82" t="n">
        <x:f>IF(OR(F82="",G82="",G82=0),"",F82/G82)</x:f>
        <x:v>20.603015075376884</x:v>
      </x:c>
      <x:c r="L82" t="n">
        <x:f>IF(OR(F82="",F82=0,G82=""),"",G82/F82)</x:f>
        <x:v>0.04853658536585366</x:v>
      </x:c>
      <x:c r="M82" t="str">
        <x:f>IF(OR(F82="",H82="",H82=0),"",F82/H82)</x:f>
      </x:c>
      <x:c r="N82" t="n">
        <x:f>IF(F82="","",F82/MAX($F$2:$F$144))</x:f>
        <x:v>0.7068965517241379</x:v>
      </x:c>
      <x:c r="O82" t="str">
        <x:f>IF(J82="","",J82/MAX($J$2:$J$144))</x:f>
      </x:c>
      <x:c r="P82" t="n">
        <x:f>IF(G82="","",_xlfn.MINIFS($G$2:$G$144,$G$2:$G$144,"&gt;0")/G82)</x:f>
        <x:v>0.0022613065326633165</x:v>
      </x:c>
      <x:c r="Q82" t="inlineStr">
        <x:is>
          <x:t xml:space="preserve">Formula-derived; missing raw fields remain blank.</x:t>
        </x:is>
      </x:c>
    </x:row>
    <x:row r="83">
      <x:c r="A83" t="inlineStr">
        <x:is>
          <x:t xml:space="preserve">anthropic|claude-haiku-5-5|max|reasoning|fallback-na|aa-v4.3.2|snapshot-2026-10-11</x:t>
        </x:is>
      </x:c>
      <x:c r="B83" t="inlineStr">
        <x:is>
          <x:t xml:space="preserve">anthropic|claude-haiku-5-5|max|reasoning|fallback-na</x:t>
        </x:is>
      </x:c>
      <x:c r="C83" t="inlineStr">
        <x:is>
          <x:t xml:space="preserve">AA|v4.3.2</x:t>
        </x:is>
      </x:c>
      <x:c r="D83" t="n">
        <x:v>43</x:v>
      </x:c>
      <x:c r="E83" t="n">
        <x:f>IFERROR(INDEX(Benchmark_Versions!$I:$I,MATCH(C83,Benchmark_Versions!$A:$A,0)),1)</x:f>
        <x:v>1</x:v>
      </x:c>
      <x:c r="F83" t="n">
        <x:f>IF(D83="","",D83*E83)</x:f>
        <x:v>43</x:v>
      </x:c>
      <x:c r="G83" t="n">
        <x:v>1.99</x:v>
      </x:c>
      <x:c r="I83" t="str">
        <x:f>IF(H83="","",H83/60)</x:f>
      </x:c>
      <x:c r="K83" t="n">
        <x:f>IF(OR(F83="",G83="",G83=0),"",F83/G83)</x:f>
        <x:v>21.608040201005025</x:v>
      </x:c>
      <x:c r="L83" t="n">
        <x:f>IF(OR(F83="",F83=0,G83=""),"",G83/F83)</x:f>
        <x:v>0.04627906976744186</x:v>
      </x:c>
      <x:c r="M83" t="str">
        <x:f>IF(OR(F83="",H83="",H83=0),"",F83/H83)</x:f>
      </x:c>
      <x:c r="N83" t="n">
        <x:f>IF(F83="","",F83/MAX($F$2:$F$144))</x:f>
        <x:v>0.7413793103448276</x:v>
      </x:c>
      <x:c r="O83" t="str">
        <x:f>IF(J83="","",J83/MAX($J$2:$J$144))</x:f>
      </x:c>
      <x:c r="P83" t="n">
        <x:f>IF(G83="","",_xlfn.MINIFS($G$2:$G$144,$G$2:$G$144,"&gt;0")/G83)</x:f>
        <x:v>0.0022613065326633165</x:v>
      </x:c>
      <x:c r="Q83" t="inlineStr">
        <x:is>
          <x:t xml:space="preserve">Formula-derived; missing raw fields remain blank.</x:t>
        </x:is>
      </x:c>
    </x:row>
    <x:row r="84">
      <x:c r="A84" t="inlineStr">
        <x:is>
          <x:t xml:space="preserve">mistral|mistral-large-4-preview|reasoning|reasoning|fallback-na|aa-v4.3.2|snapshot-2026-10-11</x:t>
        </x:is>
      </x:c>
      <x:c r="B84" t="inlineStr">
        <x:is>
          <x:t xml:space="preserve">mistral|mistral-large-4-preview|reasoning|reasoning|fallback-na</x:t>
        </x:is>
      </x:c>
      <x:c r="C84" t="inlineStr">
        <x:is>
          <x:t xml:space="preserve">AA|v4.3.2</x:t>
        </x:is>
      </x:c>
      <x:c r="D84" t="n">
        <x:v>38</x:v>
      </x:c>
      <x:c r="E84" t="n">
        <x:f>IFERROR(INDEX(Benchmark_Versions!$I:$I,MATCH(C84,Benchmark_Versions!$A:$A,0)),1)</x:f>
        <x:v>1</x:v>
      </x:c>
      <x:c r="F84" t="n">
        <x:f>IF(D84="","",D84*E84)</x:f>
        <x:v>38</x:v>
      </x:c>
      <x:c r="G84" t="n">
        <x:v>1.99</x:v>
      </x:c>
      <x:c r="I84" t="str">
        <x:f>IF(H84="","",H84/60)</x:f>
      </x:c>
      <x:c r="K84" t="n">
        <x:f>IF(OR(F84="",G84="",G84=0),"",F84/G84)</x:f>
        <x:v>19.095477386934675</x:v>
      </x:c>
      <x:c r="L84" t="n">
        <x:f>IF(OR(F84="",F84=0,G84=""),"",G84/F84)</x:f>
        <x:v>0.05236842105263158</x:v>
      </x:c>
      <x:c r="M84" t="str">
        <x:f>IF(OR(F84="",H84="",H84=0),"",F84/H84)</x:f>
      </x:c>
      <x:c r="N84" t="n">
        <x:f>IF(F84="","",F84/MAX($F$2:$F$144))</x:f>
        <x:v>0.6551724137931034</x:v>
      </x:c>
      <x:c r="O84" t="str">
        <x:f>IF(J84="","",J84/MAX($J$2:$J$144))</x:f>
      </x:c>
      <x:c r="P84" t="n">
        <x:f>IF(G84="","",_xlfn.MINIFS($G$2:$G$144,$G$2:$G$144,"&gt;0")/G84)</x:f>
        <x:v>0.0022613065326633165</x:v>
      </x:c>
      <x:c r="Q84" t="inlineStr">
        <x:is>
          <x:t xml:space="preserve">Formula-derived; missing raw fields remain blank.</x:t>
        </x:is>
      </x:c>
    </x:row>
    <x:row r="85">
      <x:c r="A85" t="inlineStr">
        <x:is>
          <x:t xml:space="preserve">spacexai|grok-4-7|xhigh|reasoning|fallback-na|aa-v4.3.2|snapshot-2026-10-11</x:t>
        </x:is>
      </x:c>
      <x:c r="B85" t="inlineStr">
        <x:is>
          <x:t xml:space="preserve">spacexai|grok-4-7|xhigh|reasoning|fallback-na</x:t>
        </x:is>
      </x:c>
      <x:c r="C85" t="inlineStr">
        <x:is>
          <x:t xml:space="preserve">AA|v4.3.2</x:t>
        </x:is>
      </x:c>
      <x:c r="D85" t="n">
        <x:v>46</x:v>
      </x:c>
      <x:c r="E85" t="n">
        <x:f>IFERROR(INDEX(Benchmark_Versions!$I:$I,MATCH(C85,Benchmark_Versions!$A:$A,0)),1)</x:f>
        <x:v>1</x:v>
      </x:c>
      <x:c r="F85" t="n">
        <x:f>IF(D85="","",D85*E85)</x:f>
        <x:v>46</x:v>
      </x:c>
      <x:c r="G85" t="n">
        <x:v>1.99</x:v>
      </x:c>
      <x:c r="I85" t="str">
        <x:f>IF(H85="","",H85/60)</x:f>
      </x:c>
      <x:c r="K85" t="n">
        <x:f>IF(OR(F85="",G85="",G85=0),"",F85/G85)</x:f>
        <x:v>23.115577889447238</x:v>
      </x:c>
      <x:c r="L85" t="n">
        <x:f>IF(OR(F85="",F85=0,G85=""),"",G85/F85)</x:f>
        <x:v>0.043260869565217394</x:v>
      </x:c>
      <x:c r="M85" t="str">
        <x:f>IF(OR(F85="",H85="",H85=0),"",F85/H85)</x:f>
      </x:c>
      <x:c r="N85" t="n">
        <x:f>IF(F85="","",F85/MAX($F$2:$F$144))</x:f>
        <x:v>0.7931034482758621</x:v>
      </x:c>
      <x:c r="O85" t="str">
        <x:f>IF(J85="","",J85/MAX($J$2:$J$144))</x:f>
      </x:c>
      <x:c r="P85" t="n">
        <x:f>IF(G85="","",_xlfn.MINIFS($G$2:$G$144,$G$2:$G$144,"&gt;0")/G85)</x:f>
        <x:v>0.0022613065326633165</x:v>
      </x:c>
      <x:c r="Q85" t="inlineStr">
        <x:is>
          <x:t xml:space="preserve">Formula-derived; missing raw fields remain blank.</x:t>
        </x:is>
      </x:c>
    </x:row>
    <x:row r="86">
      <x:c r="A86" t="inlineStr">
        <x:is>
          <x:t xml:space="preserve">upstage|solar-mini-4|reasoning|reasoning|fallback-na|aa-v4.3.2|snapshot-2026-10-11</x:t>
        </x:is>
      </x:c>
      <x:c r="B86" t="inlineStr">
        <x:is>
          <x:t xml:space="preserve">upstage|solar-mini-4|reasoning|reasoning|fallback-na</x:t>
        </x:is>
      </x:c>
      <x:c r="C86" t="inlineStr">
        <x:is>
          <x:t xml:space="preserve">AA|v4.3.2</x:t>
        </x:is>
      </x:c>
      <x:c r="D86" t="n">
        <x:v>24</x:v>
      </x:c>
      <x:c r="E86" t="n">
        <x:f>IFERROR(INDEX(Benchmark_Versions!$I:$I,MATCH(C86,Benchmark_Versions!$A:$A,0)),1)</x:f>
        <x:v>1</x:v>
      </x:c>
      <x:c r="F86" t="n">
        <x:f>IF(D86="","",D86*E86)</x:f>
        <x:v>24</x:v>
      </x:c>
      <x:c r="G86" t="n">
        <x:v>1.99</x:v>
      </x:c>
      <x:c r="I86" t="str">
        <x:f>IF(H86="","",H86/60)</x:f>
      </x:c>
      <x:c r="K86" t="n">
        <x:f>IF(OR(F86="",G86="",G86=0),"",F86/G86)</x:f>
        <x:v>12.06030150753769</x:v>
      </x:c>
      <x:c r="L86" t="n">
        <x:f>IF(OR(F86="",F86=0,G86=""),"",G86/F86)</x:f>
        <x:v>0.08291666666666667</x:v>
      </x:c>
      <x:c r="M86" t="str">
        <x:f>IF(OR(F86="",H86="",H86=0),"",F86/H86)</x:f>
      </x:c>
      <x:c r="N86" t="n">
        <x:f>IF(F86="","",F86/MAX($F$2:$F$144))</x:f>
        <x:v>0.41379310344827586</x:v>
      </x:c>
      <x:c r="O86" t="str">
        <x:f>IF(J86="","",J86/MAX($J$2:$J$144))</x:f>
      </x:c>
      <x:c r="P86" t="n">
        <x:f>IF(G86="","",_xlfn.MINIFS($G$2:$G$144,$G$2:$G$144,"&gt;0")/G86)</x:f>
        <x:v>0.0022613065326633165</x:v>
      </x:c>
      <x:c r="Q86" t="inlineStr">
        <x:is>
          <x:t xml:space="preserve">Formula-derived; missing raw fields remain blank.</x:t>
        </x:is>
      </x:c>
    </x:row>
    <x:row r="87">
      <x:c r="A87" t="inlineStr">
        <x:is>
          <x:t xml:space="preserve">google|gemini-4-argon|high|reasoning|fallback-na|aa-v4.3.2|snapshot-2026-10-11</x:t>
        </x:is>
      </x:c>
      <x:c r="B87" t="inlineStr">
        <x:is>
          <x:t xml:space="preserve">google|gemini-4-argon|high|reasoning|fallback-na</x:t>
        </x:is>
      </x:c>
      <x:c r="C87" t="inlineStr">
        <x:is>
          <x:t xml:space="preserve">AA|v4.3.2</x:t>
        </x:is>
      </x:c>
      <x:c r="D87" t="n">
        <x:v>53</x:v>
      </x:c>
      <x:c r="E87" t="n">
        <x:f>IFERROR(INDEX(Benchmark_Versions!$I:$I,MATCH(C87,Benchmark_Versions!$A:$A,0)),1)</x:f>
        <x:v>1</x:v>
      </x:c>
      <x:c r="F87" t="n">
        <x:f>IF(D87="","",D87*E87)</x:f>
        <x:v>53</x:v>
      </x:c>
      <x:c r="G87" t="n">
        <x:v>1.99</x:v>
      </x:c>
      <x:c r="I87" t="str">
        <x:f>IF(H87="","",H87/60)</x:f>
      </x:c>
      <x:c r="K87" t="n">
        <x:f>IF(OR(F87="",G87="",G87=0),"",F87/G87)</x:f>
        <x:v>26.633165829145728</x:v>
      </x:c>
      <x:c r="L87" t="n">
        <x:f>IF(OR(F87="",F87=0,G87=""),"",G87/F87)</x:f>
        <x:v>0.03754716981132075</x:v>
      </x:c>
      <x:c r="M87" t="str">
        <x:f>IF(OR(F87="",H87="",H87=0),"",F87/H87)</x:f>
      </x:c>
      <x:c r="N87" t="n">
        <x:f>IF(F87="","",F87/MAX($F$2:$F$144))</x:f>
        <x:v>0.9137931034482759</x:v>
      </x:c>
      <x:c r="O87" t="str">
        <x:f>IF(J87="","",J87/MAX($J$2:$J$144))</x:f>
      </x:c>
      <x:c r="P87" t="n">
        <x:f>IF(G87="","",_xlfn.MINIFS($G$2:$G$144,$G$2:$G$144,"&gt;0")/G87)</x:f>
        <x:v>0.0022613065326633165</x:v>
      </x:c>
      <x:c r="Q87" t="inlineStr">
        <x:is>
          <x:t xml:space="preserve">Formula-derived; missing raw fields remain blank.</x:t>
        </x:is>
      </x:c>
    </x:row>
    <x:row r="88">
      <x:c r="A88" t="inlineStr">
        <x:is>
          <x:t xml:space="preserve">openai|gpt-6-luna|max|reasoning|fallback-na|aa-v4.3.2|snapshot-2026-10-16</x:t>
        </x:is>
      </x:c>
      <x:c r="B88" t="inlineStr">
        <x:is>
          <x:t xml:space="preserve">openai|gpt-6-luna|max|reasoning|fallback-na</x:t>
        </x:is>
      </x:c>
      <x:c r="C88" t="inlineStr">
        <x:is>
          <x:t xml:space="preserve">AA|v4.3.2</x:t>
        </x:is>
      </x:c>
      <x:c r="D88" t="n">
        <x:v>38</x:v>
      </x:c>
      <x:c r="E88" t="n">
        <x:f>IFERROR(INDEX(Benchmark_Versions!$I:$I,MATCH(C88,Benchmark_Versions!$A:$A,0)),1)</x:f>
        <x:v>1</x:v>
      </x:c>
      <x:c r="F88" t="n">
        <x:f>IF(D88="","",D88*E88)</x:f>
        <x:v>38</x:v>
      </x:c>
      <x:c r="G88" t="n">
        <x:v>0.07000000000000001</x:v>
      </x:c>
      <x:c r="I88" t="str">
        <x:f>IF(H88="","",H88/60)</x:f>
      </x:c>
      <x:c r="J88" t="n">
        <x:v>122.1</x:v>
      </x:c>
      <x:c r="K88" t="n">
        <x:f>IF(OR(F88="",G88="",G88=0),"",F88/G88)</x:f>
        <x:v>542.8571428571428</x:v>
      </x:c>
      <x:c r="L88" t="n">
        <x:f>IF(OR(F88="",F88=0,G88=""),"",G88/F88)</x:f>
        <x:v>0.001842105263157895</x:v>
      </x:c>
      <x:c r="M88" t="str">
        <x:f>IF(OR(F88="",H88="",H88=0),"",F88/H88)</x:f>
      </x:c>
      <x:c r="N88" t="n">
        <x:f>IF(F88="","",F88/MAX($F$2:$F$144))</x:f>
        <x:v>0.6551724137931034</x:v>
      </x:c>
      <x:c r="O88" t="n">
        <x:f>IF(J88="","",J88/MAX($J$2:$J$144))</x:f>
        <x:v>0.39260450160771704</x:v>
      </x:c>
      <x:c r="P88" t="n">
        <x:f>IF(G88="","",_xlfn.MINIFS($G$2:$G$144,$G$2:$G$144,"&gt;0")/G88)</x:f>
        <x:v>0.06428571428571428</x:v>
      </x:c>
      <x:c r="Q88" t="inlineStr">
        <x:is>
          <x:t xml:space="preserve">Formula-derived; missing raw fields remain blank.</x:t>
        </x:is>
      </x:c>
    </x:row>
    <x:row r="89">
      <x:c r="A89" t="inlineStr">
        <x:is>
          <x:t xml:space="preserve">openai|gpt-6-astra|max|reasoning|fallback-na|aa-v4.3.2|snapshot-2026-10-16</x:t>
        </x:is>
      </x:c>
      <x:c r="B89" t="inlineStr">
        <x:is>
          <x:t xml:space="preserve">openai|gpt-6-astra|max|reasoning|fallback-na</x:t>
        </x:is>
      </x:c>
      <x:c r="C89" t="inlineStr">
        <x:is>
          <x:t xml:space="preserve">AA|v4.3.2</x:t>
        </x:is>
      </x:c>
      <x:c r="D89" t="n">
        <x:v>53</x:v>
      </x:c>
      <x:c r="E89" t="n">
        <x:f>IFERROR(INDEX(Benchmark_Versions!$I:$I,MATCH(C89,Benchmark_Versions!$A:$A,0)),1)</x:f>
        <x:v>1</x:v>
      </x:c>
      <x:c r="F89" t="n">
        <x:f>IF(D89="","",D89*E89)</x:f>
        <x:v>53</x:v>
      </x:c>
      <x:c r="G89" t="n">
        <x:v>3.26</x:v>
      </x:c>
      <x:c r="I89" t="str">
        <x:f>IF(H89="","",H89/60)</x:f>
      </x:c>
      <x:c r="J89" t="n">
        <x:v>53.7</x:v>
      </x:c>
      <x:c r="K89" t="n">
        <x:f>IF(OR(F89="",G89="",G89=0),"",F89/G89)</x:f>
        <x:v>16.257668711656443</x:v>
      </x:c>
      <x:c r="L89" t="n">
        <x:f>IF(OR(F89="",F89=0,G89=""),"",G89/F89)</x:f>
        <x:v>0.061509433962264146</x:v>
      </x:c>
      <x:c r="M89" t="str">
        <x:f>IF(OR(F89="",H89="",H89=0),"",F89/H89)</x:f>
      </x:c>
      <x:c r="N89" t="n">
        <x:f>IF(F89="","",F89/MAX($F$2:$F$144))</x:f>
        <x:v>0.9137931034482759</x:v>
      </x:c>
      <x:c r="O89" t="n">
        <x:f>IF(J89="","",J89/MAX($J$2:$J$144))</x:f>
        <x:v>0.17266881028938907</x:v>
      </x:c>
      <x:c r="P89" t="n">
        <x:f>IF(G89="","",_xlfn.MINIFS($G$2:$G$144,$G$2:$G$144,"&gt;0")/G89)</x:f>
        <x:v>0.0013803680981595093</x:v>
      </x:c>
      <x:c r="Q89" t="inlineStr">
        <x:is>
          <x:t xml:space="preserve">Formula-derived; missing raw fields remain blank.</x:t>
        </x:is>
      </x:c>
    </x:row>
    <x:row r="90">
      <x:c r="A90" t="inlineStr">
        <x:is>
          <x:t xml:space="preserve">openai|gpt-6-1-sol|max|yes|fallback-na|aa-v4.3.2|snapshot-2026-10-16</x:t>
        </x:is>
      </x:c>
      <x:c r="B90" t="inlineStr">
        <x:is>
          <x:t xml:space="preserve">openai|gpt-6-1-sol|max|yes|fallback-na</x:t>
        </x:is>
      </x:c>
      <x:c r="C90" t="inlineStr">
        <x:is>
          <x:t xml:space="preserve">AA|v4.3.2</x:t>
        </x:is>
      </x:c>
      <x:c r="D90" t="n">
        <x:v>52</x:v>
      </x:c>
      <x:c r="E90" t="n">
        <x:f>IFERROR(INDEX(Benchmark_Versions!$I:$I,MATCH(C90,Benchmark_Versions!$A:$A,0)),1)</x:f>
        <x:v>1</x:v>
      </x:c>
      <x:c r="F90" t="n">
        <x:f>IF(D90="","",D90*E90)</x:f>
        <x:v>52</x:v>
      </x:c>
      <x:c r="G90" t="n">
        <x:v>0.72</x:v>
      </x:c>
      <x:c r="I90" t="str">
        <x:f>IF(H90="","",H90/60)</x:f>
      </x:c>
      <x:c r="J90" t="n">
        <x:v>57.1</x:v>
      </x:c>
      <x:c r="K90" t="n">
        <x:f>IF(OR(F90="",G90="",G90=0),"",F90/G90)</x:f>
        <x:v>72.22222222222223</x:v>
      </x:c>
      <x:c r="L90" t="n">
        <x:f>IF(OR(F90="",F90=0,G90=""),"",G90/F90)</x:f>
        <x:v>0.013846153846153845</x:v>
      </x:c>
      <x:c r="M90" t="str">
        <x:f>IF(OR(F90="",H90="",H90=0),"",F90/H90)</x:f>
      </x:c>
      <x:c r="N90" t="n">
        <x:f>IF(F90="","",F90/MAX($F$2:$F$144))</x:f>
        <x:v>0.896551724137931</x:v>
      </x:c>
      <x:c r="O90" t="n">
        <x:f>IF(J90="","",J90/MAX($J$2:$J$144))</x:f>
        <x:v>0.18360128617363344</x:v>
      </x:c>
      <x:c r="P90" t="n">
        <x:f>IF(G90="","",_xlfn.MINIFS($G$2:$G$144,$G$2:$G$144,"&gt;0")/G90)</x:f>
        <x:v>0.0062499999999999995</x:v>
      </x:c>
      <x:c r="Q90" t="inlineStr">
        <x:is>
          <x:t xml:space="preserve">Formula-derived; missing raw fields remain blank.</x:t>
        </x:is>
      </x:c>
    </x:row>
    <x:row r="91">
      <x:c r="A91" t="inlineStr">
        <x:is>
          <x:t xml:space="preserve">google|gemini-4-argon|high|reasoning|fallback-na|aa-v4.3.2|snapshot-2026-10-16</x:t>
        </x:is>
      </x:c>
      <x:c r="B91" t="inlineStr">
        <x:is>
          <x:t xml:space="preserve">google|gemini-4-argon|high|reasoning|fallback-na</x:t>
        </x:is>
      </x:c>
      <x:c r="C91" t="inlineStr">
        <x:is>
          <x:t xml:space="preserve">AA|v4.3.2</x:t>
        </x:is>
      </x:c>
      <x:c r="D91" t="n">
        <x:v>53</x:v>
      </x:c>
      <x:c r="E91" t="n">
        <x:f>IFERROR(INDEX(Benchmark_Versions!$I:$I,MATCH(C91,Benchmark_Versions!$A:$A,0)),1)</x:f>
        <x:v>1</x:v>
      </x:c>
      <x:c r="F91" t="n">
        <x:f>IF(D91="","",D91*E91)</x:f>
        <x:v>53</x:v>
      </x:c>
      <x:c r="G91" t="n">
        <x:v>1.99</x:v>
      </x:c>
      <x:c r="I91" t="str">
        <x:f>IF(H91="","",H91/60)</x:f>
      </x:c>
      <x:c r="K91" t="n">
        <x:f>IF(OR(F91="",G91="",G91=0),"",F91/G91)</x:f>
        <x:v>26.633165829145728</x:v>
      </x:c>
      <x:c r="L91" t="n">
        <x:f>IF(OR(F91="",F91=0,G91=""),"",G91/F91)</x:f>
        <x:v>0.03754716981132075</x:v>
      </x:c>
      <x:c r="M91" t="str">
        <x:f>IF(OR(F91="",H91="",H91=0),"",F91/H91)</x:f>
      </x:c>
      <x:c r="N91" t="n">
        <x:f>IF(F91="","",F91/MAX($F$2:$F$144))</x:f>
        <x:v>0.9137931034482759</x:v>
      </x:c>
      <x:c r="O91" t="str">
        <x:f>IF(J91="","",J91/MAX($J$2:$J$144))</x:f>
      </x:c>
      <x:c r="P91" t="n">
        <x:f>IF(G91="","",_xlfn.MINIFS($G$2:$G$144,$G$2:$G$144,"&gt;0")/G91)</x:f>
        <x:v>0.0022613065326633165</x:v>
      </x:c>
      <x:c r="Q91" t="inlineStr">
        <x:is>
          <x:t xml:space="preserve">Formula-derived; missing raw fields remain blank.</x:t>
        </x:is>
      </x:c>
    </x:row>
    <x:row r="92">
      <x:c r="A92" t="inlineStr">
        <x:is>
          <x:t xml:space="preserve">anthropic|claude-haiku-5-5|max|yes|fallback-na|aa-v4.3.2|snapshot-2026-10-16</x:t>
        </x:is>
      </x:c>
      <x:c r="B92" t="inlineStr">
        <x:is>
          <x:t xml:space="preserve">anthropic|claude-haiku-5-5|max|yes|fallback-na</x:t>
        </x:is>
      </x:c>
      <x:c r="C92" t="inlineStr">
        <x:is>
          <x:t xml:space="preserve">AA|v4.3.2</x:t>
        </x:is>
      </x:c>
      <x:c r="D92" t="n">
        <x:v>43</x:v>
      </x:c>
      <x:c r="E92" t="n">
        <x:f>IFERROR(INDEX(Benchmark_Versions!$I:$I,MATCH(C92,Benchmark_Versions!$A:$A,0)),1)</x:f>
        <x:v>1</x:v>
      </x:c>
      <x:c r="F92" t="n">
        <x:f>IF(D92="","",D92*E92)</x:f>
        <x:v>43</x:v>
      </x:c>
      <x:c r="G92" t="n">
        <x:v>0.21</x:v>
      </x:c>
      <x:c r="I92" t="str">
        <x:f>IF(H92="","",H92/60)</x:f>
      </x:c>
      <x:c r="J92" t="n">
        <x:v>238.4</x:v>
      </x:c>
      <x:c r="K92" t="n">
        <x:f>IF(OR(F92="",G92="",G92=0),"",F92/G92)</x:f>
        <x:v>204.76190476190476</x:v>
      </x:c>
      <x:c r="L92" t="n">
        <x:f>IF(OR(F92="",F92=0,G92=""),"",G92/F92)</x:f>
        <x:v>0.004883720930232558</x:v>
      </x:c>
      <x:c r="M92" t="str">
        <x:f>IF(OR(F92="",H92="",H92=0),"",F92/H92)</x:f>
      </x:c>
      <x:c r="N92" t="n">
        <x:f>IF(F92="","",F92/MAX($F$2:$F$144))</x:f>
        <x:v>0.7413793103448276</x:v>
      </x:c>
      <x:c r="O92" t="n">
        <x:f>IF(J92="","",J92/MAX($J$2:$J$144))</x:f>
        <x:v>0.7665594855305466</x:v>
      </x:c>
      <x:c r="P92" t="n">
        <x:f>IF(G92="","",_xlfn.MINIFS($G$2:$G$144,$G$2:$G$144,"&gt;0")/G92)</x:f>
        <x:v>0.02142857142857143</x:v>
      </x:c>
      <x:c r="Q92" t="inlineStr">
        <x:is>
          <x:t xml:space="preserve">Formula-derived; missing raw fields remain blank.</x:t>
        </x:is>
      </x:c>
    </x:row>
    <x:row r="93">
      <x:c r="A93" t="inlineStr">
        <x:is>
          <x:t xml:space="preserve">mistral|mistral-large-4-preview|reasoning|yes|fallback-na|aa-v4.3.2|snapshot-2026-10-16</x:t>
        </x:is>
      </x:c>
      <x:c r="B93" t="inlineStr">
        <x:is>
          <x:t xml:space="preserve">mistral|mistral-large-4-preview|reasoning|yes|fallback-na</x:t>
        </x:is>
      </x:c>
      <x:c r="C93" t="inlineStr">
        <x:is>
          <x:t xml:space="preserve">AA|v4.3.2</x:t>
        </x:is>
      </x:c>
      <x:c r="D93" t="n">
        <x:v>38</x:v>
      </x:c>
      <x:c r="E93" t="n">
        <x:f>IFERROR(INDEX(Benchmark_Versions!$I:$I,MATCH(C93,Benchmark_Versions!$A:$A,0)),1)</x:f>
        <x:v>1</x:v>
      </x:c>
      <x:c r="F93" t="n">
        <x:f>IF(D93="","",D93*E93)</x:f>
        <x:v>38</x:v>
      </x:c>
      <x:c r="G93" t="n">
        <x:v>1.13</x:v>
      </x:c>
      <x:c r="I93" t="str">
        <x:f>IF(H93="","",H93/60)</x:f>
      </x:c>
      <x:c r="K93" t="n">
        <x:f>IF(OR(F93="",G93="",G93=0),"",F93/G93)</x:f>
        <x:v>33.6283185840708</x:v>
      </x:c>
      <x:c r="L93" t="n">
        <x:f>IF(OR(F93="",F93=0,G93=""),"",G93/F93)</x:f>
        <x:v>0.029736842105263155</x:v>
      </x:c>
      <x:c r="M93" t="str">
        <x:f>IF(OR(F93="",H93="",H93=0),"",F93/H93)</x:f>
      </x:c>
      <x:c r="N93" t="n">
        <x:f>IF(F93="","",F93/MAX($F$2:$F$144))</x:f>
        <x:v>0.6551724137931034</x:v>
      </x:c>
      <x:c r="O93" t="str">
        <x:f>IF(J93="","",J93/MAX($J$2:$J$144))</x:f>
      </x:c>
      <x:c r="P93" t="n">
        <x:f>IF(G93="","",_xlfn.MINIFS($G$2:$G$144,$G$2:$G$144,"&gt;0")/G93)</x:f>
        <x:v>0.003982300884955752</x:v>
      </x:c>
      <x:c r="Q93" t="inlineStr">
        <x:is>
          <x:t xml:space="preserve">Formula-derived; missing raw fields remain blank.</x:t>
        </x:is>
      </x:c>
    </x:row>
    <x:row r="94">
      <x:c r="A94" t="inlineStr">
        <x:is>
          <x:t xml:space="preserve">spacexai|grok-4-7|xhigh|yes|fallback-na|aa-v4.3.2|snapshot-2026-10-16</x:t>
        </x:is>
      </x:c>
      <x:c r="B94" t="inlineStr">
        <x:is>
          <x:t xml:space="preserve">spacexai|grok-4-7|xhigh|yes|fallback-na</x:t>
        </x:is>
      </x:c>
      <x:c r="C94" t="inlineStr">
        <x:is>
          <x:t xml:space="preserve">AA|v4.3.2</x:t>
        </x:is>
      </x:c>
      <x:c r="D94" t="n">
        <x:v>46</x:v>
      </x:c>
      <x:c r="E94" t="n">
        <x:f>IFERROR(INDEX(Benchmark_Versions!$I:$I,MATCH(C94,Benchmark_Versions!$A:$A,0)),1)</x:f>
        <x:v>1</x:v>
      </x:c>
      <x:c r="F94" t="n">
        <x:f>IF(D94="","",D94*E94)</x:f>
        <x:v>46</x:v>
      </x:c>
      <x:c r="G94" t="n">
        <x:v>3.74</x:v>
      </x:c>
      <x:c r="I94" t="str">
        <x:f>IF(H94="","",H94/60)</x:f>
      </x:c>
      <x:c r="J94" t="n">
        <x:v>101.6</x:v>
      </x:c>
      <x:c r="K94" t="n">
        <x:f>IF(OR(F94="",G94="",G94=0),"",F94/G94)</x:f>
        <x:v>12.29946524064171</x:v>
      </x:c>
      <x:c r="L94" t="n">
        <x:f>IF(OR(F94="",F94=0,G94=""),"",G94/F94)</x:f>
        <x:v>0.08130434782608696</x:v>
      </x:c>
      <x:c r="M94" t="str">
        <x:f>IF(OR(F94="",H94="",H94=0),"",F94/H94)</x:f>
      </x:c>
      <x:c r="N94" t="n">
        <x:f>IF(F94="","",F94/MAX($F$2:$F$144))</x:f>
        <x:v>0.7931034482758621</x:v>
      </x:c>
      <x:c r="O94" t="n">
        <x:f>IF(J94="","",J94/MAX($J$2:$J$144))</x:f>
        <x:v>0.32668810289389066</x:v>
      </x:c>
      <x:c r="P94" t="n">
        <x:f>IF(G94="","",_xlfn.MINIFS($G$2:$G$144,$G$2:$G$144,"&gt;0")/G94)</x:f>
        <x:v>0.0012032085561497325</x:v>
      </x:c>
      <x:c r="Q94" t="inlineStr">
        <x:is>
          <x:t xml:space="preserve">Formula-derived; missing raw fields remain blank.</x:t>
        </x:is>
      </x:c>
    </x:row>
    <x:row r="95">
      <x:c r="A95" t="inlineStr">
        <x:is>
          <x:t xml:space="preserve">anthropic|claude-sonnet-5.5|max|reasoning|fallback-true|aa-v4.3.2|snapshot-2026-10-16</x:t>
        </x:is>
      </x:c>
      <x:c r="B95" t="inlineStr">
        <x:is>
          <x:t xml:space="preserve">anthropic|claude-sonnet-5.5|max|reasoning|fallback-true</x:t>
        </x:is>
      </x:c>
      <x:c r="C95" t="inlineStr">
        <x:is>
          <x:t xml:space="preserve">AA|v4.3.2</x:t>
        </x:is>
      </x:c>
      <x:c r="D95" t="n">
        <x:v>56</x:v>
      </x:c>
      <x:c r="E95" t="n">
        <x:f>IFERROR(INDEX(Benchmark_Versions!$I:$I,MATCH(C95,Benchmark_Versions!$A:$A,0)),1)</x:f>
        <x:v>1</x:v>
      </x:c>
      <x:c r="F95" t="n">
        <x:f>IF(D95="","",D95*E95)</x:f>
        <x:v>56</x:v>
      </x:c>
      <x:c r="G95" t="n">
        <x:v>5.46</x:v>
      </x:c>
      <x:c r="I95" t="str">
        <x:f>IF(H95="","",H95/60)</x:f>
      </x:c>
      <x:c r="J95" t="n">
        <x:v>137.7</x:v>
      </x:c>
      <x:c r="K95" t="n">
        <x:f>IF(OR(F95="",G95="",G95=0),"",F95/G95)</x:f>
        <x:v>10.256410256410257</x:v>
      </x:c>
      <x:c r="L95" t="n">
        <x:f>IF(OR(F95="",F95=0,G95=""),"",G95/F95)</x:f>
        <x:v>0.0975</x:v>
      </x:c>
      <x:c r="M95" t="str">
        <x:f>IF(OR(F95="",H95="",H95=0),"",F95/H95)</x:f>
      </x:c>
      <x:c r="N95" t="n">
        <x:f>IF(F95="","",F95/MAX($F$2:$F$144))</x:f>
        <x:v>0.9655172413793104</x:v>
      </x:c>
      <x:c r="O95" t="n">
        <x:f>IF(J95="","",J95/MAX($J$2:$J$144))</x:f>
        <x:v>0.4427652733118971</x:v>
      </x:c>
      <x:c r="P95" t="n">
        <x:f>IF(G95="","",_xlfn.MINIFS($G$2:$G$144,$G$2:$G$144,"&gt;0")/G95)</x:f>
        <x:v>0.0008241758241758241</x:v>
      </x:c>
      <x:c r="Q95" t="inlineStr">
        <x:is>
          <x:t xml:space="preserve">Formula-derived; missing raw fields remain blank.</x:t>
        </x:is>
      </x:c>
    </x:row>
    <x:row r="96">
      <x:c r="A96" t="inlineStr">
        <x:is>
          <x:t xml:space="preserve">openai|gpt-6-sol|max|reasoning|fallback-na|aa-v4.3.2|snapshot-2026-10-16</x:t>
        </x:is>
      </x:c>
      <x:c r="B96" t="inlineStr">
        <x:is>
          <x:t xml:space="preserve">openai|gpt-6-sol|max|reasoning|fallback-na</x:t>
        </x:is>
      </x:c>
      <x:c r="C96" t="inlineStr">
        <x:is>
          <x:t xml:space="preserve">AA|v4.3.2</x:t>
        </x:is>
      </x:c>
      <x:c r="D96" t="n">
        <x:v>48</x:v>
      </x:c>
      <x:c r="E96" t="n">
        <x:f>IFERROR(INDEX(Benchmark_Versions!$I:$I,MATCH(C96,Benchmark_Versions!$A:$A,0)),1)</x:f>
        <x:v>1</x:v>
      </x:c>
      <x:c r="F96" t="n">
        <x:f>IF(D96="","",D96*E96)</x:f>
        <x:v>48</x:v>
      </x:c>
      <x:c r="G96" t="n">
        <x:v>1.04</x:v>
      </x:c>
      <x:c r="H96" t="n">
        <x:v>293.81</x:v>
      </x:c>
      <x:c r="I96" t="n">
        <x:f>IF(H96="","",H96/60)</x:f>
        <x:v>4.896833333333333</x:v>
      </x:c>
      <x:c r="J96" t="n">
        <x:v>103</x:v>
      </x:c>
      <x:c r="K96" t="n">
        <x:f>IF(OR(F96="",G96="",G96=0),"",F96/G96)</x:f>
        <x:v>46.15384615384615</x:v>
      </x:c>
      <x:c r="L96" t="n">
        <x:f>IF(OR(F96="",F96=0,G96=""),"",G96/F96)</x:f>
        <x:v>0.021666666666666667</x:v>
      </x:c>
      <x:c r="M96" t="n">
        <x:f>IF(OR(F96="",H96="",H96=0),"",F96/H96)</x:f>
        <x:v>0.16337088594670024</x:v>
      </x:c>
      <x:c r="N96" t="n">
        <x:f>IF(F96="","",F96/MAX($F$2:$F$144))</x:f>
        <x:v>0.8275862068965517</x:v>
      </x:c>
      <x:c r="O96" t="n">
        <x:f>IF(J96="","",J96/MAX($J$2:$J$144))</x:f>
        <x:v>0.3311897106109325</x:v>
      </x:c>
      <x:c r="P96" t="n">
        <x:f>IF(G96="","",_xlfn.MINIFS($G$2:$G$144,$G$2:$G$144,"&gt;0")/G96)</x:f>
        <x:v>0.004326923076923076</x:v>
      </x:c>
      <x:c r="Q96" t="inlineStr">
        <x:is>
          <x:t xml:space="preserve">Formula-derived; missing raw fields remain blank.</x:t>
        </x:is>
      </x:c>
    </x:row>
    <x:row r="97">
      <x:c r="A97" t="inlineStr">
        <x:is>
          <x:t xml:space="preserve">meta|muse-wonder-full|max|reasoning|fallback-na|aa-v4.3.2|snapshot-2026-10-16</x:t>
        </x:is>
      </x:c>
      <x:c r="B97" t="inlineStr">
        <x:is>
          <x:t xml:space="preserve">meta|muse-wonder-full|max|reasoning|fallback-na</x:t>
        </x:is>
      </x:c>
      <x:c r="C97" t="inlineStr">
        <x:is>
          <x:t xml:space="preserve">AA|v4.3.2</x:t>
        </x:is>
      </x:c>
      <x:c r="D97" t="n">
        <x:v>56</x:v>
      </x:c>
      <x:c r="E97" t="n">
        <x:f>IFERROR(INDEX(Benchmark_Versions!$I:$I,MATCH(C97,Benchmark_Versions!$A:$A,0)),1)</x:f>
        <x:v>1</x:v>
      </x:c>
      <x:c r="F97" t="n">
        <x:f>IF(D97="","",D97*E97)</x:f>
        <x:v>56</x:v>
      </x:c>
      <x:c r="I97" t="str">
        <x:f>IF(H97="","",H97/60)</x:f>
      </x:c>
      <x:c r="K97" t="str">
        <x:f>IF(OR(F97="",G97="",G97=0),"",F97/G97)</x:f>
      </x:c>
      <x:c r="L97" t="str">
        <x:f>IF(OR(F97="",F97=0,G97=""),"",G97/F97)</x:f>
      </x:c>
      <x:c r="M97" t="str">
        <x:f>IF(OR(F97="",H97="",H97=0),"",F97/H97)</x:f>
      </x:c>
      <x:c r="N97" t="n">
        <x:f>IF(F97="","",F97/MAX($F$2:$F$144))</x:f>
        <x:v>0.9655172413793104</x:v>
      </x:c>
      <x:c r="O97" t="str">
        <x:f>IF(J97="","",J97/MAX($J$2:$J$144))</x:f>
      </x:c>
      <x:c r="P97" t="str">
        <x:f>IF(G97="","",_xlfn.MINIFS($G$2:$G$144,$G$2:$G$144,"&gt;0")/G97)</x:f>
      </x:c>
      <x:c r="Q97" t="inlineStr">
        <x:is>
          <x:t xml:space="preserve">Formula-derived; missing raw fields remain blank.</x:t>
        </x:is>
      </x:c>
    </x:row>
    <x:row r="98" s="14" customFormat="1">
      <x:c r="A98" t="inlineStr">
        <x:is>
          <x:t xml:space="preserve">deepseek|deepseek-v4.1-flash|non-reasoning|nonreasoning|fallback-na|aa-v4.3.2|snapshot-2026-10-12</x:t>
        </x:is>
      </x:c>
      <x:c r="B98" t="inlineStr">
        <x:is>
          <x:t xml:space="preserve">deepseek|deepseek-v4.1-flash|non-reasoning|nonreasoning|fallback-na</x:t>
        </x:is>
      </x:c>
      <x:c r="C98" t="inlineStr">
        <x:is>
          <x:t xml:space="preserve">AA|v4.3.2</x:t>
        </x:is>
      </x:c>
      <x:c r="D98" t="n">
        <x:v>25</x:v>
      </x:c>
      <x:c r="E98" t="n">
        <x:f>IFERROR(INDEX(Benchmark_Versions!$I:$I,MATCH(C98,Benchmark_Versions!$A:$A,0)),1)</x:f>
        <x:v>1</x:v>
      </x:c>
      <x:c r="F98" t="n">
        <x:f>IF(D98="","",D98*E98)</x:f>
        <x:v>25</x:v>
      </x:c>
      <x:c r="G98" t="n">
        <x:v>0.15</x:v>
      </x:c>
      <x:c r="I98" t="str">
        <x:f>IF(H98="","",H98/60)</x:f>
      </x:c>
      <x:c r="J98" t="n">
        <x:v>211</x:v>
      </x:c>
      <x:c r="K98" t="n">
        <x:f>IF(OR(F98="",G98="",G98=0),"",F98/G98)</x:f>
        <x:v>166.66666666666669</x:v>
      </x:c>
      <x:c r="L98" t="n">
        <x:f>IF(OR(F98="",F98=0,G98=""),"",G98/F98)</x:f>
        <x:v>0.006</x:v>
      </x:c>
      <x:c r="M98" t="str">
        <x:f>IF(OR(F98="",H98="",H98=0),"",F98/H98)</x:f>
      </x:c>
      <x:c r="N98" t="n">
        <x:f>IF(F98="","",F98/MAX($F$2:$F$144))</x:f>
        <x:v>0.43103448275862066</x:v>
      </x:c>
      <x:c r="O98" t="n">
        <x:f>IF(J98="","",J98/MAX($J$2:$J$144))</x:f>
        <x:v>0.6784565916398714</x:v>
      </x:c>
      <x:c r="P98" t="n">
        <x:f>IF(G98="","",_xlfn.MINIFS($G$2:$G$144,$G$2:$G$144,"&gt;0")/G98)</x:f>
        <x:v>0.03</x:v>
      </x:c>
      <x:c r="Q98" t="inlineStr">
        <x:is>
          <x:t xml:space="preserve">Source snapshot; missing task time remains blank.</x:t>
        </x:is>
      </x:c>
    </x:row>
    <x:row r="99" s="14" customFormat="1">
      <x:c r="A99" t="inlineStr">
        <x:is>
          <x:t xml:space="preserve">deepseek|deepseek-v4.1-flash|max|reasoning|fallback-na|aa-v4.3.2|snapshot-2026-10-12</x:t>
        </x:is>
      </x:c>
      <x:c r="B99" t="inlineStr">
        <x:is>
          <x:t xml:space="preserve">deepseek|deepseek-v4.1-flash|max|reasoning|fallback-na</x:t>
        </x:is>
      </x:c>
      <x:c r="C99" t="inlineStr">
        <x:is>
          <x:t xml:space="preserve">AA|v4.3.2</x:t>
        </x:is>
      </x:c>
      <x:c r="D99" t="n">
        <x:v>39</x:v>
      </x:c>
      <x:c r="E99" t="n">
        <x:f>IFERROR(INDEX(Benchmark_Versions!$I:$I,MATCH(C99,Benchmark_Versions!$A:$A,0)),1)</x:f>
        <x:v>1</x:v>
      </x:c>
      <x:c r="F99" t="n">
        <x:f>IF(D99="","",D99*E99)</x:f>
        <x:v>39</x:v>
      </x:c>
      <x:c r="G99" t="n">
        <x:v>0.27</x:v>
      </x:c>
      <x:c r="I99" t="str">
        <x:f>IF(H99="","",H99/60)</x:f>
      </x:c>
      <x:c r="J99" t="n">
        <x:v>217</x:v>
      </x:c>
      <x:c r="K99" t="n">
        <x:f>IF(OR(F99="",G99="",G99=0),"",F99/G99)</x:f>
        <x:v>144.44444444444443</x:v>
      </x:c>
      <x:c r="L99" t="n">
        <x:f>IF(OR(F99="",F99=0,G99=""),"",G99/F99)</x:f>
        <x:v>0.006923076923076923</x:v>
      </x:c>
      <x:c r="M99" t="str">
        <x:f>IF(OR(F99="",H99="",H99=0),"",F99/H99)</x:f>
      </x:c>
      <x:c r="N99" t="n">
        <x:f>IF(F99="","",F99/MAX($F$2:$F$144))</x:f>
        <x:v>0.6724137931034483</x:v>
      </x:c>
      <x:c r="O99" t="n">
        <x:f>IF(J99="","",J99/MAX($J$2:$J$144))</x:f>
        <x:v>0.6977491961414791</x:v>
      </x:c>
      <x:c r="P99" t="n">
        <x:f>IF(G99="","",_xlfn.MINIFS($G$2:$G$144,$G$2:$G$144,"&gt;0")/G99)</x:f>
        <x:v>0.016666666666666663</x:v>
      </x:c>
      <x:c r="Q99" t="inlineStr">
        <x:is>
          <x:t xml:space="preserve">Source snapshot; missing task time remains blank.</x:t>
        </x:is>
      </x:c>
    </x:row>
    <x:row r="100" s="14" customFormat="1">
      <x:c r="A100" t="inlineStr">
        <x:is>
          <x:t xml:space="preserve">deepseek|deepseek-v4-pro-0813|non-reasoning|nonreasoning|fallback-na|aa-v4.3.2|snapshot-2026-10-12</x:t>
        </x:is>
      </x:c>
      <x:c r="B100" t="inlineStr">
        <x:is>
          <x:t xml:space="preserve">deepseek|deepseek-v4-pro-0813|non-reasoning|nonreasoning|fallback-na</x:t>
        </x:is>
      </x:c>
      <x:c r="C100" t="inlineStr">
        <x:is>
          <x:t xml:space="preserve">AA|v4.3.2</x:t>
        </x:is>
      </x:c>
      <x:c r="D100" t="n">
        <x:v>20</x:v>
      </x:c>
      <x:c r="E100" t="n">
        <x:f>IFERROR(INDEX(Benchmark_Versions!$I:$I,MATCH(C100,Benchmark_Versions!$A:$A,0)),1)</x:f>
        <x:v>1</x:v>
      </x:c>
      <x:c r="F100" t="n">
        <x:f>IF(D100="","",D100*E100)</x:f>
        <x:v>20</x:v>
      </x:c>
      <x:c r="G100" t="n">
        <x:v>0.36</x:v>
      </x:c>
      <x:c r="I100" t="str">
        <x:f>IF(H100="","",H100/60)</x:f>
      </x:c>
      <x:c r="J100" t="n">
        <x:v>85</x:v>
      </x:c>
      <x:c r="K100" t="n">
        <x:f>IF(OR(F100="",G100="",G100=0),"",F100/G100)</x:f>
        <x:v>55.55555555555556</x:v>
      </x:c>
      <x:c r="L100" t="n">
        <x:f>IF(OR(F100="",F100=0,G100=""),"",G100/F100)</x:f>
        <x:v>0.018</x:v>
      </x:c>
      <x:c r="M100" t="str">
        <x:f>IF(OR(F100="",H100="",H100=0),"",F100/H100)</x:f>
      </x:c>
      <x:c r="N100" t="n">
        <x:f>IF(F100="","",F100/MAX($F$2:$F$144))</x:f>
        <x:v>0.3448275862068966</x:v>
      </x:c>
      <x:c r="O100" t="n">
        <x:f>IF(J100="","",J100/MAX($J$2:$J$144))</x:f>
        <x:v>0.2733118971061093</x:v>
      </x:c>
      <x:c r="P100" t="n">
        <x:f>IF(G100="","",_xlfn.MINIFS($G$2:$G$144,$G$2:$G$144,"&gt;0")/G100)</x:f>
        <x:v>0.012499999999999999</x:v>
      </x:c>
      <x:c r="Q100" t="inlineStr">
        <x:is>
          <x:t xml:space="preserve">Source snapshot; missing task time remains blank.</x:t>
        </x:is>
      </x:c>
    </x:row>
    <x:row r="101" s="14" customFormat="1">
      <x:c r="A101" t="inlineStr">
        <x:is>
          <x:t xml:space="preserve">deepseek|deepseek-v4-pro-0813|max|reasoning|fallback-na|aa-v4.3.2|snapshot-2026-10-12</x:t>
        </x:is>
      </x:c>
      <x:c r="B101" t="inlineStr">
        <x:is>
          <x:t xml:space="preserve">deepseek|deepseek-v4-pro-0813|max|reasoning|fallback-na</x:t>
        </x:is>
      </x:c>
      <x:c r="C101" t="inlineStr">
        <x:is>
          <x:t xml:space="preserve">AA|v4.3.2</x:t>
        </x:is>
      </x:c>
      <x:c r="D101" t="n">
        <x:v>36</x:v>
      </x:c>
      <x:c r="E101" t="n">
        <x:f>IFERROR(INDEX(Benchmark_Versions!$I:$I,MATCH(C101,Benchmark_Versions!$A:$A,0)),1)</x:f>
        <x:v>1</x:v>
      </x:c>
      <x:c r="F101" t="n">
        <x:f>IF(D101="","",D101*E101)</x:f>
        <x:v>36</x:v>
      </x:c>
      <x:c r="G101" t="n">
        <x:v>0.67</x:v>
      </x:c>
      <x:c r="I101" t="str">
        <x:f>IF(H101="","",H101/60)</x:f>
      </x:c>
      <x:c r="J101" t="n">
        <x:v>93</x:v>
      </x:c>
      <x:c r="K101" t="n">
        <x:f>IF(OR(F101="",G101="",G101=0),"",F101/G101)</x:f>
        <x:v>53.731343283582085</x:v>
      </x:c>
      <x:c r="L101" t="n">
        <x:f>IF(OR(F101="",F101=0,G101=""),"",G101/F101)</x:f>
        <x:v>0.018611111111111113</x:v>
      </x:c>
      <x:c r="M101" t="str">
        <x:f>IF(OR(F101="",H101="",H101=0),"",F101/H101)</x:f>
      </x:c>
      <x:c r="N101" t="n">
        <x:f>IF(F101="","",F101/MAX($F$2:$F$144))</x:f>
        <x:v>0.6206896551724138</x:v>
      </x:c>
      <x:c r="O101" t="n">
        <x:f>IF(J101="","",J101/MAX($J$2:$J$144))</x:f>
        <x:v>0.2990353697749196</x:v>
      </x:c>
      <x:c r="P101" t="n">
        <x:f>IF(G101="","",_xlfn.MINIFS($G$2:$G$144,$G$2:$G$144,"&gt;0")/G101)</x:f>
        <x:v>0.00671641791044776</x:v>
      </x:c>
      <x:c r="Q101" t="inlineStr">
        <x:is>
          <x:t xml:space="preserve">Source snapshot; missing task time remains blank.</x:t>
        </x:is>
      </x:c>
    </x:row>
    <x:row r="102" s="14" customFormat="1">
      <x:c r="A102" t="inlineStr">
        <x:is>
          <x:t xml:space="preserve">z-ai|glm-5.3-flash|reasoning|reasoning|fallback-na|aa-v4.3.2|snapshot-2026-10-12</x:t>
        </x:is>
      </x:c>
      <x:c r="B102" t="inlineStr">
        <x:is>
          <x:t xml:space="preserve">z-ai|glm-5.3-flash|reasoning|reasoning|fallback-na</x:t>
        </x:is>
      </x:c>
      <x:c r="C102" t="inlineStr">
        <x:is>
          <x:t xml:space="preserve">AA|v4.3.2</x:t>
        </x:is>
      </x:c>
      <x:c r="D102" t="n">
        <x:v>42</x:v>
      </x:c>
      <x:c r="E102" t="n">
        <x:f>IFERROR(INDEX(Benchmark_Versions!$I:$I,MATCH(C102,Benchmark_Versions!$A:$A,0)),1)</x:f>
        <x:v>1</x:v>
      </x:c>
      <x:c r="F102" t="n">
        <x:f>IF(D102="","",D102*E102)</x:f>
        <x:v>42</x:v>
      </x:c>
      <x:c r="G102" t="n">
        <x:v>0.25</x:v>
      </x:c>
      <x:c r="I102" t="str">
        <x:f>IF(H102="","",H102/60)</x:f>
      </x:c>
      <x:c r="J102" t="n">
        <x:v>61</x:v>
      </x:c>
      <x:c r="K102" t="n">
        <x:f>IF(OR(F102="",G102="",G102=0),"",F102/G102)</x:f>
        <x:v>168</x:v>
      </x:c>
      <x:c r="L102" t="n">
        <x:f>IF(OR(F102="",F102=0,G102=""),"",G102/F102)</x:f>
        <x:v>0.005952380952380952</x:v>
      </x:c>
      <x:c r="M102" t="str">
        <x:f>IF(OR(F102="",H102="",H102=0),"",F102/H102)</x:f>
      </x:c>
      <x:c r="N102" t="n">
        <x:f>IF(F102="","",F102/MAX($F$2:$F$144))</x:f>
        <x:v>0.7241379310344828</x:v>
      </x:c>
      <x:c r="O102" t="n">
        <x:f>IF(J102="","",J102/MAX($J$2:$J$144))</x:f>
        <x:v>0.19614147909967847</x:v>
      </x:c>
      <x:c r="P102" t="n">
        <x:f>IF(G102="","",_xlfn.MINIFS($G$2:$G$144,$G$2:$G$144,"&gt;0")/G102)</x:f>
        <x:v>0.018</x:v>
      </x:c>
      <x:c r="Q102" t="inlineStr">
        <x:is>
          <x:t xml:space="preserve">Source snapshot; missing task time remains blank.</x:t>
        </x:is>
      </x:c>
    </x:row>
    <x:row r="103" s="14" customFormat="1">
      <x:c r="A103" t="inlineStr">
        <x:is>
          <x:t xml:space="preserve">z-ai|glm-5.3|low|reasoning|fallback-na|aa-v4.3.2|snapshot-2026-10-12</x:t>
        </x:is>
      </x:c>
      <x:c r="B103" t="inlineStr">
        <x:is>
          <x:t xml:space="preserve">z-ai|glm-5.3|low|reasoning|fallback-na</x:t>
        </x:is>
      </x:c>
      <x:c r="C103" t="inlineStr">
        <x:is>
          <x:t xml:space="preserve">AA|v4.3.2</x:t>
        </x:is>
      </x:c>
      <x:c r="D103" t="n">
        <x:v>34</x:v>
      </x:c>
      <x:c r="E103" t="n">
        <x:f>IFERROR(INDEX(Benchmark_Versions!$I:$I,MATCH(C103,Benchmark_Versions!$A:$A,0)),1)</x:f>
        <x:v>1</x:v>
      </x:c>
      <x:c r="F103" t="n">
        <x:f>IF(D103="","",D103*E103)</x:f>
        <x:v>34</x:v>
      </x:c>
      <x:c r="G103" t="n">
        <x:v>0.85</x:v>
      </x:c>
      <x:c r="I103" t="str">
        <x:f>IF(H103="","",H103/60)</x:f>
      </x:c>
      <x:c r="J103" t="n">
        <x:v>75</x:v>
      </x:c>
      <x:c r="K103" t="n">
        <x:f>IF(OR(F103="",G103="",G103=0),"",F103/G103)</x:f>
        <x:v>40</x:v>
      </x:c>
      <x:c r="L103" t="n">
        <x:f>IF(OR(F103="",F103=0,G103=""),"",G103/F103)</x:f>
        <x:v>0.024999999999999998</x:v>
      </x:c>
      <x:c r="M103" t="str">
        <x:f>IF(OR(F103="",H103="",H103=0),"",F103/H103)</x:f>
      </x:c>
      <x:c r="N103" t="n">
        <x:f>IF(F103="","",F103/MAX($F$2:$F$144))</x:f>
        <x:v>0.5862068965517241</x:v>
      </x:c>
      <x:c r="O103" t="n">
        <x:f>IF(J103="","",J103/MAX($J$2:$J$144))</x:f>
        <x:v>0.24115755627009647</x:v>
      </x:c>
      <x:c r="P103" t="n">
        <x:f>IF(G103="","",_xlfn.MINIFS($G$2:$G$144,$G$2:$G$144,"&gt;0")/G103)</x:f>
        <x:v>0.005294117647058823</x:v>
      </x:c>
      <x:c r="Q103" t="inlineStr">
        <x:is>
          <x:t xml:space="preserve">Source snapshot; missing task time remains blank.</x:t>
        </x:is>
      </x:c>
    </x:row>
    <x:row r="104" s="14" customFormat="1">
      <x:c r="A104" t="inlineStr">
        <x:is>
          <x:t xml:space="preserve">z-ai|glm-5.3|max|reasoning|fallback-na|aa-v4.3.2|snapshot-2026-10-12</x:t>
        </x:is>
      </x:c>
      <x:c r="B104" t="inlineStr">
        <x:is>
          <x:t xml:space="preserve">z-ai|glm-5.3|max|reasoning|fallback-na</x:t>
        </x:is>
      </x:c>
      <x:c r="C104" t="inlineStr">
        <x:is>
          <x:t xml:space="preserve">AA|v4.3.2</x:t>
        </x:is>
      </x:c>
      <x:c r="D104" t="n">
        <x:v>45</x:v>
      </x:c>
      <x:c r="E104" t="n">
        <x:f>IFERROR(INDEX(Benchmark_Versions!$I:$I,MATCH(C104,Benchmark_Versions!$A:$A,0)),1)</x:f>
        <x:v>1</x:v>
      </x:c>
      <x:c r="F104" t="n">
        <x:f>IF(D104="","",D104*E104)</x:f>
        <x:v>45</x:v>
      </x:c>
      <x:c r="G104" t="n">
        <x:v>2.01</x:v>
      </x:c>
      <x:c r="I104" t="str">
        <x:f>IF(H104="","",H104/60)</x:f>
      </x:c>
      <x:c r="J104" t="n">
        <x:v>68</x:v>
      </x:c>
      <x:c r="K104" t="n">
        <x:f>IF(OR(F104="",G104="",G104=0),"",F104/G104)</x:f>
        <x:v>22.38805970149254</x:v>
      </x:c>
      <x:c r="L104" t="n">
        <x:f>IF(OR(F104="",F104=0,G104=""),"",G104/F104)</x:f>
        <x:v>0.04466666666666666</x:v>
      </x:c>
      <x:c r="M104" t="str">
        <x:f>IF(OR(F104="",H104="",H104=0),"",F104/H104)</x:f>
      </x:c>
      <x:c r="N104" t="n">
        <x:f>IF(F104="","",F104/MAX($F$2:$F$144))</x:f>
        <x:v>0.7758620689655172</x:v>
      </x:c>
      <x:c r="O104" t="n">
        <x:f>IF(J104="","",J104/MAX($J$2:$J$144))</x:f>
        <x:v>0.21864951768488747</x:v>
      </x:c>
      <x:c r="P104" t="n">
        <x:f>IF(G104="","",_xlfn.MINIFS($G$2:$G$144,$G$2:$G$144,"&gt;0")/G104)</x:f>
        <x:v>0.002238805970149254</x:v>
      </x:c>
      <x:c r="Q104" t="inlineStr">
        <x:is>
          <x:t xml:space="preserve">Source snapshot; missing task time remains blank.</x:t>
        </x:is>
      </x:c>
    </x:row>
    <x:row r="105" s="14" customFormat="1">
      <x:c r="A105" t="inlineStr">
        <x:is>
          <x:t xml:space="preserve">xiaomi|mimo-v2-6-pro|reasoning|yes|fallback-na|aa-v4.3.2|snapshot-2026-10-12</x:t>
        </x:is>
      </x:c>
      <x:c r="B105" t="inlineStr">
        <x:is>
          <x:t xml:space="preserve">xiaomi|mimo-v2-6-pro|reasoning|yes|fallback-na</x:t>
        </x:is>
      </x:c>
      <x:c r="C105" t="inlineStr">
        <x:is>
          <x:t xml:space="preserve">AA|v4.3.2</x:t>
        </x:is>
      </x:c>
      <x:c r="D105" t="n">
        <x:v>46</x:v>
      </x:c>
      <x:c r="E105" t="n">
        <x:f>IFERROR(INDEX(Benchmark_Versions!$I:$I,MATCH(C105,Benchmark_Versions!$A:$A,0)),1)</x:f>
        <x:v>1</x:v>
      </x:c>
      <x:c r="F105" t="n">
        <x:f>IF(D105="","",D105*E105)</x:f>
        <x:v>46</x:v>
      </x:c>
      <x:c r="G105" t="n">
        <x:v>0.13</x:v>
      </x:c>
      <x:c r="I105" t="str">
        <x:f>IF(H105="","",H105/60)</x:f>
      </x:c>
      <x:c r="J105" t="n">
        <x:v>43</x:v>
      </x:c>
      <x:c r="K105" t="n">
        <x:f>IF(OR(F105="",G105="",G105=0),"",F105/G105)</x:f>
        <x:v>353.8461538461538</x:v>
      </x:c>
      <x:c r="L105" t="n">
        <x:f>IF(OR(F105="",F105=0,G105=""),"",G105/F105)</x:f>
        <x:v>0.002826086956521739</x:v>
      </x:c>
      <x:c r="M105" t="str">
        <x:f>IF(OR(F105="",H105="",H105=0),"",F105/H105)</x:f>
      </x:c>
      <x:c r="N105" t="n">
        <x:f>IF(F105="","",F105/MAX($F$2:$F$144))</x:f>
        <x:v>0.7931034482758621</x:v>
      </x:c>
      <x:c r="O105" t="n">
        <x:f>IF(J105="","",J105/MAX($J$2:$J$144))</x:f>
        <x:v>0.1382636655948553</x:v>
      </x:c>
      <x:c r="P105" t="n">
        <x:f>IF(G105="","",_xlfn.MINIFS($G$2:$G$144,$G$2:$G$144,"&gt;0")/G105)</x:f>
        <x:v>0.03461538461538461</x:v>
      </x:c>
      <x:c r="Q105" t="inlineStr">
        <x:is>
          <x:t xml:space="preserve">Source snapshot; missing task time remains blank.</x:t>
        </x:is>
      </x:c>
    </x:row>
    <x:row r="106" s="14" customFormat="1">
      <x:c r="A106" t="inlineStr">
        <x:is>
          <x:t xml:space="preserve">xiaomi|mimo-v2.6-flash|reasoning|reasoning|fallback-na|aa-v4.3.2|snapshot-2026-10-12</x:t>
        </x:is>
      </x:c>
      <x:c r="B106" t="inlineStr">
        <x:is>
          <x:t xml:space="preserve">xiaomi|mimo-v2.6-flash|reasoning|reasoning|fallback-na</x:t>
        </x:is>
      </x:c>
      <x:c r="C106" t="inlineStr">
        <x:is>
          <x:t xml:space="preserve">AA|v4.3.2</x:t>
        </x:is>
      </x:c>
      <x:c r="D106" t="n">
        <x:v>38</x:v>
      </x:c>
      <x:c r="E106" t="n">
        <x:f>IFERROR(INDEX(Benchmark_Versions!$I:$I,MATCH(C106,Benchmark_Versions!$A:$A,0)),1)</x:f>
        <x:v>1</x:v>
      </x:c>
      <x:c r="F106" t="n">
        <x:f>IF(D106="","",D106*E106)</x:f>
        <x:v>38</x:v>
      </x:c>
      <x:c r="G106" t="n">
        <x:v>0.06</x:v>
      </x:c>
      <x:c r="I106" t="str">
        <x:f>IF(H106="","",H106/60)</x:f>
      </x:c>
      <x:c r="J106" t="n">
        <x:v>49</x:v>
      </x:c>
      <x:c r="K106" t="n">
        <x:f>IF(OR(F106="",G106="",G106=0),"",F106/G106)</x:f>
        <x:v>633.3333333333334</x:v>
      </x:c>
      <x:c r="L106" t="n">
        <x:f>IF(OR(F106="",F106=0,G106=""),"",G106/F106)</x:f>
        <x:v>0.0015789473684210526</x:v>
      </x:c>
      <x:c r="M106" t="str">
        <x:f>IF(OR(F106="",H106="",H106=0),"",F106/H106)</x:f>
      </x:c>
      <x:c r="N106" t="n">
        <x:f>IF(F106="","",F106/MAX($F$2:$F$144))</x:f>
        <x:v>0.6551724137931034</x:v>
      </x:c>
      <x:c r="O106" t="n">
        <x:f>IF(J106="","",J106/MAX($J$2:$J$144))</x:f>
        <x:v>0.15755627009646303</x:v>
      </x:c>
      <x:c r="P106" t="n">
        <x:f>IF(G106="","",_xlfn.MINIFS($G$2:$G$144,$G$2:$G$144,"&gt;0")/G106)</x:f>
        <x:v>0.075</x:v>
      </x:c>
      <x:c r="Q106" t="inlineStr">
        <x:is>
          <x:t xml:space="preserve">Source snapshot; missing task time remains blank.</x:t>
        </x:is>
      </x:c>
    </x:row>
    <x:row r="107" s="14" customFormat="1">
      <x:c r="A107" t="inlineStr">
        <x:is>
          <x:t xml:space="preserve">meta|muse-wonder|max|reasoning|fallback-na|aa-v4.3.2|snapshot-2026-10-16</x:t>
        </x:is>
      </x:c>
      <x:c r="B107" t="inlineStr">
        <x:is>
          <x:t xml:space="preserve">meta|muse-wonder|max|reasoning|fallback-na</x:t>
        </x:is>
      </x:c>
      <x:c r="C107" t="inlineStr">
        <x:is>
          <x:t xml:space="preserve">AA|v4.3.2</x:t>
        </x:is>
      </x:c>
      <x:c r="D107" t="n">
        <x:v>52</x:v>
      </x:c>
      <x:c r="E107" t="n">
        <x:f>IFERROR(INDEX(Benchmark_Versions!$I:$I,MATCH(C107,Benchmark_Versions!$A:$A,0)),1)</x:f>
        <x:v>1</x:v>
      </x:c>
      <x:c r="F107" t="n">
        <x:f>IF(D107="","",D107*E107)</x:f>
        <x:v>52</x:v>
      </x:c>
      <x:c r="G107" t="n">
        <x:v>4.52</x:v>
      </x:c>
      <x:c r="I107" t="str">
        <x:f>IF(H107="","",H107/60)</x:f>
      </x:c>
      <x:c r="J107" t="n">
        <x:v>183.9</x:v>
      </x:c>
      <x:c r="K107" t="n">
        <x:f>IF(OR(F107="",G107="",G107=0),"",F107/G107)</x:f>
        <x:v>11.504424778761063</x:v>
      </x:c>
      <x:c r="L107" t="n">
        <x:f>IF(OR(F107="",F107=0,G107=""),"",G107/F107)</x:f>
        <x:v>0.08692307692307691</x:v>
      </x:c>
      <x:c r="M107" t="str">
        <x:f>IF(OR(F107="",H107="",H107=0),"",F107/H107)</x:f>
      </x:c>
      <x:c r="N107" t="n">
        <x:f>IF(F107="","",F107/MAX($F$2:$F$144))</x:f>
        <x:v>0.896551724137931</x:v>
      </x:c>
      <x:c r="O107" t="n">
        <x:f>IF(J107="","",J107/MAX($J$2:$J$144))</x:f>
        <x:v>0.5913183279742765</x:v>
      </x:c>
      <x:c r="P107" t="n">
        <x:f>IF(G107="","",_xlfn.MINIFS($G$2:$G$144,$G$2:$G$144,"&gt;0")/G107)</x:f>
        <x:v>0.000995575221238938</x:v>
      </x:c>
      <x:c r="Q107" t="inlineStr">
        <x:is>
          <x:t xml:space="preserve">Source snapshot; missing task time remains blank.</x:t>
        </x:is>
      </x:c>
    </x:row>
    <x:row r="108" s="14" customFormat="1">
      <x:c r="A108" t="inlineStr">
        <x:is>
          <x:t xml:space="preserve">openai|gpt-6-1-sol|xhigh|yes|fallback-na|aa-v4.3.2|snapshot-2026-10-16</x:t>
        </x:is>
      </x:c>
      <x:c r="B108" t="inlineStr">
        <x:is>
          <x:t xml:space="preserve">openai|gpt-6-1-sol|xhigh|yes|fallback-na</x:t>
        </x:is>
      </x:c>
      <x:c r="C108" t="inlineStr">
        <x:is>
          <x:t xml:space="preserve">AA|v4.3.2</x:t>
        </x:is>
      </x:c>
      <x:c r="D108" t="n">
        <x:v>51</x:v>
      </x:c>
      <x:c r="E108" t="n">
        <x:f>IFERROR(INDEX(Benchmark_Versions!$I:$I,MATCH(C108,Benchmark_Versions!$A:$A,0)),1)</x:f>
        <x:v>1</x:v>
      </x:c>
      <x:c r="F108" t="n">
        <x:f>IF(D108="","",D108*E108)</x:f>
        <x:v>51</x:v>
      </x:c>
      <x:c r="G108" t="n">
        <x:v>0.39</x:v>
      </x:c>
      <x:c r="I108" t="str">
        <x:f>IF(H108="","",H108/60)</x:f>
      </x:c>
      <x:c r="J108" t="n">
        <x:v>56.7</x:v>
      </x:c>
      <x:c r="K108" t="n">
        <x:f>IF(OR(F108="",G108="",G108=0),"",F108/G108)</x:f>
        <x:v>130.76923076923077</x:v>
      </x:c>
      <x:c r="L108" t="n">
        <x:f>IF(OR(F108="",F108=0,G108=""),"",G108/F108)</x:f>
        <x:v>0.007647058823529412</x:v>
      </x:c>
      <x:c r="M108" t="str">
        <x:f>IF(OR(F108="",H108="",H108=0),"",F108/H108)</x:f>
      </x:c>
      <x:c r="N108" t="n">
        <x:f>IF(F108="","",F108/MAX($F$2:$F$144))</x:f>
        <x:v>0.8793103448275862</x:v>
      </x:c>
      <x:c r="O108" t="n">
        <x:f>IF(J108="","",J108/MAX($J$2:$J$144))</x:f>
        <x:v>0.18231511254019295</x:v>
      </x:c>
      <x:c r="P108" t="n">
        <x:f>IF(G108="","",_xlfn.MINIFS($G$2:$G$144,$G$2:$G$144,"&gt;0")/G108)</x:f>
        <x:v>0.011538461538461537</x:v>
      </x:c>
      <x:c r="Q108" t="inlineStr">
        <x:is>
          <x:t xml:space="preserve">Source snapshot; missing task time remains blank.</x:t>
        </x:is>
      </x:c>
    </x:row>
    <x:row r="109" s="14" customFormat="1">
      <x:c r="A109" t="inlineStr">
        <x:is>
          <x:t xml:space="preserve">openai|gpt-6-1-sol|high|yes|fallback-na|aa-v4.3.2|snapshot-2026-10-16</x:t>
        </x:is>
      </x:c>
      <x:c r="B109" t="inlineStr">
        <x:is>
          <x:t xml:space="preserve">openai|gpt-6-1-sol|high|yes|fallback-na</x:t>
        </x:is>
      </x:c>
      <x:c r="C109" t="inlineStr">
        <x:is>
          <x:t xml:space="preserve">AA|v4.3.2</x:t>
        </x:is>
      </x:c>
      <x:c r="D109" t="n">
        <x:v>50</x:v>
      </x:c>
      <x:c r="E109" t="n">
        <x:f>IFERROR(INDEX(Benchmark_Versions!$I:$I,MATCH(C109,Benchmark_Versions!$A:$A,0)),1)</x:f>
        <x:v>1</x:v>
      </x:c>
      <x:c r="F109" t="n">
        <x:f>IF(D109="","",D109*E109)</x:f>
        <x:v>50</x:v>
      </x:c>
      <x:c r="G109" t="n">
        <x:v>0.32</x:v>
      </x:c>
      <x:c r="I109" t="str">
        <x:f>IF(H109="","",H109/60)</x:f>
      </x:c>
      <x:c r="J109" t="n">
        <x:v>58.2</x:v>
      </x:c>
      <x:c r="K109" t="n">
        <x:f>IF(OR(F109="",G109="",G109=0),"",F109/G109)</x:f>
        <x:v>156.25</x:v>
      </x:c>
      <x:c r="L109" t="n">
        <x:f>IF(OR(F109="",F109=0,G109=""),"",G109/F109)</x:f>
        <x:v>0.0064</x:v>
      </x:c>
      <x:c r="M109" t="str">
        <x:f>IF(OR(F109="",H109="",H109=0),"",F109/H109)</x:f>
      </x:c>
      <x:c r="N109" t="n">
        <x:f>IF(F109="","",F109/MAX($F$2:$F$144))</x:f>
        <x:v>0.8620689655172413</x:v>
      </x:c>
      <x:c r="O109" t="n">
        <x:f>IF(J109="","",J109/MAX($J$2:$J$144))</x:f>
        <x:v>0.18713826366559486</x:v>
      </x:c>
      <x:c r="P109" t="n">
        <x:f>IF(G109="","",_xlfn.MINIFS($G$2:$G$144,$G$2:$G$144,"&gt;0")/G109)</x:f>
        <x:v>0.014062499999999999</x:v>
      </x:c>
      <x:c r="Q109" t="inlineStr">
        <x:is>
          <x:t xml:space="preserve">Source snapshot; missing task time remains blank.</x:t>
        </x:is>
      </x:c>
    </x:row>
    <x:row r="110" s="14" customFormat="1">
      <x:c r="A110" t="inlineStr">
        <x:is>
          <x:t xml:space="preserve">openai|gpt-6-1-sol|medium|yes|fallback-na|aa-v4.3.2|snapshot-2026-10-16</x:t>
        </x:is>
      </x:c>
      <x:c r="B110" t="inlineStr">
        <x:is>
          <x:t xml:space="preserve">openai|gpt-6-1-sol|medium|yes|fallback-na</x:t>
        </x:is>
      </x:c>
      <x:c r="C110" t="inlineStr">
        <x:is>
          <x:t xml:space="preserve">AA|v4.3.2</x:t>
        </x:is>
      </x:c>
      <x:c r="D110" t="n">
        <x:v>48</x:v>
      </x:c>
      <x:c r="E110" t="n">
        <x:f>IFERROR(INDEX(Benchmark_Versions!$I:$I,MATCH(C110,Benchmark_Versions!$A:$A,0)),1)</x:f>
        <x:v>1</x:v>
      </x:c>
      <x:c r="F110" t="n">
        <x:f>IF(D110="","",D110*E110)</x:f>
        <x:v>48</x:v>
      </x:c>
      <x:c r="G110" t="n">
        <x:v>0.21</x:v>
      </x:c>
      <x:c r="I110" t="str">
        <x:f>IF(H110="","",H110/60)</x:f>
      </x:c>
      <x:c r="J110" t="n">
        <x:v>50.7</x:v>
      </x:c>
      <x:c r="K110" t="n">
        <x:f>IF(OR(F110="",G110="",G110=0),"",F110/G110)</x:f>
        <x:v>228.57142857142858</x:v>
      </x:c>
      <x:c r="L110" t="n">
        <x:f>IF(OR(F110="",F110=0,G110=""),"",G110/F110)</x:f>
        <x:v>0.0043749999999999995</x:v>
      </x:c>
      <x:c r="M110" t="str">
        <x:f>IF(OR(F110="",H110="",H110=0),"",F110/H110)</x:f>
      </x:c>
      <x:c r="N110" t="n">
        <x:f>IF(F110="","",F110/MAX($F$2:$F$144))</x:f>
        <x:v>0.8275862068965517</x:v>
      </x:c>
      <x:c r="O110" t="n">
        <x:f>IF(J110="","",J110/MAX($J$2:$J$144))</x:f>
        <x:v>0.16302250803858523</x:v>
      </x:c>
      <x:c r="P110" t="n">
        <x:f>IF(G110="","",_xlfn.MINIFS($G$2:$G$144,$G$2:$G$144,"&gt;0")/G110)</x:f>
        <x:v>0.02142857142857143</x:v>
      </x:c>
      <x:c r="Q110" t="inlineStr">
        <x:is>
          <x:t xml:space="preserve">Source snapshot; missing task time remains blank.</x:t>
        </x:is>
      </x:c>
    </x:row>
    <x:row r="111" s="14" customFormat="1">
      <x:c r="A111" t="inlineStr">
        <x:is>
          <x:t xml:space="preserve">openai|gpt-6-1-sol|low|yes|fallback-na|aa-v4.3.2|snapshot-2026-10-16</x:t>
        </x:is>
      </x:c>
      <x:c r="B111" t="inlineStr">
        <x:is>
          <x:t xml:space="preserve">openai|gpt-6-1-sol|low|yes|fallback-na</x:t>
        </x:is>
      </x:c>
      <x:c r="C111" t="inlineStr">
        <x:is>
          <x:t xml:space="preserve">AA|v4.3.2</x:t>
        </x:is>
      </x:c>
      <x:c r="D111" t="n">
        <x:v>42</x:v>
      </x:c>
      <x:c r="E111" t="n">
        <x:f>IFERROR(INDEX(Benchmark_Versions!$I:$I,MATCH(C111,Benchmark_Versions!$A:$A,0)),1)</x:f>
        <x:v>1</x:v>
      </x:c>
      <x:c r="F111" t="n">
        <x:f>IF(D111="","",D111*E111)</x:f>
        <x:v>42</x:v>
      </x:c>
      <x:c r="G111" t="n">
        <x:v>0.13</x:v>
      </x:c>
      <x:c r="I111" t="str">
        <x:f>IF(H111="","",H111/60)</x:f>
      </x:c>
      <x:c r="J111" t="n">
        <x:v>50.8</x:v>
      </x:c>
      <x:c r="K111" t="n">
        <x:f>IF(OR(F111="",G111="",G111=0),"",F111/G111)</x:f>
        <x:v>323.07692307692304</x:v>
      </x:c>
      <x:c r="L111" t="n">
        <x:f>IF(OR(F111="",F111=0,G111=""),"",G111/F111)</x:f>
        <x:v>0.0030952380952380953</x:v>
      </x:c>
      <x:c r="M111" t="str">
        <x:f>IF(OR(F111="",H111="",H111=0),"",F111/H111)</x:f>
      </x:c>
      <x:c r="N111" t="n">
        <x:f>IF(F111="","",F111/MAX($F$2:$F$144))</x:f>
        <x:v>0.7241379310344828</x:v>
      </x:c>
      <x:c r="O111" t="n">
        <x:f>IF(J111="","",J111/MAX($J$2:$J$144))</x:f>
        <x:v>0.16334405144694533</x:v>
      </x:c>
      <x:c r="P111" t="n">
        <x:f>IF(G111="","",_xlfn.MINIFS($G$2:$G$144,$G$2:$G$144,"&gt;0")/G111)</x:f>
        <x:v>0.03461538461538461</x:v>
      </x:c>
      <x:c r="Q111" t="inlineStr">
        <x:is>
          <x:t xml:space="preserve">Source snapshot; missing task time remains blank.</x:t>
        </x:is>
      </x:c>
    </x:row>
    <x:row r="112" s="14" customFormat="1">
      <x:c r="A112" t="inlineStr">
        <x:is>
          <x:t xml:space="preserve">openai|gpt-6-astra|xhigh|reasoning|fallback-na|aa-v4.3.2|snapshot-2026-10-16</x:t>
        </x:is>
      </x:c>
      <x:c r="B112" t="inlineStr">
        <x:is>
          <x:t xml:space="preserve">openai|gpt-6-astra|xhigh|reasoning|fallback-na</x:t>
        </x:is>
      </x:c>
      <x:c r="C112" t="inlineStr">
        <x:is>
          <x:t xml:space="preserve">AA|v4.3.2</x:t>
        </x:is>
      </x:c>
      <x:c r="D112" t="n">
        <x:v>52</x:v>
      </x:c>
      <x:c r="E112" t="n">
        <x:f>IFERROR(INDEX(Benchmark_Versions!$I:$I,MATCH(C112,Benchmark_Versions!$A:$A,0)),1)</x:f>
        <x:v>1</x:v>
      </x:c>
      <x:c r="F112" t="n">
        <x:f>IF(D112="","",D112*E112)</x:f>
        <x:v>52</x:v>
      </x:c>
      <x:c r="G112" t="n">
        <x:v>2.31</x:v>
      </x:c>
      <x:c r="I112" t="str">
        <x:f>IF(H112="","",H112/60)</x:f>
      </x:c>
      <x:c r="J112" t="n">
        <x:v>52.5</x:v>
      </x:c>
      <x:c r="K112" t="n">
        <x:f>IF(OR(F112="",G112="",G112=0),"",F112/G112)</x:f>
        <x:v>22.51082251082251</x:v>
      </x:c>
      <x:c r="L112" t="n">
        <x:f>IF(OR(F112="",F112=0,G112=""),"",G112/F112)</x:f>
        <x:v>0.044423076923076926</x:v>
      </x:c>
      <x:c r="M112" t="str">
        <x:f>IF(OR(F112="",H112="",H112=0),"",F112/H112)</x:f>
      </x:c>
      <x:c r="N112" t="n">
        <x:f>IF(F112="","",F112/MAX($F$2:$F$144))</x:f>
        <x:v>0.896551724137931</x:v>
      </x:c>
      <x:c r="O112" t="n">
        <x:f>IF(J112="","",J112/MAX($J$2:$J$144))</x:f>
        <x:v>0.16881028938906753</x:v>
      </x:c>
      <x:c r="P112" t="n">
        <x:f>IF(G112="","",_xlfn.MINIFS($G$2:$G$144,$G$2:$G$144,"&gt;0")/G112)</x:f>
        <x:v>0.0019480519480519478</x:v>
      </x:c>
      <x:c r="Q112" t="inlineStr">
        <x:is>
          <x:t xml:space="preserve">Source snapshot; missing task time remains blank.</x:t>
        </x:is>
      </x:c>
    </x:row>
    <x:row r="113" s="14" customFormat="1">
      <x:c r="A113" t="inlineStr">
        <x:is>
          <x:t xml:space="preserve">openai|gpt-6-astra|high|reasoning|fallback-na|aa-v4.3.2|snapshot-2026-10-16</x:t>
        </x:is>
      </x:c>
      <x:c r="B113" t="inlineStr">
        <x:is>
          <x:t xml:space="preserve">openai|gpt-6-astra|high|reasoning|fallback-na</x:t>
        </x:is>
      </x:c>
      <x:c r="C113" t="inlineStr">
        <x:is>
          <x:t xml:space="preserve">AA|v4.3.2</x:t>
        </x:is>
      </x:c>
      <x:c r="D113" t="n">
        <x:v>51</x:v>
      </x:c>
      <x:c r="E113" t="n">
        <x:f>IFERROR(INDEX(Benchmark_Versions!$I:$I,MATCH(C113,Benchmark_Versions!$A:$A,0)),1)</x:f>
        <x:v>1</x:v>
      </x:c>
      <x:c r="F113" t="n">
        <x:f>IF(D113="","",D113*E113)</x:f>
        <x:v>51</x:v>
      </x:c>
      <x:c r="G113" t="n">
        <x:v>1.73</x:v>
      </x:c>
      <x:c r="I113" t="str">
        <x:f>IF(H113="","",H113/60)</x:f>
      </x:c>
      <x:c r="J113" t="n">
        <x:v>52.1</x:v>
      </x:c>
      <x:c r="K113" t="n">
        <x:f>IF(OR(F113="",G113="",G113=0),"",F113/G113)</x:f>
        <x:v>29.479768786127167</x:v>
      </x:c>
      <x:c r="L113" t="n">
        <x:f>IF(OR(F113="",F113=0,G113=""),"",G113/F113)</x:f>
        <x:v>0.03392156862745098</x:v>
      </x:c>
      <x:c r="M113" t="str">
        <x:f>IF(OR(F113="",H113="",H113=0),"",F113/H113)</x:f>
      </x:c>
      <x:c r="N113" t="n">
        <x:f>IF(F113="","",F113/MAX($F$2:$F$144))</x:f>
        <x:v>0.8793103448275862</x:v>
      </x:c>
      <x:c r="O113" t="n">
        <x:f>IF(J113="","",J113/MAX($J$2:$J$144))</x:f>
        <x:v>0.167524115755627</x:v>
      </x:c>
      <x:c r="P113" t="n">
        <x:f>IF(G113="","",_xlfn.MINIFS($G$2:$G$144,$G$2:$G$144,"&gt;0")/G113)</x:f>
        <x:v>0.002601156069364162</x:v>
      </x:c>
      <x:c r="Q113" t="inlineStr">
        <x:is>
          <x:t xml:space="preserve">Source snapshot; missing task time remains blank.</x:t>
        </x:is>
      </x:c>
    </x:row>
    <x:row r="114" s="14" customFormat="1">
      <x:c r="A114" t="inlineStr">
        <x:is>
          <x:t xml:space="preserve">openai|gpt-6-astra|medium|reasoning|fallback-na|aa-v4.3.2|snapshot-2026-10-16</x:t>
        </x:is>
      </x:c>
      <x:c r="B114" t="inlineStr">
        <x:is>
          <x:t xml:space="preserve">openai|gpt-6-astra|medium|reasoning|fallback-na</x:t>
        </x:is>
      </x:c>
      <x:c r="C114" t="inlineStr">
        <x:is>
          <x:t xml:space="preserve">AA|v4.3.2</x:t>
        </x:is>
      </x:c>
      <x:c r="D114" t="n">
        <x:v>50</x:v>
      </x:c>
      <x:c r="E114" t="n">
        <x:f>IFERROR(INDEX(Benchmark_Versions!$I:$I,MATCH(C114,Benchmark_Versions!$A:$A,0)),1)</x:f>
        <x:v>1</x:v>
      </x:c>
      <x:c r="F114" t="n">
        <x:f>IF(D114="","",D114*E114)</x:f>
        <x:v>50</x:v>
      </x:c>
      <x:c r="G114" t="n">
        <x:v>1.54</x:v>
      </x:c>
      <x:c r="I114" t="str">
        <x:f>IF(H114="","",H114/60)</x:f>
      </x:c>
      <x:c r="J114" t="n">
        <x:v>49.7</x:v>
      </x:c>
      <x:c r="K114" t="n">
        <x:f>IF(OR(F114="",G114="",G114=0),"",F114/G114)</x:f>
        <x:v>32.467532467532465</x:v>
      </x:c>
      <x:c r="L114" t="n">
        <x:f>IF(OR(F114="",F114=0,G114=""),"",G114/F114)</x:f>
        <x:v>0.0308</x:v>
      </x:c>
      <x:c r="M114" t="str">
        <x:f>IF(OR(F114="",H114="",H114=0),"",F114/H114)</x:f>
      </x:c>
      <x:c r="N114" t="n">
        <x:f>IF(F114="","",F114/MAX($F$2:$F$144))</x:f>
        <x:v>0.8620689655172413</x:v>
      </x:c>
      <x:c r="O114" t="n">
        <x:f>IF(J114="","",J114/MAX($J$2:$J$144))</x:f>
        <x:v>0.15980707395498392</x:v>
      </x:c>
      <x:c r="P114" t="n">
        <x:f>IF(G114="","",_xlfn.MINIFS($G$2:$G$144,$G$2:$G$144,"&gt;0")/G114)</x:f>
        <x:v>0.0029220779220779218</x:v>
      </x:c>
      <x:c r="Q114" t="inlineStr">
        <x:is>
          <x:t xml:space="preserve">Source snapshot; missing task time remains blank.</x:t>
        </x:is>
      </x:c>
    </x:row>
    <x:row r="115" s="14" customFormat="1">
      <x:c r="A115" t="inlineStr">
        <x:is>
          <x:t xml:space="preserve">openai|gpt-6-astra|low|reasoning|fallback-na|aa-v4.3.2|snapshot-2026-10-16</x:t>
        </x:is>
      </x:c>
      <x:c r="B115" t="inlineStr">
        <x:is>
          <x:t xml:space="preserve">openai|gpt-6-astra|low|reasoning|fallback-na</x:t>
        </x:is>
      </x:c>
      <x:c r="C115" t="inlineStr">
        <x:is>
          <x:t xml:space="preserve">AA|v4.3.2</x:t>
        </x:is>
      </x:c>
      <x:c r="D115" t="n">
        <x:v>46</x:v>
      </x:c>
      <x:c r="E115" t="n">
        <x:f>IFERROR(INDEX(Benchmark_Versions!$I:$I,MATCH(C115,Benchmark_Versions!$A:$A,0)),1)</x:f>
        <x:v>1</x:v>
      </x:c>
      <x:c r="F115" t="n">
        <x:f>IF(D115="","",D115*E115)</x:f>
        <x:v>46</x:v>
      </x:c>
      <x:c r="G115" t="n">
        <x:v>0.82</x:v>
      </x:c>
      <x:c r="I115" t="str">
        <x:f>IF(H115="","",H115/60)</x:f>
      </x:c>
      <x:c r="J115" t="n">
        <x:v>50.5</x:v>
      </x:c>
      <x:c r="K115" t="n">
        <x:f>IF(OR(F115="",G115="",G115=0),"",F115/G115)</x:f>
        <x:v>56.09756097560976</x:v>
      </x:c>
      <x:c r="L115" t="n">
        <x:f>IF(OR(F115="",F115=0,G115=""),"",G115/F115)</x:f>
        <x:v>0.017826086956521738</x:v>
      </x:c>
      <x:c r="M115" t="str">
        <x:f>IF(OR(F115="",H115="",H115=0),"",F115/H115)</x:f>
      </x:c>
      <x:c r="N115" t="n">
        <x:f>IF(F115="","",F115/MAX($F$2:$F$144))</x:f>
        <x:v>0.7931034482758621</x:v>
      </x:c>
      <x:c r="O115" t="n">
        <x:f>IF(J115="","",J115/MAX($J$2:$J$144))</x:f>
        <x:v>0.16237942122186494</x:v>
      </x:c>
      <x:c r="P115" t="n">
        <x:f>IF(G115="","",_xlfn.MINIFS($G$2:$G$144,$G$2:$G$144,"&gt;0")/G115)</x:f>
        <x:v>0.00548780487804878</x:v>
      </x:c>
      <x:c r="Q115" t="inlineStr">
        <x:is>
          <x:t xml:space="preserve">Source snapshot; missing task time remains blank.</x:t>
        </x:is>
      </x:c>
    </x:row>
    <x:row r="116" s="14" customFormat="1">
      <x:c r="A116" t="inlineStr">
        <x:is>
          <x:t xml:space="preserve">openai|gpt-6-luna|xhigh|reasoning|fallback-na|aa-v4.3.2|snapshot-2026-10-16</x:t>
        </x:is>
      </x:c>
      <x:c r="B116" t="inlineStr">
        <x:is>
          <x:t xml:space="preserve">openai|gpt-6-luna|xhigh|reasoning|fallback-na</x:t>
        </x:is>
      </x:c>
      <x:c r="C116" t="inlineStr">
        <x:is>
          <x:t xml:space="preserve">AA|v4.3.2</x:t>
        </x:is>
      </x:c>
      <x:c r="D116" t="n">
        <x:v>35</x:v>
      </x:c>
      <x:c r="E116" t="n">
        <x:f>IFERROR(INDEX(Benchmark_Versions!$I:$I,MATCH(C116,Benchmark_Versions!$A:$A,0)),1)</x:f>
        <x:v>1</x:v>
      </x:c>
      <x:c r="F116" t="n">
        <x:f>IF(D116="","",D116*E116)</x:f>
        <x:v>35</x:v>
      </x:c>
      <x:c r="G116" t="n">
        <x:v>0.04</x:v>
      </x:c>
      <x:c r="I116" t="str">
        <x:f>IF(H116="","",H116/60)</x:f>
      </x:c>
      <x:c r="J116" t="n">
        <x:v>114.7</x:v>
      </x:c>
      <x:c r="K116" t="n">
        <x:f>IF(OR(F116="",G116="",G116=0),"",F116/G116)</x:f>
        <x:v>875</x:v>
      </x:c>
      <x:c r="L116" t="n">
        <x:f>IF(OR(F116="",F116=0,G116=""),"",G116/F116)</x:f>
        <x:v>0.001142857142857143</x:v>
      </x:c>
      <x:c r="M116" t="str">
        <x:f>IF(OR(F116="",H116="",H116=0),"",F116/H116)</x:f>
      </x:c>
      <x:c r="N116" t="n">
        <x:f>IF(F116="","",F116/MAX($F$2:$F$144))</x:f>
        <x:v>0.603448275862069</x:v>
      </x:c>
      <x:c r="O116" t="n">
        <x:f>IF(J116="","",J116/MAX($J$2:$J$144))</x:f>
        <x:v>0.3688102893890675</x:v>
      </x:c>
      <x:c r="P116" t="n">
        <x:f>IF(G116="","",_xlfn.MINIFS($G$2:$G$144,$G$2:$G$144,"&gt;0")/G116)</x:f>
        <x:v>0.11249999999999999</x:v>
      </x:c>
      <x:c r="Q116" t="inlineStr">
        <x:is>
          <x:t xml:space="preserve">Source snapshot; missing task time remains blank.</x:t>
        </x:is>
      </x:c>
    </x:row>
    <x:row r="117" s="14" customFormat="1">
      <x:c r="A117" t="inlineStr">
        <x:is>
          <x:t xml:space="preserve">openai|gpt-6-luna|high|reasoning|fallback-na|aa-v4.3.2|snapshot-2026-10-16</x:t>
        </x:is>
      </x:c>
      <x:c r="B117" t="inlineStr">
        <x:is>
          <x:t xml:space="preserve">openai|gpt-6-luna|high|reasoning|fallback-na</x:t>
        </x:is>
      </x:c>
      <x:c r="C117" t="inlineStr">
        <x:is>
          <x:t xml:space="preserve">AA|v4.3.2</x:t>
        </x:is>
      </x:c>
      <x:c r="D117" t="n">
        <x:v>33</x:v>
      </x:c>
      <x:c r="E117" t="n">
        <x:f>IFERROR(INDEX(Benchmark_Versions!$I:$I,MATCH(C117,Benchmark_Versions!$A:$A,0)),1)</x:f>
        <x:v>1</x:v>
      </x:c>
      <x:c r="F117" t="n">
        <x:f>IF(D117="","",D117*E117)</x:f>
        <x:v>33</x:v>
      </x:c>
      <x:c r="G117" t="n">
        <x:v>0.03</x:v>
      </x:c>
      <x:c r="I117" t="str">
        <x:f>IF(H117="","",H117/60)</x:f>
      </x:c>
      <x:c r="J117" t="n">
        <x:v>120.2</x:v>
      </x:c>
      <x:c r="K117" t="n">
        <x:f>IF(OR(F117="",G117="",G117=0),"",F117/G117)</x:f>
        <x:v>1100</x:v>
      </x:c>
      <x:c r="L117" t="n">
        <x:f>IF(OR(F117="",F117=0,G117=""),"",G117/F117)</x:f>
        <x:v>0.0009090909090909091</x:v>
      </x:c>
      <x:c r="M117" t="str">
        <x:f>IF(OR(F117="",H117="",H117=0),"",F117/H117)</x:f>
      </x:c>
      <x:c r="N117" t="n">
        <x:f>IF(F117="","",F117/MAX($F$2:$F$144))</x:f>
        <x:v>0.5689655172413793</x:v>
      </x:c>
      <x:c r="O117" t="n">
        <x:f>IF(J117="","",J117/MAX($J$2:$J$144))</x:f>
        <x:v>0.38649517684887463</x:v>
      </x:c>
      <x:c r="P117" t="n">
        <x:f>IF(G117="","",_xlfn.MINIFS($G$2:$G$144,$G$2:$G$144,"&gt;0")/G117)</x:f>
        <x:v>0.15</x:v>
      </x:c>
      <x:c r="Q117" t="inlineStr">
        <x:is>
          <x:t xml:space="preserve">Source snapshot; missing task time remains blank.</x:t>
        </x:is>
      </x:c>
    </x:row>
    <x:row r="118" s="14" customFormat="1">
      <x:c r="A118" t="inlineStr">
        <x:is>
          <x:t xml:space="preserve">openai|gpt-6-luna|medium|reasoning|fallback-na|aa-v4.3.2|snapshot-2026-10-16</x:t>
        </x:is>
      </x:c>
      <x:c r="B118" t="inlineStr">
        <x:is>
          <x:t xml:space="preserve">openai|gpt-6-luna|medium|reasoning|fallback-na</x:t>
        </x:is>
      </x:c>
      <x:c r="C118" t="inlineStr">
        <x:is>
          <x:t xml:space="preserve">AA|v4.3.2</x:t>
        </x:is>
      </x:c>
      <x:c r="D118" t="n">
        <x:v>30</x:v>
      </x:c>
      <x:c r="E118" t="n">
        <x:f>IFERROR(INDEX(Benchmark_Versions!$I:$I,MATCH(C118,Benchmark_Versions!$A:$A,0)),1)</x:f>
        <x:v>1</x:v>
      </x:c>
      <x:c r="F118" t="n">
        <x:f>IF(D118="","",D118*E118)</x:f>
        <x:v>30</x:v>
      </x:c>
      <x:c r="G118" t="n">
        <x:v>0.02</x:v>
      </x:c>
      <x:c r="I118" t="str">
        <x:f>IF(H118="","",H118/60)</x:f>
      </x:c>
      <x:c r="K118" t="n">
        <x:f>IF(OR(F118="",G118="",G118=0),"",F118/G118)</x:f>
        <x:v>1500</x:v>
      </x:c>
      <x:c r="L118" t="n">
        <x:f>IF(OR(F118="",F118=0,G118=""),"",G118/F118)</x:f>
        <x:v>0.0006666666666666666</x:v>
      </x:c>
      <x:c r="M118" t="str">
        <x:f>IF(OR(F118="",H118="",H118=0),"",F118/H118)</x:f>
      </x:c>
      <x:c r="N118" t="n">
        <x:f>IF(F118="","",F118/MAX($F$2:$F$144))</x:f>
        <x:v>0.5172413793103449</x:v>
      </x:c>
      <x:c r="O118" t="str">
        <x:f>IF(J118="","",J118/MAX($J$2:$J$144))</x:f>
      </x:c>
      <x:c r="P118" t="n">
        <x:f>IF(G118="","",_xlfn.MINIFS($G$2:$G$144,$G$2:$G$144,"&gt;0")/G118)</x:f>
        <x:v>0.22499999999999998</x:v>
      </x:c>
      <x:c r="Q118" t="inlineStr">
        <x:is>
          <x:t xml:space="preserve">Source snapshot; missing task time remains blank.</x:t>
        </x:is>
      </x:c>
    </x:row>
    <x:row r="119" s="14" customFormat="1">
      <x:c r="A119" t="inlineStr">
        <x:is>
          <x:t xml:space="preserve">openai|gpt-6-luna|low|reasoning|fallback-na|aa-v4.3.2|snapshot-2026-10-16</x:t>
        </x:is>
      </x:c>
      <x:c r="B119" t="inlineStr">
        <x:is>
          <x:t xml:space="preserve">openai|gpt-6-luna|low|reasoning|fallback-na</x:t>
        </x:is>
      </x:c>
      <x:c r="C119" t="inlineStr">
        <x:is>
          <x:t xml:space="preserve">AA|v4.3.2</x:t>
        </x:is>
      </x:c>
      <x:c r="D119" t="n">
        <x:v>22</x:v>
      </x:c>
      <x:c r="E119" t="n">
        <x:f>IFERROR(INDEX(Benchmark_Versions!$I:$I,MATCH(C119,Benchmark_Versions!$A:$A,0)),1)</x:f>
        <x:v>1</x:v>
      </x:c>
      <x:c r="F119" t="n">
        <x:f>IF(D119="","",D119*E119)</x:f>
        <x:v>22</x:v>
      </x:c>
      <x:c r="G119" t="n">
        <x:v>0.0045</x:v>
      </x:c>
      <x:c r="I119" t="str">
        <x:f>IF(H119="","",H119/60)</x:f>
      </x:c>
      <x:c r="J119" t="n">
        <x:v>117.9</x:v>
      </x:c>
      <x:c r="K119" t="n">
        <x:f>IF(OR(F119="",G119="",G119=0),"",F119/G119)</x:f>
        <x:v>4888.88888888889</x:v>
      </x:c>
      <x:c r="L119" t="n">
        <x:f>IF(OR(F119="",F119=0,G119=""),"",G119/F119)</x:f>
        <x:v>0.00020454545454545454</x:v>
      </x:c>
      <x:c r="M119" t="str">
        <x:f>IF(OR(F119="",H119="",H119=0),"",F119/H119)</x:f>
      </x:c>
      <x:c r="N119" t="n">
        <x:f>IF(F119="","",F119/MAX($F$2:$F$144))</x:f>
        <x:v>0.3793103448275862</x:v>
      </x:c>
      <x:c r="O119" t="n">
        <x:f>IF(J119="","",J119/MAX($J$2:$J$144))</x:f>
        <x:v>0.37909967845659165</x:v>
      </x:c>
      <x:c r="P119" t="n">
        <x:f>IF(G119="","",_xlfn.MINIFS($G$2:$G$144,$G$2:$G$144,"&gt;0")/G119)</x:f>
        <x:v>1</x:v>
      </x:c>
      <x:c r="Q119" t="inlineStr">
        <x:is>
          <x:t xml:space="preserve">Source snapshot; missing task time remains blank.</x:t>
        </x:is>
      </x:c>
    </x:row>
    <x:row r="120" s="14" customFormat="1">
      <x:c r="A120" t="inlineStr">
        <x:is>
          <x:t xml:space="preserve">openai|gpt-6-luna|non-reasoning|nonreasoning|fallback-na|aa-v4.3.2|snapshot-2026-10-16</x:t>
        </x:is>
      </x:c>
      <x:c r="B120" t="inlineStr">
        <x:is>
          <x:t xml:space="preserve">openai|gpt-6-luna|non-reasoning|nonreasoning|fallback-na</x:t>
        </x:is>
      </x:c>
      <x:c r="C120" t="inlineStr">
        <x:is>
          <x:t xml:space="preserve">AA|v4.3.2</x:t>
        </x:is>
      </x:c>
      <x:c r="D120" t="n">
        <x:v>18</x:v>
      </x:c>
      <x:c r="E120" t="n">
        <x:f>IFERROR(INDEX(Benchmark_Versions!$I:$I,MATCH(C120,Benchmark_Versions!$A:$A,0)),1)</x:f>
        <x:v>1</x:v>
      </x:c>
      <x:c r="F120" t="n">
        <x:f>IF(D120="","",D120*E120)</x:f>
        <x:v>18</x:v>
      </x:c>
      <x:c r="G120" t="n">
        <x:v>0.01</x:v>
      </x:c>
      <x:c r="I120" t="str">
        <x:f>IF(H120="","",H120/60)</x:f>
      </x:c>
      <x:c r="J120" t="n">
        <x:v>113</x:v>
      </x:c>
      <x:c r="K120" t="n">
        <x:f>IF(OR(F120="",G120="",G120=0),"",F120/G120)</x:f>
        <x:v>1800</x:v>
      </x:c>
      <x:c r="L120" t="n">
        <x:f>IF(OR(F120="",F120=0,G120=""),"",G120/F120)</x:f>
        <x:v>0.0005555555555555556</x:v>
      </x:c>
      <x:c r="M120" t="str">
        <x:f>IF(OR(F120="",H120="",H120=0),"",F120/H120)</x:f>
      </x:c>
      <x:c r="N120" t="n">
        <x:f>IF(F120="","",F120/MAX($F$2:$F$144))</x:f>
        <x:v>0.3103448275862069</x:v>
      </x:c>
      <x:c r="O120" t="n">
        <x:f>IF(J120="","",J120/MAX($J$2:$J$144))</x:f>
        <x:v>0.3633440514469453</x:v>
      </x:c>
      <x:c r="P120" t="n">
        <x:f>IF(G120="","",_xlfn.MINIFS($G$2:$G$144,$G$2:$G$144,"&gt;0")/G120)</x:f>
        <x:v>0.44999999999999996</x:v>
      </x:c>
      <x:c r="Q120" t="inlineStr">
        <x:is>
          <x:t xml:space="preserve">Source snapshot; missing task time remains blank.</x:t>
        </x:is>
      </x:c>
    </x:row>
    <x:row r="121" s="14" customFormat="1">
      <x:c r="A121" t="inlineStr">
        <x:is>
          <x:t xml:space="preserve">anthropic|claude-opus-5.5|max|reasoning|fallback-true|aa-v4.3.2|snapshot-2026-10-16</x:t>
        </x:is>
      </x:c>
      <x:c r="B121" t="inlineStr">
        <x:is>
          <x:t xml:space="preserve">anthropic|claude-opus-5.5|max|reasoning|fallback-true</x:t>
        </x:is>
      </x:c>
      <x:c r="C121" t="inlineStr">
        <x:is>
          <x:t xml:space="preserve">AA|v4.3.2</x:t>
        </x:is>
      </x:c>
      <x:c r="D121" t="n">
        <x:v>58</x:v>
      </x:c>
      <x:c r="E121" t="n">
        <x:f>IFERROR(INDEX(Benchmark_Versions!$I:$I,MATCH(C121,Benchmark_Versions!$A:$A,0)),1)</x:f>
        <x:v>1</x:v>
      </x:c>
      <x:c r="F121" t="n">
        <x:f>IF(D121="","",D121*E121)</x:f>
        <x:v>58</x:v>
      </x:c>
      <x:c r="G121" t="n">
        <x:v>5.98</x:v>
      </x:c>
      <x:c r="I121" t="str">
        <x:f>IF(H121="","",H121/60)</x:f>
      </x:c>
      <x:c r="J121" t="n">
        <x:v>96.8</x:v>
      </x:c>
      <x:c r="K121" t="n">
        <x:f>IF(OR(F121="",G121="",G121=0),"",F121/G121)</x:f>
        <x:v>9.698996655518394</x:v>
      </x:c>
      <x:c r="L121" t="n">
        <x:f>IF(OR(F121="",F121=0,G121=""),"",G121/F121)</x:f>
        <x:v>0.10310344827586207</x:v>
      </x:c>
      <x:c r="M121" t="str">
        <x:f>IF(OR(F121="",H121="",H121=0),"",F121/H121)</x:f>
      </x:c>
      <x:c r="N121" t="n">
        <x:f>IF(F121="","",F121/MAX($F$2:$F$144))</x:f>
        <x:v>1</x:v>
      </x:c>
      <x:c r="O121" t="n">
        <x:f>IF(J121="","",J121/MAX($J$2:$J$144))</x:f>
        <x:v>0.3112540192926045</x:v>
      </x:c>
      <x:c r="P121" t="n">
        <x:f>IF(G121="","",_xlfn.MINIFS($G$2:$G$144,$G$2:$G$144,"&gt;0")/G121)</x:f>
        <x:v>0.0007525083612040132</x:v>
      </x:c>
      <x:c r="Q121" t="inlineStr">
        <x:is>
          <x:t xml:space="preserve">Source snapshot; missing task time remains blank.</x:t>
        </x:is>
      </x:c>
    </x:row>
    <x:row r="122" s="14" customFormat="1">
      <x:c r="A122" t="inlineStr">
        <x:is>
          <x:t xml:space="preserve">anthropic|claude-opus-5.5|xhigh|reasoning|fallback-true|aa-v4.3.2|snapshot-2026-10-16</x:t>
        </x:is>
      </x:c>
      <x:c r="B122" t="inlineStr">
        <x:is>
          <x:t xml:space="preserve">anthropic|claude-opus-5.5|xhigh|reasoning|fallback-true</x:t>
        </x:is>
      </x:c>
      <x:c r="C122" t="inlineStr">
        <x:is>
          <x:t xml:space="preserve">AA|v4.3.2</x:t>
        </x:is>
      </x:c>
      <x:c r="D122" t="n">
        <x:v>56</x:v>
      </x:c>
      <x:c r="E122" t="n">
        <x:f>IFERROR(INDEX(Benchmark_Versions!$I:$I,MATCH(C122,Benchmark_Versions!$A:$A,0)),1)</x:f>
        <x:v>1</x:v>
      </x:c>
      <x:c r="F122" t="n">
        <x:f>IF(D122="","",D122*E122)</x:f>
        <x:v>56</x:v>
      </x:c>
      <x:c r="G122" t="n">
        <x:v>3.46</x:v>
      </x:c>
      <x:c r="I122" t="str">
        <x:f>IF(H122="","",H122/60)</x:f>
      </x:c>
      <x:c r="J122" t="n">
        <x:v>85.5</x:v>
      </x:c>
      <x:c r="K122" t="n">
        <x:f>IF(OR(F122="",G122="",G122=0),"",F122/G122)</x:f>
        <x:v>16.184971098265898</x:v>
      </x:c>
      <x:c r="L122" t="n">
        <x:f>IF(OR(F122="",F122=0,G122=""),"",G122/F122)</x:f>
        <x:v>0.061785714285714284</x:v>
      </x:c>
      <x:c r="M122" t="str">
        <x:f>IF(OR(F122="",H122="",H122=0),"",F122/H122)</x:f>
      </x:c>
      <x:c r="N122" t="n">
        <x:f>IF(F122="","",F122/MAX($F$2:$F$144))</x:f>
        <x:v>0.9655172413793104</x:v>
      </x:c>
      <x:c r="O122" t="n">
        <x:f>IF(J122="","",J122/MAX($J$2:$J$144))</x:f>
        <x:v>0.27491961414790994</x:v>
      </x:c>
      <x:c r="P122" t="n">
        <x:f>IF(G122="","",_xlfn.MINIFS($G$2:$G$144,$G$2:$G$144,"&gt;0")/G122)</x:f>
        <x:v>0.001300578034682081</x:v>
      </x:c>
      <x:c r="Q122" t="inlineStr">
        <x:is>
          <x:t xml:space="preserve">Source snapshot; missing task time remains blank.</x:t>
        </x:is>
      </x:c>
    </x:row>
    <x:row r="123" s="14" customFormat="1">
      <x:c r="A123" t="inlineStr">
        <x:is>
          <x:t xml:space="preserve">anthropic|claude-opus-5.5|high|reasoning|fallback-true|aa-v4.3.2|snapshot-2026-10-16</x:t>
        </x:is>
      </x:c>
      <x:c r="B123" t="inlineStr">
        <x:is>
          <x:t xml:space="preserve">anthropic|claude-opus-5.5|high|reasoning|fallback-true</x:t>
        </x:is>
      </x:c>
      <x:c r="C123" t="inlineStr">
        <x:is>
          <x:t xml:space="preserve">AA|v4.3.2</x:t>
        </x:is>
      </x:c>
      <x:c r="D123" t="n">
        <x:v>54</x:v>
      </x:c>
      <x:c r="E123" t="n">
        <x:f>IFERROR(INDEX(Benchmark_Versions!$I:$I,MATCH(C123,Benchmark_Versions!$A:$A,0)),1)</x:f>
        <x:v>1</x:v>
      </x:c>
      <x:c r="F123" t="n">
        <x:f>IF(D123="","",D123*E123)</x:f>
        <x:v>54</x:v>
      </x:c>
      <x:c r="G123" t="n">
        <x:v>1.82</x:v>
      </x:c>
      <x:c r="I123" t="str">
        <x:f>IF(H123="","",H123/60)</x:f>
      </x:c>
      <x:c r="J123" t="n">
        <x:v>86.8</x:v>
      </x:c>
      <x:c r="K123" t="n">
        <x:f>IF(OR(F123="",G123="",G123=0),"",F123/G123)</x:f>
        <x:v>29.670329670329668</x:v>
      </x:c>
      <x:c r="L123" t="n">
        <x:f>IF(OR(F123="",F123=0,G123=""),"",G123/F123)</x:f>
        <x:v>0.03370370370370371</x:v>
      </x:c>
      <x:c r="M123" t="str">
        <x:f>IF(OR(F123="",H123="",H123=0),"",F123/H123)</x:f>
      </x:c>
      <x:c r="N123" t="n">
        <x:f>IF(F123="","",F123/MAX($F$2:$F$144))</x:f>
        <x:v>0.9310344827586207</x:v>
      </x:c>
      <x:c r="O123" t="n">
        <x:f>IF(J123="","",J123/MAX($J$2:$J$144))</x:f>
        <x:v>0.2790996784565916</x:v>
      </x:c>
      <x:c r="P123" t="n">
        <x:f>IF(G123="","",_xlfn.MINIFS($G$2:$G$144,$G$2:$G$144,"&gt;0")/G123)</x:f>
        <x:v>0.0024725274725274724</x:v>
      </x:c>
      <x:c r="Q123" t="inlineStr">
        <x:is>
          <x:t xml:space="preserve">Source snapshot; missing task time remains blank.</x:t>
        </x:is>
      </x:c>
    </x:row>
    <x:row r="124" s="14" customFormat="1">
      <x:c r="A124" t="inlineStr">
        <x:is>
          <x:t xml:space="preserve">anthropic|claude-opus-5.5|medium|reasoning|fallback-true|aa-v4.3.2|snapshot-2026-10-16</x:t>
        </x:is>
      </x:c>
      <x:c r="B124" t="inlineStr">
        <x:is>
          <x:t xml:space="preserve">anthropic|claude-opus-5.5|medium|reasoning|fallback-true</x:t>
        </x:is>
      </x:c>
      <x:c r="C124" t="inlineStr">
        <x:is>
          <x:t xml:space="preserve">AA|v4.3.2</x:t>
        </x:is>
      </x:c>
      <x:c r="D124" t="n">
        <x:v>51</x:v>
      </x:c>
      <x:c r="E124" t="n">
        <x:f>IFERROR(INDEX(Benchmark_Versions!$I:$I,MATCH(C124,Benchmark_Versions!$A:$A,0)),1)</x:f>
        <x:v>1</x:v>
      </x:c>
      <x:c r="F124" t="n">
        <x:f>IF(D124="","",D124*E124)</x:f>
        <x:v>51</x:v>
      </x:c>
      <x:c r="G124" t="n">
        <x:v>1.34</x:v>
      </x:c>
      <x:c r="I124" t="str">
        <x:f>IF(H124="","",H124/60)</x:f>
      </x:c>
      <x:c r="J124" t="n">
        <x:v>88.40000000000001</x:v>
      </x:c>
      <x:c r="K124" t="n">
        <x:f>IF(OR(F124="",G124="",G124=0),"",F124/G124)</x:f>
        <x:v>38.059701492537314</x:v>
      </x:c>
      <x:c r="L124" t="n">
        <x:f>IF(OR(F124="",F124=0,G124=""),"",G124/F124)</x:f>
        <x:v>0.02627450980392157</x:v>
      </x:c>
      <x:c r="M124" t="str">
        <x:f>IF(OR(F124="",H124="",H124=0),"",F124/H124)</x:f>
      </x:c>
      <x:c r="N124" t="n">
        <x:f>IF(F124="","",F124/MAX($F$2:$F$144))</x:f>
        <x:v>0.8793103448275862</x:v>
      </x:c>
      <x:c r="O124" t="n">
        <x:f>IF(J124="","",J124/MAX($J$2:$J$144))</x:f>
        <x:v>0.2842443729903537</x:v>
      </x:c>
      <x:c r="P124" t="n">
        <x:f>IF(G124="","",_xlfn.MINIFS($G$2:$G$144,$G$2:$G$144,"&gt;0")/G124)</x:f>
        <x:v>0.00335820895522388</x:v>
      </x:c>
      <x:c r="Q124" t="inlineStr">
        <x:is>
          <x:t xml:space="preserve">Source snapshot; missing task time remains blank.</x:t>
        </x:is>
      </x:c>
    </x:row>
    <x:row r="125" s="14" customFormat="1">
      <x:c r="A125" t="inlineStr">
        <x:is>
          <x:t xml:space="preserve">anthropic|claude-opus-5.5|low|reasoning|fallback-true|aa-v4.3.2|snapshot-2026-10-16</x:t>
        </x:is>
      </x:c>
      <x:c r="B125" t="inlineStr">
        <x:is>
          <x:t xml:space="preserve">anthropic|claude-opus-5.5|low|reasoning|fallback-true</x:t>
        </x:is>
      </x:c>
      <x:c r="C125" t="inlineStr">
        <x:is>
          <x:t xml:space="preserve">AA|v4.3.2</x:t>
        </x:is>
      </x:c>
      <x:c r="D125" t="n">
        <x:v>42</x:v>
      </x:c>
      <x:c r="E125" t="n">
        <x:f>IFERROR(INDEX(Benchmark_Versions!$I:$I,MATCH(C125,Benchmark_Versions!$A:$A,0)),1)</x:f>
        <x:v>1</x:v>
      </x:c>
      <x:c r="F125" t="n">
        <x:f>IF(D125="","",D125*E125)</x:f>
        <x:v>42</x:v>
      </x:c>
      <x:c r="G125" t="n">
        <x:v>0.55</x:v>
      </x:c>
      <x:c r="I125" t="str">
        <x:f>IF(H125="","",H125/60)</x:f>
      </x:c>
      <x:c r="J125" t="n">
        <x:v>88.7</x:v>
      </x:c>
      <x:c r="K125" t="n">
        <x:f>IF(OR(F125="",G125="",G125=0),"",F125/G125)</x:f>
        <x:v>76.36363636363636</x:v>
      </x:c>
      <x:c r="L125" t="n">
        <x:f>IF(OR(F125="",F125=0,G125=""),"",G125/F125)</x:f>
        <x:v>0.013095238095238096</x:v>
      </x:c>
      <x:c r="M125" t="str">
        <x:f>IF(OR(F125="",H125="",H125=0),"",F125/H125)</x:f>
      </x:c>
      <x:c r="N125" t="n">
        <x:f>IF(F125="","",F125/MAX($F$2:$F$144))</x:f>
        <x:v>0.7241379310344828</x:v>
      </x:c>
      <x:c r="O125" t="n">
        <x:f>IF(J125="","",J125/MAX($J$2:$J$144))</x:f>
        <x:v>0.2852090032154341</x:v>
      </x:c>
      <x:c r="P125" t="n">
        <x:f>IF(G125="","",_xlfn.MINIFS($G$2:$G$144,$G$2:$G$144,"&gt;0")/G125)</x:f>
        <x:v>0.00818181818181818</x:v>
      </x:c>
      <x:c r="Q125" t="inlineStr">
        <x:is>
          <x:t xml:space="preserve">Source snapshot; missing task time remains blank.</x:t>
        </x:is>
      </x:c>
    </x:row>
    <x:row r="126" s="14" customFormat="1">
      <x:c r="A126" t="inlineStr">
        <x:is>
          <x:t xml:space="preserve">anthropic|claude-sonnet-5.5|xhigh|reasoning|fallback-true|aa-v4.3.2|snapshot-2026-10-16</x:t>
        </x:is>
      </x:c>
      <x:c r="B126" t="inlineStr">
        <x:is>
          <x:t xml:space="preserve">anthropic|claude-sonnet-5.5|xhigh|reasoning|fallback-true</x:t>
        </x:is>
      </x:c>
      <x:c r="C126" t="inlineStr">
        <x:is>
          <x:t xml:space="preserve">AA|v4.3.2</x:t>
        </x:is>
      </x:c>
      <x:c r="D126" t="n">
        <x:v>52</x:v>
      </x:c>
      <x:c r="E126" t="n">
        <x:f>IFERROR(INDEX(Benchmark_Versions!$I:$I,MATCH(C126,Benchmark_Versions!$A:$A,0)),1)</x:f>
        <x:v>1</x:v>
      </x:c>
      <x:c r="F126" t="n">
        <x:f>IF(D126="","",D126*E126)</x:f>
        <x:v>52</x:v>
      </x:c>
      <x:c r="G126" t="n">
        <x:v>2.01</x:v>
      </x:c>
      <x:c r="I126" t="str">
        <x:f>IF(H126="","",H126/60)</x:f>
      </x:c>
      <x:c r="J126" t="n">
        <x:v>114.3</x:v>
      </x:c>
      <x:c r="K126" t="n">
        <x:f>IF(OR(F126="",G126="",G126=0),"",F126/G126)</x:f>
        <x:v>25.870646766169155</x:v>
      </x:c>
      <x:c r="L126" t="n">
        <x:f>IF(OR(F126="",F126=0,G126=""),"",G126/F126)</x:f>
        <x:v>0.03865384615384615</x:v>
      </x:c>
      <x:c r="M126" t="str">
        <x:f>IF(OR(F126="",H126="",H126=0),"",F126/H126)</x:f>
      </x:c>
      <x:c r="N126" t="n">
        <x:f>IF(F126="","",F126/MAX($F$2:$F$144))</x:f>
        <x:v>0.896551724137931</x:v>
      </x:c>
      <x:c r="O126" t="n">
        <x:f>IF(J126="","",J126/MAX($J$2:$J$144))</x:f>
        <x:v>0.367524115755627</x:v>
      </x:c>
      <x:c r="P126" t="n">
        <x:f>IF(G126="","",_xlfn.MINIFS($G$2:$G$144,$G$2:$G$144,"&gt;0")/G126)</x:f>
        <x:v>0.002238805970149254</x:v>
      </x:c>
      <x:c r="Q126" t="inlineStr">
        <x:is>
          <x:t xml:space="preserve">Source snapshot; missing task time remains blank.</x:t>
        </x:is>
      </x:c>
    </x:row>
    <x:row r="127" s="14" customFormat="1">
      <x:c r="A127" t="inlineStr">
        <x:is>
          <x:t xml:space="preserve">anthropic|claude-sonnet-5.5|high|reasoning|fallback-true|aa-v4.3.2|snapshot-2026-10-16</x:t>
        </x:is>
      </x:c>
      <x:c r="B127" t="inlineStr">
        <x:is>
          <x:t xml:space="preserve">anthropic|claude-sonnet-5.5|high|reasoning|fallback-true</x:t>
        </x:is>
      </x:c>
      <x:c r="C127" t="inlineStr">
        <x:is>
          <x:t xml:space="preserve">AA|v4.3.2</x:t>
        </x:is>
      </x:c>
      <x:c r="D127" t="n">
        <x:v>47</x:v>
      </x:c>
      <x:c r="E127" t="n">
        <x:f>IFERROR(INDEX(Benchmark_Versions!$I:$I,MATCH(C127,Benchmark_Versions!$A:$A,0)),1)</x:f>
        <x:v>1</x:v>
      </x:c>
      <x:c r="F127" t="n">
        <x:f>IF(D127="","",D127*E127)</x:f>
        <x:v>47</x:v>
      </x:c>
      <x:c r="G127" t="n">
        <x:v>0.88</x:v>
      </x:c>
      <x:c r="I127" t="str">
        <x:f>IF(H127="","",H127/60)</x:f>
      </x:c>
      <x:c r="J127" t="n">
        <x:v>112.9</x:v>
      </x:c>
      <x:c r="K127" t="n">
        <x:f>IF(OR(F127="",G127="",G127=0),"",F127/G127)</x:f>
        <x:v>53.40909090909091</x:v>
      </x:c>
      <x:c r="L127" t="n">
        <x:f>IF(OR(F127="",F127=0,G127=""),"",G127/F127)</x:f>
        <x:v>0.01872340425531915</x:v>
      </x:c>
      <x:c r="M127" t="str">
        <x:f>IF(OR(F127="",H127="",H127=0),"",F127/H127)</x:f>
      </x:c>
      <x:c r="N127" t="n">
        <x:f>IF(F127="","",F127/MAX($F$2:$F$144))</x:f>
        <x:v>0.8103448275862069</x:v>
      </x:c>
      <x:c r="O127" t="n">
        <x:f>IF(J127="","",J127/MAX($J$2:$J$144))</x:f>
        <x:v>0.3630225080385852</x:v>
      </x:c>
      <x:c r="P127" t="n">
        <x:f>IF(G127="","",_xlfn.MINIFS($G$2:$G$144,$G$2:$G$144,"&gt;0")/G127)</x:f>
        <x:v>0.005113636363636364</x:v>
      </x:c>
      <x:c r="Q127" t="inlineStr">
        <x:is>
          <x:t xml:space="preserve">Source snapshot; missing task time remains blank.</x:t>
        </x:is>
      </x:c>
    </x:row>
    <x:row r="128" s="14" customFormat="1">
      <x:c r="A128" t="inlineStr">
        <x:is>
          <x:t xml:space="preserve">anthropic|claude-sonnet-5.5|medium|reasoning|fallback-true|aa-v4.3.2|snapshot-2026-10-16</x:t>
        </x:is>
      </x:c>
      <x:c r="B128" t="inlineStr">
        <x:is>
          <x:t xml:space="preserve">anthropic|claude-sonnet-5.5|medium|reasoning|fallback-true</x:t>
        </x:is>
      </x:c>
      <x:c r="C128" t="inlineStr">
        <x:is>
          <x:t xml:space="preserve">AA|v4.3.2</x:t>
        </x:is>
      </x:c>
      <x:c r="D128" t="n">
        <x:v>41</x:v>
      </x:c>
      <x:c r="E128" t="n">
        <x:f>IFERROR(INDEX(Benchmark_Versions!$I:$I,MATCH(C128,Benchmark_Versions!$A:$A,0)),1)</x:f>
        <x:v>1</x:v>
      </x:c>
      <x:c r="F128" t="n">
        <x:f>IF(D128="","",D128*E128)</x:f>
        <x:v>41</x:v>
      </x:c>
      <x:c r="G128" t="n">
        <x:v>0.48</x:v>
      </x:c>
      <x:c r="I128" t="str">
        <x:f>IF(H128="","",H128/60)</x:f>
      </x:c>
      <x:c r="J128" t="n">
        <x:v>118.3</x:v>
      </x:c>
      <x:c r="K128" t="n">
        <x:f>IF(OR(F128="",G128="",G128=0),"",F128/G128)</x:f>
        <x:v>85.41666666666667</x:v>
      </x:c>
      <x:c r="L128" t="n">
        <x:f>IF(OR(F128="",F128=0,G128=""),"",G128/F128)</x:f>
        <x:v>0.011707317073170732</x:v>
      </x:c>
      <x:c r="M128" t="str">
        <x:f>IF(OR(F128="",H128="",H128=0),"",F128/H128)</x:f>
      </x:c>
      <x:c r="N128" t="n">
        <x:f>IF(F128="","",F128/MAX($F$2:$F$144))</x:f>
        <x:v>0.7068965517241379</x:v>
      </x:c>
      <x:c r="O128" t="n">
        <x:f>IF(J128="","",J128/MAX($J$2:$J$144))</x:f>
        <x:v>0.3803858520900322</x:v>
      </x:c>
      <x:c r="P128" t="n">
        <x:f>IF(G128="","",_xlfn.MINIFS($G$2:$G$144,$G$2:$G$144,"&gt;0")/G128)</x:f>
        <x:v>0.009375</x:v>
      </x:c>
      <x:c r="Q128" t="inlineStr">
        <x:is>
          <x:t xml:space="preserve">Source snapshot; missing task time remains blank.</x:t>
        </x:is>
      </x:c>
    </x:row>
    <x:row r="129" s="14" customFormat="1">
      <x:c r="A129" t="inlineStr">
        <x:is>
          <x:t xml:space="preserve">anthropic|claude-sonnet-5.5|low|reasoning|fallback-true|aa-v4.3.2|snapshot-2026-10-16</x:t>
        </x:is>
      </x:c>
      <x:c r="B129" t="inlineStr">
        <x:is>
          <x:t xml:space="preserve">anthropic|claude-sonnet-5.5|low|reasoning|fallback-true</x:t>
        </x:is>
      </x:c>
      <x:c r="C129" t="inlineStr">
        <x:is>
          <x:t xml:space="preserve">AA|v4.3.2</x:t>
        </x:is>
      </x:c>
      <x:c r="D129" t="n">
        <x:v>36</x:v>
      </x:c>
      <x:c r="E129" t="n">
        <x:f>IFERROR(INDEX(Benchmark_Versions!$I:$I,MATCH(C129,Benchmark_Versions!$A:$A,0)),1)</x:f>
        <x:v>1</x:v>
      </x:c>
      <x:c r="F129" t="n">
        <x:f>IF(D129="","",D129*E129)</x:f>
        <x:v>36</x:v>
      </x:c>
      <x:c r="G129" t="n">
        <x:v>0.35</x:v>
      </x:c>
      <x:c r="I129" t="str">
        <x:f>IF(H129="","",H129/60)</x:f>
      </x:c>
      <x:c r="J129" t="n">
        <x:v>112.3</x:v>
      </x:c>
      <x:c r="K129" t="n">
        <x:f>IF(OR(F129="",G129="",G129=0),"",F129/G129)</x:f>
        <x:v>102.85714285714286</x:v>
      </x:c>
      <x:c r="L129" t="n">
        <x:f>IF(OR(F129="",F129=0,G129=""),"",G129/F129)</x:f>
        <x:v>0.009722222222222222</x:v>
      </x:c>
      <x:c r="M129" t="str">
        <x:f>IF(OR(F129="",H129="",H129=0),"",F129/H129)</x:f>
      </x:c>
      <x:c r="N129" t="n">
        <x:f>IF(F129="","",F129/MAX($F$2:$F$144))</x:f>
        <x:v>0.6206896551724138</x:v>
      </x:c>
      <x:c r="O129" t="n">
        <x:f>IF(J129="","",J129/MAX($J$2:$J$144))</x:f>
        <x:v>0.3610932475884244</x:v>
      </x:c>
      <x:c r="P129" t="n">
        <x:f>IF(G129="","",_xlfn.MINIFS($G$2:$G$144,$G$2:$G$144,"&gt;0")/G129)</x:f>
        <x:v>0.012857142857142857</x:v>
      </x:c>
      <x:c r="Q129" t="inlineStr">
        <x:is>
          <x:t xml:space="preserve">Source snapshot; missing task time remains blank.</x:t>
        </x:is>
      </x:c>
    </x:row>
    <x:row r="130" s="14" customFormat="1">
      <x:c r="A130" t="inlineStr">
        <x:is>
          <x:t xml:space="preserve">openai|gpt-5-6-terra|max|reasoning|fallback-na|aa-v4.3.2|snapshot-2026-10-16</x:t>
        </x:is>
      </x:c>
      <x:c r="B130" t="inlineStr">
        <x:is>
          <x:t xml:space="preserve">openai|gpt-5-6-terra|max|reasoning|fallback-na</x:t>
        </x:is>
      </x:c>
      <x:c r="C130" t="inlineStr">
        <x:is>
          <x:t xml:space="preserve">AA|v4.3.2</x:t>
        </x:is>
      </x:c>
      <x:c r="D130" t="n">
        <x:v>42</x:v>
      </x:c>
      <x:c r="E130" t="n">
        <x:f>IFERROR(INDEX(Benchmark_Versions!$I:$I,MATCH(C130,Benchmark_Versions!$A:$A,0)),1)</x:f>
        <x:v>1</x:v>
      </x:c>
      <x:c r="F130" t="n">
        <x:f>IF(D130="","",D130*E130)</x:f>
        <x:v>42</x:v>
      </x:c>
      <x:c r="G130" t="n">
        <x:v>1.4</x:v>
      </x:c>
      <x:c r="I130" t="str">
        <x:f>IF(H130="","",H130/60)</x:f>
      </x:c>
      <x:c r="J130" t="n">
        <x:v>133.9</x:v>
      </x:c>
      <x:c r="K130" t="n">
        <x:f>IF(OR(F130="",G130="",G130=0),"",F130/G130)</x:f>
        <x:v>30.000000000000004</x:v>
      </x:c>
      <x:c r="L130" t="n">
        <x:f>IF(OR(F130="",F130=0,G130=""),"",G130/F130)</x:f>
        <x:v>0.03333333333333333</x:v>
      </x:c>
      <x:c r="M130" t="str">
        <x:f>IF(OR(F130="",H130="",H130=0),"",F130/H130)</x:f>
      </x:c>
      <x:c r="N130" t="n">
        <x:f>IF(F130="","",F130/MAX($F$2:$F$144))</x:f>
        <x:v>0.7241379310344828</x:v>
      </x:c>
      <x:c r="O130" t="n">
        <x:f>IF(J130="","",J130/MAX($J$2:$J$144))</x:f>
        <x:v>0.4305466237942122</x:v>
      </x:c>
      <x:c r="P130" t="n">
        <x:f>IF(G130="","",_xlfn.MINIFS($G$2:$G$144,$G$2:$G$144,"&gt;0")/G130)</x:f>
        <x:v>0.0032142857142857142</x:v>
      </x:c>
      <x:c r="Q130" t="inlineStr">
        <x:is>
          <x:t xml:space="preserve">Source snapshot; missing task time remains blank.</x:t>
        </x:is>
      </x:c>
    </x:row>
    <x:row r="131" s="14" customFormat="1">
      <x:c r="A131" t="inlineStr">
        <x:is>
          <x:t xml:space="preserve">openai|gpt-5-6-terra|xhigh|reasoning|fallback-na|aa-v4.3.2|snapshot-2026-10-16</x:t>
        </x:is>
      </x:c>
      <x:c r="B131" t="inlineStr">
        <x:is>
          <x:t xml:space="preserve">openai|gpt-5-6-terra|xhigh|reasoning|fallback-na</x:t>
        </x:is>
      </x:c>
      <x:c r="C131" t="inlineStr">
        <x:is>
          <x:t xml:space="preserve">AA|v4.3.2</x:t>
        </x:is>
      </x:c>
      <x:c r="D131" t="n">
        <x:v>38</x:v>
      </x:c>
      <x:c r="E131" t="n">
        <x:f>IFERROR(INDEX(Benchmark_Versions!$I:$I,MATCH(C131,Benchmark_Versions!$A:$A,0)),1)</x:f>
        <x:v>1</x:v>
      </x:c>
      <x:c r="F131" t="n">
        <x:f>IF(D131="","",D131*E131)</x:f>
        <x:v>38</x:v>
      </x:c>
      <x:c r="G131" t="n">
        <x:v>0.63</x:v>
      </x:c>
      <x:c r="I131" t="str">
        <x:f>IF(H131="","",H131/60)</x:f>
      </x:c>
      <x:c r="J131" t="n">
        <x:v>130.6</x:v>
      </x:c>
      <x:c r="K131" t="n">
        <x:f>IF(OR(F131="",G131="",G131=0),"",F131/G131)</x:f>
        <x:v>60.317460317460316</x:v>
      </x:c>
      <x:c r="L131" t="n">
        <x:f>IF(OR(F131="",F131=0,G131=""),"",G131/F131)</x:f>
        <x:v>0.016578947368421054</x:v>
      </x:c>
      <x:c r="M131" t="str">
        <x:f>IF(OR(F131="",H131="",H131=0),"",F131/H131)</x:f>
      </x:c>
      <x:c r="N131" t="n">
        <x:f>IF(F131="","",F131/MAX($F$2:$F$144))</x:f>
        <x:v>0.6551724137931034</x:v>
      </x:c>
      <x:c r="O131" t="n">
        <x:f>IF(J131="","",J131/MAX($J$2:$J$144))</x:f>
        <x:v>0.419935691318328</x:v>
      </x:c>
      <x:c r="P131" t="n">
        <x:f>IF(G131="","",_xlfn.MINIFS($G$2:$G$144,$G$2:$G$144,"&gt;0")/G131)</x:f>
        <x:v>0.007142857142857143</x:v>
      </x:c>
      <x:c r="Q131" t="inlineStr">
        <x:is>
          <x:t xml:space="preserve">Source snapshot; missing task time remains blank.</x:t>
        </x:is>
      </x:c>
    </x:row>
    <x:row r="132" s="14" customFormat="1">
      <x:c r="A132" t="inlineStr">
        <x:is>
          <x:t xml:space="preserve">openai|gpt-5-6-terra|high|reasoning|fallback-na|aa-v4.3.2|snapshot-2026-10-16</x:t>
        </x:is>
      </x:c>
      <x:c r="B132" t="inlineStr">
        <x:is>
          <x:t xml:space="preserve">openai|gpt-5-6-terra|high|reasoning|fallback-na</x:t>
        </x:is>
      </x:c>
      <x:c r="C132" t="inlineStr">
        <x:is>
          <x:t xml:space="preserve">AA|v4.3.2</x:t>
        </x:is>
      </x:c>
      <x:c r="D132" t="n">
        <x:v>34</x:v>
      </x:c>
      <x:c r="E132" t="n">
        <x:f>IFERROR(INDEX(Benchmark_Versions!$I:$I,MATCH(C132,Benchmark_Versions!$A:$A,0)),1)</x:f>
        <x:v>1</x:v>
      </x:c>
      <x:c r="F132" t="n">
        <x:f>IF(D132="","",D132*E132)</x:f>
        <x:v>34</x:v>
      </x:c>
      <x:c r="G132" t="n">
        <x:v>0.34</x:v>
      </x:c>
      <x:c r="I132" t="str">
        <x:f>IF(H132="","",H132/60)</x:f>
      </x:c>
      <x:c r="J132" t="n">
        <x:v>114.1</x:v>
      </x:c>
      <x:c r="K132" t="n">
        <x:f>IF(OR(F132="",G132="",G132=0),"",F132/G132)</x:f>
        <x:v>99.99999999999999</x:v>
      </x:c>
      <x:c r="L132" t="n">
        <x:f>IF(OR(F132="",F132=0,G132=""),"",G132/F132)</x:f>
        <x:v>0.01</x:v>
      </x:c>
      <x:c r="M132" t="str">
        <x:f>IF(OR(F132="",H132="",H132=0),"",F132/H132)</x:f>
      </x:c>
      <x:c r="N132" t="n">
        <x:f>IF(F132="","",F132/MAX($F$2:$F$144))</x:f>
        <x:v>0.5862068965517241</x:v>
      </x:c>
      <x:c r="O132" t="n">
        <x:f>IF(J132="","",J132/MAX($J$2:$J$144))</x:f>
        <x:v>0.36688102893890673</x:v>
      </x:c>
      <x:c r="P132" t="n">
        <x:f>IF(G132="","",_xlfn.MINIFS($G$2:$G$144,$G$2:$G$144,"&gt;0")/G132)</x:f>
        <x:v>0.013235294117647057</x:v>
      </x:c>
      <x:c r="Q132" t="inlineStr">
        <x:is>
          <x:t xml:space="preserve">Source snapshot; missing task time remains blank.</x:t>
        </x:is>
      </x:c>
    </x:row>
    <x:row r="133" s="14" customFormat="1">
      <x:c r="A133" t="inlineStr">
        <x:is>
          <x:t xml:space="preserve">openai|gpt-5-6-terra|medium|reasoning|fallback-na|aa-v4.3.2|snapshot-2026-10-16</x:t>
        </x:is>
      </x:c>
      <x:c r="B133" t="inlineStr">
        <x:is>
          <x:t xml:space="preserve">openai|gpt-5-6-terra|medium|reasoning|fallback-na</x:t>
        </x:is>
      </x:c>
      <x:c r="C133" t="inlineStr">
        <x:is>
          <x:t xml:space="preserve">AA|v4.3.2</x:t>
        </x:is>
      </x:c>
      <x:c r="D133" t="n">
        <x:v>30</x:v>
      </x:c>
      <x:c r="E133" t="n">
        <x:f>IFERROR(INDEX(Benchmark_Versions!$I:$I,MATCH(C133,Benchmark_Versions!$A:$A,0)),1)</x:f>
        <x:v>1</x:v>
      </x:c>
      <x:c r="F133" t="n">
        <x:f>IF(D133="","",D133*E133)</x:f>
        <x:v>30</x:v>
      </x:c>
      <x:c r="G133" t="n">
        <x:v>0.18</x:v>
      </x:c>
      <x:c r="I133" t="str">
        <x:f>IF(H133="","",H133/60)</x:f>
      </x:c>
      <x:c r="J133" t="n">
        <x:v>108.2</x:v>
      </x:c>
      <x:c r="K133" t="n">
        <x:f>IF(OR(F133="",G133="",G133=0),"",F133/G133)</x:f>
        <x:v>166.66666666666669</x:v>
      </x:c>
      <x:c r="L133" t="n">
        <x:f>IF(OR(F133="",F133=0,G133=""),"",G133/F133)</x:f>
        <x:v>0.006</x:v>
      </x:c>
      <x:c r="M133" t="str">
        <x:f>IF(OR(F133="",H133="",H133=0),"",F133/H133)</x:f>
      </x:c>
      <x:c r="N133" t="n">
        <x:f>IF(F133="","",F133/MAX($F$2:$F$144))</x:f>
        <x:v>0.5172413793103449</x:v>
      </x:c>
      <x:c r="O133" t="n">
        <x:f>IF(J133="","",J133/MAX($J$2:$J$144))</x:f>
        <x:v>0.3479099678456592</x:v>
      </x:c>
      <x:c r="P133" t="n">
        <x:f>IF(G133="","",_xlfn.MINIFS($G$2:$G$144,$G$2:$G$144,"&gt;0")/G133)</x:f>
        <x:v>0.024999999999999998</x:v>
      </x:c>
      <x:c r="Q133" t="inlineStr">
        <x:is>
          <x:t xml:space="preserve">Source snapshot; missing task time remains blank.</x:t>
        </x:is>
      </x:c>
    </x:row>
    <x:row r="134" s="14" customFormat="1">
      <x:c r="A134" t="inlineStr">
        <x:is>
          <x:t xml:space="preserve">openai|gpt-5-6-terra|low|reasoning|fallback-na|aa-v4.3.2|snapshot-2026-10-16</x:t>
        </x:is>
      </x:c>
      <x:c r="B134" t="inlineStr">
        <x:is>
          <x:t xml:space="preserve">openai|gpt-5-6-terra|low|reasoning|fallback-na</x:t>
        </x:is>
      </x:c>
      <x:c r="C134" t="inlineStr">
        <x:is>
          <x:t xml:space="preserve">AA|v4.3.2</x:t>
        </x:is>
      </x:c>
      <x:c r="D134" t="n">
        <x:v>27</x:v>
      </x:c>
      <x:c r="E134" t="n">
        <x:f>IFERROR(INDEX(Benchmark_Versions!$I:$I,MATCH(C134,Benchmark_Versions!$A:$A,0)),1)</x:f>
        <x:v>1</x:v>
      </x:c>
      <x:c r="F134" t="n">
        <x:f>IF(D134="","",D134*E134)</x:f>
        <x:v>27</x:v>
      </x:c>
      <x:c r="G134" t="n">
        <x:v>0.14</x:v>
      </x:c>
      <x:c r="I134" t="str">
        <x:f>IF(H134="","",H134/60)</x:f>
      </x:c>
      <x:c r="J134" t="n">
        <x:v>108.7</x:v>
      </x:c>
      <x:c r="K134" t="n">
        <x:f>IF(OR(F134="",G134="",G134=0),"",F134/G134)</x:f>
        <x:v>192.85714285714283</x:v>
      </x:c>
      <x:c r="L134" t="n">
        <x:f>IF(OR(F134="",F134=0,G134=""),"",G134/F134)</x:f>
        <x:v>0.005185185185185186</x:v>
      </x:c>
      <x:c r="M134" t="str">
        <x:f>IF(OR(F134="",H134="",H134=0),"",F134/H134)</x:f>
      </x:c>
      <x:c r="N134" t="n">
        <x:f>IF(F134="","",F134/MAX($F$2:$F$144))</x:f>
        <x:v>0.46551724137931033</x:v>
      </x:c>
      <x:c r="O134" t="n">
        <x:f>IF(J134="","",J134/MAX($J$2:$J$144))</x:f>
        <x:v>0.3495176848874598</x:v>
      </x:c>
      <x:c r="P134" t="n">
        <x:f>IF(G134="","",_xlfn.MINIFS($G$2:$G$144,$G$2:$G$144,"&gt;0")/G134)</x:f>
        <x:v>0.03214285714285714</x:v>
      </x:c>
      <x:c r="Q134" t="inlineStr">
        <x:is>
          <x:t xml:space="preserve">Source snapshot; missing task time remains blank.</x:t>
        </x:is>
      </x:c>
    </x:row>
    <x:row r="135" s="14" customFormat="1">
      <x:c r="A135" t="inlineStr">
        <x:is>
          <x:t xml:space="preserve">openai|gpt-5-6-terra|non-reasoning|nonreasoning|fallback-na|aa-v4.3.2|snapshot-2026-10-16</x:t>
        </x:is>
      </x:c>
      <x:c r="B135" t="inlineStr">
        <x:is>
          <x:t xml:space="preserve">openai|gpt-5-6-terra|non-reasoning|nonreasoning|fallback-na</x:t>
        </x:is>
      </x:c>
      <x:c r="C135" t="inlineStr">
        <x:is>
          <x:t xml:space="preserve">AA|v4.3.2</x:t>
        </x:is>
      </x:c>
      <x:c r="D135" t="n">
        <x:v>21</x:v>
      </x:c>
      <x:c r="E135" t="n">
        <x:f>IFERROR(INDEX(Benchmark_Versions!$I:$I,MATCH(C135,Benchmark_Versions!$A:$A,0)),1)</x:f>
        <x:v>1</x:v>
      </x:c>
      <x:c r="F135" t="n">
        <x:f>IF(D135="","",D135*E135)</x:f>
        <x:v>21</x:v>
      </x:c>
      <x:c r="G135" t="n">
        <x:v>0.14</x:v>
      </x:c>
      <x:c r="I135" t="str">
        <x:f>IF(H135="","",H135/60)</x:f>
      </x:c>
      <x:c r="J135" t="n">
        <x:v>121.1</x:v>
      </x:c>
      <x:c r="K135" t="n">
        <x:f>IF(OR(F135="",G135="",G135=0),"",F135/G135)</x:f>
        <x:v>149.99999999999997</x:v>
      </x:c>
      <x:c r="L135" t="n">
        <x:f>IF(OR(F135="",F135=0,G135=""),"",G135/F135)</x:f>
        <x:v>0.006666666666666667</x:v>
      </x:c>
      <x:c r="M135" t="str">
        <x:f>IF(OR(F135="",H135="",H135=0),"",F135/H135)</x:f>
      </x:c>
      <x:c r="N135" t="n">
        <x:f>IF(F135="","",F135/MAX($F$2:$F$144))</x:f>
        <x:v>0.3620689655172414</x:v>
      </x:c>
      <x:c r="O135" t="n">
        <x:f>IF(J135="","",J135/MAX($J$2:$J$144))</x:f>
        <x:v>0.38938906752411573</x:v>
      </x:c>
      <x:c r="P135" t="n">
        <x:f>IF(G135="","",_xlfn.MINIFS($G$2:$G$144,$G$2:$G$144,"&gt;0")/G135)</x:f>
        <x:v>0.03214285714285714</x:v>
      </x:c>
      <x:c r="Q135" t="inlineStr">
        <x:is>
          <x:t xml:space="preserve">Source snapshot; missing task time remains blank.</x:t>
        </x:is>
      </x:c>
    </x:row>
    <x:row r="136" s="14" customFormat="1">
      <x:c r="A136" t="inlineStr">
        <x:is>
          <x:t xml:space="preserve">anthropic|claude-haiku-5-5|xhigh|yes|fallback-na|aa-v4.3.2|snapshot-2026-10-16</x:t>
        </x:is>
      </x:c>
      <x:c r="B136" t="inlineStr">
        <x:is>
          <x:t xml:space="preserve">anthropic|claude-haiku-5-5|xhigh|yes|fallback-na</x:t>
        </x:is>
      </x:c>
      <x:c r="C136" t="inlineStr">
        <x:is>
          <x:t xml:space="preserve">AA|v4.3.2</x:t>
        </x:is>
      </x:c>
      <x:c r="D136" t="n">
        <x:v>41</x:v>
      </x:c>
      <x:c r="E136" t="n">
        <x:f>IFERROR(INDEX(Benchmark_Versions!$I:$I,MATCH(C136,Benchmark_Versions!$A:$A,0)),1)</x:f>
        <x:v>1</x:v>
      </x:c>
      <x:c r="F136" t="n">
        <x:f>IF(D136="","",D136*E136)</x:f>
        <x:v>41</x:v>
      </x:c>
      <x:c r="G136" t="n">
        <x:v>0.12</x:v>
      </x:c>
      <x:c r="I136" t="str">
        <x:f>IF(H136="","",H136/60)</x:f>
      </x:c>
      <x:c r="J136" t="n">
        <x:v>190.2</x:v>
      </x:c>
      <x:c r="K136" t="n">
        <x:f>IF(OR(F136="",G136="",G136=0),"",F136/G136)</x:f>
        <x:v>341.6666666666667</x:v>
      </x:c>
      <x:c r="L136" t="n">
        <x:f>IF(OR(F136="",F136=0,G136=""),"",G136/F136)</x:f>
        <x:v>0.002926829268292683</x:v>
      </x:c>
      <x:c r="M136" t="str">
        <x:f>IF(OR(F136="",H136="",H136=0),"",F136/H136)</x:f>
      </x:c>
      <x:c r="N136" t="n">
        <x:f>IF(F136="","",F136/MAX($F$2:$F$144))</x:f>
        <x:v>0.7068965517241379</x:v>
      </x:c>
      <x:c r="O136" t="n">
        <x:f>IF(J136="","",J136/MAX($J$2:$J$144))</x:f>
        <x:v>0.6115755627009646</x:v>
      </x:c>
      <x:c r="P136" t="n">
        <x:f>IF(G136="","",_xlfn.MINIFS($G$2:$G$144,$G$2:$G$144,"&gt;0")/G136)</x:f>
        <x:v>0.0375</x:v>
      </x:c>
      <x:c r="Q136" t="inlineStr">
        <x:is>
          <x:t xml:space="preserve">Source snapshot; missing task time remains blank.</x:t>
        </x:is>
      </x:c>
    </x:row>
    <x:row r="137" s="14" customFormat="1">
      <x:c r="A137" t="inlineStr">
        <x:is>
          <x:t xml:space="preserve">anthropic|claude-haiku-5-5|high|yes|fallback-na|aa-v4.3.2|snapshot-2026-10-16</x:t>
        </x:is>
      </x:c>
      <x:c r="B137" t="inlineStr">
        <x:is>
          <x:t xml:space="preserve">anthropic|claude-haiku-5-5|high|yes|fallback-na</x:t>
        </x:is>
      </x:c>
      <x:c r="C137" t="inlineStr">
        <x:is>
          <x:t xml:space="preserve">AA|v4.3.2</x:t>
        </x:is>
      </x:c>
      <x:c r="D137" t="n">
        <x:v>38</x:v>
      </x:c>
      <x:c r="E137" t="n">
        <x:f>IFERROR(INDEX(Benchmark_Versions!$I:$I,MATCH(C137,Benchmark_Versions!$A:$A,0)),1)</x:f>
        <x:v>1</x:v>
      </x:c>
      <x:c r="F137" t="n">
        <x:f>IF(D137="","",D137*E137)</x:f>
        <x:v>38</x:v>
      </x:c>
      <x:c r="G137" t="n">
        <x:v>0.08</x:v>
      </x:c>
      <x:c r="I137" t="str">
        <x:f>IF(H137="","",H137/60)</x:f>
      </x:c>
      <x:c r="J137" t="n">
        <x:v>182.2</x:v>
      </x:c>
      <x:c r="K137" t="n">
        <x:f>IF(OR(F137="",G137="",G137=0),"",F137/G137)</x:f>
        <x:v>475</x:v>
      </x:c>
      <x:c r="L137" t="n">
        <x:f>IF(OR(F137="",F137=0,G137=""),"",G137/F137)</x:f>
        <x:v>0.002105263157894737</x:v>
      </x:c>
      <x:c r="M137" t="str">
        <x:f>IF(OR(F137="",H137="",H137=0),"",F137/H137)</x:f>
      </x:c>
      <x:c r="N137" t="n">
        <x:f>IF(F137="","",F137/MAX($F$2:$F$144))</x:f>
        <x:v>0.6551724137931034</x:v>
      </x:c>
      <x:c r="O137" t="n">
        <x:f>IF(J137="","",J137/MAX($J$2:$J$144))</x:f>
        <x:v>0.5858520900321543</x:v>
      </x:c>
      <x:c r="P137" t="n">
        <x:f>IF(G137="","",_xlfn.MINIFS($G$2:$G$144,$G$2:$G$144,"&gt;0")/G137)</x:f>
        <x:v>0.056249999999999994</x:v>
      </x:c>
      <x:c r="Q137" t="inlineStr">
        <x:is>
          <x:t xml:space="preserve">Source snapshot; missing task time remains blank.</x:t>
        </x:is>
      </x:c>
    </x:row>
    <x:row r="138" s="14" customFormat="1">
      <x:c r="A138" t="inlineStr">
        <x:is>
          <x:t xml:space="preserve">anthropic|claude-haiku-5-5|medium|yes|fallback-na|aa-v4.3.2|snapshot-2026-10-16</x:t>
        </x:is>
      </x:c>
      <x:c r="B138" t="inlineStr">
        <x:is>
          <x:t xml:space="preserve">anthropic|claude-haiku-5-5|medium|yes|fallback-na</x:t>
        </x:is>
      </x:c>
      <x:c r="C138" t="inlineStr">
        <x:is>
          <x:t xml:space="preserve">AA|v4.3.2</x:t>
        </x:is>
      </x:c>
      <x:c r="D138" t="n">
        <x:v>34</x:v>
      </x:c>
      <x:c r="E138" t="n">
        <x:f>IFERROR(INDEX(Benchmark_Versions!$I:$I,MATCH(C138,Benchmark_Versions!$A:$A,0)),1)</x:f>
        <x:v>1</x:v>
      </x:c>
      <x:c r="F138" t="n">
        <x:f>IF(D138="","",D138*E138)</x:f>
        <x:v>34</x:v>
      </x:c>
      <x:c r="G138" t="n">
        <x:v>0.05</x:v>
      </x:c>
      <x:c r="I138" t="str">
        <x:f>IF(H138="","",H138/60)</x:f>
      </x:c>
      <x:c r="J138" t="n">
        <x:v>186.8</x:v>
      </x:c>
      <x:c r="K138" t="n">
        <x:f>IF(OR(F138="",G138="",G138=0),"",F138/G138)</x:f>
        <x:v>680</x:v>
      </x:c>
      <x:c r="L138" t="n">
        <x:f>IF(OR(F138="",F138=0,G138=""),"",G138/F138)</x:f>
        <x:v>0.0014705882352941176</x:v>
      </x:c>
      <x:c r="M138" t="str">
        <x:f>IF(OR(F138="",H138="",H138=0),"",F138/H138)</x:f>
      </x:c>
      <x:c r="N138" t="n">
        <x:f>IF(F138="","",F138/MAX($F$2:$F$144))</x:f>
        <x:v>0.5862068965517241</x:v>
      </x:c>
      <x:c r="O138" t="n">
        <x:f>IF(J138="","",J138/MAX($J$2:$J$144))</x:f>
        <x:v>0.6006430868167203</x:v>
      </x:c>
      <x:c r="P138" t="n">
        <x:f>IF(G138="","",_xlfn.MINIFS($G$2:$G$144,$G$2:$G$144,"&gt;0")/G138)</x:f>
        <x:v>0.08999999999999998</x:v>
      </x:c>
      <x:c r="Q138" t="inlineStr">
        <x:is>
          <x:t xml:space="preserve">Source snapshot; missing task time remains blank.</x:t>
        </x:is>
      </x:c>
    </x:row>
    <x:row r="139" s="14" customFormat="1">
      <x:c r="A139" t="inlineStr">
        <x:is>
          <x:t xml:space="preserve">anthropic|claude-haiku-5-5|low|yes|fallback-na|aa-v4.3.2|snapshot-2026-10-16</x:t>
        </x:is>
      </x:c>
      <x:c r="B139" t="inlineStr">
        <x:is>
          <x:t xml:space="preserve">anthropic|claude-haiku-5-5|low|yes|fallback-na</x:t>
        </x:is>
      </x:c>
      <x:c r="C139" t="inlineStr">
        <x:is>
          <x:t xml:space="preserve">AA|v4.3.2</x:t>
        </x:is>
      </x:c>
      <x:c r="D139" t="n">
        <x:v>29</x:v>
      </x:c>
      <x:c r="E139" t="n">
        <x:f>IFERROR(INDEX(Benchmark_Versions!$I:$I,MATCH(C139,Benchmark_Versions!$A:$A,0)),1)</x:f>
        <x:v>1</x:v>
      </x:c>
      <x:c r="F139" t="n">
        <x:f>IF(D139="","",D139*E139)</x:f>
        <x:v>29</x:v>
      </x:c>
      <x:c r="G139" t="n">
        <x:v>0.02</x:v>
      </x:c>
      <x:c r="I139" t="str">
        <x:f>IF(H139="","",H139/60)</x:f>
      </x:c>
      <x:c r="J139" t="n">
        <x:v>186.5</x:v>
      </x:c>
      <x:c r="K139" t="n">
        <x:f>IF(OR(F139="",G139="",G139=0),"",F139/G139)</x:f>
        <x:v>1450</x:v>
      </x:c>
      <x:c r="L139" t="n">
        <x:f>IF(OR(F139="",F139=0,G139=""),"",G139/F139)</x:f>
        <x:v>0.0006896551724137932</x:v>
      </x:c>
      <x:c r="M139" t="str">
        <x:f>IF(OR(F139="",H139="",H139=0),"",F139/H139)</x:f>
      </x:c>
      <x:c r="N139" t="n">
        <x:f>IF(F139="","",F139/MAX($F$2:$F$144))</x:f>
        <x:v>0.5</x:v>
      </x:c>
      <x:c r="O139" t="n">
        <x:f>IF(J139="","",J139/MAX($J$2:$J$144))</x:f>
        <x:v>0.5996784565916399</x:v>
      </x:c>
      <x:c r="P139" t="n">
        <x:f>IF(G139="","",_xlfn.MINIFS($G$2:$G$144,$G$2:$G$144,"&gt;0")/G139)</x:f>
        <x:v>0.22499999999999998</x:v>
      </x:c>
      <x:c r="Q139" t="inlineStr">
        <x:is>
          <x:t xml:space="preserve">Source snapshot; missing task time remains blank.</x:t>
        </x:is>
      </x:c>
    </x:row>
    <x:row r="140">
      <x:c r="A140" t="inlineStr">
        <x:is>
          <x:t xml:space="preserve">google|gemini-3.8-flash|low|reasoning|fallback-na|aa-v4.3.2|snapshot-2026-10-17</x:t>
        </x:is>
      </x:c>
      <x:c r="B140" t="inlineStr">
        <x:is>
          <x:t xml:space="preserve">google|gemini-3.8-flash|low|reasoning|fallback-na</x:t>
        </x:is>
      </x:c>
      <x:c r="C140" t="inlineStr">
        <x:is>
          <x:t xml:space="preserve">AA|v4.3.2</x:t>
        </x:is>
      </x:c>
      <x:c r="D140" t="n">
        <x:v>33</x:v>
      </x:c>
      <x:c r="E140" t="n">
        <x:f>IFERROR(INDEX(Benchmark_Versions!$I:$I,MATCH(C140,Benchmark_Versions!$A:$A,0)),1)</x:f>
        <x:v>1</x:v>
      </x:c>
      <x:c r="F140" t="n">
        <x:f>IF(D140="","",D140*E140)</x:f>
        <x:v>33</x:v>
      </x:c>
      <x:c r="I140" t="str">
        <x:f>IF(H140="","",H140/60)</x:f>
      </x:c>
      <x:c r="K140" t="str">
        <x:f>IF(OR(F140="",G140="",G140=0),"",F140/G140)</x:f>
      </x:c>
      <x:c r="L140" t="str">
        <x:f>IF(OR(F140="",F140=0,G140=""),"",G140/F140)</x:f>
      </x:c>
      <x:c r="M140" t="str">
        <x:f>IF(OR(F140="",H140="",H140=0),"",F140/H140)</x:f>
      </x:c>
      <x:c r="N140" t="n">
        <x:f>IF(F140="","",F140/MAX($F$2:$F$144))</x:f>
        <x:v>0.5689655172413793</x:v>
      </x:c>
      <x:c r="O140" t="str">
        <x:f>IF(J140="","",J140/MAX($J$2:$J$144))</x:f>
      </x:c>
      <x:c r="P140" t="str">
        <x:f>IF(G140="","",_xlfn.MINIFS($G$2:$G$144,$G$2:$G$144,"&gt;0")/G140)</x:f>
      </x:c>
      <x:c r="Q140" t="inlineStr">
        <x:is>
          <x:t xml:space="preserve">Formula-derived from latest public snapshot fields; missing source values remain blank.</x:t>
        </x:is>
      </x:c>
    </x:row>
    <x:row r="141">
      <x:c r="A141" t="inlineStr">
        <x:is>
          <x:t xml:space="preserve">google|gemini-3.8-flash|medium|reasoning|fallback-na|aa-v4.3.2|snapshot-2026-10-17</x:t>
        </x:is>
      </x:c>
      <x:c r="B141" t="inlineStr">
        <x:is>
          <x:t xml:space="preserve">google|gemini-3.8-flash|medium|reasoning|fallback-na</x:t>
        </x:is>
      </x:c>
      <x:c r="C141" t="inlineStr">
        <x:is>
          <x:t xml:space="preserve">AA|v4.3.2</x:t>
        </x:is>
      </x:c>
      <x:c r="D141" t="n">
        <x:v>40</x:v>
      </x:c>
      <x:c r="E141" t="n">
        <x:f>IFERROR(INDEX(Benchmark_Versions!$I:$I,MATCH(C141,Benchmark_Versions!$A:$A,0)),1)</x:f>
        <x:v>1</x:v>
      </x:c>
      <x:c r="F141" t="n">
        <x:f>IF(D141="","",D141*E141)</x:f>
        <x:v>40</x:v>
      </x:c>
      <x:c r="G141" t="n">
        <x:v>0.93</x:v>
      </x:c>
      <x:c r="I141" t="str">
        <x:f>IF(H141="","",H141/60)</x:f>
      </x:c>
      <x:c r="K141" t="n">
        <x:f>IF(OR(F141="",G141="",G141=0),"",F141/G141)</x:f>
        <x:v>43.01075268817204</x:v>
      </x:c>
      <x:c r="L141" t="n">
        <x:f>IF(OR(F141="",F141=0,G141=""),"",G141/F141)</x:f>
        <x:v>0.02325</x:v>
      </x:c>
      <x:c r="M141" t="str">
        <x:f>IF(OR(F141="",H141="",H141=0),"",F141/H141)</x:f>
      </x:c>
      <x:c r="N141" t="n">
        <x:f>IF(F141="","",F141/MAX($F$2:$F$144))</x:f>
        <x:v>0.6896551724137931</x:v>
      </x:c>
      <x:c r="O141" t="str">
        <x:f>IF(J141="","",J141/MAX($J$2:$J$144))</x:f>
      </x:c>
      <x:c r="P141" t="n">
        <x:f>IF(G141="","",_xlfn.MINIFS($G$2:$G$144,$G$2:$G$144,"&gt;0")/G141)</x:f>
        <x:v>0.004838709677419354</x:v>
      </x:c>
      <x:c r="Q141" t="inlineStr">
        <x:is>
          <x:t xml:space="preserve">Formula-derived from latest public snapshot fields; missing source values remain blank.</x:t>
        </x:is>
      </x:c>
    </x:row>
    <x:row r="142">
      <x:c r="A142" t="inlineStr">
        <x:is>
          <x:t xml:space="preserve">google|gemini-3.8-flash|high|reasoning|fallback-na|aa-v4.3.2|snapshot-2026-10-17</x:t>
        </x:is>
      </x:c>
      <x:c r="B142" t="inlineStr">
        <x:is>
          <x:t xml:space="preserve">google|gemini-3.8-flash|high|reasoning|fallback-na</x:t>
        </x:is>
      </x:c>
      <x:c r="C142" t="inlineStr">
        <x:is>
          <x:t xml:space="preserve">AA|v4.3.2</x:t>
        </x:is>
      </x:c>
      <x:c r="D142" t="n">
        <x:v>41</x:v>
      </x:c>
      <x:c r="E142" t="n">
        <x:f>IFERROR(INDEX(Benchmark_Versions!$I:$I,MATCH(C142,Benchmark_Versions!$A:$A,0)),1)</x:f>
        <x:v>1</x:v>
      </x:c>
      <x:c r="F142" t="n">
        <x:f>IF(D142="","",D142*E142)</x:f>
        <x:v>41</x:v>
      </x:c>
      <x:c r="G142" t="n">
        <x:v>1.24</x:v>
      </x:c>
      <x:c r="I142" t="str">
        <x:f>IF(H142="","",H142/60)</x:f>
      </x:c>
      <x:c r="J142" t="n">
        <x:v>147.1</x:v>
      </x:c>
      <x:c r="K142" t="n">
        <x:f>IF(OR(F142="",G142="",G142=0),"",F142/G142)</x:f>
        <x:v>33.064516129032256</x:v>
      </x:c>
      <x:c r="L142" t="n">
        <x:f>IF(OR(F142="",F142=0,G142=""),"",G142/F142)</x:f>
        <x:v>0.03024390243902439</x:v>
      </x:c>
      <x:c r="M142" t="str">
        <x:f>IF(OR(F142="",H142="",H142=0),"",F142/H142)</x:f>
      </x:c>
      <x:c r="N142" t="n">
        <x:f>IF(F142="","",F142/MAX($F$2:$F$144))</x:f>
        <x:v>0.7068965517241379</x:v>
      </x:c>
      <x:c r="O142" t="n">
        <x:f>IF(J142="","",J142/MAX($J$2:$J$144))</x:f>
        <x:v>0.47299035369774917</x:v>
      </x:c>
      <x:c r="P142" t="n">
        <x:f>IF(G142="","",_xlfn.MINIFS($G$2:$G$144,$G$2:$G$144,"&gt;0")/G142)</x:f>
        <x:v>0.003629032258064516</x:v>
      </x:c>
      <x:c r="Q142" t="inlineStr">
        <x:is>
          <x:t xml:space="preserve">Formula-derived from latest public snapshot fields; missing source values remain blank.</x:t>
        </x:is>
      </x:c>
    </x:row>
    <x:row r="143">
      <x:c r="A143" t="inlineStr">
        <x:is>
          <x:t xml:space="preserve">google|gemini-3-1-pro-preview|not-stated|reasoning|fallback-na|aa-v4.3.2|snapshot-2026-10-17</x:t>
        </x:is>
      </x:c>
      <x:c r="B143" t="inlineStr">
        <x:is>
          <x:t xml:space="preserve">google|gemini-3-1-pro-preview|not-stated|reasoning|fallback-na</x:t>
        </x:is>
      </x:c>
      <x:c r="C143" t="inlineStr">
        <x:is>
          <x:t xml:space="preserve">AA|v4.3.2</x:t>
        </x:is>
      </x:c>
      <x:c r="D143" t="n">
        <x:v>30</x:v>
      </x:c>
      <x:c r="E143" t="n">
        <x:f>IFERROR(INDEX(Benchmark_Versions!$I:$I,MATCH(C143,Benchmark_Versions!$A:$A,0)),1)</x:f>
        <x:v>1</x:v>
      </x:c>
      <x:c r="F143" t="n">
        <x:f>IF(D143="","",D143*E143)</x:f>
        <x:v>30</x:v>
      </x:c>
      <x:c r="G143" t="n">
        <x:v>1.3</x:v>
      </x:c>
      <x:c r="H143" t="n">
        <x:v>123.52</x:v>
      </x:c>
      <x:c r="I143" t="n">
        <x:f>IF(H143="","",H143/60)</x:f>
        <x:v>2.0586666666666664</x:v>
      </x:c>
      <x:c r="J143" t="n">
        <x:v>140.1</x:v>
      </x:c>
      <x:c r="K143" t="n">
        <x:f>IF(OR(F143="",G143="",G143=0),"",F143/G143)</x:f>
        <x:v>23.076923076923077</x:v>
      </x:c>
      <x:c r="L143" t="n">
        <x:f>IF(OR(F143="",F143=0,G143=""),"",G143/F143)</x:f>
        <x:v>0.043333333333333335</x:v>
      </x:c>
      <x:c r="M143" t="n">
        <x:f>IF(OR(F143="",H143="",H143=0),"",F143/H143)</x:f>
        <x:v>0.24287564766839378</x:v>
      </x:c>
      <x:c r="N143" t="n">
        <x:f>IF(F143="","",F143/MAX($F$2:$F$144))</x:f>
        <x:v>0.5172413793103449</x:v>
      </x:c>
      <x:c r="O143" t="n">
        <x:f>IF(J143="","",J143/MAX($J$2:$J$144))</x:f>
        <x:v>0.45048231511254017</x:v>
      </x:c>
      <x:c r="P143" t="n">
        <x:f>IF(G143="","",_xlfn.MINIFS($G$2:$G$144,$G$2:$G$144,"&gt;0")/G143)</x:f>
        <x:v>0.003461538461538461</x:v>
      </x:c>
      <x:c r="Q143" t="inlineStr">
        <x:is>
          <x:t xml:space="preserve">Formula-derived from latest public snapshot fields; missing source values remain blank.</x:t>
        </x:is>
      </x:c>
    </x:row>
    <x:row r="144">
      <x:c r="A144" t="inlineStr">
        <x:is>
          <x:t xml:space="preserve">google|gemini-3-5-flash|high|reasoning|fallback-na|aa-v4.3.2|snapshot-2026-10-17</x:t>
        </x:is>
      </x:c>
      <x:c r="B144" t="inlineStr">
        <x:is>
          <x:t xml:space="preserve">google|gemini-3-5-flash|high|reasoning|fallback-na</x:t>
        </x:is>
      </x:c>
      <x:c r="C144" t="inlineStr">
        <x:is>
          <x:t xml:space="preserve">AA|v4.3.2</x:t>
        </x:is>
      </x:c>
      <x:c r="D144" t="n">
        <x:v>33</x:v>
      </x:c>
      <x:c r="E144" t="n">
        <x:f>IFERROR(INDEX(Benchmark_Versions!$I:$I,MATCH(C144,Benchmark_Versions!$A:$A,0)),1)</x:f>
        <x:v>1</x:v>
      </x:c>
      <x:c r="F144" t="n">
        <x:f>IF(D144="","",D144*E144)</x:f>
        <x:v>33</x:v>
      </x:c>
      <x:c r="G144" t="n">
        <x:v>3.69</x:v>
      </x:c>
      <x:c r="I144" t="str">
        <x:f>IF(H144="","",H144/60)</x:f>
      </x:c>
      <x:c r="J144" t="n">
        <x:v>187.9</x:v>
      </x:c>
      <x:c r="K144" t="n">
        <x:f>IF(OR(F144="",G144="",G144=0),"",F144/G144)</x:f>
        <x:v>8.94308943089431</x:v>
      </x:c>
      <x:c r="L144" t="n">
        <x:f>IF(OR(F144="",F144=0,G144=""),"",G144/F144)</x:f>
        <x:v>0.11181818181818182</x:v>
      </x:c>
      <x:c r="M144" t="str">
        <x:f>IF(OR(F144="",H144="",H144=0),"",F144/H144)</x:f>
      </x:c>
      <x:c r="N144" t="n">
        <x:f>IF(F144="","",F144/MAX($F$2:$F$144))</x:f>
        <x:v>0.5689655172413793</x:v>
      </x:c>
      <x:c r="O144" t="n">
        <x:f>IF(J144="","",J144/MAX($J$2:$J$144))</x:f>
        <x:v>0.6041800643086817</x:v>
      </x:c>
      <x:c r="P144" t="n">
        <x:f>IF(G144="","",_xlfn.MINIFS($G$2:$G$144,$G$2:$G$144,"&gt;0")/G144)</x:f>
        <x:v>0.0012195121951219512</x:v>
      </x:c>
      <x:c r="Q144" t="inlineStr">
        <x:is>
          <x:t xml:space="preserve">Formula-derived from latest public snapshot fields; missing source values remain blank.</x:t>
        </x:is>
      </x:c>
    </x:row>
  </x:sheetData>
  <x:pageMargins left="0.7" right="0.7" top="0.75" bottom="0.75" header="0.3" footer="0.3"/>
</x:worksheet>
</file>

<file path=xl/worksheets/sheet23.xml><?xml version="1.0" encoding="utf-8"?>
<x:worksheet xmlns:x="http://schemas.openxmlformats.org/spreadsheetml/2006/main">
  <x:sheetFormatPr baseColWidth="8" defaultRowHeight="15"/>
  <x:cols>
    <x:col min="1" max="1" width="48" style="14" customWidth="1"/>
    <x:col min="2" max="2" width="48" style="14" customWidth="1"/>
    <x:col min="3" max="3" width="15" style="14" customWidth="1"/>
    <x:col min="4" max="4" width="15" style="14" customWidth="1"/>
    <x:col min="5" max="5" width="15" style="14" customWidth="1"/>
    <x:col min="6" max="6" width="15" style="14" customWidth="1"/>
    <x:col min="7" max="7" width="15" style="14" customWidth="1"/>
    <x:col min="8" max="8" width="15" style="14" customWidth="1"/>
    <x:col min="9" max="9" width="15" style="14" customWidth="1"/>
    <x:col min="10" max="10" width="15" style="14" customWidth="1"/>
    <x:col min="11" max="11" width="15" style="14" customWidth="1"/>
    <x:col min="12" max="12" width="15" style="14" customWidth="1"/>
    <x:col min="13" max="13" width="15" style="14" customWidth="1"/>
    <x:col min="14" max="14" width="15" style="14" customWidth="1"/>
    <x:col min="15" max="15" width="15" style="14" customWidth="1"/>
    <x:col min="16" max="16" width="15" style="14" customWidth="1"/>
    <x:col min="17" max="17" width="15" style="14" customWidth="1"/>
    <x:col min="18" max="18" width="15" style="14" customWidth="1"/>
  </x:cols>
  <x:sheetData>
    <x:row r="1">
      <x:c r="A1" s="6" t="inlineStr">
        <x:is>
          <x:t xml:space="preserve">test_run_key</x:t>
        </x:is>
      </x:c>
      <x:c r="B1" s="6" t="inlineStr">
        <x:is>
          <x:t xml:space="preserve">model_variant_key</x:t>
        </x:is>
      </x:c>
      <x:c r="C1" s="6" t="inlineStr">
        <x:is>
          <x:t xml:space="preserve">benchmark_version_key</x:t>
        </x:is>
      </x:c>
      <x:c r="D1" s="6" t="inlineStr">
        <x:is>
          <x:t xml:space="preserve">run_metric_row</x:t>
        </x:is>
      </x:c>
      <x:c r="E1" s="6" t="inlineStr">
        <x:is>
          <x:t xml:space="preserve">target</x:t>
        </x:is>
      </x:c>
      <x:c r="F1" s="6" t="inlineStr">
        <x:is>
          <x:t xml:space="preserve">levelled_score</x:t>
        </x:is>
      </x:c>
      <x:c r="G1" s="6" t="inlineStr">
        <x:is>
          <x:t xml:space="preserve">cost_task</x:t>
        </x:is>
      </x:c>
      <x:c r="H1" s="6" t="inlineStr">
        <x:is>
          <x:t xml:space="preserve">time_min</x:t>
        </x:is>
      </x:c>
      <x:c r="I1" s="6" t="inlineStr">
        <x:is>
          <x:t xml:space="preserve">usable_surplus</x:t>
        </x:is>
      </x:c>
      <x:c r="J1" s="6" t="inlineStr">
        <x:is>
          <x:t xml:space="preserve">usable</x:t>
        </x:is>
      </x:c>
      <x:c r="K1" s="6" t="inlineStr">
        <x:is>
          <x:t xml:space="preserve">intel_eff_surplus_per_$</x:t>
        </x:is>
      </x:c>
      <x:c r="L1" s="6" t="inlineStr">
        <x:is>
          <x:t xml:space="preserve">$/usable_point</x:t>
        </x:is>
      </x:c>
      <x:c r="M1" s="6" t="inlineStr">
        <x:is>
          <x:t xml:space="preserve">speed_eff_surplus_per_$minute</x:t>
        </x:is>
      </x:c>
      <x:c r="N1" s="6" t="inlineStr">
        <x:is>
          <x:t xml:space="preserve">intel_eff_norm</x:t>
        </x:is>
      </x:c>
      <x:c r="O1" s="6" t="inlineStr">
        <x:is>
          <x:t xml:space="preserve">speed_eff_norm</x:t>
        </x:is>
      </x:c>
      <x:c r="P1" s="6" t="inlineStr">
        <x:is>
          <x:t xml:space="preserve">balanced_50_50</x:t>
        </x:is>
      </x:c>
      <x:c r="Q1" s="6" t="inlineStr">
        <x:is>
          <x:t xml:space="preserve">smart_70_30</x:t>
        </x:is>
      </x:c>
      <x:c r="R1" s="6" t="inlineStr">
        <x:is>
          <x:t xml:space="preserve">speed_30_70</x:t>
        </x:is>
      </x:c>
    </x:row>
    <x:row r="2" s="14" customFormat="1">
      <x:c r="A2" t="inlineStr">
        <x:is>
          <x:t xml:space="preserve">openai|gpt-6-luna|non-reasoning|nonreasoning|fallback-na|aa-v4.3.2|snapshot-2026-09-28</x:t>
        </x:is>
      </x:c>
      <x:c r="B2" t="inlineStr">
        <x:is>
          <x:t xml:space="preserve">openai|gpt-6-luna|non-reasoning|nonreasoning|fallback-na</x:t>
        </x:is>
      </x:c>
      <x:c r="C2" t="inlineStr">
        <x:is>
          <x:t xml:space="preserve">AA|v4.3.2</x:t>
        </x:is>
      </x:c>
      <x:c r="D2" t="n">
        <x:v>2</x:v>
      </x:c>
      <x:c r="E2" t="n">
        <x:v>20</x:v>
      </x:c>
      <x:c r="F2" t="n">
        <x:f>INDEX(Run_Metrics!$F:$F,D2)</x:f>
        <x:v>18</x:v>
      </x:c>
      <x:c r="G2" t="n">
        <x:f>INDEX(Run_Metrics!$G:$G,D2)</x:f>
        <x:v>0.01</x:v>
      </x:c>
      <x:c r="H2" t="n">
        <x:f>INDEX(Run_Metrics!$I:$I,D2)</x:f>
        <x:v>0.42250000000000004</x:v>
      </x:c>
      <x:c r="I2" t="n">
        <x:f>IF(F2="","",F2-(E2-1))</x:f>
        <x:v>-1</x:v>
      </x:c>
      <x:c r="J2" t="n">
        <x:f>IF(I2&gt;0,1,0)</x:f>
        <x:v>0</x:v>
      </x:c>
      <x:c r="K2" t="str">
        <x:f>IF(OR(J2=0,G2="",G2=0),"",I2/G2)</x:f>
      </x:c>
      <x:c r="L2" t="str">
        <x:f>IF(OR(J2=0,I2=0,G2=""),"",G2/I2)</x:f>
      </x:c>
      <x:c r="M2" t="str">
        <x:f>IF(OR(J2=0,G2="",H2="",G2=0,H2=0),"",I2/(G2*H2))</x:f>
      </x:c>
      <x:c r="N2" t="str">
        <x:f>IF(K2="","",K2/_xlfn.MAXIFS($K:$K,$E:$E,E2))</x:f>
      </x:c>
      <x:c r="O2" t="str">
        <x:f>IF(M2="","",M2/_xlfn.MAXIFS($M:$M,$E:$E,E2))</x:f>
      </x:c>
      <x:c r="P2" t="str">
        <x:f>IF(OR(N2="",O2=""),"",SQRT(N2*O2))</x:f>
      </x:c>
      <x:c r="Q2" t="str">
        <x:f>IF(OR(N2="",O2=""),"",N2^0.7*O2^0.3)</x:f>
      </x:c>
      <x:c r="R2" t="str">
        <x:f>IF(OR(N2="",O2=""),"",N2^0.3*O2^0.7)</x:f>
      </x:c>
    </x:row>
    <x:row r="3">
      <x:c r="A3" t="inlineStr">
        <x:is>
          <x:t xml:space="preserve">openai|gpt-6-luna|non-reasoning|nonreasoning|fallback-na|aa-v4.3.2|snapshot-2026-09-28</x:t>
        </x:is>
      </x:c>
      <x:c r="B3" t="inlineStr">
        <x:is>
          <x:t xml:space="preserve">openai|gpt-6-luna|non-reasoning|nonreasoning|fallback-na</x:t>
        </x:is>
      </x:c>
      <x:c r="C3" t="inlineStr">
        <x:is>
          <x:t xml:space="preserve">AA|v4.3.2</x:t>
        </x:is>
      </x:c>
      <x:c r="D3" t="n">
        <x:v>2</x:v>
      </x:c>
      <x:c r="E3" t="n">
        <x:v>30</x:v>
      </x:c>
      <x:c r="F3" t="n">
        <x:f>INDEX(Run_Metrics!$F:$F,D3)</x:f>
        <x:v>18</x:v>
      </x:c>
      <x:c r="G3" t="n">
        <x:f>INDEX(Run_Metrics!$G:$G,D3)</x:f>
        <x:v>0.01</x:v>
      </x:c>
      <x:c r="H3" t="n">
        <x:f>INDEX(Run_Metrics!$I:$I,D3)</x:f>
        <x:v>0.42250000000000004</x:v>
      </x:c>
      <x:c r="I3" t="n">
        <x:f>IF(F3="","",F3-(E3-1))</x:f>
        <x:v>-11</x:v>
      </x:c>
      <x:c r="J3" t="n">
        <x:f>IF(I3&gt;0,1,0)</x:f>
        <x:v>0</x:v>
      </x:c>
      <x:c r="K3" t="str">
        <x:f>IF(OR(J3=0,G3="",G3=0),"",I3/G3)</x:f>
      </x:c>
      <x:c r="L3" t="str">
        <x:f>IF(OR(J3=0,I3=0,G3=""),"",G3/I3)</x:f>
      </x:c>
      <x:c r="M3" t="str">
        <x:f>IF(OR(J3=0,G3="",H3="",G3=0,H3=0),"",I3/(G3*H3))</x:f>
      </x:c>
      <x:c r="N3" t="str">
        <x:f>IF(K3="","",K3/_xlfn.MAXIFS($K:$K,$E:$E,E3))</x:f>
      </x:c>
      <x:c r="O3" t="str">
        <x:f>IF(M3="","",M3/_xlfn.MAXIFS($M:$M,$E:$E,E3))</x:f>
      </x:c>
      <x:c r="P3" t="str">
        <x:f>IF(OR(N3="",O3=""),"",SQRT(N3*O3))</x:f>
      </x:c>
      <x:c r="Q3" t="str">
        <x:f>IF(OR(N3="",O3=""),"",N3^0.7*O3^0.3)</x:f>
      </x:c>
      <x:c r="R3" t="str">
        <x:f>IF(OR(N3="",O3=""),"",N3^0.3*O3^0.7)</x:f>
      </x:c>
    </x:row>
    <x:row r="4">
      <x:c r="A4" t="inlineStr">
        <x:is>
          <x:t xml:space="preserve">openai|gpt-6-luna|non-reasoning|nonreasoning|fallback-na|aa-v4.3.2|snapshot-2026-09-28</x:t>
        </x:is>
      </x:c>
      <x:c r="B4" t="inlineStr">
        <x:is>
          <x:t xml:space="preserve">openai|gpt-6-luna|non-reasoning|nonreasoning|fallback-na</x:t>
        </x:is>
      </x:c>
      <x:c r="C4" t="inlineStr">
        <x:is>
          <x:t xml:space="preserve">AA|v4.3.2</x:t>
        </x:is>
      </x:c>
      <x:c r="D4" t="n">
        <x:v>2</x:v>
      </x:c>
      <x:c r="E4" t="n">
        <x:v>40</x:v>
      </x:c>
      <x:c r="F4" t="n">
        <x:f>INDEX(Run_Metrics!$F:$F,D4)</x:f>
        <x:v>18</x:v>
      </x:c>
      <x:c r="G4" t="n">
        <x:f>INDEX(Run_Metrics!$G:$G,D4)</x:f>
        <x:v>0.01</x:v>
      </x:c>
      <x:c r="H4" t="n">
        <x:f>INDEX(Run_Metrics!$I:$I,D4)</x:f>
        <x:v>0.42250000000000004</x:v>
      </x:c>
      <x:c r="I4" t="n">
        <x:f>IF(F4="","",F4-(E4-1))</x:f>
        <x:v>-21</x:v>
      </x:c>
      <x:c r="J4" t="n">
        <x:f>IF(I4&gt;0,1,0)</x:f>
        <x:v>0</x:v>
      </x:c>
      <x:c r="K4" t="str">
        <x:f>IF(OR(J4=0,G4="",G4=0),"",I4/G4)</x:f>
      </x:c>
      <x:c r="L4" t="str">
        <x:f>IF(OR(J4=0,I4=0,G4=""),"",G4/I4)</x:f>
      </x:c>
      <x:c r="M4" t="str">
        <x:f>IF(OR(J4=0,G4="",H4="",G4=0,H4=0),"",I4/(G4*H4))</x:f>
      </x:c>
      <x:c r="N4" t="str">
        <x:f>IF(K4="","",K4/_xlfn.MAXIFS($K:$K,$E:$E,E4))</x:f>
      </x:c>
      <x:c r="O4" t="str">
        <x:f>IF(M4="","",M4/_xlfn.MAXIFS($M:$M,$E:$E,E4))</x:f>
      </x:c>
      <x:c r="P4" t="str">
        <x:f>IF(OR(N4="",O4=""),"",SQRT(N4*O4))</x:f>
      </x:c>
      <x:c r="Q4" t="str">
        <x:f>IF(OR(N4="",O4=""),"",N4^0.7*O4^0.3)</x:f>
      </x:c>
      <x:c r="R4" t="str">
        <x:f>IF(OR(N4="",O4=""),"",N4^0.3*O4^0.7)</x:f>
      </x:c>
    </x:row>
    <x:row r="5">
      <x:c r="A5" t="inlineStr">
        <x:is>
          <x:t xml:space="preserve">openai|gpt-6-luna|non-reasoning|nonreasoning|fallback-na|aa-v4.3.2|snapshot-2026-09-28</x:t>
        </x:is>
      </x:c>
      <x:c r="B5" t="inlineStr">
        <x:is>
          <x:t xml:space="preserve">openai|gpt-6-luna|non-reasoning|nonreasoning|fallback-na</x:t>
        </x:is>
      </x:c>
      <x:c r="C5" t="inlineStr">
        <x:is>
          <x:t xml:space="preserve">AA|v4.3.2</x:t>
        </x:is>
      </x:c>
      <x:c r="D5" t="n">
        <x:v>2</x:v>
      </x:c>
      <x:c r="E5" t="n">
        <x:v>45</x:v>
      </x:c>
      <x:c r="F5" t="n">
        <x:f>INDEX(Run_Metrics!$F:$F,D5)</x:f>
        <x:v>18</x:v>
      </x:c>
      <x:c r="G5" t="n">
        <x:f>INDEX(Run_Metrics!$G:$G,D5)</x:f>
        <x:v>0.01</x:v>
      </x:c>
      <x:c r="H5" t="n">
        <x:f>INDEX(Run_Metrics!$I:$I,D5)</x:f>
        <x:v>0.42250000000000004</x:v>
      </x:c>
      <x:c r="I5" t="n">
        <x:f>IF(F5="","",F5-(E5-1))</x:f>
        <x:v>-26</x:v>
      </x:c>
      <x:c r="J5" t="n">
        <x:f>IF(I5&gt;0,1,0)</x:f>
        <x:v>0</x:v>
      </x:c>
      <x:c r="K5" t="str">
        <x:f>IF(OR(J5=0,G5="",G5=0),"",I5/G5)</x:f>
      </x:c>
      <x:c r="L5" t="str">
        <x:f>IF(OR(J5=0,I5=0,G5=""),"",G5/I5)</x:f>
      </x:c>
      <x:c r="M5" t="str">
        <x:f>IF(OR(J5=0,G5="",H5="",G5=0,H5=0),"",I5/(G5*H5))</x:f>
      </x:c>
      <x:c r="N5" t="str">
        <x:f>IF(K5="","",K5/_xlfn.MAXIFS($K:$K,$E:$E,E5))</x:f>
      </x:c>
      <x:c r="O5" t="str">
        <x:f>IF(M5="","",M5/_xlfn.MAXIFS($M:$M,$E:$E,E5))</x:f>
      </x:c>
      <x:c r="P5" t="str">
        <x:f>IF(OR(N5="",O5=""),"",SQRT(N5*O5))</x:f>
      </x:c>
      <x:c r="Q5" t="str">
        <x:f>IF(OR(N5="",O5=""),"",N5^0.7*O5^0.3)</x:f>
      </x:c>
      <x:c r="R5" t="str">
        <x:f>IF(OR(N5="",O5=""),"",N5^0.3*O5^0.7)</x:f>
      </x:c>
    </x:row>
    <x:row r="6">
      <x:c r="A6" t="inlineStr">
        <x:is>
          <x:t xml:space="preserve">openai|gpt-6-luna|non-reasoning|nonreasoning|fallback-na|aa-v4.3.2|snapshot-2026-09-28</x:t>
        </x:is>
      </x:c>
      <x:c r="B6" t="inlineStr">
        <x:is>
          <x:t xml:space="preserve">openai|gpt-6-luna|non-reasoning|nonreasoning|fallback-na</x:t>
        </x:is>
      </x:c>
      <x:c r="C6" t="inlineStr">
        <x:is>
          <x:t xml:space="preserve">AA|v4.3.2</x:t>
        </x:is>
      </x:c>
      <x:c r="D6" t="n">
        <x:v>2</x:v>
      </x:c>
      <x:c r="E6" t="n">
        <x:v>50</x:v>
      </x:c>
      <x:c r="F6" t="n">
        <x:f>INDEX(Run_Metrics!$F:$F,D6)</x:f>
        <x:v>18</x:v>
      </x:c>
      <x:c r="G6" t="n">
        <x:f>INDEX(Run_Metrics!$G:$G,D6)</x:f>
        <x:v>0.01</x:v>
      </x:c>
      <x:c r="H6" t="n">
        <x:f>INDEX(Run_Metrics!$I:$I,D6)</x:f>
        <x:v>0.42250000000000004</x:v>
      </x:c>
      <x:c r="I6" t="n">
        <x:f>IF(F6="","",F6-(E6-1))</x:f>
        <x:v>-31</x:v>
      </x:c>
      <x:c r="J6" t="n">
        <x:f>IF(I6&gt;0,1,0)</x:f>
        <x:v>0</x:v>
      </x:c>
      <x:c r="K6" t="str">
        <x:f>IF(OR(J6=0,G6="",G6=0),"",I6/G6)</x:f>
      </x:c>
      <x:c r="L6" t="str">
        <x:f>IF(OR(J6=0,I6=0,G6=""),"",G6/I6)</x:f>
      </x:c>
      <x:c r="M6" t="str">
        <x:f>IF(OR(J6=0,G6="",H6="",G6=0,H6=0),"",I6/(G6*H6))</x:f>
      </x:c>
      <x:c r="N6" t="str">
        <x:f>IF(K6="","",K6/_xlfn.MAXIFS($K:$K,$E:$E,E6))</x:f>
      </x:c>
      <x:c r="O6" t="str">
        <x:f>IF(M6="","",M6/_xlfn.MAXIFS($M:$M,$E:$E,E6))</x:f>
      </x:c>
      <x:c r="P6" t="str">
        <x:f>IF(OR(N6="",O6=""),"",SQRT(N6*O6))</x:f>
      </x:c>
      <x:c r="Q6" t="str">
        <x:f>IF(OR(N6="",O6=""),"",N6^0.7*O6^0.3)</x:f>
      </x:c>
      <x:c r="R6" t="str">
        <x:f>IF(OR(N6="",O6=""),"",N6^0.3*O6^0.7)</x:f>
      </x:c>
    </x:row>
    <x:row r="7">
      <x:c r="A7" t="inlineStr">
        <x:is>
          <x:t xml:space="preserve">openai|gpt-6-luna|non-reasoning|nonreasoning|fallback-na|aa-v4.3.2|snapshot-2026-09-28</x:t>
        </x:is>
      </x:c>
      <x:c r="B7" t="inlineStr">
        <x:is>
          <x:t xml:space="preserve">openai|gpt-6-luna|non-reasoning|nonreasoning|fallback-na</x:t>
        </x:is>
      </x:c>
      <x:c r="C7" t="inlineStr">
        <x:is>
          <x:t xml:space="preserve">AA|v4.3.2</x:t>
        </x:is>
      </x:c>
      <x:c r="D7" t="n">
        <x:v>2</x:v>
      </x:c>
      <x:c r="E7" t="n">
        <x:v>52</x:v>
      </x:c>
      <x:c r="F7" t="n">
        <x:f>INDEX(Run_Metrics!$F:$F,D7)</x:f>
        <x:v>18</x:v>
      </x:c>
      <x:c r="G7" t="n">
        <x:f>INDEX(Run_Metrics!$G:$G,D7)</x:f>
        <x:v>0.01</x:v>
      </x:c>
      <x:c r="H7" t="n">
        <x:f>INDEX(Run_Metrics!$I:$I,D7)</x:f>
        <x:v>0.42250000000000004</x:v>
      </x:c>
      <x:c r="I7" t="n">
        <x:f>IF(F7="","",F7-(E7-1))</x:f>
        <x:v>-33</x:v>
      </x:c>
      <x:c r="J7" t="n">
        <x:f>IF(I7&gt;0,1,0)</x:f>
        <x:v>0</x:v>
      </x:c>
      <x:c r="K7" t="str">
        <x:f>IF(OR(J7=0,G7="",G7=0),"",I7/G7)</x:f>
      </x:c>
      <x:c r="L7" t="str">
        <x:f>IF(OR(J7=0,I7=0,G7=""),"",G7/I7)</x:f>
      </x:c>
      <x:c r="M7" t="str">
        <x:f>IF(OR(J7=0,G7="",H7="",G7=0,H7=0),"",I7/(G7*H7))</x:f>
      </x:c>
      <x:c r="N7" t="str">
        <x:f>IF(K7="","",K7/_xlfn.MAXIFS($K:$K,$E:$E,E7))</x:f>
      </x:c>
      <x:c r="O7" t="str">
        <x:f>IF(M7="","",M7/_xlfn.MAXIFS($M:$M,$E:$E,E7))</x:f>
      </x:c>
      <x:c r="P7" t="str">
        <x:f>IF(OR(N7="",O7=""),"",SQRT(N7*O7))</x:f>
      </x:c>
      <x:c r="Q7" t="str">
        <x:f>IF(OR(N7="",O7=""),"",N7^0.7*O7^0.3)</x:f>
      </x:c>
      <x:c r="R7" t="str">
        <x:f>IF(OR(N7="",O7=""),"",N7^0.3*O7^0.7)</x:f>
      </x:c>
    </x:row>
    <x:row r="8">
      <x:c r="A8" t="inlineStr">
        <x:is>
          <x:t xml:space="preserve">openai|gpt-6-luna|non-reasoning|nonreasoning|fallback-na|aa-v4.3.2|snapshot-2026-09-28</x:t>
        </x:is>
      </x:c>
      <x:c r="B8" t="inlineStr">
        <x:is>
          <x:t xml:space="preserve">openai|gpt-6-luna|non-reasoning|nonreasoning|fallback-na</x:t>
        </x:is>
      </x:c>
      <x:c r="C8" t="inlineStr">
        <x:is>
          <x:t xml:space="preserve">AA|v4.3.2</x:t>
        </x:is>
      </x:c>
      <x:c r="D8" t="n">
        <x:v>2</x:v>
      </x:c>
      <x:c r="E8" t="n">
        <x:v>65</x:v>
      </x:c>
      <x:c r="F8" t="n">
        <x:f>INDEX(Run_Metrics!$F:$F,D8)</x:f>
        <x:v>18</x:v>
      </x:c>
      <x:c r="G8" t="n">
        <x:f>INDEX(Run_Metrics!$G:$G,D8)</x:f>
        <x:v>0.01</x:v>
      </x:c>
      <x:c r="H8" t="n">
        <x:f>INDEX(Run_Metrics!$I:$I,D8)</x:f>
        <x:v>0.42250000000000004</x:v>
      </x:c>
      <x:c r="I8" t="n">
        <x:f>IF(F8="","",F8-(E8-1))</x:f>
        <x:v>-46</x:v>
      </x:c>
      <x:c r="J8" t="n">
        <x:f>IF(I8&gt;0,1,0)</x:f>
        <x:v>0</x:v>
      </x:c>
      <x:c r="K8" t="str">
        <x:f>IF(OR(J8=0,G8="",G8=0),"",I8/G8)</x:f>
      </x:c>
      <x:c r="L8" t="str">
        <x:f>IF(OR(J8=0,I8=0,G8=""),"",G8/I8)</x:f>
      </x:c>
      <x:c r="M8" t="str">
        <x:f>IF(OR(J8=0,G8="",H8="",G8=0,H8=0),"",I8/(G8*H8))</x:f>
      </x:c>
      <x:c r="N8" t="str">
        <x:f>IF(K8="","",K8/_xlfn.MAXIFS($K:$K,$E:$E,E8))</x:f>
      </x:c>
      <x:c r="O8" t="str">
        <x:f>IF(M8="","",M8/_xlfn.MAXIFS($M:$M,$E:$E,E8))</x:f>
      </x:c>
      <x:c r="P8" t="str">
        <x:f>IF(OR(N8="",O8=""),"",SQRT(N8*O8))</x:f>
      </x:c>
      <x:c r="Q8" t="str">
        <x:f>IF(OR(N8="",O8=""),"",N8^0.7*O8^0.3)</x:f>
      </x:c>
      <x:c r="R8" t="str">
        <x:f>IF(OR(N8="",O8=""),"",N8^0.3*O8^0.7)</x:f>
      </x:c>
    </x:row>
    <x:row r="9">
      <x:c r="A9" t="inlineStr">
        <x:is>
          <x:t xml:space="preserve">openai|gpt-6-luna|non-reasoning|nonreasoning|fallback-na|aa-v4.3.2|snapshot-2026-09-28</x:t>
        </x:is>
      </x:c>
      <x:c r="B9" t="inlineStr">
        <x:is>
          <x:t xml:space="preserve">openai|gpt-6-luna|non-reasoning|nonreasoning|fallback-na</x:t>
        </x:is>
      </x:c>
      <x:c r="C9" t="inlineStr">
        <x:is>
          <x:t xml:space="preserve">AA|v4.3.2</x:t>
        </x:is>
      </x:c>
      <x:c r="D9" t="n">
        <x:v>2</x:v>
      </x:c>
      <x:c r="E9" t="n">
        <x:v>80</x:v>
      </x:c>
      <x:c r="F9" t="n">
        <x:f>INDEX(Run_Metrics!$F:$F,D9)</x:f>
        <x:v>18</x:v>
      </x:c>
      <x:c r="G9" t="n">
        <x:f>INDEX(Run_Metrics!$G:$G,D9)</x:f>
        <x:v>0.01</x:v>
      </x:c>
      <x:c r="H9" t="n">
        <x:f>INDEX(Run_Metrics!$I:$I,D9)</x:f>
        <x:v>0.42250000000000004</x:v>
      </x:c>
      <x:c r="I9" t="n">
        <x:f>IF(F9="","",F9-(E9-1))</x:f>
        <x:v>-61</x:v>
      </x:c>
      <x:c r="J9" t="n">
        <x:f>IF(I9&gt;0,1,0)</x:f>
        <x:v>0</x:v>
      </x:c>
      <x:c r="K9" t="str">
        <x:f>IF(OR(J9=0,G9="",G9=0),"",I9/G9)</x:f>
      </x:c>
      <x:c r="L9" t="str">
        <x:f>IF(OR(J9=0,I9=0,G9=""),"",G9/I9)</x:f>
      </x:c>
      <x:c r="M9" t="str">
        <x:f>IF(OR(J9=0,G9="",H9="",G9=0,H9=0),"",I9/(G9*H9))</x:f>
      </x:c>
      <x:c r="N9" t="str">
        <x:f>IF(K9="","",K9/_xlfn.MAXIFS($K:$K,$E:$E,E9))</x:f>
      </x:c>
      <x:c r="O9" t="str">
        <x:f>IF(M9="","",M9/_xlfn.MAXIFS($M:$M,$E:$E,E9))</x:f>
      </x:c>
      <x:c r="P9" t="str">
        <x:f>IF(OR(N9="",O9=""),"",SQRT(N9*O9))</x:f>
      </x:c>
      <x:c r="Q9" t="str">
        <x:f>IF(OR(N9="",O9=""),"",N9^0.7*O9^0.3)</x:f>
      </x:c>
      <x:c r="R9" t="str">
        <x:f>IF(OR(N9="",O9=""),"",N9^0.3*O9^0.7)</x:f>
      </x:c>
    </x:row>
    <x:row r="10">
      <x:c r="A10" t="inlineStr">
        <x:is>
          <x:t xml:space="preserve">openai|gpt-6-luna|low|reasoning|fallback-na|aa-v4.3.2|snapshot-2026-09-28</x:t>
        </x:is>
      </x:c>
      <x:c r="B10" t="inlineStr">
        <x:is>
          <x:t xml:space="preserve">openai|gpt-6-luna|low|reasoning|fallback-na</x:t>
        </x:is>
      </x:c>
      <x:c r="C10" t="inlineStr">
        <x:is>
          <x:t xml:space="preserve">AA|v4.3.2</x:t>
        </x:is>
      </x:c>
      <x:c r="D10" t="n">
        <x:v>3</x:v>
      </x:c>
      <x:c r="E10" t="n">
        <x:v>20</x:v>
      </x:c>
      <x:c r="F10" t="n">
        <x:f>INDEX(Run_Metrics!$F:$F,D10)</x:f>
        <x:v>21</x:v>
      </x:c>
      <x:c r="G10" t="n">
        <x:f>INDEX(Run_Metrics!$G:$G,D10)</x:f>
        <x:v>0.0045</x:v>
      </x:c>
      <x:c r="H10" t="n">
        <x:f>INDEX(Run_Metrics!$I:$I,D10)</x:f>
        <x:v>0.23550000000000001</x:v>
      </x:c>
      <x:c r="I10" t="n">
        <x:f>IF(F10="","",F10-(E10-1))</x:f>
        <x:v>2</x:v>
      </x:c>
      <x:c r="J10" t="n">
        <x:f>IF(I10&gt;0,1,0)</x:f>
        <x:v>1</x:v>
      </x:c>
      <x:c r="K10" t="n">
        <x:f>IF(OR(J10=0,G10="",G10=0),"",I10/G10)</x:f>
        <x:v>444.44444444444446</x:v>
      </x:c>
      <x:c r="L10" t="n">
        <x:f>IF(OR(J10=0,I10=0,G10=""),"",G10/I10)</x:f>
        <x:v>0.00225</x:v>
      </x:c>
      <x:c r="M10" t="n">
        <x:f>IF(OR(J10=0,G10="",H10="",G10=0,H10=0),"",I10/(G10*H10))</x:f>
        <x:v>1887.2375560273651</x:v>
      </x:c>
      <x:c r="N10" t="n">
        <x:f>IF(K10="","",K10/_xlfn.MAXIFS($K:$K,$E:$E,E10))</x:f>
        <x:v>0.6666666666666666</x:v>
      </x:c>
      <x:c r="O10" t="n">
        <x:f>IF(M10="","",M10/_xlfn.MAXIFS($M:$M,$E:$E,E10))</x:f>
        <x:v>1</x:v>
      </x:c>
      <x:c r="P10" t="n">
        <x:f>IF(OR(N10="",O10=""),"",SQRT(N10*O10))</x:f>
        <x:v>0.816496580927726</x:v>
      </x:c>
      <x:c r="Q10" t="n">
        <x:f>IF(OR(N10="",O10=""),"",N10^0.7*O10^0.3)</x:f>
        <x:v>0.752897956971237</x:v>
      </x:c>
      <x:c r="R10" t="n">
        <x:f>IF(OR(N10="",O10=""),"",N10^0.3*O10^0.7)</x:f>
        <x:v>0.8854674932955561</x:v>
      </x:c>
    </x:row>
    <x:row r="11">
      <x:c r="A11" t="inlineStr">
        <x:is>
          <x:t xml:space="preserve">openai|gpt-6-luna|low|reasoning|fallback-na|aa-v4.3.2|snapshot-2026-09-28</x:t>
        </x:is>
      </x:c>
      <x:c r="B11" t="inlineStr">
        <x:is>
          <x:t xml:space="preserve">openai|gpt-6-luna|low|reasoning|fallback-na</x:t>
        </x:is>
      </x:c>
      <x:c r="C11" t="inlineStr">
        <x:is>
          <x:t xml:space="preserve">AA|v4.3.2</x:t>
        </x:is>
      </x:c>
      <x:c r="D11" t="n">
        <x:v>3</x:v>
      </x:c>
      <x:c r="E11" t="n">
        <x:v>30</x:v>
      </x:c>
      <x:c r="F11" t="n">
        <x:f>INDEX(Run_Metrics!$F:$F,D11)</x:f>
        <x:v>21</x:v>
      </x:c>
      <x:c r="G11" t="n">
        <x:f>INDEX(Run_Metrics!$G:$G,D11)</x:f>
        <x:v>0.0045</x:v>
      </x:c>
      <x:c r="H11" t="n">
        <x:f>INDEX(Run_Metrics!$I:$I,D11)</x:f>
        <x:v>0.23550000000000001</x:v>
      </x:c>
      <x:c r="I11" t="n">
        <x:f>IF(F11="","",F11-(E11-1))</x:f>
        <x:v>-8</x:v>
      </x:c>
      <x:c r="J11" t="n">
        <x:f>IF(I11&gt;0,1,0)</x:f>
        <x:v>0</x:v>
      </x:c>
      <x:c r="K11" t="str">
        <x:f>IF(OR(J11=0,G11="",G11=0),"",I11/G11)</x:f>
      </x:c>
      <x:c r="L11" t="str">
        <x:f>IF(OR(J11=0,I11=0,G11=""),"",G11/I11)</x:f>
      </x:c>
      <x:c r="M11" t="str">
        <x:f>IF(OR(J11=0,G11="",H11="",G11=0,H11=0),"",I11/(G11*H11))</x:f>
      </x:c>
      <x:c r="N11" t="str">
        <x:f>IF(K11="","",K11/_xlfn.MAXIFS($K:$K,$E:$E,E11))</x:f>
      </x:c>
      <x:c r="O11" t="str">
        <x:f>IF(M11="","",M11/_xlfn.MAXIFS($M:$M,$E:$E,E11))</x:f>
      </x:c>
      <x:c r="P11" t="str">
        <x:f>IF(OR(N11="",O11=""),"",SQRT(N11*O11))</x:f>
      </x:c>
      <x:c r="Q11" t="str">
        <x:f>IF(OR(N11="",O11=""),"",N11^0.7*O11^0.3)</x:f>
      </x:c>
      <x:c r="R11" t="str">
        <x:f>IF(OR(N11="",O11=""),"",N11^0.3*O11^0.7)</x:f>
      </x:c>
    </x:row>
    <x:row r="12">
      <x:c r="A12" t="inlineStr">
        <x:is>
          <x:t xml:space="preserve">openai|gpt-6-luna|low|reasoning|fallback-na|aa-v4.3.2|snapshot-2026-09-28</x:t>
        </x:is>
      </x:c>
      <x:c r="B12" t="inlineStr">
        <x:is>
          <x:t xml:space="preserve">openai|gpt-6-luna|low|reasoning|fallback-na</x:t>
        </x:is>
      </x:c>
      <x:c r="C12" t="inlineStr">
        <x:is>
          <x:t xml:space="preserve">AA|v4.3.2</x:t>
        </x:is>
      </x:c>
      <x:c r="D12" t="n">
        <x:v>3</x:v>
      </x:c>
      <x:c r="E12" t="n">
        <x:v>40</x:v>
      </x:c>
      <x:c r="F12" t="n">
        <x:f>INDEX(Run_Metrics!$F:$F,D12)</x:f>
        <x:v>21</x:v>
      </x:c>
      <x:c r="G12" t="n">
        <x:f>INDEX(Run_Metrics!$G:$G,D12)</x:f>
        <x:v>0.0045</x:v>
      </x:c>
      <x:c r="H12" t="n">
        <x:f>INDEX(Run_Metrics!$I:$I,D12)</x:f>
        <x:v>0.23550000000000001</x:v>
      </x:c>
      <x:c r="I12" t="n">
        <x:f>IF(F12="","",F12-(E12-1))</x:f>
        <x:v>-18</x:v>
      </x:c>
      <x:c r="J12" t="n">
        <x:f>IF(I12&gt;0,1,0)</x:f>
        <x:v>0</x:v>
      </x:c>
      <x:c r="K12" t="str">
        <x:f>IF(OR(J12=0,G12="",G12=0),"",I12/G12)</x:f>
      </x:c>
      <x:c r="L12" t="str">
        <x:f>IF(OR(J12=0,I12=0,G12=""),"",G12/I12)</x:f>
      </x:c>
      <x:c r="M12" t="str">
        <x:f>IF(OR(J12=0,G12="",H12="",G12=0,H12=0),"",I12/(G12*H12))</x:f>
      </x:c>
      <x:c r="N12" t="str">
        <x:f>IF(K12="","",K12/_xlfn.MAXIFS($K:$K,$E:$E,E12))</x:f>
      </x:c>
      <x:c r="O12" t="str">
        <x:f>IF(M12="","",M12/_xlfn.MAXIFS($M:$M,$E:$E,E12))</x:f>
      </x:c>
      <x:c r="P12" t="str">
        <x:f>IF(OR(N12="",O12=""),"",SQRT(N12*O12))</x:f>
      </x:c>
      <x:c r="Q12" t="str">
        <x:f>IF(OR(N12="",O12=""),"",N12^0.7*O12^0.3)</x:f>
      </x:c>
      <x:c r="R12" t="str">
        <x:f>IF(OR(N12="",O12=""),"",N12^0.3*O12^0.7)</x:f>
      </x:c>
    </x:row>
    <x:row r="13">
      <x:c r="A13" t="inlineStr">
        <x:is>
          <x:t xml:space="preserve">openai|gpt-6-luna|low|reasoning|fallback-na|aa-v4.3.2|snapshot-2026-09-28</x:t>
        </x:is>
      </x:c>
      <x:c r="B13" t="inlineStr">
        <x:is>
          <x:t xml:space="preserve">openai|gpt-6-luna|low|reasoning|fallback-na</x:t>
        </x:is>
      </x:c>
      <x:c r="C13" t="inlineStr">
        <x:is>
          <x:t xml:space="preserve">AA|v4.3.2</x:t>
        </x:is>
      </x:c>
      <x:c r="D13" t="n">
        <x:v>3</x:v>
      </x:c>
      <x:c r="E13" t="n">
        <x:v>45</x:v>
      </x:c>
      <x:c r="F13" t="n">
        <x:f>INDEX(Run_Metrics!$F:$F,D13)</x:f>
        <x:v>21</x:v>
      </x:c>
      <x:c r="G13" t="n">
        <x:f>INDEX(Run_Metrics!$G:$G,D13)</x:f>
        <x:v>0.0045</x:v>
      </x:c>
      <x:c r="H13" t="n">
        <x:f>INDEX(Run_Metrics!$I:$I,D13)</x:f>
        <x:v>0.23550000000000001</x:v>
      </x:c>
      <x:c r="I13" t="n">
        <x:f>IF(F13="","",F13-(E13-1))</x:f>
        <x:v>-23</x:v>
      </x:c>
      <x:c r="J13" t="n">
        <x:f>IF(I13&gt;0,1,0)</x:f>
        <x:v>0</x:v>
      </x:c>
      <x:c r="K13" t="str">
        <x:f>IF(OR(J13=0,G13="",G13=0),"",I13/G13)</x:f>
      </x:c>
      <x:c r="L13" t="str">
        <x:f>IF(OR(J13=0,I13=0,G13=""),"",G13/I13)</x:f>
      </x:c>
      <x:c r="M13" t="str">
        <x:f>IF(OR(J13=0,G13="",H13="",G13=0,H13=0),"",I13/(G13*H13))</x:f>
      </x:c>
      <x:c r="N13" t="str">
        <x:f>IF(K13="","",K13/_xlfn.MAXIFS($K:$K,$E:$E,E13))</x:f>
      </x:c>
      <x:c r="O13" t="str">
        <x:f>IF(M13="","",M13/_xlfn.MAXIFS($M:$M,$E:$E,E13))</x:f>
      </x:c>
      <x:c r="P13" t="str">
        <x:f>IF(OR(N13="",O13=""),"",SQRT(N13*O13))</x:f>
      </x:c>
      <x:c r="Q13" t="str">
        <x:f>IF(OR(N13="",O13=""),"",N13^0.7*O13^0.3)</x:f>
      </x:c>
      <x:c r="R13" t="str">
        <x:f>IF(OR(N13="",O13=""),"",N13^0.3*O13^0.7)</x:f>
      </x:c>
    </x:row>
    <x:row r="14">
      <x:c r="A14" t="inlineStr">
        <x:is>
          <x:t xml:space="preserve">openai|gpt-6-luna|low|reasoning|fallback-na|aa-v4.3.2|snapshot-2026-09-28</x:t>
        </x:is>
      </x:c>
      <x:c r="B14" t="inlineStr">
        <x:is>
          <x:t xml:space="preserve">openai|gpt-6-luna|low|reasoning|fallback-na</x:t>
        </x:is>
      </x:c>
      <x:c r="C14" t="inlineStr">
        <x:is>
          <x:t xml:space="preserve">AA|v4.3.2</x:t>
        </x:is>
      </x:c>
      <x:c r="D14" t="n">
        <x:v>3</x:v>
      </x:c>
      <x:c r="E14" t="n">
        <x:v>50</x:v>
      </x:c>
      <x:c r="F14" t="n">
        <x:f>INDEX(Run_Metrics!$F:$F,D14)</x:f>
        <x:v>21</x:v>
      </x:c>
      <x:c r="G14" t="n">
        <x:f>INDEX(Run_Metrics!$G:$G,D14)</x:f>
        <x:v>0.0045</x:v>
      </x:c>
      <x:c r="H14" t="n">
        <x:f>INDEX(Run_Metrics!$I:$I,D14)</x:f>
        <x:v>0.23550000000000001</x:v>
      </x:c>
      <x:c r="I14" t="n">
        <x:f>IF(F14="","",F14-(E14-1))</x:f>
        <x:v>-28</x:v>
      </x:c>
      <x:c r="J14" t="n">
        <x:f>IF(I14&gt;0,1,0)</x:f>
        <x:v>0</x:v>
      </x:c>
      <x:c r="K14" t="str">
        <x:f>IF(OR(J14=0,G14="",G14=0),"",I14/G14)</x:f>
      </x:c>
      <x:c r="L14" t="str">
        <x:f>IF(OR(J14=0,I14=0,G14=""),"",G14/I14)</x:f>
      </x:c>
      <x:c r="M14" t="str">
        <x:f>IF(OR(J14=0,G14="",H14="",G14=0,H14=0),"",I14/(G14*H14))</x:f>
      </x:c>
      <x:c r="N14" t="str">
        <x:f>IF(K14="","",K14/_xlfn.MAXIFS($K:$K,$E:$E,E14))</x:f>
      </x:c>
      <x:c r="O14" t="str">
        <x:f>IF(M14="","",M14/_xlfn.MAXIFS($M:$M,$E:$E,E14))</x:f>
      </x:c>
      <x:c r="P14" t="str">
        <x:f>IF(OR(N14="",O14=""),"",SQRT(N14*O14))</x:f>
      </x:c>
      <x:c r="Q14" t="str">
        <x:f>IF(OR(N14="",O14=""),"",N14^0.7*O14^0.3)</x:f>
      </x:c>
      <x:c r="R14" t="str">
        <x:f>IF(OR(N14="",O14=""),"",N14^0.3*O14^0.7)</x:f>
      </x:c>
    </x:row>
    <x:row r="15">
      <x:c r="A15" t="inlineStr">
        <x:is>
          <x:t xml:space="preserve">openai|gpt-6-luna|low|reasoning|fallback-na|aa-v4.3.2|snapshot-2026-09-28</x:t>
        </x:is>
      </x:c>
      <x:c r="B15" t="inlineStr">
        <x:is>
          <x:t xml:space="preserve">openai|gpt-6-luna|low|reasoning|fallback-na</x:t>
        </x:is>
      </x:c>
      <x:c r="C15" t="inlineStr">
        <x:is>
          <x:t xml:space="preserve">AA|v4.3.2</x:t>
        </x:is>
      </x:c>
      <x:c r="D15" t="n">
        <x:v>3</x:v>
      </x:c>
      <x:c r="E15" t="n">
        <x:v>52</x:v>
      </x:c>
      <x:c r="F15" t="n">
        <x:f>INDEX(Run_Metrics!$F:$F,D15)</x:f>
        <x:v>21</x:v>
      </x:c>
      <x:c r="G15" t="n">
        <x:f>INDEX(Run_Metrics!$G:$G,D15)</x:f>
        <x:v>0.0045</x:v>
      </x:c>
      <x:c r="H15" t="n">
        <x:f>INDEX(Run_Metrics!$I:$I,D15)</x:f>
        <x:v>0.23550000000000001</x:v>
      </x:c>
      <x:c r="I15" t="n">
        <x:f>IF(F15="","",F15-(E15-1))</x:f>
        <x:v>-30</x:v>
      </x:c>
      <x:c r="J15" t="n">
        <x:f>IF(I15&gt;0,1,0)</x:f>
        <x:v>0</x:v>
      </x:c>
      <x:c r="K15" t="str">
        <x:f>IF(OR(J15=0,G15="",G15=0),"",I15/G15)</x:f>
      </x:c>
      <x:c r="L15" t="str">
        <x:f>IF(OR(J15=0,I15=0,G15=""),"",G15/I15)</x:f>
      </x:c>
      <x:c r="M15" t="str">
        <x:f>IF(OR(J15=0,G15="",H15="",G15=0,H15=0),"",I15/(G15*H15))</x:f>
      </x:c>
      <x:c r="N15" t="str">
        <x:f>IF(K15="","",K15/_xlfn.MAXIFS($K:$K,$E:$E,E15))</x:f>
      </x:c>
      <x:c r="O15" t="str">
        <x:f>IF(M15="","",M15/_xlfn.MAXIFS($M:$M,$E:$E,E15))</x:f>
      </x:c>
      <x:c r="P15" t="str">
        <x:f>IF(OR(N15="",O15=""),"",SQRT(N15*O15))</x:f>
      </x:c>
      <x:c r="Q15" t="str">
        <x:f>IF(OR(N15="",O15=""),"",N15^0.7*O15^0.3)</x:f>
      </x:c>
      <x:c r="R15" t="str">
        <x:f>IF(OR(N15="",O15=""),"",N15^0.3*O15^0.7)</x:f>
      </x:c>
    </x:row>
    <x:row r="16">
      <x:c r="A16" t="inlineStr">
        <x:is>
          <x:t xml:space="preserve">openai|gpt-6-luna|low|reasoning|fallback-na|aa-v4.3.2|snapshot-2026-09-28</x:t>
        </x:is>
      </x:c>
      <x:c r="B16" t="inlineStr">
        <x:is>
          <x:t xml:space="preserve">openai|gpt-6-luna|low|reasoning|fallback-na</x:t>
        </x:is>
      </x:c>
      <x:c r="C16" t="inlineStr">
        <x:is>
          <x:t xml:space="preserve">AA|v4.3.2</x:t>
        </x:is>
      </x:c>
      <x:c r="D16" t="n">
        <x:v>3</x:v>
      </x:c>
      <x:c r="E16" t="n">
        <x:v>65</x:v>
      </x:c>
      <x:c r="F16" t="n">
        <x:f>INDEX(Run_Metrics!$F:$F,D16)</x:f>
        <x:v>21</x:v>
      </x:c>
      <x:c r="G16" t="n">
        <x:f>INDEX(Run_Metrics!$G:$G,D16)</x:f>
        <x:v>0.0045</x:v>
      </x:c>
      <x:c r="H16" t="n">
        <x:f>INDEX(Run_Metrics!$I:$I,D16)</x:f>
        <x:v>0.23550000000000001</x:v>
      </x:c>
      <x:c r="I16" t="n">
        <x:f>IF(F16="","",F16-(E16-1))</x:f>
        <x:v>-43</x:v>
      </x:c>
      <x:c r="J16" t="n">
        <x:f>IF(I16&gt;0,1,0)</x:f>
        <x:v>0</x:v>
      </x:c>
      <x:c r="K16" t="str">
        <x:f>IF(OR(J16=0,G16="",G16=0),"",I16/G16)</x:f>
      </x:c>
      <x:c r="L16" t="str">
        <x:f>IF(OR(J16=0,I16=0,G16=""),"",G16/I16)</x:f>
      </x:c>
      <x:c r="M16" t="str">
        <x:f>IF(OR(J16=0,G16="",H16="",G16=0,H16=0),"",I16/(G16*H16))</x:f>
      </x:c>
      <x:c r="N16" t="str">
        <x:f>IF(K16="","",K16/_xlfn.MAXIFS($K:$K,$E:$E,E16))</x:f>
      </x:c>
      <x:c r="O16" t="str">
        <x:f>IF(M16="","",M16/_xlfn.MAXIFS($M:$M,$E:$E,E16))</x:f>
      </x:c>
      <x:c r="P16" t="str">
        <x:f>IF(OR(N16="",O16=""),"",SQRT(N16*O16))</x:f>
      </x:c>
      <x:c r="Q16" t="str">
        <x:f>IF(OR(N16="",O16=""),"",N16^0.7*O16^0.3)</x:f>
      </x:c>
      <x:c r="R16" t="str">
        <x:f>IF(OR(N16="",O16=""),"",N16^0.3*O16^0.7)</x:f>
      </x:c>
    </x:row>
    <x:row r="17">
      <x:c r="A17" t="inlineStr">
        <x:is>
          <x:t xml:space="preserve">openai|gpt-6-luna|low|reasoning|fallback-na|aa-v4.3.2|snapshot-2026-09-28</x:t>
        </x:is>
      </x:c>
      <x:c r="B17" t="inlineStr">
        <x:is>
          <x:t xml:space="preserve">openai|gpt-6-luna|low|reasoning|fallback-na</x:t>
        </x:is>
      </x:c>
      <x:c r="C17" t="inlineStr">
        <x:is>
          <x:t xml:space="preserve">AA|v4.3.2</x:t>
        </x:is>
      </x:c>
      <x:c r="D17" t="n">
        <x:v>3</x:v>
      </x:c>
      <x:c r="E17" t="n">
        <x:v>80</x:v>
      </x:c>
      <x:c r="F17" t="n">
        <x:f>INDEX(Run_Metrics!$F:$F,D17)</x:f>
        <x:v>21</x:v>
      </x:c>
      <x:c r="G17" t="n">
        <x:f>INDEX(Run_Metrics!$G:$G,D17)</x:f>
        <x:v>0.0045</x:v>
      </x:c>
      <x:c r="H17" t="n">
        <x:f>INDEX(Run_Metrics!$I:$I,D17)</x:f>
        <x:v>0.23550000000000001</x:v>
      </x:c>
      <x:c r="I17" t="n">
        <x:f>IF(F17="","",F17-(E17-1))</x:f>
        <x:v>-58</x:v>
      </x:c>
      <x:c r="J17" t="n">
        <x:f>IF(I17&gt;0,1,0)</x:f>
        <x:v>0</x:v>
      </x:c>
      <x:c r="K17" t="str">
        <x:f>IF(OR(J17=0,G17="",G17=0),"",I17/G17)</x:f>
      </x:c>
      <x:c r="L17" t="str">
        <x:f>IF(OR(J17=0,I17=0,G17=""),"",G17/I17)</x:f>
      </x:c>
      <x:c r="M17" t="str">
        <x:f>IF(OR(J17=0,G17="",H17="",G17=0,H17=0),"",I17/(G17*H17))</x:f>
      </x:c>
      <x:c r="N17" t="str">
        <x:f>IF(K17="","",K17/_xlfn.MAXIFS($K:$K,$E:$E,E17))</x:f>
      </x:c>
      <x:c r="O17" t="str">
        <x:f>IF(M17="","",M17/_xlfn.MAXIFS($M:$M,$E:$E,E17))</x:f>
      </x:c>
      <x:c r="P17" t="str">
        <x:f>IF(OR(N17="",O17=""),"",SQRT(N17*O17))</x:f>
      </x:c>
      <x:c r="Q17" t="str">
        <x:f>IF(OR(N17="",O17=""),"",N17^0.7*O17^0.3)</x:f>
      </x:c>
      <x:c r="R17" t="str">
        <x:f>IF(OR(N17="",O17=""),"",N17^0.3*O17^0.7)</x:f>
      </x:c>
    </x:row>
    <x:row r="18">
      <x:c r="A18" t="inlineStr">
        <x:is>
          <x:t xml:space="preserve">openai|gpt-6-luna|medium|reasoning|fallback-na|aa-v4.3.2|snapshot-2026-09-28</x:t>
        </x:is>
      </x:c>
      <x:c r="B18" t="inlineStr">
        <x:is>
          <x:t xml:space="preserve">openai|gpt-6-luna|medium|reasoning|fallback-na</x:t>
        </x:is>
      </x:c>
      <x:c r="C18" t="inlineStr">
        <x:is>
          <x:t xml:space="preserve">AA|v4.3.2</x:t>
        </x:is>
      </x:c>
      <x:c r="D18" t="n">
        <x:v>4</x:v>
      </x:c>
      <x:c r="E18" t="n">
        <x:v>20</x:v>
      </x:c>
      <x:c r="F18" t="n">
        <x:f>INDEX(Run_Metrics!$F:$F,D18)</x:f>
        <x:v>29</x:v>
      </x:c>
      <x:c r="G18" t="n">
        <x:f>INDEX(Run_Metrics!$G:$G,D18)</x:f>
        <x:v>0.02</x:v>
      </x:c>
      <x:c r="H18" t="str">
        <x:f>INDEX(Run_Metrics!$I:$I,D18)</x:f>
      </x:c>
      <x:c r="I18" t="n">
        <x:f>IF(F18="","",F18-(E18-1))</x:f>
        <x:v>10</x:v>
      </x:c>
      <x:c r="J18" t="n">
        <x:f>IF(I18&gt;0,1,0)</x:f>
        <x:v>1</x:v>
      </x:c>
      <x:c r="K18" t="n">
        <x:f>IF(OR(J18=0,G18="",G18=0),"",I18/G18)</x:f>
        <x:v>500</x:v>
      </x:c>
      <x:c r="L18" t="n">
        <x:f>IF(OR(J18=0,I18=0,G18=""),"",G18/I18)</x:f>
        <x:v>0.002</x:v>
      </x:c>
      <x:c r="M18" t="str">
        <x:f>IF(OR(J18=0,G18="",H18="",G18=0,H18=0),"",I18/(G18*H18))</x:f>
      </x:c>
      <x:c r="N18" t="n">
        <x:f>IF(K18="","",K18/_xlfn.MAXIFS($K:$K,$E:$E,E18))</x:f>
        <x:v>0.7499999999999999</x:v>
      </x:c>
      <x:c r="O18" t="str">
        <x:f>IF(M18="","",M18/_xlfn.MAXIFS($M:$M,$E:$E,E18))</x:f>
      </x:c>
      <x:c r="P18" t="str">
        <x:f>IF(OR(N18="",O18=""),"",SQRT(N18*O18))</x:f>
      </x:c>
      <x:c r="Q18" t="str">
        <x:f>IF(OR(N18="",O18=""),"",N18^0.7*O18^0.3)</x:f>
      </x:c>
      <x:c r="R18" t="str">
        <x:f>IF(OR(N18="",O18=""),"",N18^0.3*O18^0.7)</x:f>
      </x:c>
    </x:row>
    <x:row r="19">
      <x:c r="A19" t="inlineStr">
        <x:is>
          <x:t xml:space="preserve">openai|gpt-6-luna|medium|reasoning|fallback-na|aa-v4.3.2|snapshot-2026-09-28</x:t>
        </x:is>
      </x:c>
      <x:c r="B19" t="inlineStr">
        <x:is>
          <x:t xml:space="preserve">openai|gpt-6-luna|medium|reasoning|fallback-na</x:t>
        </x:is>
      </x:c>
      <x:c r="C19" t="inlineStr">
        <x:is>
          <x:t xml:space="preserve">AA|v4.3.2</x:t>
        </x:is>
      </x:c>
      <x:c r="D19" t="n">
        <x:v>4</x:v>
      </x:c>
      <x:c r="E19" t="n">
        <x:v>30</x:v>
      </x:c>
      <x:c r="F19" t="n">
        <x:f>INDEX(Run_Metrics!$F:$F,D19)</x:f>
        <x:v>29</x:v>
      </x:c>
      <x:c r="G19" t="n">
        <x:f>INDEX(Run_Metrics!$G:$G,D19)</x:f>
        <x:v>0.02</x:v>
      </x:c>
      <x:c r="H19" t="str">
        <x:f>INDEX(Run_Metrics!$I:$I,D19)</x:f>
      </x:c>
      <x:c r="I19" t="n">
        <x:f>IF(F19="","",F19-(E19-1))</x:f>
        <x:v>0</x:v>
      </x:c>
      <x:c r="J19" t="n">
        <x:f>IF(I19&gt;0,1,0)</x:f>
        <x:v>0</x:v>
      </x:c>
      <x:c r="K19" t="str">
        <x:f>IF(OR(J19=0,G19="",G19=0),"",I19/G19)</x:f>
      </x:c>
      <x:c r="L19" t="str">
        <x:f>IF(OR(J19=0,I19=0,G19=""),"",G19/I19)</x:f>
      </x:c>
      <x:c r="M19" t="str">
        <x:f>IF(OR(J19=0,G19="",H19="",G19=0,H19=0),"",I19/(G19*H19))</x:f>
      </x:c>
      <x:c r="N19" t="str">
        <x:f>IF(K19="","",K19/_xlfn.MAXIFS($K:$K,$E:$E,E19))</x:f>
      </x:c>
      <x:c r="O19" t="str">
        <x:f>IF(M19="","",M19/_xlfn.MAXIFS($M:$M,$E:$E,E19))</x:f>
      </x:c>
      <x:c r="P19" t="str">
        <x:f>IF(OR(N19="",O19=""),"",SQRT(N19*O19))</x:f>
      </x:c>
      <x:c r="Q19" t="str">
        <x:f>IF(OR(N19="",O19=""),"",N19^0.7*O19^0.3)</x:f>
      </x:c>
      <x:c r="R19" t="str">
        <x:f>IF(OR(N19="",O19=""),"",N19^0.3*O19^0.7)</x:f>
      </x:c>
    </x:row>
    <x:row r="20">
      <x:c r="A20" t="inlineStr">
        <x:is>
          <x:t xml:space="preserve">openai|gpt-6-luna|medium|reasoning|fallback-na|aa-v4.3.2|snapshot-2026-09-28</x:t>
        </x:is>
      </x:c>
      <x:c r="B20" t="inlineStr">
        <x:is>
          <x:t xml:space="preserve">openai|gpt-6-luna|medium|reasoning|fallback-na</x:t>
        </x:is>
      </x:c>
      <x:c r="C20" t="inlineStr">
        <x:is>
          <x:t xml:space="preserve">AA|v4.3.2</x:t>
        </x:is>
      </x:c>
      <x:c r="D20" t="n">
        <x:v>4</x:v>
      </x:c>
      <x:c r="E20" t="n">
        <x:v>40</x:v>
      </x:c>
      <x:c r="F20" t="n">
        <x:f>INDEX(Run_Metrics!$F:$F,D20)</x:f>
        <x:v>29</x:v>
      </x:c>
      <x:c r="G20" t="n">
        <x:f>INDEX(Run_Metrics!$G:$G,D20)</x:f>
        <x:v>0.02</x:v>
      </x:c>
      <x:c r="H20" t="str">
        <x:f>INDEX(Run_Metrics!$I:$I,D20)</x:f>
      </x:c>
      <x:c r="I20" t="n">
        <x:f>IF(F20="","",F20-(E20-1))</x:f>
        <x:v>-10</x:v>
      </x:c>
      <x:c r="J20" t="n">
        <x:f>IF(I20&gt;0,1,0)</x:f>
        <x:v>0</x:v>
      </x:c>
      <x:c r="K20" t="str">
        <x:f>IF(OR(J20=0,G20="",G20=0),"",I20/G20)</x:f>
      </x:c>
      <x:c r="L20" t="str">
        <x:f>IF(OR(J20=0,I20=0,G20=""),"",G20/I20)</x:f>
      </x:c>
      <x:c r="M20" t="str">
        <x:f>IF(OR(J20=0,G20="",H20="",G20=0,H20=0),"",I20/(G20*H20))</x:f>
      </x:c>
      <x:c r="N20" t="str">
        <x:f>IF(K20="","",K20/_xlfn.MAXIFS($K:$K,$E:$E,E20))</x:f>
      </x:c>
      <x:c r="O20" t="str">
        <x:f>IF(M20="","",M20/_xlfn.MAXIFS($M:$M,$E:$E,E20))</x:f>
      </x:c>
      <x:c r="P20" t="str">
        <x:f>IF(OR(N20="",O20=""),"",SQRT(N20*O20))</x:f>
      </x:c>
      <x:c r="Q20" t="str">
        <x:f>IF(OR(N20="",O20=""),"",N20^0.7*O20^0.3)</x:f>
      </x:c>
      <x:c r="R20" t="str">
        <x:f>IF(OR(N20="",O20=""),"",N20^0.3*O20^0.7)</x:f>
      </x:c>
    </x:row>
    <x:row r="21">
      <x:c r="A21" t="inlineStr">
        <x:is>
          <x:t xml:space="preserve">openai|gpt-6-luna|medium|reasoning|fallback-na|aa-v4.3.2|snapshot-2026-09-28</x:t>
        </x:is>
      </x:c>
      <x:c r="B21" t="inlineStr">
        <x:is>
          <x:t xml:space="preserve">openai|gpt-6-luna|medium|reasoning|fallback-na</x:t>
        </x:is>
      </x:c>
      <x:c r="C21" t="inlineStr">
        <x:is>
          <x:t xml:space="preserve">AA|v4.3.2</x:t>
        </x:is>
      </x:c>
      <x:c r="D21" t="n">
        <x:v>4</x:v>
      </x:c>
      <x:c r="E21" t="n">
        <x:v>45</x:v>
      </x:c>
      <x:c r="F21" t="n">
        <x:f>INDEX(Run_Metrics!$F:$F,D21)</x:f>
        <x:v>29</x:v>
      </x:c>
      <x:c r="G21" t="n">
        <x:f>INDEX(Run_Metrics!$G:$G,D21)</x:f>
        <x:v>0.02</x:v>
      </x:c>
      <x:c r="H21" t="str">
        <x:f>INDEX(Run_Metrics!$I:$I,D21)</x:f>
      </x:c>
      <x:c r="I21" t="n">
        <x:f>IF(F21="","",F21-(E21-1))</x:f>
        <x:v>-15</x:v>
      </x:c>
      <x:c r="J21" t="n">
        <x:f>IF(I21&gt;0,1,0)</x:f>
        <x:v>0</x:v>
      </x:c>
      <x:c r="K21" t="str">
        <x:f>IF(OR(J21=0,G21="",G21=0),"",I21/G21)</x:f>
      </x:c>
      <x:c r="L21" t="str">
        <x:f>IF(OR(J21=0,I21=0,G21=""),"",G21/I21)</x:f>
      </x:c>
      <x:c r="M21" t="str">
        <x:f>IF(OR(J21=0,G21="",H21="",G21=0,H21=0),"",I21/(G21*H21))</x:f>
      </x:c>
      <x:c r="N21" t="str">
        <x:f>IF(K21="","",K21/_xlfn.MAXIFS($K:$K,$E:$E,E21))</x:f>
      </x:c>
      <x:c r="O21" t="str">
        <x:f>IF(M21="","",M21/_xlfn.MAXIFS($M:$M,$E:$E,E21))</x:f>
      </x:c>
      <x:c r="P21" t="str">
        <x:f>IF(OR(N21="",O21=""),"",SQRT(N21*O21))</x:f>
      </x:c>
      <x:c r="Q21" t="str">
        <x:f>IF(OR(N21="",O21=""),"",N21^0.7*O21^0.3)</x:f>
      </x:c>
      <x:c r="R21" t="str">
        <x:f>IF(OR(N21="",O21=""),"",N21^0.3*O21^0.7)</x:f>
      </x:c>
    </x:row>
    <x:row r="22">
      <x:c r="A22" t="inlineStr">
        <x:is>
          <x:t xml:space="preserve">openai|gpt-6-luna|medium|reasoning|fallback-na|aa-v4.3.2|snapshot-2026-09-28</x:t>
        </x:is>
      </x:c>
      <x:c r="B22" t="inlineStr">
        <x:is>
          <x:t xml:space="preserve">openai|gpt-6-luna|medium|reasoning|fallback-na</x:t>
        </x:is>
      </x:c>
      <x:c r="C22" t="inlineStr">
        <x:is>
          <x:t xml:space="preserve">AA|v4.3.2</x:t>
        </x:is>
      </x:c>
      <x:c r="D22" t="n">
        <x:v>4</x:v>
      </x:c>
      <x:c r="E22" t="n">
        <x:v>50</x:v>
      </x:c>
      <x:c r="F22" t="n">
        <x:f>INDEX(Run_Metrics!$F:$F,D22)</x:f>
        <x:v>29</x:v>
      </x:c>
      <x:c r="G22" t="n">
        <x:f>INDEX(Run_Metrics!$G:$G,D22)</x:f>
        <x:v>0.02</x:v>
      </x:c>
      <x:c r="H22" t="str">
        <x:f>INDEX(Run_Metrics!$I:$I,D22)</x:f>
      </x:c>
      <x:c r="I22" t="n">
        <x:f>IF(F22="","",F22-(E22-1))</x:f>
        <x:v>-20</x:v>
      </x:c>
      <x:c r="J22" t="n">
        <x:f>IF(I22&gt;0,1,0)</x:f>
        <x:v>0</x:v>
      </x:c>
      <x:c r="K22" t="str">
        <x:f>IF(OR(J22=0,G22="",G22=0),"",I22/G22)</x:f>
      </x:c>
      <x:c r="L22" t="str">
        <x:f>IF(OR(J22=0,I22=0,G22=""),"",G22/I22)</x:f>
      </x:c>
      <x:c r="M22" t="str">
        <x:f>IF(OR(J22=0,G22="",H22="",G22=0,H22=0),"",I22/(G22*H22))</x:f>
      </x:c>
      <x:c r="N22" t="str">
        <x:f>IF(K22="","",K22/_xlfn.MAXIFS($K:$K,$E:$E,E22))</x:f>
      </x:c>
      <x:c r="O22" t="str">
        <x:f>IF(M22="","",M22/_xlfn.MAXIFS($M:$M,$E:$E,E22))</x:f>
      </x:c>
      <x:c r="P22" t="str">
        <x:f>IF(OR(N22="",O22=""),"",SQRT(N22*O22))</x:f>
      </x:c>
      <x:c r="Q22" t="str">
        <x:f>IF(OR(N22="",O22=""),"",N22^0.7*O22^0.3)</x:f>
      </x:c>
      <x:c r="R22" t="str">
        <x:f>IF(OR(N22="",O22=""),"",N22^0.3*O22^0.7)</x:f>
      </x:c>
    </x:row>
    <x:row r="23">
      <x:c r="A23" t="inlineStr">
        <x:is>
          <x:t xml:space="preserve">openai|gpt-6-luna|medium|reasoning|fallback-na|aa-v4.3.2|snapshot-2026-09-28</x:t>
        </x:is>
      </x:c>
      <x:c r="B23" t="inlineStr">
        <x:is>
          <x:t xml:space="preserve">openai|gpt-6-luna|medium|reasoning|fallback-na</x:t>
        </x:is>
      </x:c>
      <x:c r="C23" t="inlineStr">
        <x:is>
          <x:t xml:space="preserve">AA|v4.3.2</x:t>
        </x:is>
      </x:c>
      <x:c r="D23" t="n">
        <x:v>4</x:v>
      </x:c>
      <x:c r="E23" t="n">
        <x:v>52</x:v>
      </x:c>
      <x:c r="F23" t="n">
        <x:f>INDEX(Run_Metrics!$F:$F,D23)</x:f>
        <x:v>29</x:v>
      </x:c>
      <x:c r="G23" t="n">
        <x:f>INDEX(Run_Metrics!$G:$G,D23)</x:f>
        <x:v>0.02</x:v>
      </x:c>
      <x:c r="H23" t="str">
        <x:f>INDEX(Run_Metrics!$I:$I,D23)</x:f>
      </x:c>
      <x:c r="I23" t="n">
        <x:f>IF(F23="","",F23-(E23-1))</x:f>
        <x:v>-22</x:v>
      </x:c>
      <x:c r="J23" t="n">
        <x:f>IF(I23&gt;0,1,0)</x:f>
        <x:v>0</x:v>
      </x:c>
      <x:c r="K23" t="str">
        <x:f>IF(OR(J23=0,G23="",G23=0),"",I23/G23)</x:f>
      </x:c>
      <x:c r="L23" t="str">
        <x:f>IF(OR(J23=0,I23=0,G23=""),"",G23/I23)</x:f>
      </x:c>
      <x:c r="M23" t="str">
        <x:f>IF(OR(J23=0,G23="",H23="",G23=0,H23=0),"",I23/(G23*H23))</x:f>
      </x:c>
      <x:c r="N23" t="str">
        <x:f>IF(K23="","",K23/_xlfn.MAXIFS($K:$K,$E:$E,E23))</x:f>
      </x:c>
      <x:c r="O23" t="str">
        <x:f>IF(M23="","",M23/_xlfn.MAXIFS($M:$M,$E:$E,E23))</x:f>
      </x:c>
      <x:c r="P23" t="str">
        <x:f>IF(OR(N23="",O23=""),"",SQRT(N23*O23))</x:f>
      </x:c>
      <x:c r="Q23" t="str">
        <x:f>IF(OR(N23="",O23=""),"",N23^0.7*O23^0.3)</x:f>
      </x:c>
      <x:c r="R23" t="str">
        <x:f>IF(OR(N23="",O23=""),"",N23^0.3*O23^0.7)</x:f>
      </x:c>
    </x:row>
    <x:row r="24">
      <x:c r="A24" t="inlineStr">
        <x:is>
          <x:t xml:space="preserve">openai|gpt-6-luna|medium|reasoning|fallback-na|aa-v4.3.2|snapshot-2026-09-28</x:t>
        </x:is>
      </x:c>
      <x:c r="B24" t="inlineStr">
        <x:is>
          <x:t xml:space="preserve">openai|gpt-6-luna|medium|reasoning|fallback-na</x:t>
        </x:is>
      </x:c>
      <x:c r="C24" t="inlineStr">
        <x:is>
          <x:t xml:space="preserve">AA|v4.3.2</x:t>
        </x:is>
      </x:c>
      <x:c r="D24" t="n">
        <x:v>4</x:v>
      </x:c>
      <x:c r="E24" t="n">
        <x:v>65</x:v>
      </x:c>
      <x:c r="F24" t="n">
        <x:f>INDEX(Run_Metrics!$F:$F,D24)</x:f>
        <x:v>29</x:v>
      </x:c>
      <x:c r="G24" t="n">
        <x:f>INDEX(Run_Metrics!$G:$G,D24)</x:f>
        <x:v>0.02</x:v>
      </x:c>
      <x:c r="H24" t="str">
        <x:f>INDEX(Run_Metrics!$I:$I,D24)</x:f>
      </x:c>
      <x:c r="I24" t="n">
        <x:f>IF(F24="","",F24-(E24-1))</x:f>
        <x:v>-35</x:v>
      </x:c>
      <x:c r="J24" t="n">
        <x:f>IF(I24&gt;0,1,0)</x:f>
        <x:v>0</x:v>
      </x:c>
      <x:c r="K24" t="str">
        <x:f>IF(OR(J24=0,G24="",G24=0),"",I24/G24)</x:f>
      </x:c>
      <x:c r="L24" t="str">
        <x:f>IF(OR(J24=0,I24=0,G24=""),"",G24/I24)</x:f>
      </x:c>
      <x:c r="M24" t="str">
        <x:f>IF(OR(J24=0,G24="",H24="",G24=0,H24=0),"",I24/(G24*H24))</x:f>
      </x:c>
      <x:c r="N24" t="str">
        <x:f>IF(K24="","",K24/_xlfn.MAXIFS($K:$K,$E:$E,E24))</x:f>
      </x:c>
      <x:c r="O24" t="str">
        <x:f>IF(M24="","",M24/_xlfn.MAXIFS($M:$M,$E:$E,E24))</x:f>
      </x:c>
      <x:c r="P24" t="str">
        <x:f>IF(OR(N24="",O24=""),"",SQRT(N24*O24))</x:f>
      </x:c>
      <x:c r="Q24" t="str">
        <x:f>IF(OR(N24="",O24=""),"",N24^0.7*O24^0.3)</x:f>
      </x:c>
      <x:c r="R24" t="str">
        <x:f>IF(OR(N24="",O24=""),"",N24^0.3*O24^0.7)</x:f>
      </x:c>
    </x:row>
    <x:row r="25">
      <x:c r="A25" t="inlineStr">
        <x:is>
          <x:t xml:space="preserve">openai|gpt-6-luna|medium|reasoning|fallback-na|aa-v4.3.2|snapshot-2026-09-28</x:t>
        </x:is>
      </x:c>
      <x:c r="B25" t="inlineStr">
        <x:is>
          <x:t xml:space="preserve">openai|gpt-6-luna|medium|reasoning|fallback-na</x:t>
        </x:is>
      </x:c>
      <x:c r="C25" t="inlineStr">
        <x:is>
          <x:t xml:space="preserve">AA|v4.3.2</x:t>
        </x:is>
      </x:c>
      <x:c r="D25" t="n">
        <x:v>4</x:v>
      </x:c>
      <x:c r="E25" t="n">
        <x:v>80</x:v>
      </x:c>
      <x:c r="F25" t="n">
        <x:f>INDEX(Run_Metrics!$F:$F,D25)</x:f>
        <x:v>29</x:v>
      </x:c>
      <x:c r="G25" t="n">
        <x:f>INDEX(Run_Metrics!$G:$G,D25)</x:f>
        <x:v>0.02</x:v>
      </x:c>
      <x:c r="H25" t="str">
        <x:f>INDEX(Run_Metrics!$I:$I,D25)</x:f>
      </x:c>
      <x:c r="I25" t="n">
        <x:f>IF(F25="","",F25-(E25-1))</x:f>
        <x:v>-50</x:v>
      </x:c>
      <x:c r="J25" t="n">
        <x:f>IF(I25&gt;0,1,0)</x:f>
        <x:v>0</x:v>
      </x:c>
      <x:c r="K25" t="str">
        <x:f>IF(OR(J25=0,G25="",G25=0),"",I25/G25)</x:f>
      </x:c>
      <x:c r="L25" t="str">
        <x:f>IF(OR(J25=0,I25=0,G25=""),"",G25/I25)</x:f>
      </x:c>
      <x:c r="M25" t="str">
        <x:f>IF(OR(J25=0,G25="",H25="",G25=0,H25=0),"",I25/(G25*H25))</x:f>
      </x:c>
      <x:c r="N25" t="str">
        <x:f>IF(K25="","",K25/_xlfn.MAXIFS($K:$K,$E:$E,E25))</x:f>
      </x:c>
      <x:c r="O25" t="str">
        <x:f>IF(M25="","",M25/_xlfn.MAXIFS($M:$M,$E:$E,E25))</x:f>
      </x:c>
      <x:c r="P25" t="str">
        <x:f>IF(OR(N25="",O25=""),"",SQRT(N25*O25))</x:f>
      </x:c>
      <x:c r="Q25" t="str">
        <x:f>IF(OR(N25="",O25=""),"",N25^0.7*O25^0.3)</x:f>
      </x:c>
      <x:c r="R25" t="str">
        <x:f>IF(OR(N25="",O25=""),"",N25^0.3*O25^0.7)</x:f>
      </x:c>
    </x:row>
    <x:row r="26">
      <x:c r="A26" t="inlineStr">
        <x:is>
          <x:t xml:space="preserve">openai|gpt-6-luna|high|reasoning|fallback-na|aa-v4.3.2|snapshot-2026-09-28</x:t>
        </x:is>
      </x:c>
      <x:c r="B26" t="inlineStr">
        <x:is>
          <x:t xml:space="preserve">openai|gpt-6-luna|high|reasoning|fallback-na</x:t>
        </x:is>
      </x:c>
      <x:c r="C26" t="inlineStr">
        <x:is>
          <x:t xml:space="preserve">AA|v4.3.2</x:t>
        </x:is>
      </x:c>
      <x:c r="D26" t="n">
        <x:v>5</x:v>
      </x:c>
      <x:c r="E26" t="n">
        <x:v>20</x:v>
      </x:c>
      <x:c r="F26" t="n">
        <x:f>INDEX(Run_Metrics!$F:$F,D26)</x:f>
        <x:v>32</x:v>
      </x:c>
      <x:c r="G26" t="n">
        <x:f>INDEX(Run_Metrics!$G:$G,D26)</x:f>
        <x:v>0.03</x:v>
      </x:c>
      <x:c r="H26" t="n">
        <x:f>INDEX(Run_Metrics!$I:$I,D26)</x:f>
        <x:v>2.1698333333333335</x:v>
      </x:c>
      <x:c r="I26" t="n">
        <x:f>IF(F26="","",F26-(E26-1))</x:f>
        <x:v>13</x:v>
      </x:c>
      <x:c r="J26" t="n">
        <x:f>IF(I26&gt;0,1,0)</x:f>
        <x:v>1</x:v>
      </x:c>
      <x:c r="K26" t="n">
        <x:f>IF(OR(J26=0,G26="",G26=0),"",I26/G26)</x:f>
        <x:v>433.33333333333337</x:v>
      </x:c>
      <x:c r="L26" t="n">
        <x:f>IF(OR(J26=0,I26=0,G26=""),"",G26/I26)</x:f>
        <x:v>0.0023076923076923075</x:v>
      </x:c>
      <x:c r="M26" t="n">
        <x:f>IF(OR(J26=0,G26="",H26="",G26=0,H26=0),"",I26/(G26*H26))</x:f>
        <x:v>199.70811890314155</x:v>
      </x:c>
      <x:c r="N26" t="n">
        <x:f>IF(K26="","",K26/_xlfn.MAXIFS($K:$K,$E:$E,E26))</x:f>
        <x:v>0.65</x:v>
      </x:c>
      <x:c r="O26" t="n">
        <x:f>IF(M26="","",M26/_xlfn.MAXIFS($M:$M,$E:$E,E26))</x:f>
        <x:v>0.10582033950380212</x:v>
      </x:c>
      <x:c r="P26" t="n">
        <x:f>IF(OR(N26="",O26=""),"",SQRT(N26*O26))</x:f>
        <x:v>0.26226555373794586</x:v>
      </x:c>
      <x:c r="Q26" t="n">
        <x:f>IF(OR(N26="",O26=""),"",N26^0.7*O26^0.3)</x:f>
        <x:v>0.37705968017023994</x:v>
      </x:c>
      <x:c r="R26" t="n">
        <x:f>IF(OR(N26="",O26=""),"",N26^0.3*O26^0.7)</x:f>
        <x:v>0.18241998361218636</x:v>
      </x:c>
    </x:row>
    <x:row r="27">
      <x:c r="A27" t="inlineStr">
        <x:is>
          <x:t xml:space="preserve">openai|gpt-6-luna|high|reasoning|fallback-na|aa-v4.3.2|snapshot-2026-09-28</x:t>
        </x:is>
      </x:c>
      <x:c r="B27" t="inlineStr">
        <x:is>
          <x:t xml:space="preserve">openai|gpt-6-luna|high|reasoning|fallback-na</x:t>
        </x:is>
      </x:c>
      <x:c r="C27" t="inlineStr">
        <x:is>
          <x:t xml:space="preserve">AA|v4.3.2</x:t>
        </x:is>
      </x:c>
      <x:c r="D27" t="n">
        <x:v>5</x:v>
      </x:c>
      <x:c r="E27" t="n">
        <x:v>30</x:v>
      </x:c>
      <x:c r="F27" t="n">
        <x:f>INDEX(Run_Metrics!$F:$F,D27)</x:f>
        <x:v>32</x:v>
      </x:c>
      <x:c r="G27" t="n">
        <x:f>INDEX(Run_Metrics!$G:$G,D27)</x:f>
        <x:v>0.03</x:v>
      </x:c>
      <x:c r="H27" t="n">
        <x:f>INDEX(Run_Metrics!$I:$I,D27)</x:f>
        <x:v>2.1698333333333335</x:v>
      </x:c>
      <x:c r="I27" t="n">
        <x:f>IF(F27="","",F27-(E27-1))</x:f>
        <x:v>3</x:v>
      </x:c>
      <x:c r="J27" t="n">
        <x:f>IF(I27&gt;0,1,0)</x:f>
        <x:v>1</x:v>
      </x:c>
      <x:c r="K27" t="n">
        <x:f>IF(OR(J27=0,G27="",G27=0),"",I27/G27)</x:f>
        <x:v>100</x:v>
      </x:c>
      <x:c r="L27" t="n">
        <x:f>IF(OR(J27=0,I27=0,G27=""),"",G27/I27)</x:f>
        <x:v>0.01</x:v>
      </x:c>
      <x:c r="M27" t="n">
        <x:f>IF(OR(J27=0,G27="",H27="",G27=0,H27=0),"",I27/(G27*H27))</x:f>
        <x:v>46.08648897764805</x:v>
      </x:c>
      <x:c r="N27" t="n">
        <x:f>IF(K27="","",K27/_xlfn.MAXIFS($K:$K,$E:$E,E27))</x:f>
        <x:v>0.6666666666666666</x:v>
      </x:c>
      <x:c r="O27" t="n">
        <x:f>IF(M27="","",M27/_xlfn.MAXIFS($M:$M,$E:$E,E27))</x:f>
        <x:v>0.8202012443352025</x:v>
      </x:c>
      <x:c r="P27" t="n">
        <x:f>IF(OR(N27="",O27=""),"",SQRT(N27*O27))</x:f>
        <x:v>0.7394598228144661</x:v>
      </x:c>
      <x:c r="Q27" t="n">
        <x:f>IF(OR(N27="",O27=""),"",N27^0.7*O27^0.3)</x:f>
        <x:v>0.709434404104398</x:v>
      </x:c>
      <x:c r="R27" t="n">
        <x:f>IF(OR(N27="",O27=""),"",N27^0.3*O27^0.7)</x:f>
        <x:v>0.7707560084389933</x:v>
      </x:c>
    </x:row>
    <x:row r="28">
      <x:c r="A28" t="inlineStr">
        <x:is>
          <x:t xml:space="preserve">openai|gpt-6-luna|high|reasoning|fallback-na|aa-v4.3.2|snapshot-2026-09-28</x:t>
        </x:is>
      </x:c>
      <x:c r="B28" t="inlineStr">
        <x:is>
          <x:t xml:space="preserve">openai|gpt-6-luna|high|reasoning|fallback-na</x:t>
        </x:is>
      </x:c>
      <x:c r="C28" t="inlineStr">
        <x:is>
          <x:t xml:space="preserve">AA|v4.3.2</x:t>
        </x:is>
      </x:c>
      <x:c r="D28" t="n">
        <x:v>5</x:v>
      </x:c>
      <x:c r="E28" t="n">
        <x:v>40</x:v>
      </x:c>
      <x:c r="F28" t="n">
        <x:f>INDEX(Run_Metrics!$F:$F,D28)</x:f>
        <x:v>32</x:v>
      </x:c>
      <x:c r="G28" t="n">
        <x:f>INDEX(Run_Metrics!$G:$G,D28)</x:f>
        <x:v>0.03</x:v>
      </x:c>
      <x:c r="H28" t="n">
        <x:f>INDEX(Run_Metrics!$I:$I,D28)</x:f>
        <x:v>2.1698333333333335</x:v>
      </x:c>
      <x:c r="I28" t="n">
        <x:f>IF(F28="","",F28-(E28-1))</x:f>
        <x:v>-7</x:v>
      </x:c>
      <x:c r="J28" t="n">
        <x:f>IF(I28&gt;0,1,0)</x:f>
        <x:v>0</x:v>
      </x:c>
      <x:c r="K28" t="str">
        <x:f>IF(OR(J28=0,G28="",G28=0),"",I28/G28)</x:f>
      </x:c>
      <x:c r="L28" t="str">
        <x:f>IF(OR(J28=0,I28=0,G28=""),"",G28/I28)</x:f>
      </x:c>
      <x:c r="M28" t="str">
        <x:f>IF(OR(J28=0,G28="",H28="",G28=0,H28=0),"",I28/(G28*H28))</x:f>
      </x:c>
      <x:c r="N28" t="str">
        <x:f>IF(K28="","",K28/_xlfn.MAXIFS($K:$K,$E:$E,E28))</x:f>
      </x:c>
      <x:c r="O28" t="str">
        <x:f>IF(M28="","",M28/_xlfn.MAXIFS($M:$M,$E:$E,E28))</x:f>
      </x:c>
      <x:c r="P28" t="str">
        <x:f>IF(OR(N28="",O28=""),"",SQRT(N28*O28))</x:f>
      </x:c>
      <x:c r="Q28" t="str">
        <x:f>IF(OR(N28="",O28=""),"",N28^0.7*O28^0.3)</x:f>
      </x:c>
      <x:c r="R28" t="str">
        <x:f>IF(OR(N28="",O28=""),"",N28^0.3*O28^0.7)</x:f>
      </x:c>
    </x:row>
    <x:row r="29">
      <x:c r="A29" t="inlineStr">
        <x:is>
          <x:t xml:space="preserve">openai|gpt-6-luna|high|reasoning|fallback-na|aa-v4.3.2|snapshot-2026-09-28</x:t>
        </x:is>
      </x:c>
      <x:c r="B29" t="inlineStr">
        <x:is>
          <x:t xml:space="preserve">openai|gpt-6-luna|high|reasoning|fallback-na</x:t>
        </x:is>
      </x:c>
      <x:c r="C29" t="inlineStr">
        <x:is>
          <x:t xml:space="preserve">AA|v4.3.2</x:t>
        </x:is>
      </x:c>
      <x:c r="D29" t="n">
        <x:v>5</x:v>
      </x:c>
      <x:c r="E29" t="n">
        <x:v>45</x:v>
      </x:c>
      <x:c r="F29" t="n">
        <x:f>INDEX(Run_Metrics!$F:$F,D29)</x:f>
        <x:v>32</x:v>
      </x:c>
      <x:c r="G29" t="n">
        <x:f>INDEX(Run_Metrics!$G:$G,D29)</x:f>
        <x:v>0.03</x:v>
      </x:c>
      <x:c r="H29" t="n">
        <x:f>INDEX(Run_Metrics!$I:$I,D29)</x:f>
        <x:v>2.1698333333333335</x:v>
      </x:c>
      <x:c r="I29" t="n">
        <x:f>IF(F29="","",F29-(E29-1))</x:f>
        <x:v>-12</x:v>
      </x:c>
      <x:c r="J29" t="n">
        <x:f>IF(I29&gt;0,1,0)</x:f>
        <x:v>0</x:v>
      </x:c>
      <x:c r="K29" t="str">
        <x:f>IF(OR(J29=0,G29="",G29=0),"",I29/G29)</x:f>
      </x:c>
      <x:c r="L29" t="str">
        <x:f>IF(OR(J29=0,I29=0,G29=""),"",G29/I29)</x:f>
      </x:c>
      <x:c r="M29" t="str">
        <x:f>IF(OR(J29=0,G29="",H29="",G29=0,H29=0),"",I29/(G29*H29))</x:f>
      </x:c>
      <x:c r="N29" t="str">
        <x:f>IF(K29="","",K29/_xlfn.MAXIFS($K:$K,$E:$E,E29))</x:f>
      </x:c>
      <x:c r="O29" t="str">
        <x:f>IF(M29="","",M29/_xlfn.MAXIFS($M:$M,$E:$E,E29))</x:f>
      </x:c>
      <x:c r="P29" t="str">
        <x:f>IF(OR(N29="",O29=""),"",SQRT(N29*O29))</x:f>
      </x:c>
      <x:c r="Q29" t="str">
        <x:f>IF(OR(N29="",O29=""),"",N29^0.7*O29^0.3)</x:f>
      </x:c>
      <x:c r="R29" t="str">
        <x:f>IF(OR(N29="",O29=""),"",N29^0.3*O29^0.7)</x:f>
      </x:c>
    </x:row>
    <x:row r="30">
      <x:c r="A30" t="inlineStr">
        <x:is>
          <x:t xml:space="preserve">openai|gpt-6-luna|high|reasoning|fallback-na|aa-v4.3.2|snapshot-2026-09-28</x:t>
        </x:is>
      </x:c>
      <x:c r="B30" t="inlineStr">
        <x:is>
          <x:t xml:space="preserve">openai|gpt-6-luna|high|reasoning|fallback-na</x:t>
        </x:is>
      </x:c>
      <x:c r="C30" t="inlineStr">
        <x:is>
          <x:t xml:space="preserve">AA|v4.3.2</x:t>
        </x:is>
      </x:c>
      <x:c r="D30" t="n">
        <x:v>5</x:v>
      </x:c>
      <x:c r="E30" t="n">
        <x:v>50</x:v>
      </x:c>
      <x:c r="F30" t="n">
        <x:f>INDEX(Run_Metrics!$F:$F,D30)</x:f>
        <x:v>32</x:v>
      </x:c>
      <x:c r="G30" t="n">
        <x:f>INDEX(Run_Metrics!$G:$G,D30)</x:f>
        <x:v>0.03</x:v>
      </x:c>
      <x:c r="H30" t="n">
        <x:f>INDEX(Run_Metrics!$I:$I,D30)</x:f>
        <x:v>2.1698333333333335</x:v>
      </x:c>
      <x:c r="I30" t="n">
        <x:f>IF(F30="","",F30-(E30-1))</x:f>
        <x:v>-17</x:v>
      </x:c>
      <x:c r="J30" t="n">
        <x:f>IF(I30&gt;0,1,0)</x:f>
        <x:v>0</x:v>
      </x:c>
      <x:c r="K30" t="str">
        <x:f>IF(OR(J30=0,G30="",G30=0),"",I30/G30)</x:f>
      </x:c>
      <x:c r="L30" t="str">
        <x:f>IF(OR(J30=0,I30=0,G30=""),"",G30/I30)</x:f>
      </x:c>
      <x:c r="M30" t="str">
        <x:f>IF(OR(J30=0,G30="",H30="",G30=0,H30=0),"",I30/(G30*H30))</x:f>
      </x:c>
      <x:c r="N30" t="str">
        <x:f>IF(K30="","",K30/_xlfn.MAXIFS($K:$K,$E:$E,E30))</x:f>
      </x:c>
      <x:c r="O30" t="str">
        <x:f>IF(M30="","",M30/_xlfn.MAXIFS($M:$M,$E:$E,E30))</x:f>
      </x:c>
      <x:c r="P30" t="str">
        <x:f>IF(OR(N30="",O30=""),"",SQRT(N30*O30))</x:f>
      </x:c>
      <x:c r="Q30" t="str">
        <x:f>IF(OR(N30="",O30=""),"",N30^0.7*O30^0.3)</x:f>
      </x:c>
      <x:c r="R30" t="str">
        <x:f>IF(OR(N30="",O30=""),"",N30^0.3*O30^0.7)</x:f>
      </x:c>
    </x:row>
    <x:row r="31">
      <x:c r="A31" t="inlineStr">
        <x:is>
          <x:t xml:space="preserve">openai|gpt-6-luna|high|reasoning|fallback-na|aa-v4.3.2|snapshot-2026-09-28</x:t>
        </x:is>
      </x:c>
      <x:c r="B31" t="inlineStr">
        <x:is>
          <x:t xml:space="preserve">openai|gpt-6-luna|high|reasoning|fallback-na</x:t>
        </x:is>
      </x:c>
      <x:c r="C31" t="inlineStr">
        <x:is>
          <x:t xml:space="preserve">AA|v4.3.2</x:t>
        </x:is>
      </x:c>
      <x:c r="D31" t="n">
        <x:v>5</x:v>
      </x:c>
      <x:c r="E31" t="n">
        <x:v>52</x:v>
      </x:c>
      <x:c r="F31" t="n">
        <x:f>INDEX(Run_Metrics!$F:$F,D31)</x:f>
        <x:v>32</x:v>
      </x:c>
      <x:c r="G31" t="n">
        <x:f>INDEX(Run_Metrics!$G:$G,D31)</x:f>
        <x:v>0.03</x:v>
      </x:c>
      <x:c r="H31" t="n">
        <x:f>INDEX(Run_Metrics!$I:$I,D31)</x:f>
        <x:v>2.1698333333333335</x:v>
      </x:c>
      <x:c r="I31" t="n">
        <x:f>IF(F31="","",F31-(E31-1))</x:f>
        <x:v>-19</x:v>
      </x:c>
      <x:c r="J31" t="n">
        <x:f>IF(I31&gt;0,1,0)</x:f>
        <x:v>0</x:v>
      </x:c>
      <x:c r="K31" t="str">
        <x:f>IF(OR(J31=0,G31="",G31=0),"",I31/G31)</x:f>
      </x:c>
      <x:c r="L31" t="str">
        <x:f>IF(OR(J31=0,I31=0,G31=""),"",G31/I31)</x:f>
      </x:c>
      <x:c r="M31" t="str">
        <x:f>IF(OR(J31=0,G31="",H31="",G31=0,H31=0),"",I31/(G31*H31))</x:f>
      </x:c>
      <x:c r="N31" t="str">
        <x:f>IF(K31="","",K31/_xlfn.MAXIFS($K:$K,$E:$E,E31))</x:f>
      </x:c>
      <x:c r="O31" t="str">
        <x:f>IF(M31="","",M31/_xlfn.MAXIFS($M:$M,$E:$E,E31))</x:f>
      </x:c>
      <x:c r="P31" t="str">
        <x:f>IF(OR(N31="",O31=""),"",SQRT(N31*O31))</x:f>
      </x:c>
      <x:c r="Q31" t="str">
        <x:f>IF(OR(N31="",O31=""),"",N31^0.7*O31^0.3)</x:f>
      </x:c>
      <x:c r="R31" t="str">
        <x:f>IF(OR(N31="",O31=""),"",N31^0.3*O31^0.7)</x:f>
      </x:c>
    </x:row>
    <x:row r="32">
      <x:c r="A32" t="inlineStr">
        <x:is>
          <x:t xml:space="preserve">openai|gpt-6-luna|high|reasoning|fallback-na|aa-v4.3.2|snapshot-2026-09-28</x:t>
        </x:is>
      </x:c>
      <x:c r="B32" t="inlineStr">
        <x:is>
          <x:t xml:space="preserve">openai|gpt-6-luna|high|reasoning|fallback-na</x:t>
        </x:is>
      </x:c>
      <x:c r="C32" t="inlineStr">
        <x:is>
          <x:t xml:space="preserve">AA|v4.3.2</x:t>
        </x:is>
      </x:c>
      <x:c r="D32" t="n">
        <x:v>5</x:v>
      </x:c>
      <x:c r="E32" t="n">
        <x:v>65</x:v>
      </x:c>
      <x:c r="F32" t="n">
        <x:f>INDEX(Run_Metrics!$F:$F,D32)</x:f>
        <x:v>32</x:v>
      </x:c>
      <x:c r="G32" t="n">
        <x:f>INDEX(Run_Metrics!$G:$G,D32)</x:f>
        <x:v>0.03</x:v>
      </x:c>
      <x:c r="H32" t="n">
        <x:f>INDEX(Run_Metrics!$I:$I,D32)</x:f>
        <x:v>2.1698333333333335</x:v>
      </x:c>
      <x:c r="I32" t="n">
        <x:f>IF(F32="","",F32-(E32-1))</x:f>
        <x:v>-32</x:v>
      </x:c>
      <x:c r="J32" t="n">
        <x:f>IF(I32&gt;0,1,0)</x:f>
        <x:v>0</x:v>
      </x:c>
      <x:c r="K32" t="str">
        <x:f>IF(OR(J32=0,G32="",G32=0),"",I32/G32)</x:f>
      </x:c>
      <x:c r="L32" t="str">
        <x:f>IF(OR(J32=0,I32=0,G32=""),"",G32/I32)</x:f>
      </x:c>
      <x:c r="M32" t="str">
        <x:f>IF(OR(J32=0,G32="",H32="",G32=0,H32=0),"",I32/(G32*H32))</x:f>
      </x:c>
      <x:c r="N32" t="str">
        <x:f>IF(K32="","",K32/_xlfn.MAXIFS($K:$K,$E:$E,E32))</x:f>
      </x:c>
      <x:c r="O32" t="str">
        <x:f>IF(M32="","",M32/_xlfn.MAXIFS($M:$M,$E:$E,E32))</x:f>
      </x:c>
      <x:c r="P32" t="str">
        <x:f>IF(OR(N32="",O32=""),"",SQRT(N32*O32))</x:f>
      </x:c>
      <x:c r="Q32" t="str">
        <x:f>IF(OR(N32="",O32=""),"",N32^0.7*O32^0.3)</x:f>
      </x:c>
      <x:c r="R32" t="str">
        <x:f>IF(OR(N32="",O32=""),"",N32^0.3*O32^0.7)</x:f>
      </x:c>
    </x:row>
    <x:row r="33">
      <x:c r="A33" t="inlineStr">
        <x:is>
          <x:t xml:space="preserve">openai|gpt-6-luna|high|reasoning|fallback-na|aa-v4.3.2|snapshot-2026-09-28</x:t>
        </x:is>
      </x:c>
      <x:c r="B33" t="inlineStr">
        <x:is>
          <x:t xml:space="preserve">openai|gpt-6-luna|high|reasoning|fallback-na</x:t>
        </x:is>
      </x:c>
      <x:c r="C33" t="inlineStr">
        <x:is>
          <x:t xml:space="preserve">AA|v4.3.2</x:t>
        </x:is>
      </x:c>
      <x:c r="D33" t="n">
        <x:v>5</x:v>
      </x:c>
      <x:c r="E33" t="n">
        <x:v>80</x:v>
      </x:c>
      <x:c r="F33" t="n">
        <x:f>INDEX(Run_Metrics!$F:$F,D33)</x:f>
        <x:v>32</x:v>
      </x:c>
      <x:c r="G33" t="n">
        <x:f>INDEX(Run_Metrics!$G:$G,D33)</x:f>
        <x:v>0.03</x:v>
      </x:c>
      <x:c r="H33" t="n">
        <x:f>INDEX(Run_Metrics!$I:$I,D33)</x:f>
        <x:v>2.1698333333333335</x:v>
      </x:c>
      <x:c r="I33" t="n">
        <x:f>IF(F33="","",F33-(E33-1))</x:f>
        <x:v>-47</x:v>
      </x:c>
      <x:c r="J33" t="n">
        <x:f>IF(I33&gt;0,1,0)</x:f>
        <x:v>0</x:v>
      </x:c>
      <x:c r="K33" t="str">
        <x:f>IF(OR(J33=0,G33="",G33=0),"",I33/G33)</x:f>
      </x:c>
      <x:c r="L33" t="str">
        <x:f>IF(OR(J33=0,I33=0,G33=""),"",G33/I33)</x:f>
      </x:c>
      <x:c r="M33" t="str">
        <x:f>IF(OR(J33=0,G33="",H33="",G33=0,H33=0),"",I33/(G33*H33))</x:f>
      </x:c>
      <x:c r="N33" t="str">
        <x:f>IF(K33="","",K33/_xlfn.MAXIFS($K:$K,$E:$E,E33))</x:f>
      </x:c>
      <x:c r="O33" t="str">
        <x:f>IF(M33="","",M33/_xlfn.MAXIFS($M:$M,$E:$E,E33))</x:f>
      </x:c>
      <x:c r="P33" t="str">
        <x:f>IF(OR(N33="",O33=""),"",SQRT(N33*O33))</x:f>
      </x:c>
      <x:c r="Q33" t="str">
        <x:f>IF(OR(N33="",O33=""),"",N33^0.7*O33^0.3)</x:f>
      </x:c>
      <x:c r="R33" t="str">
        <x:f>IF(OR(N33="",O33=""),"",N33^0.3*O33^0.7)</x:f>
      </x:c>
    </x:row>
    <x:row r="34">
      <x:c r="A34" t="inlineStr">
        <x:is>
          <x:t xml:space="preserve">openai|gpt-6-luna|xhigh|reasoning|fallback-na|aa-v4.3.2|snapshot-2026-09-28</x:t>
        </x:is>
      </x:c>
      <x:c r="B34" t="inlineStr">
        <x:is>
          <x:t xml:space="preserve">openai|gpt-6-luna|xhigh|reasoning|fallback-na</x:t>
        </x:is>
      </x:c>
      <x:c r="C34" t="inlineStr">
        <x:is>
          <x:t xml:space="preserve">AA|v4.3.2</x:t>
        </x:is>
      </x:c>
      <x:c r="D34" t="n">
        <x:v>6</x:v>
      </x:c>
      <x:c r="E34" t="n">
        <x:v>20</x:v>
      </x:c>
      <x:c r="F34" t="n">
        <x:f>INDEX(Run_Metrics!$F:$F,D34)</x:f>
        <x:v>34</x:v>
      </x:c>
      <x:c r="G34" t="n">
        <x:f>INDEX(Run_Metrics!$G:$G,D34)</x:f>
        <x:v>0.04</x:v>
      </x:c>
      <x:c r="H34" t="n">
        <x:f>INDEX(Run_Metrics!$I:$I,D34)</x:f>
        <x:v>2.903833333333333</x:v>
      </x:c>
      <x:c r="I34" t="n">
        <x:f>IF(F34="","",F34-(E34-1))</x:f>
        <x:v>15</x:v>
      </x:c>
      <x:c r="J34" t="n">
        <x:f>IF(I34&gt;0,1,0)</x:f>
        <x:v>1</x:v>
      </x:c>
      <x:c r="K34" t="n">
        <x:f>IF(OR(J34=0,G34="",G34=0),"",I34/G34)</x:f>
        <x:v>375</x:v>
      </x:c>
      <x:c r="L34" t="n">
        <x:f>IF(OR(J34=0,I34=0,G34=""),"",G34/I34)</x:f>
        <x:v>0.0026666666666666666</x:v>
      </x:c>
      <x:c r="M34" t="n">
        <x:f>IF(OR(J34=0,G34="",H34="",G34=0,H34=0),"",I34/(G34*H34))</x:f>
        <x:v>129.13964300063137</x:v>
      </x:c>
      <x:c r="N34" t="n">
        <x:f>IF(K34="","",K34/_xlfn.MAXIFS($K:$K,$E:$E,E34))</x:f>
        <x:v>0.5624999999999999</x:v>
      </x:c>
      <x:c r="O34" t="n">
        <x:f>IF(M34="","",M34/_xlfn.MAXIFS($M:$M,$E:$E,E34))</x:f>
        <x:v>0.06842786833495954</x:v>
      </x:c>
      <x:c r="P34" t="n">
        <x:f>IF(OR(N34="",O34=""),"",SQRT(N34*O34))</x:f>
        <x:v>0.196190407355749</x:v>
      </x:c>
      <x:c r="Q34" t="n">
        <x:f>IF(OR(N34="",O34=""),"",N34^0.7*O34^0.3)</x:f>
        <x:v>0.29898931766797626</x:v>
      </x:c>
      <x:c r="R34" t="n">
        <x:f>IF(OR(N34="",O34=""),"",N34^0.3*O34^0.7)</x:f>
        <x:v>0.1287359569854537</x:v>
      </x:c>
    </x:row>
    <x:row r="35">
      <x:c r="A35" t="inlineStr">
        <x:is>
          <x:t xml:space="preserve">openai|gpt-6-luna|xhigh|reasoning|fallback-na|aa-v4.3.2|snapshot-2026-09-28</x:t>
        </x:is>
      </x:c>
      <x:c r="B35" t="inlineStr">
        <x:is>
          <x:t xml:space="preserve">openai|gpt-6-luna|xhigh|reasoning|fallback-na</x:t>
        </x:is>
      </x:c>
      <x:c r="C35" t="inlineStr">
        <x:is>
          <x:t xml:space="preserve">AA|v4.3.2</x:t>
        </x:is>
      </x:c>
      <x:c r="D35" t="n">
        <x:v>6</x:v>
      </x:c>
      <x:c r="E35" t="n">
        <x:v>30</x:v>
      </x:c>
      <x:c r="F35" t="n">
        <x:f>INDEX(Run_Metrics!$F:$F,D35)</x:f>
        <x:v>34</x:v>
      </x:c>
      <x:c r="G35" t="n">
        <x:f>INDEX(Run_Metrics!$G:$G,D35)</x:f>
        <x:v>0.04</x:v>
      </x:c>
      <x:c r="H35" t="n">
        <x:f>INDEX(Run_Metrics!$I:$I,D35)</x:f>
        <x:v>2.903833333333333</x:v>
      </x:c>
      <x:c r="I35" t="n">
        <x:f>IF(F35="","",F35-(E35-1))</x:f>
        <x:v>5</x:v>
      </x:c>
      <x:c r="J35" t="n">
        <x:f>IF(I35&gt;0,1,0)</x:f>
        <x:v>1</x:v>
      </x:c>
      <x:c r="K35" t="n">
        <x:f>IF(OR(J35=0,G35="",G35=0),"",I35/G35)</x:f>
        <x:v>125</x:v>
      </x:c>
      <x:c r="L35" t="n">
        <x:f>IF(OR(J35=0,I35=0,G35=""),"",G35/I35)</x:f>
        <x:v>0.008</x:v>
      </x:c>
      <x:c r="M35" t="n">
        <x:f>IF(OR(J35=0,G35="",H35="",G35=0,H35=0),"",I35/(G35*H35))</x:f>
        <x:v>43.04654766687712</x:v>
      </x:c>
      <x:c r="N35" t="n">
        <x:f>IF(K35="","",K35/_xlfn.MAXIFS($K:$K,$E:$E,E35))</x:f>
        <x:v>0.8333333333333334</x:v>
      </x:c>
      <x:c r="O35" t="n">
        <x:f>IF(M35="","",M35/_xlfn.MAXIFS($M:$M,$E:$E,E35))</x:f>
        <x:v>0.7660994088274121</x:v>
      </x:c>
      <x:c r="P35" t="n">
        <x:f>IF(OR(N35="",O35=""),"",SQRT(N35*O35))</x:f>
        <x:v>0.7990094955773952</x:v>
      </x:c>
      <x:c r="Q35" t="n">
        <x:f>IF(OR(N35="",O35=""),"",N35^0.7*O35^0.3)</x:f>
        <x:v>0.8125660367400716</x:v>
      </x:c>
      <x:c r="R35" t="n">
        <x:f>IF(OR(N35="",O35=""),"",N35^0.3*O35^0.7)</x:f>
        <x:v>0.7856791265656404</x:v>
      </x:c>
    </x:row>
    <x:row r="36">
      <x:c r="A36" t="inlineStr">
        <x:is>
          <x:t xml:space="preserve">openai|gpt-6-luna|xhigh|reasoning|fallback-na|aa-v4.3.2|snapshot-2026-09-28</x:t>
        </x:is>
      </x:c>
      <x:c r="B36" t="inlineStr">
        <x:is>
          <x:t xml:space="preserve">openai|gpt-6-luna|xhigh|reasoning|fallback-na</x:t>
        </x:is>
      </x:c>
      <x:c r="C36" t="inlineStr">
        <x:is>
          <x:t xml:space="preserve">AA|v4.3.2</x:t>
        </x:is>
      </x:c>
      <x:c r="D36" t="n">
        <x:v>6</x:v>
      </x:c>
      <x:c r="E36" t="n">
        <x:v>40</x:v>
      </x:c>
      <x:c r="F36" t="n">
        <x:f>INDEX(Run_Metrics!$F:$F,D36)</x:f>
        <x:v>34</x:v>
      </x:c>
      <x:c r="G36" t="n">
        <x:f>INDEX(Run_Metrics!$G:$G,D36)</x:f>
        <x:v>0.04</x:v>
      </x:c>
      <x:c r="H36" t="n">
        <x:f>INDEX(Run_Metrics!$I:$I,D36)</x:f>
        <x:v>2.903833333333333</x:v>
      </x:c>
      <x:c r="I36" t="n">
        <x:f>IF(F36="","",F36-(E36-1))</x:f>
        <x:v>-5</x:v>
      </x:c>
      <x:c r="J36" t="n">
        <x:f>IF(I36&gt;0,1,0)</x:f>
        <x:v>0</x:v>
      </x:c>
      <x:c r="K36" t="str">
        <x:f>IF(OR(J36=0,G36="",G36=0),"",I36/G36)</x:f>
      </x:c>
      <x:c r="L36" t="str">
        <x:f>IF(OR(J36=0,I36=0,G36=""),"",G36/I36)</x:f>
      </x:c>
      <x:c r="M36" t="str">
        <x:f>IF(OR(J36=0,G36="",H36="",G36=0,H36=0),"",I36/(G36*H36))</x:f>
      </x:c>
      <x:c r="N36" t="str">
        <x:f>IF(K36="","",K36/_xlfn.MAXIFS($K:$K,$E:$E,E36))</x:f>
      </x:c>
      <x:c r="O36" t="str">
        <x:f>IF(M36="","",M36/_xlfn.MAXIFS($M:$M,$E:$E,E36))</x:f>
      </x:c>
      <x:c r="P36" t="str">
        <x:f>IF(OR(N36="",O36=""),"",SQRT(N36*O36))</x:f>
      </x:c>
      <x:c r="Q36" t="str">
        <x:f>IF(OR(N36="",O36=""),"",N36^0.7*O36^0.3)</x:f>
      </x:c>
      <x:c r="R36" t="str">
        <x:f>IF(OR(N36="",O36=""),"",N36^0.3*O36^0.7)</x:f>
      </x:c>
    </x:row>
    <x:row r="37">
      <x:c r="A37" t="inlineStr">
        <x:is>
          <x:t xml:space="preserve">openai|gpt-6-luna|xhigh|reasoning|fallback-na|aa-v4.3.2|snapshot-2026-09-28</x:t>
        </x:is>
      </x:c>
      <x:c r="B37" t="inlineStr">
        <x:is>
          <x:t xml:space="preserve">openai|gpt-6-luna|xhigh|reasoning|fallback-na</x:t>
        </x:is>
      </x:c>
      <x:c r="C37" t="inlineStr">
        <x:is>
          <x:t xml:space="preserve">AA|v4.3.2</x:t>
        </x:is>
      </x:c>
      <x:c r="D37" t="n">
        <x:v>6</x:v>
      </x:c>
      <x:c r="E37" t="n">
        <x:v>45</x:v>
      </x:c>
      <x:c r="F37" t="n">
        <x:f>INDEX(Run_Metrics!$F:$F,D37)</x:f>
        <x:v>34</x:v>
      </x:c>
      <x:c r="G37" t="n">
        <x:f>INDEX(Run_Metrics!$G:$G,D37)</x:f>
        <x:v>0.04</x:v>
      </x:c>
      <x:c r="H37" t="n">
        <x:f>INDEX(Run_Metrics!$I:$I,D37)</x:f>
        <x:v>2.903833333333333</x:v>
      </x:c>
      <x:c r="I37" t="n">
        <x:f>IF(F37="","",F37-(E37-1))</x:f>
        <x:v>-10</x:v>
      </x:c>
      <x:c r="J37" t="n">
        <x:f>IF(I37&gt;0,1,0)</x:f>
        <x:v>0</x:v>
      </x:c>
      <x:c r="K37" t="str">
        <x:f>IF(OR(J37=0,G37="",G37=0),"",I37/G37)</x:f>
      </x:c>
      <x:c r="L37" t="str">
        <x:f>IF(OR(J37=0,I37=0,G37=""),"",G37/I37)</x:f>
      </x:c>
      <x:c r="M37" t="str">
        <x:f>IF(OR(J37=0,G37="",H37="",G37=0,H37=0),"",I37/(G37*H37))</x:f>
      </x:c>
      <x:c r="N37" t="str">
        <x:f>IF(K37="","",K37/_xlfn.MAXIFS($K:$K,$E:$E,E37))</x:f>
      </x:c>
      <x:c r="O37" t="str">
        <x:f>IF(M37="","",M37/_xlfn.MAXIFS($M:$M,$E:$E,E37))</x:f>
      </x:c>
      <x:c r="P37" t="str">
        <x:f>IF(OR(N37="",O37=""),"",SQRT(N37*O37))</x:f>
      </x:c>
      <x:c r="Q37" t="str">
        <x:f>IF(OR(N37="",O37=""),"",N37^0.7*O37^0.3)</x:f>
      </x:c>
      <x:c r="R37" t="str">
        <x:f>IF(OR(N37="",O37=""),"",N37^0.3*O37^0.7)</x:f>
      </x:c>
    </x:row>
    <x:row r="38">
      <x:c r="A38" t="inlineStr">
        <x:is>
          <x:t xml:space="preserve">openai|gpt-6-luna|xhigh|reasoning|fallback-na|aa-v4.3.2|snapshot-2026-09-28</x:t>
        </x:is>
      </x:c>
      <x:c r="B38" t="inlineStr">
        <x:is>
          <x:t xml:space="preserve">openai|gpt-6-luna|xhigh|reasoning|fallback-na</x:t>
        </x:is>
      </x:c>
      <x:c r="C38" t="inlineStr">
        <x:is>
          <x:t xml:space="preserve">AA|v4.3.2</x:t>
        </x:is>
      </x:c>
      <x:c r="D38" t="n">
        <x:v>6</x:v>
      </x:c>
      <x:c r="E38" t="n">
        <x:v>50</x:v>
      </x:c>
      <x:c r="F38" t="n">
        <x:f>INDEX(Run_Metrics!$F:$F,D38)</x:f>
        <x:v>34</x:v>
      </x:c>
      <x:c r="G38" t="n">
        <x:f>INDEX(Run_Metrics!$G:$G,D38)</x:f>
        <x:v>0.04</x:v>
      </x:c>
      <x:c r="H38" t="n">
        <x:f>INDEX(Run_Metrics!$I:$I,D38)</x:f>
        <x:v>2.903833333333333</x:v>
      </x:c>
      <x:c r="I38" t="n">
        <x:f>IF(F38="","",F38-(E38-1))</x:f>
        <x:v>-15</x:v>
      </x:c>
      <x:c r="J38" t="n">
        <x:f>IF(I38&gt;0,1,0)</x:f>
        <x:v>0</x:v>
      </x:c>
      <x:c r="K38" t="str">
        <x:f>IF(OR(J38=0,G38="",G38=0),"",I38/G38)</x:f>
      </x:c>
      <x:c r="L38" t="str">
        <x:f>IF(OR(J38=0,I38=0,G38=""),"",G38/I38)</x:f>
      </x:c>
      <x:c r="M38" t="str">
        <x:f>IF(OR(J38=0,G38="",H38="",G38=0,H38=0),"",I38/(G38*H38))</x:f>
      </x:c>
      <x:c r="N38" t="str">
        <x:f>IF(K38="","",K38/_xlfn.MAXIFS($K:$K,$E:$E,E38))</x:f>
      </x:c>
      <x:c r="O38" t="str">
        <x:f>IF(M38="","",M38/_xlfn.MAXIFS($M:$M,$E:$E,E38))</x:f>
      </x:c>
      <x:c r="P38" t="str">
        <x:f>IF(OR(N38="",O38=""),"",SQRT(N38*O38))</x:f>
      </x:c>
      <x:c r="Q38" t="str">
        <x:f>IF(OR(N38="",O38=""),"",N38^0.7*O38^0.3)</x:f>
      </x:c>
      <x:c r="R38" t="str">
        <x:f>IF(OR(N38="",O38=""),"",N38^0.3*O38^0.7)</x:f>
      </x:c>
    </x:row>
    <x:row r="39">
      <x:c r="A39" t="inlineStr">
        <x:is>
          <x:t xml:space="preserve">openai|gpt-6-luna|xhigh|reasoning|fallback-na|aa-v4.3.2|snapshot-2026-09-28</x:t>
        </x:is>
      </x:c>
      <x:c r="B39" t="inlineStr">
        <x:is>
          <x:t xml:space="preserve">openai|gpt-6-luna|xhigh|reasoning|fallback-na</x:t>
        </x:is>
      </x:c>
      <x:c r="C39" t="inlineStr">
        <x:is>
          <x:t xml:space="preserve">AA|v4.3.2</x:t>
        </x:is>
      </x:c>
      <x:c r="D39" t="n">
        <x:v>6</x:v>
      </x:c>
      <x:c r="E39" t="n">
        <x:v>52</x:v>
      </x:c>
      <x:c r="F39" t="n">
        <x:f>INDEX(Run_Metrics!$F:$F,D39)</x:f>
        <x:v>34</x:v>
      </x:c>
      <x:c r="G39" t="n">
        <x:f>INDEX(Run_Metrics!$G:$G,D39)</x:f>
        <x:v>0.04</x:v>
      </x:c>
      <x:c r="H39" t="n">
        <x:f>INDEX(Run_Metrics!$I:$I,D39)</x:f>
        <x:v>2.903833333333333</x:v>
      </x:c>
      <x:c r="I39" t="n">
        <x:f>IF(F39="","",F39-(E39-1))</x:f>
        <x:v>-17</x:v>
      </x:c>
      <x:c r="J39" t="n">
        <x:f>IF(I39&gt;0,1,0)</x:f>
        <x:v>0</x:v>
      </x:c>
      <x:c r="K39" t="str">
        <x:f>IF(OR(J39=0,G39="",G39=0),"",I39/G39)</x:f>
      </x:c>
      <x:c r="L39" t="str">
        <x:f>IF(OR(J39=0,I39=0,G39=""),"",G39/I39)</x:f>
      </x:c>
      <x:c r="M39" t="str">
        <x:f>IF(OR(J39=0,G39="",H39="",G39=0,H39=0),"",I39/(G39*H39))</x:f>
      </x:c>
      <x:c r="N39" t="str">
        <x:f>IF(K39="","",K39/_xlfn.MAXIFS($K:$K,$E:$E,E39))</x:f>
      </x:c>
      <x:c r="O39" t="str">
        <x:f>IF(M39="","",M39/_xlfn.MAXIFS($M:$M,$E:$E,E39))</x:f>
      </x:c>
      <x:c r="P39" t="str">
        <x:f>IF(OR(N39="",O39=""),"",SQRT(N39*O39))</x:f>
      </x:c>
      <x:c r="Q39" t="str">
        <x:f>IF(OR(N39="",O39=""),"",N39^0.7*O39^0.3)</x:f>
      </x:c>
      <x:c r="R39" t="str">
        <x:f>IF(OR(N39="",O39=""),"",N39^0.3*O39^0.7)</x:f>
      </x:c>
    </x:row>
    <x:row r="40">
      <x:c r="A40" t="inlineStr">
        <x:is>
          <x:t xml:space="preserve">openai|gpt-6-luna|xhigh|reasoning|fallback-na|aa-v4.3.2|snapshot-2026-09-28</x:t>
        </x:is>
      </x:c>
      <x:c r="B40" t="inlineStr">
        <x:is>
          <x:t xml:space="preserve">openai|gpt-6-luna|xhigh|reasoning|fallback-na</x:t>
        </x:is>
      </x:c>
      <x:c r="C40" t="inlineStr">
        <x:is>
          <x:t xml:space="preserve">AA|v4.3.2</x:t>
        </x:is>
      </x:c>
      <x:c r="D40" t="n">
        <x:v>6</x:v>
      </x:c>
      <x:c r="E40" t="n">
        <x:v>65</x:v>
      </x:c>
      <x:c r="F40" t="n">
        <x:f>INDEX(Run_Metrics!$F:$F,D40)</x:f>
        <x:v>34</x:v>
      </x:c>
      <x:c r="G40" t="n">
        <x:f>INDEX(Run_Metrics!$G:$G,D40)</x:f>
        <x:v>0.04</x:v>
      </x:c>
      <x:c r="H40" t="n">
        <x:f>INDEX(Run_Metrics!$I:$I,D40)</x:f>
        <x:v>2.903833333333333</x:v>
      </x:c>
      <x:c r="I40" t="n">
        <x:f>IF(F40="","",F40-(E40-1))</x:f>
        <x:v>-30</x:v>
      </x:c>
      <x:c r="J40" t="n">
        <x:f>IF(I40&gt;0,1,0)</x:f>
        <x:v>0</x:v>
      </x:c>
      <x:c r="K40" t="str">
        <x:f>IF(OR(J40=0,G40="",G40=0),"",I40/G40)</x:f>
      </x:c>
      <x:c r="L40" t="str">
        <x:f>IF(OR(J40=0,I40=0,G40=""),"",G40/I40)</x:f>
      </x:c>
      <x:c r="M40" t="str">
        <x:f>IF(OR(J40=0,G40="",H40="",G40=0,H40=0),"",I40/(G40*H40))</x:f>
      </x:c>
      <x:c r="N40" t="str">
        <x:f>IF(K40="","",K40/_xlfn.MAXIFS($K:$K,$E:$E,E40))</x:f>
      </x:c>
      <x:c r="O40" t="str">
        <x:f>IF(M40="","",M40/_xlfn.MAXIFS($M:$M,$E:$E,E40))</x:f>
      </x:c>
      <x:c r="P40" t="str">
        <x:f>IF(OR(N40="",O40=""),"",SQRT(N40*O40))</x:f>
      </x:c>
      <x:c r="Q40" t="str">
        <x:f>IF(OR(N40="",O40=""),"",N40^0.7*O40^0.3)</x:f>
      </x:c>
      <x:c r="R40" t="str">
        <x:f>IF(OR(N40="",O40=""),"",N40^0.3*O40^0.7)</x:f>
      </x:c>
    </x:row>
    <x:row r="41">
      <x:c r="A41" t="inlineStr">
        <x:is>
          <x:t xml:space="preserve">openai|gpt-6-luna|xhigh|reasoning|fallback-na|aa-v4.3.2|snapshot-2026-09-28</x:t>
        </x:is>
      </x:c>
      <x:c r="B41" t="inlineStr">
        <x:is>
          <x:t xml:space="preserve">openai|gpt-6-luna|xhigh|reasoning|fallback-na</x:t>
        </x:is>
      </x:c>
      <x:c r="C41" t="inlineStr">
        <x:is>
          <x:t xml:space="preserve">AA|v4.3.2</x:t>
        </x:is>
      </x:c>
      <x:c r="D41" t="n">
        <x:v>6</x:v>
      </x:c>
      <x:c r="E41" t="n">
        <x:v>80</x:v>
      </x:c>
      <x:c r="F41" t="n">
        <x:f>INDEX(Run_Metrics!$F:$F,D41)</x:f>
        <x:v>34</x:v>
      </x:c>
      <x:c r="G41" t="n">
        <x:f>INDEX(Run_Metrics!$G:$G,D41)</x:f>
        <x:v>0.04</x:v>
      </x:c>
      <x:c r="H41" t="n">
        <x:f>INDEX(Run_Metrics!$I:$I,D41)</x:f>
        <x:v>2.903833333333333</x:v>
      </x:c>
      <x:c r="I41" t="n">
        <x:f>IF(F41="","",F41-(E41-1))</x:f>
        <x:v>-45</x:v>
      </x:c>
      <x:c r="J41" t="n">
        <x:f>IF(I41&gt;0,1,0)</x:f>
        <x:v>0</x:v>
      </x:c>
      <x:c r="K41" t="str">
        <x:f>IF(OR(J41=0,G41="",G41=0),"",I41/G41)</x:f>
      </x:c>
      <x:c r="L41" t="str">
        <x:f>IF(OR(J41=0,I41=0,G41=""),"",G41/I41)</x:f>
      </x:c>
      <x:c r="M41" t="str">
        <x:f>IF(OR(J41=0,G41="",H41="",G41=0,H41=0),"",I41/(G41*H41))</x:f>
      </x:c>
      <x:c r="N41" t="str">
        <x:f>IF(K41="","",K41/_xlfn.MAXIFS($K:$K,$E:$E,E41))</x:f>
      </x:c>
      <x:c r="O41" t="str">
        <x:f>IF(M41="","",M41/_xlfn.MAXIFS($M:$M,$E:$E,E41))</x:f>
      </x:c>
      <x:c r="P41" t="str">
        <x:f>IF(OR(N41="",O41=""),"",SQRT(N41*O41))</x:f>
      </x:c>
      <x:c r="Q41" t="str">
        <x:f>IF(OR(N41="",O41=""),"",N41^0.7*O41^0.3)</x:f>
      </x:c>
      <x:c r="R41" t="str">
        <x:f>IF(OR(N41="",O41=""),"",N41^0.3*O41^0.7)</x:f>
      </x:c>
    </x:row>
    <x:row r="42">
      <x:c r="A42" t="inlineStr">
        <x:is>
          <x:t xml:space="preserve">openai|gpt-6-luna|max|reasoning|fallback-na|aa-v4.3.2|snapshot-2026-09-28</x:t>
        </x:is>
      </x:c>
      <x:c r="B42" t="inlineStr">
        <x:is>
          <x:t xml:space="preserve">openai|gpt-6-luna|max|reasoning|fallback-na</x:t>
        </x:is>
      </x:c>
      <x:c r="C42" t="inlineStr">
        <x:is>
          <x:t xml:space="preserve">AA|v4.3.2</x:t>
        </x:is>
      </x:c>
      <x:c r="D42" t="n">
        <x:v>7</x:v>
      </x:c>
      <x:c r="E42" t="n">
        <x:v>20</x:v>
      </x:c>
      <x:c r="F42" t="n">
        <x:f>INDEX(Run_Metrics!$F:$F,D42)</x:f>
        <x:v>37</x:v>
      </x:c>
      <x:c r="G42" t="n">
        <x:f>INDEX(Run_Metrics!$G:$G,D42)</x:f>
        <x:v>0.07</x:v>
      </x:c>
      <x:c r="H42" t="n">
        <x:f>INDEX(Run_Metrics!$I:$I,D42)</x:f>
        <x:v>5.2219999999999995</x:v>
      </x:c>
      <x:c r="I42" t="n">
        <x:f>IF(F42="","",F42-(E42-1))</x:f>
        <x:v>18</x:v>
      </x:c>
      <x:c r="J42" t="n">
        <x:f>IF(I42&gt;0,1,0)</x:f>
        <x:v>1</x:v>
      </x:c>
      <x:c r="K42" t="n">
        <x:f>IF(OR(J42=0,G42="",G42=0),"",I42/G42)</x:f>
        <x:v>257.1428571428571</x:v>
      </x:c>
      <x:c r="L42" t="n">
        <x:f>IF(OR(J42=0,I42=0,G42=""),"",G42/I42)</x:f>
        <x:v>0.003888888888888889</x:v>
      </x:c>
      <x:c r="M42" t="n">
        <x:f>IF(OR(J42=0,G42="",H42="",G42=0,H42=0),"",I42/(G42*H42))</x:f>
        <x:v>49.24221699403623</x:v>
      </x:c>
      <x:c r="N42" t="n">
        <x:f>IF(K42="","",K42/_xlfn.MAXIFS($K:$K,$E:$E,E42))</x:f>
        <x:v>0.3857142857142856</x:v>
      </x:c>
      <x:c r="O42" t="n">
        <x:f>IF(M42="","",M42/_xlfn.MAXIFS($M:$M,$E:$E,E42))</x:f>
        <x:v>0.026092219729714945</x:v>
      </x:c>
      <x:c r="P42" t="n">
        <x:f>IF(OR(N42="",O42=""),"",SQRT(N42*O42))</x:f>
        <x:v>0.1003201968486266</x:v>
      </x:c>
      <x:c r="Q42" t="n">
        <x:f>IF(OR(N42="",O42=""),"",N42^0.7*O42^0.3)</x:f>
        <x:v>0.17192511165206423</x:v>
      </x:c>
      <x:c r="R42" t="n">
        <x:f>IF(OR(N42="",O42=""),"",N42^0.3*O42^0.7)</x:f>
        <x:v>0.058537940147537236</x:v>
      </x:c>
    </x:row>
    <x:row r="43">
      <x:c r="A43" t="inlineStr">
        <x:is>
          <x:t xml:space="preserve">openai|gpt-6-luna|max|reasoning|fallback-na|aa-v4.3.2|snapshot-2026-09-28</x:t>
        </x:is>
      </x:c>
      <x:c r="B43" t="inlineStr">
        <x:is>
          <x:t xml:space="preserve">openai|gpt-6-luna|max|reasoning|fallback-na</x:t>
        </x:is>
      </x:c>
      <x:c r="C43" t="inlineStr">
        <x:is>
          <x:t xml:space="preserve">AA|v4.3.2</x:t>
        </x:is>
      </x:c>
      <x:c r="D43" t="n">
        <x:v>7</x:v>
      </x:c>
      <x:c r="E43" t="n">
        <x:v>30</x:v>
      </x:c>
      <x:c r="F43" t="n">
        <x:f>INDEX(Run_Metrics!$F:$F,D43)</x:f>
        <x:v>37</x:v>
      </x:c>
      <x:c r="G43" t="n">
        <x:f>INDEX(Run_Metrics!$G:$G,D43)</x:f>
        <x:v>0.07</x:v>
      </x:c>
      <x:c r="H43" t="n">
        <x:f>INDEX(Run_Metrics!$I:$I,D43)</x:f>
        <x:v>5.2219999999999995</x:v>
      </x:c>
      <x:c r="I43" t="n">
        <x:f>IF(F43="","",F43-(E43-1))</x:f>
        <x:v>8</x:v>
      </x:c>
      <x:c r="J43" t="n">
        <x:f>IF(I43&gt;0,1,0)</x:f>
        <x:v>1</x:v>
      </x:c>
      <x:c r="K43" t="n">
        <x:f>IF(OR(J43=0,G43="",G43=0),"",I43/G43)</x:f>
        <x:v>114.28571428571428</x:v>
      </x:c>
      <x:c r="L43" t="n">
        <x:f>IF(OR(J43=0,I43=0,G43=""),"",G43/I43)</x:f>
        <x:v>0.00875</x:v>
      </x:c>
      <x:c r="M43" t="n">
        <x:f>IF(OR(J43=0,G43="",H43="",G43=0,H43=0),"",I43/(G43*H43))</x:f>
        <x:v>21.88542977512721</x:v>
      </x:c>
      <x:c r="N43" t="n">
        <x:f>IF(K43="","",K43/_xlfn.MAXIFS($K:$K,$E:$E,E43))</x:f>
        <x:v>0.7619047619047619</x:v>
      </x:c>
      <x:c r="O43" t="n">
        <x:f>IF(M43="","",M43/_xlfn.MAXIFS($M:$M,$E:$E,E43))</x:f>
        <x:v>0.389494993707939</x:v>
      </x:c>
      <x:c r="P43" t="n">
        <x:f>IF(OR(N43="",O43=""),"",SQRT(N43*O43))</x:f>
        <x:v>0.5447550738122078</x:v>
      </x:c>
      <x:c r="Q43" t="n">
        <x:f>IF(OR(N43="",O43=""),"",N43^0.7*O43^0.3)</x:f>
        <x:v>0.6229899568802107</x:v>
      </x:c>
      <x:c r="R43" t="n">
        <x:f>IF(OR(N43="",O43=""),"",N43^0.3*O43^0.7)</x:f>
        <x:v>0.47634490278180364</x:v>
      </x:c>
    </x:row>
    <x:row r="44">
      <x:c r="A44" t="inlineStr">
        <x:is>
          <x:t xml:space="preserve">openai|gpt-6-luna|max|reasoning|fallback-na|aa-v4.3.2|snapshot-2026-09-28</x:t>
        </x:is>
      </x:c>
      <x:c r="B44" t="inlineStr">
        <x:is>
          <x:t xml:space="preserve">openai|gpt-6-luna|max|reasoning|fallback-na</x:t>
        </x:is>
      </x:c>
      <x:c r="C44" t="inlineStr">
        <x:is>
          <x:t xml:space="preserve">AA|v4.3.2</x:t>
        </x:is>
      </x:c>
      <x:c r="D44" t="n">
        <x:v>7</x:v>
      </x:c>
      <x:c r="E44" t="n">
        <x:v>40</x:v>
      </x:c>
      <x:c r="F44" t="n">
        <x:f>INDEX(Run_Metrics!$F:$F,D44)</x:f>
        <x:v>37</x:v>
      </x:c>
      <x:c r="G44" t="n">
        <x:f>INDEX(Run_Metrics!$G:$G,D44)</x:f>
        <x:v>0.07</x:v>
      </x:c>
      <x:c r="H44" t="n">
        <x:f>INDEX(Run_Metrics!$I:$I,D44)</x:f>
        <x:v>5.2219999999999995</x:v>
      </x:c>
      <x:c r="I44" t="n">
        <x:f>IF(F44="","",F44-(E44-1))</x:f>
        <x:v>-2</x:v>
      </x:c>
      <x:c r="J44" t="n">
        <x:f>IF(I44&gt;0,1,0)</x:f>
        <x:v>0</x:v>
      </x:c>
      <x:c r="K44" t="str">
        <x:f>IF(OR(J44=0,G44="",G44=0),"",I44/G44)</x:f>
      </x:c>
      <x:c r="L44" t="str">
        <x:f>IF(OR(J44=0,I44=0,G44=""),"",G44/I44)</x:f>
      </x:c>
      <x:c r="M44" t="str">
        <x:f>IF(OR(J44=0,G44="",H44="",G44=0,H44=0),"",I44/(G44*H44))</x:f>
      </x:c>
      <x:c r="N44" t="str">
        <x:f>IF(K44="","",K44/_xlfn.MAXIFS($K:$K,$E:$E,E44))</x:f>
      </x:c>
      <x:c r="O44" t="str">
        <x:f>IF(M44="","",M44/_xlfn.MAXIFS($M:$M,$E:$E,E44))</x:f>
      </x:c>
      <x:c r="P44" t="str">
        <x:f>IF(OR(N44="",O44=""),"",SQRT(N44*O44))</x:f>
      </x:c>
      <x:c r="Q44" t="str">
        <x:f>IF(OR(N44="",O44=""),"",N44^0.7*O44^0.3)</x:f>
      </x:c>
      <x:c r="R44" t="str">
        <x:f>IF(OR(N44="",O44=""),"",N44^0.3*O44^0.7)</x:f>
      </x:c>
    </x:row>
    <x:row r="45">
      <x:c r="A45" t="inlineStr">
        <x:is>
          <x:t xml:space="preserve">openai|gpt-6-luna|max|reasoning|fallback-na|aa-v4.3.2|snapshot-2026-09-28</x:t>
        </x:is>
      </x:c>
      <x:c r="B45" t="inlineStr">
        <x:is>
          <x:t xml:space="preserve">openai|gpt-6-luna|max|reasoning|fallback-na</x:t>
        </x:is>
      </x:c>
      <x:c r="C45" t="inlineStr">
        <x:is>
          <x:t xml:space="preserve">AA|v4.3.2</x:t>
        </x:is>
      </x:c>
      <x:c r="D45" t="n">
        <x:v>7</x:v>
      </x:c>
      <x:c r="E45" t="n">
        <x:v>45</x:v>
      </x:c>
      <x:c r="F45" t="n">
        <x:f>INDEX(Run_Metrics!$F:$F,D45)</x:f>
        <x:v>37</x:v>
      </x:c>
      <x:c r="G45" t="n">
        <x:f>INDEX(Run_Metrics!$G:$G,D45)</x:f>
        <x:v>0.07</x:v>
      </x:c>
      <x:c r="H45" t="n">
        <x:f>INDEX(Run_Metrics!$I:$I,D45)</x:f>
        <x:v>5.2219999999999995</x:v>
      </x:c>
      <x:c r="I45" t="n">
        <x:f>IF(F45="","",F45-(E45-1))</x:f>
        <x:v>-7</x:v>
      </x:c>
      <x:c r="J45" t="n">
        <x:f>IF(I45&gt;0,1,0)</x:f>
        <x:v>0</x:v>
      </x:c>
      <x:c r="K45" t="str">
        <x:f>IF(OR(J45=0,G45="",G45=0),"",I45/G45)</x:f>
      </x:c>
      <x:c r="L45" t="str">
        <x:f>IF(OR(J45=0,I45=0,G45=""),"",G45/I45)</x:f>
      </x:c>
      <x:c r="M45" t="str">
        <x:f>IF(OR(J45=0,G45="",H45="",G45=0,H45=0),"",I45/(G45*H45))</x:f>
      </x:c>
      <x:c r="N45" t="str">
        <x:f>IF(K45="","",K45/_xlfn.MAXIFS($K:$K,$E:$E,E45))</x:f>
      </x:c>
      <x:c r="O45" t="str">
        <x:f>IF(M45="","",M45/_xlfn.MAXIFS($M:$M,$E:$E,E45))</x:f>
      </x:c>
      <x:c r="P45" t="str">
        <x:f>IF(OR(N45="",O45=""),"",SQRT(N45*O45))</x:f>
      </x:c>
      <x:c r="Q45" t="str">
        <x:f>IF(OR(N45="",O45=""),"",N45^0.7*O45^0.3)</x:f>
      </x:c>
      <x:c r="R45" t="str">
        <x:f>IF(OR(N45="",O45=""),"",N45^0.3*O45^0.7)</x:f>
      </x:c>
    </x:row>
    <x:row r="46">
      <x:c r="A46" t="inlineStr">
        <x:is>
          <x:t xml:space="preserve">openai|gpt-6-luna|max|reasoning|fallback-na|aa-v4.3.2|snapshot-2026-09-28</x:t>
        </x:is>
      </x:c>
      <x:c r="B46" t="inlineStr">
        <x:is>
          <x:t xml:space="preserve">openai|gpt-6-luna|max|reasoning|fallback-na</x:t>
        </x:is>
      </x:c>
      <x:c r="C46" t="inlineStr">
        <x:is>
          <x:t xml:space="preserve">AA|v4.3.2</x:t>
        </x:is>
      </x:c>
      <x:c r="D46" t="n">
        <x:v>7</x:v>
      </x:c>
      <x:c r="E46" t="n">
        <x:v>50</x:v>
      </x:c>
      <x:c r="F46" t="n">
        <x:f>INDEX(Run_Metrics!$F:$F,D46)</x:f>
        <x:v>37</x:v>
      </x:c>
      <x:c r="G46" t="n">
        <x:f>INDEX(Run_Metrics!$G:$G,D46)</x:f>
        <x:v>0.07</x:v>
      </x:c>
      <x:c r="H46" t="n">
        <x:f>INDEX(Run_Metrics!$I:$I,D46)</x:f>
        <x:v>5.2219999999999995</x:v>
      </x:c>
      <x:c r="I46" t="n">
        <x:f>IF(F46="","",F46-(E46-1))</x:f>
        <x:v>-12</x:v>
      </x:c>
      <x:c r="J46" t="n">
        <x:f>IF(I46&gt;0,1,0)</x:f>
        <x:v>0</x:v>
      </x:c>
      <x:c r="K46" t="str">
        <x:f>IF(OR(J46=0,G46="",G46=0),"",I46/G46)</x:f>
      </x:c>
      <x:c r="L46" t="str">
        <x:f>IF(OR(J46=0,I46=0,G46=""),"",G46/I46)</x:f>
      </x:c>
      <x:c r="M46" t="str">
        <x:f>IF(OR(J46=0,G46="",H46="",G46=0,H46=0),"",I46/(G46*H46))</x:f>
      </x:c>
      <x:c r="N46" t="str">
        <x:f>IF(K46="","",K46/_xlfn.MAXIFS($K:$K,$E:$E,E46))</x:f>
      </x:c>
      <x:c r="O46" t="str">
        <x:f>IF(M46="","",M46/_xlfn.MAXIFS($M:$M,$E:$E,E46))</x:f>
      </x:c>
      <x:c r="P46" t="str">
        <x:f>IF(OR(N46="",O46=""),"",SQRT(N46*O46))</x:f>
      </x:c>
      <x:c r="Q46" t="str">
        <x:f>IF(OR(N46="",O46=""),"",N46^0.7*O46^0.3)</x:f>
      </x:c>
      <x:c r="R46" t="str">
        <x:f>IF(OR(N46="",O46=""),"",N46^0.3*O46^0.7)</x:f>
      </x:c>
    </x:row>
    <x:row r="47">
      <x:c r="A47" t="inlineStr">
        <x:is>
          <x:t xml:space="preserve">openai|gpt-6-luna|max|reasoning|fallback-na|aa-v4.3.2|snapshot-2026-09-28</x:t>
        </x:is>
      </x:c>
      <x:c r="B47" t="inlineStr">
        <x:is>
          <x:t xml:space="preserve">openai|gpt-6-luna|max|reasoning|fallback-na</x:t>
        </x:is>
      </x:c>
      <x:c r="C47" t="inlineStr">
        <x:is>
          <x:t xml:space="preserve">AA|v4.3.2</x:t>
        </x:is>
      </x:c>
      <x:c r="D47" t="n">
        <x:v>7</x:v>
      </x:c>
      <x:c r="E47" t="n">
        <x:v>52</x:v>
      </x:c>
      <x:c r="F47" t="n">
        <x:f>INDEX(Run_Metrics!$F:$F,D47)</x:f>
        <x:v>37</x:v>
      </x:c>
      <x:c r="G47" t="n">
        <x:f>INDEX(Run_Metrics!$G:$G,D47)</x:f>
        <x:v>0.07</x:v>
      </x:c>
      <x:c r="H47" t="n">
        <x:f>INDEX(Run_Metrics!$I:$I,D47)</x:f>
        <x:v>5.2219999999999995</x:v>
      </x:c>
      <x:c r="I47" t="n">
        <x:f>IF(F47="","",F47-(E47-1))</x:f>
        <x:v>-14</x:v>
      </x:c>
      <x:c r="J47" t="n">
        <x:f>IF(I47&gt;0,1,0)</x:f>
        <x:v>0</x:v>
      </x:c>
      <x:c r="K47" t="str">
        <x:f>IF(OR(J47=0,G47="",G47=0),"",I47/G47)</x:f>
      </x:c>
      <x:c r="L47" t="str">
        <x:f>IF(OR(J47=0,I47=0,G47=""),"",G47/I47)</x:f>
      </x:c>
      <x:c r="M47" t="str">
        <x:f>IF(OR(J47=0,G47="",H47="",G47=0,H47=0),"",I47/(G47*H47))</x:f>
      </x:c>
      <x:c r="N47" t="str">
        <x:f>IF(K47="","",K47/_xlfn.MAXIFS($K:$K,$E:$E,E47))</x:f>
      </x:c>
      <x:c r="O47" t="str">
        <x:f>IF(M47="","",M47/_xlfn.MAXIFS($M:$M,$E:$E,E47))</x:f>
      </x:c>
      <x:c r="P47" t="str">
        <x:f>IF(OR(N47="",O47=""),"",SQRT(N47*O47))</x:f>
      </x:c>
      <x:c r="Q47" t="str">
        <x:f>IF(OR(N47="",O47=""),"",N47^0.7*O47^0.3)</x:f>
      </x:c>
      <x:c r="R47" t="str">
        <x:f>IF(OR(N47="",O47=""),"",N47^0.3*O47^0.7)</x:f>
      </x:c>
    </x:row>
    <x:row r="48">
      <x:c r="A48" t="inlineStr">
        <x:is>
          <x:t xml:space="preserve">openai|gpt-6-luna|max|reasoning|fallback-na|aa-v4.3.2|snapshot-2026-09-28</x:t>
        </x:is>
      </x:c>
      <x:c r="B48" t="inlineStr">
        <x:is>
          <x:t xml:space="preserve">openai|gpt-6-luna|max|reasoning|fallback-na</x:t>
        </x:is>
      </x:c>
      <x:c r="C48" t="inlineStr">
        <x:is>
          <x:t xml:space="preserve">AA|v4.3.2</x:t>
        </x:is>
      </x:c>
      <x:c r="D48" t="n">
        <x:v>7</x:v>
      </x:c>
      <x:c r="E48" t="n">
        <x:v>65</x:v>
      </x:c>
      <x:c r="F48" t="n">
        <x:f>INDEX(Run_Metrics!$F:$F,D48)</x:f>
        <x:v>37</x:v>
      </x:c>
      <x:c r="G48" t="n">
        <x:f>INDEX(Run_Metrics!$G:$G,D48)</x:f>
        <x:v>0.07</x:v>
      </x:c>
      <x:c r="H48" t="n">
        <x:f>INDEX(Run_Metrics!$I:$I,D48)</x:f>
        <x:v>5.2219999999999995</x:v>
      </x:c>
      <x:c r="I48" t="n">
        <x:f>IF(F48="","",F48-(E48-1))</x:f>
        <x:v>-27</x:v>
      </x:c>
      <x:c r="J48" t="n">
        <x:f>IF(I48&gt;0,1,0)</x:f>
        <x:v>0</x:v>
      </x:c>
      <x:c r="K48" t="str">
        <x:f>IF(OR(J48=0,G48="",G48=0),"",I48/G48)</x:f>
      </x:c>
      <x:c r="L48" t="str">
        <x:f>IF(OR(J48=0,I48=0,G48=""),"",G48/I48)</x:f>
      </x:c>
      <x:c r="M48" t="str">
        <x:f>IF(OR(J48=0,G48="",H48="",G48=0,H48=0),"",I48/(G48*H48))</x:f>
      </x:c>
      <x:c r="N48" t="str">
        <x:f>IF(K48="","",K48/_xlfn.MAXIFS($K:$K,$E:$E,E48))</x:f>
      </x:c>
      <x:c r="O48" t="str">
        <x:f>IF(M48="","",M48/_xlfn.MAXIFS($M:$M,$E:$E,E48))</x:f>
      </x:c>
      <x:c r="P48" t="str">
        <x:f>IF(OR(N48="",O48=""),"",SQRT(N48*O48))</x:f>
      </x:c>
      <x:c r="Q48" t="str">
        <x:f>IF(OR(N48="",O48=""),"",N48^0.7*O48^0.3)</x:f>
      </x:c>
      <x:c r="R48" t="str">
        <x:f>IF(OR(N48="",O48=""),"",N48^0.3*O48^0.7)</x:f>
      </x:c>
    </x:row>
    <x:row r="49">
      <x:c r="A49" t="inlineStr">
        <x:is>
          <x:t xml:space="preserve">openai|gpt-6-luna|max|reasoning|fallback-na|aa-v4.3.2|snapshot-2026-09-28</x:t>
        </x:is>
      </x:c>
      <x:c r="B49" t="inlineStr">
        <x:is>
          <x:t xml:space="preserve">openai|gpt-6-luna|max|reasoning|fallback-na</x:t>
        </x:is>
      </x:c>
      <x:c r="C49" t="inlineStr">
        <x:is>
          <x:t xml:space="preserve">AA|v4.3.2</x:t>
        </x:is>
      </x:c>
      <x:c r="D49" t="n">
        <x:v>7</x:v>
      </x:c>
      <x:c r="E49" t="n">
        <x:v>80</x:v>
      </x:c>
      <x:c r="F49" t="n">
        <x:f>INDEX(Run_Metrics!$F:$F,D49)</x:f>
        <x:v>37</x:v>
      </x:c>
      <x:c r="G49" t="n">
        <x:f>INDEX(Run_Metrics!$G:$G,D49)</x:f>
        <x:v>0.07</x:v>
      </x:c>
      <x:c r="H49" t="n">
        <x:f>INDEX(Run_Metrics!$I:$I,D49)</x:f>
        <x:v>5.2219999999999995</x:v>
      </x:c>
      <x:c r="I49" t="n">
        <x:f>IF(F49="","",F49-(E49-1))</x:f>
        <x:v>-42</x:v>
      </x:c>
      <x:c r="J49" t="n">
        <x:f>IF(I49&gt;0,1,0)</x:f>
        <x:v>0</x:v>
      </x:c>
      <x:c r="K49" t="str">
        <x:f>IF(OR(J49=0,G49="",G49=0),"",I49/G49)</x:f>
      </x:c>
      <x:c r="L49" t="str">
        <x:f>IF(OR(J49=0,I49=0,G49=""),"",G49/I49)</x:f>
      </x:c>
      <x:c r="M49" t="str">
        <x:f>IF(OR(J49=0,G49="",H49="",G49=0,H49=0),"",I49/(G49*H49))</x:f>
      </x:c>
      <x:c r="N49" t="str">
        <x:f>IF(K49="","",K49/_xlfn.MAXIFS($K:$K,$E:$E,E49))</x:f>
      </x:c>
      <x:c r="O49" t="str">
        <x:f>IF(M49="","",M49/_xlfn.MAXIFS($M:$M,$E:$E,E49))</x:f>
      </x:c>
      <x:c r="P49" t="str">
        <x:f>IF(OR(N49="",O49=""),"",SQRT(N49*O49))</x:f>
      </x:c>
      <x:c r="Q49" t="str">
        <x:f>IF(OR(N49="",O49=""),"",N49^0.7*O49^0.3)</x:f>
      </x:c>
      <x:c r="R49" t="str">
        <x:f>IF(OR(N49="",O49=""),"",N49^0.3*O49^0.7)</x:f>
      </x:c>
    </x:row>
    <x:row r="50">
      <x:c r="A50" t="inlineStr">
        <x:is>
          <x:t xml:space="preserve">openai|gpt-6-sol|non-reasoning|nonreasoning|fallback-na|aa-v4.3.2|snapshot-2026-09-28</x:t>
        </x:is>
      </x:c>
      <x:c r="B50" t="inlineStr">
        <x:is>
          <x:t xml:space="preserve">openai|gpt-6-sol|non-reasoning|nonreasoning|fallback-na</x:t>
        </x:is>
      </x:c>
      <x:c r="C50" t="inlineStr">
        <x:is>
          <x:t xml:space="preserve">AA|v4.3.2</x:t>
        </x:is>
      </x:c>
      <x:c r="D50" t="n">
        <x:v>8</x:v>
      </x:c>
      <x:c r="E50" t="n">
        <x:v>20</x:v>
      </x:c>
      <x:c r="F50" t="n">
        <x:f>INDEX(Run_Metrics!$F:$F,D50)</x:f>
        <x:v>28</x:v>
      </x:c>
      <x:c r="G50" t="n">
        <x:f>INDEX(Run_Metrics!$G:$G,D50)</x:f>
        <x:v>0.33</x:v>
      </x:c>
      <x:c r="H50" t="n">
        <x:f>INDEX(Run_Metrics!$I:$I,D50)</x:f>
        <x:v>1.0315</x:v>
      </x:c>
      <x:c r="I50" t="n">
        <x:f>IF(F50="","",F50-(E50-1))</x:f>
        <x:v>9</x:v>
      </x:c>
      <x:c r="J50" t="n">
        <x:f>IF(I50&gt;0,1,0)</x:f>
        <x:v>1</x:v>
      </x:c>
      <x:c r="K50" t="n">
        <x:f>IF(OR(J50=0,G50="",G50=0),"",I50/G50)</x:f>
        <x:v>27.27272727272727</x:v>
      </x:c>
      <x:c r="L50" t="n">
        <x:f>IF(OR(J50=0,I50=0,G50=""),"",G50/I50)</x:f>
        <x:v>0.03666666666666667</x:v>
      </x:c>
      <x:c r="M50" t="n">
        <x:f>IF(OR(J50=0,G50="",H50="",G50=0,H50=0),"",I50/(G50*H50))</x:f>
        <x:v>26.439871325959544</x:v>
      </x:c>
      <x:c r="N50" t="n">
        <x:f>IF(K50="","",K50/_xlfn.MAXIFS($K:$K,$E:$E,E50))</x:f>
        <x:v>0.0409090909090909</x:v>
      </x:c>
      <x:c r="O50" t="n">
        <x:f>IF(M50="","",M50/_xlfn.MAXIFS($M:$M,$E:$E,E50))</x:f>
        <x:v>0.014009826818842813</x:v>
      </x:c>
      <x:c r="P50" t="n">
        <x:f>IF(OR(N50="",O50=""),"",SQRT(N50*O50))</x:f>
        <x:v>0.023940118607740028</x:v>
      </x:c>
      <x:c r="Q50" t="n">
        <x:f>IF(OR(N50="",O50=""),"",N50^0.7*O50^0.3)</x:f>
        <x:v>0.029662223989351977</x:v>
      </x:c>
      <x:c r="R50" t="n">
        <x:f>IF(OR(N50="",O50=""),"",N50^0.3*O50^0.7)</x:f>
        <x:v>0.01932185796851916</x:v>
      </x:c>
    </x:row>
    <x:row r="51">
      <x:c r="A51" t="inlineStr">
        <x:is>
          <x:t xml:space="preserve">openai|gpt-6-sol|non-reasoning|nonreasoning|fallback-na|aa-v4.3.2|snapshot-2026-09-28</x:t>
        </x:is>
      </x:c>
      <x:c r="B51" t="inlineStr">
        <x:is>
          <x:t xml:space="preserve">openai|gpt-6-sol|non-reasoning|nonreasoning|fallback-na</x:t>
        </x:is>
      </x:c>
      <x:c r="C51" t="inlineStr">
        <x:is>
          <x:t xml:space="preserve">AA|v4.3.2</x:t>
        </x:is>
      </x:c>
      <x:c r="D51" t="n">
        <x:v>8</x:v>
      </x:c>
      <x:c r="E51" t="n">
        <x:v>30</x:v>
      </x:c>
      <x:c r="F51" t="n">
        <x:f>INDEX(Run_Metrics!$F:$F,D51)</x:f>
        <x:v>28</x:v>
      </x:c>
      <x:c r="G51" t="n">
        <x:f>INDEX(Run_Metrics!$G:$G,D51)</x:f>
        <x:v>0.33</x:v>
      </x:c>
      <x:c r="H51" t="n">
        <x:f>INDEX(Run_Metrics!$I:$I,D51)</x:f>
        <x:v>1.0315</x:v>
      </x:c>
      <x:c r="I51" t="n">
        <x:f>IF(F51="","",F51-(E51-1))</x:f>
        <x:v>-1</x:v>
      </x:c>
      <x:c r="J51" t="n">
        <x:f>IF(I51&gt;0,1,0)</x:f>
        <x:v>0</x:v>
      </x:c>
      <x:c r="K51" t="str">
        <x:f>IF(OR(J51=0,G51="",G51=0),"",I51/G51)</x:f>
      </x:c>
      <x:c r="L51" t="str">
        <x:f>IF(OR(J51=0,I51=0,G51=""),"",G51/I51)</x:f>
      </x:c>
      <x:c r="M51" t="str">
        <x:f>IF(OR(J51=0,G51="",H51="",G51=0,H51=0),"",I51/(G51*H51))</x:f>
      </x:c>
      <x:c r="N51" t="str">
        <x:f>IF(K51="","",K51/_xlfn.MAXIFS($K:$K,$E:$E,E51))</x:f>
      </x:c>
      <x:c r="O51" t="str">
        <x:f>IF(M51="","",M51/_xlfn.MAXIFS($M:$M,$E:$E,E51))</x:f>
      </x:c>
      <x:c r="P51" t="str">
        <x:f>IF(OR(N51="",O51=""),"",SQRT(N51*O51))</x:f>
      </x:c>
      <x:c r="Q51" t="str">
        <x:f>IF(OR(N51="",O51=""),"",N51^0.7*O51^0.3)</x:f>
      </x:c>
      <x:c r="R51" t="str">
        <x:f>IF(OR(N51="",O51=""),"",N51^0.3*O51^0.7)</x:f>
      </x:c>
    </x:row>
    <x:row r="52">
      <x:c r="A52" t="inlineStr">
        <x:is>
          <x:t xml:space="preserve">openai|gpt-6-sol|non-reasoning|nonreasoning|fallback-na|aa-v4.3.2|snapshot-2026-09-28</x:t>
        </x:is>
      </x:c>
      <x:c r="B52" t="inlineStr">
        <x:is>
          <x:t xml:space="preserve">openai|gpt-6-sol|non-reasoning|nonreasoning|fallback-na</x:t>
        </x:is>
      </x:c>
      <x:c r="C52" t="inlineStr">
        <x:is>
          <x:t xml:space="preserve">AA|v4.3.2</x:t>
        </x:is>
      </x:c>
      <x:c r="D52" t="n">
        <x:v>8</x:v>
      </x:c>
      <x:c r="E52" t="n">
        <x:v>40</x:v>
      </x:c>
      <x:c r="F52" t="n">
        <x:f>INDEX(Run_Metrics!$F:$F,D52)</x:f>
        <x:v>28</x:v>
      </x:c>
      <x:c r="G52" t="n">
        <x:f>INDEX(Run_Metrics!$G:$G,D52)</x:f>
        <x:v>0.33</x:v>
      </x:c>
      <x:c r="H52" t="n">
        <x:f>INDEX(Run_Metrics!$I:$I,D52)</x:f>
        <x:v>1.0315</x:v>
      </x:c>
      <x:c r="I52" t="n">
        <x:f>IF(F52="","",F52-(E52-1))</x:f>
        <x:v>-11</x:v>
      </x:c>
      <x:c r="J52" t="n">
        <x:f>IF(I52&gt;0,1,0)</x:f>
        <x:v>0</x:v>
      </x:c>
      <x:c r="K52" t="str">
        <x:f>IF(OR(J52=0,G52="",G52=0),"",I52/G52)</x:f>
      </x:c>
      <x:c r="L52" t="str">
        <x:f>IF(OR(J52=0,I52=0,G52=""),"",G52/I52)</x:f>
      </x:c>
      <x:c r="M52" t="str">
        <x:f>IF(OR(J52=0,G52="",H52="",G52=0,H52=0),"",I52/(G52*H52))</x:f>
      </x:c>
      <x:c r="N52" t="str">
        <x:f>IF(K52="","",K52/_xlfn.MAXIFS($K:$K,$E:$E,E52))</x:f>
      </x:c>
      <x:c r="O52" t="str">
        <x:f>IF(M52="","",M52/_xlfn.MAXIFS($M:$M,$E:$E,E52))</x:f>
      </x:c>
      <x:c r="P52" t="str">
        <x:f>IF(OR(N52="",O52=""),"",SQRT(N52*O52))</x:f>
      </x:c>
      <x:c r="Q52" t="str">
        <x:f>IF(OR(N52="",O52=""),"",N52^0.7*O52^0.3)</x:f>
      </x:c>
      <x:c r="R52" t="str">
        <x:f>IF(OR(N52="",O52=""),"",N52^0.3*O52^0.7)</x:f>
      </x:c>
    </x:row>
    <x:row r="53">
      <x:c r="A53" t="inlineStr">
        <x:is>
          <x:t xml:space="preserve">openai|gpt-6-sol|non-reasoning|nonreasoning|fallback-na|aa-v4.3.2|snapshot-2026-09-28</x:t>
        </x:is>
      </x:c>
      <x:c r="B53" t="inlineStr">
        <x:is>
          <x:t xml:space="preserve">openai|gpt-6-sol|non-reasoning|nonreasoning|fallback-na</x:t>
        </x:is>
      </x:c>
      <x:c r="C53" t="inlineStr">
        <x:is>
          <x:t xml:space="preserve">AA|v4.3.2</x:t>
        </x:is>
      </x:c>
      <x:c r="D53" t="n">
        <x:v>8</x:v>
      </x:c>
      <x:c r="E53" t="n">
        <x:v>45</x:v>
      </x:c>
      <x:c r="F53" t="n">
        <x:f>INDEX(Run_Metrics!$F:$F,D53)</x:f>
        <x:v>28</x:v>
      </x:c>
      <x:c r="G53" t="n">
        <x:f>INDEX(Run_Metrics!$G:$G,D53)</x:f>
        <x:v>0.33</x:v>
      </x:c>
      <x:c r="H53" t="n">
        <x:f>INDEX(Run_Metrics!$I:$I,D53)</x:f>
        <x:v>1.0315</x:v>
      </x:c>
      <x:c r="I53" t="n">
        <x:f>IF(F53="","",F53-(E53-1))</x:f>
        <x:v>-16</x:v>
      </x:c>
      <x:c r="J53" t="n">
        <x:f>IF(I53&gt;0,1,0)</x:f>
        <x:v>0</x:v>
      </x:c>
      <x:c r="K53" t="str">
        <x:f>IF(OR(J53=0,G53="",G53=0),"",I53/G53)</x:f>
      </x:c>
      <x:c r="L53" t="str">
        <x:f>IF(OR(J53=0,I53=0,G53=""),"",G53/I53)</x:f>
      </x:c>
      <x:c r="M53" t="str">
        <x:f>IF(OR(J53=0,G53="",H53="",G53=0,H53=0),"",I53/(G53*H53))</x:f>
      </x:c>
      <x:c r="N53" t="str">
        <x:f>IF(K53="","",K53/_xlfn.MAXIFS($K:$K,$E:$E,E53))</x:f>
      </x:c>
      <x:c r="O53" t="str">
        <x:f>IF(M53="","",M53/_xlfn.MAXIFS($M:$M,$E:$E,E53))</x:f>
      </x:c>
      <x:c r="P53" t="str">
        <x:f>IF(OR(N53="",O53=""),"",SQRT(N53*O53))</x:f>
      </x:c>
      <x:c r="Q53" t="str">
        <x:f>IF(OR(N53="",O53=""),"",N53^0.7*O53^0.3)</x:f>
      </x:c>
      <x:c r="R53" t="str">
        <x:f>IF(OR(N53="",O53=""),"",N53^0.3*O53^0.7)</x:f>
      </x:c>
    </x:row>
    <x:row r="54">
      <x:c r="A54" t="inlineStr">
        <x:is>
          <x:t xml:space="preserve">openai|gpt-6-sol|non-reasoning|nonreasoning|fallback-na|aa-v4.3.2|snapshot-2026-09-28</x:t>
        </x:is>
      </x:c>
      <x:c r="B54" t="inlineStr">
        <x:is>
          <x:t xml:space="preserve">openai|gpt-6-sol|non-reasoning|nonreasoning|fallback-na</x:t>
        </x:is>
      </x:c>
      <x:c r="C54" t="inlineStr">
        <x:is>
          <x:t xml:space="preserve">AA|v4.3.2</x:t>
        </x:is>
      </x:c>
      <x:c r="D54" t="n">
        <x:v>8</x:v>
      </x:c>
      <x:c r="E54" t="n">
        <x:v>50</x:v>
      </x:c>
      <x:c r="F54" t="n">
        <x:f>INDEX(Run_Metrics!$F:$F,D54)</x:f>
        <x:v>28</x:v>
      </x:c>
      <x:c r="G54" t="n">
        <x:f>INDEX(Run_Metrics!$G:$G,D54)</x:f>
        <x:v>0.33</x:v>
      </x:c>
      <x:c r="H54" t="n">
        <x:f>INDEX(Run_Metrics!$I:$I,D54)</x:f>
        <x:v>1.0315</x:v>
      </x:c>
      <x:c r="I54" t="n">
        <x:f>IF(F54="","",F54-(E54-1))</x:f>
        <x:v>-21</x:v>
      </x:c>
      <x:c r="J54" t="n">
        <x:f>IF(I54&gt;0,1,0)</x:f>
        <x:v>0</x:v>
      </x:c>
      <x:c r="K54" t="str">
        <x:f>IF(OR(J54=0,G54="",G54=0),"",I54/G54)</x:f>
      </x:c>
      <x:c r="L54" t="str">
        <x:f>IF(OR(J54=0,I54=0,G54=""),"",G54/I54)</x:f>
      </x:c>
      <x:c r="M54" t="str">
        <x:f>IF(OR(J54=0,G54="",H54="",G54=0,H54=0),"",I54/(G54*H54))</x:f>
      </x:c>
      <x:c r="N54" t="str">
        <x:f>IF(K54="","",K54/_xlfn.MAXIFS($K:$K,$E:$E,E54))</x:f>
      </x:c>
      <x:c r="O54" t="str">
        <x:f>IF(M54="","",M54/_xlfn.MAXIFS($M:$M,$E:$E,E54))</x:f>
      </x:c>
      <x:c r="P54" t="str">
        <x:f>IF(OR(N54="",O54=""),"",SQRT(N54*O54))</x:f>
      </x:c>
      <x:c r="Q54" t="str">
        <x:f>IF(OR(N54="",O54=""),"",N54^0.7*O54^0.3)</x:f>
      </x:c>
      <x:c r="R54" t="str">
        <x:f>IF(OR(N54="",O54=""),"",N54^0.3*O54^0.7)</x:f>
      </x:c>
    </x:row>
    <x:row r="55">
      <x:c r="A55" t="inlineStr">
        <x:is>
          <x:t xml:space="preserve">openai|gpt-6-sol|non-reasoning|nonreasoning|fallback-na|aa-v4.3.2|snapshot-2026-09-28</x:t>
        </x:is>
      </x:c>
      <x:c r="B55" t="inlineStr">
        <x:is>
          <x:t xml:space="preserve">openai|gpt-6-sol|non-reasoning|nonreasoning|fallback-na</x:t>
        </x:is>
      </x:c>
      <x:c r="C55" t="inlineStr">
        <x:is>
          <x:t xml:space="preserve">AA|v4.3.2</x:t>
        </x:is>
      </x:c>
      <x:c r="D55" t="n">
        <x:v>8</x:v>
      </x:c>
      <x:c r="E55" t="n">
        <x:v>52</x:v>
      </x:c>
      <x:c r="F55" t="n">
        <x:f>INDEX(Run_Metrics!$F:$F,D55)</x:f>
        <x:v>28</x:v>
      </x:c>
      <x:c r="G55" t="n">
        <x:f>INDEX(Run_Metrics!$G:$G,D55)</x:f>
        <x:v>0.33</x:v>
      </x:c>
      <x:c r="H55" t="n">
        <x:f>INDEX(Run_Metrics!$I:$I,D55)</x:f>
        <x:v>1.0315</x:v>
      </x:c>
      <x:c r="I55" t="n">
        <x:f>IF(F55="","",F55-(E55-1))</x:f>
        <x:v>-23</x:v>
      </x:c>
      <x:c r="J55" t="n">
        <x:f>IF(I55&gt;0,1,0)</x:f>
        <x:v>0</x:v>
      </x:c>
      <x:c r="K55" t="str">
        <x:f>IF(OR(J55=0,G55="",G55=0),"",I55/G55)</x:f>
      </x:c>
      <x:c r="L55" t="str">
        <x:f>IF(OR(J55=0,I55=0,G55=""),"",G55/I55)</x:f>
      </x:c>
      <x:c r="M55" t="str">
        <x:f>IF(OR(J55=0,G55="",H55="",G55=0,H55=0),"",I55/(G55*H55))</x:f>
      </x:c>
      <x:c r="N55" t="str">
        <x:f>IF(K55="","",K55/_xlfn.MAXIFS($K:$K,$E:$E,E55))</x:f>
      </x:c>
      <x:c r="O55" t="str">
        <x:f>IF(M55="","",M55/_xlfn.MAXIFS($M:$M,$E:$E,E55))</x:f>
      </x:c>
      <x:c r="P55" t="str">
        <x:f>IF(OR(N55="",O55=""),"",SQRT(N55*O55))</x:f>
      </x:c>
      <x:c r="Q55" t="str">
        <x:f>IF(OR(N55="",O55=""),"",N55^0.7*O55^0.3)</x:f>
      </x:c>
      <x:c r="R55" t="str">
        <x:f>IF(OR(N55="",O55=""),"",N55^0.3*O55^0.7)</x:f>
      </x:c>
    </x:row>
    <x:row r="56">
      <x:c r="A56" t="inlineStr">
        <x:is>
          <x:t xml:space="preserve">openai|gpt-6-sol|non-reasoning|nonreasoning|fallback-na|aa-v4.3.2|snapshot-2026-09-28</x:t>
        </x:is>
      </x:c>
      <x:c r="B56" t="inlineStr">
        <x:is>
          <x:t xml:space="preserve">openai|gpt-6-sol|non-reasoning|nonreasoning|fallback-na</x:t>
        </x:is>
      </x:c>
      <x:c r="C56" t="inlineStr">
        <x:is>
          <x:t xml:space="preserve">AA|v4.3.2</x:t>
        </x:is>
      </x:c>
      <x:c r="D56" t="n">
        <x:v>8</x:v>
      </x:c>
      <x:c r="E56" t="n">
        <x:v>65</x:v>
      </x:c>
      <x:c r="F56" t="n">
        <x:f>INDEX(Run_Metrics!$F:$F,D56)</x:f>
        <x:v>28</x:v>
      </x:c>
      <x:c r="G56" t="n">
        <x:f>INDEX(Run_Metrics!$G:$G,D56)</x:f>
        <x:v>0.33</x:v>
      </x:c>
      <x:c r="H56" t="n">
        <x:f>INDEX(Run_Metrics!$I:$I,D56)</x:f>
        <x:v>1.0315</x:v>
      </x:c>
      <x:c r="I56" t="n">
        <x:f>IF(F56="","",F56-(E56-1))</x:f>
        <x:v>-36</x:v>
      </x:c>
      <x:c r="J56" t="n">
        <x:f>IF(I56&gt;0,1,0)</x:f>
        <x:v>0</x:v>
      </x:c>
      <x:c r="K56" t="str">
        <x:f>IF(OR(J56=0,G56="",G56=0),"",I56/G56)</x:f>
      </x:c>
      <x:c r="L56" t="str">
        <x:f>IF(OR(J56=0,I56=0,G56=""),"",G56/I56)</x:f>
      </x:c>
      <x:c r="M56" t="str">
        <x:f>IF(OR(J56=0,G56="",H56="",G56=0,H56=0),"",I56/(G56*H56))</x:f>
      </x:c>
      <x:c r="N56" t="str">
        <x:f>IF(K56="","",K56/_xlfn.MAXIFS($K:$K,$E:$E,E56))</x:f>
      </x:c>
      <x:c r="O56" t="str">
        <x:f>IF(M56="","",M56/_xlfn.MAXIFS($M:$M,$E:$E,E56))</x:f>
      </x:c>
      <x:c r="P56" t="str">
        <x:f>IF(OR(N56="",O56=""),"",SQRT(N56*O56))</x:f>
      </x:c>
      <x:c r="Q56" t="str">
        <x:f>IF(OR(N56="",O56=""),"",N56^0.7*O56^0.3)</x:f>
      </x:c>
      <x:c r="R56" t="str">
        <x:f>IF(OR(N56="",O56=""),"",N56^0.3*O56^0.7)</x:f>
      </x:c>
    </x:row>
    <x:row r="57">
      <x:c r="A57" t="inlineStr">
        <x:is>
          <x:t xml:space="preserve">openai|gpt-6-sol|non-reasoning|nonreasoning|fallback-na|aa-v4.3.2|snapshot-2026-09-28</x:t>
        </x:is>
      </x:c>
      <x:c r="B57" t="inlineStr">
        <x:is>
          <x:t xml:space="preserve">openai|gpt-6-sol|non-reasoning|nonreasoning|fallback-na</x:t>
        </x:is>
      </x:c>
      <x:c r="C57" t="inlineStr">
        <x:is>
          <x:t xml:space="preserve">AA|v4.3.2</x:t>
        </x:is>
      </x:c>
      <x:c r="D57" t="n">
        <x:v>8</x:v>
      </x:c>
      <x:c r="E57" t="n">
        <x:v>80</x:v>
      </x:c>
      <x:c r="F57" t="n">
        <x:f>INDEX(Run_Metrics!$F:$F,D57)</x:f>
        <x:v>28</x:v>
      </x:c>
      <x:c r="G57" t="n">
        <x:f>INDEX(Run_Metrics!$G:$G,D57)</x:f>
        <x:v>0.33</x:v>
      </x:c>
      <x:c r="H57" t="n">
        <x:f>INDEX(Run_Metrics!$I:$I,D57)</x:f>
        <x:v>1.0315</x:v>
      </x:c>
      <x:c r="I57" t="n">
        <x:f>IF(F57="","",F57-(E57-1))</x:f>
        <x:v>-51</x:v>
      </x:c>
      <x:c r="J57" t="n">
        <x:f>IF(I57&gt;0,1,0)</x:f>
        <x:v>0</x:v>
      </x:c>
      <x:c r="K57" t="str">
        <x:f>IF(OR(J57=0,G57="",G57=0),"",I57/G57)</x:f>
      </x:c>
      <x:c r="L57" t="str">
        <x:f>IF(OR(J57=0,I57=0,G57=""),"",G57/I57)</x:f>
      </x:c>
      <x:c r="M57" t="str">
        <x:f>IF(OR(J57=0,G57="",H57="",G57=0,H57=0),"",I57/(G57*H57))</x:f>
      </x:c>
      <x:c r="N57" t="str">
        <x:f>IF(K57="","",K57/_xlfn.MAXIFS($K:$K,$E:$E,E57))</x:f>
      </x:c>
      <x:c r="O57" t="str">
        <x:f>IF(M57="","",M57/_xlfn.MAXIFS($M:$M,$E:$E,E57))</x:f>
      </x:c>
      <x:c r="P57" t="str">
        <x:f>IF(OR(N57="",O57=""),"",SQRT(N57*O57))</x:f>
      </x:c>
      <x:c r="Q57" t="str">
        <x:f>IF(OR(N57="",O57=""),"",N57^0.7*O57^0.3)</x:f>
      </x:c>
      <x:c r="R57" t="str">
        <x:f>IF(OR(N57="",O57=""),"",N57^0.3*O57^0.7)</x:f>
      </x:c>
    </x:row>
    <x:row r="58">
      <x:c r="A58" t="inlineStr">
        <x:is>
          <x:t xml:space="preserve">openai|gpt-6-sol|low|reasoning|fallback-na|aa-v4.3.2|snapshot-2026-09-28</x:t>
        </x:is>
      </x:c>
      <x:c r="B58" t="inlineStr">
        <x:is>
          <x:t xml:space="preserve">openai|gpt-6-sol|low|reasoning|fallback-na</x:t>
        </x:is>
      </x:c>
      <x:c r="C58" t="inlineStr">
        <x:is>
          <x:t xml:space="preserve">AA|v4.3.2</x:t>
        </x:is>
      </x:c>
      <x:c r="D58" t="n">
        <x:v>9</x:v>
      </x:c>
      <x:c r="E58" t="n">
        <x:v>20</x:v>
      </x:c>
      <x:c r="F58" t="n">
        <x:f>INDEX(Run_Metrics!$F:$F,D58)</x:f>
        <x:v>34</x:v>
      </x:c>
      <x:c r="G58" t="n">
        <x:f>INDEX(Run_Metrics!$G:$G,D58)</x:f>
        <x:v>0.13</x:v>
      </x:c>
      <x:c r="H58" t="n">
        <x:f>INDEX(Run_Metrics!$I:$I,D58)</x:f>
        <x:v>0.6845</x:v>
      </x:c>
      <x:c r="I58" t="n">
        <x:f>IF(F58="","",F58-(E58-1))</x:f>
        <x:v>15</x:v>
      </x:c>
      <x:c r="J58" t="n">
        <x:f>IF(I58&gt;0,1,0)</x:f>
        <x:v>1</x:v>
      </x:c>
      <x:c r="K58" t="n">
        <x:f>IF(OR(J58=0,G58="",G58=0),"",I58/G58)</x:f>
        <x:v>115.38461538461539</x:v>
      </x:c>
      <x:c r="L58" t="n">
        <x:f>IF(OR(J58=0,I58=0,G58=""),"",G58/I58)</x:f>
        <x:v>0.008666666666666666</x:v>
      </x:c>
      <x:c r="M58" t="n">
        <x:f>IF(OR(J58=0,G58="",H58="",G58=0,H58=0),"",I58/(G58*H58))</x:f>
        <x:v>168.56773613530368</x:v>
      </x:c>
      <x:c r="N58" t="n">
        <x:f>IF(K58="","",K58/_xlfn.MAXIFS($K:$K,$E:$E,E58))</x:f>
        <x:v>0.17307692307692307</x:v>
      </x:c>
      <x:c r="O58" t="n">
        <x:f>IF(M58="","",M58/_xlfn.MAXIFS($M:$M,$E:$E,E58))</x:f>
        <x:v>0.08931982918469403</x:v>
      </x:c>
      <x:c r="P58" t="n">
        <x:f>IF(OR(N58="",O58=""),"",SQRT(N58*O58))</x:f>
        <x:v>0.12433503611228493</x:v>
      </x:c>
      <x:c r="Q58" t="n">
        <x:f>IF(OR(N58="",O58=""),"",N58^0.7*O58^0.3)</x:f>
        <x:v>0.14192267269475117</x:v>
      </x:c>
      <x:c r="R58" t="n">
        <x:f>IF(OR(N58="",O58=""),"",N58^0.3*O58^0.7)</x:f>
        <x:v>0.10892693120494583</x:v>
      </x:c>
    </x:row>
    <x:row r="59">
      <x:c r="A59" t="inlineStr">
        <x:is>
          <x:t xml:space="preserve">openai|gpt-6-sol|low|reasoning|fallback-na|aa-v4.3.2|snapshot-2026-09-28</x:t>
        </x:is>
      </x:c>
      <x:c r="B59" t="inlineStr">
        <x:is>
          <x:t xml:space="preserve">openai|gpt-6-sol|low|reasoning|fallback-na</x:t>
        </x:is>
      </x:c>
      <x:c r="C59" t="inlineStr">
        <x:is>
          <x:t xml:space="preserve">AA|v4.3.2</x:t>
        </x:is>
      </x:c>
      <x:c r="D59" t="n">
        <x:v>9</x:v>
      </x:c>
      <x:c r="E59" t="n">
        <x:v>30</x:v>
      </x:c>
      <x:c r="F59" t="n">
        <x:f>INDEX(Run_Metrics!$F:$F,D59)</x:f>
        <x:v>34</x:v>
      </x:c>
      <x:c r="G59" t="n">
        <x:f>INDEX(Run_Metrics!$G:$G,D59)</x:f>
        <x:v>0.13</x:v>
      </x:c>
      <x:c r="H59" t="n">
        <x:f>INDEX(Run_Metrics!$I:$I,D59)</x:f>
        <x:v>0.6845</x:v>
      </x:c>
      <x:c r="I59" t="n">
        <x:f>IF(F59="","",F59-(E59-1))</x:f>
        <x:v>5</x:v>
      </x:c>
      <x:c r="J59" t="n">
        <x:f>IF(I59&gt;0,1,0)</x:f>
        <x:v>1</x:v>
      </x:c>
      <x:c r="K59" t="n">
        <x:f>IF(OR(J59=0,G59="",G59=0),"",I59/G59)</x:f>
        <x:v>38.46153846153846</x:v>
      </x:c>
      <x:c r="L59" t="n">
        <x:f>IF(OR(J59=0,I59=0,G59=""),"",G59/I59)</x:f>
        <x:v>0.026000000000000002</x:v>
      </x:c>
      <x:c r="M59" t="n">
        <x:f>IF(OR(J59=0,G59="",H59="",G59=0,H59=0),"",I59/(G59*H59))</x:f>
        <x:v>56.18924537843456</x:v>
      </x:c>
      <x:c r="N59" t="n">
        <x:f>IF(K59="","",K59/_xlfn.MAXIFS($K:$K,$E:$E,E59))</x:f>
        <x:v>0.2564102564102564</x:v>
      </x:c>
      <x:c r="O59" t="n">
        <x:f>IF(M59="","",M59/_xlfn.MAXIFS($M:$M,$E:$E,E59))</x:f>
        <x:v>1</x:v>
      </x:c>
      <x:c r="P59" t="n">
        <x:f>IF(OR(N59="",O59=""),"",SQRT(N59*O59))</x:f>
        <x:v>0.5063696835418333</x:v>
      </x:c>
      <x:c r="Q59" t="n">
        <x:f>IF(OR(N59="",O59=""),"",N59^0.7*O59^0.3)</x:f>
        <x:v>0.385704561536193</x:v>
      </x:c>
      <x:c r="R59" t="n">
        <x:f>IF(OR(N59="",O59=""),"",N59^0.3*O59^0.7)</x:f>
        <x:v>0.6647840911940988</x:v>
      </x:c>
    </x:row>
    <x:row r="60">
      <x:c r="A60" t="inlineStr">
        <x:is>
          <x:t xml:space="preserve">openai|gpt-6-sol|low|reasoning|fallback-na|aa-v4.3.2|snapshot-2026-09-28</x:t>
        </x:is>
      </x:c>
      <x:c r="B60" t="inlineStr">
        <x:is>
          <x:t xml:space="preserve">openai|gpt-6-sol|low|reasoning|fallback-na</x:t>
        </x:is>
      </x:c>
      <x:c r="C60" t="inlineStr">
        <x:is>
          <x:t xml:space="preserve">AA|v4.3.2</x:t>
        </x:is>
      </x:c>
      <x:c r="D60" t="n">
        <x:v>9</x:v>
      </x:c>
      <x:c r="E60" t="n">
        <x:v>40</x:v>
      </x:c>
      <x:c r="F60" t="n">
        <x:f>INDEX(Run_Metrics!$F:$F,D60)</x:f>
        <x:v>34</x:v>
      </x:c>
      <x:c r="G60" t="n">
        <x:f>INDEX(Run_Metrics!$G:$G,D60)</x:f>
        <x:v>0.13</x:v>
      </x:c>
      <x:c r="H60" t="n">
        <x:f>INDEX(Run_Metrics!$I:$I,D60)</x:f>
        <x:v>0.6845</x:v>
      </x:c>
      <x:c r="I60" t="n">
        <x:f>IF(F60="","",F60-(E60-1))</x:f>
        <x:v>-5</x:v>
      </x:c>
      <x:c r="J60" t="n">
        <x:f>IF(I60&gt;0,1,0)</x:f>
        <x:v>0</x:v>
      </x:c>
      <x:c r="K60" t="str">
        <x:f>IF(OR(J60=0,G60="",G60=0),"",I60/G60)</x:f>
      </x:c>
      <x:c r="L60" t="str">
        <x:f>IF(OR(J60=0,I60=0,G60=""),"",G60/I60)</x:f>
      </x:c>
      <x:c r="M60" t="str">
        <x:f>IF(OR(J60=0,G60="",H60="",G60=0,H60=0),"",I60/(G60*H60))</x:f>
      </x:c>
      <x:c r="N60" t="str">
        <x:f>IF(K60="","",K60/_xlfn.MAXIFS($K:$K,$E:$E,E60))</x:f>
      </x:c>
      <x:c r="O60" t="str">
        <x:f>IF(M60="","",M60/_xlfn.MAXIFS($M:$M,$E:$E,E60))</x:f>
      </x:c>
      <x:c r="P60" t="str">
        <x:f>IF(OR(N60="",O60=""),"",SQRT(N60*O60))</x:f>
      </x:c>
      <x:c r="Q60" t="str">
        <x:f>IF(OR(N60="",O60=""),"",N60^0.7*O60^0.3)</x:f>
      </x:c>
      <x:c r="R60" t="str">
        <x:f>IF(OR(N60="",O60=""),"",N60^0.3*O60^0.7)</x:f>
      </x:c>
    </x:row>
    <x:row r="61">
      <x:c r="A61" t="inlineStr">
        <x:is>
          <x:t xml:space="preserve">openai|gpt-6-sol|low|reasoning|fallback-na|aa-v4.3.2|snapshot-2026-09-28</x:t>
        </x:is>
      </x:c>
      <x:c r="B61" t="inlineStr">
        <x:is>
          <x:t xml:space="preserve">openai|gpt-6-sol|low|reasoning|fallback-na</x:t>
        </x:is>
      </x:c>
      <x:c r="C61" t="inlineStr">
        <x:is>
          <x:t xml:space="preserve">AA|v4.3.2</x:t>
        </x:is>
      </x:c>
      <x:c r="D61" t="n">
        <x:v>9</x:v>
      </x:c>
      <x:c r="E61" t="n">
        <x:v>45</x:v>
      </x:c>
      <x:c r="F61" t="n">
        <x:f>INDEX(Run_Metrics!$F:$F,D61)</x:f>
        <x:v>34</x:v>
      </x:c>
      <x:c r="G61" t="n">
        <x:f>INDEX(Run_Metrics!$G:$G,D61)</x:f>
        <x:v>0.13</x:v>
      </x:c>
      <x:c r="H61" t="n">
        <x:f>INDEX(Run_Metrics!$I:$I,D61)</x:f>
        <x:v>0.6845</x:v>
      </x:c>
      <x:c r="I61" t="n">
        <x:f>IF(F61="","",F61-(E61-1))</x:f>
        <x:v>-10</x:v>
      </x:c>
      <x:c r="J61" t="n">
        <x:f>IF(I61&gt;0,1,0)</x:f>
        <x:v>0</x:v>
      </x:c>
      <x:c r="K61" t="str">
        <x:f>IF(OR(J61=0,G61="",G61=0),"",I61/G61)</x:f>
      </x:c>
      <x:c r="L61" t="str">
        <x:f>IF(OR(J61=0,I61=0,G61=""),"",G61/I61)</x:f>
      </x:c>
      <x:c r="M61" t="str">
        <x:f>IF(OR(J61=0,G61="",H61="",G61=0,H61=0),"",I61/(G61*H61))</x:f>
      </x:c>
      <x:c r="N61" t="str">
        <x:f>IF(K61="","",K61/_xlfn.MAXIFS($K:$K,$E:$E,E61))</x:f>
      </x:c>
      <x:c r="O61" t="str">
        <x:f>IF(M61="","",M61/_xlfn.MAXIFS($M:$M,$E:$E,E61))</x:f>
      </x:c>
      <x:c r="P61" t="str">
        <x:f>IF(OR(N61="",O61=""),"",SQRT(N61*O61))</x:f>
      </x:c>
      <x:c r="Q61" t="str">
        <x:f>IF(OR(N61="",O61=""),"",N61^0.7*O61^0.3)</x:f>
      </x:c>
      <x:c r="R61" t="str">
        <x:f>IF(OR(N61="",O61=""),"",N61^0.3*O61^0.7)</x:f>
      </x:c>
    </x:row>
    <x:row r="62">
      <x:c r="A62" t="inlineStr">
        <x:is>
          <x:t xml:space="preserve">openai|gpt-6-sol|low|reasoning|fallback-na|aa-v4.3.2|snapshot-2026-09-28</x:t>
        </x:is>
      </x:c>
      <x:c r="B62" t="inlineStr">
        <x:is>
          <x:t xml:space="preserve">openai|gpt-6-sol|low|reasoning|fallback-na</x:t>
        </x:is>
      </x:c>
      <x:c r="C62" t="inlineStr">
        <x:is>
          <x:t xml:space="preserve">AA|v4.3.2</x:t>
        </x:is>
      </x:c>
      <x:c r="D62" t="n">
        <x:v>9</x:v>
      </x:c>
      <x:c r="E62" t="n">
        <x:v>50</x:v>
      </x:c>
      <x:c r="F62" t="n">
        <x:f>INDEX(Run_Metrics!$F:$F,D62)</x:f>
        <x:v>34</x:v>
      </x:c>
      <x:c r="G62" t="n">
        <x:f>INDEX(Run_Metrics!$G:$G,D62)</x:f>
        <x:v>0.13</x:v>
      </x:c>
      <x:c r="H62" t="n">
        <x:f>INDEX(Run_Metrics!$I:$I,D62)</x:f>
        <x:v>0.6845</x:v>
      </x:c>
      <x:c r="I62" t="n">
        <x:f>IF(F62="","",F62-(E62-1))</x:f>
        <x:v>-15</x:v>
      </x:c>
      <x:c r="J62" t="n">
        <x:f>IF(I62&gt;0,1,0)</x:f>
        <x:v>0</x:v>
      </x:c>
      <x:c r="K62" t="str">
        <x:f>IF(OR(J62=0,G62="",G62=0),"",I62/G62)</x:f>
      </x:c>
      <x:c r="L62" t="str">
        <x:f>IF(OR(J62=0,I62=0,G62=""),"",G62/I62)</x:f>
      </x:c>
      <x:c r="M62" t="str">
        <x:f>IF(OR(J62=0,G62="",H62="",G62=0,H62=0),"",I62/(G62*H62))</x:f>
      </x:c>
      <x:c r="N62" t="str">
        <x:f>IF(K62="","",K62/_xlfn.MAXIFS($K:$K,$E:$E,E62))</x:f>
      </x:c>
      <x:c r="O62" t="str">
        <x:f>IF(M62="","",M62/_xlfn.MAXIFS($M:$M,$E:$E,E62))</x:f>
      </x:c>
      <x:c r="P62" t="str">
        <x:f>IF(OR(N62="",O62=""),"",SQRT(N62*O62))</x:f>
      </x:c>
      <x:c r="Q62" t="str">
        <x:f>IF(OR(N62="",O62=""),"",N62^0.7*O62^0.3)</x:f>
      </x:c>
      <x:c r="R62" t="str">
        <x:f>IF(OR(N62="",O62=""),"",N62^0.3*O62^0.7)</x:f>
      </x:c>
    </x:row>
    <x:row r="63">
      <x:c r="A63" t="inlineStr">
        <x:is>
          <x:t xml:space="preserve">openai|gpt-6-sol|low|reasoning|fallback-na|aa-v4.3.2|snapshot-2026-09-28</x:t>
        </x:is>
      </x:c>
      <x:c r="B63" t="inlineStr">
        <x:is>
          <x:t xml:space="preserve">openai|gpt-6-sol|low|reasoning|fallback-na</x:t>
        </x:is>
      </x:c>
      <x:c r="C63" t="inlineStr">
        <x:is>
          <x:t xml:space="preserve">AA|v4.3.2</x:t>
        </x:is>
      </x:c>
      <x:c r="D63" t="n">
        <x:v>9</x:v>
      </x:c>
      <x:c r="E63" t="n">
        <x:v>52</x:v>
      </x:c>
      <x:c r="F63" t="n">
        <x:f>INDEX(Run_Metrics!$F:$F,D63)</x:f>
        <x:v>34</x:v>
      </x:c>
      <x:c r="G63" t="n">
        <x:f>INDEX(Run_Metrics!$G:$G,D63)</x:f>
        <x:v>0.13</x:v>
      </x:c>
      <x:c r="H63" t="n">
        <x:f>INDEX(Run_Metrics!$I:$I,D63)</x:f>
        <x:v>0.6845</x:v>
      </x:c>
      <x:c r="I63" t="n">
        <x:f>IF(F63="","",F63-(E63-1))</x:f>
        <x:v>-17</x:v>
      </x:c>
      <x:c r="J63" t="n">
        <x:f>IF(I63&gt;0,1,0)</x:f>
        <x:v>0</x:v>
      </x:c>
      <x:c r="K63" t="str">
        <x:f>IF(OR(J63=0,G63="",G63=0),"",I63/G63)</x:f>
      </x:c>
      <x:c r="L63" t="str">
        <x:f>IF(OR(J63=0,I63=0,G63=""),"",G63/I63)</x:f>
      </x:c>
      <x:c r="M63" t="str">
        <x:f>IF(OR(J63=0,G63="",H63="",G63=0,H63=0),"",I63/(G63*H63))</x:f>
      </x:c>
      <x:c r="N63" t="str">
        <x:f>IF(K63="","",K63/_xlfn.MAXIFS($K:$K,$E:$E,E63))</x:f>
      </x:c>
      <x:c r="O63" t="str">
        <x:f>IF(M63="","",M63/_xlfn.MAXIFS($M:$M,$E:$E,E63))</x:f>
      </x:c>
      <x:c r="P63" t="str">
        <x:f>IF(OR(N63="",O63=""),"",SQRT(N63*O63))</x:f>
      </x:c>
      <x:c r="Q63" t="str">
        <x:f>IF(OR(N63="",O63=""),"",N63^0.7*O63^0.3)</x:f>
      </x:c>
      <x:c r="R63" t="str">
        <x:f>IF(OR(N63="",O63=""),"",N63^0.3*O63^0.7)</x:f>
      </x:c>
    </x:row>
    <x:row r="64">
      <x:c r="A64" t="inlineStr">
        <x:is>
          <x:t xml:space="preserve">openai|gpt-6-sol|low|reasoning|fallback-na|aa-v4.3.2|snapshot-2026-09-28</x:t>
        </x:is>
      </x:c>
      <x:c r="B64" t="inlineStr">
        <x:is>
          <x:t xml:space="preserve">openai|gpt-6-sol|low|reasoning|fallback-na</x:t>
        </x:is>
      </x:c>
      <x:c r="C64" t="inlineStr">
        <x:is>
          <x:t xml:space="preserve">AA|v4.3.2</x:t>
        </x:is>
      </x:c>
      <x:c r="D64" t="n">
        <x:v>9</x:v>
      </x:c>
      <x:c r="E64" t="n">
        <x:v>65</x:v>
      </x:c>
      <x:c r="F64" t="n">
        <x:f>INDEX(Run_Metrics!$F:$F,D64)</x:f>
        <x:v>34</x:v>
      </x:c>
      <x:c r="G64" t="n">
        <x:f>INDEX(Run_Metrics!$G:$G,D64)</x:f>
        <x:v>0.13</x:v>
      </x:c>
      <x:c r="H64" t="n">
        <x:f>INDEX(Run_Metrics!$I:$I,D64)</x:f>
        <x:v>0.6845</x:v>
      </x:c>
      <x:c r="I64" t="n">
        <x:f>IF(F64="","",F64-(E64-1))</x:f>
        <x:v>-30</x:v>
      </x:c>
      <x:c r="J64" t="n">
        <x:f>IF(I64&gt;0,1,0)</x:f>
        <x:v>0</x:v>
      </x:c>
      <x:c r="K64" t="str">
        <x:f>IF(OR(J64=0,G64="",G64=0),"",I64/G64)</x:f>
      </x:c>
      <x:c r="L64" t="str">
        <x:f>IF(OR(J64=0,I64=0,G64=""),"",G64/I64)</x:f>
      </x:c>
      <x:c r="M64" t="str">
        <x:f>IF(OR(J64=0,G64="",H64="",G64=0,H64=0),"",I64/(G64*H64))</x:f>
      </x:c>
      <x:c r="N64" t="str">
        <x:f>IF(K64="","",K64/_xlfn.MAXIFS($K:$K,$E:$E,E64))</x:f>
      </x:c>
      <x:c r="O64" t="str">
        <x:f>IF(M64="","",M64/_xlfn.MAXIFS($M:$M,$E:$E,E64))</x:f>
      </x:c>
      <x:c r="P64" t="str">
        <x:f>IF(OR(N64="",O64=""),"",SQRT(N64*O64))</x:f>
      </x:c>
      <x:c r="Q64" t="str">
        <x:f>IF(OR(N64="",O64=""),"",N64^0.7*O64^0.3)</x:f>
      </x:c>
      <x:c r="R64" t="str">
        <x:f>IF(OR(N64="",O64=""),"",N64^0.3*O64^0.7)</x:f>
      </x:c>
    </x:row>
    <x:row r="65">
      <x:c r="A65" t="inlineStr">
        <x:is>
          <x:t xml:space="preserve">openai|gpt-6-sol|low|reasoning|fallback-na|aa-v4.3.2|snapshot-2026-09-28</x:t>
        </x:is>
      </x:c>
      <x:c r="B65" t="inlineStr">
        <x:is>
          <x:t xml:space="preserve">openai|gpt-6-sol|low|reasoning|fallback-na</x:t>
        </x:is>
      </x:c>
      <x:c r="C65" t="inlineStr">
        <x:is>
          <x:t xml:space="preserve">AA|v4.3.2</x:t>
        </x:is>
      </x:c>
      <x:c r="D65" t="n">
        <x:v>9</x:v>
      </x:c>
      <x:c r="E65" t="n">
        <x:v>80</x:v>
      </x:c>
      <x:c r="F65" t="n">
        <x:f>INDEX(Run_Metrics!$F:$F,D65)</x:f>
        <x:v>34</x:v>
      </x:c>
      <x:c r="G65" t="n">
        <x:f>INDEX(Run_Metrics!$G:$G,D65)</x:f>
        <x:v>0.13</x:v>
      </x:c>
      <x:c r="H65" t="n">
        <x:f>INDEX(Run_Metrics!$I:$I,D65)</x:f>
        <x:v>0.6845</x:v>
      </x:c>
      <x:c r="I65" t="n">
        <x:f>IF(F65="","",F65-(E65-1))</x:f>
        <x:v>-45</x:v>
      </x:c>
      <x:c r="J65" t="n">
        <x:f>IF(I65&gt;0,1,0)</x:f>
        <x:v>0</x:v>
      </x:c>
      <x:c r="K65" t="str">
        <x:f>IF(OR(J65=0,G65="",G65=0),"",I65/G65)</x:f>
      </x:c>
      <x:c r="L65" t="str">
        <x:f>IF(OR(J65=0,I65=0,G65=""),"",G65/I65)</x:f>
      </x:c>
      <x:c r="M65" t="str">
        <x:f>IF(OR(J65=0,G65="",H65="",G65=0,H65=0),"",I65/(G65*H65))</x:f>
      </x:c>
      <x:c r="N65" t="str">
        <x:f>IF(K65="","",K65/_xlfn.MAXIFS($K:$K,$E:$E,E65))</x:f>
      </x:c>
      <x:c r="O65" t="str">
        <x:f>IF(M65="","",M65/_xlfn.MAXIFS($M:$M,$E:$E,E65))</x:f>
      </x:c>
      <x:c r="P65" t="str">
        <x:f>IF(OR(N65="",O65=""),"",SQRT(N65*O65))</x:f>
      </x:c>
      <x:c r="Q65" t="str">
        <x:f>IF(OR(N65="",O65=""),"",N65^0.7*O65^0.3)</x:f>
      </x:c>
      <x:c r="R65" t="str">
        <x:f>IF(OR(N65="",O65=""),"",N65^0.3*O65^0.7)</x:f>
      </x:c>
    </x:row>
    <x:row r="66">
      <x:c r="A66" t="inlineStr">
        <x:is>
          <x:t xml:space="preserve">openai|gpt-6-sol|medium|reasoning|fallback-na|aa-v4.3.2|snapshot-2026-09-28</x:t>
        </x:is>
      </x:c>
      <x:c r="B66" t="inlineStr">
        <x:is>
          <x:t xml:space="preserve">openai|gpt-6-sol|medium|reasoning|fallback-na</x:t>
        </x:is>
      </x:c>
      <x:c r="C66" t="inlineStr">
        <x:is>
          <x:t xml:space="preserve">AA|v4.3.2</x:t>
        </x:is>
      </x:c>
      <x:c r="D66" t="n">
        <x:v>10</x:v>
      </x:c>
      <x:c r="E66" t="n">
        <x:v>20</x:v>
      </x:c>
      <x:c r="F66" t="n">
        <x:f>INDEX(Run_Metrics!$F:$F,D66)</x:f>
        <x:v>40</x:v>
      </x:c>
      <x:c r="G66" t="n">
        <x:f>INDEX(Run_Metrics!$G:$G,D66)</x:f>
        <x:v>0.25</x:v>
      </x:c>
      <x:c r="H66" t="str">
        <x:f>INDEX(Run_Metrics!$I:$I,D66)</x:f>
      </x:c>
      <x:c r="I66" t="n">
        <x:f>IF(F66="","",F66-(E66-1))</x:f>
        <x:v>21</x:v>
      </x:c>
      <x:c r="J66" t="n">
        <x:f>IF(I66&gt;0,1,0)</x:f>
        <x:v>1</x:v>
      </x:c>
      <x:c r="K66" t="n">
        <x:f>IF(OR(J66=0,G66="",G66=0),"",I66/G66)</x:f>
        <x:v>84</x:v>
      </x:c>
      <x:c r="L66" t="n">
        <x:f>IF(OR(J66=0,I66=0,G66=""),"",G66/I66)</x:f>
        <x:v>0.011904761904761904</x:v>
      </x:c>
      <x:c r="M66" t="str">
        <x:f>IF(OR(J66=0,G66="",H66="",G66=0,H66=0),"",I66/(G66*H66))</x:f>
      </x:c>
      <x:c r="N66" t="n">
        <x:f>IF(K66="","",K66/_xlfn.MAXIFS($K:$K,$E:$E,E66))</x:f>
        <x:v>0.12599999999999997</x:v>
      </x:c>
      <x:c r="O66" t="str">
        <x:f>IF(M66="","",M66/_xlfn.MAXIFS($M:$M,$E:$E,E66))</x:f>
      </x:c>
      <x:c r="P66" t="str">
        <x:f>IF(OR(N66="",O66=""),"",SQRT(N66*O66))</x:f>
      </x:c>
      <x:c r="Q66" t="str">
        <x:f>IF(OR(N66="",O66=""),"",N66^0.7*O66^0.3)</x:f>
      </x:c>
      <x:c r="R66" t="str">
        <x:f>IF(OR(N66="",O66=""),"",N66^0.3*O66^0.7)</x:f>
      </x:c>
    </x:row>
    <x:row r="67">
      <x:c r="A67" t="inlineStr">
        <x:is>
          <x:t xml:space="preserve">openai|gpt-6-sol|medium|reasoning|fallback-na|aa-v4.3.2|snapshot-2026-09-28</x:t>
        </x:is>
      </x:c>
      <x:c r="B67" t="inlineStr">
        <x:is>
          <x:t xml:space="preserve">openai|gpt-6-sol|medium|reasoning|fallback-na</x:t>
        </x:is>
      </x:c>
      <x:c r="C67" t="inlineStr">
        <x:is>
          <x:t xml:space="preserve">AA|v4.3.2</x:t>
        </x:is>
      </x:c>
      <x:c r="D67" t="n">
        <x:v>10</x:v>
      </x:c>
      <x:c r="E67" t="n">
        <x:v>30</x:v>
      </x:c>
      <x:c r="F67" t="n">
        <x:f>INDEX(Run_Metrics!$F:$F,D67)</x:f>
        <x:v>40</x:v>
      </x:c>
      <x:c r="G67" t="n">
        <x:f>INDEX(Run_Metrics!$G:$G,D67)</x:f>
        <x:v>0.25</x:v>
      </x:c>
      <x:c r="H67" t="str">
        <x:f>INDEX(Run_Metrics!$I:$I,D67)</x:f>
      </x:c>
      <x:c r="I67" t="n">
        <x:f>IF(F67="","",F67-(E67-1))</x:f>
        <x:v>11</x:v>
      </x:c>
      <x:c r="J67" t="n">
        <x:f>IF(I67&gt;0,1,0)</x:f>
        <x:v>1</x:v>
      </x:c>
      <x:c r="K67" t="n">
        <x:f>IF(OR(J67=0,G67="",G67=0),"",I67/G67)</x:f>
        <x:v>44</x:v>
      </x:c>
      <x:c r="L67" t="n">
        <x:f>IF(OR(J67=0,I67=0,G67=""),"",G67/I67)</x:f>
        <x:v>0.022727272727272728</x:v>
      </x:c>
      <x:c r="M67" t="str">
        <x:f>IF(OR(J67=0,G67="",H67="",G67=0,H67=0),"",I67/(G67*H67))</x:f>
      </x:c>
      <x:c r="N67" t="n">
        <x:f>IF(K67="","",K67/_xlfn.MAXIFS($K:$K,$E:$E,E67))</x:f>
        <x:v>0.29333333333333333</x:v>
      </x:c>
      <x:c r="O67" t="str">
        <x:f>IF(M67="","",M67/_xlfn.MAXIFS($M:$M,$E:$E,E67))</x:f>
      </x:c>
      <x:c r="P67" t="str">
        <x:f>IF(OR(N67="",O67=""),"",SQRT(N67*O67))</x:f>
      </x:c>
      <x:c r="Q67" t="str">
        <x:f>IF(OR(N67="",O67=""),"",N67^0.7*O67^0.3)</x:f>
      </x:c>
      <x:c r="R67" t="str">
        <x:f>IF(OR(N67="",O67=""),"",N67^0.3*O67^0.7)</x:f>
      </x:c>
    </x:row>
    <x:row r="68">
      <x:c r="A68" t="inlineStr">
        <x:is>
          <x:t xml:space="preserve">openai|gpt-6-sol|medium|reasoning|fallback-na|aa-v4.3.2|snapshot-2026-09-28</x:t>
        </x:is>
      </x:c>
      <x:c r="B68" t="inlineStr">
        <x:is>
          <x:t xml:space="preserve">openai|gpt-6-sol|medium|reasoning|fallback-na</x:t>
        </x:is>
      </x:c>
      <x:c r="C68" t="inlineStr">
        <x:is>
          <x:t xml:space="preserve">AA|v4.3.2</x:t>
        </x:is>
      </x:c>
      <x:c r="D68" t="n">
        <x:v>10</x:v>
      </x:c>
      <x:c r="E68" t="n">
        <x:v>40</x:v>
      </x:c>
      <x:c r="F68" t="n">
        <x:f>INDEX(Run_Metrics!$F:$F,D68)</x:f>
        <x:v>40</x:v>
      </x:c>
      <x:c r="G68" t="n">
        <x:f>INDEX(Run_Metrics!$G:$G,D68)</x:f>
        <x:v>0.25</x:v>
      </x:c>
      <x:c r="H68" t="str">
        <x:f>INDEX(Run_Metrics!$I:$I,D68)</x:f>
      </x:c>
      <x:c r="I68" t="n">
        <x:f>IF(F68="","",F68-(E68-1))</x:f>
        <x:v>1</x:v>
      </x:c>
      <x:c r="J68" t="n">
        <x:f>IF(I68&gt;0,1,0)</x:f>
        <x:v>1</x:v>
      </x:c>
      <x:c r="K68" t="n">
        <x:f>IF(OR(J68=0,G68="",G68=0),"",I68/G68)</x:f>
        <x:v>4</x:v>
      </x:c>
      <x:c r="L68" t="n">
        <x:f>IF(OR(J68=0,I68=0,G68=""),"",G68/I68)</x:f>
        <x:v>0.25</x:v>
      </x:c>
      <x:c r="M68" t="str">
        <x:f>IF(OR(J68=0,G68="",H68="",G68=0,H68=0),"",I68/(G68*H68))</x:f>
      </x:c>
      <x:c r="N68" t="n">
        <x:f>IF(K68="","",K68/_xlfn.MAXIFS($K:$K,$E:$E,E68))</x:f>
        <x:v>0.07428571428571429</x:v>
      </x:c>
      <x:c r="O68" t="str">
        <x:f>IF(M68="","",M68/_xlfn.MAXIFS($M:$M,$E:$E,E68))</x:f>
      </x:c>
      <x:c r="P68" t="str">
        <x:f>IF(OR(N68="",O68=""),"",SQRT(N68*O68))</x:f>
      </x:c>
      <x:c r="Q68" t="str">
        <x:f>IF(OR(N68="",O68=""),"",N68^0.7*O68^0.3)</x:f>
      </x:c>
      <x:c r="R68" t="str">
        <x:f>IF(OR(N68="",O68=""),"",N68^0.3*O68^0.7)</x:f>
      </x:c>
    </x:row>
    <x:row r="69">
      <x:c r="A69" t="inlineStr">
        <x:is>
          <x:t xml:space="preserve">openai|gpt-6-sol|medium|reasoning|fallback-na|aa-v4.3.2|snapshot-2026-09-28</x:t>
        </x:is>
      </x:c>
      <x:c r="B69" t="inlineStr">
        <x:is>
          <x:t xml:space="preserve">openai|gpt-6-sol|medium|reasoning|fallback-na</x:t>
        </x:is>
      </x:c>
      <x:c r="C69" t="inlineStr">
        <x:is>
          <x:t xml:space="preserve">AA|v4.3.2</x:t>
        </x:is>
      </x:c>
      <x:c r="D69" t="n">
        <x:v>10</x:v>
      </x:c>
      <x:c r="E69" t="n">
        <x:v>45</x:v>
      </x:c>
      <x:c r="F69" t="n">
        <x:f>INDEX(Run_Metrics!$F:$F,D69)</x:f>
        <x:v>40</x:v>
      </x:c>
      <x:c r="G69" t="n">
        <x:f>INDEX(Run_Metrics!$G:$G,D69)</x:f>
        <x:v>0.25</x:v>
      </x:c>
      <x:c r="H69" t="str">
        <x:f>INDEX(Run_Metrics!$I:$I,D69)</x:f>
      </x:c>
      <x:c r="I69" t="n">
        <x:f>IF(F69="","",F69-(E69-1))</x:f>
        <x:v>-4</x:v>
      </x:c>
      <x:c r="J69" t="n">
        <x:f>IF(I69&gt;0,1,0)</x:f>
        <x:v>0</x:v>
      </x:c>
      <x:c r="K69" t="str">
        <x:f>IF(OR(J69=0,G69="",G69=0),"",I69/G69)</x:f>
      </x:c>
      <x:c r="L69" t="str">
        <x:f>IF(OR(J69=0,I69=0,G69=""),"",G69/I69)</x:f>
      </x:c>
      <x:c r="M69" t="str">
        <x:f>IF(OR(J69=0,G69="",H69="",G69=0,H69=0),"",I69/(G69*H69))</x:f>
      </x:c>
      <x:c r="N69" t="str">
        <x:f>IF(K69="","",K69/_xlfn.MAXIFS($K:$K,$E:$E,E69))</x:f>
      </x:c>
      <x:c r="O69" t="str">
        <x:f>IF(M69="","",M69/_xlfn.MAXIFS($M:$M,$E:$E,E69))</x:f>
      </x:c>
      <x:c r="P69" t="str">
        <x:f>IF(OR(N69="",O69=""),"",SQRT(N69*O69))</x:f>
      </x:c>
      <x:c r="Q69" t="str">
        <x:f>IF(OR(N69="",O69=""),"",N69^0.7*O69^0.3)</x:f>
      </x:c>
      <x:c r="R69" t="str">
        <x:f>IF(OR(N69="",O69=""),"",N69^0.3*O69^0.7)</x:f>
      </x:c>
    </x:row>
    <x:row r="70">
      <x:c r="A70" t="inlineStr">
        <x:is>
          <x:t xml:space="preserve">openai|gpt-6-sol|medium|reasoning|fallback-na|aa-v4.3.2|snapshot-2026-09-28</x:t>
        </x:is>
      </x:c>
      <x:c r="B70" t="inlineStr">
        <x:is>
          <x:t xml:space="preserve">openai|gpt-6-sol|medium|reasoning|fallback-na</x:t>
        </x:is>
      </x:c>
      <x:c r="C70" t="inlineStr">
        <x:is>
          <x:t xml:space="preserve">AA|v4.3.2</x:t>
        </x:is>
      </x:c>
      <x:c r="D70" t="n">
        <x:v>10</x:v>
      </x:c>
      <x:c r="E70" t="n">
        <x:v>50</x:v>
      </x:c>
      <x:c r="F70" t="n">
        <x:f>INDEX(Run_Metrics!$F:$F,D70)</x:f>
        <x:v>40</x:v>
      </x:c>
      <x:c r="G70" t="n">
        <x:f>INDEX(Run_Metrics!$G:$G,D70)</x:f>
        <x:v>0.25</x:v>
      </x:c>
      <x:c r="H70" t="str">
        <x:f>INDEX(Run_Metrics!$I:$I,D70)</x:f>
      </x:c>
      <x:c r="I70" t="n">
        <x:f>IF(F70="","",F70-(E70-1))</x:f>
        <x:v>-9</x:v>
      </x:c>
      <x:c r="J70" t="n">
        <x:f>IF(I70&gt;0,1,0)</x:f>
        <x:v>0</x:v>
      </x:c>
      <x:c r="K70" t="str">
        <x:f>IF(OR(J70=0,G70="",G70=0),"",I70/G70)</x:f>
      </x:c>
      <x:c r="L70" t="str">
        <x:f>IF(OR(J70=0,I70=0,G70=""),"",G70/I70)</x:f>
      </x:c>
      <x:c r="M70" t="str">
        <x:f>IF(OR(J70=0,G70="",H70="",G70=0,H70=0),"",I70/(G70*H70))</x:f>
      </x:c>
      <x:c r="N70" t="str">
        <x:f>IF(K70="","",K70/_xlfn.MAXIFS($K:$K,$E:$E,E70))</x:f>
      </x:c>
      <x:c r="O70" t="str">
        <x:f>IF(M70="","",M70/_xlfn.MAXIFS($M:$M,$E:$E,E70))</x:f>
      </x:c>
      <x:c r="P70" t="str">
        <x:f>IF(OR(N70="",O70=""),"",SQRT(N70*O70))</x:f>
      </x:c>
      <x:c r="Q70" t="str">
        <x:f>IF(OR(N70="",O70=""),"",N70^0.7*O70^0.3)</x:f>
      </x:c>
      <x:c r="R70" t="str">
        <x:f>IF(OR(N70="",O70=""),"",N70^0.3*O70^0.7)</x:f>
      </x:c>
    </x:row>
    <x:row r="71">
      <x:c r="A71" t="inlineStr">
        <x:is>
          <x:t xml:space="preserve">openai|gpt-6-sol|medium|reasoning|fallback-na|aa-v4.3.2|snapshot-2026-09-28</x:t>
        </x:is>
      </x:c>
      <x:c r="B71" t="inlineStr">
        <x:is>
          <x:t xml:space="preserve">openai|gpt-6-sol|medium|reasoning|fallback-na</x:t>
        </x:is>
      </x:c>
      <x:c r="C71" t="inlineStr">
        <x:is>
          <x:t xml:space="preserve">AA|v4.3.2</x:t>
        </x:is>
      </x:c>
      <x:c r="D71" t="n">
        <x:v>10</x:v>
      </x:c>
      <x:c r="E71" t="n">
        <x:v>52</x:v>
      </x:c>
      <x:c r="F71" t="n">
        <x:f>INDEX(Run_Metrics!$F:$F,D71)</x:f>
        <x:v>40</x:v>
      </x:c>
      <x:c r="G71" t="n">
        <x:f>INDEX(Run_Metrics!$G:$G,D71)</x:f>
        <x:v>0.25</x:v>
      </x:c>
      <x:c r="H71" t="str">
        <x:f>INDEX(Run_Metrics!$I:$I,D71)</x:f>
      </x:c>
      <x:c r="I71" t="n">
        <x:f>IF(F71="","",F71-(E71-1))</x:f>
        <x:v>-11</x:v>
      </x:c>
      <x:c r="J71" t="n">
        <x:f>IF(I71&gt;0,1,0)</x:f>
        <x:v>0</x:v>
      </x:c>
      <x:c r="K71" t="str">
        <x:f>IF(OR(J71=0,G71="",G71=0),"",I71/G71)</x:f>
      </x:c>
      <x:c r="L71" t="str">
        <x:f>IF(OR(J71=0,I71=0,G71=""),"",G71/I71)</x:f>
      </x:c>
      <x:c r="M71" t="str">
        <x:f>IF(OR(J71=0,G71="",H71="",G71=0,H71=0),"",I71/(G71*H71))</x:f>
      </x:c>
      <x:c r="N71" t="str">
        <x:f>IF(K71="","",K71/_xlfn.MAXIFS($K:$K,$E:$E,E71))</x:f>
      </x:c>
      <x:c r="O71" t="str">
        <x:f>IF(M71="","",M71/_xlfn.MAXIFS($M:$M,$E:$E,E71))</x:f>
      </x:c>
      <x:c r="P71" t="str">
        <x:f>IF(OR(N71="",O71=""),"",SQRT(N71*O71))</x:f>
      </x:c>
      <x:c r="Q71" t="str">
        <x:f>IF(OR(N71="",O71=""),"",N71^0.7*O71^0.3)</x:f>
      </x:c>
      <x:c r="R71" t="str">
        <x:f>IF(OR(N71="",O71=""),"",N71^0.3*O71^0.7)</x:f>
      </x:c>
    </x:row>
    <x:row r="72">
      <x:c r="A72" t="inlineStr">
        <x:is>
          <x:t xml:space="preserve">openai|gpt-6-sol|medium|reasoning|fallback-na|aa-v4.3.2|snapshot-2026-09-28</x:t>
        </x:is>
      </x:c>
      <x:c r="B72" t="inlineStr">
        <x:is>
          <x:t xml:space="preserve">openai|gpt-6-sol|medium|reasoning|fallback-na</x:t>
        </x:is>
      </x:c>
      <x:c r="C72" t="inlineStr">
        <x:is>
          <x:t xml:space="preserve">AA|v4.3.2</x:t>
        </x:is>
      </x:c>
      <x:c r="D72" t="n">
        <x:v>10</x:v>
      </x:c>
      <x:c r="E72" t="n">
        <x:v>65</x:v>
      </x:c>
      <x:c r="F72" t="n">
        <x:f>INDEX(Run_Metrics!$F:$F,D72)</x:f>
        <x:v>40</x:v>
      </x:c>
      <x:c r="G72" t="n">
        <x:f>INDEX(Run_Metrics!$G:$G,D72)</x:f>
        <x:v>0.25</x:v>
      </x:c>
      <x:c r="H72" t="str">
        <x:f>INDEX(Run_Metrics!$I:$I,D72)</x:f>
      </x:c>
      <x:c r="I72" t="n">
        <x:f>IF(F72="","",F72-(E72-1))</x:f>
        <x:v>-24</x:v>
      </x:c>
      <x:c r="J72" t="n">
        <x:f>IF(I72&gt;0,1,0)</x:f>
        <x:v>0</x:v>
      </x:c>
      <x:c r="K72" t="str">
        <x:f>IF(OR(J72=0,G72="",G72=0),"",I72/G72)</x:f>
      </x:c>
      <x:c r="L72" t="str">
        <x:f>IF(OR(J72=0,I72=0,G72=""),"",G72/I72)</x:f>
      </x:c>
      <x:c r="M72" t="str">
        <x:f>IF(OR(J72=0,G72="",H72="",G72=0,H72=0),"",I72/(G72*H72))</x:f>
      </x:c>
      <x:c r="N72" t="str">
        <x:f>IF(K72="","",K72/_xlfn.MAXIFS($K:$K,$E:$E,E72))</x:f>
      </x:c>
      <x:c r="O72" t="str">
        <x:f>IF(M72="","",M72/_xlfn.MAXIFS($M:$M,$E:$E,E72))</x:f>
      </x:c>
      <x:c r="P72" t="str">
        <x:f>IF(OR(N72="",O72=""),"",SQRT(N72*O72))</x:f>
      </x:c>
      <x:c r="Q72" t="str">
        <x:f>IF(OR(N72="",O72=""),"",N72^0.7*O72^0.3)</x:f>
      </x:c>
      <x:c r="R72" t="str">
        <x:f>IF(OR(N72="",O72=""),"",N72^0.3*O72^0.7)</x:f>
      </x:c>
    </x:row>
    <x:row r="73">
      <x:c r="A73" t="inlineStr">
        <x:is>
          <x:t xml:space="preserve">openai|gpt-6-sol|medium|reasoning|fallback-na|aa-v4.3.2|snapshot-2026-09-28</x:t>
        </x:is>
      </x:c>
      <x:c r="B73" t="inlineStr">
        <x:is>
          <x:t xml:space="preserve">openai|gpt-6-sol|medium|reasoning|fallback-na</x:t>
        </x:is>
      </x:c>
      <x:c r="C73" t="inlineStr">
        <x:is>
          <x:t xml:space="preserve">AA|v4.3.2</x:t>
        </x:is>
      </x:c>
      <x:c r="D73" t="n">
        <x:v>10</x:v>
      </x:c>
      <x:c r="E73" t="n">
        <x:v>80</x:v>
      </x:c>
      <x:c r="F73" t="n">
        <x:f>INDEX(Run_Metrics!$F:$F,D73)</x:f>
        <x:v>40</x:v>
      </x:c>
      <x:c r="G73" t="n">
        <x:f>INDEX(Run_Metrics!$G:$G,D73)</x:f>
        <x:v>0.25</x:v>
      </x:c>
      <x:c r="H73" t="str">
        <x:f>INDEX(Run_Metrics!$I:$I,D73)</x:f>
      </x:c>
      <x:c r="I73" t="n">
        <x:f>IF(F73="","",F73-(E73-1))</x:f>
        <x:v>-39</x:v>
      </x:c>
      <x:c r="J73" t="n">
        <x:f>IF(I73&gt;0,1,0)</x:f>
        <x:v>0</x:v>
      </x:c>
      <x:c r="K73" t="str">
        <x:f>IF(OR(J73=0,G73="",G73=0),"",I73/G73)</x:f>
      </x:c>
      <x:c r="L73" t="str">
        <x:f>IF(OR(J73=0,I73=0,G73=""),"",G73/I73)</x:f>
      </x:c>
      <x:c r="M73" t="str">
        <x:f>IF(OR(J73=0,G73="",H73="",G73=0,H73=0),"",I73/(G73*H73))</x:f>
      </x:c>
      <x:c r="N73" t="str">
        <x:f>IF(K73="","",K73/_xlfn.MAXIFS($K:$K,$E:$E,E73))</x:f>
      </x:c>
      <x:c r="O73" t="str">
        <x:f>IF(M73="","",M73/_xlfn.MAXIFS($M:$M,$E:$E,E73))</x:f>
      </x:c>
      <x:c r="P73" t="str">
        <x:f>IF(OR(N73="",O73=""),"",SQRT(N73*O73))</x:f>
      </x:c>
      <x:c r="Q73" t="str">
        <x:f>IF(OR(N73="",O73=""),"",N73^0.7*O73^0.3)</x:f>
      </x:c>
      <x:c r="R73" t="str">
        <x:f>IF(OR(N73="",O73=""),"",N73^0.3*O73^0.7)</x:f>
      </x:c>
    </x:row>
    <x:row r="74">
      <x:c r="A74" t="inlineStr">
        <x:is>
          <x:t xml:space="preserve">openai|gpt-6-sol|high|reasoning|fallback-na|aa-v4.3.2|snapshot-2026-09-28</x:t>
        </x:is>
      </x:c>
      <x:c r="B74" t="inlineStr">
        <x:is>
          <x:t xml:space="preserve">openai|gpt-6-sol|high|reasoning|fallback-na</x:t>
        </x:is>
      </x:c>
      <x:c r="C74" t="inlineStr">
        <x:is>
          <x:t xml:space="preserve">AA|v4.3.2</x:t>
        </x:is>
      </x:c>
      <x:c r="D74" t="n">
        <x:v>11</x:v>
      </x:c>
      <x:c r="E74" t="n">
        <x:v>20</x:v>
      </x:c>
      <x:c r="F74" t="n">
        <x:f>INDEX(Run_Metrics!$F:$F,D74)</x:f>
        <x:v>43</x:v>
      </x:c>
      <x:c r="G74" t="n">
        <x:f>INDEX(Run_Metrics!$G:$G,D74)</x:f>
        <x:v>0.37</x:v>
      </x:c>
      <x:c r="H74" t="n">
        <x:f>INDEX(Run_Metrics!$I:$I,D74)</x:f>
        <x:v>2.1011666666666664</x:v>
      </x:c>
      <x:c r="I74" t="n">
        <x:f>IF(F74="","",F74-(E74-1))</x:f>
        <x:v>24</x:v>
      </x:c>
      <x:c r="J74" t="n">
        <x:f>IF(I74&gt;0,1,0)</x:f>
        <x:v>1</x:v>
      </x:c>
      <x:c r="K74" t="n">
        <x:f>IF(OR(J74=0,G74="",G74=0),"",I74/G74)</x:f>
        <x:v>64.86486486486487</x:v>
      </x:c>
      <x:c r="L74" t="n">
        <x:f>IF(OR(J74=0,I74=0,G74=""),"",G74/I74)</x:f>
        <x:v>0.015416666666666667</x:v>
      </x:c>
      <x:c r="M74" t="n">
        <x:f>IF(OR(J74=0,G74="",H74="",G74=0,H74=0),"",I74/(G74*H74))</x:f>
        <x:v>30.87088039892038</x:v>
      </x:c>
      <x:c r="N74" t="n">
        <x:f>IF(K74="","",K74/_xlfn.MAXIFS($K:$K,$E:$E,E74))</x:f>
        <x:v>0.09729729729729729</x:v>
      </x:c>
      <x:c r="O74" t="n">
        <x:f>IF(M74="","",M74/_xlfn.MAXIFS($M:$M,$E:$E,E74))</x:f>
        <x:v>0.016357707751377935</x:v>
      </x:c>
      <x:c r="P74" t="n">
        <x:f>IF(OR(N74="",O74=""),"",SQRT(N74*O74))</x:f>
        <x:v>0.03989436995602416</x:v>
      </x:c>
      <x:c r="Q74" t="n">
        <x:f>IF(OR(N74="",O74=""),"",N74^0.7*O74^0.3)</x:f>
        <x:v>0.05698850670612056</x:v>
      </x:c>
      <x:c r="R74" t="n">
        <x:f>IF(OR(N74="",O74=""),"",N74^0.3*O74^0.7)</x:f>
        <x:v>0.027927749754797313</x:v>
      </x:c>
    </x:row>
    <x:row r="75">
      <x:c r="A75" t="inlineStr">
        <x:is>
          <x:t xml:space="preserve">openai|gpt-6-sol|high|reasoning|fallback-na|aa-v4.3.2|snapshot-2026-09-28</x:t>
        </x:is>
      </x:c>
      <x:c r="B75" t="inlineStr">
        <x:is>
          <x:t xml:space="preserve">openai|gpt-6-sol|high|reasoning|fallback-na</x:t>
        </x:is>
      </x:c>
      <x:c r="C75" t="inlineStr">
        <x:is>
          <x:t xml:space="preserve">AA|v4.3.2</x:t>
        </x:is>
      </x:c>
      <x:c r="D75" t="n">
        <x:v>11</x:v>
      </x:c>
      <x:c r="E75" t="n">
        <x:v>30</x:v>
      </x:c>
      <x:c r="F75" t="n">
        <x:f>INDEX(Run_Metrics!$F:$F,D75)</x:f>
        <x:v>43</x:v>
      </x:c>
      <x:c r="G75" t="n">
        <x:f>INDEX(Run_Metrics!$G:$G,D75)</x:f>
        <x:v>0.37</x:v>
      </x:c>
      <x:c r="H75" t="n">
        <x:f>INDEX(Run_Metrics!$I:$I,D75)</x:f>
        <x:v>2.1011666666666664</x:v>
      </x:c>
      <x:c r="I75" t="n">
        <x:f>IF(F75="","",F75-(E75-1))</x:f>
        <x:v>14</x:v>
      </x:c>
      <x:c r="J75" t="n">
        <x:f>IF(I75&gt;0,1,0)</x:f>
        <x:v>1</x:v>
      </x:c>
      <x:c r="K75" t="n">
        <x:f>IF(OR(J75=0,G75="",G75=0),"",I75/G75)</x:f>
        <x:v>37.83783783783784</x:v>
      </x:c>
      <x:c r="L75" t="n">
        <x:f>IF(OR(J75=0,I75=0,G75=""),"",G75/I75)</x:f>
        <x:v>0.02642857142857143</x:v>
      </x:c>
      <x:c r="M75" t="n">
        <x:f>IF(OR(J75=0,G75="",H75="",G75=0,H75=0),"",I75/(G75*H75))</x:f>
        <x:v>18.00801356603689</x:v>
      </x:c>
      <x:c r="N75" t="n">
        <x:f>IF(K75="","",K75/_xlfn.MAXIFS($K:$K,$E:$E,E75))</x:f>
        <x:v>0.2522522522522523</x:v>
      </x:c>
      <x:c r="O75" t="n">
        <x:f>IF(M75="","",M75/_xlfn.MAXIFS($M:$M,$E:$E,E75))</x:f>
        <x:v>0.32048861743475854</x:v>
      </x:c>
      <x:c r="P75" t="n">
        <x:f>IF(OR(N75="",O75=""),"",SQRT(N75*O75))</x:f>
        <x:v>0.2843307503052181</x:v>
      </x:c>
      <x:c r="Q75" t="n">
        <x:f>IF(OR(N75="",O75=""),"",N75^0.7*O75^0.3)</x:f>
        <x:v>0.2710368365045188</x:v>
      </x:c>
      <x:c r="R75" t="n">
        <x:f>IF(OR(N75="",O75=""),"",N75^0.3*O75^0.7)</x:f>
        <x:v>0.29827670884795193</x:v>
      </x:c>
    </x:row>
    <x:row r="76">
      <x:c r="A76" t="inlineStr">
        <x:is>
          <x:t xml:space="preserve">openai|gpt-6-sol|high|reasoning|fallback-na|aa-v4.3.2|snapshot-2026-09-28</x:t>
        </x:is>
      </x:c>
      <x:c r="B76" t="inlineStr">
        <x:is>
          <x:t xml:space="preserve">openai|gpt-6-sol|high|reasoning|fallback-na</x:t>
        </x:is>
      </x:c>
      <x:c r="C76" t="inlineStr">
        <x:is>
          <x:t xml:space="preserve">AA|v4.3.2</x:t>
        </x:is>
      </x:c>
      <x:c r="D76" t="n">
        <x:v>11</x:v>
      </x:c>
      <x:c r="E76" t="n">
        <x:v>40</x:v>
      </x:c>
      <x:c r="F76" t="n">
        <x:f>INDEX(Run_Metrics!$F:$F,D76)</x:f>
        <x:v>43</x:v>
      </x:c>
      <x:c r="G76" t="n">
        <x:f>INDEX(Run_Metrics!$G:$G,D76)</x:f>
        <x:v>0.37</x:v>
      </x:c>
      <x:c r="H76" t="n">
        <x:f>INDEX(Run_Metrics!$I:$I,D76)</x:f>
        <x:v>2.1011666666666664</x:v>
      </x:c>
      <x:c r="I76" t="n">
        <x:f>IF(F76="","",F76-(E76-1))</x:f>
        <x:v>4</x:v>
      </x:c>
      <x:c r="J76" t="n">
        <x:f>IF(I76&gt;0,1,0)</x:f>
        <x:v>1</x:v>
      </x:c>
      <x:c r="K76" t="n">
        <x:f>IF(OR(J76=0,G76="",G76=0),"",I76/G76)</x:f>
        <x:v>10.81081081081081</x:v>
      </x:c>
      <x:c r="L76" t="n">
        <x:f>IF(OR(J76=0,I76=0,G76=""),"",G76/I76)</x:f>
        <x:v>0.0925</x:v>
      </x:c>
      <x:c r="M76" t="n">
        <x:f>IF(OR(J76=0,G76="",H76="",G76=0,H76=0),"",I76/(G76*H76))</x:f>
        <x:v>5.145146733153397</x:v>
      </x:c>
      <x:c r="N76" t="n">
        <x:f>IF(K76="","",K76/_xlfn.MAXIFS($K:$K,$E:$E,E76))</x:f>
        <x:v>0.20077220077220076</x:v>
      </x:c>
      <x:c r="O76" t="n">
        <x:f>IF(M76="","",M76/_xlfn.MAXIFS($M:$M,$E:$E,E76))</x:f>
        <x:v>0.8537488978513806</x:v>
      </x:c>
      <x:c r="P76" t="n">
        <x:f>IF(OR(N76="",O76=""),"",SQRT(N76*O76))</x:f>
        <x:v>0.41401575468629515</x:v>
      </x:c>
      <x:c r="Q76" t="n">
        <x:f>IF(OR(N76="",O76=""),"",N76^0.7*O76^0.3)</x:f>
        <x:v>0.3099499370606668</x:v>
      </x:c>
      <x:c r="R76" t="n">
        <x:f>IF(OR(N76="",O76=""),"",N76^0.3*O76^0.7)</x:f>
        <x:v>0.5530217129707384</x:v>
      </x:c>
    </x:row>
    <x:row r="77">
      <x:c r="A77" t="inlineStr">
        <x:is>
          <x:t xml:space="preserve">openai|gpt-6-sol|high|reasoning|fallback-na|aa-v4.3.2|snapshot-2026-09-28</x:t>
        </x:is>
      </x:c>
      <x:c r="B77" t="inlineStr">
        <x:is>
          <x:t xml:space="preserve">openai|gpt-6-sol|high|reasoning|fallback-na</x:t>
        </x:is>
      </x:c>
      <x:c r="C77" t="inlineStr">
        <x:is>
          <x:t xml:space="preserve">AA|v4.3.2</x:t>
        </x:is>
      </x:c>
      <x:c r="D77" t="n">
        <x:v>11</x:v>
      </x:c>
      <x:c r="E77" t="n">
        <x:v>45</x:v>
      </x:c>
      <x:c r="F77" t="n">
        <x:f>INDEX(Run_Metrics!$F:$F,D77)</x:f>
        <x:v>43</x:v>
      </x:c>
      <x:c r="G77" t="n">
        <x:f>INDEX(Run_Metrics!$G:$G,D77)</x:f>
        <x:v>0.37</x:v>
      </x:c>
      <x:c r="H77" t="n">
        <x:f>INDEX(Run_Metrics!$I:$I,D77)</x:f>
        <x:v>2.1011666666666664</x:v>
      </x:c>
      <x:c r="I77" t="n">
        <x:f>IF(F77="","",F77-(E77-1))</x:f>
        <x:v>-1</x:v>
      </x:c>
      <x:c r="J77" t="n">
        <x:f>IF(I77&gt;0,1,0)</x:f>
        <x:v>0</x:v>
      </x:c>
      <x:c r="K77" t="str">
        <x:f>IF(OR(J77=0,G77="",G77=0),"",I77/G77)</x:f>
      </x:c>
      <x:c r="L77" t="str">
        <x:f>IF(OR(J77=0,I77=0,G77=""),"",G77/I77)</x:f>
      </x:c>
      <x:c r="M77" t="str">
        <x:f>IF(OR(J77=0,G77="",H77="",G77=0,H77=0),"",I77/(G77*H77))</x:f>
      </x:c>
      <x:c r="N77" t="str">
        <x:f>IF(K77="","",K77/_xlfn.MAXIFS($K:$K,$E:$E,E77))</x:f>
      </x:c>
      <x:c r="O77" t="str">
        <x:f>IF(M77="","",M77/_xlfn.MAXIFS($M:$M,$E:$E,E77))</x:f>
      </x:c>
      <x:c r="P77" t="str">
        <x:f>IF(OR(N77="",O77=""),"",SQRT(N77*O77))</x:f>
      </x:c>
      <x:c r="Q77" t="str">
        <x:f>IF(OR(N77="",O77=""),"",N77^0.7*O77^0.3)</x:f>
      </x:c>
      <x:c r="R77" t="str">
        <x:f>IF(OR(N77="",O77=""),"",N77^0.3*O77^0.7)</x:f>
      </x:c>
    </x:row>
    <x:row r="78">
      <x:c r="A78" t="inlineStr">
        <x:is>
          <x:t xml:space="preserve">openai|gpt-6-sol|high|reasoning|fallback-na|aa-v4.3.2|snapshot-2026-09-28</x:t>
        </x:is>
      </x:c>
      <x:c r="B78" t="inlineStr">
        <x:is>
          <x:t xml:space="preserve">openai|gpt-6-sol|high|reasoning|fallback-na</x:t>
        </x:is>
      </x:c>
      <x:c r="C78" t="inlineStr">
        <x:is>
          <x:t xml:space="preserve">AA|v4.3.2</x:t>
        </x:is>
      </x:c>
      <x:c r="D78" t="n">
        <x:v>11</x:v>
      </x:c>
      <x:c r="E78" t="n">
        <x:v>50</x:v>
      </x:c>
      <x:c r="F78" t="n">
        <x:f>INDEX(Run_Metrics!$F:$F,D78)</x:f>
        <x:v>43</x:v>
      </x:c>
      <x:c r="G78" t="n">
        <x:f>INDEX(Run_Metrics!$G:$G,D78)</x:f>
        <x:v>0.37</x:v>
      </x:c>
      <x:c r="H78" t="n">
        <x:f>INDEX(Run_Metrics!$I:$I,D78)</x:f>
        <x:v>2.1011666666666664</x:v>
      </x:c>
      <x:c r="I78" t="n">
        <x:f>IF(F78="","",F78-(E78-1))</x:f>
        <x:v>-6</x:v>
      </x:c>
      <x:c r="J78" t="n">
        <x:f>IF(I78&gt;0,1,0)</x:f>
        <x:v>0</x:v>
      </x:c>
      <x:c r="K78" t="str">
        <x:f>IF(OR(J78=0,G78="",G78=0),"",I78/G78)</x:f>
      </x:c>
      <x:c r="L78" t="str">
        <x:f>IF(OR(J78=0,I78=0,G78=""),"",G78/I78)</x:f>
      </x:c>
      <x:c r="M78" t="str">
        <x:f>IF(OR(J78=0,G78="",H78="",G78=0,H78=0),"",I78/(G78*H78))</x:f>
      </x:c>
      <x:c r="N78" t="str">
        <x:f>IF(K78="","",K78/_xlfn.MAXIFS($K:$K,$E:$E,E78))</x:f>
      </x:c>
      <x:c r="O78" t="str">
        <x:f>IF(M78="","",M78/_xlfn.MAXIFS($M:$M,$E:$E,E78))</x:f>
      </x:c>
      <x:c r="P78" t="str">
        <x:f>IF(OR(N78="",O78=""),"",SQRT(N78*O78))</x:f>
      </x:c>
      <x:c r="Q78" t="str">
        <x:f>IF(OR(N78="",O78=""),"",N78^0.7*O78^0.3)</x:f>
      </x:c>
      <x:c r="R78" t="str">
        <x:f>IF(OR(N78="",O78=""),"",N78^0.3*O78^0.7)</x:f>
      </x:c>
    </x:row>
    <x:row r="79">
      <x:c r="A79" t="inlineStr">
        <x:is>
          <x:t xml:space="preserve">openai|gpt-6-sol|high|reasoning|fallback-na|aa-v4.3.2|snapshot-2026-09-28</x:t>
        </x:is>
      </x:c>
      <x:c r="B79" t="inlineStr">
        <x:is>
          <x:t xml:space="preserve">openai|gpt-6-sol|high|reasoning|fallback-na</x:t>
        </x:is>
      </x:c>
      <x:c r="C79" t="inlineStr">
        <x:is>
          <x:t xml:space="preserve">AA|v4.3.2</x:t>
        </x:is>
      </x:c>
      <x:c r="D79" t="n">
        <x:v>11</x:v>
      </x:c>
      <x:c r="E79" t="n">
        <x:v>52</x:v>
      </x:c>
      <x:c r="F79" t="n">
        <x:f>INDEX(Run_Metrics!$F:$F,D79)</x:f>
        <x:v>43</x:v>
      </x:c>
      <x:c r="G79" t="n">
        <x:f>INDEX(Run_Metrics!$G:$G,D79)</x:f>
        <x:v>0.37</x:v>
      </x:c>
      <x:c r="H79" t="n">
        <x:f>INDEX(Run_Metrics!$I:$I,D79)</x:f>
        <x:v>2.1011666666666664</x:v>
      </x:c>
      <x:c r="I79" t="n">
        <x:f>IF(F79="","",F79-(E79-1))</x:f>
        <x:v>-8</x:v>
      </x:c>
      <x:c r="J79" t="n">
        <x:f>IF(I79&gt;0,1,0)</x:f>
        <x:v>0</x:v>
      </x:c>
      <x:c r="K79" t="str">
        <x:f>IF(OR(J79=0,G79="",G79=0),"",I79/G79)</x:f>
      </x:c>
      <x:c r="L79" t="str">
        <x:f>IF(OR(J79=0,I79=0,G79=""),"",G79/I79)</x:f>
      </x:c>
      <x:c r="M79" t="str">
        <x:f>IF(OR(J79=0,G79="",H79="",G79=0,H79=0),"",I79/(G79*H79))</x:f>
      </x:c>
      <x:c r="N79" t="str">
        <x:f>IF(K79="","",K79/_xlfn.MAXIFS($K:$K,$E:$E,E79))</x:f>
      </x:c>
      <x:c r="O79" t="str">
        <x:f>IF(M79="","",M79/_xlfn.MAXIFS($M:$M,$E:$E,E79))</x:f>
      </x:c>
      <x:c r="P79" t="str">
        <x:f>IF(OR(N79="",O79=""),"",SQRT(N79*O79))</x:f>
      </x:c>
      <x:c r="Q79" t="str">
        <x:f>IF(OR(N79="",O79=""),"",N79^0.7*O79^0.3)</x:f>
      </x:c>
      <x:c r="R79" t="str">
        <x:f>IF(OR(N79="",O79=""),"",N79^0.3*O79^0.7)</x:f>
      </x:c>
    </x:row>
    <x:row r="80">
      <x:c r="A80" t="inlineStr">
        <x:is>
          <x:t xml:space="preserve">openai|gpt-6-sol|high|reasoning|fallback-na|aa-v4.3.2|snapshot-2026-09-28</x:t>
        </x:is>
      </x:c>
      <x:c r="B80" t="inlineStr">
        <x:is>
          <x:t xml:space="preserve">openai|gpt-6-sol|high|reasoning|fallback-na</x:t>
        </x:is>
      </x:c>
      <x:c r="C80" t="inlineStr">
        <x:is>
          <x:t xml:space="preserve">AA|v4.3.2</x:t>
        </x:is>
      </x:c>
      <x:c r="D80" t="n">
        <x:v>11</x:v>
      </x:c>
      <x:c r="E80" t="n">
        <x:v>65</x:v>
      </x:c>
      <x:c r="F80" t="n">
        <x:f>INDEX(Run_Metrics!$F:$F,D80)</x:f>
        <x:v>43</x:v>
      </x:c>
      <x:c r="G80" t="n">
        <x:f>INDEX(Run_Metrics!$G:$G,D80)</x:f>
        <x:v>0.37</x:v>
      </x:c>
      <x:c r="H80" t="n">
        <x:f>INDEX(Run_Metrics!$I:$I,D80)</x:f>
        <x:v>2.1011666666666664</x:v>
      </x:c>
      <x:c r="I80" t="n">
        <x:f>IF(F80="","",F80-(E80-1))</x:f>
        <x:v>-21</x:v>
      </x:c>
      <x:c r="J80" t="n">
        <x:f>IF(I80&gt;0,1,0)</x:f>
        <x:v>0</x:v>
      </x:c>
      <x:c r="K80" t="str">
        <x:f>IF(OR(J80=0,G80="",G80=0),"",I80/G80)</x:f>
      </x:c>
      <x:c r="L80" t="str">
        <x:f>IF(OR(J80=0,I80=0,G80=""),"",G80/I80)</x:f>
      </x:c>
      <x:c r="M80" t="str">
        <x:f>IF(OR(J80=0,G80="",H80="",G80=0,H80=0),"",I80/(G80*H80))</x:f>
      </x:c>
      <x:c r="N80" t="str">
        <x:f>IF(K80="","",K80/_xlfn.MAXIFS($K:$K,$E:$E,E80))</x:f>
      </x:c>
      <x:c r="O80" t="str">
        <x:f>IF(M80="","",M80/_xlfn.MAXIFS($M:$M,$E:$E,E80))</x:f>
      </x:c>
      <x:c r="P80" t="str">
        <x:f>IF(OR(N80="",O80=""),"",SQRT(N80*O80))</x:f>
      </x:c>
      <x:c r="Q80" t="str">
        <x:f>IF(OR(N80="",O80=""),"",N80^0.7*O80^0.3)</x:f>
      </x:c>
      <x:c r="R80" t="str">
        <x:f>IF(OR(N80="",O80=""),"",N80^0.3*O80^0.7)</x:f>
      </x:c>
    </x:row>
    <x:row r="81">
      <x:c r="A81" t="inlineStr">
        <x:is>
          <x:t xml:space="preserve">openai|gpt-6-sol|high|reasoning|fallback-na|aa-v4.3.2|snapshot-2026-09-28</x:t>
        </x:is>
      </x:c>
      <x:c r="B81" t="inlineStr">
        <x:is>
          <x:t xml:space="preserve">openai|gpt-6-sol|high|reasoning|fallback-na</x:t>
        </x:is>
      </x:c>
      <x:c r="C81" t="inlineStr">
        <x:is>
          <x:t xml:space="preserve">AA|v4.3.2</x:t>
        </x:is>
      </x:c>
      <x:c r="D81" t="n">
        <x:v>11</x:v>
      </x:c>
      <x:c r="E81" t="n">
        <x:v>80</x:v>
      </x:c>
      <x:c r="F81" t="n">
        <x:f>INDEX(Run_Metrics!$F:$F,D81)</x:f>
        <x:v>43</x:v>
      </x:c>
      <x:c r="G81" t="n">
        <x:f>INDEX(Run_Metrics!$G:$G,D81)</x:f>
        <x:v>0.37</x:v>
      </x:c>
      <x:c r="H81" t="n">
        <x:f>INDEX(Run_Metrics!$I:$I,D81)</x:f>
        <x:v>2.1011666666666664</x:v>
      </x:c>
      <x:c r="I81" t="n">
        <x:f>IF(F81="","",F81-(E81-1))</x:f>
        <x:v>-36</x:v>
      </x:c>
      <x:c r="J81" t="n">
        <x:f>IF(I81&gt;0,1,0)</x:f>
        <x:v>0</x:v>
      </x:c>
      <x:c r="K81" t="str">
        <x:f>IF(OR(J81=0,G81="",G81=0),"",I81/G81)</x:f>
      </x:c>
      <x:c r="L81" t="str">
        <x:f>IF(OR(J81=0,I81=0,G81=""),"",G81/I81)</x:f>
      </x:c>
      <x:c r="M81" t="str">
        <x:f>IF(OR(J81=0,G81="",H81="",G81=0,H81=0),"",I81/(G81*H81))</x:f>
      </x:c>
      <x:c r="N81" t="str">
        <x:f>IF(K81="","",K81/_xlfn.MAXIFS($K:$K,$E:$E,E81))</x:f>
      </x:c>
      <x:c r="O81" t="str">
        <x:f>IF(M81="","",M81/_xlfn.MAXIFS($M:$M,$E:$E,E81))</x:f>
      </x:c>
      <x:c r="P81" t="str">
        <x:f>IF(OR(N81="",O81=""),"",SQRT(N81*O81))</x:f>
      </x:c>
      <x:c r="Q81" t="str">
        <x:f>IF(OR(N81="",O81=""),"",N81^0.7*O81^0.3)</x:f>
      </x:c>
      <x:c r="R81" t="str">
        <x:f>IF(OR(N81="",O81=""),"",N81^0.3*O81^0.7)</x:f>
      </x:c>
    </x:row>
    <x:row r="82">
      <x:c r="A82" t="inlineStr">
        <x:is>
          <x:t xml:space="preserve">openai|gpt-6-sol|xhigh|reasoning|fallback-na|aa-v4.3.2|snapshot-2026-09-28</x:t>
        </x:is>
      </x:c>
      <x:c r="B82" t="inlineStr">
        <x:is>
          <x:t xml:space="preserve">openai|gpt-6-sol|xhigh|reasoning|fallback-na</x:t>
        </x:is>
      </x:c>
      <x:c r="C82" t="inlineStr">
        <x:is>
          <x:t xml:space="preserve">AA|v4.3.2</x:t>
        </x:is>
      </x:c>
      <x:c r="D82" t="n">
        <x:v>12</x:v>
      </x:c>
      <x:c r="E82" t="n">
        <x:v>20</x:v>
      </x:c>
      <x:c r="F82" t="n">
        <x:f>INDEX(Run_Metrics!$F:$F,D82)</x:f>
        <x:v>44</x:v>
      </x:c>
      <x:c r="G82" t="n">
        <x:f>INDEX(Run_Metrics!$G:$G,D82)</x:f>
        <x:v>0.53</x:v>
      </x:c>
      <x:c r="H82" t="n">
        <x:f>INDEX(Run_Metrics!$I:$I,D82)</x:f>
        <x:v>3.318833333333333</x:v>
      </x:c>
      <x:c r="I82" t="n">
        <x:f>IF(F82="","",F82-(E82-1))</x:f>
        <x:v>25</x:v>
      </x:c>
      <x:c r="J82" t="n">
        <x:f>IF(I82&gt;0,1,0)</x:f>
        <x:v>1</x:v>
      </x:c>
      <x:c r="K82" t="n">
        <x:f>IF(OR(J82=0,G82="",G82=0),"",I82/G82)</x:f>
        <x:v>47.16981132075472</x:v>
      </x:c>
      <x:c r="L82" t="n">
        <x:f>IF(OR(J82=0,I82=0,G82=""),"",G82/I82)</x:f>
        <x:v>0.0212</x:v>
      </x:c>
      <x:c r="M82" t="n">
        <x:f>IF(OR(J82=0,G82="",H82="",G82=0,H82=0),"",I82/(G82*H82))</x:f>
        <x:v>14.212768941120288</x:v>
      </x:c>
      <x:c r="N82" t="n">
        <x:f>IF(K82="","",K82/_xlfn.MAXIFS($K:$K,$E:$E,E82))</x:f>
        <x:v>0.07075471698113207</x:v>
      </x:c>
      <x:c r="O82" t="n">
        <x:f>IF(M82="","",M82/_xlfn.MAXIFS($M:$M,$E:$E,E82))</x:f>
        <x:v>0.007530990942676112</x:v>
      </x:c>
      <x:c r="P82" t="n">
        <x:f>IF(OR(N82="",O82=""),"",SQRT(N82*O82))</x:f>
        <x:v>0.02308361177841365</x:v>
      </x:c>
      <x:c r="Q82" t="n">
        <x:f>IF(OR(N82="",O82=""),"",N82^0.7*O82^0.3)</x:f>
        <x:v>0.036131368932488</x:v>
      </x:c>
      <x:c r="R82" t="n">
        <x:f>IF(OR(N82="",O82=""),"",N82^0.3*O82^0.7)</x:f>
        <x:v>0.014747659678551388</x:v>
      </x:c>
    </x:row>
    <x:row r="83">
      <x:c r="A83" t="inlineStr">
        <x:is>
          <x:t xml:space="preserve">openai|gpt-6-sol|xhigh|reasoning|fallback-na|aa-v4.3.2|snapshot-2026-09-28</x:t>
        </x:is>
      </x:c>
      <x:c r="B83" t="inlineStr">
        <x:is>
          <x:t xml:space="preserve">openai|gpt-6-sol|xhigh|reasoning|fallback-na</x:t>
        </x:is>
      </x:c>
      <x:c r="C83" t="inlineStr">
        <x:is>
          <x:t xml:space="preserve">AA|v4.3.2</x:t>
        </x:is>
      </x:c>
      <x:c r="D83" t="n">
        <x:v>12</x:v>
      </x:c>
      <x:c r="E83" t="n">
        <x:v>30</x:v>
      </x:c>
      <x:c r="F83" t="n">
        <x:f>INDEX(Run_Metrics!$F:$F,D83)</x:f>
        <x:v>44</x:v>
      </x:c>
      <x:c r="G83" t="n">
        <x:f>INDEX(Run_Metrics!$G:$G,D83)</x:f>
        <x:v>0.53</x:v>
      </x:c>
      <x:c r="H83" t="n">
        <x:f>INDEX(Run_Metrics!$I:$I,D83)</x:f>
        <x:v>3.318833333333333</x:v>
      </x:c>
      <x:c r="I83" t="n">
        <x:f>IF(F83="","",F83-(E83-1))</x:f>
        <x:v>15</x:v>
      </x:c>
      <x:c r="J83" t="n">
        <x:f>IF(I83&gt;0,1,0)</x:f>
        <x:v>1</x:v>
      </x:c>
      <x:c r="K83" t="n">
        <x:f>IF(OR(J83=0,G83="",G83=0),"",I83/G83)</x:f>
        <x:v>28.30188679245283</x:v>
      </x:c>
      <x:c r="L83" t="n">
        <x:f>IF(OR(J83=0,I83=0,G83=""),"",G83/I83)</x:f>
        <x:v>0.035333333333333335</x:v>
      </x:c>
      <x:c r="M83" t="n">
        <x:f>IF(OR(J83=0,G83="",H83="",G83=0,H83=0),"",I83/(G83*H83))</x:f>
        <x:v>8.527661364672174</x:v>
      </x:c>
      <x:c r="N83" t="n">
        <x:f>IF(K83="","",K83/_xlfn.MAXIFS($K:$K,$E:$E,E83))</x:f>
        <x:v>0.18867924528301885</x:v>
      </x:c>
      <x:c r="O83" t="n">
        <x:f>IF(M83="","",M83/_xlfn.MAXIFS($M:$M,$E:$E,E83))</x:f>
        <x:v>0.1517667893070707</x:v>
      </x:c>
      <x:c r="P83" t="n">
        <x:f>IF(OR(N83="",O83=""),"",SQRT(N83*O83))</x:f>
        <x:v>0.16921951207081598</x:v>
      </x:c>
      <x:c r="Q83" t="n">
        <x:f>IF(OR(N83="",O83=""),"",N83^0.7*O83^0.3)</x:f>
        <x:v>0.17675020054904597</x:v>
      </x:c>
      <x:c r="R83" t="n">
        <x:f>IF(OR(N83="",O83=""),"",N83^0.3*O83^0.7)</x:f>
        <x:v>0.1620096790642063</x:v>
      </x:c>
    </x:row>
    <x:row r="84">
      <x:c r="A84" t="inlineStr">
        <x:is>
          <x:t xml:space="preserve">openai|gpt-6-sol|xhigh|reasoning|fallback-na|aa-v4.3.2|snapshot-2026-09-28</x:t>
        </x:is>
      </x:c>
      <x:c r="B84" t="inlineStr">
        <x:is>
          <x:t xml:space="preserve">openai|gpt-6-sol|xhigh|reasoning|fallback-na</x:t>
        </x:is>
      </x:c>
      <x:c r="C84" t="inlineStr">
        <x:is>
          <x:t xml:space="preserve">AA|v4.3.2</x:t>
        </x:is>
      </x:c>
      <x:c r="D84" t="n">
        <x:v>12</x:v>
      </x:c>
      <x:c r="E84" t="n">
        <x:v>40</x:v>
      </x:c>
      <x:c r="F84" t="n">
        <x:f>INDEX(Run_Metrics!$F:$F,D84)</x:f>
        <x:v>44</x:v>
      </x:c>
      <x:c r="G84" t="n">
        <x:f>INDEX(Run_Metrics!$G:$G,D84)</x:f>
        <x:v>0.53</x:v>
      </x:c>
      <x:c r="H84" t="n">
        <x:f>INDEX(Run_Metrics!$I:$I,D84)</x:f>
        <x:v>3.318833333333333</x:v>
      </x:c>
      <x:c r="I84" t="n">
        <x:f>IF(F84="","",F84-(E84-1))</x:f>
        <x:v>5</x:v>
      </x:c>
      <x:c r="J84" t="n">
        <x:f>IF(I84&gt;0,1,0)</x:f>
        <x:v>1</x:v>
      </x:c>
      <x:c r="K84" t="n">
        <x:f>IF(OR(J84=0,G84="",G84=0),"",I84/G84)</x:f>
        <x:v>9.433962264150942</x:v>
      </x:c>
      <x:c r="L84" t="n">
        <x:f>IF(OR(J84=0,I84=0,G84=""),"",G84/I84)</x:f>
        <x:v>0.10600000000000001</x:v>
      </x:c>
      <x:c r="M84" t="n">
        <x:f>IF(OR(J84=0,G84="",H84="",G84=0,H84=0),"",I84/(G84*H84))</x:f>
        <x:v>2.8425537882240577</x:v>
      </x:c>
      <x:c r="N84" t="n">
        <x:f>IF(K84="","",K84/_xlfn.MAXIFS($K:$K,$E:$E,E84))</x:f>
        <x:v>0.17520215633423178</x:v>
      </x:c>
      <x:c r="O84" t="n">
        <x:f>IF(M84="","",M84/_xlfn.MAXIFS($M:$M,$E:$E,E84))</x:f>
        <x:v>0.4716730716622699</x:v>
      </x:c>
      <x:c r="P84" t="n">
        <x:f>IF(OR(N84="",O84=""),"",SQRT(N84*O84))</x:f>
        <x:v>0.28746850130061263</x:v>
      </x:c>
      <x:c r="Q84" t="n">
        <x:f>IF(OR(N84="",O84=""),"",N84^0.7*O84^0.3)</x:f>
        <x:v>0.23581419146757795</x:v>
      </x:c>
      <x:c r="R84" t="n">
        <x:f>IF(OR(N84="",O84=""),"",N84^0.3*O84^0.7)</x:f>
        <x:v>0.35043751491683334</x:v>
      </x:c>
    </x:row>
    <x:row r="85">
      <x:c r="A85" t="inlineStr">
        <x:is>
          <x:t xml:space="preserve">openai|gpt-6-sol|xhigh|reasoning|fallback-na|aa-v4.3.2|snapshot-2026-09-28</x:t>
        </x:is>
      </x:c>
      <x:c r="B85" t="inlineStr">
        <x:is>
          <x:t xml:space="preserve">openai|gpt-6-sol|xhigh|reasoning|fallback-na</x:t>
        </x:is>
      </x:c>
      <x:c r="C85" t="inlineStr">
        <x:is>
          <x:t xml:space="preserve">AA|v4.3.2</x:t>
        </x:is>
      </x:c>
      <x:c r="D85" t="n">
        <x:v>12</x:v>
      </x:c>
      <x:c r="E85" t="n">
        <x:v>45</x:v>
      </x:c>
      <x:c r="F85" t="n">
        <x:f>INDEX(Run_Metrics!$F:$F,D85)</x:f>
        <x:v>44</x:v>
      </x:c>
      <x:c r="G85" t="n">
        <x:f>INDEX(Run_Metrics!$G:$G,D85)</x:f>
        <x:v>0.53</x:v>
      </x:c>
      <x:c r="H85" t="n">
        <x:f>INDEX(Run_Metrics!$I:$I,D85)</x:f>
        <x:v>3.318833333333333</x:v>
      </x:c>
      <x:c r="I85" t="n">
        <x:f>IF(F85="","",F85-(E85-1))</x:f>
        <x:v>0</x:v>
      </x:c>
      <x:c r="J85" t="n">
        <x:f>IF(I85&gt;0,1,0)</x:f>
        <x:v>0</x:v>
      </x:c>
      <x:c r="K85" t="str">
        <x:f>IF(OR(J85=0,G85="",G85=0),"",I85/G85)</x:f>
      </x:c>
      <x:c r="L85" t="str">
        <x:f>IF(OR(J85=0,I85=0,G85=""),"",G85/I85)</x:f>
      </x:c>
      <x:c r="M85" t="str">
        <x:f>IF(OR(J85=0,G85="",H85="",G85=0,H85=0),"",I85/(G85*H85))</x:f>
      </x:c>
      <x:c r="N85" t="str">
        <x:f>IF(K85="","",K85/_xlfn.MAXIFS($K:$K,$E:$E,E85))</x:f>
      </x:c>
      <x:c r="O85" t="str">
        <x:f>IF(M85="","",M85/_xlfn.MAXIFS($M:$M,$E:$E,E85))</x:f>
      </x:c>
      <x:c r="P85" t="str">
        <x:f>IF(OR(N85="",O85=""),"",SQRT(N85*O85))</x:f>
      </x:c>
      <x:c r="Q85" t="str">
        <x:f>IF(OR(N85="",O85=""),"",N85^0.7*O85^0.3)</x:f>
      </x:c>
      <x:c r="R85" t="str">
        <x:f>IF(OR(N85="",O85=""),"",N85^0.3*O85^0.7)</x:f>
      </x:c>
    </x:row>
    <x:row r="86">
      <x:c r="A86" t="inlineStr">
        <x:is>
          <x:t xml:space="preserve">openai|gpt-6-sol|xhigh|reasoning|fallback-na|aa-v4.3.2|snapshot-2026-09-28</x:t>
        </x:is>
      </x:c>
      <x:c r="B86" t="inlineStr">
        <x:is>
          <x:t xml:space="preserve">openai|gpt-6-sol|xhigh|reasoning|fallback-na</x:t>
        </x:is>
      </x:c>
      <x:c r="C86" t="inlineStr">
        <x:is>
          <x:t xml:space="preserve">AA|v4.3.2</x:t>
        </x:is>
      </x:c>
      <x:c r="D86" t="n">
        <x:v>12</x:v>
      </x:c>
      <x:c r="E86" t="n">
        <x:v>50</x:v>
      </x:c>
      <x:c r="F86" t="n">
        <x:f>INDEX(Run_Metrics!$F:$F,D86)</x:f>
        <x:v>44</x:v>
      </x:c>
      <x:c r="G86" t="n">
        <x:f>INDEX(Run_Metrics!$G:$G,D86)</x:f>
        <x:v>0.53</x:v>
      </x:c>
      <x:c r="H86" t="n">
        <x:f>INDEX(Run_Metrics!$I:$I,D86)</x:f>
        <x:v>3.318833333333333</x:v>
      </x:c>
      <x:c r="I86" t="n">
        <x:f>IF(F86="","",F86-(E86-1))</x:f>
        <x:v>-5</x:v>
      </x:c>
      <x:c r="J86" t="n">
        <x:f>IF(I86&gt;0,1,0)</x:f>
        <x:v>0</x:v>
      </x:c>
      <x:c r="K86" t="str">
        <x:f>IF(OR(J86=0,G86="",G86=0),"",I86/G86)</x:f>
      </x:c>
      <x:c r="L86" t="str">
        <x:f>IF(OR(J86=0,I86=0,G86=""),"",G86/I86)</x:f>
      </x:c>
      <x:c r="M86" t="str">
        <x:f>IF(OR(J86=0,G86="",H86="",G86=0,H86=0),"",I86/(G86*H86))</x:f>
      </x:c>
      <x:c r="N86" t="str">
        <x:f>IF(K86="","",K86/_xlfn.MAXIFS($K:$K,$E:$E,E86))</x:f>
      </x:c>
      <x:c r="O86" t="str">
        <x:f>IF(M86="","",M86/_xlfn.MAXIFS($M:$M,$E:$E,E86))</x:f>
      </x:c>
      <x:c r="P86" t="str">
        <x:f>IF(OR(N86="",O86=""),"",SQRT(N86*O86))</x:f>
      </x:c>
      <x:c r="Q86" t="str">
        <x:f>IF(OR(N86="",O86=""),"",N86^0.7*O86^0.3)</x:f>
      </x:c>
      <x:c r="R86" t="str">
        <x:f>IF(OR(N86="",O86=""),"",N86^0.3*O86^0.7)</x:f>
      </x:c>
    </x:row>
    <x:row r="87">
      <x:c r="A87" t="inlineStr">
        <x:is>
          <x:t xml:space="preserve">openai|gpt-6-sol|xhigh|reasoning|fallback-na|aa-v4.3.2|snapshot-2026-09-28</x:t>
        </x:is>
      </x:c>
      <x:c r="B87" t="inlineStr">
        <x:is>
          <x:t xml:space="preserve">openai|gpt-6-sol|xhigh|reasoning|fallback-na</x:t>
        </x:is>
      </x:c>
      <x:c r="C87" t="inlineStr">
        <x:is>
          <x:t xml:space="preserve">AA|v4.3.2</x:t>
        </x:is>
      </x:c>
      <x:c r="D87" t="n">
        <x:v>12</x:v>
      </x:c>
      <x:c r="E87" t="n">
        <x:v>52</x:v>
      </x:c>
      <x:c r="F87" t="n">
        <x:f>INDEX(Run_Metrics!$F:$F,D87)</x:f>
        <x:v>44</x:v>
      </x:c>
      <x:c r="G87" t="n">
        <x:f>INDEX(Run_Metrics!$G:$G,D87)</x:f>
        <x:v>0.53</x:v>
      </x:c>
      <x:c r="H87" t="n">
        <x:f>INDEX(Run_Metrics!$I:$I,D87)</x:f>
        <x:v>3.318833333333333</x:v>
      </x:c>
      <x:c r="I87" t="n">
        <x:f>IF(F87="","",F87-(E87-1))</x:f>
        <x:v>-7</x:v>
      </x:c>
      <x:c r="J87" t="n">
        <x:f>IF(I87&gt;0,1,0)</x:f>
        <x:v>0</x:v>
      </x:c>
      <x:c r="K87" t="str">
        <x:f>IF(OR(J87=0,G87="",G87=0),"",I87/G87)</x:f>
      </x:c>
      <x:c r="L87" t="str">
        <x:f>IF(OR(J87=0,I87=0,G87=""),"",G87/I87)</x:f>
      </x:c>
      <x:c r="M87" t="str">
        <x:f>IF(OR(J87=0,G87="",H87="",G87=0,H87=0),"",I87/(G87*H87))</x:f>
      </x:c>
      <x:c r="N87" t="str">
        <x:f>IF(K87="","",K87/_xlfn.MAXIFS($K:$K,$E:$E,E87))</x:f>
      </x:c>
      <x:c r="O87" t="str">
        <x:f>IF(M87="","",M87/_xlfn.MAXIFS($M:$M,$E:$E,E87))</x:f>
      </x:c>
      <x:c r="P87" t="str">
        <x:f>IF(OR(N87="",O87=""),"",SQRT(N87*O87))</x:f>
      </x:c>
      <x:c r="Q87" t="str">
        <x:f>IF(OR(N87="",O87=""),"",N87^0.7*O87^0.3)</x:f>
      </x:c>
      <x:c r="R87" t="str">
        <x:f>IF(OR(N87="",O87=""),"",N87^0.3*O87^0.7)</x:f>
      </x:c>
    </x:row>
    <x:row r="88">
      <x:c r="A88" t="inlineStr">
        <x:is>
          <x:t xml:space="preserve">openai|gpt-6-sol|xhigh|reasoning|fallback-na|aa-v4.3.2|snapshot-2026-09-28</x:t>
        </x:is>
      </x:c>
      <x:c r="B88" t="inlineStr">
        <x:is>
          <x:t xml:space="preserve">openai|gpt-6-sol|xhigh|reasoning|fallback-na</x:t>
        </x:is>
      </x:c>
      <x:c r="C88" t="inlineStr">
        <x:is>
          <x:t xml:space="preserve">AA|v4.3.2</x:t>
        </x:is>
      </x:c>
      <x:c r="D88" t="n">
        <x:v>12</x:v>
      </x:c>
      <x:c r="E88" t="n">
        <x:v>65</x:v>
      </x:c>
      <x:c r="F88" t="n">
        <x:f>INDEX(Run_Metrics!$F:$F,D88)</x:f>
        <x:v>44</x:v>
      </x:c>
      <x:c r="G88" t="n">
        <x:f>INDEX(Run_Metrics!$G:$G,D88)</x:f>
        <x:v>0.53</x:v>
      </x:c>
      <x:c r="H88" t="n">
        <x:f>INDEX(Run_Metrics!$I:$I,D88)</x:f>
        <x:v>3.318833333333333</x:v>
      </x:c>
      <x:c r="I88" t="n">
        <x:f>IF(F88="","",F88-(E88-1))</x:f>
        <x:v>-20</x:v>
      </x:c>
      <x:c r="J88" t="n">
        <x:f>IF(I88&gt;0,1,0)</x:f>
        <x:v>0</x:v>
      </x:c>
      <x:c r="K88" t="str">
        <x:f>IF(OR(J88=0,G88="",G88=0),"",I88/G88)</x:f>
      </x:c>
      <x:c r="L88" t="str">
        <x:f>IF(OR(J88=0,I88=0,G88=""),"",G88/I88)</x:f>
      </x:c>
      <x:c r="M88" t="str">
        <x:f>IF(OR(J88=0,G88="",H88="",G88=0,H88=0),"",I88/(G88*H88))</x:f>
      </x:c>
      <x:c r="N88" t="str">
        <x:f>IF(K88="","",K88/_xlfn.MAXIFS($K:$K,$E:$E,E88))</x:f>
      </x:c>
      <x:c r="O88" t="str">
        <x:f>IF(M88="","",M88/_xlfn.MAXIFS($M:$M,$E:$E,E88))</x:f>
      </x:c>
      <x:c r="P88" t="str">
        <x:f>IF(OR(N88="",O88=""),"",SQRT(N88*O88))</x:f>
      </x:c>
      <x:c r="Q88" t="str">
        <x:f>IF(OR(N88="",O88=""),"",N88^0.7*O88^0.3)</x:f>
      </x:c>
      <x:c r="R88" t="str">
        <x:f>IF(OR(N88="",O88=""),"",N88^0.3*O88^0.7)</x:f>
      </x:c>
    </x:row>
    <x:row r="89">
      <x:c r="A89" t="inlineStr">
        <x:is>
          <x:t xml:space="preserve">openai|gpt-6-sol|xhigh|reasoning|fallback-na|aa-v4.3.2|snapshot-2026-09-28</x:t>
        </x:is>
      </x:c>
      <x:c r="B89" t="inlineStr">
        <x:is>
          <x:t xml:space="preserve">openai|gpt-6-sol|xhigh|reasoning|fallback-na</x:t>
        </x:is>
      </x:c>
      <x:c r="C89" t="inlineStr">
        <x:is>
          <x:t xml:space="preserve">AA|v4.3.2</x:t>
        </x:is>
      </x:c>
      <x:c r="D89" t="n">
        <x:v>12</x:v>
      </x:c>
      <x:c r="E89" t="n">
        <x:v>80</x:v>
      </x:c>
      <x:c r="F89" t="n">
        <x:f>INDEX(Run_Metrics!$F:$F,D89)</x:f>
        <x:v>44</x:v>
      </x:c>
      <x:c r="G89" t="n">
        <x:f>INDEX(Run_Metrics!$G:$G,D89)</x:f>
        <x:v>0.53</x:v>
      </x:c>
      <x:c r="H89" t="n">
        <x:f>INDEX(Run_Metrics!$I:$I,D89)</x:f>
        <x:v>3.318833333333333</x:v>
      </x:c>
      <x:c r="I89" t="n">
        <x:f>IF(F89="","",F89-(E89-1))</x:f>
        <x:v>-35</x:v>
      </x:c>
      <x:c r="J89" t="n">
        <x:f>IF(I89&gt;0,1,0)</x:f>
        <x:v>0</x:v>
      </x:c>
      <x:c r="K89" t="str">
        <x:f>IF(OR(J89=0,G89="",G89=0),"",I89/G89)</x:f>
      </x:c>
      <x:c r="L89" t="str">
        <x:f>IF(OR(J89=0,I89=0,G89=""),"",G89/I89)</x:f>
      </x:c>
      <x:c r="M89" t="str">
        <x:f>IF(OR(J89=0,G89="",H89="",G89=0,H89=0),"",I89/(G89*H89))</x:f>
      </x:c>
      <x:c r="N89" t="str">
        <x:f>IF(K89="","",K89/_xlfn.MAXIFS($K:$K,$E:$E,E89))</x:f>
      </x:c>
      <x:c r="O89" t="str">
        <x:f>IF(M89="","",M89/_xlfn.MAXIFS($M:$M,$E:$E,E89))</x:f>
      </x:c>
      <x:c r="P89" t="str">
        <x:f>IF(OR(N89="",O89=""),"",SQRT(N89*O89))</x:f>
      </x:c>
      <x:c r="Q89" t="str">
        <x:f>IF(OR(N89="",O89=""),"",N89^0.7*O89^0.3)</x:f>
      </x:c>
      <x:c r="R89" t="str">
        <x:f>IF(OR(N89="",O89=""),"",N89^0.3*O89^0.7)</x:f>
      </x:c>
    </x:row>
    <x:row r="90">
      <x:c r="A90" t="inlineStr">
        <x:is>
          <x:t xml:space="preserve">openai|gpt-6-sol|max|reasoning|fallback-na|aa-v4.3.2|snapshot-2026-09-28</x:t>
        </x:is>
      </x:c>
      <x:c r="B90" t="inlineStr">
        <x:is>
          <x:t xml:space="preserve">openai|gpt-6-sol|max|reasoning|fallback-na</x:t>
        </x:is>
      </x:c>
      <x:c r="C90" t="inlineStr">
        <x:is>
          <x:t xml:space="preserve">AA|v4.3.2</x:t>
        </x:is>
      </x:c>
      <x:c r="D90" t="n">
        <x:v>13</x:v>
      </x:c>
      <x:c r="E90" t="n">
        <x:v>20</x:v>
      </x:c>
      <x:c r="F90" t="n">
        <x:f>INDEX(Run_Metrics!$F:$F,D90)</x:f>
        <x:v>48</x:v>
      </x:c>
      <x:c r="G90" t="n">
        <x:f>INDEX(Run_Metrics!$G:$G,D90)</x:f>
        <x:v>1.06</x:v>
      </x:c>
      <x:c r="H90" t="n">
        <x:f>INDEX(Run_Metrics!$I:$I,D90)</x:f>
        <x:v>5.805833333333334</x:v>
      </x:c>
      <x:c r="I90" t="n">
        <x:f>IF(F90="","",F90-(E90-1))</x:f>
        <x:v>29</x:v>
      </x:c>
      <x:c r="J90" t="n">
        <x:f>IF(I90&gt;0,1,0)</x:f>
        <x:v>1</x:v>
      </x:c>
      <x:c r="K90" t="n">
        <x:f>IF(OR(J90=0,G90="",G90=0),"",I90/G90)</x:f>
        <x:v>27.358490566037734</x:v>
      </x:c>
      <x:c r="L90" t="n">
        <x:f>IF(OR(J90=0,I90=0,G90=""),"",G90/I90)</x:f>
        <x:v>0.036551724137931035</x:v>
      </x:c>
      <x:c r="M90" t="n">
        <x:f>IF(OR(J90=0,G90="",H90="",G90=0,H90=0),"",I90/(G90*H90))</x:f>
        <x:v>4.71224180841758</x:v>
      </x:c>
      <x:c r="N90" t="n">
        <x:f>IF(K90="","",K90/_xlfn.MAXIFS($K:$K,$E:$E,E90))</x:f>
        <x:v>0.041037735849056595</x:v>
      </x:c>
      <x:c r="O90" t="n">
        <x:f>IF(M90="","",M90/_xlfn.MAXIFS($M:$M,$E:$E,E90))</x:f>
        <x:v>0.0024968991282352648</x:v>
      </x:c>
      <x:c r="P90" t="n">
        <x:f>IF(OR(N90="",O90=""),"",SQRT(N90*O90))</x:f>
        <x:v>0.010122602771335962</x:v>
      </x:c>
      <x:c r="Q90" t="n">
        <x:f>IF(OR(N90="",O90=""),"",N90^0.7*O90^0.3)</x:f>
        <x:v>0.017719386186150394</x:v>
      </x:c>
      <x:c r="R90" t="n">
        <x:f>IF(OR(N90="",O90=""),"",N90^0.3*O90^0.7)</x:f>
        <x:v>0.005782767291699279</x:v>
      </x:c>
    </x:row>
    <x:row r="91">
      <x:c r="A91" t="inlineStr">
        <x:is>
          <x:t xml:space="preserve">openai|gpt-6-sol|max|reasoning|fallback-na|aa-v4.3.2|snapshot-2026-09-28</x:t>
        </x:is>
      </x:c>
      <x:c r="B91" t="inlineStr">
        <x:is>
          <x:t xml:space="preserve">openai|gpt-6-sol|max|reasoning|fallback-na</x:t>
        </x:is>
      </x:c>
      <x:c r="C91" t="inlineStr">
        <x:is>
          <x:t xml:space="preserve">AA|v4.3.2</x:t>
        </x:is>
      </x:c>
      <x:c r="D91" t="n">
        <x:v>13</x:v>
      </x:c>
      <x:c r="E91" t="n">
        <x:v>30</x:v>
      </x:c>
      <x:c r="F91" t="n">
        <x:f>INDEX(Run_Metrics!$F:$F,D91)</x:f>
        <x:v>48</x:v>
      </x:c>
      <x:c r="G91" t="n">
        <x:f>INDEX(Run_Metrics!$G:$G,D91)</x:f>
        <x:v>1.06</x:v>
      </x:c>
      <x:c r="H91" t="n">
        <x:f>INDEX(Run_Metrics!$I:$I,D91)</x:f>
        <x:v>5.805833333333334</x:v>
      </x:c>
      <x:c r="I91" t="n">
        <x:f>IF(F91="","",F91-(E91-1))</x:f>
        <x:v>19</x:v>
      </x:c>
      <x:c r="J91" t="n">
        <x:f>IF(I91&gt;0,1,0)</x:f>
        <x:v>1</x:v>
      </x:c>
      <x:c r="K91" t="n">
        <x:f>IF(OR(J91=0,G91="",G91=0),"",I91/G91)</x:f>
        <x:v>17.92452830188679</x:v>
      </x:c>
      <x:c r="L91" t="n">
        <x:f>IF(OR(J91=0,I91=0,G91=""),"",G91/I91)</x:f>
        <x:v>0.05578947368421053</x:v>
      </x:c>
      <x:c r="M91" t="n">
        <x:f>IF(OR(J91=0,G91="",H91="",G91=0,H91=0),"",I91/(G91*H91))</x:f>
        <x:v>3.087330839997725</x:v>
      </x:c>
      <x:c r="N91" t="n">
        <x:f>IF(K91="","",K91/_xlfn.MAXIFS($K:$K,$E:$E,E91))</x:f>
        <x:v>0.11949685534591194</x:v>
      </x:c>
      <x:c r="O91" t="n">
        <x:f>IF(M91="","",M91/_xlfn.MAXIFS($M:$M,$E:$E,E91))</x:f>
        <x:v>0.054945226959439514</x:v>
      </x:c>
      <x:c r="P91" t="n">
        <x:f>IF(OR(N91="",O91=""),"",SQRT(N91*O91))</x:f>
        <x:v>0.08102951214169098</x:v>
      </x:c>
      <x:c r="Q91" t="n">
        <x:f>IF(OR(N91="",O91=""),"",N91^0.7*O91^0.3)</x:f>
        <x:v>0.0946517232288628</x:v>
      </x:c>
      <x:c r="R91" t="n">
        <x:f>IF(OR(N91="",O91=""),"",N91^0.3*O91^0.7)</x:f>
        <x:v>0.06936780033095369</x:v>
      </x:c>
    </x:row>
    <x:row r="92">
      <x:c r="A92" t="inlineStr">
        <x:is>
          <x:t xml:space="preserve">openai|gpt-6-sol|max|reasoning|fallback-na|aa-v4.3.2|snapshot-2026-09-28</x:t>
        </x:is>
      </x:c>
      <x:c r="B92" t="inlineStr">
        <x:is>
          <x:t xml:space="preserve">openai|gpt-6-sol|max|reasoning|fallback-na</x:t>
        </x:is>
      </x:c>
      <x:c r="C92" t="inlineStr">
        <x:is>
          <x:t xml:space="preserve">AA|v4.3.2</x:t>
        </x:is>
      </x:c>
      <x:c r="D92" t="n">
        <x:v>13</x:v>
      </x:c>
      <x:c r="E92" t="n">
        <x:v>40</x:v>
      </x:c>
      <x:c r="F92" t="n">
        <x:f>INDEX(Run_Metrics!$F:$F,D92)</x:f>
        <x:v>48</x:v>
      </x:c>
      <x:c r="G92" t="n">
        <x:f>INDEX(Run_Metrics!$G:$G,D92)</x:f>
        <x:v>1.06</x:v>
      </x:c>
      <x:c r="H92" t="n">
        <x:f>INDEX(Run_Metrics!$I:$I,D92)</x:f>
        <x:v>5.805833333333334</x:v>
      </x:c>
      <x:c r="I92" t="n">
        <x:f>IF(F92="","",F92-(E92-1))</x:f>
        <x:v>9</x:v>
      </x:c>
      <x:c r="J92" t="n">
        <x:f>IF(I92&gt;0,1,0)</x:f>
        <x:v>1</x:v>
      </x:c>
      <x:c r="K92" t="n">
        <x:f>IF(OR(J92=0,G92="",G92=0),"",I92/G92)</x:f>
        <x:v>8.49056603773585</x:v>
      </x:c>
      <x:c r="L92" t="n">
        <x:f>IF(OR(J92=0,I92=0,G92=""),"",G92/I92)</x:f>
        <x:v>0.11777777777777779</x:v>
      </x:c>
      <x:c r="M92" t="n">
        <x:f>IF(OR(J92=0,G92="",H92="",G92=0,H92=0),"",I92/(G92*H92))</x:f>
        <x:v>1.4624198715778696</x:v>
      </x:c>
      <x:c r="N92" t="n">
        <x:f>IF(K92="","",K92/_xlfn.MAXIFS($K:$K,$E:$E,E92))</x:f>
        <x:v>0.15768194070080863</x:v>
      </x:c>
      <x:c r="O92" t="n">
        <x:f>IF(M92="","",M92/_xlfn.MAXIFS($M:$M,$E:$E,E92))</x:f>
        <x:v>0.24266350763340608</x:v>
      </x:c>
      <x:c r="P92" t="n">
        <x:f>IF(OR(N92="",O92=""),"",SQRT(N92*O92))</x:f>
        <x:v>0.19561097316076356</x:v>
      </x:c>
      <x:c r="Q92" t="n">
        <x:f>IF(OR(N92="",O92=""),"",N92^0.7*O92^0.3)</x:f>
        <x:v>0.17945216853536006</x:v>
      </x:c>
      <x:c r="R92" t="n">
        <x:f>IF(OR(N92="",O92=""),"",N92^0.3*O92^0.7)</x:f>
        <x:v>0.21322480042007028</x:v>
      </x:c>
    </x:row>
    <x:row r="93">
      <x:c r="A93" t="inlineStr">
        <x:is>
          <x:t xml:space="preserve">openai|gpt-6-sol|max|reasoning|fallback-na|aa-v4.3.2|snapshot-2026-09-28</x:t>
        </x:is>
      </x:c>
      <x:c r="B93" t="inlineStr">
        <x:is>
          <x:t xml:space="preserve">openai|gpt-6-sol|max|reasoning|fallback-na</x:t>
        </x:is>
      </x:c>
      <x:c r="C93" t="inlineStr">
        <x:is>
          <x:t xml:space="preserve">AA|v4.3.2</x:t>
        </x:is>
      </x:c>
      <x:c r="D93" t="n">
        <x:v>13</x:v>
      </x:c>
      <x:c r="E93" t="n">
        <x:v>45</x:v>
      </x:c>
      <x:c r="F93" t="n">
        <x:f>INDEX(Run_Metrics!$F:$F,D93)</x:f>
        <x:v>48</x:v>
      </x:c>
      <x:c r="G93" t="n">
        <x:f>INDEX(Run_Metrics!$G:$G,D93)</x:f>
        <x:v>1.06</x:v>
      </x:c>
      <x:c r="H93" t="n">
        <x:f>INDEX(Run_Metrics!$I:$I,D93)</x:f>
        <x:v>5.805833333333334</x:v>
      </x:c>
      <x:c r="I93" t="n">
        <x:f>IF(F93="","",F93-(E93-1))</x:f>
        <x:v>4</x:v>
      </x:c>
      <x:c r="J93" t="n">
        <x:f>IF(I93&gt;0,1,0)</x:f>
        <x:v>1</x:v>
      </x:c>
      <x:c r="K93" t="n">
        <x:f>IF(OR(J93=0,G93="",G93=0),"",I93/G93)</x:f>
        <x:v>3.773584905660377</x:v>
      </x:c>
      <x:c r="L93" t="n">
        <x:f>IF(OR(J93=0,I93=0,G93=""),"",G93/I93)</x:f>
        <x:v>0.265</x:v>
      </x:c>
      <x:c r="M93" t="n">
        <x:f>IF(OR(J93=0,G93="",H93="",G93=0,H93=0),"",I93/(G93*H93))</x:f>
        <x:v>0.649964387367942</x:v>
      </x:c>
      <x:c r="N93" t="n">
        <x:f>IF(K93="","",K93/_xlfn.MAXIFS($K:$K,$E:$E,E93))</x:f>
        <x:v>0.1981132075471698</x:v>
      </x:c>
      <x:c r="O93" t="n">
        <x:f>IF(M93="","",M93/_xlfn.MAXIFS($M:$M,$E:$E,E93))</x:f>
        <x:v>0.3774765674297428</x:v>
      </x:c>
      <x:c r="P93" t="n">
        <x:f>IF(OR(N93="",O93=""),"",SQRT(N93*O93))</x:f>
        <x:v>0.27346497682043647</x:v>
      </x:c>
      <x:c r="Q93" t="n">
        <x:f>IF(OR(N93="",O93=""),"",N93^0.7*O93^0.3)</x:f>
        <x:v>0.2403844661599219</x:v>
      </x:c>
      <x:c r="R93" t="n">
        <x:f>IF(OR(N93="",O93=""),"",N93^0.3*O93^0.7)</x:f>
        <x:v>0.3110978622788817</x:v>
      </x:c>
    </x:row>
    <x:row r="94">
      <x:c r="A94" t="inlineStr">
        <x:is>
          <x:t xml:space="preserve">openai|gpt-6-sol|max|reasoning|fallback-na|aa-v4.3.2|snapshot-2026-09-28</x:t>
        </x:is>
      </x:c>
      <x:c r="B94" t="inlineStr">
        <x:is>
          <x:t xml:space="preserve">openai|gpt-6-sol|max|reasoning|fallback-na</x:t>
        </x:is>
      </x:c>
      <x:c r="C94" t="inlineStr">
        <x:is>
          <x:t xml:space="preserve">AA|v4.3.2</x:t>
        </x:is>
      </x:c>
      <x:c r="D94" t="n">
        <x:v>13</x:v>
      </x:c>
      <x:c r="E94" t="n">
        <x:v>50</x:v>
      </x:c>
      <x:c r="F94" t="n">
        <x:f>INDEX(Run_Metrics!$F:$F,D94)</x:f>
        <x:v>48</x:v>
      </x:c>
      <x:c r="G94" t="n">
        <x:f>INDEX(Run_Metrics!$G:$G,D94)</x:f>
        <x:v>1.06</x:v>
      </x:c>
      <x:c r="H94" t="n">
        <x:f>INDEX(Run_Metrics!$I:$I,D94)</x:f>
        <x:v>5.805833333333334</x:v>
      </x:c>
      <x:c r="I94" t="n">
        <x:f>IF(F94="","",F94-(E94-1))</x:f>
        <x:v>-1</x:v>
      </x:c>
      <x:c r="J94" t="n">
        <x:f>IF(I94&gt;0,1,0)</x:f>
        <x:v>0</x:v>
      </x:c>
      <x:c r="K94" t="str">
        <x:f>IF(OR(J94=0,G94="",G94=0),"",I94/G94)</x:f>
      </x:c>
      <x:c r="L94" t="str">
        <x:f>IF(OR(J94=0,I94=0,G94=""),"",G94/I94)</x:f>
      </x:c>
      <x:c r="M94" t="str">
        <x:f>IF(OR(J94=0,G94="",H94="",G94=0,H94=0),"",I94/(G94*H94))</x:f>
      </x:c>
      <x:c r="N94" t="str">
        <x:f>IF(K94="","",K94/_xlfn.MAXIFS($K:$K,$E:$E,E94))</x:f>
      </x:c>
      <x:c r="O94" t="str">
        <x:f>IF(M94="","",M94/_xlfn.MAXIFS($M:$M,$E:$E,E94))</x:f>
      </x:c>
      <x:c r="P94" t="str">
        <x:f>IF(OR(N94="",O94=""),"",SQRT(N94*O94))</x:f>
      </x:c>
      <x:c r="Q94" t="str">
        <x:f>IF(OR(N94="",O94=""),"",N94^0.7*O94^0.3)</x:f>
      </x:c>
      <x:c r="R94" t="str">
        <x:f>IF(OR(N94="",O94=""),"",N94^0.3*O94^0.7)</x:f>
      </x:c>
    </x:row>
    <x:row r="95">
      <x:c r="A95" t="inlineStr">
        <x:is>
          <x:t xml:space="preserve">openai|gpt-6-sol|max|reasoning|fallback-na|aa-v4.3.2|snapshot-2026-09-28</x:t>
        </x:is>
      </x:c>
      <x:c r="B95" t="inlineStr">
        <x:is>
          <x:t xml:space="preserve">openai|gpt-6-sol|max|reasoning|fallback-na</x:t>
        </x:is>
      </x:c>
      <x:c r="C95" t="inlineStr">
        <x:is>
          <x:t xml:space="preserve">AA|v4.3.2</x:t>
        </x:is>
      </x:c>
      <x:c r="D95" t="n">
        <x:v>13</x:v>
      </x:c>
      <x:c r="E95" t="n">
        <x:v>52</x:v>
      </x:c>
      <x:c r="F95" t="n">
        <x:f>INDEX(Run_Metrics!$F:$F,D95)</x:f>
        <x:v>48</x:v>
      </x:c>
      <x:c r="G95" t="n">
        <x:f>INDEX(Run_Metrics!$G:$G,D95)</x:f>
        <x:v>1.06</x:v>
      </x:c>
      <x:c r="H95" t="n">
        <x:f>INDEX(Run_Metrics!$I:$I,D95)</x:f>
        <x:v>5.805833333333334</x:v>
      </x:c>
      <x:c r="I95" t="n">
        <x:f>IF(F95="","",F95-(E95-1))</x:f>
        <x:v>-3</x:v>
      </x:c>
      <x:c r="J95" t="n">
        <x:f>IF(I95&gt;0,1,0)</x:f>
        <x:v>0</x:v>
      </x:c>
      <x:c r="K95" t="str">
        <x:f>IF(OR(J95=0,G95="",G95=0),"",I95/G95)</x:f>
      </x:c>
      <x:c r="L95" t="str">
        <x:f>IF(OR(J95=0,I95=0,G95=""),"",G95/I95)</x:f>
      </x:c>
      <x:c r="M95" t="str">
        <x:f>IF(OR(J95=0,G95="",H95="",G95=0,H95=0),"",I95/(G95*H95))</x:f>
      </x:c>
      <x:c r="N95" t="str">
        <x:f>IF(K95="","",K95/_xlfn.MAXIFS($K:$K,$E:$E,E95))</x:f>
      </x:c>
      <x:c r="O95" t="str">
        <x:f>IF(M95="","",M95/_xlfn.MAXIFS($M:$M,$E:$E,E95))</x:f>
      </x:c>
      <x:c r="P95" t="str">
        <x:f>IF(OR(N95="",O95=""),"",SQRT(N95*O95))</x:f>
      </x:c>
      <x:c r="Q95" t="str">
        <x:f>IF(OR(N95="",O95=""),"",N95^0.7*O95^0.3)</x:f>
      </x:c>
      <x:c r="R95" t="str">
        <x:f>IF(OR(N95="",O95=""),"",N95^0.3*O95^0.7)</x:f>
      </x:c>
    </x:row>
    <x:row r="96">
      <x:c r="A96" t="inlineStr">
        <x:is>
          <x:t xml:space="preserve">openai|gpt-6-sol|max|reasoning|fallback-na|aa-v4.3.2|snapshot-2026-09-28</x:t>
        </x:is>
      </x:c>
      <x:c r="B96" t="inlineStr">
        <x:is>
          <x:t xml:space="preserve">openai|gpt-6-sol|max|reasoning|fallback-na</x:t>
        </x:is>
      </x:c>
      <x:c r="C96" t="inlineStr">
        <x:is>
          <x:t xml:space="preserve">AA|v4.3.2</x:t>
        </x:is>
      </x:c>
      <x:c r="D96" t="n">
        <x:v>13</x:v>
      </x:c>
      <x:c r="E96" t="n">
        <x:v>65</x:v>
      </x:c>
      <x:c r="F96" t="n">
        <x:f>INDEX(Run_Metrics!$F:$F,D96)</x:f>
        <x:v>48</x:v>
      </x:c>
      <x:c r="G96" t="n">
        <x:f>INDEX(Run_Metrics!$G:$G,D96)</x:f>
        <x:v>1.06</x:v>
      </x:c>
      <x:c r="H96" t="n">
        <x:f>INDEX(Run_Metrics!$I:$I,D96)</x:f>
        <x:v>5.805833333333334</x:v>
      </x:c>
      <x:c r="I96" t="n">
        <x:f>IF(F96="","",F96-(E96-1))</x:f>
        <x:v>-16</x:v>
      </x:c>
      <x:c r="J96" t="n">
        <x:f>IF(I96&gt;0,1,0)</x:f>
        <x:v>0</x:v>
      </x:c>
      <x:c r="K96" t="str">
        <x:f>IF(OR(J96=0,G96="",G96=0),"",I96/G96)</x:f>
      </x:c>
      <x:c r="L96" t="str">
        <x:f>IF(OR(J96=0,I96=0,G96=""),"",G96/I96)</x:f>
      </x:c>
      <x:c r="M96" t="str">
        <x:f>IF(OR(J96=0,G96="",H96="",G96=0,H96=0),"",I96/(G96*H96))</x:f>
      </x:c>
      <x:c r="N96" t="str">
        <x:f>IF(K96="","",K96/_xlfn.MAXIFS($K:$K,$E:$E,E96))</x:f>
      </x:c>
      <x:c r="O96" t="str">
        <x:f>IF(M96="","",M96/_xlfn.MAXIFS($M:$M,$E:$E,E96))</x:f>
      </x:c>
      <x:c r="P96" t="str">
        <x:f>IF(OR(N96="",O96=""),"",SQRT(N96*O96))</x:f>
      </x:c>
      <x:c r="Q96" t="str">
        <x:f>IF(OR(N96="",O96=""),"",N96^0.7*O96^0.3)</x:f>
      </x:c>
      <x:c r="R96" t="str">
        <x:f>IF(OR(N96="",O96=""),"",N96^0.3*O96^0.7)</x:f>
      </x:c>
    </x:row>
    <x:row r="97">
      <x:c r="A97" t="inlineStr">
        <x:is>
          <x:t xml:space="preserve">openai|gpt-6-sol|max|reasoning|fallback-na|aa-v4.3.2|snapshot-2026-09-28</x:t>
        </x:is>
      </x:c>
      <x:c r="B97" t="inlineStr">
        <x:is>
          <x:t xml:space="preserve">openai|gpt-6-sol|max|reasoning|fallback-na</x:t>
        </x:is>
      </x:c>
      <x:c r="C97" t="inlineStr">
        <x:is>
          <x:t xml:space="preserve">AA|v4.3.2</x:t>
        </x:is>
      </x:c>
      <x:c r="D97" t="n">
        <x:v>13</x:v>
      </x:c>
      <x:c r="E97" t="n">
        <x:v>80</x:v>
      </x:c>
      <x:c r="F97" t="n">
        <x:f>INDEX(Run_Metrics!$F:$F,D97)</x:f>
        <x:v>48</x:v>
      </x:c>
      <x:c r="G97" t="n">
        <x:f>INDEX(Run_Metrics!$G:$G,D97)</x:f>
        <x:v>1.06</x:v>
      </x:c>
      <x:c r="H97" t="n">
        <x:f>INDEX(Run_Metrics!$I:$I,D97)</x:f>
        <x:v>5.805833333333334</x:v>
      </x:c>
      <x:c r="I97" t="n">
        <x:f>IF(F97="","",F97-(E97-1))</x:f>
        <x:v>-31</x:v>
      </x:c>
      <x:c r="J97" t="n">
        <x:f>IF(I97&gt;0,1,0)</x:f>
        <x:v>0</x:v>
      </x:c>
      <x:c r="K97" t="str">
        <x:f>IF(OR(J97=0,G97="",G97=0),"",I97/G97)</x:f>
      </x:c>
      <x:c r="L97" t="str">
        <x:f>IF(OR(J97=0,I97=0,G97=""),"",G97/I97)</x:f>
      </x:c>
      <x:c r="M97" t="str">
        <x:f>IF(OR(J97=0,G97="",H97="",G97=0,H97=0),"",I97/(G97*H97))</x:f>
      </x:c>
      <x:c r="N97" t="str">
        <x:f>IF(K97="","",K97/_xlfn.MAXIFS($K:$K,$E:$E,E97))</x:f>
      </x:c>
      <x:c r="O97" t="str">
        <x:f>IF(M97="","",M97/_xlfn.MAXIFS($M:$M,$E:$E,E97))</x:f>
      </x:c>
      <x:c r="P97" t="str">
        <x:f>IF(OR(N97="",O97=""),"",SQRT(N97*O97))</x:f>
      </x:c>
      <x:c r="Q97" t="str">
        <x:f>IF(OR(N97="",O97=""),"",N97^0.7*O97^0.3)</x:f>
      </x:c>
      <x:c r="R97" t="str">
        <x:f>IF(OR(N97="",O97=""),"",N97^0.3*O97^0.7)</x:f>
      </x:c>
    </x:row>
    <x:row r="98">
      <x:c r="A98" t="inlineStr">
        <x:is>
          <x:t xml:space="preserve">openai|gpt-6-astra|low|reasoning|fallback-na|aa-v4.3.2|snapshot-2026-09-28</x:t>
        </x:is>
      </x:c>
      <x:c r="B98" t="inlineStr">
        <x:is>
          <x:t xml:space="preserve">openai|gpt-6-astra|low|reasoning|fallback-na</x:t>
        </x:is>
      </x:c>
      <x:c r="C98" t="inlineStr">
        <x:is>
          <x:t xml:space="preserve">AA|v4.3.2</x:t>
        </x:is>
      </x:c>
      <x:c r="D98" t="n">
        <x:v>14</x:v>
      </x:c>
      <x:c r="E98" t="n">
        <x:v>20</x:v>
      </x:c>
      <x:c r="F98" t="n">
        <x:f>INDEX(Run_Metrics!$F:$F,D98)</x:f>
        <x:v>46</x:v>
      </x:c>
      <x:c r="G98" t="n">
        <x:f>INDEX(Run_Metrics!$G:$G,D98)</x:f>
        <x:v>0.82</x:v>
      </x:c>
      <x:c r="H98" t="n">
        <x:f>INDEX(Run_Metrics!$I:$I,D98)</x:f>
        <x:v>1.4164999999999999</x:v>
      </x:c>
      <x:c r="I98" t="n">
        <x:f>IF(F98="","",F98-(E98-1))</x:f>
        <x:v>27</x:v>
      </x:c>
      <x:c r="J98" t="n">
        <x:f>IF(I98&gt;0,1,0)</x:f>
        <x:v>1</x:v>
      </x:c>
      <x:c r="K98" t="n">
        <x:f>IF(OR(J98=0,G98="",G98=0),"",I98/G98)</x:f>
        <x:v>32.926829268292686</x:v>
      </x:c>
      <x:c r="L98" t="n">
        <x:f>IF(OR(J98=0,I98=0,G98=""),"",G98/I98)</x:f>
        <x:v>0.030370370370370367</x:v>
      </x:c>
      <x:c r="M98" t="n">
        <x:f>IF(OR(J98=0,G98="",H98="",G98=0,H98=0),"",I98/(G98*H98))</x:f>
        <x:v>23.245202448494663</x:v>
      </x:c>
      <x:c r="N98" t="n">
        <x:f>IF(K98="","",K98/_xlfn.MAXIFS($K:$K,$E:$E,E98))</x:f>
        <x:v>0.04939024390243902</x:v>
      </x:c>
      <x:c r="O98" t="n">
        <x:f>IF(M98="","",M98/_xlfn.MAXIFS($M:$M,$E:$E,E98))</x:f>
        <x:v>0.012317051647396108</x:v>
      </x:c>
      <x:c r="P98" t="n">
        <x:f>IF(OR(N98="",O98=""),"",SQRT(N98*O98))</x:f>
        <x:v>0.024664593753472446</x:v>
      </x:c>
      <x:c r="Q98" t="n">
        <x:f>IF(OR(N98="",O98=""),"",N98^0.7*O98^0.3)</x:f>
        <x:v>0.03256123347398862</x:v>
      </x:c>
      <x:c r="R98" t="n">
        <x:f>IF(OR(N98="",O98=""),"",N98^0.3*O98^0.7)</x:f>
        <x:v>0.01868302027040233</x:v>
      </x:c>
    </x:row>
    <x:row r="99">
      <x:c r="A99" t="inlineStr">
        <x:is>
          <x:t xml:space="preserve">openai|gpt-6-astra|low|reasoning|fallback-na|aa-v4.3.2|snapshot-2026-09-28</x:t>
        </x:is>
      </x:c>
      <x:c r="B99" t="inlineStr">
        <x:is>
          <x:t xml:space="preserve">openai|gpt-6-astra|low|reasoning|fallback-na</x:t>
        </x:is>
      </x:c>
      <x:c r="C99" t="inlineStr">
        <x:is>
          <x:t xml:space="preserve">AA|v4.3.2</x:t>
        </x:is>
      </x:c>
      <x:c r="D99" t="n">
        <x:v>14</x:v>
      </x:c>
      <x:c r="E99" t="n">
        <x:v>30</x:v>
      </x:c>
      <x:c r="F99" t="n">
        <x:f>INDEX(Run_Metrics!$F:$F,D99)</x:f>
        <x:v>46</x:v>
      </x:c>
      <x:c r="G99" t="n">
        <x:f>INDEX(Run_Metrics!$G:$G,D99)</x:f>
        <x:v>0.82</x:v>
      </x:c>
      <x:c r="H99" t="n">
        <x:f>INDEX(Run_Metrics!$I:$I,D99)</x:f>
        <x:v>1.4164999999999999</x:v>
      </x:c>
      <x:c r="I99" t="n">
        <x:f>IF(F99="","",F99-(E99-1))</x:f>
        <x:v>17</x:v>
      </x:c>
      <x:c r="J99" t="n">
        <x:f>IF(I99&gt;0,1,0)</x:f>
        <x:v>1</x:v>
      </x:c>
      <x:c r="K99" t="n">
        <x:f>IF(OR(J99=0,G99="",G99=0),"",I99/G99)</x:f>
        <x:v>20.731707317073173</x:v>
      </x:c>
      <x:c r="L99" t="n">
        <x:f>IF(OR(J99=0,I99=0,G99=""),"",G99/I99)</x:f>
        <x:v>0.04823529411764706</x:v>
      </x:c>
      <x:c r="M99" t="n">
        <x:f>IF(OR(J99=0,G99="",H99="",G99=0,H99=0),"",I99/(G99*H99))</x:f>
        <x:v>14.635868208311456</x:v>
      </x:c>
      <x:c r="N99" t="n">
        <x:f>IF(K99="","",K99/_xlfn.MAXIFS($K:$K,$E:$E,E99))</x:f>
        <x:v>0.13821138211382114</x:v>
      </x:c>
      <x:c r="O99" t="n">
        <x:f>IF(M99="","",M99/_xlfn.MAXIFS($M:$M,$E:$E,E99))</x:f>
        <x:v>0.26047454650331897</x:v>
      </x:c>
      <x:c r="P99" t="n">
        <x:f>IF(OR(N99="",O99=""),"",SQRT(N99*O99))</x:f>
        <x:v>0.18973810128093538</x:v>
      </x:c>
      <x:c r="Q99" t="n">
        <x:f>IF(OR(N99="",O99=""),"",N99^0.7*O99^0.3)</x:f>
        <x:v>0.16715149071351137</x:v>
      </x:c>
      <x:c r="R99" t="n">
        <x:f>IF(OR(N99="",O99=""),"",N99^0.3*O99^0.7)</x:f>
        <x:v>0.21537676346181975</x:v>
      </x:c>
    </x:row>
    <x:row r="100">
      <x:c r="A100" t="inlineStr">
        <x:is>
          <x:t xml:space="preserve">openai|gpt-6-astra|low|reasoning|fallback-na|aa-v4.3.2|snapshot-2026-09-28</x:t>
        </x:is>
      </x:c>
      <x:c r="B100" t="inlineStr">
        <x:is>
          <x:t xml:space="preserve">openai|gpt-6-astra|low|reasoning|fallback-na</x:t>
        </x:is>
      </x:c>
      <x:c r="C100" t="inlineStr">
        <x:is>
          <x:t xml:space="preserve">AA|v4.3.2</x:t>
        </x:is>
      </x:c>
      <x:c r="D100" t="n">
        <x:v>14</x:v>
      </x:c>
      <x:c r="E100" t="n">
        <x:v>40</x:v>
      </x:c>
      <x:c r="F100" t="n">
        <x:f>INDEX(Run_Metrics!$F:$F,D100)</x:f>
        <x:v>46</x:v>
      </x:c>
      <x:c r="G100" t="n">
        <x:f>INDEX(Run_Metrics!$G:$G,D100)</x:f>
        <x:v>0.82</x:v>
      </x:c>
      <x:c r="H100" t="n">
        <x:f>INDEX(Run_Metrics!$I:$I,D100)</x:f>
        <x:v>1.4164999999999999</x:v>
      </x:c>
      <x:c r="I100" t="n">
        <x:f>IF(F100="","",F100-(E100-1))</x:f>
        <x:v>7</x:v>
      </x:c>
      <x:c r="J100" t="n">
        <x:f>IF(I100&gt;0,1,0)</x:f>
        <x:v>1</x:v>
      </x:c>
      <x:c r="K100" t="n">
        <x:f>IF(OR(J100=0,G100="",G100=0),"",I100/G100)</x:f>
        <x:v>8.536585365853659</x:v>
      </x:c>
      <x:c r="L100" t="n">
        <x:f>IF(OR(J100=0,I100=0,G100=""),"",G100/I100)</x:f>
        <x:v>0.11714285714285713</x:v>
      </x:c>
      <x:c r="M100" t="n">
        <x:f>IF(OR(J100=0,G100="",H100="",G100=0,H100=0),"",I100/(G100*H100))</x:f>
        <x:v>6.026533968128246</x:v>
      </x:c>
      <x:c r="N100" t="n">
        <x:f>IF(K100="","",K100/_xlfn.MAXIFS($K:$K,$E:$E,E100))</x:f>
        <x:v>0.15853658536585366</x:v>
      </x:c>
      <x:c r="O100" t="n">
        <x:f>IF(M100="","",M100/_xlfn.MAXIFS($M:$M,$E:$E,E100))</x:f>
        <x:v>1</x:v>
      </x:c>
      <x:c r="P100" t="n">
        <x:f>IF(OR(N100="",O100=""),"",SQRT(N100*O100))</x:f>
        <x:v>0.39816652969059774</x:v>
      </x:c>
      <x:c r="Q100" t="n">
        <x:f>IF(OR(N100="",O100=""),"",N100^0.7*O100^0.3)</x:f>
        <x:v>0.27548036513348295</x:v>
      </x:c>
      <x:c r="R100" t="n">
        <x:f>IF(OR(N100="",O100=""),"",N100^0.3*O100^0.7)</x:f>
        <x:v>0.5754914158366073</x:v>
      </x:c>
    </x:row>
    <x:row r="101">
      <x:c r="A101" t="inlineStr">
        <x:is>
          <x:t xml:space="preserve">openai|gpt-6-astra|low|reasoning|fallback-na|aa-v4.3.2|snapshot-2026-09-28</x:t>
        </x:is>
      </x:c>
      <x:c r="B101" t="inlineStr">
        <x:is>
          <x:t xml:space="preserve">openai|gpt-6-astra|low|reasoning|fallback-na</x:t>
        </x:is>
      </x:c>
      <x:c r="C101" t="inlineStr">
        <x:is>
          <x:t xml:space="preserve">AA|v4.3.2</x:t>
        </x:is>
      </x:c>
      <x:c r="D101" t="n">
        <x:v>14</x:v>
      </x:c>
      <x:c r="E101" t="n">
        <x:v>45</x:v>
      </x:c>
      <x:c r="F101" t="n">
        <x:f>INDEX(Run_Metrics!$F:$F,D101)</x:f>
        <x:v>46</x:v>
      </x:c>
      <x:c r="G101" t="n">
        <x:f>INDEX(Run_Metrics!$G:$G,D101)</x:f>
        <x:v>0.82</x:v>
      </x:c>
      <x:c r="H101" t="n">
        <x:f>INDEX(Run_Metrics!$I:$I,D101)</x:f>
        <x:v>1.4164999999999999</x:v>
      </x:c>
      <x:c r="I101" t="n">
        <x:f>IF(F101="","",F101-(E101-1))</x:f>
        <x:v>2</x:v>
      </x:c>
      <x:c r="J101" t="n">
        <x:f>IF(I101&gt;0,1,0)</x:f>
        <x:v>1</x:v>
      </x:c>
      <x:c r="K101" t="n">
        <x:f>IF(OR(J101=0,G101="",G101=0),"",I101/G101)</x:f>
        <x:v>2.4390243902439024</x:v>
      </x:c>
      <x:c r="L101" t="n">
        <x:f>IF(OR(J101=0,I101=0,G101=""),"",G101/I101)</x:f>
        <x:v>0.41</x:v>
      </x:c>
      <x:c r="M101" t="n">
        <x:f>IF(OR(J101=0,G101="",H101="",G101=0,H101=0),"",I101/(G101*H101))</x:f>
        <x:v>1.7218668480366417</x:v>
      </x:c>
      <x:c r="N101" t="n">
        <x:f>IF(K101="","",K101/_xlfn.MAXIFS($K:$K,$E:$E,E101))</x:f>
        <x:v>0.12804878048780488</x:v>
      </x:c>
      <x:c r="O101" t="n">
        <x:f>IF(M101="","",M101/_xlfn.MAXIFS($M:$M,$E:$E,E101))</x:f>
        <x:v>1</x:v>
      </x:c>
      <x:c r="P101" t="n">
        <x:f>IF(OR(N101="",O101=""),"",SQRT(N101*O101))</x:f>
        <x:v>0.3578390427102734</x:v>
      </x:c>
      <x:c r="Q101" t="n">
        <x:f>IF(OR(N101="",O101=""),"",N101^0.7*O101^0.3)</x:f>
        <x:v>0.2372262876730764</x:v>
      </x:c>
      <x:c r="R101" t="n">
        <x:f>IF(OR(N101="",O101=""),"",N101^0.3*O101^0.7)</x:f>
        <x:v>0.5397748358490102</x:v>
      </x:c>
    </x:row>
    <x:row r="102">
      <x:c r="A102" t="inlineStr">
        <x:is>
          <x:t xml:space="preserve">openai|gpt-6-astra|low|reasoning|fallback-na|aa-v4.3.2|snapshot-2026-09-28</x:t>
        </x:is>
      </x:c>
      <x:c r="B102" t="inlineStr">
        <x:is>
          <x:t xml:space="preserve">openai|gpt-6-astra|low|reasoning|fallback-na</x:t>
        </x:is>
      </x:c>
      <x:c r="C102" t="inlineStr">
        <x:is>
          <x:t xml:space="preserve">AA|v4.3.2</x:t>
        </x:is>
      </x:c>
      <x:c r="D102" t="n">
        <x:v>14</x:v>
      </x:c>
      <x:c r="E102" t="n">
        <x:v>50</x:v>
      </x:c>
      <x:c r="F102" t="n">
        <x:f>INDEX(Run_Metrics!$F:$F,D102)</x:f>
        <x:v>46</x:v>
      </x:c>
      <x:c r="G102" t="n">
        <x:f>INDEX(Run_Metrics!$G:$G,D102)</x:f>
        <x:v>0.82</x:v>
      </x:c>
      <x:c r="H102" t="n">
        <x:f>INDEX(Run_Metrics!$I:$I,D102)</x:f>
        <x:v>1.4164999999999999</x:v>
      </x:c>
      <x:c r="I102" t="n">
        <x:f>IF(F102="","",F102-(E102-1))</x:f>
        <x:v>-3</x:v>
      </x:c>
      <x:c r="J102" t="n">
        <x:f>IF(I102&gt;0,1,0)</x:f>
        <x:v>0</x:v>
      </x:c>
      <x:c r="K102" t="str">
        <x:f>IF(OR(J102=0,G102="",G102=0),"",I102/G102)</x:f>
      </x:c>
      <x:c r="L102" t="str">
        <x:f>IF(OR(J102=0,I102=0,G102=""),"",G102/I102)</x:f>
      </x:c>
      <x:c r="M102" t="str">
        <x:f>IF(OR(J102=0,G102="",H102="",G102=0,H102=0),"",I102/(G102*H102))</x:f>
      </x:c>
      <x:c r="N102" t="str">
        <x:f>IF(K102="","",K102/_xlfn.MAXIFS($K:$K,$E:$E,E102))</x:f>
      </x:c>
      <x:c r="O102" t="str">
        <x:f>IF(M102="","",M102/_xlfn.MAXIFS($M:$M,$E:$E,E102))</x:f>
      </x:c>
      <x:c r="P102" t="str">
        <x:f>IF(OR(N102="",O102=""),"",SQRT(N102*O102))</x:f>
      </x:c>
      <x:c r="Q102" t="str">
        <x:f>IF(OR(N102="",O102=""),"",N102^0.7*O102^0.3)</x:f>
      </x:c>
      <x:c r="R102" t="str">
        <x:f>IF(OR(N102="",O102=""),"",N102^0.3*O102^0.7)</x:f>
      </x:c>
    </x:row>
    <x:row r="103">
      <x:c r="A103" t="inlineStr">
        <x:is>
          <x:t xml:space="preserve">openai|gpt-6-astra|low|reasoning|fallback-na|aa-v4.3.2|snapshot-2026-09-28</x:t>
        </x:is>
      </x:c>
      <x:c r="B103" t="inlineStr">
        <x:is>
          <x:t xml:space="preserve">openai|gpt-6-astra|low|reasoning|fallback-na</x:t>
        </x:is>
      </x:c>
      <x:c r="C103" t="inlineStr">
        <x:is>
          <x:t xml:space="preserve">AA|v4.3.2</x:t>
        </x:is>
      </x:c>
      <x:c r="D103" t="n">
        <x:v>14</x:v>
      </x:c>
      <x:c r="E103" t="n">
        <x:v>52</x:v>
      </x:c>
      <x:c r="F103" t="n">
        <x:f>INDEX(Run_Metrics!$F:$F,D103)</x:f>
        <x:v>46</x:v>
      </x:c>
      <x:c r="G103" t="n">
        <x:f>INDEX(Run_Metrics!$G:$G,D103)</x:f>
        <x:v>0.82</x:v>
      </x:c>
      <x:c r="H103" t="n">
        <x:f>INDEX(Run_Metrics!$I:$I,D103)</x:f>
        <x:v>1.4164999999999999</x:v>
      </x:c>
      <x:c r="I103" t="n">
        <x:f>IF(F103="","",F103-(E103-1))</x:f>
        <x:v>-5</x:v>
      </x:c>
      <x:c r="J103" t="n">
        <x:f>IF(I103&gt;0,1,0)</x:f>
        <x:v>0</x:v>
      </x:c>
      <x:c r="K103" t="str">
        <x:f>IF(OR(J103=0,G103="",G103=0),"",I103/G103)</x:f>
      </x:c>
      <x:c r="L103" t="str">
        <x:f>IF(OR(J103=0,I103=0,G103=""),"",G103/I103)</x:f>
      </x:c>
      <x:c r="M103" t="str">
        <x:f>IF(OR(J103=0,G103="",H103="",G103=0,H103=0),"",I103/(G103*H103))</x:f>
      </x:c>
      <x:c r="N103" t="str">
        <x:f>IF(K103="","",K103/_xlfn.MAXIFS($K:$K,$E:$E,E103))</x:f>
      </x:c>
      <x:c r="O103" t="str">
        <x:f>IF(M103="","",M103/_xlfn.MAXIFS($M:$M,$E:$E,E103))</x:f>
      </x:c>
      <x:c r="P103" t="str">
        <x:f>IF(OR(N103="",O103=""),"",SQRT(N103*O103))</x:f>
      </x:c>
      <x:c r="Q103" t="str">
        <x:f>IF(OR(N103="",O103=""),"",N103^0.7*O103^0.3)</x:f>
      </x:c>
      <x:c r="R103" t="str">
        <x:f>IF(OR(N103="",O103=""),"",N103^0.3*O103^0.7)</x:f>
      </x:c>
    </x:row>
    <x:row r="104">
      <x:c r="A104" t="inlineStr">
        <x:is>
          <x:t xml:space="preserve">openai|gpt-6-astra|low|reasoning|fallback-na|aa-v4.3.2|snapshot-2026-09-28</x:t>
        </x:is>
      </x:c>
      <x:c r="B104" t="inlineStr">
        <x:is>
          <x:t xml:space="preserve">openai|gpt-6-astra|low|reasoning|fallback-na</x:t>
        </x:is>
      </x:c>
      <x:c r="C104" t="inlineStr">
        <x:is>
          <x:t xml:space="preserve">AA|v4.3.2</x:t>
        </x:is>
      </x:c>
      <x:c r="D104" t="n">
        <x:v>14</x:v>
      </x:c>
      <x:c r="E104" t="n">
        <x:v>65</x:v>
      </x:c>
      <x:c r="F104" t="n">
        <x:f>INDEX(Run_Metrics!$F:$F,D104)</x:f>
        <x:v>46</x:v>
      </x:c>
      <x:c r="G104" t="n">
        <x:f>INDEX(Run_Metrics!$G:$G,D104)</x:f>
        <x:v>0.82</x:v>
      </x:c>
      <x:c r="H104" t="n">
        <x:f>INDEX(Run_Metrics!$I:$I,D104)</x:f>
        <x:v>1.4164999999999999</x:v>
      </x:c>
      <x:c r="I104" t="n">
        <x:f>IF(F104="","",F104-(E104-1))</x:f>
        <x:v>-18</x:v>
      </x:c>
      <x:c r="J104" t="n">
        <x:f>IF(I104&gt;0,1,0)</x:f>
        <x:v>0</x:v>
      </x:c>
      <x:c r="K104" t="str">
        <x:f>IF(OR(J104=0,G104="",G104=0),"",I104/G104)</x:f>
      </x:c>
      <x:c r="L104" t="str">
        <x:f>IF(OR(J104=0,I104=0,G104=""),"",G104/I104)</x:f>
      </x:c>
      <x:c r="M104" t="str">
        <x:f>IF(OR(J104=0,G104="",H104="",G104=0,H104=0),"",I104/(G104*H104))</x:f>
      </x:c>
      <x:c r="N104" t="str">
        <x:f>IF(K104="","",K104/_xlfn.MAXIFS($K:$K,$E:$E,E104))</x:f>
      </x:c>
      <x:c r="O104" t="str">
        <x:f>IF(M104="","",M104/_xlfn.MAXIFS($M:$M,$E:$E,E104))</x:f>
      </x:c>
      <x:c r="P104" t="str">
        <x:f>IF(OR(N104="",O104=""),"",SQRT(N104*O104))</x:f>
      </x:c>
      <x:c r="Q104" t="str">
        <x:f>IF(OR(N104="",O104=""),"",N104^0.7*O104^0.3)</x:f>
      </x:c>
      <x:c r="R104" t="str">
        <x:f>IF(OR(N104="",O104=""),"",N104^0.3*O104^0.7)</x:f>
      </x:c>
    </x:row>
    <x:row r="105">
      <x:c r="A105" t="inlineStr">
        <x:is>
          <x:t xml:space="preserve">openai|gpt-6-astra|low|reasoning|fallback-na|aa-v4.3.2|snapshot-2026-09-28</x:t>
        </x:is>
      </x:c>
      <x:c r="B105" t="inlineStr">
        <x:is>
          <x:t xml:space="preserve">openai|gpt-6-astra|low|reasoning|fallback-na</x:t>
        </x:is>
      </x:c>
      <x:c r="C105" t="inlineStr">
        <x:is>
          <x:t xml:space="preserve">AA|v4.3.2</x:t>
        </x:is>
      </x:c>
      <x:c r="D105" t="n">
        <x:v>14</x:v>
      </x:c>
      <x:c r="E105" t="n">
        <x:v>80</x:v>
      </x:c>
      <x:c r="F105" t="n">
        <x:f>INDEX(Run_Metrics!$F:$F,D105)</x:f>
        <x:v>46</x:v>
      </x:c>
      <x:c r="G105" t="n">
        <x:f>INDEX(Run_Metrics!$G:$G,D105)</x:f>
        <x:v>0.82</x:v>
      </x:c>
      <x:c r="H105" t="n">
        <x:f>INDEX(Run_Metrics!$I:$I,D105)</x:f>
        <x:v>1.4164999999999999</x:v>
      </x:c>
      <x:c r="I105" t="n">
        <x:f>IF(F105="","",F105-(E105-1))</x:f>
        <x:v>-33</x:v>
      </x:c>
      <x:c r="J105" t="n">
        <x:f>IF(I105&gt;0,1,0)</x:f>
        <x:v>0</x:v>
      </x:c>
      <x:c r="K105" t="str">
        <x:f>IF(OR(J105=0,G105="",G105=0),"",I105/G105)</x:f>
      </x:c>
      <x:c r="L105" t="str">
        <x:f>IF(OR(J105=0,I105=0,G105=""),"",G105/I105)</x:f>
      </x:c>
      <x:c r="M105" t="str">
        <x:f>IF(OR(J105=0,G105="",H105="",G105=0,H105=0),"",I105/(G105*H105))</x:f>
      </x:c>
      <x:c r="N105" t="str">
        <x:f>IF(K105="","",K105/_xlfn.MAXIFS($K:$K,$E:$E,E105))</x:f>
      </x:c>
      <x:c r="O105" t="str">
        <x:f>IF(M105="","",M105/_xlfn.MAXIFS($M:$M,$E:$E,E105))</x:f>
      </x:c>
      <x:c r="P105" t="str">
        <x:f>IF(OR(N105="",O105=""),"",SQRT(N105*O105))</x:f>
      </x:c>
      <x:c r="Q105" t="str">
        <x:f>IF(OR(N105="",O105=""),"",N105^0.7*O105^0.3)</x:f>
      </x:c>
      <x:c r="R105" t="str">
        <x:f>IF(OR(N105="",O105=""),"",N105^0.3*O105^0.7)</x:f>
      </x:c>
    </x:row>
    <x:row r="106">
      <x:c r="A106" t="inlineStr">
        <x:is>
          <x:t xml:space="preserve">openai|gpt-6-astra|medium|reasoning|fallback-na|aa-v4.3.2|snapshot-2026-09-28</x:t>
        </x:is>
      </x:c>
      <x:c r="B106" t="inlineStr">
        <x:is>
          <x:t xml:space="preserve">openai|gpt-6-astra|medium|reasoning|fallback-na</x:t>
        </x:is>
      </x:c>
      <x:c r="C106" t="inlineStr">
        <x:is>
          <x:t xml:space="preserve">AA|v4.3.2</x:t>
        </x:is>
      </x:c>
      <x:c r="D106" t="n">
        <x:v>15</x:v>
      </x:c>
      <x:c r="E106" t="n">
        <x:v>20</x:v>
      </x:c>
      <x:c r="F106" t="n">
        <x:f>INDEX(Run_Metrics!$F:$F,D106)</x:f>
        <x:v>50</x:v>
      </x:c>
      <x:c r="G106" t="n">
        <x:f>INDEX(Run_Metrics!$G:$G,D106)</x:f>
        <x:v>1.54</x:v>
      </x:c>
      <x:c r="H106" t="n">
        <x:f>INDEX(Run_Metrics!$I:$I,D106)</x:f>
        <x:v>3.056</x:v>
      </x:c>
      <x:c r="I106" t="n">
        <x:f>IF(F106="","",F106-(E106-1))</x:f>
        <x:v>31</x:v>
      </x:c>
      <x:c r="J106" t="n">
        <x:f>IF(I106&gt;0,1,0)</x:f>
        <x:v>1</x:v>
      </x:c>
      <x:c r="K106" t="n">
        <x:f>IF(OR(J106=0,G106="",G106=0),"",I106/G106)</x:f>
        <x:v>20.12987012987013</x:v>
      </x:c>
      <x:c r="L106" t="n">
        <x:f>IF(OR(J106=0,I106=0,G106=""),"",G106/I106)</x:f>
        <x:v>0.04967741935483871</x:v>
      </x:c>
      <x:c r="M106" t="n">
        <x:f>IF(OR(J106=0,G106="",H106="",G106=0,H106=0),"",I106/(G106*H106))</x:f>
        <x:v>6.586999388046508</x:v>
      </x:c>
      <x:c r="N106" t="n">
        <x:f>IF(K106="","",K106/_xlfn.MAXIFS($K:$K,$E:$E,E106))</x:f>
        <x:v>0.030194805194805194</x:v>
      </x:c>
      <x:c r="O106" t="n">
        <x:f>IF(M106="","",M106/_xlfn.MAXIFS($M:$M,$E:$E,E106))</x:f>
        <x:v>0.0034902863007411434</x:v>
      </x:c>
      <x:c r="P106" t="n">
        <x:f>IF(OR(N106="",O106=""),"",SQRT(N106*O106))</x:f>
        <x:v>0.010265890849067903</x:v>
      </x:c>
      <x:c r="Q106" t="n">
        <x:f>IF(OR(N106="",O106=""),"",N106^0.7*O106^0.3)</x:f>
        <x:v>0.015805596047560207</x:v>
      </x:c>
      <x:c r="R106" t="n">
        <x:f>IF(OR(N106="",O106=""),"",N106^0.3*O106^0.7)</x:f>
        <x:v>0.006667797570420899</x:v>
      </x:c>
    </x:row>
    <x:row r="107">
      <x:c r="A107" t="inlineStr">
        <x:is>
          <x:t xml:space="preserve">openai|gpt-6-astra|medium|reasoning|fallback-na|aa-v4.3.2|snapshot-2026-09-28</x:t>
        </x:is>
      </x:c>
      <x:c r="B107" t="inlineStr">
        <x:is>
          <x:t xml:space="preserve">openai|gpt-6-astra|medium|reasoning|fallback-na</x:t>
        </x:is>
      </x:c>
      <x:c r="C107" t="inlineStr">
        <x:is>
          <x:t xml:space="preserve">AA|v4.3.2</x:t>
        </x:is>
      </x:c>
      <x:c r="D107" t="n">
        <x:v>15</x:v>
      </x:c>
      <x:c r="E107" t="n">
        <x:v>30</x:v>
      </x:c>
      <x:c r="F107" t="n">
        <x:f>INDEX(Run_Metrics!$F:$F,D107)</x:f>
        <x:v>50</x:v>
      </x:c>
      <x:c r="G107" t="n">
        <x:f>INDEX(Run_Metrics!$G:$G,D107)</x:f>
        <x:v>1.54</x:v>
      </x:c>
      <x:c r="H107" t="n">
        <x:f>INDEX(Run_Metrics!$I:$I,D107)</x:f>
        <x:v>3.056</x:v>
      </x:c>
      <x:c r="I107" t="n">
        <x:f>IF(F107="","",F107-(E107-1))</x:f>
        <x:v>21</x:v>
      </x:c>
      <x:c r="J107" t="n">
        <x:f>IF(I107&gt;0,1,0)</x:f>
        <x:v>1</x:v>
      </x:c>
      <x:c r="K107" t="n">
        <x:f>IF(OR(J107=0,G107="",G107=0),"",I107/G107)</x:f>
        <x:v>13.636363636363637</x:v>
      </x:c>
      <x:c r="L107" t="n">
        <x:f>IF(OR(J107=0,I107=0,G107=""),"",G107/I107)</x:f>
        <x:v>0.07333333333333333</x:v>
      </x:c>
      <x:c r="M107" t="n">
        <x:f>IF(OR(J107=0,G107="",H107="",G107=0,H107=0),"",I107/(G107*H107))</x:f>
        <x:v>4.462160875773441</x:v>
      </x:c>
      <x:c r="N107" t="n">
        <x:f>IF(K107="","",K107/_xlfn.MAXIFS($K:$K,$E:$E,E107))</x:f>
        <x:v>0.09090909090909091</x:v>
      </x:c>
      <x:c r="O107" t="n">
        <x:f>IF(M107="","",M107/_xlfn.MAXIFS($M:$M,$E:$E,E107))</x:f>
        <x:v>0.07941307710613994</x:v>
      </x:c>
      <x:c r="P107" t="n">
        <x:f>IF(OR(N107="",O107=""),"",SQRT(N107*O107))</x:f>
        <x:v>0.08496687970034396</x:v>
      </x:c>
      <x:c r="Q107" t="n">
        <x:f>IF(OR(N107="",O107=""),"",N107^0.7*O107^0.3)</x:f>
        <x:v>0.08729567505662043</x:v>
      </x:c>
      <x:c r="R107" t="n">
        <x:f>IF(OR(N107="",O107=""),"",N107^0.3*O107^0.7)</x:f>
        <x:v>0.08270020984808472</x:v>
      </x:c>
    </x:row>
    <x:row r="108">
      <x:c r="A108" t="inlineStr">
        <x:is>
          <x:t xml:space="preserve">openai|gpt-6-astra|medium|reasoning|fallback-na|aa-v4.3.2|snapshot-2026-09-28</x:t>
        </x:is>
      </x:c>
      <x:c r="B108" t="inlineStr">
        <x:is>
          <x:t xml:space="preserve">openai|gpt-6-astra|medium|reasoning|fallback-na</x:t>
        </x:is>
      </x:c>
      <x:c r="C108" t="inlineStr">
        <x:is>
          <x:t xml:space="preserve">AA|v4.3.2</x:t>
        </x:is>
      </x:c>
      <x:c r="D108" t="n">
        <x:v>15</x:v>
      </x:c>
      <x:c r="E108" t="n">
        <x:v>40</x:v>
      </x:c>
      <x:c r="F108" t="n">
        <x:f>INDEX(Run_Metrics!$F:$F,D108)</x:f>
        <x:v>50</x:v>
      </x:c>
      <x:c r="G108" t="n">
        <x:f>INDEX(Run_Metrics!$G:$G,D108)</x:f>
        <x:v>1.54</x:v>
      </x:c>
      <x:c r="H108" t="n">
        <x:f>INDEX(Run_Metrics!$I:$I,D108)</x:f>
        <x:v>3.056</x:v>
      </x:c>
      <x:c r="I108" t="n">
        <x:f>IF(F108="","",F108-(E108-1))</x:f>
        <x:v>11</x:v>
      </x:c>
      <x:c r="J108" t="n">
        <x:f>IF(I108&gt;0,1,0)</x:f>
        <x:v>1</x:v>
      </x:c>
      <x:c r="K108" t="n">
        <x:f>IF(OR(J108=0,G108="",G108=0),"",I108/G108)</x:f>
        <x:v>7.142857142857142</x:v>
      </x:c>
      <x:c r="L108" t="n">
        <x:f>IF(OR(J108=0,I108=0,G108=""),"",G108/I108)</x:f>
        <x:v>0.14</x:v>
      </x:c>
      <x:c r="M108" t="n">
        <x:f>IF(OR(J108=0,G108="",H108="",G108=0,H108=0),"",I108/(G108*H108))</x:f>
        <x:v>2.3373223635003737</x:v>
      </x:c>
      <x:c r="N108" t="n">
        <x:f>IF(K108="","",K108/_xlfn.MAXIFS($K:$K,$E:$E,E108))</x:f>
        <x:v>0.13265306122448978</x:v>
      </x:c>
      <x:c r="O108" t="n">
        <x:f>IF(M108="","",M108/_xlfn.MAXIFS($M:$M,$E:$E,E108))</x:f>
        <x:v>0.38783857783951264</x:v>
      </x:c>
      <x:c r="P108" t="n">
        <x:f>IF(OR(N108="",O108=""),"",SQRT(N108*O108))</x:f>
        <x:v>0.22682145976817078</x:v>
      </x:c>
      <x:c r="Q108" t="n">
        <x:f>IF(OR(N108="",O108=""),"",N108^0.7*O108^0.3)</x:f>
        <x:v>0.1830195129701401</x:v>
      </x:c>
      <x:c r="R108" t="n">
        <x:f>IF(OR(N108="",O108=""),"",N108^0.3*O108^0.7)</x:f>
        <x:v>0.28110649939144866</x:v>
      </x:c>
    </x:row>
    <x:row r="109">
      <x:c r="A109" t="inlineStr">
        <x:is>
          <x:t xml:space="preserve">openai|gpt-6-astra|medium|reasoning|fallback-na|aa-v4.3.2|snapshot-2026-09-28</x:t>
        </x:is>
      </x:c>
      <x:c r="B109" t="inlineStr">
        <x:is>
          <x:t xml:space="preserve">openai|gpt-6-astra|medium|reasoning|fallback-na</x:t>
        </x:is>
      </x:c>
      <x:c r="C109" t="inlineStr">
        <x:is>
          <x:t xml:space="preserve">AA|v4.3.2</x:t>
        </x:is>
      </x:c>
      <x:c r="D109" t="n">
        <x:v>15</x:v>
      </x:c>
      <x:c r="E109" t="n">
        <x:v>45</x:v>
      </x:c>
      <x:c r="F109" t="n">
        <x:f>INDEX(Run_Metrics!$F:$F,D109)</x:f>
        <x:v>50</x:v>
      </x:c>
      <x:c r="G109" t="n">
        <x:f>INDEX(Run_Metrics!$G:$G,D109)</x:f>
        <x:v>1.54</x:v>
      </x:c>
      <x:c r="H109" t="n">
        <x:f>INDEX(Run_Metrics!$I:$I,D109)</x:f>
        <x:v>3.056</x:v>
      </x:c>
      <x:c r="I109" t="n">
        <x:f>IF(F109="","",F109-(E109-1))</x:f>
        <x:v>6</x:v>
      </x:c>
      <x:c r="J109" t="n">
        <x:f>IF(I109&gt;0,1,0)</x:f>
        <x:v>1</x:v>
      </x:c>
      <x:c r="K109" t="n">
        <x:f>IF(OR(J109=0,G109="",G109=0),"",I109/G109)</x:f>
        <x:v>3.896103896103896</x:v>
      </x:c>
      <x:c r="L109" t="n">
        <x:f>IF(OR(J109=0,I109=0,G109=""),"",G109/I109)</x:f>
        <x:v>0.25666666666666665</x:v>
      </x:c>
      <x:c r="M109" t="n">
        <x:f>IF(OR(J109=0,G109="",H109="",G109=0,H109=0),"",I109/(G109*H109))</x:f>
        <x:v>1.2749031073638404</x:v>
      </x:c>
      <x:c r="N109" t="n">
        <x:f>IF(K109="","",K109/_xlfn.MAXIFS($K:$K,$E:$E,E109))</x:f>
        <x:v>0.20454545454545456</x:v>
      </x:c>
      <x:c r="O109" t="n">
        <x:f>IF(M109="","",M109/_xlfn.MAXIFS($M:$M,$E:$E,E109))</x:f>
        <x:v>0.7404191031481606</x:v>
      </x:c>
      <x:c r="P109" t="n">
        <x:f>IF(OR(N109="",O109=""),"",SQRT(N109*O109))</x:f>
        <x:v>0.3891649547525809</x:v>
      </x:c>
      <x:c r="Q109" t="n">
        <x:f>IF(OR(N109="",O109=""),"",N109^0.7*O109^0.3)</x:f>
        <x:v>0.3008819725647624</x:v>
      </x:c>
      <x:c r="R109" t="n">
        <x:f>IF(OR(N109="",O109=""),"",N109^0.3*O109^0.7)</x:f>
        <x:v>0.5033513996089616</x:v>
      </x:c>
    </x:row>
    <x:row r="110">
      <x:c r="A110" t="inlineStr">
        <x:is>
          <x:t xml:space="preserve">openai|gpt-6-astra|medium|reasoning|fallback-na|aa-v4.3.2|snapshot-2026-09-28</x:t>
        </x:is>
      </x:c>
      <x:c r="B110" t="inlineStr">
        <x:is>
          <x:t xml:space="preserve">openai|gpt-6-astra|medium|reasoning|fallback-na</x:t>
        </x:is>
      </x:c>
      <x:c r="C110" t="inlineStr">
        <x:is>
          <x:t xml:space="preserve">AA|v4.3.2</x:t>
        </x:is>
      </x:c>
      <x:c r="D110" t="n">
        <x:v>15</x:v>
      </x:c>
      <x:c r="E110" t="n">
        <x:v>50</x:v>
      </x:c>
      <x:c r="F110" t="n">
        <x:f>INDEX(Run_Metrics!$F:$F,D110)</x:f>
        <x:v>50</x:v>
      </x:c>
      <x:c r="G110" t="n">
        <x:f>INDEX(Run_Metrics!$G:$G,D110)</x:f>
        <x:v>1.54</x:v>
      </x:c>
      <x:c r="H110" t="n">
        <x:f>INDEX(Run_Metrics!$I:$I,D110)</x:f>
        <x:v>3.056</x:v>
      </x:c>
      <x:c r="I110" t="n">
        <x:f>IF(F110="","",F110-(E110-1))</x:f>
        <x:v>1</x:v>
      </x:c>
      <x:c r="J110" t="n">
        <x:f>IF(I110&gt;0,1,0)</x:f>
        <x:v>1</x:v>
      </x:c>
      <x:c r="K110" t="n">
        <x:f>IF(OR(J110=0,G110="",G110=0),"",I110/G110)</x:f>
        <x:v>0.6493506493506493</x:v>
      </x:c>
      <x:c r="L110" t="n">
        <x:f>IF(OR(J110=0,I110=0,G110=""),"",G110/I110)</x:f>
        <x:v>1.54</x:v>
      </x:c>
      <x:c r="M110" t="n">
        <x:f>IF(OR(J110=0,G110="",H110="",G110=0,H110=0),"",I110/(G110*H110))</x:f>
        <x:v>0.2124838512273067</x:v>
      </x:c>
      <x:c r="N110" t="n">
        <x:f>IF(K110="","",K110/_xlfn.MAXIFS($K:$K,$E:$E,E110))</x:f>
        <x:v>0.12662337662337664</x:v>
      </x:c>
      <x:c r="O110" t="n">
        <x:f>IF(M110="","",M110/_xlfn.MAXIFS($M:$M,$E:$E,E110))</x:f>
        <x:v>0.6971478292649758</x:v>
      </x:c>
      <x:c r="P110" t="n">
        <x:f>IF(OR(N110="",O110=""),"",SQRT(N110*O110))</x:f>
        <x:v>0.29711144735130707</x:v>
      </x:c>
      <x:c r="Q110" t="n">
        <x:f>IF(OR(N110="",O110=""),"",N110^0.7*O110^0.3)</x:f>
        <x:v>0.21123077244211394</x:v>
      </x:c>
      <x:c r="R110" t="n">
        <x:f>IF(OR(N110="",O110=""),"",N110^0.3*O110^0.7)</x:f>
        <x:v>0.41790886397188937</x:v>
      </x:c>
    </x:row>
    <x:row r="111">
      <x:c r="A111" t="inlineStr">
        <x:is>
          <x:t xml:space="preserve">openai|gpt-6-astra|medium|reasoning|fallback-na|aa-v4.3.2|snapshot-2026-09-28</x:t>
        </x:is>
      </x:c>
      <x:c r="B111" t="inlineStr">
        <x:is>
          <x:t xml:space="preserve">openai|gpt-6-astra|medium|reasoning|fallback-na</x:t>
        </x:is>
      </x:c>
      <x:c r="C111" t="inlineStr">
        <x:is>
          <x:t xml:space="preserve">AA|v4.3.2</x:t>
        </x:is>
      </x:c>
      <x:c r="D111" t="n">
        <x:v>15</x:v>
      </x:c>
      <x:c r="E111" t="n">
        <x:v>52</x:v>
      </x:c>
      <x:c r="F111" t="n">
        <x:f>INDEX(Run_Metrics!$F:$F,D111)</x:f>
        <x:v>50</x:v>
      </x:c>
      <x:c r="G111" t="n">
        <x:f>INDEX(Run_Metrics!$G:$G,D111)</x:f>
        <x:v>1.54</x:v>
      </x:c>
      <x:c r="H111" t="n">
        <x:f>INDEX(Run_Metrics!$I:$I,D111)</x:f>
        <x:v>3.056</x:v>
      </x:c>
      <x:c r="I111" t="n">
        <x:f>IF(F111="","",F111-(E111-1))</x:f>
        <x:v>-1</x:v>
      </x:c>
      <x:c r="J111" t="n">
        <x:f>IF(I111&gt;0,1,0)</x:f>
        <x:v>0</x:v>
      </x:c>
      <x:c r="K111" t="str">
        <x:f>IF(OR(J111=0,G111="",G111=0),"",I111/G111)</x:f>
      </x:c>
      <x:c r="L111" t="str">
        <x:f>IF(OR(J111=0,I111=0,G111=""),"",G111/I111)</x:f>
      </x:c>
      <x:c r="M111" t="str">
        <x:f>IF(OR(J111=0,G111="",H111="",G111=0,H111=0),"",I111/(G111*H111))</x:f>
      </x:c>
      <x:c r="N111" t="str">
        <x:f>IF(K111="","",K111/_xlfn.MAXIFS($K:$K,$E:$E,E111))</x:f>
      </x:c>
      <x:c r="O111" t="str">
        <x:f>IF(M111="","",M111/_xlfn.MAXIFS($M:$M,$E:$E,E111))</x:f>
      </x:c>
      <x:c r="P111" t="str">
        <x:f>IF(OR(N111="",O111=""),"",SQRT(N111*O111))</x:f>
      </x:c>
      <x:c r="Q111" t="str">
        <x:f>IF(OR(N111="",O111=""),"",N111^0.7*O111^0.3)</x:f>
      </x:c>
      <x:c r="R111" t="str">
        <x:f>IF(OR(N111="",O111=""),"",N111^0.3*O111^0.7)</x:f>
      </x:c>
    </x:row>
    <x:row r="112">
      <x:c r="A112" t="inlineStr">
        <x:is>
          <x:t xml:space="preserve">openai|gpt-6-astra|medium|reasoning|fallback-na|aa-v4.3.2|snapshot-2026-09-28</x:t>
        </x:is>
      </x:c>
      <x:c r="B112" t="inlineStr">
        <x:is>
          <x:t xml:space="preserve">openai|gpt-6-astra|medium|reasoning|fallback-na</x:t>
        </x:is>
      </x:c>
      <x:c r="C112" t="inlineStr">
        <x:is>
          <x:t xml:space="preserve">AA|v4.3.2</x:t>
        </x:is>
      </x:c>
      <x:c r="D112" t="n">
        <x:v>15</x:v>
      </x:c>
      <x:c r="E112" t="n">
        <x:v>65</x:v>
      </x:c>
      <x:c r="F112" t="n">
        <x:f>INDEX(Run_Metrics!$F:$F,D112)</x:f>
        <x:v>50</x:v>
      </x:c>
      <x:c r="G112" t="n">
        <x:f>INDEX(Run_Metrics!$G:$G,D112)</x:f>
        <x:v>1.54</x:v>
      </x:c>
      <x:c r="H112" t="n">
        <x:f>INDEX(Run_Metrics!$I:$I,D112)</x:f>
        <x:v>3.056</x:v>
      </x:c>
      <x:c r="I112" t="n">
        <x:f>IF(F112="","",F112-(E112-1))</x:f>
        <x:v>-14</x:v>
      </x:c>
      <x:c r="J112" t="n">
        <x:f>IF(I112&gt;0,1,0)</x:f>
        <x:v>0</x:v>
      </x:c>
      <x:c r="K112" t="str">
        <x:f>IF(OR(J112=0,G112="",G112=0),"",I112/G112)</x:f>
      </x:c>
      <x:c r="L112" t="str">
        <x:f>IF(OR(J112=0,I112=0,G112=""),"",G112/I112)</x:f>
      </x:c>
      <x:c r="M112" t="str">
        <x:f>IF(OR(J112=0,G112="",H112="",G112=0,H112=0),"",I112/(G112*H112))</x:f>
      </x:c>
      <x:c r="N112" t="str">
        <x:f>IF(K112="","",K112/_xlfn.MAXIFS($K:$K,$E:$E,E112))</x:f>
      </x:c>
      <x:c r="O112" t="str">
        <x:f>IF(M112="","",M112/_xlfn.MAXIFS($M:$M,$E:$E,E112))</x:f>
      </x:c>
      <x:c r="P112" t="str">
        <x:f>IF(OR(N112="",O112=""),"",SQRT(N112*O112))</x:f>
      </x:c>
      <x:c r="Q112" t="str">
        <x:f>IF(OR(N112="",O112=""),"",N112^0.7*O112^0.3)</x:f>
      </x:c>
      <x:c r="R112" t="str">
        <x:f>IF(OR(N112="",O112=""),"",N112^0.3*O112^0.7)</x:f>
      </x:c>
    </x:row>
    <x:row r="113">
      <x:c r="A113" t="inlineStr">
        <x:is>
          <x:t xml:space="preserve">openai|gpt-6-astra|medium|reasoning|fallback-na|aa-v4.3.2|snapshot-2026-09-28</x:t>
        </x:is>
      </x:c>
      <x:c r="B113" t="inlineStr">
        <x:is>
          <x:t xml:space="preserve">openai|gpt-6-astra|medium|reasoning|fallback-na</x:t>
        </x:is>
      </x:c>
      <x:c r="C113" t="inlineStr">
        <x:is>
          <x:t xml:space="preserve">AA|v4.3.2</x:t>
        </x:is>
      </x:c>
      <x:c r="D113" t="n">
        <x:v>15</x:v>
      </x:c>
      <x:c r="E113" t="n">
        <x:v>80</x:v>
      </x:c>
      <x:c r="F113" t="n">
        <x:f>INDEX(Run_Metrics!$F:$F,D113)</x:f>
        <x:v>50</x:v>
      </x:c>
      <x:c r="G113" t="n">
        <x:f>INDEX(Run_Metrics!$G:$G,D113)</x:f>
        <x:v>1.54</x:v>
      </x:c>
      <x:c r="H113" t="n">
        <x:f>INDEX(Run_Metrics!$I:$I,D113)</x:f>
        <x:v>3.056</x:v>
      </x:c>
      <x:c r="I113" t="n">
        <x:f>IF(F113="","",F113-(E113-1))</x:f>
        <x:v>-29</x:v>
      </x:c>
      <x:c r="J113" t="n">
        <x:f>IF(I113&gt;0,1,0)</x:f>
        <x:v>0</x:v>
      </x:c>
      <x:c r="K113" t="str">
        <x:f>IF(OR(J113=0,G113="",G113=0),"",I113/G113)</x:f>
      </x:c>
      <x:c r="L113" t="str">
        <x:f>IF(OR(J113=0,I113=0,G113=""),"",G113/I113)</x:f>
      </x:c>
      <x:c r="M113" t="str">
        <x:f>IF(OR(J113=0,G113="",H113="",G113=0,H113=0),"",I113/(G113*H113))</x:f>
      </x:c>
      <x:c r="N113" t="str">
        <x:f>IF(K113="","",K113/_xlfn.MAXIFS($K:$K,$E:$E,E113))</x:f>
      </x:c>
      <x:c r="O113" t="str">
        <x:f>IF(M113="","",M113/_xlfn.MAXIFS($M:$M,$E:$E,E113))</x:f>
      </x:c>
      <x:c r="P113" t="str">
        <x:f>IF(OR(N113="",O113=""),"",SQRT(N113*O113))</x:f>
      </x:c>
      <x:c r="Q113" t="str">
        <x:f>IF(OR(N113="",O113=""),"",N113^0.7*O113^0.3)</x:f>
      </x:c>
      <x:c r="R113" t="str">
        <x:f>IF(OR(N113="",O113=""),"",N113^0.3*O113^0.7)</x:f>
      </x:c>
    </x:row>
    <x:row r="114">
      <x:c r="A114" t="inlineStr">
        <x:is>
          <x:t xml:space="preserve">openai|gpt-6-astra|high|reasoning|fallback-na|aa-v4.3.2|snapshot-2026-09-28</x:t>
        </x:is>
      </x:c>
      <x:c r="B114" t="inlineStr">
        <x:is>
          <x:t xml:space="preserve">openai|gpt-6-astra|high|reasoning|fallback-na</x:t>
        </x:is>
      </x:c>
      <x:c r="C114" t="inlineStr">
        <x:is>
          <x:t xml:space="preserve">AA|v4.3.2</x:t>
        </x:is>
      </x:c>
      <x:c r="D114" t="n">
        <x:v>16</x:v>
      </x:c>
      <x:c r="E114" t="n">
        <x:v>20</x:v>
      </x:c>
      <x:c r="F114" t="n">
        <x:f>INDEX(Run_Metrics!$F:$F,D114)</x:f>
        <x:v>51</x:v>
      </x:c>
      <x:c r="G114" t="n">
        <x:f>INDEX(Run_Metrics!$G:$G,D114)</x:f>
        <x:v>1.73</x:v>
      </x:c>
      <x:c r="H114" t="n">
        <x:f>INDEX(Run_Metrics!$I:$I,D114)</x:f>
        <x:v>3.793</x:v>
      </x:c>
      <x:c r="I114" t="n">
        <x:f>IF(F114="","",F114-(E114-1))</x:f>
        <x:v>32</x:v>
      </x:c>
      <x:c r="J114" t="n">
        <x:f>IF(I114&gt;0,1,0)</x:f>
        <x:v>1</x:v>
      </x:c>
      <x:c r="K114" t="n">
        <x:f>IF(OR(J114=0,G114="",G114=0),"",I114/G114)</x:f>
        <x:v>18.497109826589597</x:v>
      </x:c>
      <x:c r="L114" t="n">
        <x:f>IF(OR(J114=0,I114=0,G114=""),"",G114/I114)</x:f>
        <x:v>0.0540625</x:v>
      </x:c>
      <x:c r="M114" t="n">
        <x:f>IF(OR(J114=0,G114="",H114="",G114=0,H114=0),"",I114/(G114*H114))</x:f>
        <x:v>4.876643771840126</x:v>
      </x:c>
      <x:c r="N114" t="n">
        <x:f>IF(K114="","",K114/_xlfn.MAXIFS($K:$K,$E:$E,E114))</x:f>
        <x:v>0.027745664739884393</x:v>
      </x:c>
      <x:c r="O114" t="n">
        <x:f>IF(M114="","",M114/_xlfn.MAXIFS($M:$M,$E:$E,E114))</x:f>
        <x:v>0.0025840116186037865</x:v>
      </x:c>
      <x:c r="P114" t="n">
        <x:f>IF(OR(N114="",O114=""),"",SQRT(N114*O114))</x:f>
        <x:v>0.008467297092564231</x:v>
      </x:c>
      <x:c r="Q114" t="n">
        <x:f>IF(OR(N114="",O114=""),"",N114^0.7*O114^0.3)</x:f>
        <x:v>0.013612093783222552</x:v>
      </x:c>
      <x:c r="R114" t="n">
        <x:f>IF(OR(N114="",O114=""),"",N114^0.3*O114^0.7)</x:f>
        <x:v>0.005267016316190374</x:v>
      </x:c>
    </x:row>
    <x:row r="115">
      <x:c r="A115" t="inlineStr">
        <x:is>
          <x:t xml:space="preserve">openai|gpt-6-astra|high|reasoning|fallback-na|aa-v4.3.2|snapshot-2026-09-28</x:t>
        </x:is>
      </x:c>
      <x:c r="B115" t="inlineStr">
        <x:is>
          <x:t xml:space="preserve">openai|gpt-6-astra|high|reasoning|fallback-na</x:t>
        </x:is>
      </x:c>
      <x:c r="C115" t="inlineStr">
        <x:is>
          <x:t xml:space="preserve">AA|v4.3.2</x:t>
        </x:is>
      </x:c>
      <x:c r="D115" t="n">
        <x:v>16</x:v>
      </x:c>
      <x:c r="E115" t="n">
        <x:v>30</x:v>
      </x:c>
      <x:c r="F115" t="n">
        <x:f>INDEX(Run_Metrics!$F:$F,D115)</x:f>
        <x:v>51</x:v>
      </x:c>
      <x:c r="G115" t="n">
        <x:f>INDEX(Run_Metrics!$G:$G,D115)</x:f>
        <x:v>1.73</x:v>
      </x:c>
      <x:c r="H115" t="n">
        <x:f>INDEX(Run_Metrics!$I:$I,D115)</x:f>
        <x:v>3.793</x:v>
      </x:c>
      <x:c r="I115" t="n">
        <x:f>IF(F115="","",F115-(E115-1))</x:f>
        <x:v>22</x:v>
      </x:c>
      <x:c r="J115" t="n">
        <x:f>IF(I115&gt;0,1,0)</x:f>
        <x:v>1</x:v>
      </x:c>
      <x:c r="K115" t="n">
        <x:f>IF(OR(J115=0,G115="",G115=0),"",I115/G115)</x:f>
        <x:v>12.716763005780347</x:v>
      </x:c>
      <x:c r="L115" t="n">
        <x:f>IF(OR(J115=0,I115=0,G115=""),"",G115/I115)</x:f>
        <x:v>0.07863636363636363</x:v>
      </x:c>
      <x:c r="M115" t="n">
        <x:f>IF(OR(J115=0,G115="",H115="",G115=0,H115=0),"",I115/(G115*H115))</x:f>
        <x:v>3.352692593140086</x:v>
      </x:c>
      <x:c r="N115" t="n">
        <x:f>IF(K115="","",K115/_xlfn.MAXIFS($K:$K,$E:$E,E115))</x:f>
        <x:v>0.08477842003853565</x:v>
      </x:c>
      <x:c r="O115" t="n">
        <x:f>IF(M115="","",M115/_xlfn.MAXIFS($M:$M,$E:$E,E115))</x:f>
        <x:v>0.059667870080114115</x:v>
      </x:c>
      <x:c r="P115" t="n">
        <x:f>IF(OR(N115="",O115=""),"",SQRT(N115*O115))</x:f>
        <x:v>0.07112346836633242</x:v>
      </x:c>
      <x:c r="Q115" t="n">
        <x:f>IF(OR(N115="",O115=""),"",N115^0.7*O115^0.3)</x:f>
        <x:v>0.07629953367846017</x:v>
      </x:c>
      <x:c r="R115" t="n">
        <x:f>IF(OR(N115="",O115=""),"",N115^0.3*O115^0.7)</x:f>
        <x:v>0.06629854087672818</x:v>
      </x:c>
    </x:row>
    <x:row r="116">
      <x:c r="A116" t="inlineStr">
        <x:is>
          <x:t xml:space="preserve">openai|gpt-6-astra|high|reasoning|fallback-na|aa-v4.3.2|snapshot-2026-09-28</x:t>
        </x:is>
      </x:c>
      <x:c r="B116" t="inlineStr">
        <x:is>
          <x:t xml:space="preserve">openai|gpt-6-astra|high|reasoning|fallback-na</x:t>
        </x:is>
      </x:c>
      <x:c r="C116" t="inlineStr">
        <x:is>
          <x:t xml:space="preserve">AA|v4.3.2</x:t>
        </x:is>
      </x:c>
      <x:c r="D116" t="n">
        <x:v>16</x:v>
      </x:c>
      <x:c r="E116" t="n">
        <x:v>40</x:v>
      </x:c>
      <x:c r="F116" t="n">
        <x:f>INDEX(Run_Metrics!$F:$F,D116)</x:f>
        <x:v>51</x:v>
      </x:c>
      <x:c r="G116" t="n">
        <x:f>INDEX(Run_Metrics!$G:$G,D116)</x:f>
        <x:v>1.73</x:v>
      </x:c>
      <x:c r="H116" t="n">
        <x:f>INDEX(Run_Metrics!$I:$I,D116)</x:f>
        <x:v>3.793</x:v>
      </x:c>
      <x:c r="I116" t="n">
        <x:f>IF(F116="","",F116-(E116-1))</x:f>
        <x:v>12</x:v>
      </x:c>
      <x:c r="J116" t="n">
        <x:f>IF(I116&gt;0,1,0)</x:f>
        <x:v>1</x:v>
      </x:c>
      <x:c r="K116" t="n">
        <x:f>IF(OR(J116=0,G116="",G116=0),"",I116/G116)</x:f>
        <x:v>6.936416184971098</x:v>
      </x:c>
      <x:c r="L116" t="n">
        <x:f>IF(OR(J116=0,I116=0,G116=""),"",G116/I116)</x:f>
        <x:v>0.14416666666666667</x:v>
      </x:c>
      <x:c r="M116" t="n">
        <x:f>IF(OR(J116=0,G116="",H116="",G116=0,H116=0),"",I116/(G116*H116))</x:f>
        <x:v>1.828741414440047</x:v>
      </x:c>
      <x:c r="N116" t="n">
        <x:f>IF(K116="","",K116/_xlfn.MAXIFS($K:$K,$E:$E,E116))</x:f>
        <x:v>0.12881915772089184</x:v>
      </x:c>
      <x:c r="O116" t="n">
        <x:f>IF(M116="","",M116/_xlfn.MAXIFS($M:$M,$E:$E,E116))</x:f>
        <x:v>0.30344828787350675</x:v>
      </x:c>
      <x:c r="P116" t="n">
        <x:f>IF(OR(N116="",O116=""),"",SQRT(N116*O116))</x:f>
        <x:v>0.19771179240427683</x:v>
      </x:c>
      <x:c r="Q116" t="n">
        <x:f>IF(OR(N116="",O116=""),"",N116^0.7*O116^0.3)</x:f>
        <x:v>0.16657573034057652</x:v>
      </x:c>
      <x:c r="R116" t="n">
        <x:f>IF(OR(N116="",O116=""),"",N116^0.3*O116^0.7)</x:f>
        <x:v>0.23466775607580725</x:v>
      </x:c>
    </x:row>
    <x:row r="117">
      <x:c r="A117" t="inlineStr">
        <x:is>
          <x:t xml:space="preserve">openai|gpt-6-astra|high|reasoning|fallback-na|aa-v4.3.2|snapshot-2026-09-28</x:t>
        </x:is>
      </x:c>
      <x:c r="B117" t="inlineStr">
        <x:is>
          <x:t xml:space="preserve">openai|gpt-6-astra|high|reasoning|fallback-na</x:t>
        </x:is>
      </x:c>
      <x:c r="C117" t="inlineStr">
        <x:is>
          <x:t xml:space="preserve">AA|v4.3.2</x:t>
        </x:is>
      </x:c>
      <x:c r="D117" t="n">
        <x:v>16</x:v>
      </x:c>
      <x:c r="E117" t="n">
        <x:v>45</x:v>
      </x:c>
      <x:c r="F117" t="n">
        <x:f>INDEX(Run_Metrics!$F:$F,D117)</x:f>
        <x:v>51</x:v>
      </x:c>
      <x:c r="G117" t="n">
        <x:f>INDEX(Run_Metrics!$G:$G,D117)</x:f>
        <x:v>1.73</x:v>
      </x:c>
      <x:c r="H117" t="n">
        <x:f>INDEX(Run_Metrics!$I:$I,D117)</x:f>
        <x:v>3.793</x:v>
      </x:c>
      <x:c r="I117" t="n">
        <x:f>IF(F117="","",F117-(E117-1))</x:f>
        <x:v>7</x:v>
      </x:c>
      <x:c r="J117" t="n">
        <x:f>IF(I117&gt;0,1,0)</x:f>
        <x:v>1</x:v>
      </x:c>
      <x:c r="K117" t="n">
        <x:f>IF(OR(J117=0,G117="",G117=0),"",I117/G117)</x:f>
        <x:v>4.046242774566474</x:v>
      </x:c>
      <x:c r="L117" t="n">
        <x:f>IF(OR(J117=0,I117=0,G117=""),"",G117/I117)</x:f>
        <x:v>0.24714285714285714</x:v>
      </x:c>
      <x:c r="M117" t="n">
        <x:f>IF(OR(J117=0,G117="",H117="",G117=0,H117=0),"",I117/(G117*H117))</x:f>
        <x:v>1.0667658250900274</x:v>
      </x:c>
      <x:c r="N117" t="n">
        <x:f>IF(K117="","",K117/_xlfn.MAXIFS($K:$K,$E:$E,E117))</x:f>
        <x:v>0.2124277456647399</x:v>
      </x:c>
      <x:c r="O117" t="n">
        <x:f>IF(M117="","",M117/_xlfn.MAXIFS($M:$M,$E:$E,E117))</x:f>
        <x:v>0.6195402544084097</x:v>
      </x:c>
      <x:c r="P117" t="n">
        <x:f>IF(OR(N117="",O117=""),"",SQRT(N117*O117))</x:f>
        <x:v>0.36277753457530676</x:v>
      </x:c>
      <x:c r="Q117" t="n">
        <x:f>IF(OR(N117="",O117=""),"",N117^0.7*O117^0.3)</x:f>
        <x:v>0.2928658459307634</x:v>
      </x:c>
      <x:c r="R117" t="n">
        <x:f>IF(OR(N117="",O117=""),"",N117^0.3*O117^0.7)</x:f>
        <x:v>0.4493782440703288</x:v>
      </x:c>
    </x:row>
    <x:row r="118">
      <x:c r="A118" t="inlineStr">
        <x:is>
          <x:t xml:space="preserve">openai|gpt-6-astra|high|reasoning|fallback-na|aa-v4.3.2|snapshot-2026-09-28</x:t>
        </x:is>
      </x:c>
      <x:c r="B118" t="inlineStr">
        <x:is>
          <x:t xml:space="preserve">openai|gpt-6-astra|high|reasoning|fallback-na</x:t>
        </x:is>
      </x:c>
      <x:c r="C118" t="inlineStr">
        <x:is>
          <x:t xml:space="preserve">AA|v4.3.2</x:t>
        </x:is>
      </x:c>
      <x:c r="D118" t="n">
        <x:v>16</x:v>
      </x:c>
      <x:c r="E118" t="n">
        <x:v>50</x:v>
      </x:c>
      <x:c r="F118" t="n">
        <x:f>INDEX(Run_Metrics!$F:$F,D118)</x:f>
        <x:v>51</x:v>
      </x:c>
      <x:c r="G118" t="n">
        <x:f>INDEX(Run_Metrics!$G:$G,D118)</x:f>
        <x:v>1.73</x:v>
      </x:c>
      <x:c r="H118" t="n">
        <x:f>INDEX(Run_Metrics!$I:$I,D118)</x:f>
        <x:v>3.793</x:v>
      </x:c>
      <x:c r="I118" t="n">
        <x:f>IF(F118="","",F118-(E118-1))</x:f>
        <x:v>2</x:v>
      </x:c>
      <x:c r="J118" t="n">
        <x:f>IF(I118&gt;0,1,0)</x:f>
        <x:v>1</x:v>
      </x:c>
      <x:c r="K118" t="n">
        <x:f>IF(OR(J118=0,G118="",G118=0),"",I118/G118)</x:f>
        <x:v>1.1560693641618498</x:v>
      </x:c>
      <x:c r="L118" t="n">
        <x:f>IF(OR(J118=0,I118=0,G118=""),"",G118/I118)</x:f>
        <x:v>0.865</x:v>
      </x:c>
      <x:c r="M118" t="n">
        <x:f>IF(OR(J118=0,G118="",H118="",G118=0,H118=0),"",I118/(G118*H118))</x:f>
        <x:v>0.30479023574000785</x:v>
      </x:c>
      <x:c r="N118" t="n">
        <x:f>IF(K118="","",K118/_xlfn.MAXIFS($K:$K,$E:$E,E118))</x:f>
        <x:v>0.22543352601156072</x:v>
      </x:c>
      <x:c r="O118" t="n">
        <x:f>IF(M118="","",M118/_xlfn.MAXIFS($M:$M,$E:$E,E118))</x:f>
        <x:v>1</x:v>
      </x:c>
      <x:c r="P118" t="n">
        <x:f>IF(OR(N118="",O118=""),"",SQRT(N118*O118))</x:f>
        <x:v>0.47479840565397935</x:v>
      </x:c>
      <x:c r="Q118" t="n">
        <x:f>IF(OR(N118="",O118=""),"",N118^0.7*O118^0.3)</x:f>
        <x:v>0.35246252872918954</x:v>
      </x:c>
      <x:c r="R118" t="n">
        <x:f>IF(OR(N118="",O118=""),"",N118^0.3*O118^0.7)</x:f>
        <x:v>0.639595723336508</x:v>
      </x:c>
    </x:row>
    <x:row r="119">
      <x:c r="A119" t="inlineStr">
        <x:is>
          <x:t xml:space="preserve">openai|gpt-6-astra|high|reasoning|fallback-na|aa-v4.3.2|snapshot-2026-09-28</x:t>
        </x:is>
      </x:c>
      <x:c r="B119" t="inlineStr">
        <x:is>
          <x:t xml:space="preserve">openai|gpt-6-astra|high|reasoning|fallback-na</x:t>
        </x:is>
      </x:c>
      <x:c r="C119" t="inlineStr">
        <x:is>
          <x:t xml:space="preserve">AA|v4.3.2</x:t>
        </x:is>
      </x:c>
      <x:c r="D119" t="n">
        <x:v>16</x:v>
      </x:c>
      <x:c r="E119" t="n">
        <x:v>52</x:v>
      </x:c>
      <x:c r="F119" t="n">
        <x:f>INDEX(Run_Metrics!$F:$F,D119)</x:f>
        <x:v>51</x:v>
      </x:c>
      <x:c r="G119" t="n">
        <x:f>INDEX(Run_Metrics!$G:$G,D119)</x:f>
        <x:v>1.73</x:v>
      </x:c>
      <x:c r="H119" t="n">
        <x:f>INDEX(Run_Metrics!$I:$I,D119)</x:f>
        <x:v>3.793</x:v>
      </x:c>
      <x:c r="I119" t="n">
        <x:f>IF(F119="","",F119-(E119-1))</x:f>
        <x:v>0</x:v>
      </x:c>
      <x:c r="J119" t="n">
        <x:f>IF(I119&gt;0,1,0)</x:f>
        <x:v>0</x:v>
      </x:c>
      <x:c r="K119" t="str">
        <x:f>IF(OR(J119=0,G119="",G119=0),"",I119/G119)</x:f>
      </x:c>
      <x:c r="L119" t="str">
        <x:f>IF(OR(J119=0,I119=0,G119=""),"",G119/I119)</x:f>
      </x:c>
      <x:c r="M119" t="str">
        <x:f>IF(OR(J119=0,G119="",H119="",G119=0,H119=0),"",I119/(G119*H119))</x:f>
      </x:c>
      <x:c r="N119" t="str">
        <x:f>IF(K119="","",K119/_xlfn.MAXIFS($K:$K,$E:$E,E119))</x:f>
      </x:c>
      <x:c r="O119" t="str">
        <x:f>IF(M119="","",M119/_xlfn.MAXIFS($M:$M,$E:$E,E119))</x:f>
      </x:c>
      <x:c r="P119" t="str">
        <x:f>IF(OR(N119="",O119=""),"",SQRT(N119*O119))</x:f>
      </x:c>
      <x:c r="Q119" t="str">
        <x:f>IF(OR(N119="",O119=""),"",N119^0.7*O119^0.3)</x:f>
      </x:c>
      <x:c r="R119" t="str">
        <x:f>IF(OR(N119="",O119=""),"",N119^0.3*O119^0.7)</x:f>
      </x:c>
    </x:row>
    <x:row r="120">
      <x:c r="A120" t="inlineStr">
        <x:is>
          <x:t xml:space="preserve">openai|gpt-6-astra|high|reasoning|fallback-na|aa-v4.3.2|snapshot-2026-09-28</x:t>
        </x:is>
      </x:c>
      <x:c r="B120" t="inlineStr">
        <x:is>
          <x:t xml:space="preserve">openai|gpt-6-astra|high|reasoning|fallback-na</x:t>
        </x:is>
      </x:c>
      <x:c r="C120" t="inlineStr">
        <x:is>
          <x:t xml:space="preserve">AA|v4.3.2</x:t>
        </x:is>
      </x:c>
      <x:c r="D120" t="n">
        <x:v>16</x:v>
      </x:c>
      <x:c r="E120" t="n">
        <x:v>65</x:v>
      </x:c>
      <x:c r="F120" t="n">
        <x:f>INDEX(Run_Metrics!$F:$F,D120)</x:f>
        <x:v>51</x:v>
      </x:c>
      <x:c r="G120" t="n">
        <x:f>INDEX(Run_Metrics!$G:$G,D120)</x:f>
        <x:v>1.73</x:v>
      </x:c>
      <x:c r="H120" t="n">
        <x:f>INDEX(Run_Metrics!$I:$I,D120)</x:f>
        <x:v>3.793</x:v>
      </x:c>
      <x:c r="I120" t="n">
        <x:f>IF(F120="","",F120-(E120-1))</x:f>
        <x:v>-13</x:v>
      </x:c>
      <x:c r="J120" t="n">
        <x:f>IF(I120&gt;0,1,0)</x:f>
        <x:v>0</x:v>
      </x:c>
      <x:c r="K120" t="str">
        <x:f>IF(OR(J120=0,G120="",G120=0),"",I120/G120)</x:f>
      </x:c>
      <x:c r="L120" t="str">
        <x:f>IF(OR(J120=0,I120=0,G120=""),"",G120/I120)</x:f>
      </x:c>
      <x:c r="M120" t="str">
        <x:f>IF(OR(J120=0,G120="",H120="",G120=0,H120=0),"",I120/(G120*H120))</x:f>
      </x:c>
      <x:c r="N120" t="str">
        <x:f>IF(K120="","",K120/_xlfn.MAXIFS($K:$K,$E:$E,E120))</x:f>
      </x:c>
      <x:c r="O120" t="str">
        <x:f>IF(M120="","",M120/_xlfn.MAXIFS($M:$M,$E:$E,E120))</x:f>
      </x:c>
      <x:c r="P120" t="str">
        <x:f>IF(OR(N120="",O120=""),"",SQRT(N120*O120))</x:f>
      </x:c>
      <x:c r="Q120" t="str">
        <x:f>IF(OR(N120="",O120=""),"",N120^0.7*O120^0.3)</x:f>
      </x:c>
      <x:c r="R120" t="str">
        <x:f>IF(OR(N120="",O120=""),"",N120^0.3*O120^0.7)</x:f>
      </x:c>
    </x:row>
    <x:row r="121">
      <x:c r="A121" t="inlineStr">
        <x:is>
          <x:t xml:space="preserve">openai|gpt-6-astra|high|reasoning|fallback-na|aa-v4.3.2|snapshot-2026-09-28</x:t>
        </x:is>
      </x:c>
      <x:c r="B121" t="inlineStr">
        <x:is>
          <x:t xml:space="preserve">openai|gpt-6-astra|high|reasoning|fallback-na</x:t>
        </x:is>
      </x:c>
      <x:c r="C121" t="inlineStr">
        <x:is>
          <x:t xml:space="preserve">AA|v4.3.2</x:t>
        </x:is>
      </x:c>
      <x:c r="D121" t="n">
        <x:v>16</x:v>
      </x:c>
      <x:c r="E121" t="n">
        <x:v>80</x:v>
      </x:c>
      <x:c r="F121" t="n">
        <x:f>INDEX(Run_Metrics!$F:$F,D121)</x:f>
        <x:v>51</x:v>
      </x:c>
      <x:c r="G121" t="n">
        <x:f>INDEX(Run_Metrics!$G:$G,D121)</x:f>
        <x:v>1.73</x:v>
      </x:c>
      <x:c r="H121" t="n">
        <x:f>INDEX(Run_Metrics!$I:$I,D121)</x:f>
        <x:v>3.793</x:v>
      </x:c>
      <x:c r="I121" t="n">
        <x:f>IF(F121="","",F121-(E121-1))</x:f>
        <x:v>-28</x:v>
      </x:c>
      <x:c r="J121" t="n">
        <x:f>IF(I121&gt;0,1,0)</x:f>
        <x:v>0</x:v>
      </x:c>
      <x:c r="K121" t="str">
        <x:f>IF(OR(J121=0,G121="",G121=0),"",I121/G121)</x:f>
      </x:c>
      <x:c r="L121" t="str">
        <x:f>IF(OR(J121=0,I121=0,G121=""),"",G121/I121)</x:f>
      </x:c>
      <x:c r="M121" t="str">
        <x:f>IF(OR(J121=0,G121="",H121="",G121=0,H121=0),"",I121/(G121*H121))</x:f>
      </x:c>
      <x:c r="N121" t="str">
        <x:f>IF(K121="","",K121/_xlfn.MAXIFS($K:$K,$E:$E,E121))</x:f>
      </x:c>
      <x:c r="O121" t="str">
        <x:f>IF(M121="","",M121/_xlfn.MAXIFS($M:$M,$E:$E,E121))</x:f>
      </x:c>
      <x:c r="P121" t="str">
        <x:f>IF(OR(N121="",O121=""),"",SQRT(N121*O121))</x:f>
      </x:c>
      <x:c r="Q121" t="str">
        <x:f>IF(OR(N121="",O121=""),"",N121^0.7*O121^0.3)</x:f>
      </x:c>
      <x:c r="R121" t="str">
        <x:f>IF(OR(N121="",O121=""),"",N121^0.3*O121^0.7)</x:f>
      </x:c>
    </x:row>
    <x:row r="122">
      <x:c r="A122" t="inlineStr">
        <x:is>
          <x:t xml:space="preserve">openai|gpt-6-astra|xhigh|reasoning|fallback-na|aa-v4.3.2|snapshot-2026-09-28</x:t>
        </x:is>
      </x:c>
      <x:c r="B122" t="inlineStr">
        <x:is>
          <x:t xml:space="preserve">openai|gpt-6-astra|xhigh|reasoning|fallback-na</x:t>
        </x:is>
      </x:c>
      <x:c r="C122" t="inlineStr">
        <x:is>
          <x:t xml:space="preserve">AA|v4.3.2</x:t>
        </x:is>
      </x:c>
      <x:c r="D122" t="n">
        <x:v>17</x:v>
      </x:c>
      <x:c r="E122" t="n">
        <x:v>20</x:v>
      </x:c>
      <x:c r="F122" t="n">
        <x:f>INDEX(Run_Metrics!$F:$F,D122)</x:f>
        <x:v>52</x:v>
      </x:c>
      <x:c r="G122" t="n">
        <x:f>INDEX(Run_Metrics!$G:$G,D122)</x:f>
        <x:v>2.31</x:v>
      </x:c>
      <x:c r="H122" t="n">
        <x:f>INDEX(Run_Metrics!$I:$I,D122)</x:f>
        <x:v>5.181333333333333</x:v>
      </x:c>
      <x:c r="I122" t="n">
        <x:f>IF(F122="","",F122-(E122-1))</x:f>
        <x:v>33</x:v>
      </x:c>
      <x:c r="J122" t="n">
        <x:f>IF(I122&gt;0,1,0)</x:f>
        <x:v>1</x:v>
      </x:c>
      <x:c r="K122" t="n">
        <x:f>IF(OR(J122=0,G122="",G122=0),"",I122/G122)</x:f>
        <x:v>14.285714285714285</x:v>
      </x:c>
      <x:c r="L122" t="n">
        <x:f>IF(OR(J122=0,I122=0,G122=""),"",G122/I122)</x:f>
        <x:v>0.07</x:v>
      </x:c>
      <x:c r="M122" t="n">
        <x:f>IF(OR(J122=0,G122="",H122="",G122=0,H122=0),"",I122/(G122*H122))</x:f>
        <x:v>2.757150209543416</x:v>
      </x:c>
      <x:c r="N122" t="n">
        <x:f>IF(K122="","",K122/_xlfn.MAXIFS($K:$K,$E:$E,E122))</x:f>
        <x:v>0.021428571428571425</x:v>
      </x:c>
      <x:c r="O122" t="n">
        <x:f>IF(M122="","",M122/_xlfn.MAXIFS($M:$M,$E:$E,E122))</x:f>
        <x:v>0.0014609449672818174</x:v>
      </x:c>
      <x:c r="P122" t="n">
        <x:f>IF(OR(N122="",O122=""),"",SQRT(N122*O122))</x:f>
        <x:v>0.005595173239910483</x:v>
      </x:c>
      <x:c r="Q122" t="n">
        <x:f>IF(OR(N122="",O122=""),"",N122^0.7*O122^0.3)</x:f>
        <x:v>0.009573823359637482</x:v>
      </x:c>
      <x:c r="R122" t="n">
        <x:f>IF(OR(N122="",O122=""),"",N122^0.3*O122^0.7)</x:f>
        <x:v>0.0032699541665447865</x:v>
      </x:c>
    </x:row>
    <x:row r="123">
      <x:c r="A123" t="inlineStr">
        <x:is>
          <x:t xml:space="preserve">openai|gpt-6-astra|xhigh|reasoning|fallback-na|aa-v4.3.2|snapshot-2026-09-28</x:t>
        </x:is>
      </x:c>
      <x:c r="B123" t="inlineStr">
        <x:is>
          <x:t xml:space="preserve">openai|gpt-6-astra|xhigh|reasoning|fallback-na</x:t>
        </x:is>
      </x:c>
      <x:c r="C123" t="inlineStr">
        <x:is>
          <x:t xml:space="preserve">AA|v4.3.2</x:t>
        </x:is>
      </x:c>
      <x:c r="D123" t="n">
        <x:v>17</x:v>
      </x:c>
      <x:c r="E123" t="n">
        <x:v>30</x:v>
      </x:c>
      <x:c r="F123" t="n">
        <x:f>INDEX(Run_Metrics!$F:$F,D123)</x:f>
        <x:v>52</x:v>
      </x:c>
      <x:c r="G123" t="n">
        <x:f>INDEX(Run_Metrics!$G:$G,D123)</x:f>
        <x:v>2.31</x:v>
      </x:c>
      <x:c r="H123" t="n">
        <x:f>INDEX(Run_Metrics!$I:$I,D123)</x:f>
        <x:v>5.181333333333333</x:v>
      </x:c>
      <x:c r="I123" t="n">
        <x:f>IF(F123="","",F123-(E123-1))</x:f>
        <x:v>23</x:v>
      </x:c>
      <x:c r="J123" t="n">
        <x:f>IF(I123&gt;0,1,0)</x:f>
        <x:v>1</x:v>
      </x:c>
      <x:c r="K123" t="n">
        <x:f>IF(OR(J123=0,G123="",G123=0),"",I123/G123)</x:f>
        <x:v>9.956709956709956</x:v>
      </x:c>
      <x:c r="L123" t="n">
        <x:f>IF(OR(J123=0,I123=0,G123=""),"",G123/I123)</x:f>
        <x:v>0.10043478260869565</x:v>
      </x:c>
      <x:c r="M123" t="n">
        <x:f>IF(OR(J123=0,G123="",H123="",G123=0,H123=0),"",I123/(G123*H123))</x:f>
        <x:v>1.9216501460454114</x:v>
      </x:c>
      <x:c r="N123" t="n">
        <x:f>IF(K123="","",K123/_xlfn.MAXIFS($K:$K,$E:$E,E123))</x:f>
        <x:v>0.06637806637806637</x:v>
      </x:c>
      <x:c r="O123" t="n">
        <x:f>IF(M123="","",M123/_xlfn.MAXIFS($M:$M,$E:$E,E123))</x:f>
        <x:v>0.03419960764917019</x:v>
      </x:c>
      <x:c r="P123" t="n">
        <x:f>IF(OR(N123="",O123=""),"",SQRT(N123*O123))</x:f>
        <x:v>0.04764560658277366</x:v>
      </x:c>
      <x:c r="Q123" t="n">
        <x:f>IF(OR(N123="",O123=""),"",N123^0.7*O123^0.3)</x:f>
        <x:v>0.05440308843343409</x:v>
      </x:c>
      <x:c r="R123" t="n">
        <x:f>IF(OR(N123="",O123=""),"",N123^0.3*O123^0.7)</x:f>
        <x:v>0.04172748077378133</x:v>
      </x:c>
    </x:row>
    <x:row r="124">
      <x:c r="A124" t="inlineStr">
        <x:is>
          <x:t xml:space="preserve">openai|gpt-6-astra|xhigh|reasoning|fallback-na|aa-v4.3.2|snapshot-2026-09-28</x:t>
        </x:is>
      </x:c>
      <x:c r="B124" t="inlineStr">
        <x:is>
          <x:t xml:space="preserve">openai|gpt-6-astra|xhigh|reasoning|fallback-na</x:t>
        </x:is>
      </x:c>
      <x:c r="C124" t="inlineStr">
        <x:is>
          <x:t xml:space="preserve">AA|v4.3.2</x:t>
        </x:is>
      </x:c>
      <x:c r="D124" t="n">
        <x:v>17</x:v>
      </x:c>
      <x:c r="E124" t="n">
        <x:v>40</x:v>
      </x:c>
      <x:c r="F124" t="n">
        <x:f>INDEX(Run_Metrics!$F:$F,D124)</x:f>
        <x:v>52</x:v>
      </x:c>
      <x:c r="G124" t="n">
        <x:f>INDEX(Run_Metrics!$G:$G,D124)</x:f>
        <x:v>2.31</x:v>
      </x:c>
      <x:c r="H124" t="n">
        <x:f>INDEX(Run_Metrics!$I:$I,D124)</x:f>
        <x:v>5.181333333333333</x:v>
      </x:c>
      <x:c r="I124" t="n">
        <x:f>IF(F124="","",F124-(E124-1))</x:f>
        <x:v>13</x:v>
      </x:c>
      <x:c r="J124" t="n">
        <x:f>IF(I124&gt;0,1,0)</x:f>
        <x:v>1</x:v>
      </x:c>
      <x:c r="K124" t="n">
        <x:f>IF(OR(J124=0,G124="",G124=0),"",I124/G124)</x:f>
        <x:v>5.627705627705628</x:v>
      </x:c>
      <x:c r="L124" t="n">
        <x:f>IF(OR(J124=0,I124=0,G124=""),"",G124/I124)</x:f>
        <x:v>0.1776923076923077</x:v>
      </x:c>
      <x:c r="M124" t="n">
        <x:f>IF(OR(J124=0,G124="",H124="",G124=0,H124=0),"",I124/(G124*H124))</x:f>
        <x:v>1.0861500825474064</x:v>
      </x:c>
      <x:c r="N124" t="n">
        <x:f>IF(K124="","",K124/_xlfn.MAXIFS($K:$K,$E:$E,E124))</x:f>
        <x:v>0.10451453308596166</x:v>
      </x:c>
      <x:c r="O124" t="n">
        <x:f>IF(M124="","",M124/_xlfn.MAXIFS($M:$M,$E:$E,E124))</x:f>
        <x:v>0.18022798648304125</x:v>
      </x:c>
      <x:c r="P124" t="n">
        <x:f>IF(OR(N124="",O124=""),"",SQRT(N124*O124))</x:f>
        <x:v>0.1372459247347551</x:v>
      </x:c>
      <x:c r="Q124" t="n">
        <x:f>IF(OR(N124="",O124=""),"",N124^0.7*O124^0.3)</x:f>
        <x:v>0.12307514285189092</x:v>
      </x:c>
      <x:c r="R124" t="n">
        <x:f>IF(OR(N124="",O124=""),"",N124^0.3*O124^0.7)</x:f>
        <x:v>0.15304832007358232</x:v>
      </x:c>
    </x:row>
    <x:row r="125">
      <x:c r="A125" t="inlineStr">
        <x:is>
          <x:t xml:space="preserve">openai|gpt-6-astra|xhigh|reasoning|fallback-na|aa-v4.3.2|snapshot-2026-09-28</x:t>
        </x:is>
      </x:c>
      <x:c r="B125" t="inlineStr">
        <x:is>
          <x:t xml:space="preserve">openai|gpt-6-astra|xhigh|reasoning|fallback-na</x:t>
        </x:is>
      </x:c>
      <x:c r="C125" t="inlineStr">
        <x:is>
          <x:t xml:space="preserve">AA|v4.3.2</x:t>
        </x:is>
      </x:c>
      <x:c r="D125" t="n">
        <x:v>17</x:v>
      </x:c>
      <x:c r="E125" t="n">
        <x:v>45</x:v>
      </x:c>
      <x:c r="F125" t="n">
        <x:f>INDEX(Run_Metrics!$F:$F,D125)</x:f>
        <x:v>52</x:v>
      </x:c>
      <x:c r="G125" t="n">
        <x:f>INDEX(Run_Metrics!$G:$G,D125)</x:f>
        <x:v>2.31</x:v>
      </x:c>
      <x:c r="H125" t="n">
        <x:f>INDEX(Run_Metrics!$I:$I,D125)</x:f>
        <x:v>5.181333333333333</x:v>
      </x:c>
      <x:c r="I125" t="n">
        <x:f>IF(F125="","",F125-(E125-1))</x:f>
        <x:v>8</x:v>
      </x:c>
      <x:c r="J125" t="n">
        <x:f>IF(I125&gt;0,1,0)</x:f>
        <x:v>1</x:v>
      </x:c>
      <x:c r="K125" t="n">
        <x:f>IF(OR(J125=0,G125="",G125=0),"",I125/G125)</x:f>
        <x:v>3.463203463203463</x:v>
      </x:c>
      <x:c r="L125" t="n">
        <x:f>IF(OR(J125=0,I125=0,G125=""),"",G125/I125)</x:f>
        <x:v>0.28875</x:v>
      </x:c>
      <x:c r="M125" t="n">
        <x:f>IF(OR(J125=0,G125="",H125="",G125=0,H125=0),"",I125/(G125*H125))</x:f>
        <x:v>0.6684000507984039</x:v>
      </x:c>
      <x:c r="N125" t="n">
        <x:f>IF(K125="","",K125/_xlfn.MAXIFS($K:$K,$E:$E,E125))</x:f>
        <x:v>0.18181818181818182</x:v>
      </x:c>
      <x:c r="O125" t="n">
        <x:f>IF(M125="","",M125/_xlfn.MAXIFS($M:$M,$E:$E,E125))</x:f>
        <x:v>0.38818335550193495</x:v>
      </x:c>
      <x:c r="P125" t="n">
        <x:f>IF(OR(N125="",O125=""),"",SQRT(N125*O125))</x:f>
        <x:v>0.26566669326327436</x:v>
      </x:c>
      <x:c r="Q125" t="n">
        <x:f>IF(OR(N125="",O125=""),"",N125^0.7*O125^0.3)</x:f>
        <x:v>0.22827438967015765</x:v>
      </x:c>
      <x:c r="R125" t="n">
        <x:f>IF(OR(N125="",O125=""),"",N125^0.3*O125^0.7)</x:f>
        <x:v>0.3091840132019396</x:v>
      </x:c>
    </x:row>
    <x:row r="126">
      <x:c r="A126" t="inlineStr">
        <x:is>
          <x:t xml:space="preserve">openai|gpt-6-astra|xhigh|reasoning|fallback-na|aa-v4.3.2|snapshot-2026-09-28</x:t>
        </x:is>
      </x:c>
      <x:c r="B126" t="inlineStr">
        <x:is>
          <x:t xml:space="preserve">openai|gpt-6-astra|xhigh|reasoning|fallback-na</x:t>
        </x:is>
      </x:c>
      <x:c r="C126" t="inlineStr">
        <x:is>
          <x:t xml:space="preserve">AA|v4.3.2</x:t>
        </x:is>
      </x:c>
      <x:c r="D126" t="n">
        <x:v>17</x:v>
      </x:c>
      <x:c r="E126" t="n">
        <x:v>50</x:v>
      </x:c>
      <x:c r="F126" t="n">
        <x:f>INDEX(Run_Metrics!$F:$F,D126)</x:f>
        <x:v>52</x:v>
      </x:c>
      <x:c r="G126" t="n">
        <x:f>INDEX(Run_Metrics!$G:$G,D126)</x:f>
        <x:v>2.31</x:v>
      </x:c>
      <x:c r="H126" t="n">
        <x:f>INDEX(Run_Metrics!$I:$I,D126)</x:f>
        <x:v>5.181333333333333</x:v>
      </x:c>
      <x:c r="I126" t="n">
        <x:f>IF(F126="","",F126-(E126-1))</x:f>
        <x:v>3</x:v>
      </x:c>
      <x:c r="J126" t="n">
        <x:f>IF(I126&gt;0,1,0)</x:f>
        <x:v>1</x:v>
      </x:c>
      <x:c r="K126" t="n">
        <x:f>IF(OR(J126=0,G126="",G126=0),"",I126/G126)</x:f>
        <x:v>1.2987012987012987</x:v>
      </x:c>
      <x:c r="L126" t="n">
        <x:f>IF(OR(J126=0,I126=0,G126=""),"",G126/I126)</x:f>
        <x:v>0.77</x:v>
      </x:c>
      <x:c r="M126" t="n">
        <x:f>IF(OR(J126=0,G126="",H126="",G126=0,H126=0),"",I126/(G126*H126))</x:f>
        <x:v>0.2506500190494015</x:v>
      </x:c>
      <x:c r="N126" t="n">
        <x:f>IF(K126="","",K126/_xlfn.MAXIFS($K:$K,$E:$E,E126))</x:f>
        <x:v>0.2532467532467533</x:v>
      </x:c>
      <x:c r="O126" t="n">
        <x:f>IF(M126="","",M126/_xlfn.MAXIFS($M:$M,$E:$E,E126))</x:f>
        <x:v>0.8223689267500385</x:v>
      </x:c>
      <x:c r="P126" t="n">
        <x:f>IF(OR(N126="",O126=""),"",SQRT(N126*O126))</x:f>
        <x:v>0.4563576017450178</x:v>
      </x:c>
      <x:c r="Q126" t="n">
        <x:f>IF(OR(N126="",O126=""),"",N126^0.7*O126^0.3)</x:f>
        <x:v>0.3605792474286639</x:v>
      </x:c>
      <x:c r="R126" t="n">
        <x:f>IF(OR(N126="",O126=""),"",N126^0.3*O126^0.7)</x:f>
        <x:v>0.5775769464149941</x:v>
      </x:c>
    </x:row>
    <x:row r="127">
      <x:c r="A127" t="inlineStr">
        <x:is>
          <x:t xml:space="preserve">openai|gpt-6-astra|xhigh|reasoning|fallback-na|aa-v4.3.2|snapshot-2026-09-28</x:t>
        </x:is>
      </x:c>
      <x:c r="B127" t="inlineStr">
        <x:is>
          <x:t xml:space="preserve">openai|gpt-6-astra|xhigh|reasoning|fallback-na</x:t>
        </x:is>
      </x:c>
      <x:c r="C127" t="inlineStr">
        <x:is>
          <x:t xml:space="preserve">AA|v4.3.2</x:t>
        </x:is>
      </x:c>
      <x:c r="D127" t="n">
        <x:v>17</x:v>
      </x:c>
      <x:c r="E127" t="n">
        <x:v>52</x:v>
      </x:c>
      <x:c r="F127" t="n">
        <x:f>INDEX(Run_Metrics!$F:$F,D127)</x:f>
        <x:v>52</x:v>
      </x:c>
      <x:c r="G127" t="n">
        <x:f>INDEX(Run_Metrics!$G:$G,D127)</x:f>
        <x:v>2.31</x:v>
      </x:c>
      <x:c r="H127" t="n">
        <x:f>INDEX(Run_Metrics!$I:$I,D127)</x:f>
        <x:v>5.181333333333333</x:v>
      </x:c>
      <x:c r="I127" t="n">
        <x:f>IF(F127="","",F127-(E127-1))</x:f>
        <x:v>1</x:v>
      </x:c>
      <x:c r="J127" t="n">
        <x:f>IF(I127&gt;0,1,0)</x:f>
        <x:v>1</x:v>
      </x:c>
      <x:c r="K127" t="n">
        <x:f>IF(OR(J127=0,G127="",G127=0),"",I127/G127)</x:f>
        <x:v>0.4329004329004329</x:v>
      </x:c>
      <x:c r="L127" t="n">
        <x:f>IF(OR(J127=0,I127=0,G127=""),"",G127/I127)</x:f>
        <x:v>2.31</x:v>
      </x:c>
      <x:c r="M127" t="n">
        <x:f>IF(OR(J127=0,G127="",H127="",G127=0,H127=0),"",I127/(G127*H127))</x:f>
        <x:v>0.08355000634980049</x:v>
      </x:c>
      <x:c r="N127" t="n">
        <x:f>IF(K127="","",K127/_xlfn.MAXIFS($K:$K,$E:$E,E127))</x:f>
        <x:v>0.26262626262626265</x:v>
      </x:c>
      <x:c r="O127" t="n">
        <x:f>IF(M127="","",M127/_xlfn.MAXIFS($M:$M,$E:$E,E127))</x:f>
        <x:v>0.963088303444711</x:v>
      </x:c>
      <x:c r="P127" t="n">
        <x:f>IF(OR(N127="",O127=""),"",SQRT(N127*O127))</x:f>
        <x:v>0.5029237334952015</x:v>
      </x:c>
      <x:c r="Q127" t="n">
        <x:f>IF(OR(N127="",O127=""),"",N127^0.7*O127^0.3)</x:f>
        <x:v>0.38782565968991345</x:v>
      </x:c>
      <x:c r="R127" t="n">
        <x:f>IF(OR(N127="",O127=""),"",N127^0.3*O127^0.7)</x:f>
        <x:v>0.6521803686609722</x:v>
      </x:c>
    </x:row>
    <x:row r="128">
      <x:c r="A128" t="inlineStr">
        <x:is>
          <x:t xml:space="preserve">openai|gpt-6-astra|xhigh|reasoning|fallback-na|aa-v4.3.2|snapshot-2026-09-28</x:t>
        </x:is>
      </x:c>
      <x:c r="B128" t="inlineStr">
        <x:is>
          <x:t xml:space="preserve">openai|gpt-6-astra|xhigh|reasoning|fallback-na</x:t>
        </x:is>
      </x:c>
      <x:c r="C128" t="inlineStr">
        <x:is>
          <x:t xml:space="preserve">AA|v4.3.2</x:t>
        </x:is>
      </x:c>
      <x:c r="D128" t="n">
        <x:v>17</x:v>
      </x:c>
      <x:c r="E128" t="n">
        <x:v>65</x:v>
      </x:c>
      <x:c r="F128" t="n">
        <x:f>INDEX(Run_Metrics!$F:$F,D128)</x:f>
        <x:v>52</x:v>
      </x:c>
      <x:c r="G128" t="n">
        <x:f>INDEX(Run_Metrics!$G:$G,D128)</x:f>
        <x:v>2.31</x:v>
      </x:c>
      <x:c r="H128" t="n">
        <x:f>INDEX(Run_Metrics!$I:$I,D128)</x:f>
        <x:v>5.181333333333333</x:v>
      </x:c>
      <x:c r="I128" t="n">
        <x:f>IF(F128="","",F128-(E128-1))</x:f>
        <x:v>-12</x:v>
      </x:c>
      <x:c r="J128" t="n">
        <x:f>IF(I128&gt;0,1,0)</x:f>
        <x:v>0</x:v>
      </x:c>
      <x:c r="K128" t="str">
        <x:f>IF(OR(J128=0,G128="",G128=0),"",I128/G128)</x:f>
      </x:c>
      <x:c r="L128" t="str">
        <x:f>IF(OR(J128=0,I128=0,G128=""),"",G128/I128)</x:f>
      </x:c>
      <x:c r="M128" t="str">
        <x:f>IF(OR(J128=0,G128="",H128="",G128=0,H128=0),"",I128/(G128*H128))</x:f>
      </x:c>
      <x:c r="N128" t="str">
        <x:f>IF(K128="","",K128/_xlfn.MAXIFS($K:$K,$E:$E,E128))</x:f>
      </x:c>
      <x:c r="O128" t="str">
        <x:f>IF(M128="","",M128/_xlfn.MAXIFS($M:$M,$E:$E,E128))</x:f>
      </x:c>
      <x:c r="P128" t="str">
        <x:f>IF(OR(N128="",O128=""),"",SQRT(N128*O128))</x:f>
      </x:c>
      <x:c r="Q128" t="str">
        <x:f>IF(OR(N128="",O128=""),"",N128^0.7*O128^0.3)</x:f>
      </x:c>
      <x:c r="R128" t="str">
        <x:f>IF(OR(N128="",O128=""),"",N128^0.3*O128^0.7)</x:f>
      </x:c>
    </x:row>
    <x:row r="129">
      <x:c r="A129" t="inlineStr">
        <x:is>
          <x:t xml:space="preserve">openai|gpt-6-astra|xhigh|reasoning|fallback-na|aa-v4.3.2|snapshot-2026-09-28</x:t>
        </x:is>
      </x:c>
      <x:c r="B129" t="inlineStr">
        <x:is>
          <x:t xml:space="preserve">openai|gpt-6-astra|xhigh|reasoning|fallback-na</x:t>
        </x:is>
      </x:c>
      <x:c r="C129" t="inlineStr">
        <x:is>
          <x:t xml:space="preserve">AA|v4.3.2</x:t>
        </x:is>
      </x:c>
      <x:c r="D129" t="n">
        <x:v>17</x:v>
      </x:c>
      <x:c r="E129" t="n">
        <x:v>80</x:v>
      </x:c>
      <x:c r="F129" t="n">
        <x:f>INDEX(Run_Metrics!$F:$F,D129)</x:f>
        <x:v>52</x:v>
      </x:c>
      <x:c r="G129" t="n">
        <x:f>INDEX(Run_Metrics!$G:$G,D129)</x:f>
        <x:v>2.31</x:v>
      </x:c>
      <x:c r="H129" t="n">
        <x:f>INDEX(Run_Metrics!$I:$I,D129)</x:f>
        <x:v>5.181333333333333</x:v>
      </x:c>
      <x:c r="I129" t="n">
        <x:f>IF(F129="","",F129-(E129-1))</x:f>
        <x:v>-27</x:v>
      </x:c>
      <x:c r="J129" t="n">
        <x:f>IF(I129&gt;0,1,0)</x:f>
        <x:v>0</x:v>
      </x:c>
      <x:c r="K129" t="str">
        <x:f>IF(OR(J129=0,G129="",G129=0),"",I129/G129)</x:f>
      </x:c>
      <x:c r="L129" t="str">
        <x:f>IF(OR(J129=0,I129=0,G129=""),"",G129/I129)</x:f>
      </x:c>
      <x:c r="M129" t="str">
        <x:f>IF(OR(J129=0,G129="",H129="",G129=0,H129=0),"",I129/(G129*H129))</x:f>
      </x:c>
      <x:c r="N129" t="str">
        <x:f>IF(K129="","",K129/_xlfn.MAXIFS($K:$K,$E:$E,E129))</x:f>
      </x:c>
      <x:c r="O129" t="str">
        <x:f>IF(M129="","",M129/_xlfn.MAXIFS($M:$M,$E:$E,E129))</x:f>
      </x:c>
      <x:c r="P129" t="str">
        <x:f>IF(OR(N129="",O129=""),"",SQRT(N129*O129))</x:f>
      </x:c>
      <x:c r="Q129" t="str">
        <x:f>IF(OR(N129="",O129=""),"",N129^0.7*O129^0.3)</x:f>
      </x:c>
      <x:c r="R129" t="str">
        <x:f>IF(OR(N129="",O129=""),"",N129^0.3*O129^0.7)</x:f>
      </x:c>
    </x:row>
    <x:row r="130">
      <x:c r="A130" t="inlineStr">
        <x:is>
          <x:t xml:space="preserve">openai|gpt-6-astra|max|reasoning|fallback-na|aa-v4.3.2|snapshot-2026-09-28</x:t>
        </x:is>
      </x:c>
      <x:c r="B130" t="inlineStr">
        <x:is>
          <x:t xml:space="preserve">openai|gpt-6-astra|max|reasoning|fallback-na</x:t>
        </x:is>
      </x:c>
      <x:c r="C130" t="inlineStr">
        <x:is>
          <x:t xml:space="preserve">AA|v4.3.2</x:t>
        </x:is>
      </x:c>
      <x:c r="D130" t="n">
        <x:v>18</x:v>
      </x:c>
      <x:c r="E130" t="n">
        <x:v>20</x:v>
      </x:c>
      <x:c r="F130" t="n">
        <x:f>INDEX(Run_Metrics!$F:$F,D130)</x:f>
        <x:v>53</x:v>
      </x:c>
      <x:c r="G130" t="n">
        <x:f>INDEX(Run_Metrics!$G:$G,D130)</x:f>
        <x:v>3.26</x:v>
      </x:c>
      <x:c r="H130" t="n">
        <x:f>INDEX(Run_Metrics!$I:$I,D130)</x:f>
        <x:v>7.071833333333333</x:v>
      </x:c>
      <x:c r="I130" t="n">
        <x:f>IF(F130="","",F130-(E130-1))</x:f>
        <x:v>34</x:v>
      </x:c>
      <x:c r="J130" t="n">
        <x:f>IF(I130&gt;0,1,0)</x:f>
        <x:v>1</x:v>
      </x:c>
      <x:c r="K130" t="n">
        <x:f>IF(OR(J130=0,G130="",G130=0),"",I130/G130)</x:f>
        <x:v>10.429447852760736</x:v>
      </x:c>
      <x:c r="L130" t="n">
        <x:f>IF(OR(J130=0,I130=0,G130=""),"",G130/I130)</x:f>
        <x:v>0.09588235294117646</x:v>
      </x:c>
      <x:c r="M130" t="n">
        <x:f>IF(OR(J130=0,G130="",H130="",G130=0,H130=0),"",I130/(G130*H130))</x:f>
        <x:v>1.4747869981043207</x:v>
      </x:c>
      <x:c r="N130" t="n">
        <x:f>IF(K130="","",K130/_xlfn.MAXIFS($K:$K,$E:$E,E130))</x:f>
        <x:v>0.015644171779141104</x:v>
      </x:c>
      <x:c r="O130" t="n">
        <x:f>IF(M130="","",M130/_xlfn.MAXIFS($M:$M,$E:$E,E130))</x:f>
        <x:v>0.0007814527606205268</x:v>
      </x:c>
      <x:c r="P130" t="n">
        <x:f>IF(OR(N130="",O130=""),"",SQRT(N130*O130))</x:f>
        <x:v>0.0034964526629759417</x:v>
      </x:c>
      <x:c r="Q130" t="n">
        <x:f>IF(OR(N130="",O130=""),"",N130^0.7*O130^0.3)</x:f>
        <x:v>0.006366747436968952</x:v>
      </x:c>
      <x:c r="R130" t="n">
        <x:f>IF(OR(N130="",O130=""),"",N130^0.3*O130^0.7)</x:f>
        <x:v>0.0019201611726334885</x:v>
      </x:c>
    </x:row>
    <x:row r="131">
      <x:c r="A131" t="inlineStr">
        <x:is>
          <x:t xml:space="preserve">openai|gpt-6-astra|max|reasoning|fallback-na|aa-v4.3.2|snapshot-2026-09-28</x:t>
        </x:is>
      </x:c>
      <x:c r="B131" t="inlineStr">
        <x:is>
          <x:t xml:space="preserve">openai|gpt-6-astra|max|reasoning|fallback-na</x:t>
        </x:is>
      </x:c>
      <x:c r="C131" t="inlineStr">
        <x:is>
          <x:t xml:space="preserve">AA|v4.3.2</x:t>
        </x:is>
      </x:c>
      <x:c r="D131" t="n">
        <x:v>18</x:v>
      </x:c>
      <x:c r="E131" t="n">
        <x:v>30</x:v>
      </x:c>
      <x:c r="F131" t="n">
        <x:f>INDEX(Run_Metrics!$F:$F,D131)</x:f>
        <x:v>53</x:v>
      </x:c>
      <x:c r="G131" t="n">
        <x:f>INDEX(Run_Metrics!$G:$G,D131)</x:f>
        <x:v>3.26</x:v>
      </x:c>
      <x:c r="H131" t="n">
        <x:f>INDEX(Run_Metrics!$I:$I,D131)</x:f>
        <x:v>7.071833333333333</x:v>
      </x:c>
      <x:c r="I131" t="n">
        <x:f>IF(F131="","",F131-(E131-1))</x:f>
        <x:v>24</x:v>
      </x:c>
      <x:c r="J131" t="n">
        <x:f>IF(I131&gt;0,1,0)</x:f>
        <x:v>1</x:v>
      </x:c>
      <x:c r="K131" t="n">
        <x:f>IF(OR(J131=0,G131="",G131=0),"",I131/G131)</x:f>
        <x:v>7.361963190184049</x:v>
      </x:c>
      <x:c r="L131" t="n">
        <x:f>IF(OR(J131=0,I131=0,G131=""),"",G131/I131)</x:f>
        <x:v>0.13583333333333333</x:v>
      </x:c>
      <x:c r="M131" t="n">
        <x:f>IF(OR(J131=0,G131="",H131="",G131=0,H131=0),"",I131/(G131*H131))</x:f>
        <x:v>1.0410261163089323</x:v>
      </x:c>
      <x:c r="N131" t="n">
        <x:f>IF(K131="","",K131/_xlfn.MAXIFS($K:$K,$E:$E,E131))</x:f>
        <x:v>0.049079754601226995</x:v>
      </x:c>
      <x:c r="O131" t="n">
        <x:f>IF(M131="","",M131/_xlfn.MAXIFS($M:$M,$E:$E,E131))</x:f>
        <x:v>0.01852714179195007</x:v>
      </x:c>
      <x:c r="P131" t="n">
        <x:f>IF(OR(N131="",O131=""),"",SQRT(N131*O131))</x:f>
        <x:v>0.030154727201734826</x:v>
      </x:c>
      <x:c r="Q131" t="n">
        <x:f>IF(OR(N131="",O131=""),"",N131^0.7*O131^0.3)</x:f>
        <x:v>0.036641580256173166</x:v>
      </x:c>
      <x:c r="R131" t="n">
        <x:f>IF(OR(N131="",O131=""),"",N131^0.3*O131^0.7)</x:f>
        <x:v>0.024816276106373762</x:v>
      </x:c>
    </x:row>
    <x:row r="132">
      <x:c r="A132" t="inlineStr">
        <x:is>
          <x:t xml:space="preserve">openai|gpt-6-astra|max|reasoning|fallback-na|aa-v4.3.2|snapshot-2026-09-28</x:t>
        </x:is>
      </x:c>
      <x:c r="B132" t="inlineStr">
        <x:is>
          <x:t xml:space="preserve">openai|gpt-6-astra|max|reasoning|fallback-na</x:t>
        </x:is>
      </x:c>
      <x:c r="C132" t="inlineStr">
        <x:is>
          <x:t xml:space="preserve">AA|v4.3.2</x:t>
        </x:is>
      </x:c>
      <x:c r="D132" t="n">
        <x:v>18</x:v>
      </x:c>
      <x:c r="E132" t="n">
        <x:v>40</x:v>
      </x:c>
      <x:c r="F132" t="n">
        <x:f>INDEX(Run_Metrics!$F:$F,D132)</x:f>
        <x:v>53</x:v>
      </x:c>
      <x:c r="G132" t="n">
        <x:f>INDEX(Run_Metrics!$G:$G,D132)</x:f>
        <x:v>3.26</x:v>
      </x:c>
      <x:c r="H132" t="n">
        <x:f>INDEX(Run_Metrics!$I:$I,D132)</x:f>
        <x:v>7.071833333333333</x:v>
      </x:c>
      <x:c r="I132" t="n">
        <x:f>IF(F132="","",F132-(E132-1))</x:f>
        <x:v>14</x:v>
      </x:c>
      <x:c r="J132" t="n">
        <x:f>IF(I132&gt;0,1,0)</x:f>
        <x:v>1</x:v>
      </x:c>
      <x:c r="K132" t="n">
        <x:f>IF(OR(J132=0,G132="",G132=0),"",I132/G132)</x:f>
        <x:v>4.294478527607362</x:v>
      </x:c>
      <x:c r="L132" t="n">
        <x:f>IF(OR(J132=0,I132=0,G132=""),"",G132/I132)</x:f>
        <x:v>0.23285714285714285</x:v>
      </x:c>
      <x:c r="M132" t="n">
        <x:f>IF(OR(J132=0,G132="",H132="",G132=0,H132=0),"",I132/(G132*H132))</x:f>
        <x:v>0.6072652345135438</x:v>
      </x:c>
      <x:c r="N132" t="n">
        <x:f>IF(K132="","",K132/_xlfn.MAXIFS($K:$K,$E:$E,E132))</x:f>
        <x:v>0.07975460122699386</x:v>
      </x:c>
      <x:c r="O132" t="n">
        <x:f>IF(M132="","",M132/_xlfn.MAXIFS($M:$M,$E:$E,E132))</x:f>
        <x:v>0.10076525540635947</x:v>
      </x:c>
      <x:c r="P132" t="n">
        <x:f>IF(OR(N132="",O132=""),"",SQRT(N132*O132))</x:f>
        <x:v>0.08964648773081066</x:v>
      </x:c>
      <x:c r="Q132" t="n">
        <x:f>IF(OR(N132="",O132=""),"",N132^0.7*O132^0.3)</x:f>
        <x:v>0.08555044374425375</x:v>
      </x:c>
      <x:c r="R132" t="n">
        <x:f>IF(OR(N132="",O132=""),"",N132^0.3*O132^0.7)</x:f>
        <x:v>0.09393864497646379</x:v>
      </x:c>
    </x:row>
    <x:row r="133">
      <x:c r="A133" t="inlineStr">
        <x:is>
          <x:t xml:space="preserve">openai|gpt-6-astra|max|reasoning|fallback-na|aa-v4.3.2|snapshot-2026-09-28</x:t>
        </x:is>
      </x:c>
      <x:c r="B133" t="inlineStr">
        <x:is>
          <x:t xml:space="preserve">openai|gpt-6-astra|max|reasoning|fallback-na</x:t>
        </x:is>
      </x:c>
      <x:c r="C133" t="inlineStr">
        <x:is>
          <x:t xml:space="preserve">AA|v4.3.2</x:t>
        </x:is>
      </x:c>
      <x:c r="D133" t="n">
        <x:v>18</x:v>
      </x:c>
      <x:c r="E133" t="n">
        <x:v>45</x:v>
      </x:c>
      <x:c r="F133" t="n">
        <x:f>INDEX(Run_Metrics!$F:$F,D133)</x:f>
        <x:v>53</x:v>
      </x:c>
      <x:c r="G133" t="n">
        <x:f>INDEX(Run_Metrics!$G:$G,D133)</x:f>
        <x:v>3.26</x:v>
      </x:c>
      <x:c r="H133" t="n">
        <x:f>INDEX(Run_Metrics!$I:$I,D133)</x:f>
        <x:v>7.071833333333333</x:v>
      </x:c>
      <x:c r="I133" t="n">
        <x:f>IF(F133="","",F133-(E133-1))</x:f>
        <x:v>9</x:v>
      </x:c>
      <x:c r="J133" t="n">
        <x:f>IF(I133&gt;0,1,0)</x:f>
        <x:v>1</x:v>
      </x:c>
      <x:c r="K133" t="n">
        <x:f>IF(OR(J133=0,G133="",G133=0),"",I133/G133)</x:f>
        <x:v>2.7607361963190185</x:v>
      </x:c>
      <x:c r="L133" t="n">
        <x:f>IF(OR(J133=0,I133=0,G133=""),"",G133/I133)</x:f>
        <x:v>0.3622222222222222</x:v>
      </x:c>
      <x:c r="M133" t="n">
        <x:f>IF(OR(J133=0,G133="",H133="",G133=0,H133=0),"",I133/(G133*H133))</x:f>
        <x:v>0.39038479361584955</x:v>
      </x:c>
      <x:c r="N133" t="n">
        <x:f>IF(K133="","",K133/_xlfn.MAXIFS($K:$K,$E:$E,E133))</x:f>
        <x:v>0.14493865030674846</x:v>
      </x:c>
      <x:c r="O133" t="n">
        <x:f>IF(M133="","",M133/_xlfn.MAXIFS($M:$M,$E:$E,E133))</x:f>
        <x:v>0.22672182466430882</x:v>
      </x:c>
      <x:c r="P133" t="n">
        <x:f>IF(OR(N133="",O133=""),"",SQRT(N133*O133))</x:f>
        <x:v>0.18127535756943963</x:v>
      </x:c>
      <x:c r="Q133" t="n">
        <x:f>IF(OR(N133="",O133=""),"",N133^0.7*O133^0.3)</x:f>
        <x:v>0.16575893486601043</x:v>
      </x:c>
      <x:c r="R133" t="n">
        <x:f>IF(OR(N133="",O133=""),"",N133^0.3*O133^0.7)</x:f>
        <x:v>0.19824424721654288</x:v>
      </x:c>
    </x:row>
    <x:row r="134">
      <x:c r="A134" t="inlineStr">
        <x:is>
          <x:t xml:space="preserve">openai|gpt-6-astra|max|reasoning|fallback-na|aa-v4.3.2|snapshot-2026-09-28</x:t>
        </x:is>
      </x:c>
      <x:c r="B134" t="inlineStr">
        <x:is>
          <x:t xml:space="preserve">openai|gpt-6-astra|max|reasoning|fallback-na</x:t>
        </x:is>
      </x:c>
      <x:c r="C134" t="inlineStr">
        <x:is>
          <x:t xml:space="preserve">AA|v4.3.2</x:t>
        </x:is>
      </x:c>
      <x:c r="D134" t="n">
        <x:v>18</x:v>
      </x:c>
      <x:c r="E134" t="n">
        <x:v>50</x:v>
      </x:c>
      <x:c r="F134" t="n">
        <x:f>INDEX(Run_Metrics!$F:$F,D134)</x:f>
        <x:v>53</x:v>
      </x:c>
      <x:c r="G134" t="n">
        <x:f>INDEX(Run_Metrics!$G:$G,D134)</x:f>
        <x:v>3.26</x:v>
      </x:c>
      <x:c r="H134" t="n">
        <x:f>INDEX(Run_Metrics!$I:$I,D134)</x:f>
        <x:v>7.071833333333333</x:v>
      </x:c>
      <x:c r="I134" t="n">
        <x:f>IF(F134="","",F134-(E134-1))</x:f>
        <x:v>4</x:v>
      </x:c>
      <x:c r="J134" t="n">
        <x:f>IF(I134&gt;0,1,0)</x:f>
        <x:v>1</x:v>
      </x:c>
      <x:c r="K134" t="n">
        <x:f>IF(OR(J134=0,G134="",G134=0),"",I134/G134)</x:f>
        <x:v>1.2269938650306749</x:v>
      </x:c>
      <x:c r="L134" t="n">
        <x:f>IF(OR(J134=0,I134=0,G134=""),"",G134/I134)</x:f>
        <x:v>0.815</x:v>
      </x:c>
      <x:c r="M134" t="n">
        <x:f>IF(OR(J134=0,G134="",H134="",G134=0,H134=0),"",I134/(G134*H134))</x:f>
        <x:v>0.17350435271815537</x:v>
      </x:c>
      <x:c r="N134" t="n">
        <x:f>IF(K134="","",K134/_xlfn.MAXIFS($K:$K,$E:$E,E134))</x:f>
        <x:v>0.23926380368098163</x:v>
      </x:c>
      <x:c r="O134" t="n">
        <x:f>IF(M134="","",M134/_xlfn.MAXIFS($M:$M,$E:$E,E134))</x:f>
        <x:v>0.5692582385288683</x:v>
      </x:c>
      <x:c r="P134" t="n">
        <x:f>IF(OR(N134="",O134=""),"",SQRT(N134*O134))</x:f>
        <x:v>0.3690567590861229</x:v>
      </x:c>
      <x:c r="Q134" t="n">
        <x:f>IF(OR(N134="",O134=""),"",N134^0.7*O134^0.3)</x:f>
        <x:v>0.3103178082530293</x:v>
      </x:c>
      <x:c r="R134" t="n">
        <x:f>IF(OR(N134="",O134=""),"",N134^0.3*O134^0.7)</x:f>
        <x:v>0.4389141963650839</x:v>
      </x:c>
    </x:row>
    <x:row r="135">
      <x:c r="A135" t="inlineStr">
        <x:is>
          <x:t xml:space="preserve">openai|gpt-6-astra|max|reasoning|fallback-na|aa-v4.3.2|snapshot-2026-09-28</x:t>
        </x:is>
      </x:c>
      <x:c r="B135" t="inlineStr">
        <x:is>
          <x:t xml:space="preserve">openai|gpt-6-astra|max|reasoning|fallback-na</x:t>
        </x:is>
      </x:c>
      <x:c r="C135" t="inlineStr">
        <x:is>
          <x:t xml:space="preserve">AA|v4.3.2</x:t>
        </x:is>
      </x:c>
      <x:c r="D135" t="n">
        <x:v>18</x:v>
      </x:c>
      <x:c r="E135" t="n">
        <x:v>52</x:v>
      </x:c>
      <x:c r="F135" t="n">
        <x:f>INDEX(Run_Metrics!$F:$F,D135)</x:f>
        <x:v>53</x:v>
      </x:c>
      <x:c r="G135" t="n">
        <x:f>INDEX(Run_Metrics!$G:$G,D135)</x:f>
        <x:v>3.26</x:v>
      </x:c>
      <x:c r="H135" t="n">
        <x:f>INDEX(Run_Metrics!$I:$I,D135)</x:f>
        <x:v>7.071833333333333</x:v>
      </x:c>
      <x:c r="I135" t="n">
        <x:f>IF(F135="","",F135-(E135-1))</x:f>
        <x:v>2</x:v>
      </x:c>
      <x:c r="J135" t="n">
        <x:f>IF(I135&gt;0,1,0)</x:f>
        <x:v>1</x:v>
      </x:c>
      <x:c r="K135" t="n">
        <x:f>IF(OR(J135=0,G135="",G135=0),"",I135/G135)</x:f>
        <x:v>0.6134969325153374</x:v>
      </x:c>
      <x:c r="L135" t="n">
        <x:f>IF(OR(J135=0,I135=0,G135=""),"",G135/I135)</x:f>
        <x:v>1.63</x:v>
      </x:c>
      <x:c r="M135" t="n">
        <x:f>IF(OR(J135=0,G135="",H135="",G135=0,H135=0),"",I135/(G135*H135))</x:f>
        <x:v>0.08675217635907768</x:v>
      </x:c>
      <x:c r="N135" t="n">
        <x:f>IF(K135="","",K135/_xlfn.MAXIFS($K:$K,$E:$E,E135))</x:f>
        <x:v>0.3721881390593047</x:v>
      </x:c>
      <x:c r="O135" t="n">
        <x:f>IF(M135="","",M135/_xlfn.MAXIFS($M:$M,$E:$E,E135))</x:f>
        <x:v>1</x:v>
      </x:c>
      <x:c r="P135" t="n">
        <x:f>IF(OR(N135="",O135=""),"",SQRT(N135*O135))</x:f>
        <x:v>0.6100722408529212</x:v>
      </x:c>
      <x:c r="Q135" t="n">
        <x:f>IF(OR(N135="",O135=""),"",N135^0.7*O135^0.3)</x:f>
        <x:v>0.5006494809011522</x:v>
      </x:c>
      <x:c r="R135" t="n">
        <x:f>IF(OR(N135="",O135=""),"",N135^0.3*O135^0.7)</x:f>
        <x:v>0.7434106161248357</x:v>
      </x:c>
    </x:row>
    <x:row r="136">
      <x:c r="A136" t="inlineStr">
        <x:is>
          <x:t xml:space="preserve">openai|gpt-6-astra|max|reasoning|fallback-na|aa-v4.3.2|snapshot-2026-09-28</x:t>
        </x:is>
      </x:c>
      <x:c r="B136" t="inlineStr">
        <x:is>
          <x:t xml:space="preserve">openai|gpt-6-astra|max|reasoning|fallback-na</x:t>
        </x:is>
      </x:c>
      <x:c r="C136" t="inlineStr">
        <x:is>
          <x:t xml:space="preserve">AA|v4.3.2</x:t>
        </x:is>
      </x:c>
      <x:c r="D136" t="n">
        <x:v>18</x:v>
      </x:c>
      <x:c r="E136" t="n">
        <x:v>65</x:v>
      </x:c>
      <x:c r="F136" t="n">
        <x:f>INDEX(Run_Metrics!$F:$F,D136)</x:f>
        <x:v>53</x:v>
      </x:c>
      <x:c r="G136" t="n">
        <x:f>INDEX(Run_Metrics!$G:$G,D136)</x:f>
        <x:v>3.26</x:v>
      </x:c>
      <x:c r="H136" t="n">
        <x:f>INDEX(Run_Metrics!$I:$I,D136)</x:f>
        <x:v>7.071833333333333</x:v>
      </x:c>
      <x:c r="I136" t="n">
        <x:f>IF(F136="","",F136-(E136-1))</x:f>
        <x:v>-11</x:v>
      </x:c>
      <x:c r="J136" t="n">
        <x:f>IF(I136&gt;0,1,0)</x:f>
        <x:v>0</x:v>
      </x:c>
      <x:c r="K136" t="str">
        <x:f>IF(OR(J136=0,G136="",G136=0),"",I136/G136)</x:f>
      </x:c>
      <x:c r="L136" t="str">
        <x:f>IF(OR(J136=0,I136=0,G136=""),"",G136/I136)</x:f>
      </x:c>
      <x:c r="M136" t="str">
        <x:f>IF(OR(J136=0,G136="",H136="",G136=0,H136=0),"",I136/(G136*H136))</x:f>
      </x:c>
      <x:c r="N136" t="str">
        <x:f>IF(K136="","",K136/_xlfn.MAXIFS($K:$K,$E:$E,E136))</x:f>
      </x:c>
      <x:c r="O136" t="str">
        <x:f>IF(M136="","",M136/_xlfn.MAXIFS($M:$M,$E:$E,E136))</x:f>
      </x:c>
      <x:c r="P136" t="str">
        <x:f>IF(OR(N136="",O136=""),"",SQRT(N136*O136))</x:f>
      </x:c>
      <x:c r="Q136" t="str">
        <x:f>IF(OR(N136="",O136=""),"",N136^0.7*O136^0.3)</x:f>
      </x:c>
      <x:c r="R136" t="str">
        <x:f>IF(OR(N136="",O136=""),"",N136^0.3*O136^0.7)</x:f>
      </x:c>
    </x:row>
    <x:row r="137">
      <x:c r="A137" t="inlineStr">
        <x:is>
          <x:t xml:space="preserve">openai|gpt-6-astra|max|reasoning|fallback-na|aa-v4.3.2|snapshot-2026-09-28</x:t>
        </x:is>
      </x:c>
      <x:c r="B137" t="inlineStr">
        <x:is>
          <x:t xml:space="preserve">openai|gpt-6-astra|max|reasoning|fallback-na</x:t>
        </x:is>
      </x:c>
      <x:c r="C137" t="inlineStr">
        <x:is>
          <x:t xml:space="preserve">AA|v4.3.2</x:t>
        </x:is>
      </x:c>
      <x:c r="D137" t="n">
        <x:v>18</x:v>
      </x:c>
      <x:c r="E137" t="n">
        <x:v>80</x:v>
      </x:c>
      <x:c r="F137" t="n">
        <x:f>INDEX(Run_Metrics!$F:$F,D137)</x:f>
        <x:v>53</x:v>
      </x:c>
      <x:c r="G137" t="n">
        <x:f>INDEX(Run_Metrics!$G:$G,D137)</x:f>
        <x:v>3.26</x:v>
      </x:c>
      <x:c r="H137" t="n">
        <x:f>INDEX(Run_Metrics!$I:$I,D137)</x:f>
        <x:v>7.071833333333333</x:v>
      </x:c>
      <x:c r="I137" t="n">
        <x:f>IF(F137="","",F137-(E137-1))</x:f>
        <x:v>-26</x:v>
      </x:c>
      <x:c r="J137" t="n">
        <x:f>IF(I137&gt;0,1,0)</x:f>
        <x:v>0</x:v>
      </x:c>
      <x:c r="K137" t="str">
        <x:f>IF(OR(J137=0,G137="",G137=0),"",I137/G137)</x:f>
      </x:c>
      <x:c r="L137" t="str">
        <x:f>IF(OR(J137=0,I137=0,G137=""),"",G137/I137)</x:f>
      </x:c>
      <x:c r="M137" t="str">
        <x:f>IF(OR(J137=0,G137="",H137="",G137=0,H137=0),"",I137/(G137*H137))</x:f>
      </x:c>
      <x:c r="N137" t="str">
        <x:f>IF(K137="","",K137/_xlfn.MAXIFS($K:$K,$E:$E,E137))</x:f>
      </x:c>
      <x:c r="O137" t="str">
        <x:f>IF(M137="","",M137/_xlfn.MAXIFS($M:$M,$E:$E,E137))</x:f>
      </x:c>
      <x:c r="P137" t="str">
        <x:f>IF(OR(N137="",O137=""),"",SQRT(N137*O137))</x:f>
      </x:c>
      <x:c r="Q137" t="str">
        <x:f>IF(OR(N137="",O137=""),"",N137^0.7*O137^0.3)</x:f>
      </x:c>
      <x:c r="R137" t="str">
        <x:f>IF(OR(N137="",O137=""),"",N137^0.3*O137^0.7)</x:f>
      </x:c>
    </x:row>
    <x:row r="138">
      <x:c r="A138" t="inlineStr">
        <x:is>
          <x:t xml:space="preserve">openai|gpt-5.6-luna|non-reasoning|nonreasoning|fallback-na|aa-v4.3.2|snapshot-2026-09-28</x:t>
        </x:is>
      </x:c>
      <x:c r="B138" t="inlineStr">
        <x:is>
          <x:t xml:space="preserve">openai|gpt-5.6-luna|non-reasoning|nonreasoning|fallback-na</x:t>
        </x:is>
      </x:c>
      <x:c r="C138" t="inlineStr">
        <x:is>
          <x:t xml:space="preserve">AA|v4.3.2</x:t>
        </x:is>
      </x:c>
      <x:c r="D138" t="n">
        <x:v>19</x:v>
      </x:c>
      <x:c r="E138" t="n">
        <x:v>20</x:v>
      </x:c>
      <x:c r="F138" t="n">
        <x:f>INDEX(Run_Metrics!$F:$F,D138)</x:f>
        <x:v>16</x:v>
      </x:c>
      <x:c r="G138" t="n">
        <x:f>INDEX(Run_Metrics!$G:$G,D138)</x:f>
        <x:v>0.01</x:v>
      </x:c>
      <x:c r="H138" t="str">
        <x:f>INDEX(Run_Metrics!$I:$I,D138)</x:f>
      </x:c>
      <x:c r="I138" t="n">
        <x:f>IF(F138="","",F138-(E138-1))</x:f>
        <x:v>-3</x:v>
      </x:c>
      <x:c r="J138" t="n">
        <x:f>IF(I138&gt;0,1,0)</x:f>
        <x:v>0</x:v>
      </x:c>
      <x:c r="K138" t="str">
        <x:f>IF(OR(J138=0,G138="",G138=0),"",I138/G138)</x:f>
      </x:c>
      <x:c r="L138" t="str">
        <x:f>IF(OR(J138=0,I138=0,G138=""),"",G138/I138)</x:f>
      </x:c>
      <x:c r="M138" t="str">
        <x:f>IF(OR(J138=0,G138="",H138="",G138=0,H138=0),"",I138/(G138*H138))</x:f>
      </x:c>
      <x:c r="N138" t="str">
        <x:f>IF(K138="","",K138/_xlfn.MAXIFS($K:$K,$E:$E,E138))</x:f>
      </x:c>
      <x:c r="O138" t="str">
        <x:f>IF(M138="","",M138/_xlfn.MAXIFS($M:$M,$E:$E,E138))</x:f>
      </x:c>
      <x:c r="P138" t="str">
        <x:f>IF(OR(N138="",O138=""),"",SQRT(N138*O138))</x:f>
      </x:c>
      <x:c r="Q138" t="str">
        <x:f>IF(OR(N138="",O138=""),"",N138^0.7*O138^0.3)</x:f>
      </x:c>
      <x:c r="R138" t="str">
        <x:f>IF(OR(N138="",O138=""),"",N138^0.3*O138^0.7)</x:f>
      </x:c>
    </x:row>
    <x:row r="139">
      <x:c r="A139" t="inlineStr">
        <x:is>
          <x:t xml:space="preserve">openai|gpt-5.6-luna|non-reasoning|nonreasoning|fallback-na|aa-v4.3.2|snapshot-2026-09-28</x:t>
        </x:is>
      </x:c>
      <x:c r="B139" t="inlineStr">
        <x:is>
          <x:t xml:space="preserve">openai|gpt-5.6-luna|non-reasoning|nonreasoning|fallback-na</x:t>
        </x:is>
      </x:c>
      <x:c r="C139" t="inlineStr">
        <x:is>
          <x:t xml:space="preserve">AA|v4.3.2</x:t>
        </x:is>
      </x:c>
      <x:c r="D139" t="n">
        <x:v>19</x:v>
      </x:c>
      <x:c r="E139" t="n">
        <x:v>30</x:v>
      </x:c>
      <x:c r="F139" t="n">
        <x:f>INDEX(Run_Metrics!$F:$F,D139)</x:f>
        <x:v>16</x:v>
      </x:c>
      <x:c r="G139" t="n">
        <x:f>INDEX(Run_Metrics!$G:$G,D139)</x:f>
        <x:v>0.01</x:v>
      </x:c>
      <x:c r="H139" t="str">
        <x:f>INDEX(Run_Metrics!$I:$I,D139)</x:f>
      </x:c>
      <x:c r="I139" t="n">
        <x:f>IF(F139="","",F139-(E139-1))</x:f>
        <x:v>-13</x:v>
      </x:c>
      <x:c r="J139" t="n">
        <x:f>IF(I139&gt;0,1,0)</x:f>
        <x:v>0</x:v>
      </x:c>
      <x:c r="K139" t="str">
        <x:f>IF(OR(J139=0,G139="",G139=0),"",I139/G139)</x:f>
      </x:c>
      <x:c r="L139" t="str">
        <x:f>IF(OR(J139=0,I139=0,G139=""),"",G139/I139)</x:f>
      </x:c>
      <x:c r="M139" t="str">
        <x:f>IF(OR(J139=0,G139="",H139="",G139=0,H139=0),"",I139/(G139*H139))</x:f>
      </x:c>
      <x:c r="N139" t="str">
        <x:f>IF(K139="","",K139/_xlfn.MAXIFS($K:$K,$E:$E,E139))</x:f>
      </x:c>
      <x:c r="O139" t="str">
        <x:f>IF(M139="","",M139/_xlfn.MAXIFS($M:$M,$E:$E,E139))</x:f>
      </x:c>
      <x:c r="P139" t="str">
        <x:f>IF(OR(N139="",O139=""),"",SQRT(N139*O139))</x:f>
      </x:c>
      <x:c r="Q139" t="str">
        <x:f>IF(OR(N139="",O139=""),"",N139^0.7*O139^0.3)</x:f>
      </x:c>
      <x:c r="R139" t="str">
        <x:f>IF(OR(N139="",O139=""),"",N139^0.3*O139^0.7)</x:f>
      </x:c>
    </x:row>
    <x:row r="140">
      <x:c r="A140" t="inlineStr">
        <x:is>
          <x:t xml:space="preserve">openai|gpt-5.6-luna|non-reasoning|nonreasoning|fallback-na|aa-v4.3.2|snapshot-2026-09-28</x:t>
        </x:is>
      </x:c>
      <x:c r="B140" t="inlineStr">
        <x:is>
          <x:t xml:space="preserve">openai|gpt-5.6-luna|non-reasoning|nonreasoning|fallback-na</x:t>
        </x:is>
      </x:c>
      <x:c r="C140" t="inlineStr">
        <x:is>
          <x:t xml:space="preserve">AA|v4.3.2</x:t>
        </x:is>
      </x:c>
      <x:c r="D140" t="n">
        <x:v>19</x:v>
      </x:c>
      <x:c r="E140" t="n">
        <x:v>40</x:v>
      </x:c>
      <x:c r="F140" t="n">
        <x:f>INDEX(Run_Metrics!$F:$F,D140)</x:f>
        <x:v>16</x:v>
      </x:c>
      <x:c r="G140" t="n">
        <x:f>INDEX(Run_Metrics!$G:$G,D140)</x:f>
        <x:v>0.01</x:v>
      </x:c>
      <x:c r="H140" t="str">
        <x:f>INDEX(Run_Metrics!$I:$I,D140)</x:f>
      </x:c>
      <x:c r="I140" t="n">
        <x:f>IF(F140="","",F140-(E140-1))</x:f>
        <x:v>-23</x:v>
      </x:c>
      <x:c r="J140" t="n">
        <x:f>IF(I140&gt;0,1,0)</x:f>
        <x:v>0</x:v>
      </x:c>
      <x:c r="K140" t="str">
        <x:f>IF(OR(J140=0,G140="",G140=0),"",I140/G140)</x:f>
      </x:c>
      <x:c r="L140" t="str">
        <x:f>IF(OR(J140=0,I140=0,G140=""),"",G140/I140)</x:f>
      </x:c>
      <x:c r="M140" t="str">
        <x:f>IF(OR(J140=0,G140="",H140="",G140=0,H140=0),"",I140/(G140*H140))</x:f>
      </x:c>
      <x:c r="N140" t="str">
        <x:f>IF(K140="","",K140/_xlfn.MAXIFS($K:$K,$E:$E,E140))</x:f>
      </x:c>
      <x:c r="O140" t="str">
        <x:f>IF(M140="","",M140/_xlfn.MAXIFS($M:$M,$E:$E,E140))</x:f>
      </x:c>
      <x:c r="P140" t="str">
        <x:f>IF(OR(N140="",O140=""),"",SQRT(N140*O140))</x:f>
      </x:c>
      <x:c r="Q140" t="str">
        <x:f>IF(OR(N140="",O140=""),"",N140^0.7*O140^0.3)</x:f>
      </x:c>
      <x:c r="R140" t="str">
        <x:f>IF(OR(N140="",O140=""),"",N140^0.3*O140^0.7)</x:f>
      </x:c>
    </x:row>
    <x:row r="141">
      <x:c r="A141" t="inlineStr">
        <x:is>
          <x:t xml:space="preserve">openai|gpt-5.6-luna|non-reasoning|nonreasoning|fallback-na|aa-v4.3.2|snapshot-2026-09-28</x:t>
        </x:is>
      </x:c>
      <x:c r="B141" t="inlineStr">
        <x:is>
          <x:t xml:space="preserve">openai|gpt-5.6-luna|non-reasoning|nonreasoning|fallback-na</x:t>
        </x:is>
      </x:c>
      <x:c r="C141" t="inlineStr">
        <x:is>
          <x:t xml:space="preserve">AA|v4.3.2</x:t>
        </x:is>
      </x:c>
      <x:c r="D141" t="n">
        <x:v>19</x:v>
      </x:c>
      <x:c r="E141" t="n">
        <x:v>45</x:v>
      </x:c>
      <x:c r="F141" t="n">
        <x:f>INDEX(Run_Metrics!$F:$F,D141)</x:f>
        <x:v>16</x:v>
      </x:c>
      <x:c r="G141" t="n">
        <x:f>INDEX(Run_Metrics!$G:$G,D141)</x:f>
        <x:v>0.01</x:v>
      </x:c>
      <x:c r="H141" t="str">
        <x:f>INDEX(Run_Metrics!$I:$I,D141)</x:f>
      </x:c>
      <x:c r="I141" t="n">
        <x:f>IF(F141="","",F141-(E141-1))</x:f>
        <x:v>-28</x:v>
      </x:c>
      <x:c r="J141" t="n">
        <x:f>IF(I141&gt;0,1,0)</x:f>
        <x:v>0</x:v>
      </x:c>
      <x:c r="K141" t="str">
        <x:f>IF(OR(J141=0,G141="",G141=0),"",I141/G141)</x:f>
      </x:c>
      <x:c r="L141" t="str">
        <x:f>IF(OR(J141=0,I141=0,G141=""),"",G141/I141)</x:f>
      </x:c>
      <x:c r="M141" t="str">
        <x:f>IF(OR(J141=0,G141="",H141="",G141=0,H141=0),"",I141/(G141*H141))</x:f>
      </x:c>
      <x:c r="N141" t="str">
        <x:f>IF(K141="","",K141/_xlfn.MAXIFS($K:$K,$E:$E,E141))</x:f>
      </x:c>
      <x:c r="O141" t="str">
        <x:f>IF(M141="","",M141/_xlfn.MAXIFS($M:$M,$E:$E,E141))</x:f>
      </x:c>
      <x:c r="P141" t="str">
        <x:f>IF(OR(N141="",O141=""),"",SQRT(N141*O141))</x:f>
      </x:c>
      <x:c r="Q141" t="str">
        <x:f>IF(OR(N141="",O141=""),"",N141^0.7*O141^0.3)</x:f>
      </x:c>
      <x:c r="R141" t="str">
        <x:f>IF(OR(N141="",O141=""),"",N141^0.3*O141^0.7)</x:f>
      </x:c>
    </x:row>
    <x:row r="142">
      <x:c r="A142" t="inlineStr">
        <x:is>
          <x:t xml:space="preserve">openai|gpt-5.6-luna|non-reasoning|nonreasoning|fallback-na|aa-v4.3.2|snapshot-2026-09-28</x:t>
        </x:is>
      </x:c>
      <x:c r="B142" t="inlineStr">
        <x:is>
          <x:t xml:space="preserve">openai|gpt-5.6-luna|non-reasoning|nonreasoning|fallback-na</x:t>
        </x:is>
      </x:c>
      <x:c r="C142" t="inlineStr">
        <x:is>
          <x:t xml:space="preserve">AA|v4.3.2</x:t>
        </x:is>
      </x:c>
      <x:c r="D142" t="n">
        <x:v>19</x:v>
      </x:c>
      <x:c r="E142" t="n">
        <x:v>50</x:v>
      </x:c>
      <x:c r="F142" t="n">
        <x:f>INDEX(Run_Metrics!$F:$F,D142)</x:f>
        <x:v>16</x:v>
      </x:c>
      <x:c r="G142" t="n">
        <x:f>INDEX(Run_Metrics!$G:$G,D142)</x:f>
        <x:v>0.01</x:v>
      </x:c>
      <x:c r="H142" t="str">
        <x:f>INDEX(Run_Metrics!$I:$I,D142)</x:f>
      </x:c>
      <x:c r="I142" t="n">
        <x:f>IF(F142="","",F142-(E142-1))</x:f>
        <x:v>-33</x:v>
      </x:c>
      <x:c r="J142" t="n">
        <x:f>IF(I142&gt;0,1,0)</x:f>
        <x:v>0</x:v>
      </x:c>
      <x:c r="K142" t="str">
        <x:f>IF(OR(J142=0,G142="",G142=0),"",I142/G142)</x:f>
      </x:c>
      <x:c r="L142" t="str">
        <x:f>IF(OR(J142=0,I142=0,G142=""),"",G142/I142)</x:f>
      </x:c>
      <x:c r="M142" t="str">
        <x:f>IF(OR(J142=0,G142="",H142="",G142=0,H142=0),"",I142/(G142*H142))</x:f>
      </x:c>
      <x:c r="N142" t="str">
        <x:f>IF(K142="","",K142/_xlfn.MAXIFS($K:$K,$E:$E,E142))</x:f>
      </x:c>
      <x:c r="O142" t="str">
        <x:f>IF(M142="","",M142/_xlfn.MAXIFS($M:$M,$E:$E,E142))</x:f>
      </x:c>
      <x:c r="P142" t="str">
        <x:f>IF(OR(N142="",O142=""),"",SQRT(N142*O142))</x:f>
      </x:c>
      <x:c r="Q142" t="str">
        <x:f>IF(OR(N142="",O142=""),"",N142^0.7*O142^0.3)</x:f>
      </x:c>
      <x:c r="R142" t="str">
        <x:f>IF(OR(N142="",O142=""),"",N142^0.3*O142^0.7)</x:f>
      </x:c>
    </x:row>
    <x:row r="143">
      <x:c r="A143" t="inlineStr">
        <x:is>
          <x:t xml:space="preserve">openai|gpt-5.6-luna|non-reasoning|nonreasoning|fallback-na|aa-v4.3.2|snapshot-2026-09-28</x:t>
        </x:is>
      </x:c>
      <x:c r="B143" t="inlineStr">
        <x:is>
          <x:t xml:space="preserve">openai|gpt-5.6-luna|non-reasoning|nonreasoning|fallback-na</x:t>
        </x:is>
      </x:c>
      <x:c r="C143" t="inlineStr">
        <x:is>
          <x:t xml:space="preserve">AA|v4.3.2</x:t>
        </x:is>
      </x:c>
      <x:c r="D143" t="n">
        <x:v>19</x:v>
      </x:c>
      <x:c r="E143" t="n">
        <x:v>52</x:v>
      </x:c>
      <x:c r="F143" t="n">
        <x:f>INDEX(Run_Metrics!$F:$F,D143)</x:f>
        <x:v>16</x:v>
      </x:c>
      <x:c r="G143" t="n">
        <x:f>INDEX(Run_Metrics!$G:$G,D143)</x:f>
        <x:v>0.01</x:v>
      </x:c>
      <x:c r="H143" t="str">
        <x:f>INDEX(Run_Metrics!$I:$I,D143)</x:f>
      </x:c>
      <x:c r="I143" t="n">
        <x:f>IF(F143="","",F143-(E143-1))</x:f>
        <x:v>-35</x:v>
      </x:c>
      <x:c r="J143" t="n">
        <x:f>IF(I143&gt;0,1,0)</x:f>
        <x:v>0</x:v>
      </x:c>
      <x:c r="K143" t="str">
        <x:f>IF(OR(J143=0,G143="",G143=0),"",I143/G143)</x:f>
      </x:c>
      <x:c r="L143" t="str">
        <x:f>IF(OR(J143=0,I143=0,G143=""),"",G143/I143)</x:f>
      </x:c>
      <x:c r="M143" t="str">
        <x:f>IF(OR(J143=0,G143="",H143="",G143=0,H143=0),"",I143/(G143*H143))</x:f>
      </x:c>
      <x:c r="N143" t="str">
        <x:f>IF(K143="","",K143/_xlfn.MAXIFS($K:$K,$E:$E,E143))</x:f>
      </x:c>
      <x:c r="O143" t="str">
        <x:f>IF(M143="","",M143/_xlfn.MAXIFS($M:$M,$E:$E,E143))</x:f>
      </x:c>
      <x:c r="P143" t="str">
        <x:f>IF(OR(N143="",O143=""),"",SQRT(N143*O143))</x:f>
      </x:c>
      <x:c r="Q143" t="str">
        <x:f>IF(OR(N143="",O143=""),"",N143^0.7*O143^0.3)</x:f>
      </x:c>
      <x:c r="R143" t="str">
        <x:f>IF(OR(N143="",O143=""),"",N143^0.3*O143^0.7)</x:f>
      </x:c>
    </x:row>
    <x:row r="144">
      <x:c r="A144" t="inlineStr">
        <x:is>
          <x:t xml:space="preserve">openai|gpt-5.6-luna|non-reasoning|nonreasoning|fallback-na|aa-v4.3.2|snapshot-2026-09-28</x:t>
        </x:is>
      </x:c>
      <x:c r="B144" t="inlineStr">
        <x:is>
          <x:t xml:space="preserve">openai|gpt-5.6-luna|non-reasoning|nonreasoning|fallback-na</x:t>
        </x:is>
      </x:c>
      <x:c r="C144" t="inlineStr">
        <x:is>
          <x:t xml:space="preserve">AA|v4.3.2</x:t>
        </x:is>
      </x:c>
      <x:c r="D144" t="n">
        <x:v>19</x:v>
      </x:c>
      <x:c r="E144" t="n">
        <x:v>65</x:v>
      </x:c>
      <x:c r="F144" t="n">
        <x:f>INDEX(Run_Metrics!$F:$F,D144)</x:f>
        <x:v>16</x:v>
      </x:c>
      <x:c r="G144" t="n">
        <x:f>INDEX(Run_Metrics!$G:$G,D144)</x:f>
        <x:v>0.01</x:v>
      </x:c>
      <x:c r="H144" t="str">
        <x:f>INDEX(Run_Metrics!$I:$I,D144)</x:f>
      </x:c>
      <x:c r="I144" t="n">
        <x:f>IF(F144="","",F144-(E144-1))</x:f>
        <x:v>-48</x:v>
      </x:c>
      <x:c r="J144" t="n">
        <x:f>IF(I144&gt;0,1,0)</x:f>
        <x:v>0</x:v>
      </x:c>
      <x:c r="K144" t="str">
        <x:f>IF(OR(J144=0,G144="",G144=0),"",I144/G144)</x:f>
      </x:c>
      <x:c r="L144" t="str">
        <x:f>IF(OR(J144=0,I144=0,G144=""),"",G144/I144)</x:f>
      </x:c>
      <x:c r="M144" t="str">
        <x:f>IF(OR(J144=0,G144="",H144="",G144=0,H144=0),"",I144/(G144*H144))</x:f>
      </x:c>
      <x:c r="N144" t="str">
        <x:f>IF(K144="","",K144/_xlfn.MAXIFS($K:$K,$E:$E,E144))</x:f>
      </x:c>
      <x:c r="O144" t="str">
        <x:f>IF(M144="","",M144/_xlfn.MAXIFS($M:$M,$E:$E,E144))</x:f>
      </x:c>
      <x:c r="P144" t="str">
        <x:f>IF(OR(N144="",O144=""),"",SQRT(N144*O144))</x:f>
      </x:c>
      <x:c r="Q144" t="str">
        <x:f>IF(OR(N144="",O144=""),"",N144^0.7*O144^0.3)</x:f>
      </x:c>
      <x:c r="R144" t="str">
        <x:f>IF(OR(N144="",O144=""),"",N144^0.3*O144^0.7)</x:f>
      </x:c>
    </x:row>
    <x:row r="145">
      <x:c r="A145" t="inlineStr">
        <x:is>
          <x:t xml:space="preserve">openai|gpt-5.6-luna|non-reasoning|nonreasoning|fallback-na|aa-v4.3.2|snapshot-2026-09-28</x:t>
        </x:is>
      </x:c>
      <x:c r="B145" t="inlineStr">
        <x:is>
          <x:t xml:space="preserve">openai|gpt-5.6-luna|non-reasoning|nonreasoning|fallback-na</x:t>
        </x:is>
      </x:c>
      <x:c r="C145" t="inlineStr">
        <x:is>
          <x:t xml:space="preserve">AA|v4.3.2</x:t>
        </x:is>
      </x:c>
      <x:c r="D145" t="n">
        <x:v>19</x:v>
      </x:c>
      <x:c r="E145" t="n">
        <x:v>80</x:v>
      </x:c>
      <x:c r="F145" t="n">
        <x:f>INDEX(Run_Metrics!$F:$F,D145)</x:f>
        <x:v>16</x:v>
      </x:c>
      <x:c r="G145" t="n">
        <x:f>INDEX(Run_Metrics!$G:$G,D145)</x:f>
        <x:v>0.01</x:v>
      </x:c>
      <x:c r="H145" t="str">
        <x:f>INDEX(Run_Metrics!$I:$I,D145)</x:f>
      </x:c>
      <x:c r="I145" t="n">
        <x:f>IF(F145="","",F145-(E145-1))</x:f>
        <x:v>-63</x:v>
      </x:c>
      <x:c r="J145" t="n">
        <x:f>IF(I145&gt;0,1,0)</x:f>
        <x:v>0</x:v>
      </x:c>
      <x:c r="K145" t="str">
        <x:f>IF(OR(J145=0,G145="",G145=0),"",I145/G145)</x:f>
      </x:c>
      <x:c r="L145" t="str">
        <x:f>IF(OR(J145=0,I145=0,G145=""),"",G145/I145)</x:f>
      </x:c>
      <x:c r="M145" t="str">
        <x:f>IF(OR(J145=0,G145="",H145="",G145=0,H145=0),"",I145/(G145*H145))</x:f>
      </x:c>
      <x:c r="N145" t="str">
        <x:f>IF(K145="","",K145/_xlfn.MAXIFS($K:$K,$E:$E,E145))</x:f>
      </x:c>
      <x:c r="O145" t="str">
        <x:f>IF(M145="","",M145/_xlfn.MAXIFS($M:$M,$E:$E,E145))</x:f>
      </x:c>
      <x:c r="P145" t="str">
        <x:f>IF(OR(N145="",O145=""),"",SQRT(N145*O145))</x:f>
      </x:c>
      <x:c r="Q145" t="str">
        <x:f>IF(OR(N145="",O145=""),"",N145^0.7*O145^0.3)</x:f>
      </x:c>
      <x:c r="R145" t="str">
        <x:f>IF(OR(N145="",O145=""),"",N145^0.3*O145^0.7)</x:f>
      </x:c>
    </x:row>
    <x:row r="146">
      <x:c r="A146" t="inlineStr">
        <x:is>
          <x:t xml:space="preserve">openai|gpt-5.6-luna|low|reasoning|fallback-na|aa-v4.3.2|snapshot-2026-09-28</x:t>
        </x:is>
      </x:c>
      <x:c r="B146" t="inlineStr">
        <x:is>
          <x:t xml:space="preserve">openai|gpt-5.6-luna|low|reasoning|fallback-na</x:t>
        </x:is>
      </x:c>
      <x:c r="C146" t="inlineStr">
        <x:is>
          <x:t xml:space="preserve">AA|v4.3.2</x:t>
        </x:is>
      </x:c>
      <x:c r="D146" t="n">
        <x:v>20</x:v>
      </x:c>
      <x:c r="E146" t="n">
        <x:v>20</x:v>
      </x:c>
      <x:c r="F146" t="n">
        <x:f>INDEX(Run_Metrics!$F:$F,D146)</x:f>
        <x:v>21</x:v>
      </x:c>
      <x:c r="G146" t="n">
        <x:f>INDEX(Run_Metrics!$G:$G,D146)</x:f>
        <x:v>0.01</x:v>
      </x:c>
      <x:c r="H146" t="str">
        <x:f>INDEX(Run_Metrics!$I:$I,D146)</x:f>
      </x:c>
      <x:c r="I146" t="n">
        <x:f>IF(F146="","",F146-(E146-1))</x:f>
        <x:v>2</x:v>
      </x:c>
      <x:c r="J146" t="n">
        <x:f>IF(I146&gt;0,1,0)</x:f>
        <x:v>1</x:v>
      </x:c>
      <x:c r="K146" t="n">
        <x:f>IF(OR(J146=0,G146="",G146=0),"",I146/G146)</x:f>
        <x:v>200</x:v>
      </x:c>
      <x:c r="L146" t="n">
        <x:f>IF(OR(J146=0,I146=0,G146=""),"",G146/I146)</x:f>
        <x:v>0.005</x:v>
      </x:c>
      <x:c r="M146" t="str">
        <x:f>IF(OR(J146=0,G146="",H146="",G146=0,H146=0),"",I146/(G146*H146))</x:f>
      </x:c>
      <x:c r="N146" t="n">
        <x:f>IF(K146="","",K146/_xlfn.MAXIFS($K:$K,$E:$E,E146))</x:f>
        <x:v>0.3</x:v>
      </x:c>
      <x:c r="O146" t="str">
        <x:f>IF(M146="","",M146/_xlfn.MAXIFS($M:$M,$E:$E,E146))</x:f>
      </x:c>
      <x:c r="P146" t="str">
        <x:f>IF(OR(N146="",O146=""),"",SQRT(N146*O146))</x:f>
      </x:c>
      <x:c r="Q146" t="str">
        <x:f>IF(OR(N146="",O146=""),"",N146^0.7*O146^0.3)</x:f>
      </x:c>
      <x:c r="R146" t="str">
        <x:f>IF(OR(N146="",O146=""),"",N146^0.3*O146^0.7)</x:f>
      </x:c>
    </x:row>
    <x:row r="147">
      <x:c r="A147" t="inlineStr">
        <x:is>
          <x:t xml:space="preserve">openai|gpt-5.6-luna|low|reasoning|fallback-na|aa-v4.3.2|snapshot-2026-09-28</x:t>
        </x:is>
      </x:c>
      <x:c r="B147" t="inlineStr">
        <x:is>
          <x:t xml:space="preserve">openai|gpt-5.6-luna|low|reasoning|fallback-na</x:t>
        </x:is>
      </x:c>
      <x:c r="C147" t="inlineStr">
        <x:is>
          <x:t xml:space="preserve">AA|v4.3.2</x:t>
        </x:is>
      </x:c>
      <x:c r="D147" t="n">
        <x:v>20</x:v>
      </x:c>
      <x:c r="E147" t="n">
        <x:v>30</x:v>
      </x:c>
      <x:c r="F147" t="n">
        <x:f>INDEX(Run_Metrics!$F:$F,D147)</x:f>
        <x:v>21</x:v>
      </x:c>
      <x:c r="G147" t="n">
        <x:f>INDEX(Run_Metrics!$G:$G,D147)</x:f>
        <x:v>0.01</x:v>
      </x:c>
      <x:c r="H147" t="str">
        <x:f>INDEX(Run_Metrics!$I:$I,D147)</x:f>
      </x:c>
      <x:c r="I147" t="n">
        <x:f>IF(F147="","",F147-(E147-1))</x:f>
        <x:v>-8</x:v>
      </x:c>
      <x:c r="J147" t="n">
        <x:f>IF(I147&gt;0,1,0)</x:f>
        <x:v>0</x:v>
      </x:c>
      <x:c r="K147" t="str">
        <x:f>IF(OR(J147=0,G147="",G147=0),"",I147/G147)</x:f>
      </x:c>
      <x:c r="L147" t="str">
        <x:f>IF(OR(J147=0,I147=0,G147=""),"",G147/I147)</x:f>
      </x:c>
      <x:c r="M147" t="str">
        <x:f>IF(OR(J147=0,G147="",H147="",G147=0,H147=0),"",I147/(G147*H147))</x:f>
      </x:c>
      <x:c r="N147" t="str">
        <x:f>IF(K147="","",K147/_xlfn.MAXIFS($K:$K,$E:$E,E147))</x:f>
      </x:c>
      <x:c r="O147" t="str">
        <x:f>IF(M147="","",M147/_xlfn.MAXIFS($M:$M,$E:$E,E147))</x:f>
      </x:c>
      <x:c r="P147" t="str">
        <x:f>IF(OR(N147="",O147=""),"",SQRT(N147*O147))</x:f>
      </x:c>
      <x:c r="Q147" t="str">
        <x:f>IF(OR(N147="",O147=""),"",N147^0.7*O147^0.3)</x:f>
      </x:c>
      <x:c r="R147" t="str">
        <x:f>IF(OR(N147="",O147=""),"",N147^0.3*O147^0.7)</x:f>
      </x:c>
    </x:row>
    <x:row r="148">
      <x:c r="A148" t="inlineStr">
        <x:is>
          <x:t xml:space="preserve">openai|gpt-5.6-luna|low|reasoning|fallback-na|aa-v4.3.2|snapshot-2026-09-28</x:t>
        </x:is>
      </x:c>
      <x:c r="B148" t="inlineStr">
        <x:is>
          <x:t xml:space="preserve">openai|gpt-5.6-luna|low|reasoning|fallback-na</x:t>
        </x:is>
      </x:c>
      <x:c r="C148" t="inlineStr">
        <x:is>
          <x:t xml:space="preserve">AA|v4.3.2</x:t>
        </x:is>
      </x:c>
      <x:c r="D148" t="n">
        <x:v>20</x:v>
      </x:c>
      <x:c r="E148" t="n">
        <x:v>40</x:v>
      </x:c>
      <x:c r="F148" t="n">
        <x:f>INDEX(Run_Metrics!$F:$F,D148)</x:f>
        <x:v>21</x:v>
      </x:c>
      <x:c r="G148" t="n">
        <x:f>INDEX(Run_Metrics!$G:$G,D148)</x:f>
        <x:v>0.01</x:v>
      </x:c>
      <x:c r="H148" t="str">
        <x:f>INDEX(Run_Metrics!$I:$I,D148)</x:f>
      </x:c>
      <x:c r="I148" t="n">
        <x:f>IF(F148="","",F148-(E148-1))</x:f>
        <x:v>-18</x:v>
      </x:c>
      <x:c r="J148" t="n">
        <x:f>IF(I148&gt;0,1,0)</x:f>
        <x:v>0</x:v>
      </x:c>
      <x:c r="K148" t="str">
        <x:f>IF(OR(J148=0,G148="",G148=0),"",I148/G148)</x:f>
      </x:c>
      <x:c r="L148" t="str">
        <x:f>IF(OR(J148=0,I148=0,G148=""),"",G148/I148)</x:f>
      </x:c>
      <x:c r="M148" t="str">
        <x:f>IF(OR(J148=0,G148="",H148="",G148=0,H148=0),"",I148/(G148*H148))</x:f>
      </x:c>
      <x:c r="N148" t="str">
        <x:f>IF(K148="","",K148/_xlfn.MAXIFS($K:$K,$E:$E,E148))</x:f>
      </x:c>
      <x:c r="O148" t="str">
        <x:f>IF(M148="","",M148/_xlfn.MAXIFS($M:$M,$E:$E,E148))</x:f>
      </x:c>
      <x:c r="P148" t="str">
        <x:f>IF(OR(N148="",O148=""),"",SQRT(N148*O148))</x:f>
      </x:c>
      <x:c r="Q148" t="str">
        <x:f>IF(OR(N148="",O148=""),"",N148^0.7*O148^0.3)</x:f>
      </x:c>
      <x:c r="R148" t="str">
        <x:f>IF(OR(N148="",O148=""),"",N148^0.3*O148^0.7)</x:f>
      </x:c>
    </x:row>
    <x:row r="149">
      <x:c r="A149" t="inlineStr">
        <x:is>
          <x:t xml:space="preserve">openai|gpt-5.6-luna|low|reasoning|fallback-na|aa-v4.3.2|snapshot-2026-09-28</x:t>
        </x:is>
      </x:c>
      <x:c r="B149" t="inlineStr">
        <x:is>
          <x:t xml:space="preserve">openai|gpt-5.6-luna|low|reasoning|fallback-na</x:t>
        </x:is>
      </x:c>
      <x:c r="C149" t="inlineStr">
        <x:is>
          <x:t xml:space="preserve">AA|v4.3.2</x:t>
        </x:is>
      </x:c>
      <x:c r="D149" t="n">
        <x:v>20</x:v>
      </x:c>
      <x:c r="E149" t="n">
        <x:v>45</x:v>
      </x:c>
      <x:c r="F149" t="n">
        <x:f>INDEX(Run_Metrics!$F:$F,D149)</x:f>
        <x:v>21</x:v>
      </x:c>
      <x:c r="G149" t="n">
        <x:f>INDEX(Run_Metrics!$G:$G,D149)</x:f>
        <x:v>0.01</x:v>
      </x:c>
      <x:c r="H149" t="str">
        <x:f>INDEX(Run_Metrics!$I:$I,D149)</x:f>
      </x:c>
      <x:c r="I149" t="n">
        <x:f>IF(F149="","",F149-(E149-1))</x:f>
        <x:v>-23</x:v>
      </x:c>
      <x:c r="J149" t="n">
        <x:f>IF(I149&gt;0,1,0)</x:f>
        <x:v>0</x:v>
      </x:c>
      <x:c r="K149" t="str">
        <x:f>IF(OR(J149=0,G149="",G149=0),"",I149/G149)</x:f>
      </x:c>
      <x:c r="L149" t="str">
        <x:f>IF(OR(J149=0,I149=0,G149=""),"",G149/I149)</x:f>
      </x:c>
      <x:c r="M149" t="str">
        <x:f>IF(OR(J149=0,G149="",H149="",G149=0,H149=0),"",I149/(G149*H149))</x:f>
      </x:c>
      <x:c r="N149" t="str">
        <x:f>IF(K149="","",K149/_xlfn.MAXIFS($K:$K,$E:$E,E149))</x:f>
      </x:c>
      <x:c r="O149" t="str">
        <x:f>IF(M149="","",M149/_xlfn.MAXIFS($M:$M,$E:$E,E149))</x:f>
      </x:c>
      <x:c r="P149" t="str">
        <x:f>IF(OR(N149="",O149=""),"",SQRT(N149*O149))</x:f>
      </x:c>
      <x:c r="Q149" t="str">
        <x:f>IF(OR(N149="",O149=""),"",N149^0.7*O149^0.3)</x:f>
      </x:c>
      <x:c r="R149" t="str">
        <x:f>IF(OR(N149="",O149=""),"",N149^0.3*O149^0.7)</x:f>
      </x:c>
    </x:row>
    <x:row r="150">
      <x:c r="A150" t="inlineStr">
        <x:is>
          <x:t xml:space="preserve">openai|gpt-5.6-luna|low|reasoning|fallback-na|aa-v4.3.2|snapshot-2026-09-28</x:t>
        </x:is>
      </x:c>
      <x:c r="B150" t="inlineStr">
        <x:is>
          <x:t xml:space="preserve">openai|gpt-5.6-luna|low|reasoning|fallback-na</x:t>
        </x:is>
      </x:c>
      <x:c r="C150" t="inlineStr">
        <x:is>
          <x:t xml:space="preserve">AA|v4.3.2</x:t>
        </x:is>
      </x:c>
      <x:c r="D150" t="n">
        <x:v>20</x:v>
      </x:c>
      <x:c r="E150" t="n">
        <x:v>50</x:v>
      </x:c>
      <x:c r="F150" t="n">
        <x:f>INDEX(Run_Metrics!$F:$F,D150)</x:f>
        <x:v>21</x:v>
      </x:c>
      <x:c r="G150" t="n">
        <x:f>INDEX(Run_Metrics!$G:$G,D150)</x:f>
        <x:v>0.01</x:v>
      </x:c>
      <x:c r="H150" t="str">
        <x:f>INDEX(Run_Metrics!$I:$I,D150)</x:f>
      </x:c>
      <x:c r="I150" t="n">
        <x:f>IF(F150="","",F150-(E150-1))</x:f>
        <x:v>-28</x:v>
      </x:c>
      <x:c r="J150" t="n">
        <x:f>IF(I150&gt;0,1,0)</x:f>
        <x:v>0</x:v>
      </x:c>
      <x:c r="K150" t="str">
        <x:f>IF(OR(J150=0,G150="",G150=0),"",I150/G150)</x:f>
      </x:c>
      <x:c r="L150" t="str">
        <x:f>IF(OR(J150=0,I150=0,G150=""),"",G150/I150)</x:f>
      </x:c>
      <x:c r="M150" t="str">
        <x:f>IF(OR(J150=0,G150="",H150="",G150=0,H150=0),"",I150/(G150*H150))</x:f>
      </x:c>
      <x:c r="N150" t="str">
        <x:f>IF(K150="","",K150/_xlfn.MAXIFS($K:$K,$E:$E,E150))</x:f>
      </x:c>
      <x:c r="O150" t="str">
        <x:f>IF(M150="","",M150/_xlfn.MAXIFS($M:$M,$E:$E,E150))</x:f>
      </x:c>
      <x:c r="P150" t="str">
        <x:f>IF(OR(N150="",O150=""),"",SQRT(N150*O150))</x:f>
      </x:c>
      <x:c r="Q150" t="str">
        <x:f>IF(OR(N150="",O150=""),"",N150^0.7*O150^0.3)</x:f>
      </x:c>
      <x:c r="R150" t="str">
        <x:f>IF(OR(N150="",O150=""),"",N150^0.3*O150^0.7)</x:f>
      </x:c>
    </x:row>
    <x:row r="151">
      <x:c r="A151" t="inlineStr">
        <x:is>
          <x:t xml:space="preserve">openai|gpt-5.6-luna|low|reasoning|fallback-na|aa-v4.3.2|snapshot-2026-09-28</x:t>
        </x:is>
      </x:c>
      <x:c r="B151" t="inlineStr">
        <x:is>
          <x:t xml:space="preserve">openai|gpt-5.6-luna|low|reasoning|fallback-na</x:t>
        </x:is>
      </x:c>
      <x:c r="C151" t="inlineStr">
        <x:is>
          <x:t xml:space="preserve">AA|v4.3.2</x:t>
        </x:is>
      </x:c>
      <x:c r="D151" t="n">
        <x:v>20</x:v>
      </x:c>
      <x:c r="E151" t="n">
        <x:v>52</x:v>
      </x:c>
      <x:c r="F151" t="n">
        <x:f>INDEX(Run_Metrics!$F:$F,D151)</x:f>
        <x:v>21</x:v>
      </x:c>
      <x:c r="G151" t="n">
        <x:f>INDEX(Run_Metrics!$G:$G,D151)</x:f>
        <x:v>0.01</x:v>
      </x:c>
      <x:c r="H151" t="str">
        <x:f>INDEX(Run_Metrics!$I:$I,D151)</x:f>
      </x:c>
      <x:c r="I151" t="n">
        <x:f>IF(F151="","",F151-(E151-1))</x:f>
        <x:v>-30</x:v>
      </x:c>
      <x:c r="J151" t="n">
        <x:f>IF(I151&gt;0,1,0)</x:f>
        <x:v>0</x:v>
      </x:c>
      <x:c r="K151" t="str">
        <x:f>IF(OR(J151=0,G151="",G151=0),"",I151/G151)</x:f>
      </x:c>
      <x:c r="L151" t="str">
        <x:f>IF(OR(J151=0,I151=0,G151=""),"",G151/I151)</x:f>
      </x:c>
      <x:c r="M151" t="str">
        <x:f>IF(OR(J151=0,G151="",H151="",G151=0,H151=0),"",I151/(G151*H151))</x:f>
      </x:c>
      <x:c r="N151" t="str">
        <x:f>IF(K151="","",K151/_xlfn.MAXIFS($K:$K,$E:$E,E151))</x:f>
      </x:c>
      <x:c r="O151" t="str">
        <x:f>IF(M151="","",M151/_xlfn.MAXIFS($M:$M,$E:$E,E151))</x:f>
      </x:c>
      <x:c r="P151" t="str">
        <x:f>IF(OR(N151="",O151=""),"",SQRT(N151*O151))</x:f>
      </x:c>
      <x:c r="Q151" t="str">
        <x:f>IF(OR(N151="",O151=""),"",N151^0.7*O151^0.3)</x:f>
      </x:c>
      <x:c r="R151" t="str">
        <x:f>IF(OR(N151="",O151=""),"",N151^0.3*O151^0.7)</x:f>
      </x:c>
    </x:row>
    <x:row r="152">
      <x:c r="A152" t="inlineStr">
        <x:is>
          <x:t xml:space="preserve">openai|gpt-5.6-luna|low|reasoning|fallback-na|aa-v4.3.2|snapshot-2026-09-28</x:t>
        </x:is>
      </x:c>
      <x:c r="B152" t="inlineStr">
        <x:is>
          <x:t xml:space="preserve">openai|gpt-5.6-luna|low|reasoning|fallback-na</x:t>
        </x:is>
      </x:c>
      <x:c r="C152" t="inlineStr">
        <x:is>
          <x:t xml:space="preserve">AA|v4.3.2</x:t>
        </x:is>
      </x:c>
      <x:c r="D152" t="n">
        <x:v>20</x:v>
      </x:c>
      <x:c r="E152" t="n">
        <x:v>65</x:v>
      </x:c>
      <x:c r="F152" t="n">
        <x:f>INDEX(Run_Metrics!$F:$F,D152)</x:f>
        <x:v>21</x:v>
      </x:c>
      <x:c r="G152" t="n">
        <x:f>INDEX(Run_Metrics!$G:$G,D152)</x:f>
        <x:v>0.01</x:v>
      </x:c>
      <x:c r="H152" t="str">
        <x:f>INDEX(Run_Metrics!$I:$I,D152)</x:f>
      </x:c>
      <x:c r="I152" t="n">
        <x:f>IF(F152="","",F152-(E152-1))</x:f>
        <x:v>-43</x:v>
      </x:c>
      <x:c r="J152" t="n">
        <x:f>IF(I152&gt;0,1,0)</x:f>
        <x:v>0</x:v>
      </x:c>
      <x:c r="K152" t="str">
        <x:f>IF(OR(J152=0,G152="",G152=0),"",I152/G152)</x:f>
      </x:c>
      <x:c r="L152" t="str">
        <x:f>IF(OR(J152=0,I152=0,G152=""),"",G152/I152)</x:f>
      </x:c>
      <x:c r="M152" t="str">
        <x:f>IF(OR(J152=0,G152="",H152="",G152=0,H152=0),"",I152/(G152*H152))</x:f>
      </x:c>
      <x:c r="N152" t="str">
        <x:f>IF(K152="","",K152/_xlfn.MAXIFS($K:$K,$E:$E,E152))</x:f>
      </x:c>
      <x:c r="O152" t="str">
        <x:f>IF(M152="","",M152/_xlfn.MAXIFS($M:$M,$E:$E,E152))</x:f>
      </x:c>
      <x:c r="P152" t="str">
        <x:f>IF(OR(N152="",O152=""),"",SQRT(N152*O152))</x:f>
      </x:c>
      <x:c r="Q152" t="str">
        <x:f>IF(OR(N152="",O152=""),"",N152^0.7*O152^0.3)</x:f>
      </x:c>
      <x:c r="R152" t="str">
        <x:f>IF(OR(N152="",O152=""),"",N152^0.3*O152^0.7)</x:f>
      </x:c>
    </x:row>
    <x:row r="153">
      <x:c r="A153" t="inlineStr">
        <x:is>
          <x:t xml:space="preserve">openai|gpt-5.6-luna|low|reasoning|fallback-na|aa-v4.3.2|snapshot-2026-09-28</x:t>
        </x:is>
      </x:c>
      <x:c r="B153" t="inlineStr">
        <x:is>
          <x:t xml:space="preserve">openai|gpt-5.6-luna|low|reasoning|fallback-na</x:t>
        </x:is>
      </x:c>
      <x:c r="C153" t="inlineStr">
        <x:is>
          <x:t xml:space="preserve">AA|v4.3.2</x:t>
        </x:is>
      </x:c>
      <x:c r="D153" t="n">
        <x:v>20</x:v>
      </x:c>
      <x:c r="E153" t="n">
        <x:v>80</x:v>
      </x:c>
      <x:c r="F153" t="n">
        <x:f>INDEX(Run_Metrics!$F:$F,D153)</x:f>
        <x:v>21</x:v>
      </x:c>
      <x:c r="G153" t="n">
        <x:f>INDEX(Run_Metrics!$G:$G,D153)</x:f>
        <x:v>0.01</x:v>
      </x:c>
      <x:c r="H153" t="str">
        <x:f>INDEX(Run_Metrics!$I:$I,D153)</x:f>
      </x:c>
      <x:c r="I153" t="n">
        <x:f>IF(F153="","",F153-(E153-1))</x:f>
        <x:v>-58</x:v>
      </x:c>
      <x:c r="J153" t="n">
        <x:f>IF(I153&gt;0,1,0)</x:f>
        <x:v>0</x:v>
      </x:c>
      <x:c r="K153" t="str">
        <x:f>IF(OR(J153=0,G153="",G153=0),"",I153/G153)</x:f>
      </x:c>
      <x:c r="L153" t="str">
        <x:f>IF(OR(J153=0,I153=0,G153=""),"",G153/I153)</x:f>
      </x:c>
      <x:c r="M153" t="str">
        <x:f>IF(OR(J153=0,G153="",H153="",G153=0,H153=0),"",I153/(G153*H153))</x:f>
      </x:c>
      <x:c r="N153" t="str">
        <x:f>IF(K153="","",K153/_xlfn.MAXIFS($K:$K,$E:$E,E153))</x:f>
      </x:c>
      <x:c r="O153" t="str">
        <x:f>IF(M153="","",M153/_xlfn.MAXIFS($M:$M,$E:$E,E153))</x:f>
      </x:c>
      <x:c r="P153" t="str">
        <x:f>IF(OR(N153="",O153=""),"",SQRT(N153*O153))</x:f>
      </x:c>
      <x:c r="Q153" t="str">
        <x:f>IF(OR(N153="",O153=""),"",N153^0.7*O153^0.3)</x:f>
      </x:c>
      <x:c r="R153" t="str">
        <x:f>IF(OR(N153="",O153=""),"",N153^0.3*O153^0.7)</x:f>
      </x:c>
    </x:row>
    <x:row r="154">
      <x:c r="A154" t="inlineStr">
        <x:is>
          <x:t xml:space="preserve">openai|gpt-5.6-luna|medium|reasoning|fallback-na|aa-v4.3.2|snapshot-2026-09-28</x:t>
        </x:is>
      </x:c>
      <x:c r="B154" t="inlineStr">
        <x:is>
          <x:t xml:space="preserve">openai|gpt-5.6-luna|medium|reasoning|fallback-na</x:t>
        </x:is>
      </x:c>
      <x:c r="C154" t="inlineStr">
        <x:is>
          <x:t xml:space="preserve">AA|v4.3.2</x:t>
        </x:is>
      </x:c>
      <x:c r="D154" t="n">
        <x:v>21</x:v>
      </x:c>
      <x:c r="E154" t="n">
        <x:v>20</x:v>
      </x:c>
      <x:c r="F154" t="n">
        <x:f>INDEX(Run_Metrics!$F:$F,D154)</x:f>
        <x:v>25</x:v>
      </x:c>
      <x:c r="G154" t="n">
        <x:f>INDEX(Run_Metrics!$G:$G,D154)</x:f>
        <x:v>0.02</x:v>
      </x:c>
      <x:c r="H154" t="str">
        <x:f>INDEX(Run_Metrics!$I:$I,D154)</x:f>
      </x:c>
      <x:c r="I154" t="n">
        <x:f>IF(F154="","",F154-(E154-1))</x:f>
        <x:v>6</x:v>
      </x:c>
      <x:c r="J154" t="n">
        <x:f>IF(I154&gt;0,1,0)</x:f>
        <x:v>1</x:v>
      </x:c>
      <x:c r="K154" t="n">
        <x:f>IF(OR(J154=0,G154="",G154=0),"",I154/G154)</x:f>
        <x:v>300</x:v>
      </x:c>
      <x:c r="L154" t="n">
        <x:f>IF(OR(J154=0,I154=0,G154=""),"",G154/I154)</x:f>
        <x:v>0.0033333333333333335</x:v>
      </x:c>
      <x:c r="M154" t="str">
        <x:f>IF(OR(J154=0,G154="",H154="",G154=0,H154=0),"",I154/(G154*H154))</x:f>
      </x:c>
      <x:c r="N154" t="n">
        <x:f>IF(K154="","",K154/_xlfn.MAXIFS($K:$K,$E:$E,E154))</x:f>
        <x:v>0.44999999999999996</x:v>
      </x:c>
      <x:c r="O154" t="str">
        <x:f>IF(M154="","",M154/_xlfn.MAXIFS($M:$M,$E:$E,E154))</x:f>
      </x:c>
      <x:c r="P154" t="str">
        <x:f>IF(OR(N154="",O154=""),"",SQRT(N154*O154))</x:f>
      </x:c>
      <x:c r="Q154" t="str">
        <x:f>IF(OR(N154="",O154=""),"",N154^0.7*O154^0.3)</x:f>
      </x:c>
      <x:c r="R154" t="str">
        <x:f>IF(OR(N154="",O154=""),"",N154^0.3*O154^0.7)</x:f>
      </x:c>
    </x:row>
    <x:row r="155">
      <x:c r="A155" t="inlineStr">
        <x:is>
          <x:t xml:space="preserve">openai|gpt-5.6-luna|medium|reasoning|fallback-na|aa-v4.3.2|snapshot-2026-09-28</x:t>
        </x:is>
      </x:c>
      <x:c r="B155" t="inlineStr">
        <x:is>
          <x:t xml:space="preserve">openai|gpt-5.6-luna|medium|reasoning|fallback-na</x:t>
        </x:is>
      </x:c>
      <x:c r="C155" t="inlineStr">
        <x:is>
          <x:t xml:space="preserve">AA|v4.3.2</x:t>
        </x:is>
      </x:c>
      <x:c r="D155" t="n">
        <x:v>21</x:v>
      </x:c>
      <x:c r="E155" t="n">
        <x:v>30</x:v>
      </x:c>
      <x:c r="F155" t="n">
        <x:f>INDEX(Run_Metrics!$F:$F,D155)</x:f>
        <x:v>25</x:v>
      </x:c>
      <x:c r="G155" t="n">
        <x:f>INDEX(Run_Metrics!$G:$G,D155)</x:f>
        <x:v>0.02</x:v>
      </x:c>
      <x:c r="H155" t="str">
        <x:f>INDEX(Run_Metrics!$I:$I,D155)</x:f>
      </x:c>
      <x:c r="I155" t="n">
        <x:f>IF(F155="","",F155-(E155-1))</x:f>
        <x:v>-4</x:v>
      </x:c>
      <x:c r="J155" t="n">
        <x:f>IF(I155&gt;0,1,0)</x:f>
        <x:v>0</x:v>
      </x:c>
      <x:c r="K155" t="str">
        <x:f>IF(OR(J155=0,G155="",G155=0),"",I155/G155)</x:f>
      </x:c>
      <x:c r="L155" t="str">
        <x:f>IF(OR(J155=0,I155=0,G155=""),"",G155/I155)</x:f>
      </x:c>
      <x:c r="M155" t="str">
        <x:f>IF(OR(J155=0,G155="",H155="",G155=0,H155=0),"",I155/(G155*H155))</x:f>
      </x:c>
      <x:c r="N155" t="str">
        <x:f>IF(K155="","",K155/_xlfn.MAXIFS($K:$K,$E:$E,E155))</x:f>
      </x:c>
      <x:c r="O155" t="str">
        <x:f>IF(M155="","",M155/_xlfn.MAXIFS($M:$M,$E:$E,E155))</x:f>
      </x:c>
      <x:c r="P155" t="str">
        <x:f>IF(OR(N155="",O155=""),"",SQRT(N155*O155))</x:f>
      </x:c>
      <x:c r="Q155" t="str">
        <x:f>IF(OR(N155="",O155=""),"",N155^0.7*O155^0.3)</x:f>
      </x:c>
      <x:c r="R155" t="str">
        <x:f>IF(OR(N155="",O155=""),"",N155^0.3*O155^0.7)</x:f>
      </x:c>
    </x:row>
    <x:row r="156">
      <x:c r="A156" t="inlineStr">
        <x:is>
          <x:t xml:space="preserve">openai|gpt-5.6-luna|medium|reasoning|fallback-na|aa-v4.3.2|snapshot-2026-09-28</x:t>
        </x:is>
      </x:c>
      <x:c r="B156" t="inlineStr">
        <x:is>
          <x:t xml:space="preserve">openai|gpt-5.6-luna|medium|reasoning|fallback-na</x:t>
        </x:is>
      </x:c>
      <x:c r="C156" t="inlineStr">
        <x:is>
          <x:t xml:space="preserve">AA|v4.3.2</x:t>
        </x:is>
      </x:c>
      <x:c r="D156" t="n">
        <x:v>21</x:v>
      </x:c>
      <x:c r="E156" t="n">
        <x:v>40</x:v>
      </x:c>
      <x:c r="F156" t="n">
        <x:f>INDEX(Run_Metrics!$F:$F,D156)</x:f>
        <x:v>25</x:v>
      </x:c>
      <x:c r="G156" t="n">
        <x:f>INDEX(Run_Metrics!$G:$G,D156)</x:f>
        <x:v>0.02</x:v>
      </x:c>
      <x:c r="H156" t="str">
        <x:f>INDEX(Run_Metrics!$I:$I,D156)</x:f>
      </x:c>
      <x:c r="I156" t="n">
        <x:f>IF(F156="","",F156-(E156-1))</x:f>
        <x:v>-14</x:v>
      </x:c>
      <x:c r="J156" t="n">
        <x:f>IF(I156&gt;0,1,0)</x:f>
        <x:v>0</x:v>
      </x:c>
      <x:c r="K156" t="str">
        <x:f>IF(OR(J156=0,G156="",G156=0),"",I156/G156)</x:f>
      </x:c>
      <x:c r="L156" t="str">
        <x:f>IF(OR(J156=0,I156=0,G156=""),"",G156/I156)</x:f>
      </x:c>
      <x:c r="M156" t="str">
        <x:f>IF(OR(J156=0,G156="",H156="",G156=0,H156=0),"",I156/(G156*H156))</x:f>
      </x:c>
      <x:c r="N156" t="str">
        <x:f>IF(K156="","",K156/_xlfn.MAXIFS($K:$K,$E:$E,E156))</x:f>
      </x:c>
      <x:c r="O156" t="str">
        <x:f>IF(M156="","",M156/_xlfn.MAXIFS($M:$M,$E:$E,E156))</x:f>
      </x:c>
      <x:c r="P156" t="str">
        <x:f>IF(OR(N156="",O156=""),"",SQRT(N156*O156))</x:f>
      </x:c>
      <x:c r="Q156" t="str">
        <x:f>IF(OR(N156="",O156=""),"",N156^0.7*O156^0.3)</x:f>
      </x:c>
      <x:c r="R156" t="str">
        <x:f>IF(OR(N156="",O156=""),"",N156^0.3*O156^0.7)</x:f>
      </x:c>
    </x:row>
    <x:row r="157">
      <x:c r="A157" t="inlineStr">
        <x:is>
          <x:t xml:space="preserve">openai|gpt-5.6-luna|medium|reasoning|fallback-na|aa-v4.3.2|snapshot-2026-09-28</x:t>
        </x:is>
      </x:c>
      <x:c r="B157" t="inlineStr">
        <x:is>
          <x:t xml:space="preserve">openai|gpt-5.6-luna|medium|reasoning|fallback-na</x:t>
        </x:is>
      </x:c>
      <x:c r="C157" t="inlineStr">
        <x:is>
          <x:t xml:space="preserve">AA|v4.3.2</x:t>
        </x:is>
      </x:c>
      <x:c r="D157" t="n">
        <x:v>21</x:v>
      </x:c>
      <x:c r="E157" t="n">
        <x:v>45</x:v>
      </x:c>
      <x:c r="F157" t="n">
        <x:f>INDEX(Run_Metrics!$F:$F,D157)</x:f>
        <x:v>25</x:v>
      </x:c>
      <x:c r="G157" t="n">
        <x:f>INDEX(Run_Metrics!$G:$G,D157)</x:f>
        <x:v>0.02</x:v>
      </x:c>
      <x:c r="H157" t="str">
        <x:f>INDEX(Run_Metrics!$I:$I,D157)</x:f>
      </x:c>
      <x:c r="I157" t="n">
        <x:f>IF(F157="","",F157-(E157-1))</x:f>
        <x:v>-19</x:v>
      </x:c>
      <x:c r="J157" t="n">
        <x:f>IF(I157&gt;0,1,0)</x:f>
        <x:v>0</x:v>
      </x:c>
      <x:c r="K157" t="str">
        <x:f>IF(OR(J157=0,G157="",G157=0),"",I157/G157)</x:f>
      </x:c>
      <x:c r="L157" t="str">
        <x:f>IF(OR(J157=0,I157=0,G157=""),"",G157/I157)</x:f>
      </x:c>
      <x:c r="M157" t="str">
        <x:f>IF(OR(J157=0,G157="",H157="",G157=0,H157=0),"",I157/(G157*H157))</x:f>
      </x:c>
      <x:c r="N157" t="str">
        <x:f>IF(K157="","",K157/_xlfn.MAXIFS($K:$K,$E:$E,E157))</x:f>
      </x:c>
      <x:c r="O157" t="str">
        <x:f>IF(M157="","",M157/_xlfn.MAXIFS($M:$M,$E:$E,E157))</x:f>
      </x:c>
      <x:c r="P157" t="str">
        <x:f>IF(OR(N157="",O157=""),"",SQRT(N157*O157))</x:f>
      </x:c>
      <x:c r="Q157" t="str">
        <x:f>IF(OR(N157="",O157=""),"",N157^0.7*O157^0.3)</x:f>
      </x:c>
      <x:c r="R157" t="str">
        <x:f>IF(OR(N157="",O157=""),"",N157^0.3*O157^0.7)</x:f>
      </x:c>
    </x:row>
    <x:row r="158">
      <x:c r="A158" t="inlineStr">
        <x:is>
          <x:t xml:space="preserve">openai|gpt-5.6-luna|medium|reasoning|fallback-na|aa-v4.3.2|snapshot-2026-09-28</x:t>
        </x:is>
      </x:c>
      <x:c r="B158" t="inlineStr">
        <x:is>
          <x:t xml:space="preserve">openai|gpt-5.6-luna|medium|reasoning|fallback-na</x:t>
        </x:is>
      </x:c>
      <x:c r="C158" t="inlineStr">
        <x:is>
          <x:t xml:space="preserve">AA|v4.3.2</x:t>
        </x:is>
      </x:c>
      <x:c r="D158" t="n">
        <x:v>21</x:v>
      </x:c>
      <x:c r="E158" t="n">
        <x:v>50</x:v>
      </x:c>
      <x:c r="F158" t="n">
        <x:f>INDEX(Run_Metrics!$F:$F,D158)</x:f>
        <x:v>25</x:v>
      </x:c>
      <x:c r="G158" t="n">
        <x:f>INDEX(Run_Metrics!$G:$G,D158)</x:f>
        <x:v>0.02</x:v>
      </x:c>
      <x:c r="H158" t="str">
        <x:f>INDEX(Run_Metrics!$I:$I,D158)</x:f>
      </x:c>
      <x:c r="I158" t="n">
        <x:f>IF(F158="","",F158-(E158-1))</x:f>
        <x:v>-24</x:v>
      </x:c>
      <x:c r="J158" t="n">
        <x:f>IF(I158&gt;0,1,0)</x:f>
        <x:v>0</x:v>
      </x:c>
      <x:c r="K158" t="str">
        <x:f>IF(OR(J158=0,G158="",G158=0),"",I158/G158)</x:f>
      </x:c>
      <x:c r="L158" t="str">
        <x:f>IF(OR(J158=0,I158=0,G158=""),"",G158/I158)</x:f>
      </x:c>
      <x:c r="M158" t="str">
        <x:f>IF(OR(J158=0,G158="",H158="",G158=0,H158=0),"",I158/(G158*H158))</x:f>
      </x:c>
      <x:c r="N158" t="str">
        <x:f>IF(K158="","",K158/_xlfn.MAXIFS($K:$K,$E:$E,E158))</x:f>
      </x:c>
      <x:c r="O158" t="str">
        <x:f>IF(M158="","",M158/_xlfn.MAXIFS($M:$M,$E:$E,E158))</x:f>
      </x:c>
      <x:c r="P158" t="str">
        <x:f>IF(OR(N158="",O158=""),"",SQRT(N158*O158))</x:f>
      </x:c>
      <x:c r="Q158" t="str">
        <x:f>IF(OR(N158="",O158=""),"",N158^0.7*O158^0.3)</x:f>
      </x:c>
      <x:c r="R158" t="str">
        <x:f>IF(OR(N158="",O158=""),"",N158^0.3*O158^0.7)</x:f>
      </x:c>
    </x:row>
    <x:row r="159">
      <x:c r="A159" t="inlineStr">
        <x:is>
          <x:t xml:space="preserve">openai|gpt-5.6-luna|medium|reasoning|fallback-na|aa-v4.3.2|snapshot-2026-09-28</x:t>
        </x:is>
      </x:c>
      <x:c r="B159" t="inlineStr">
        <x:is>
          <x:t xml:space="preserve">openai|gpt-5.6-luna|medium|reasoning|fallback-na</x:t>
        </x:is>
      </x:c>
      <x:c r="C159" t="inlineStr">
        <x:is>
          <x:t xml:space="preserve">AA|v4.3.2</x:t>
        </x:is>
      </x:c>
      <x:c r="D159" t="n">
        <x:v>21</x:v>
      </x:c>
      <x:c r="E159" t="n">
        <x:v>52</x:v>
      </x:c>
      <x:c r="F159" t="n">
        <x:f>INDEX(Run_Metrics!$F:$F,D159)</x:f>
        <x:v>25</x:v>
      </x:c>
      <x:c r="G159" t="n">
        <x:f>INDEX(Run_Metrics!$G:$G,D159)</x:f>
        <x:v>0.02</x:v>
      </x:c>
      <x:c r="H159" t="str">
        <x:f>INDEX(Run_Metrics!$I:$I,D159)</x:f>
      </x:c>
      <x:c r="I159" t="n">
        <x:f>IF(F159="","",F159-(E159-1))</x:f>
        <x:v>-26</x:v>
      </x:c>
      <x:c r="J159" t="n">
        <x:f>IF(I159&gt;0,1,0)</x:f>
        <x:v>0</x:v>
      </x:c>
      <x:c r="K159" t="str">
        <x:f>IF(OR(J159=0,G159="",G159=0),"",I159/G159)</x:f>
      </x:c>
      <x:c r="L159" t="str">
        <x:f>IF(OR(J159=0,I159=0,G159=""),"",G159/I159)</x:f>
      </x:c>
      <x:c r="M159" t="str">
        <x:f>IF(OR(J159=0,G159="",H159="",G159=0,H159=0),"",I159/(G159*H159))</x:f>
      </x:c>
      <x:c r="N159" t="str">
        <x:f>IF(K159="","",K159/_xlfn.MAXIFS($K:$K,$E:$E,E159))</x:f>
      </x:c>
      <x:c r="O159" t="str">
        <x:f>IF(M159="","",M159/_xlfn.MAXIFS($M:$M,$E:$E,E159))</x:f>
      </x:c>
      <x:c r="P159" t="str">
        <x:f>IF(OR(N159="",O159=""),"",SQRT(N159*O159))</x:f>
      </x:c>
      <x:c r="Q159" t="str">
        <x:f>IF(OR(N159="",O159=""),"",N159^0.7*O159^0.3)</x:f>
      </x:c>
      <x:c r="R159" t="str">
        <x:f>IF(OR(N159="",O159=""),"",N159^0.3*O159^0.7)</x:f>
      </x:c>
    </x:row>
    <x:row r="160">
      <x:c r="A160" t="inlineStr">
        <x:is>
          <x:t xml:space="preserve">openai|gpt-5.6-luna|medium|reasoning|fallback-na|aa-v4.3.2|snapshot-2026-09-28</x:t>
        </x:is>
      </x:c>
      <x:c r="B160" t="inlineStr">
        <x:is>
          <x:t xml:space="preserve">openai|gpt-5.6-luna|medium|reasoning|fallback-na</x:t>
        </x:is>
      </x:c>
      <x:c r="C160" t="inlineStr">
        <x:is>
          <x:t xml:space="preserve">AA|v4.3.2</x:t>
        </x:is>
      </x:c>
      <x:c r="D160" t="n">
        <x:v>21</x:v>
      </x:c>
      <x:c r="E160" t="n">
        <x:v>65</x:v>
      </x:c>
      <x:c r="F160" t="n">
        <x:f>INDEX(Run_Metrics!$F:$F,D160)</x:f>
        <x:v>25</x:v>
      </x:c>
      <x:c r="G160" t="n">
        <x:f>INDEX(Run_Metrics!$G:$G,D160)</x:f>
        <x:v>0.02</x:v>
      </x:c>
      <x:c r="H160" t="str">
        <x:f>INDEX(Run_Metrics!$I:$I,D160)</x:f>
      </x:c>
      <x:c r="I160" t="n">
        <x:f>IF(F160="","",F160-(E160-1))</x:f>
        <x:v>-39</x:v>
      </x:c>
      <x:c r="J160" t="n">
        <x:f>IF(I160&gt;0,1,0)</x:f>
        <x:v>0</x:v>
      </x:c>
      <x:c r="K160" t="str">
        <x:f>IF(OR(J160=0,G160="",G160=0),"",I160/G160)</x:f>
      </x:c>
      <x:c r="L160" t="str">
        <x:f>IF(OR(J160=0,I160=0,G160=""),"",G160/I160)</x:f>
      </x:c>
      <x:c r="M160" t="str">
        <x:f>IF(OR(J160=0,G160="",H160="",G160=0,H160=0),"",I160/(G160*H160))</x:f>
      </x:c>
      <x:c r="N160" t="str">
        <x:f>IF(K160="","",K160/_xlfn.MAXIFS($K:$K,$E:$E,E160))</x:f>
      </x:c>
      <x:c r="O160" t="str">
        <x:f>IF(M160="","",M160/_xlfn.MAXIFS($M:$M,$E:$E,E160))</x:f>
      </x:c>
      <x:c r="P160" t="str">
        <x:f>IF(OR(N160="",O160=""),"",SQRT(N160*O160))</x:f>
      </x:c>
      <x:c r="Q160" t="str">
        <x:f>IF(OR(N160="",O160=""),"",N160^0.7*O160^0.3)</x:f>
      </x:c>
      <x:c r="R160" t="str">
        <x:f>IF(OR(N160="",O160=""),"",N160^0.3*O160^0.7)</x:f>
      </x:c>
    </x:row>
    <x:row r="161">
      <x:c r="A161" t="inlineStr">
        <x:is>
          <x:t xml:space="preserve">openai|gpt-5.6-luna|medium|reasoning|fallback-na|aa-v4.3.2|snapshot-2026-09-28</x:t>
        </x:is>
      </x:c>
      <x:c r="B161" t="inlineStr">
        <x:is>
          <x:t xml:space="preserve">openai|gpt-5.6-luna|medium|reasoning|fallback-na</x:t>
        </x:is>
      </x:c>
      <x:c r="C161" t="inlineStr">
        <x:is>
          <x:t xml:space="preserve">AA|v4.3.2</x:t>
        </x:is>
      </x:c>
      <x:c r="D161" t="n">
        <x:v>21</x:v>
      </x:c>
      <x:c r="E161" t="n">
        <x:v>80</x:v>
      </x:c>
      <x:c r="F161" t="n">
        <x:f>INDEX(Run_Metrics!$F:$F,D161)</x:f>
        <x:v>25</x:v>
      </x:c>
      <x:c r="G161" t="n">
        <x:f>INDEX(Run_Metrics!$G:$G,D161)</x:f>
        <x:v>0.02</x:v>
      </x:c>
      <x:c r="H161" t="str">
        <x:f>INDEX(Run_Metrics!$I:$I,D161)</x:f>
      </x:c>
      <x:c r="I161" t="n">
        <x:f>IF(F161="","",F161-(E161-1))</x:f>
        <x:v>-54</x:v>
      </x:c>
      <x:c r="J161" t="n">
        <x:f>IF(I161&gt;0,1,0)</x:f>
        <x:v>0</x:v>
      </x:c>
      <x:c r="K161" t="str">
        <x:f>IF(OR(J161=0,G161="",G161=0),"",I161/G161)</x:f>
      </x:c>
      <x:c r="L161" t="str">
        <x:f>IF(OR(J161=0,I161=0,G161=""),"",G161/I161)</x:f>
      </x:c>
      <x:c r="M161" t="str">
        <x:f>IF(OR(J161=0,G161="",H161="",G161=0,H161=0),"",I161/(G161*H161))</x:f>
      </x:c>
      <x:c r="N161" t="str">
        <x:f>IF(K161="","",K161/_xlfn.MAXIFS($K:$K,$E:$E,E161))</x:f>
      </x:c>
      <x:c r="O161" t="str">
        <x:f>IF(M161="","",M161/_xlfn.MAXIFS($M:$M,$E:$E,E161))</x:f>
      </x:c>
      <x:c r="P161" t="str">
        <x:f>IF(OR(N161="",O161=""),"",SQRT(N161*O161))</x:f>
      </x:c>
      <x:c r="Q161" t="str">
        <x:f>IF(OR(N161="",O161=""),"",N161^0.7*O161^0.3)</x:f>
      </x:c>
      <x:c r="R161" t="str">
        <x:f>IF(OR(N161="",O161=""),"",N161^0.3*O161^0.7)</x:f>
      </x:c>
    </x:row>
    <x:row r="162">
      <x:c r="A162" t="inlineStr">
        <x:is>
          <x:t xml:space="preserve">openai|gpt-5.6-luna|high|reasoning|fallback-na|aa-v4.3.2|snapshot-2026-09-28</x:t>
        </x:is>
      </x:c>
      <x:c r="B162" t="inlineStr">
        <x:is>
          <x:t xml:space="preserve">openai|gpt-5.6-luna|high|reasoning|fallback-na</x:t>
        </x:is>
      </x:c>
      <x:c r="C162" t="inlineStr">
        <x:is>
          <x:t xml:space="preserve">AA|v4.3.2</x:t>
        </x:is>
      </x:c>
      <x:c r="D162" t="n">
        <x:v>22</x:v>
      </x:c>
      <x:c r="E162" t="n">
        <x:v>20</x:v>
      </x:c>
      <x:c r="F162" t="n">
        <x:f>INDEX(Run_Metrics!$F:$F,D162)</x:f>
        <x:v>32</x:v>
      </x:c>
      <x:c r="G162" t="n">
        <x:f>INDEX(Run_Metrics!$G:$G,D162)</x:f>
        <x:v>0.04</x:v>
      </x:c>
      <x:c r="H162" t="str">
        <x:f>INDEX(Run_Metrics!$I:$I,D162)</x:f>
      </x:c>
      <x:c r="I162" t="n">
        <x:f>IF(F162="","",F162-(E162-1))</x:f>
        <x:v>13</x:v>
      </x:c>
      <x:c r="J162" t="n">
        <x:f>IF(I162&gt;0,1,0)</x:f>
        <x:v>1</x:v>
      </x:c>
      <x:c r="K162" t="n">
        <x:f>IF(OR(J162=0,G162="",G162=0),"",I162/G162)</x:f>
        <x:v>325</x:v>
      </x:c>
      <x:c r="L162" t="n">
        <x:f>IF(OR(J162=0,I162=0,G162=""),"",G162/I162)</x:f>
        <x:v>0.003076923076923077</x:v>
      </x:c>
      <x:c r="M162" t="str">
        <x:f>IF(OR(J162=0,G162="",H162="",G162=0,H162=0),"",I162/(G162*H162))</x:f>
      </x:c>
      <x:c r="N162" t="n">
        <x:f>IF(K162="","",K162/_xlfn.MAXIFS($K:$K,$E:$E,E162))</x:f>
        <x:v>0.48749999999999993</x:v>
      </x:c>
      <x:c r="O162" t="str">
        <x:f>IF(M162="","",M162/_xlfn.MAXIFS($M:$M,$E:$E,E162))</x:f>
      </x:c>
      <x:c r="P162" t="str">
        <x:f>IF(OR(N162="",O162=""),"",SQRT(N162*O162))</x:f>
      </x:c>
      <x:c r="Q162" t="str">
        <x:f>IF(OR(N162="",O162=""),"",N162^0.7*O162^0.3)</x:f>
      </x:c>
      <x:c r="R162" t="str">
        <x:f>IF(OR(N162="",O162=""),"",N162^0.3*O162^0.7)</x:f>
      </x:c>
    </x:row>
    <x:row r="163">
      <x:c r="A163" t="inlineStr">
        <x:is>
          <x:t xml:space="preserve">openai|gpt-5.6-luna|high|reasoning|fallback-na|aa-v4.3.2|snapshot-2026-09-28</x:t>
        </x:is>
      </x:c>
      <x:c r="B163" t="inlineStr">
        <x:is>
          <x:t xml:space="preserve">openai|gpt-5.6-luna|high|reasoning|fallback-na</x:t>
        </x:is>
      </x:c>
      <x:c r="C163" t="inlineStr">
        <x:is>
          <x:t xml:space="preserve">AA|v4.3.2</x:t>
        </x:is>
      </x:c>
      <x:c r="D163" t="n">
        <x:v>22</x:v>
      </x:c>
      <x:c r="E163" t="n">
        <x:v>30</x:v>
      </x:c>
      <x:c r="F163" t="n">
        <x:f>INDEX(Run_Metrics!$F:$F,D163)</x:f>
        <x:v>32</x:v>
      </x:c>
      <x:c r="G163" t="n">
        <x:f>INDEX(Run_Metrics!$G:$G,D163)</x:f>
        <x:v>0.04</x:v>
      </x:c>
      <x:c r="H163" t="str">
        <x:f>INDEX(Run_Metrics!$I:$I,D163)</x:f>
      </x:c>
      <x:c r="I163" t="n">
        <x:f>IF(F163="","",F163-(E163-1))</x:f>
        <x:v>3</x:v>
      </x:c>
      <x:c r="J163" t="n">
        <x:f>IF(I163&gt;0,1,0)</x:f>
        <x:v>1</x:v>
      </x:c>
      <x:c r="K163" t="n">
        <x:f>IF(OR(J163=0,G163="",G163=0),"",I163/G163)</x:f>
        <x:v>75</x:v>
      </x:c>
      <x:c r="L163" t="n">
        <x:f>IF(OR(J163=0,I163=0,G163=""),"",G163/I163)</x:f>
        <x:v>0.013333333333333334</x:v>
      </x:c>
      <x:c r="M163" t="str">
        <x:f>IF(OR(J163=0,G163="",H163="",G163=0,H163=0),"",I163/(G163*H163))</x:f>
      </x:c>
      <x:c r="N163" t="n">
        <x:f>IF(K163="","",K163/_xlfn.MAXIFS($K:$K,$E:$E,E163))</x:f>
        <x:v>0.5</x:v>
      </x:c>
      <x:c r="O163" t="str">
        <x:f>IF(M163="","",M163/_xlfn.MAXIFS($M:$M,$E:$E,E163))</x:f>
      </x:c>
      <x:c r="P163" t="str">
        <x:f>IF(OR(N163="",O163=""),"",SQRT(N163*O163))</x:f>
      </x:c>
      <x:c r="Q163" t="str">
        <x:f>IF(OR(N163="",O163=""),"",N163^0.7*O163^0.3)</x:f>
      </x:c>
      <x:c r="R163" t="str">
        <x:f>IF(OR(N163="",O163=""),"",N163^0.3*O163^0.7)</x:f>
      </x:c>
    </x:row>
    <x:row r="164">
      <x:c r="A164" t="inlineStr">
        <x:is>
          <x:t xml:space="preserve">openai|gpt-5.6-luna|high|reasoning|fallback-na|aa-v4.3.2|snapshot-2026-09-28</x:t>
        </x:is>
      </x:c>
      <x:c r="B164" t="inlineStr">
        <x:is>
          <x:t xml:space="preserve">openai|gpt-5.6-luna|high|reasoning|fallback-na</x:t>
        </x:is>
      </x:c>
      <x:c r="C164" t="inlineStr">
        <x:is>
          <x:t xml:space="preserve">AA|v4.3.2</x:t>
        </x:is>
      </x:c>
      <x:c r="D164" t="n">
        <x:v>22</x:v>
      </x:c>
      <x:c r="E164" t="n">
        <x:v>40</x:v>
      </x:c>
      <x:c r="F164" t="n">
        <x:f>INDEX(Run_Metrics!$F:$F,D164)</x:f>
        <x:v>32</x:v>
      </x:c>
      <x:c r="G164" t="n">
        <x:f>INDEX(Run_Metrics!$G:$G,D164)</x:f>
        <x:v>0.04</x:v>
      </x:c>
      <x:c r="H164" t="str">
        <x:f>INDEX(Run_Metrics!$I:$I,D164)</x:f>
      </x:c>
      <x:c r="I164" t="n">
        <x:f>IF(F164="","",F164-(E164-1))</x:f>
        <x:v>-7</x:v>
      </x:c>
      <x:c r="J164" t="n">
        <x:f>IF(I164&gt;0,1,0)</x:f>
        <x:v>0</x:v>
      </x:c>
      <x:c r="K164" t="str">
        <x:f>IF(OR(J164=0,G164="",G164=0),"",I164/G164)</x:f>
      </x:c>
      <x:c r="L164" t="str">
        <x:f>IF(OR(J164=0,I164=0,G164=""),"",G164/I164)</x:f>
      </x:c>
      <x:c r="M164" t="str">
        <x:f>IF(OR(J164=0,G164="",H164="",G164=0,H164=0),"",I164/(G164*H164))</x:f>
      </x:c>
      <x:c r="N164" t="str">
        <x:f>IF(K164="","",K164/_xlfn.MAXIFS($K:$K,$E:$E,E164))</x:f>
      </x:c>
      <x:c r="O164" t="str">
        <x:f>IF(M164="","",M164/_xlfn.MAXIFS($M:$M,$E:$E,E164))</x:f>
      </x:c>
      <x:c r="P164" t="str">
        <x:f>IF(OR(N164="",O164=""),"",SQRT(N164*O164))</x:f>
      </x:c>
      <x:c r="Q164" t="str">
        <x:f>IF(OR(N164="",O164=""),"",N164^0.7*O164^0.3)</x:f>
      </x:c>
      <x:c r="R164" t="str">
        <x:f>IF(OR(N164="",O164=""),"",N164^0.3*O164^0.7)</x:f>
      </x:c>
    </x:row>
    <x:row r="165">
      <x:c r="A165" t="inlineStr">
        <x:is>
          <x:t xml:space="preserve">openai|gpt-5.6-luna|high|reasoning|fallback-na|aa-v4.3.2|snapshot-2026-09-28</x:t>
        </x:is>
      </x:c>
      <x:c r="B165" t="inlineStr">
        <x:is>
          <x:t xml:space="preserve">openai|gpt-5.6-luna|high|reasoning|fallback-na</x:t>
        </x:is>
      </x:c>
      <x:c r="C165" t="inlineStr">
        <x:is>
          <x:t xml:space="preserve">AA|v4.3.2</x:t>
        </x:is>
      </x:c>
      <x:c r="D165" t="n">
        <x:v>22</x:v>
      </x:c>
      <x:c r="E165" t="n">
        <x:v>45</x:v>
      </x:c>
      <x:c r="F165" t="n">
        <x:f>INDEX(Run_Metrics!$F:$F,D165)</x:f>
        <x:v>32</x:v>
      </x:c>
      <x:c r="G165" t="n">
        <x:f>INDEX(Run_Metrics!$G:$G,D165)</x:f>
        <x:v>0.04</x:v>
      </x:c>
      <x:c r="H165" t="str">
        <x:f>INDEX(Run_Metrics!$I:$I,D165)</x:f>
      </x:c>
      <x:c r="I165" t="n">
        <x:f>IF(F165="","",F165-(E165-1))</x:f>
        <x:v>-12</x:v>
      </x:c>
      <x:c r="J165" t="n">
        <x:f>IF(I165&gt;0,1,0)</x:f>
        <x:v>0</x:v>
      </x:c>
      <x:c r="K165" t="str">
        <x:f>IF(OR(J165=0,G165="",G165=0),"",I165/G165)</x:f>
      </x:c>
      <x:c r="L165" t="str">
        <x:f>IF(OR(J165=0,I165=0,G165=""),"",G165/I165)</x:f>
      </x:c>
      <x:c r="M165" t="str">
        <x:f>IF(OR(J165=0,G165="",H165="",G165=0,H165=0),"",I165/(G165*H165))</x:f>
      </x:c>
      <x:c r="N165" t="str">
        <x:f>IF(K165="","",K165/_xlfn.MAXIFS($K:$K,$E:$E,E165))</x:f>
      </x:c>
      <x:c r="O165" t="str">
        <x:f>IF(M165="","",M165/_xlfn.MAXIFS($M:$M,$E:$E,E165))</x:f>
      </x:c>
      <x:c r="P165" t="str">
        <x:f>IF(OR(N165="",O165=""),"",SQRT(N165*O165))</x:f>
      </x:c>
      <x:c r="Q165" t="str">
        <x:f>IF(OR(N165="",O165=""),"",N165^0.7*O165^0.3)</x:f>
      </x:c>
      <x:c r="R165" t="str">
        <x:f>IF(OR(N165="",O165=""),"",N165^0.3*O165^0.7)</x:f>
      </x:c>
    </x:row>
    <x:row r="166">
      <x:c r="A166" t="inlineStr">
        <x:is>
          <x:t xml:space="preserve">openai|gpt-5.6-luna|high|reasoning|fallback-na|aa-v4.3.2|snapshot-2026-09-28</x:t>
        </x:is>
      </x:c>
      <x:c r="B166" t="inlineStr">
        <x:is>
          <x:t xml:space="preserve">openai|gpt-5.6-luna|high|reasoning|fallback-na</x:t>
        </x:is>
      </x:c>
      <x:c r="C166" t="inlineStr">
        <x:is>
          <x:t xml:space="preserve">AA|v4.3.2</x:t>
        </x:is>
      </x:c>
      <x:c r="D166" t="n">
        <x:v>22</x:v>
      </x:c>
      <x:c r="E166" t="n">
        <x:v>50</x:v>
      </x:c>
      <x:c r="F166" t="n">
        <x:f>INDEX(Run_Metrics!$F:$F,D166)</x:f>
        <x:v>32</x:v>
      </x:c>
      <x:c r="G166" t="n">
        <x:f>INDEX(Run_Metrics!$G:$G,D166)</x:f>
        <x:v>0.04</x:v>
      </x:c>
      <x:c r="H166" t="str">
        <x:f>INDEX(Run_Metrics!$I:$I,D166)</x:f>
      </x:c>
      <x:c r="I166" t="n">
        <x:f>IF(F166="","",F166-(E166-1))</x:f>
        <x:v>-17</x:v>
      </x:c>
      <x:c r="J166" t="n">
        <x:f>IF(I166&gt;0,1,0)</x:f>
        <x:v>0</x:v>
      </x:c>
      <x:c r="K166" t="str">
        <x:f>IF(OR(J166=0,G166="",G166=0),"",I166/G166)</x:f>
      </x:c>
      <x:c r="L166" t="str">
        <x:f>IF(OR(J166=0,I166=0,G166=""),"",G166/I166)</x:f>
      </x:c>
      <x:c r="M166" t="str">
        <x:f>IF(OR(J166=0,G166="",H166="",G166=0,H166=0),"",I166/(G166*H166))</x:f>
      </x:c>
      <x:c r="N166" t="str">
        <x:f>IF(K166="","",K166/_xlfn.MAXIFS($K:$K,$E:$E,E166))</x:f>
      </x:c>
      <x:c r="O166" t="str">
        <x:f>IF(M166="","",M166/_xlfn.MAXIFS($M:$M,$E:$E,E166))</x:f>
      </x:c>
      <x:c r="P166" t="str">
        <x:f>IF(OR(N166="",O166=""),"",SQRT(N166*O166))</x:f>
      </x:c>
      <x:c r="Q166" t="str">
        <x:f>IF(OR(N166="",O166=""),"",N166^0.7*O166^0.3)</x:f>
      </x:c>
      <x:c r="R166" t="str">
        <x:f>IF(OR(N166="",O166=""),"",N166^0.3*O166^0.7)</x:f>
      </x:c>
    </x:row>
    <x:row r="167">
      <x:c r="A167" t="inlineStr">
        <x:is>
          <x:t xml:space="preserve">openai|gpt-5.6-luna|high|reasoning|fallback-na|aa-v4.3.2|snapshot-2026-09-28</x:t>
        </x:is>
      </x:c>
      <x:c r="B167" t="inlineStr">
        <x:is>
          <x:t xml:space="preserve">openai|gpt-5.6-luna|high|reasoning|fallback-na</x:t>
        </x:is>
      </x:c>
      <x:c r="C167" t="inlineStr">
        <x:is>
          <x:t xml:space="preserve">AA|v4.3.2</x:t>
        </x:is>
      </x:c>
      <x:c r="D167" t="n">
        <x:v>22</x:v>
      </x:c>
      <x:c r="E167" t="n">
        <x:v>52</x:v>
      </x:c>
      <x:c r="F167" t="n">
        <x:f>INDEX(Run_Metrics!$F:$F,D167)</x:f>
        <x:v>32</x:v>
      </x:c>
      <x:c r="G167" t="n">
        <x:f>INDEX(Run_Metrics!$G:$G,D167)</x:f>
        <x:v>0.04</x:v>
      </x:c>
      <x:c r="H167" t="str">
        <x:f>INDEX(Run_Metrics!$I:$I,D167)</x:f>
      </x:c>
      <x:c r="I167" t="n">
        <x:f>IF(F167="","",F167-(E167-1))</x:f>
        <x:v>-19</x:v>
      </x:c>
      <x:c r="J167" t="n">
        <x:f>IF(I167&gt;0,1,0)</x:f>
        <x:v>0</x:v>
      </x:c>
      <x:c r="K167" t="str">
        <x:f>IF(OR(J167=0,G167="",G167=0),"",I167/G167)</x:f>
      </x:c>
      <x:c r="L167" t="str">
        <x:f>IF(OR(J167=0,I167=0,G167=""),"",G167/I167)</x:f>
      </x:c>
      <x:c r="M167" t="str">
        <x:f>IF(OR(J167=0,G167="",H167="",G167=0,H167=0),"",I167/(G167*H167))</x:f>
      </x:c>
      <x:c r="N167" t="str">
        <x:f>IF(K167="","",K167/_xlfn.MAXIFS($K:$K,$E:$E,E167))</x:f>
      </x:c>
      <x:c r="O167" t="str">
        <x:f>IF(M167="","",M167/_xlfn.MAXIFS($M:$M,$E:$E,E167))</x:f>
      </x:c>
      <x:c r="P167" t="str">
        <x:f>IF(OR(N167="",O167=""),"",SQRT(N167*O167))</x:f>
      </x:c>
      <x:c r="Q167" t="str">
        <x:f>IF(OR(N167="",O167=""),"",N167^0.7*O167^0.3)</x:f>
      </x:c>
      <x:c r="R167" t="str">
        <x:f>IF(OR(N167="",O167=""),"",N167^0.3*O167^0.7)</x:f>
      </x:c>
    </x:row>
    <x:row r="168">
      <x:c r="A168" t="inlineStr">
        <x:is>
          <x:t xml:space="preserve">openai|gpt-5.6-luna|high|reasoning|fallback-na|aa-v4.3.2|snapshot-2026-09-28</x:t>
        </x:is>
      </x:c>
      <x:c r="B168" t="inlineStr">
        <x:is>
          <x:t xml:space="preserve">openai|gpt-5.6-luna|high|reasoning|fallback-na</x:t>
        </x:is>
      </x:c>
      <x:c r="C168" t="inlineStr">
        <x:is>
          <x:t xml:space="preserve">AA|v4.3.2</x:t>
        </x:is>
      </x:c>
      <x:c r="D168" t="n">
        <x:v>22</x:v>
      </x:c>
      <x:c r="E168" t="n">
        <x:v>65</x:v>
      </x:c>
      <x:c r="F168" t="n">
        <x:f>INDEX(Run_Metrics!$F:$F,D168)</x:f>
        <x:v>32</x:v>
      </x:c>
      <x:c r="G168" t="n">
        <x:f>INDEX(Run_Metrics!$G:$G,D168)</x:f>
        <x:v>0.04</x:v>
      </x:c>
      <x:c r="H168" t="str">
        <x:f>INDEX(Run_Metrics!$I:$I,D168)</x:f>
      </x:c>
      <x:c r="I168" t="n">
        <x:f>IF(F168="","",F168-(E168-1))</x:f>
        <x:v>-32</x:v>
      </x:c>
      <x:c r="J168" t="n">
        <x:f>IF(I168&gt;0,1,0)</x:f>
        <x:v>0</x:v>
      </x:c>
      <x:c r="K168" t="str">
        <x:f>IF(OR(J168=0,G168="",G168=0),"",I168/G168)</x:f>
      </x:c>
      <x:c r="L168" t="str">
        <x:f>IF(OR(J168=0,I168=0,G168=""),"",G168/I168)</x:f>
      </x:c>
      <x:c r="M168" t="str">
        <x:f>IF(OR(J168=0,G168="",H168="",G168=0,H168=0),"",I168/(G168*H168))</x:f>
      </x:c>
      <x:c r="N168" t="str">
        <x:f>IF(K168="","",K168/_xlfn.MAXIFS($K:$K,$E:$E,E168))</x:f>
      </x:c>
      <x:c r="O168" t="str">
        <x:f>IF(M168="","",M168/_xlfn.MAXIFS($M:$M,$E:$E,E168))</x:f>
      </x:c>
      <x:c r="P168" t="str">
        <x:f>IF(OR(N168="",O168=""),"",SQRT(N168*O168))</x:f>
      </x:c>
      <x:c r="Q168" t="str">
        <x:f>IF(OR(N168="",O168=""),"",N168^0.7*O168^0.3)</x:f>
      </x:c>
      <x:c r="R168" t="str">
        <x:f>IF(OR(N168="",O168=""),"",N168^0.3*O168^0.7)</x:f>
      </x:c>
    </x:row>
    <x:row r="169">
      <x:c r="A169" t="inlineStr">
        <x:is>
          <x:t xml:space="preserve">openai|gpt-5.6-luna|high|reasoning|fallback-na|aa-v4.3.2|snapshot-2026-09-28</x:t>
        </x:is>
      </x:c>
      <x:c r="B169" t="inlineStr">
        <x:is>
          <x:t xml:space="preserve">openai|gpt-5.6-luna|high|reasoning|fallback-na</x:t>
        </x:is>
      </x:c>
      <x:c r="C169" t="inlineStr">
        <x:is>
          <x:t xml:space="preserve">AA|v4.3.2</x:t>
        </x:is>
      </x:c>
      <x:c r="D169" t="n">
        <x:v>22</x:v>
      </x:c>
      <x:c r="E169" t="n">
        <x:v>80</x:v>
      </x:c>
      <x:c r="F169" t="n">
        <x:f>INDEX(Run_Metrics!$F:$F,D169)</x:f>
        <x:v>32</x:v>
      </x:c>
      <x:c r="G169" t="n">
        <x:f>INDEX(Run_Metrics!$G:$G,D169)</x:f>
        <x:v>0.04</x:v>
      </x:c>
      <x:c r="H169" t="str">
        <x:f>INDEX(Run_Metrics!$I:$I,D169)</x:f>
      </x:c>
      <x:c r="I169" t="n">
        <x:f>IF(F169="","",F169-(E169-1))</x:f>
        <x:v>-47</x:v>
      </x:c>
      <x:c r="J169" t="n">
        <x:f>IF(I169&gt;0,1,0)</x:f>
        <x:v>0</x:v>
      </x:c>
      <x:c r="K169" t="str">
        <x:f>IF(OR(J169=0,G169="",G169=0),"",I169/G169)</x:f>
      </x:c>
      <x:c r="L169" t="str">
        <x:f>IF(OR(J169=0,I169=0,G169=""),"",G169/I169)</x:f>
      </x:c>
      <x:c r="M169" t="str">
        <x:f>IF(OR(J169=0,G169="",H169="",G169=0,H169=0),"",I169/(G169*H169))</x:f>
      </x:c>
      <x:c r="N169" t="str">
        <x:f>IF(K169="","",K169/_xlfn.MAXIFS($K:$K,$E:$E,E169))</x:f>
      </x:c>
      <x:c r="O169" t="str">
        <x:f>IF(M169="","",M169/_xlfn.MAXIFS($M:$M,$E:$E,E169))</x:f>
      </x:c>
      <x:c r="P169" t="str">
        <x:f>IF(OR(N169="",O169=""),"",SQRT(N169*O169))</x:f>
      </x:c>
      <x:c r="Q169" t="str">
        <x:f>IF(OR(N169="",O169=""),"",N169^0.7*O169^0.3)</x:f>
      </x:c>
      <x:c r="R169" t="str">
        <x:f>IF(OR(N169="",O169=""),"",N169^0.3*O169^0.7)</x:f>
      </x:c>
    </x:row>
    <x:row r="170">
      <x:c r="A170" t="inlineStr">
        <x:is>
          <x:t xml:space="preserve">openai|gpt-5.6-luna|xhigh|reasoning|fallback-na|aa-v4.3.2|snapshot-2026-09-28</x:t>
        </x:is>
      </x:c>
      <x:c r="B170" t="inlineStr">
        <x:is>
          <x:t xml:space="preserve">openai|gpt-5.6-luna|xhigh|reasoning|fallback-na</x:t>
        </x:is>
      </x:c>
      <x:c r="C170" t="inlineStr">
        <x:is>
          <x:t xml:space="preserve">AA|v4.3.2</x:t>
        </x:is>
      </x:c>
      <x:c r="D170" t="n">
        <x:v>23</x:v>
      </x:c>
      <x:c r="E170" t="n">
        <x:v>20</x:v>
      </x:c>
      <x:c r="F170" t="n">
        <x:f>INDEX(Run_Metrics!$F:$F,D170)</x:f>
        <x:v>35</x:v>
      </x:c>
      <x:c r="G170" t="n">
        <x:f>INDEX(Run_Metrics!$G:$G,D170)</x:f>
        <x:v>0.09</x:v>
      </x:c>
      <x:c r="H170" t="str">
        <x:f>INDEX(Run_Metrics!$I:$I,D170)</x:f>
      </x:c>
      <x:c r="I170" t="n">
        <x:f>IF(F170="","",F170-(E170-1))</x:f>
        <x:v>16</x:v>
      </x:c>
      <x:c r="J170" t="n">
        <x:f>IF(I170&gt;0,1,0)</x:f>
        <x:v>1</x:v>
      </x:c>
      <x:c r="K170" t="n">
        <x:f>IF(OR(J170=0,G170="",G170=0),"",I170/G170)</x:f>
        <x:v>177.77777777777777</x:v>
      </x:c>
      <x:c r="L170" t="n">
        <x:f>IF(OR(J170=0,I170=0,G170=""),"",G170/I170)</x:f>
        <x:v>0.005625</x:v>
      </x:c>
      <x:c r="M170" t="str">
        <x:f>IF(OR(J170=0,G170="",H170="",G170=0,H170=0),"",I170/(G170*H170))</x:f>
      </x:c>
      <x:c r="N170" t="n">
        <x:f>IF(K170="","",K170/_xlfn.MAXIFS($K:$K,$E:$E,E170))</x:f>
        <x:v>0.2666666666666666</x:v>
      </x:c>
      <x:c r="O170" t="str">
        <x:f>IF(M170="","",M170/_xlfn.MAXIFS($M:$M,$E:$E,E170))</x:f>
      </x:c>
      <x:c r="P170" t="str">
        <x:f>IF(OR(N170="",O170=""),"",SQRT(N170*O170))</x:f>
      </x:c>
      <x:c r="Q170" t="str">
        <x:f>IF(OR(N170="",O170=""),"",N170^0.7*O170^0.3)</x:f>
      </x:c>
      <x:c r="R170" t="str">
        <x:f>IF(OR(N170="",O170=""),"",N170^0.3*O170^0.7)</x:f>
      </x:c>
    </x:row>
    <x:row r="171">
      <x:c r="A171" t="inlineStr">
        <x:is>
          <x:t xml:space="preserve">openai|gpt-5.6-luna|xhigh|reasoning|fallback-na|aa-v4.3.2|snapshot-2026-09-28</x:t>
        </x:is>
      </x:c>
      <x:c r="B171" t="inlineStr">
        <x:is>
          <x:t xml:space="preserve">openai|gpt-5.6-luna|xhigh|reasoning|fallback-na</x:t>
        </x:is>
      </x:c>
      <x:c r="C171" t="inlineStr">
        <x:is>
          <x:t xml:space="preserve">AA|v4.3.2</x:t>
        </x:is>
      </x:c>
      <x:c r="D171" t="n">
        <x:v>23</x:v>
      </x:c>
      <x:c r="E171" t="n">
        <x:v>30</x:v>
      </x:c>
      <x:c r="F171" t="n">
        <x:f>INDEX(Run_Metrics!$F:$F,D171)</x:f>
        <x:v>35</x:v>
      </x:c>
      <x:c r="G171" t="n">
        <x:f>INDEX(Run_Metrics!$G:$G,D171)</x:f>
        <x:v>0.09</x:v>
      </x:c>
      <x:c r="H171" t="str">
        <x:f>INDEX(Run_Metrics!$I:$I,D171)</x:f>
      </x:c>
      <x:c r="I171" t="n">
        <x:f>IF(F171="","",F171-(E171-1))</x:f>
        <x:v>6</x:v>
      </x:c>
      <x:c r="J171" t="n">
        <x:f>IF(I171&gt;0,1,0)</x:f>
        <x:v>1</x:v>
      </x:c>
      <x:c r="K171" t="n">
        <x:f>IF(OR(J171=0,G171="",G171=0),"",I171/G171)</x:f>
        <x:v>66.66666666666667</x:v>
      </x:c>
      <x:c r="L171" t="n">
        <x:f>IF(OR(J171=0,I171=0,G171=""),"",G171/I171)</x:f>
        <x:v>0.015</x:v>
      </x:c>
      <x:c r="M171" t="str">
        <x:f>IF(OR(J171=0,G171="",H171="",G171=0,H171=0),"",I171/(G171*H171))</x:f>
      </x:c>
      <x:c r="N171" t="n">
        <x:f>IF(K171="","",K171/_xlfn.MAXIFS($K:$K,$E:$E,E171))</x:f>
        <x:v>0.4444444444444445</x:v>
      </x:c>
      <x:c r="O171" t="str">
        <x:f>IF(M171="","",M171/_xlfn.MAXIFS($M:$M,$E:$E,E171))</x:f>
      </x:c>
      <x:c r="P171" t="str">
        <x:f>IF(OR(N171="",O171=""),"",SQRT(N171*O171))</x:f>
      </x:c>
      <x:c r="Q171" t="str">
        <x:f>IF(OR(N171="",O171=""),"",N171^0.7*O171^0.3)</x:f>
      </x:c>
      <x:c r="R171" t="str">
        <x:f>IF(OR(N171="",O171=""),"",N171^0.3*O171^0.7)</x:f>
      </x:c>
    </x:row>
    <x:row r="172">
      <x:c r="A172" t="inlineStr">
        <x:is>
          <x:t xml:space="preserve">openai|gpt-5.6-luna|xhigh|reasoning|fallback-na|aa-v4.3.2|snapshot-2026-09-28</x:t>
        </x:is>
      </x:c>
      <x:c r="B172" t="inlineStr">
        <x:is>
          <x:t xml:space="preserve">openai|gpt-5.6-luna|xhigh|reasoning|fallback-na</x:t>
        </x:is>
      </x:c>
      <x:c r="C172" t="inlineStr">
        <x:is>
          <x:t xml:space="preserve">AA|v4.3.2</x:t>
        </x:is>
      </x:c>
      <x:c r="D172" t="n">
        <x:v>23</x:v>
      </x:c>
      <x:c r="E172" t="n">
        <x:v>40</x:v>
      </x:c>
      <x:c r="F172" t="n">
        <x:f>INDEX(Run_Metrics!$F:$F,D172)</x:f>
        <x:v>35</x:v>
      </x:c>
      <x:c r="G172" t="n">
        <x:f>INDEX(Run_Metrics!$G:$G,D172)</x:f>
        <x:v>0.09</x:v>
      </x:c>
      <x:c r="H172" t="str">
        <x:f>INDEX(Run_Metrics!$I:$I,D172)</x:f>
      </x:c>
      <x:c r="I172" t="n">
        <x:f>IF(F172="","",F172-(E172-1))</x:f>
        <x:v>-4</x:v>
      </x:c>
      <x:c r="J172" t="n">
        <x:f>IF(I172&gt;0,1,0)</x:f>
        <x:v>0</x:v>
      </x:c>
      <x:c r="K172" t="str">
        <x:f>IF(OR(J172=0,G172="",G172=0),"",I172/G172)</x:f>
      </x:c>
      <x:c r="L172" t="str">
        <x:f>IF(OR(J172=0,I172=0,G172=""),"",G172/I172)</x:f>
      </x:c>
      <x:c r="M172" t="str">
        <x:f>IF(OR(J172=0,G172="",H172="",G172=0,H172=0),"",I172/(G172*H172))</x:f>
      </x:c>
      <x:c r="N172" t="str">
        <x:f>IF(K172="","",K172/_xlfn.MAXIFS($K:$K,$E:$E,E172))</x:f>
      </x:c>
      <x:c r="O172" t="str">
        <x:f>IF(M172="","",M172/_xlfn.MAXIFS($M:$M,$E:$E,E172))</x:f>
      </x:c>
      <x:c r="P172" t="str">
        <x:f>IF(OR(N172="",O172=""),"",SQRT(N172*O172))</x:f>
      </x:c>
      <x:c r="Q172" t="str">
        <x:f>IF(OR(N172="",O172=""),"",N172^0.7*O172^0.3)</x:f>
      </x:c>
      <x:c r="R172" t="str">
        <x:f>IF(OR(N172="",O172=""),"",N172^0.3*O172^0.7)</x:f>
      </x:c>
    </x:row>
    <x:row r="173">
      <x:c r="A173" t="inlineStr">
        <x:is>
          <x:t xml:space="preserve">openai|gpt-5.6-luna|xhigh|reasoning|fallback-na|aa-v4.3.2|snapshot-2026-09-28</x:t>
        </x:is>
      </x:c>
      <x:c r="B173" t="inlineStr">
        <x:is>
          <x:t xml:space="preserve">openai|gpt-5.6-luna|xhigh|reasoning|fallback-na</x:t>
        </x:is>
      </x:c>
      <x:c r="C173" t="inlineStr">
        <x:is>
          <x:t xml:space="preserve">AA|v4.3.2</x:t>
        </x:is>
      </x:c>
      <x:c r="D173" t="n">
        <x:v>23</x:v>
      </x:c>
      <x:c r="E173" t="n">
        <x:v>45</x:v>
      </x:c>
      <x:c r="F173" t="n">
        <x:f>INDEX(Run_Metrics!$F:$F,D173)</x:f>
        <x:v>35</x:v>
      </x:c>
      <x:c r="G173" t="n">
        <x:f>INDEX(Run_Metrics!$G:$G,D173)</x:f>
        <x:v>0.09</x:v>
      </x:c>
      <x:c r="H173" t="str">
        <x:f>INDEX(Run_Metrics!$I:$I,D173)</x:f>
      </x:c>
      <x:c r="I173" t="n">
        <x:f>IF(F173="","",F173-(E173-1))</x:f>
        <x:v>-9</x:v>
      </x:c>
      <x:c r="J173" t="n">
        <x:f>IF(I173&gt;0,1,0)</x:f>
        <x:v>0</x:v>
      </x:c>
      <x:c r="K173" t="str">
        <x:f>IF(OR(J173=0,G173="",G173=0),"",I173/G173)</x:f>
      </x:c>
      <x:c r="L173" t="str">
        <x:f>IF(OR(J173=0,I173=0,G173=""),"",G173/I173)</x:f>
      </x:c>
      <x:c r="M173" t="str">
        <x:f>IF(OR(J173=0,G173="",H173="",G173=0,H173=0),"",I173/(G173*H173))</x:f>
      </x:c>
      <x:c r="N173" t="str">
        <x:f>IF(K173="","",K173/_xlfn.MAXIFS($K:$K,$E:$E,E173))</x:f>
      </x:c>
      <x:c r="O173" t="str">
        <x:f>IF(M173="","",M173/_xlfn.MAXIFS($M:$M,$E:$E,E173))</x:f>
      </x:c>
      <x:c r="P173" t="str">
        <x:f>IF(OR(N173="",O173=""),"",SQRT(N173*O173))</x:f>
      </x:c>
      <x:c r="Q173" t="str">
        <x:f>IF(OR(N173="",O173=""),"",N173^0.7*O173^0.3)</x:f>
      </x:c>
      <x:c r="R173" t="str">
        <x:f>IF(OR(N173="",O173=""),"",N173^0.3*O173^0.7)</x:f>
      </x:c>
    </x:row>
    <x:row r="174">
      <x:c r="A174" t="inlineStr">
        <x:is>
          <x:t xml:space="preserve">openai|gpt-5.6-luna|xhigh|reasoning|fallback-na|aa-v4.3.2|snapshot-2026-09-28</x:t>
        </x:is>
      </x:c>
      <x:c r="B174" t="inlineStr">
        <x:is>
          <x:t xml:space="preserve">openai|gpt-5.6-luna|xhigh|reasoning|fallback-na</x:t>
        </x:is>
      </x:c>
      <x:c r="C174" t="inlineStr">
        <x:is>
          <x:t xml:space="preserve">AA|v4.3.2</x:t>
        </x:is>
      </x:c>
      <x:c r="D174" t="n">
        <x:v>23</x:v>
      </x:c>
      <x:c r="E174" t="n">
        <x:v>50</x:v>
      </x:c>
      <x:c r="F174" t="n">
        <x:f>INDEX(Run_Metrics!$F:$F,D174)</x:f>
        <x:v>35</x:v>
      </x:c>
      <x:c r="G174" t="n">
        <x:f>INDEX(Run_Metrics!$G:$G,D174)</x:f>
        <x:v>0.09</x:v>
      </x:c>
      <x:c r="H174" t="str">
        <x:f>INDEX(Run_Metrics!$I:$I,D174)</x:f>
      </x:c>
      <x:c r="I174" t="n">
        <x:f>IF(F174="","",F174-(E174-1))</x:f>
        <x:v>-14</x:v>
      </x:c>
      <x:c r="J174" t="n">
        <x:f>IF(I174&gt;0,1,0)</x:f>
        <x:v>0</x:v>
      </x:c>
      <x:c r="K174" t="str">
        <x:f>IF(OR(J174=0,G174="",G174=0),"",I174/G174)</x:f>
      </x:c>
      <x:c r="L174" t="str">
        <x:f>IF(OR(J174=0,I174=0,G174=""),"",G174/I174)</x:f>
      </x:c>
      <x:c r="M174" t="str">
        <x:f>IF(OR(J174=0,G174="",H174="",G174=0,H174=0),"",I174/(G174*H174))</x:f>
      </x:c>
      <x:c r="N174" t="str">
        <x:f>IF(K174="","",K174/_xlfn.MAXIFS($K:$K,$E:$E,E174))</x:f>
      </x:c>
      <x:c r="O174" t="str">
        <x:f>IF(M174="","",M174/_xlfn.MAXIFS($M:$M,$E:$E,E174))</x:f>
      </x:c>
      <x:c r="P174" t="str">
        <x:f>IF(OR(N174="",O174=""),"",SQRT(N174*O174))</x:f>
      </x:c>
      <x:c r="Q174" t="str">
        <x:f>IF(OR(N174="",O174=""),"",N174^0.7*O174^0.3)</x:f>
      </x:c>
      <x:c r="R174" t="str">
        <x:f>IF(OR(N174="",O174=""),"",N174^0.3*O174^0.7)</x:f>
      </x:c>
    </x:row>
    <x:row r="175">
      <x:c r="A175" t="inlineStr">
        <x:is>
          <x:t xml:space="preserve">openai|gpt-5.6-luna|xhigh|reasoning|fallback-na|aa-v4.3.2|snapshot-2026-09-28</x:t>
        </x:is>
      </x:c>
      <x:c r="B175" t="inlineStr">
        <x:is>
          <x:t xml:space="preserve">openai|gpt-5.6-luna|xhigh|reasoning|fallback-na</x:t>
        </x:is>
      </x:c>
      <x:c r="C175" t="inlineStr">
        <x:is>
          <x:t xml:space="preserve">AA|v4.3.2</x:t>
        </x:is>
      </x:c>
      <x:c r="D175" t="n">
        <x:v>23</x:v>
      </x:c>
      <x:c r="E175" t="n">
        <x:v>52</x:v>
      </x:c>
      <x:c r="F175" t="n">
        <x:f>INDEX(Run_Metrics!$F:$F,D175)</x:f>
        <x:v>35</x:v>
      </x:c>
      <x:c r="G175" t="n">
        <x:f>INDEX(Run_Metrics!$G:$G,D175)</x:f>
        <x:v>0.09</x:v>
      </x:c>
      <x:c r="H175" t="str">
        <x:f>INDEX(Run_Metrics!$I:$I,D175)</x:f>
      </x:c>
      <x:c r="I175" t="n">
        <x:f>IF(F175="","",F175-(E175-1))</x:f>
        <x:v>-16</x:v>
      </x:c>
      <x:c r="J175" t="n">
        <x:f>IF(I175&gt;0,1,0)</x:f>
        <x:v>0</x:v>
      </x:c>
      <x:c r="K175" t="str">
        <x:f>IF(OR(J175=0,G175="",G175=0),"",I175/G175)</x:f>
      </x:c>
      <x:c r="L175" t="str">
        <x:f>IF(OR(J175=0,I175=0,G175=""),"",G175/I175)</x:f>
      </x:c>
      <x:c r="M175" t="str">
        <x:f>IF(OR(J175=0,G175="",H175="",G175=0,H175=0),"",I175/(G175*H175))</x:f>
      </x:c>
      <x:c r="N175" t="str">
        <x:f>IF(K175="","",K175/_xlfn.MAXIFS($K:$K,$E:$E,E175))</x:f>
      </x:c>
      <x:c r="O175" t="str">
        <x:f>IF(M175="","",M175/_xlfn.MAXIFS($M:$M,$E:$E,E175))</x:f>
      </x:c>
      <x:c r="P175" t="str">
        <x:f>IF(OR(N175="",O175=""),"",SQRT(N175*O175))</x:f>
      </x:c>
      <x:c r="Q175" t="str">
        <x:f>IF(OR(N175="",O175=""),"",N175^0.7*O175^0.3)</x:f>
      </x:c>
      <x:c r="R175" t="str">
        <x:f>IF(OR(N175="",O175=""),"",N175^0.3*O175^0.7)</x:f>
      </x:c>
    </x:row>
    <x:row r="176">
      <x:c r="A176" t="inlineStr">
        <x:is>
          <x:t xml:space="preserve">openai|gpt-5.6-luna|xhigh|reasoning|fallback-na|aa-v4.3.2|snapshot-2026-09-28</x:t>
        </x:is>
      </x:c>
      <x:c r="B176" t="inlineStr">
        <x:is>
          <x:t xml:space="preserve">openai|gpt-5.6-luna|xhigh|reasoning|fallback-na</x:t>
        </x:is>
      </x:c>
      <x:c r="C176" t="inlineStr">
        <x:is>
          <x:t xml:space="preserve">AA|v4.3.2</x:t>
        </x:is>
      </x:c>
      <x:c r="D176" t="n">
        <x:v>23</x:v>
      </x:c>
      <x:c r="E176" t="n">
        <x:v>65</x:v>
      </x:c>
      <x:c r="F176" t="n">
        <x:f>INDEX(Run_Metrics!$F:$F,D176)</x:f>
        <x:v>35</x:v>
      </x:c>
      <x:c r="G176" t="n">
        <x:f>INDEX(Run_Metrics!$G:$G,D176)</x:f>
        <x:v>0.09</x:v>
      </x:c>
      <x:c r="H176" t="str">
        <x:f>INDEX(Run_Metrics!$I:$I,D176)</x:f>
      </x:c>
      <x:c r="I176" t="n">
        <x:f>IF(F176="","",F176-(E176-1))</x:f>
        <x:v>-29</x:v>
      </x:c>
      <x:c r="J176" t="n">
        <x:f>IF(I176&gt;0,1,0)</x:f>
        <x:v>0</x:v>
      </x:c>
      <x:c r="K176" t="str">
        <x:f>IF(OR(J176=0,G176="",G176=0),"",I176/G176)</x:f>
      </x:c>
      <x:c r="L176" t="str">
        <x:f>IF(OR(J176=0,I176=0,G176=""),"",G176/I176)</x:f>
      </x:c>
      <x:c r="M176" t="str">
        <x:f>IF(OR(J176=0,G176="",H176="",G176=0,H176=0),"",I176/(G176*H176))</x:f>
      </x:c>
      <x:c r="N176" t="str">
        <x:f>IF(K176="","",K176/_xlfn.MAXIFS($K:$K,$E:$E,E176))</x:f>
      </x:c>
      <x:c r="O176" t="str">
        <x:f>IF(M176="","",M176/_xlfn.MAXIFS($M:$M,$E:$E,E176))</x:f>
      </x:c>
      <x:c r="P176" t="str">
        <x:f>IF(OR(N176="",O176=""),"",SQRT(N176*O176))</x:f>
      </x:c>
      <x:c r="Q176" t="str">
        <x:f>IF(OR(N176="",O176=""),"",N176^0.7*O176^0.3)</x:f>
      </x:c>
      <x:c r="R176" t="str">
        <x:f>IF(OR(N176="",O176=""),"",N176^0.3*O176^0.7)</x:f>
      </x:c>
    </x:row>
    <x:row r="177">
      <x:c r="A177" t="inlineStr">
        <x:is>
          <x:t xml:space="preserve">openai|gpt-5.6-luna|xhigh|reasoning|fallback-na|aa-v4.3.2|snapshot-2026-09-28</x:t>
        </x:is>
      </x:c>
      <x:c r="B177" t="inlineStr">
        <x:is>
          <x:t xml:space="preserve">openai|gpt-5.6-luna|xhigh|reasoning|fallback-na</x:t>
        </x:is>
      </x:c>
      <x:c r="C177" t="inlineStr">
        <x:is>
          <x:t xml:space="preserve">AA|v4.3.2</x:t>
        </x:is>
      </x:c>
      <x:c r="D177" t="n">
        <x:v>23</x:v>
      </x:c>
      <x:c r="E177" t="n">
        <x:v>80</x:v>
      </x:c>
      <x:c r="F177" t="n">
        <x:f>INDEX(Run_Metrics!$F:$F,D177)</x:f>
        <x:v>35</x:v>
      </x:c>
      <x:c r="G177" t="n">
        <x:f>INDEX(Run_Metrics!$G:$G,D177)</x:f>
        <x:v>0.09</x:v>
      </x:c>
      <x:c r="H177" t="str">
        <x:f>INDEX(Run_Metrics!$I:$I,D177)</x:f>
      </x:c>
      <x:c r="I177" t="n">
        <x:f>IF(F177="","",F177-(E177-1))</x:f>
        <x:v>-44</x:v>
      </x:c>
      <x:c r="J177" t="n">
        <x:f>IF(I177&gt;0,1,0)</x:f>
        <x:v>0</x:v>
      </x:c>
      <x:c r="K177" t="str">
        <x:f>IF(OR(J177=0,G177="",G177=0),"",I177/G177)</x:f>
      </x:c>
      <x:c r="L177" t="str">
        <x:f>IF(OR(J177=0,I177=0,G177=""),"",G177/I177)</x:f>
      </x:c>
      <x:c r="M177" t="str">
        <x:f>IF(OR(J177=0,G177="",H177="",G177=0,H177=0),"",I177/(G177*H177))</x:f>
      </x:c>
      <x:c r="N177" t="str">
        <x:f>IF(K177="","",K177/_xlfn.MAXIFS($K:$K,$E:$E,E177))</x:f>
      </x:c>
      <x:c r="O177" t="str">
        <x:f>IF(M177="","",M177/_xlfn.MAXIFS($M:$M,$E:$E,E177))</x:f>
      </x:c>
      <x:c r="P177" t="str">
        <x:f>IF(OR(N177="",O177=""),"",SQRT(N177*O177))</x:f>
      </x:c>
      <x:c r="Q177" t="str">
        <x:f>IF(OR(N177="",O177=""),"",N177^0.7*O177^0.3)</x:f>
      </x:c>
      <x:c r="R177" t="str">
        <x:f>IF(OR(N177="",O177=""),"",N177^0.3*O177^0.7)</x:f>
      </x:c>
    </x:row>
    <x:row r="178">
      <x:c r="A178" t="inlineStr">
        <x:is>
          <x:t xml:space="preserve">openai|gpt-5.6-luna|max|reasoning|fallback-na|aa-v4.3.2|snapshot-2026-09-28</x:t>
        </x:is>
      </x:c>
      <x:c r="B178" t="inlineStr">
        <x:is>
          <x:t xml:space="preserve">openai|gpt-5.6-luna|max|reasoning|fallback-na</x:t>
        </x:is>
      </x:c>
      <x:c r="C178" t="inlineStr">
        <x:is>
          <x:t xml:space="preserve">AA|v4.3.2</x:t>
        </x:is>
      </x:c>
      <x:c r="D178" t="n">
        <x:v>24</x:v>
      </x:c>
      <x:c r="E178" t="n">
        <x:v>20</x:v>
      </x:c>
      <x:c r="F178" t="n">
        <x:f>INDEX(Run_Metrics!$F:$F,D178)</x:f>
        <x:v>37</x:v>
      </x:c>
      <x:c r="G178" t="n">
        <x:f>INDEX(Run_Metrics!$G:$G,D178)</x:f>
        <x:v>0.18</x:v>
      </x:c>
      <x:c r="H178" t="str">
        <x:f>INDEX(Run_Metrics!$I:$I,D178)</x:f>
      </x:c>
      <x:c r="I178" t="n">
        <x:f>IF(F178="","",F178-(E178-1))</x:f>
        <x:v>18</x:v>
      </x:c>
      <x:c r="J178" t="n">
        <x:f>IF(I178&gt;0,1,0)</x:f>
        <x:v>1</x:v>
      </x:c>
      <x:c r="K178" t="n">
        <x:f>IF(OR(J178=0,G178="",G178=0),"",I178/G178)</x:f>
        <x:v>100</x:v>
      </x:c>
      <x:c r="L178" t="n">
        <x:f>IF(OR(J178=0,I178=0,G178=""),"",G178/I178)</x:f>
        <x:v>0.01</x:v>
      </x:c>
      <x:c r="M178" t="str">
        <x:f>IF(OR(J178=0,G178="",H178="",G178=0,H178=0),"",I178/(G178*H178))</x:f>
      </x:c>
      <x:c r="N178" t="n">
        <x:f>IF(K178="","",K178/_xlfn.MAXIFS($K:$K,$E:$E,E178))</x:f>
        <x:v>0.15</x:v>
      </x:c>
      <x:c r="O178" t="str">
        <x:f>IF(M178="","",M178/_xlfn.MAXIFS($M:$M,$E:$E,E178))</x:f>
      </x:c>
      <x:c r="P178" t="str">
        <x:f>IF(OR(N178="",O178=""),"",SQRT(N178*O178))</x:f>
      </x:c>
      <x:c r="Q178" t="str">
        <x:f>IF(OR(N178="",O178=""),"",N178^0.7*O178^0.3)</x:f>
      </x:c>
      <x:c r="R178" t="str">
        <x:f>IF(OR(N178="",O178=""),"",N178^0.3*O178^0.7)</x:f>
      </x:c>
    </x:row>
    <x:row r="179">
      <x:c r="A179" t="inlineStr">
        <x:is>
          <x:t xml:space="preserve">openai|gpt-5.6-luna|max|reasoning|fallback-na|aa-v4.3.2|snapshot-2026-09-28</x:t>
        </x:is>
      </x:c>
      <x:c r="B179" t="inlineStr">
        <x:is>
          <x:t xml:space="preserve">openai|gpt-5.6-luna|max|reasoning|fallback-na</x:t>
        </x:is>
      </x:c>
      <x:c r="C179" t="inlineStr">
        <x:is>
          <x:t xml:space="preserve">AA|v4.3.2</x:t>
        </x:is>
      </x:c>
      <x:c r="D179" t="n">
        <x:v>24</x:v>
      </x:c>
      <x:c r="E179" t="n">
        <x:v>30</x:v>
      </x:c>
      <x:c r="F179" t="n">
        <x:f>INDEX(Run_Metrics!$F:$F,D179)</x:f>
        <x:v>37</x:v>
      </x:c>
      <x:c r="G179" t="n">
        <x:f>INDEX(Run_Metrics!$G:$G,D179)</x:f>
        <x:v>0.18</x:v>
      </x:c>
      <x:c r="H179" t="str">
        <x:f>INDEX(Run_Metrics!$I:$I,D179)</x:f>
      </x:c>
      <x:c r="I179" t="n">
        <x:f>IF(F179="","",F179-(E179-1))</x:f>
        <x:v>8</x:v>
      </x:c>
      <x:c r="J179" t="n">
        <x:f>IF(I179&gt;0,1,0)</x:f>
        <x:v>1</x:v>
      </x:c>
      <x:c r="K179" t="n">
        <x:f>IF(OR(J179=0,G179="",G179=0),"",I179/G179)</x:f>
        <x:v>44.44444444444444</x:v>
      </x:c>
      <x:c r="L179" t="n">
        <x:f>IF(OR(J179=0,I179=0,G179=""),"",G179/I179)</x:f>
        <x:v>0.0225</x:v>
      </x:c>
      <x:c r="M179" t="str">
        <x:f>IF(OR(J179=0,G179="",H179="",G179=0,H179=0),"",I179/(G179*H179))</x:f>
      </x:c>
      <x:c r="N179" t="n">
        <x:f>IF(K179="","",K179/_xlfn.MAXIFS($K:$K,$E:$E,E179))</x:f>
        <x:v>0.2962962962962963</x:v>
      </x:c>
      <x:c r="O179" t="str">
        <x:f>IF(M179="","",M179/_xlfn.MAXIFS($M:$M,$E:$E,E179))</x:f>
      </x:c>
      <x:c r="P179" t="str">
        <x:f>IF(OR(N179="",O179=""),"",SQRT(N179*O179))</x:f>
      </x:c>
      <x:c r="Q179" t="str">
        <x:f>IF(OR(N179="",O179=""),"",N179^0.7*O179^0.3)</x:f>
      </x:c>
      <x:c r="R179" t="str">
        <x:f>IF(OR(N179="",O179=""),"",N179^0.3*O179^0.7)</x:f>
      </x:c>
    </x:row>
    <x:row r="180">
      <x:c r="A180" t="inlineStr">
        <x:is>
          <x:t xml:space="preserve">openai|gpt-5.6-luna|max|reasoning|fallback-na|aa-v4.3.2|snapshot-2026-09-28</x:t>
        </x:is>
      </x:c>
      <x:c r="B180" t="inlineStr">
        <x:is>
          <x:t xml:space="preserve">openai|gpt-5.6-luna|max|reasoning|fallback-na</x:t>
        </x:is>
      </x:c>
      <x:c r="C180" t="inlineStr">
        <x:is>
          <x:t xml:space="preserve">AA|v4.3.2</x:t>
        </x:is>
      </x:c>
      <x:c r="D180" t="n">
        <x:v>24</x:v>
      </x:c>
      <x:c r="E180" t="n">
        <x:v>40</x:v>
      </x:c>
      <x:c r="F180" t="n">
        <x:f>INDEX(Run_Metrics!$F:$F,D180)</x:f>
        <x:v>37</x:v>
      </x:c>
      <x:c r="G180" t="n">
        <x:f>INDEX(Run_Metrics!$G:$G,D180)</x:f>
        <x:v>0.18</x:v>
      </x:c>
      <x:c r="H180" t="str">
        <x:f>INDEX(Run_Metrics!$I:$I,D180)</x:f>
      </x:c>
      <x:c r="I180" t="n">
        <x:f>IF(F180="","",F180-(E180-1))</x:f>
        <x:v>-2</x:v>
      </x:c>
      <x:c r="J180" t="n">
        <x:f>IF(I180&gt;0,1,0)</x:f>
        <x:v>0</x:v>
      </x:c>
      <x:c r="K180" t="str">
        <x:f>IF(OR(J180=0,G180="",G180=0),"",I180/G180)</x:f>
      </x:c>
      <x:c r="L180" t="str">
        <x:f>IF(OR(J180=0,I180=0,G180=""),"",G180/I180)</x:f>
      </x:c>
      <x:c r="M180" t="str">
        <x:f>IF(OR(J180=0,G180="",H180="",G180=0,H180=0),"",I180/(G180*H180))</x:f>
      </x:c>
      <x:c r="N180" t="str">
        <x:f>IF(K180="","",K180/_xlfn.MAXIFS($K:$K,$E:$E,E180))</x:f>
      </x:c>
      <x:c r="O180" t="str">
        <x:f>IF(M180="","",M180/_xlfn.MAXIFS($M:$M,$E:$E,E180))</x:f>
      </x:c>
      <x:c r="P180" t="str">
        <x:f>IF(OR(N180="",O180=""),"",SQRT(N180*O180))</x:f>
      </x:c>
      <x:c r="Q180" t="str">
        <x:f>IF(OR(N180="",O180=""),"",N180^0.7*O180^0.3)</x:f>
      </x:c>
      <x:c r="R180" t="str">
        <x:f>IF(OR(N180="",O180=""),"",N180^0.3*O180^0.7)</x:f>
      </x:c>
    </x:row>
    <x:row r="181">
      <x:c r="A181" t="inlineStr">
        <x:is>
          <x:t xml:space="preserve">openai|gpt-5.6-luna|max|reasoning|fallback-na|aa-v4.3.2|snapshot-2026-09-28</x:t>
        </x:is>
      </x:c>
      <x:c r="B181" t="inlineStr">
        <x:is>
          <x:t xml:space="preserve">openai|gpt-5.6-luna|max|reasoning|fallback-na</x:t>
        </x:is>
      </x:c>
      <x:c r="C181" t="inlineStr">
        <x:is>
          <x:t xml:space="preserve">AA|v4.3.2</x:t>
        </x:is>
      </x:c>
      <x:c r="D181" t="n">
        <x:v>24</x:v>
      </x:c>
      <x:c r="E181" t="n">
        <x:v>45</x:v>
      </x:c>
      <x:c r="F181" t="n">
        <x:f>INDEX(Run_Metrics!$F:$F,D181)</x:f>
        <x:v>37</x:v>
      </x:c>
      <x:c r="G181" t="n">
        <x:f>INDEX(Run_Metrics!$G:$G,D181)</x:f>
        <x:v>0.18</x:v>
      </x:c>
      <x:c r="H181" t="str">
        <x:f>INDEX(Run_Metrics!$I:$I,D181)</x:f>
      </x:c>
      <x:c r="I181" t="n">
        <x:f>IF(F181="","",F181-(E181-1))</x:f>
        <x:v>-7</x:v>
      </x:c>
      <x:c r="J181" t="n">
        <x:f>IF(I181&gt;0,1,0)</x:f>
        <x:v>0</x:v>
      </x:c>
      <x:c r="K181" t="str">
        <x:f>IF(OR(J181=0,G181="",G181=0),"",I181/G181)</x:f>
      </x:c>
      <x:c r="L181" t="str">
        <x:f>IF(OR(J181=0,I181=0,G181=""),"",G181/I181)</x:f>
      </x:c>
      <x:c r="M181" t="str">
        <x:f>IF(OR(J181=0,G181="",H181="",G181=0,H181=0),"",I181/(G181*H181))</x:f>
      </x:c>
      <x:c r="N181" t="str">
        <x:f>IF(K181="","",K181/_xlfn.MAXIFS($K:$K,$E:$E,E181))</x:f>
      </x:c>
      <x:c r="O181" t="str">
        <x:f>IF(M181="","",M181/_xlfn.MAXIFS($M:$M,$E:$E,E181))</x:f>
      </x:c>
      <x:c r="P181" t="str">
        <x:f>IF(OR(N181="",O181=""),"",SQRT(N181*O181))</x:f>
      </x:c>
      <x:c r="Q181" t="str">
        <x:f>IF(OR(N181="",O181=""),"",N181^0.7*O181^0.3)</x:f>
      </x:c>
      <x:c r="R181" t="str">
        <x:f>IF(OR(N181="",O181=""),"",N181^0.3*O181^0.7)</x:f>
      </x:c>
    </x:row>
    <x:row r="182">
      <x:c r="A182" t="inlineStr">
        <x:is>
          <x:t xml:space="preserve">openai|gpt-5.6-luna|max|reasoning|fallback-na|aa-v4.3.2|snapshot-2026-09-28</x:t>
        </x:is>
      </x:c>
      <x:c r="B182" t="inlineStr">
        <x:is>
          <x:t xml:space="preserve">openai|gpt-5.6-luna|max|reasoning|fallback-na</x:t>
        </x:is>
      </x:c>
      <x:c r="C182" t="inlineStr">
        <x:is>
          <x:t xml:space="preserve">AA|v4.3.2</x:t>
        </x:is>
      </x:c>
      <x:c r="D182" t="n">
        <x:v>24</x:v>
      </x:c>
      <x:c r="E182" t="n">
        <x:v>50</x:v>
      </x:c>
      <x:c r="F182" t="n">
        <x:f>INDEX(Run_Metrics!$F:$F,D182)</x:f>
        <x:v>37</x:v>
      </x:c>
      <x:c r="G182" t="n">
        <x:f>INDEX(Run_Metrics!$G:$G,D182)</x:f>
        <x:v>0.18</x:v>
      </x:c>
      <x:c r="H182" t="str">
        <x:f>INDEX(Run_Metrics!$I:$I,D182)</x:f>
      </x:c>
      <x:c r="I182" t="n">
        <x:f>IF(F182="","",F182-(E182-1))</x:f>
        <x:v>-12</x:v>
      </x:c>
      <x:c r="J182" t="n">
        <x:f>IF(I182&gt;0,1,0)</x:f>
        <x:v>0</x:v>
      </x:c>
      <x:c r="K182" t="str">
        <x:f>IF(OR(J182=0,G182="",G182=0),"",I182/G182)</x:f>
      </x:c>
      <x:c r="L182" t="str">
        <x:f>IF(OR(J182=0,I182=0,G182=""),"",G182/I182)</x:f>
      </x:c>
      <x:c r="M182" t="str">
        <x:f>IF(OR(J182=0,G182="",H182="",G182=0,H182=0),"",I182/(G182*H182))</x:f>
      </x:c>
      <x:c r="N182" t="str">
        <x:f>IF(K182="","",K182/_xlfn.MAXIFS($K:$K,$E:$E,E182))</x:f>
      </x:c>
      <x:c r="O182" t="str">
        <x:f>IF(M182="","",M182/_xlfn.MAXIFS($M:$M,$E:$E,E182))</x:f>
      </x:c>
      <x:c r="P182" t="str">
        <x:f>IF(OR(N182="",O182=""),"",SQRT(N182*O182))</x:f>
      </x:c>
      <x:c r="Q182" t="str">
        <x:f>IF(OR(N182="",O182=""),"",N182^0.7*O182^0.3)</x:f>
      </x:c>
      <x:c r="R182" t="str">
        <x:f>IF(OR(N182="",O182=""),"",N182^0.3*O182^0.7)</x:f>
      </x:c>
    </x:row>
    <x:row r="183">
      <x:c r="A183" t="inlineStr">
        <x:is>
          <x:t xml:space="preserve">openai|gpt-5.6-luna|max|reasoning|fallback-na|aa-v4.3.2|snapshot-2026-09-28</x:t>
        </x:is>
      </x:c>
      <x:c r="B183" t="inlineStr">
        <x:is>
          <x:t xml:space="preserve">openai|gpt-5.6-luna|max|reasoning|fallback-na</x:t>
        </x:is>
      </x:c>
      <x:c r="C183" t="inlineStr">
        <x:is>
          <x:t xml:space="preserve">AA|v4.3.2</x:t>
        </x:is>
      </x:c>
      <x:c r="D183" t="n">
        <x:v>24</x:v>
      </x:c>
      <x:c r="E183" t="n">
        <x:v>52</x:v>
      </x:c>
      <x:c r="F183" t="n">
        <x:f>INDEX(Run_Metrics!$F:$F,D183)</x:f>
        <x:v>37</x:v>
      </x:c>
      <x:c r="G183" t="n">
        <x:f>INDEX(Run_Metrics!$G:$G,D183)</x:f>
        <x:v>0.18</x:v>
      </x:c>
      <x:c r="H183" t="str">
        <x:f>INDEX(Run_Metrics!$I:$I,D183)</x:f>
      </x:c>
      <x:c r="I183" t="n">
        <x:f>IF(F183="","",F183-(E183-1))</x:f>
        <x:v>-14</x:v>
      </x:c>
      <x:c r="J183" t="n">
        <x:f>IF(I183&gt;0,1,0)</x:f>
        <x:v>0</x:v>
      </x:c>
      <x:c r="K183" t="str">
        <x:f>IF(OR(J183=0,G183="",G183=0),"",I183/G183)</x:f>
      </x:c>
      <x:c r="L183" t="str">
        <x:f>IF(OR(J183=0,I183=0,G183=""),"",G183/I183)</x:f>
      </x:c>
      <x:c r="M183" t="str">
        <x:f>IF(OR(J183=0,G183="",H183="",G183=0,H183=0),"",I183/(G183*H183))</x:f>
      </x:c>
      <x:c r="N183" t="str">
        <x:f>IF(K183="","",K183/_xlfn.MAXIFS($K:$K,$E:$E,E183))</x:f>
      </x:c>
      <x:c r="O183" t="str">
        <x:f>IF(M183="","",M183/_xlfn.MAXIFS($M:$M,$E:$E,E183))</x:f>
      </x:c>
      <x:c r="P183" t="str">
        <x:f>IF(OR(N183="",O183=""),"",SQRT(N183*O183))</x:f>
      </x:c>
      <x:c r="Q183" t="str">
        <x:f>IF(OR(N183="",O183=""),"",N183^0.7*O183^0.3)</x:f>
      </x:c>
      <x:c r="R183" t="str">
        <x:f>IF(OR(N183="",O183=""),"",N183^0.3*O183^0.7)</x:f>
      </x:c>
    </x:row>
    <x:row r="184">
      <x:c r="A184" t="inlineStr">
        <x:is>
          <x:t xml:space="preserve">openai|gpt-5.6-luna|max|reasoning|fallback-na|aa-v4.3.2|snapshot-2026-09-28</x:t>
        </x:is>
      </x:c>
      <x:c r="B184" t="inlineStr">
        <x:is>
          <x:t xml:space="preserve">openai|gpt-5.6-luna|max|reasoning|fallback-na</x:t>
        </x:is>
      </x:c>
      <x:c r="C184" t="inlineStr">
        <x:is>
          <x:t xml:space="preserve">AA|v4.3.2</x:t>
        </x:is>
      </x:c>
      <x:c r="D184" t="n">
        <x:v>24</x:v>
      </x:c>
      <x:c r="E184" t="n">
        <x:v>65</x:v>
      </x:c>
      <x:c r="F184" t="n">
        <x:f>INDEX(Run_Metrics!$F:$F,D184)</x:f>
        <x:v>37</x:v>
      </x:c>
      <x:c r="G184" t="n">
        <x:f>INDEX(Run_Metrics!$G:$G,D184)</x:f>
        <x:v>0.18</x:v>
      </x:c>
      <x:c r="H184" t="str">
        <x:f>INDEX(Run_Metrics!$I:$I,D184)</x:f>
      </x:c>
      <x:c r="I184" t="n">
        <x:f>IF(F184="","",F184-(E184-1))</x:f>
        <x:v>-27</x:v>
      </x:c>
      <x:c r="J184" t="n">
        <x:f>IF(I184&gt;0,1,0)</x:f>
        <x:v>0</x:v>
      </x:c>
      <x:c r="K184" t="str">
        <x:f>IF(OR(J184=0,G184="",G184=0),"",I184/G184)</x:f>
      </x:c>
      <x:c r="L184" t="str">
        <x:f>IF(OR(J184=0,I184=0,G184=""),"",G184/I184)</x:f>
      </x:c>
      <x:c r="M184" t="str">
        <x:f>IF(OR(J184=0,G184="",H184="",G184=0,H184=0),"",I184/(G184*H184))</x:f>
      </x:c>
      <x:c r="N184" t="str">
        <x:f>IF(K184="","",K184/_xlfn.MAXIFS($K:$K,$E:$E,E184))</x:f>
      </x:c>
      <x:c r="O184" t="str">
        <x:f>IF(M184="","",M184/_xlfn.MAXIFS($M:$M,$E:$E,E184))</x:f>
      </x:c>
      <x:c r="P184" t="str">
        <x:f>IF(OR(N184="",O184=""),"",SQRT(N184*O184))</x:f>
      </x:c>
      <x:c r="Q184" t="str">
        <x:f>IF(OR(N184="",O184=""),"",N184^0.7*O184^0.3)</x:f>
      </x:c>
      <x:c r="R184" t="str">
        <x:f>IF(OR(N184="",O184=""),"",N184^0.3*O184^0.7)</x:f>
      </x:c>
    </x:row>
    <x:row r="185">
      <x:c r="A185" t="inlineStr">
        <x:is>
          <x:t xml:space="preserve">openai|gpt-5.6-luna|max|reasoning|fallback-na|aa-v4.3.2|snapshot-2026-09-28</x:t>
        </x:is>
      </x:c>
      <x:c r="B185" t="inlineStr">
        <x:is>
          <x:t xml:space="preserve">openai|gpt-5.6-luna|max|reasoning|fallback-na</x:t>
        </x:is>
      </x:c>
      <x:c r="C185" t="inlineStr">
        <x:is>
          <x:t xml:space="preserve">AA|v4.3.2</x:t>
        </x:is>
      </x:c>
      <x:c r="D185" t="n">
        <x:v>24</x:v>
      </x:c>
      <x:c r="E185" t="n">
        <x:v>80</x:v>
      </x:c>
      <x:c r="F185" t="n">
        <x:f>INDEX(Run_Metrics!$F:$F,D185)</x:f>
        <x:v>37</x:v>
      </x:c>
      <x:c r="G185" t="n">
        <x:f>INDEX(Run_Metrics!$G:$G,D185)</x:f>
        <x:v>0.18</x:v>
      </x:c>
      <x:c r="H185" t="str">
        <x:f>INDEX(Run_Metrics!$I:$I,D185)</x:f>
      </x:c>
      <x:c r="I185" t="n">
        <x:f>IF(F185="","",F185-(E185-1))</x:f>
        <x:v>-42</x:v>
      </x:c>
      <x:c r="J185" t="n">
        <x:f>IF(I185&gt;0,1,0)</x:f>
        <x:v>0</x:v>
      </x:c>
      <x:c r="K185" t="str">
        <x:f>IF(OR(J185=0,G185="",G185=0),"",I185/G185)</x:f>
      </x:c>
      <x:c r="L185" t="str">
        <x:f>IF(OR(J185=0,I185=0,G185=""),"",G185/I185)</x:f>
      </x:c>
      <x:c r="M185" t="str">
        <x:f>IF(OR(J185=0,G185="",H185="",G185=0,H185=0),"",I185/(G185*H185))</x:f>
      </x:c>
      <x:c r="N185" t="str">
        <x:f>IF(K185="","",K185/_xlfn.MAXIFS($K:$K,$E:$E,E185))</x:f>
      </x:c>
      <x:c r="O185" t="str">
        <x:f>IF(M185="","",M185/_xlfn.MAXIFS($M:$M,$E:$E,E185))</x:f>
      </x:c>
      <x:c r="P185" t="str">
        <x:f>IF(OR(N185="",O185=""),"",SQRT(N185*O185))</x:f>
      </x:c>
      <x:c r="Q185" t="str">
        <x:f>IF(OR(N185="",O185=""),"",N185^0.7*O185^0.3)</x:f>
      </x:c>
      <x:c r="R185" t="str">
        <x:f>IF(OR(N185="",O185=""),"",N185^0.3*O185^0.7)</x:f>
      </x:c>
    </x:row>
    <x:row r="186">
      <x:c r="A186" t="inlineStr">
        <x:is>
          <x:t xml:space="preserve">openai|gpt-5.6-sol|non-reasoning|nonreasoning|fallback-na|aa-v4.3.2|snapshot-2026-09-28</x:t>
        </x:is>
      </x:c>
      <x:c r="B186" t="inlineStr">
        <x:is>
          <x:t xml:space="preserve">openai|gpt-5.6-sol|non-reasoning|nonreasoning|fallback-na</x:t>
        </x:is>
      </x:c>
      <x:c r="C186" t="inlineStr">
        <x:is>
          <x:t xml:space="preserve">AA|v4.3.2</x:t>
        </x:is>
      </x:c>
      <x:c r="D186" t="n">
        <x:v>25</x:v>
      </x:c>
      <x:c r="E186" t="n">
        <x:v>20</x:v>
      </x:c>
      <x:c r="F186" t="n">
        <x:f>INDEX(Run_Metrics!$F:$F,D186)</x:f>
        <x:v>28</x:v>
      </x:c>
      <x:c r="G186" t="str">
        <x:f>INDEX(Run_Metrics!$G:$G,D186)</x:f>
      </x:c>
      <x:c r="H186" t="str">
        <x:f>INDEX(Run_Metrics!$I:$I,D186)</x:f>
      </x:c>
      <x:c r="I186" t="n">
        <x:f>IF(F186="","",F186-(E186-1))</x:f>
        <x:v>9</x:v>
      </x:c>
      <x:c r="J186" t="n">
        <x:f>IF(I186&gt;0,1,0)</x:f>
        <x:v>1</x:v>
      </x:c>
      <x:c r="K186" t="str">
        <x:f>IF(OR(J186=0,G186="",G186=0),"",I186/G186)</x:f>
      </x:c>
      <x:c r="L186" t="str">
        <x:f>IF(OR(J186=0,I186=0,G186=""),"",G186/I186)</x:f>
      </x:c>
      <x:c r="M186" t="str">
        <x:f>IF(OR(J186=0,G186="",H186="",G186=0,H186=0),"",I186/(G186*H186))</x:f>
      </x:c>
      <x:c r="N186" t="str">
        <x:f>IF(K186="","",K186/_xlfn.MAXIFS($K:$K,$E:$E,E186))</x:f>
      </x:c>
      <x:c r="O186" t="str">
        <x:f>IF(M186="","",M186/_xlfn.MAXIFS($M:$M,$E:$E,E186))</x:f>
      </x:c>
      <x:c r="P186" t="str">
        <x:f>IF(OR(N186="",O186=""),"",SQRT(N186*O186))</x:f>
      </x:c>
      <x:c r="Q186" t="str">
        <x:f>IF(OR(N186="",O186=""),"",N186^0.7*O186^0.3)</x:f>
      </x:c>
      <x:c r="R186" t="str">
        <x:f>IF(OR(N186="",O186=""),"",N186^0.3*O186^0.7)</x:f>
      </x:c>
    </x:row>
    <x:row r="187">
      <x:c r="A187" t="inlineStr">
        <x:is>
          <x:t xml:space="preserve">openai|gpt-5.6-sol|non-reasoning|nonreasoning|fallback-na|aa-v4.3.2|snapshot-2026-09-28</x:t>
        </x:is>
      </x:c>
      <x:c r="B187" t="inlineStr">
        <x:is>
          <x:t xml:space="preserve">openai|gpt-5.6-sol|non-reasoning|nonreasoning|fallback-na</x:t>
        </x:is>
      </x:c>
      <x:c r="C187" t="inlineStr">
        <x:is>
          <x:t xml:space="preserve">AA|v4.3.2</x:t>
        </x:is>
      </x:c>
      <x:c r="D187" t="n">
        <x:v>25</x:v>
      </x:c>
      <x:c r="E187" t="n">
        <x:v>30</x:v>
      </x:c>
      <x:c r="F187" t="n">
        <x:f>INDEX(Run_Metrics!$F:$F,D187)</x:f>
        <x:v>28</x:v>
      </x:c>
      <x:c r="G187" t="str">
        <x:f>INDEX(Run_Metrics!$G:$G,D187)</x:f>
      </x:c>
      <x:c r="H187" t="str">
        <x:f>INDEX(Run_Metrics!$I:$I,D187)</x:f>
      </x:c>
      <x:c r="I187" t="n">
        <x:f>IF(F187="","",F187-(E187-1))</x:f>
        <x:v>-1</x:v>
      </x:c>
      <x:c r="J187" t="n">
        <x:f>IF(I187&gt;0,1,0)</x:f>
        <x:v>0</x:v>
      </x:c>
      <x:c r="K187" t="str">
        <x:f>IF(OR(J187=0,G187="",G187=0),"",I187/G187)</x:f>
      </x:c>
      <x:c r="L187" t="str">
        <x:f>IF(OR(J187=0,I187=0,G187=""),"",G187/I187)</x:f>
      </x:c>
      <x:c r="M187" t="str">
        <x:f>IF(OR(J187=0,G187="",H187="",G187=0,H187=0),"",I187/(G187*H187))</x:f>
      </x:c>
      <x:c r="N187" t="str">
        <x:f>IF(K187="","",K187/_xlfn.MAXIFS($K:$K,$E:$E,E187))</x:f>
      </x:c>
      <x:c r="O187" t="str">
        <x:f>IF(M187="","",M187/_xlfn.MAXIFS($M:$M,$E:$E,E187))</x:f>
      </x:c>
      <x:c r="P187" t="str">
        <x:f>IF(OR(N187="",O187=""),"",SQRT(N187*O187))</x:f>
      </x:c>
      <x:c r="Q187" t="str">
        <x:f>IF(OR(N187="",O187=""),"",N187^0.7*O187^0.3)</x:f>
      </x:c>
      <x:c r="R187" t="str">
        <x:f>IF(OR(N187="",O187=""),"",N187^0.3*O187^0.7)</x:f>
      </x:c>
    </x:row>
    <x:row r="188">
      <x:c r="A188" t="inlineStr">
        <x:is>
          <x:t xml:space="preserve">openai|gpt-5.6-sol|non-reasoning|nonreasoning|fallback-na|aa-v4.3.2|snapshot-2026-09-28</x:t>
        </x:is>
      </x:c>
      <x:c r="B188" t="inlineStr">
        <x:is>
          <x:t xml:space="preserve">openai|gpt-5.6-sol|non-reasoning|nonreasoning|fallback-na</x:t>
        </x:is>
      </x:c>
      <x:c r="C188" t="inlineStr">
        <x:is>
          <x:t xml:space="preserve">AA|v4.3.2</x:t>
        </x:is>
      </x:c>
      <x:c r="D188" t="n">
        <x:v>25</x:v>
      </x:c>
      <x:c r="E188" t="n">
        <x:v>40</x:v>
      </x:c>
      <x:c r="F188" t="n">
        <x:f>INDEX(Run_Metrics!$F:$F,D188)</x:f>
        <x:v>28</x:v>
      </x:c>
      <x:c r="G188" t="str">
        <x:f>INDEX(Run_Metrics!$G:$G,D188)</x:f>
      </x:c>
      <x:c r="H188" t="str">
        <x:f>INDEX(Run_Metrics!$I:$I,D188)</x:f>
      </x:c>
      <x:c r="I188" t="n">
        <x:f>IF(F188="","",F188-(E188-1))</x:f>
        <x:v>-11</x:v>
      </x:c>
      <x:c r="J188" t="n">
        <x:f>IF(I188&gt;0,1,0)</x:f>
        <x:v>0</x:v>
      </x:c>
      <x:c r="K188" t="str">
        <x:f>IF(OR(J188=0,G188="",G188=0),"",I188/G188)</x:f>
      </x:c>
      <x:c r="L188" t="str">
        <x:f>IF(OR(J188=0,I188=0,G188=""),"",G188/I188)</x:f>
      </x:c>
      <x:c r="M188" t="str">
        <x:f>IF(OR(J188=0,G188="",H188="",G188=0,H188=0),"",I188/(G188*H188))</x:f>
      </x:c>
      <x:c r="N188" t="str">
        <x:f>IF(K188="","",K188/_xlfn.MAXIFS($K:$K,$E:$E,E188))</x:f>
      </x:c>
      <x:c r="O188" t="str">
        <x:f>IF(M188="","",M188/_xlfn.MAXIFS($M:$M,$E:$E,E188))</x:f>
      </x:c>
      <x:c r="P188" t="str">
        <x:f>IF(OR(N188="",O188=""),"",SQRT(N188*O188))</x:f>
      </x:c>
      <x:c r="Q188" t="str">
        <x:f>IF(OR(N188="",O188=""),"",N188^0.7*O188^0.3)</x:f>
      </x:c>
      <x:c r="R188" t="str">
        <x:f>IF(OR(N188="",O188=""),"",N188^0.3*O188^0.7)</x:f>
      </x:c>
    </x:row>
    <x:row r="189">
      <x:c r="A189" t="inlineStr">
        <x:is>
          <x:t xml:space="preserve">openai|gpt-5.6-sol|non-reasoning|nonreasoning|fallback-na|aa-v4.3.2|snapshot-2026-09-28</x:t>
        </x:is>
      </x:c>
      <x:c r="B189" t="inlineStr">
        <x:is>
          <x:t xml:space="preserve">openai|gpt-5.6-sol|non-reasoning|nonreasoning|fallback-na</x:t>
        </x:is>
      </x:c>
      <x:c r="C189" t="inlineStr">
        <x:is>
          <x:t xml:space="preserve">AA|v4.3.2</x:t>
        </x:is>
      </x:c>
      <x:c r="D189" t="n">
        <x:v>25</x:v>
      </x:c>
      <x:c r="E189" t="n">
        <x:v>45</x:v>
      </x:c>
      <x:c r="F189" t="n">
        <x:f>INDEX(Run_Metrics!$F:$F,D189)</x:f>
        <x:v>28</x:v>
      </x:c>
      <x:c r="G189" t="str">
        <x:f>INDEX(Run_Metrics!$G:$G,D189)</x:f>
      </x:c>
      <x:c r="H189" t="str">
        <x:f>INDEX(Run_Metrics!$I:$I,D189)</x:f>
      </x:c>
      <x:c r="I189" t="n">
        <x:f>IF(F189="","",F189-(E189-1))</x:f>
        <x:v>-16</x:v>
      </x:c>
      <x:c r="J189" t="n">
        <x:f>IF(I189&gt;0,1,0)</x:f>
        <x:v>0</x:v>
      </x:c>
      <x:c r="K189" t="str">
        <x:f>IF(OR(J189=0,G189="",G189=0),"",I189/G189)</x:f>
      </x:c>
      <x:c r="L189" t="str">
        <x:f>IF(OR(J189=0,I189=0,G189=""),"",G189/I189)</x:f>
      </x:c>
      <x:c r="M189" t="str">
        <x:f>IF(OR(J189=0,G189="",H189="",G189=0,H189=0),"",I189/(G189*H189))</x:f>
      </x:c>
      <x:c r="N189" t="str">
        <x:f>IF(K189="","",K189/_xlfn.MAXIFS($K:$K,$E:$E,E189))</x:f>
      </x:c>
      <x:c r="O189" t="str">
        <x:f>IF(M189="","",M189/_xlfn.MAXIFS($M:$M,$E:$E,E189))</x:f>
      </x:c>
      <x:c r="P189" t="str">
        <x:f>IF(OR(N189="",O189=""),"",SQRT(N189*O189))</x:f>
      </x:c>
      <x:c r="Q189" t="str">
        <x:f>IF(OR(N189="",O189=""),"",N189^0.7*O189^0.3)</x:f>
      </x:c>
      <x:c r="R189" t="str">
        <x:f>IF(OR(N189="",O189=""),"",N189^0.3*O189^0.7)</x:f>
      </x:c>
    </x:row>
    <x:row r="190">
      <x:c r="A190" t="inlineStr">
        <x:is>
          <x:t xml:space="preserve">openai|gpt-5.6-sol|non-reasoning|nonreasoning|fallback-na|aa-v4.3.2|snapshot-2026-09-28</x:t>
        </x:is>
      </x:c>
      <x:c r="B190" t="inlineStr">
        <x:is>
          <x:t xml:space="preserve">openai|gpt-5.6-sol|non-reasoning|nonreasoning|fallback-na</x:t>
        </x:is>
      </x:c>
      <x:c r="C190" t="inlineStr">
        <x:is>
          <x:t xml:space="preserve">AA|v4.3.2</x:t>
        </x:is>
      </x:c>
      <x:c r="D190" t="n">
        <x:v>25</x:v>
      </x:c>
      <x:c r="E190" t="n">
        <x:v>50</x:v>
      </x:c>
      <x:c r="F190" t="n">
        <x:f>INDEX(Run_Metrics!$F:$F,D190)</x:f>
        <x:v>28</x:v>
      </x:c>
      <x:c r="G190" t="str">
        <x:f>INDEX(Run_Metrics!$G:$G,D190)</x:f>
      </x:c>
      <x:c r="H190" t="str">
        <x:f>INDEX(Run_Metrics!$I:$I,D190)</x:f>
      </x:c>
      <x:c r="I190" t="n">
        <x:f>IF(F190="","",F190-(E190-1))</x:f>
        <x:v>-21</x:v>
      </x:c>
      <x:c r="J190" t="n">
        <x:f>IF(I190&gt;0,1,0)</x:f>
        <x:v>0</x:v>
      </x:c>
      <x:c r="K190" t="str">
        <x:f>IF(OR(J190=0,G190="",G190=0),"",I190/G190)</x:f>
      </x:c>
      <x:c r="L190" t="str">
        <x:f>IF(OR(J190=0,I190=0,G190=""),"",G190/I190)</x:f>
      </x:c>
      <x:c r="M190" t="str">
        <x:f>IF(OR(J190=0,G190="",H190="",G190=0,H190=0),"",I190/(G190*H190))</x:f>
      </x:c>
      <x:c r="N190" t="str">
        <x:f>IF(K190="","",K190/_xlfn.MAXIFS($K:$K,$E:$E,E190))</x:f>
      </x:c>
      <x:c r="O190" t="str">
        <x:f>IF(M190="","",M190/_xlfn.MAXIFS($M:$M,$E:$E,E190))</x:f>
      </x:c>
      <x:c r="P190" t="str">
        <x:f>IF(OR(N190="",O190=""),"",SQRT(N190*O190))</x:f>
      </x:c>
      <x:c r="Q190" t="str">
        <x:f>IF(OR(N190="",O190=""),"",N190^0.7*O190^0.3)</x:f>
      </x:c>
      <x:c r="R190" t="str">
        <x:f>IF(OR(N190="",O190=""),"",N190^0.3*O190^0.7)</x:f>
      </x:c>
    </x:row>
    <x:row r="191">
      <x:c r="A191" t="inlineStr">
        <x:is>
          <x:t xml:space="preserve">openai|gpt-5.6-sol|non-reasoning|nonreasoning|fallback-na|aa-v4.3.2|snapshot-2026-09-28</x:t>
        </x:is>
      </x:c>
      <x:c r="B191" t="inlineStr">
        <x:is>
          <x:t xml:space="preserve">openai|gpt-5.6-sol|non-reasoning|nonreasoning|fallback-na</x:t>
        </x:is>
      </x:c>
      <x:c r="C191" t="inlineStr">
        <x:is>
          <x:t xml:space="preserve">AA|v4.3.2</x:t>
        </x:is>
      </x:c>
      <x:c r="D191" t="n">
        <x:v>25</x:v>
      </x:c>
      <x:c r="E191" t="n">
        <x:v>52</x:v>
      </x:c>
      <x:c r="F191" t="n">
        <x:f>INDEX(Run_Metrics!$F:$F,D191)</x:f>
        <x:v>28</x:v>
      </x:c>
      <x:c r="G191" t="str">
        <x:f>INDEX(Run_Metrics!$G:$G,D191)</x:f>
      </x:c>
      <x:c r="H191" t="str">
        <x:f>INDEX(Run_Metrics!$I:$I,D191)</x:f>
      </x:c>
      <x:c r="I191" t="n">
        <x:f>IF(F191="","",F191-(E191-1))</x:f>
        <x:v>-23</x:v>
      </x:c>
      <x:c r="J191" t="n">
        <x:f>IF(I191&gt;0,1,0)</x:f>
        <x:v>0</x:v>
      </x:c>
      <x:c r="K191" t="str">
        <x:f>IF(OR(J191=0,G191="",G191=0),"",I191/G191)</x:f>
      </x:c>
      <x:c r="L191" t="str">
        <x:f>IF(OR(J191=0,I191=0,G191=""),"",G191/I191)</x:f>
      </x:c>
      <x:c r="M191" t="str">
        <x:f>IF(OR(J191=0,G191="",H191="",G191=0,H191=0),"",I191/(G191*H191))</x:f>
      </x:c>
      <x:c r="N191" t="str">
        <x:f>IF(K191="","",K191/_xlfn.MAXIFS($K:$K,$E:$E,E191))</x:f>
      </x:c>
      <x:c r="O191" t="str">
        <x:f>IF(M191="","",M191/_xlfn.MAXIFS($M:$M,$E:$E,E191))</x:f>
      </x:c>
      <x:c r="P191" t="str">
        <x:f>IF(OR(N191="",O191=""),"",SQRT(N191*O191))</x:f>
      </x:c>
      <x:c r="Q191" t="str">
        <x:f>IF(OR(N191="",O191=""),"",N191^0.7*O191^0.3)</x:f>
      </x:c>
      <x:c r="R191" t="str">
        <x:f>IF(OR(N191="",O191=""),"",N191^0.3*O191^0.7)</x:f>
      </x:c>
    </x:row>
    <x:row r="192">
      <x:c r="A192" t="inlineStr">
        <x:is>
          <x:t xml:space="preserve">openai|gpt-5.6-sol|non-reasoning|nonreasoning|fallback-na|aa-v4.3.2|snapshot-2026-09-28</x:t>
        </x:is>
      </x:c>
      <x:c r="B192" t="inlineStr">
        <x:is>
          <x:t xml:space="preserve">openai|gpt-5.6-sol|non-reasoning|nonreasoning|fallback-na</x:t>
        </x:is>
      </x:c>
      <x:c r="C192" t="inlineStr">
        <x:is>
          <x:t xml:space="preserve">AA|v4.3.2</x:t>
        </x:is>
      </x:c>
      <x:c r="D192" t="n">
        <x:v>25</x:v>
      </x:c>
      <x:c r="E192" t="n">
        <x:v>65</x:v>
      </x:c>
      <x:c r="F192" t="n">
        <x:f>INDEX(Run_Metrics!$F:$F,D192)</x:f>
        <x:v>28</x:v>
      </x:c>
      <x:c r="G192" t="str">
        <x:f>INDEX(Run_Metrics!$G:$G,D192)</x:f>
      </x:c>
      <x:c r="H192" t="str">
        <x:f>INDEX(Run_Metrics!$I:$I,D192)</x:f>
      </x:c>
      <x:c r="I192" t="n">
        <x:f>IF(F192="","",F192-(E192-1))</x:f>
        <x:v>-36</x:v>
      </x:c>
      <x:c r="J192" t="n">
        <x:f>IF(I192&gt;0,1,0)</x:f>
        <x:v>0</x:v>
      </x:c>
      <x:c r="K192" t="str">
        <x:f>IF(OR(J192=0,G192="",G192=0),"",I192/G192)</x:f>
      </x:c>
      <x:c r="L192" t="str">
        <x:f>IF(OR(J192=0,I192=0,G192=""),"",G192/I192)</x:f>
      </x:c>
      <x:c r="M192" t="str">
        <x:f>IF(OR(J192=0,G192="",H192="",G192=0,H192=0),"",I192/(G192*H192))</x:f>
      </x:c>
      <x:c r="N192" t="str">
        <x:f>IF(K192="","",K192/_xlfn.MAXIFS($K:$K,$E:$E,E192))</x:f>
      </x:c>
      <x:c r="O192" t="str">
        <x:f>IF(M192="","",M192/_xlfn.MAXIFS($M:$M,$E:$E,E192))</x:f>
      </x:c>
      <x:c r="P192" t="str">
        <x:f>IF(OR(N192="",O192=""),"",SQRT(N192*O192))</x:f>
      </x:c>
      <x:c r="Q192" t="str">
        <x:f>IF(OR(N192="",O192=""),"",N192^0.7*O192^0.3)</x:f>
      </x:c>
      <x:c r="R192" t="str">
        <x:f>IF(OR(N192="",O192=""),"",N192^0.3*O192^0.7)</x:f>
      </x:c>
    </x:row>
    <x:row r="193">
      <x:c r="A193" t="inlineStr">
        <x:is>
          <x:t xml:space="preserve">openai|gpt-5.6-sol|non-reasoning|nonreasoning|fallback-na|aa-v4.3.2|snapshot-2026-09-28</x:t>
        </x:is>
      </x:c>
      <x:c r="B193" t="inlineStr">
        <x:is>
          <x:t xml:space="preserve">openai|gpt-5.6-sol|non-reasoning|nonreasoning|fallback-na</x:t>
        </x:is>
      </x:c>
      <x:c r="C193" t="inlineStr">
        <x:is>
          <x:t xml:space="preserve">AA|v4.3.2</x:t>
        </x:is>
      </x:c>
      <x:c r="D193" t="n">
        <x:v>25</x:v>
      </x:c>
      <x:c r="E193" t="n">
        <x:v>80</x:v>
      </x:c>
      <x:c r="F193" t="n">
        <x:f>INDEX(Run_Metrics!$F:$F,D193)</x:f>
        <x:v>28</x:v>
      </x:c>
      <x:c r="G193" t="str">
        <x:f>INDEX(Run_Metrics!$G:$G,D193)</x:f>
      </x:c>
      <x:c r="H193" t="str">
        <x:f>INDEX(Run_Metrics!$I:$I,D193)</x:f>
      </x:c>
      <x:c r="I193" t="n">
        <x:f>IF(F193="","",F193-(E193-1))</x:f>
        <x:v>-51</x:v>
      </x:c>
      <x:c r="J193" t="n">
        <x:f>IF(I193&gt;0,1,0)</x:f>
        <x:v>0</x:v>
      </x:c>
      <x:c r="K193" t="str">
        <x:f>IF(OR(J193=0,G193="",G193=0),"",I193/G193)</x:f>
      </x:c>
      <x:c r="L193" t="str">
        <x:f>IF(OR(J193=0,I193=0,G193=""),"",G193/I193)</x:f>
      </x:c>
      <x:c r="M193" t="str">
        <x:f>IF(OR(J193=0,G193="",H193="",G193=0,H193=0),"",I193/(G193*H193))</x:f>
      </x:c>
      <x:c r="N193" t="str">
        <x:f>IF(K193="","",K193/_xlfn.MAXIFS($K:$K,$E:$E,E193))</x:f>
      </x:c>
      <x:c r="O193" t="str">
        <x:f>IF(M193="","",M193/_xlfn.MAXIFS($M:$M,$E:$E,E193))</x:f>
      </x:c>
      <x:c r="P193" t="str">
        <x:f>IF(OR(N193="",O193=""),"",SQRT(N193*O193))</x:f>
      </x:c>
      <x:c r="Q193" t="str">
        <x:f>IF(OR(N193="",O193=""),"",N193^0.7*O193^0.3)</x:f>
      </x:c>
      <x:c r="R193" t="str">
        <x:f>IF(OR(N193="",O193=""),"",N193^0.3*O193^0.7)</x:f>
      </x:c>
    </x:row>
    <x:row r="194">
      <x:c r="A194" t="inlineStr">
        <x:is>
          <x:t xml:space="preserve">openai|gpt-5.6-sol|low|reasoning|fallback-na|aa-v4.3.2|snapshot-2026-09-28</x:t>
        </x:is>
      </x:c>
      <x:c r="B194" t="inlineStr">
        <x:is>
          <x:t xml:space="preserve">openai|gpt-5.6-sol|low|reasoning|fallback-na</x:t>
        </x:is>
      </x:c>
      <x:c r="C194" t="inlineStr">
        <x:is>
          <x:t xml:space="preserve">AA|v4.3.2</x:t>
        </x:is>
      </x:c>
      <x:c r="D194" t="n">
        <x:v>26</x:v>
      </x:c>
      <x:c r="E194" t="n">
        <x:v>20</x:v>
      </x:c>
      <x:c r="F194" t="n">
        <x:f>INDEX(Run_Metrics!$F:$F,D194)</x:f>
        <x:v>33</x:v>
      </x:c>
      <x:c r="G194" t="n">
        <x:f>INDEX(Run_Metrics!$G:$G,D194)</x:f>
        <x:v>0.26</x:v>
      </x:c>
      <x:c r="H194" t="str">
        <x:f>INDEX(Run_Metrics!$I:$I,D194)</x:f>
      </x:c>
      <x:c r="I194" t="n">
        <x:f>IF(F194="","",F194-(E194-1))</x:f>
        <x:v>14</x:v>
      </x:c>
      <x:c r="J194" t="n">
        <x:f>IF(I194&gt;0,1,0)</x:f>
        <x:v>1</x:v>
      </x:c>
      <x:c r="K194" t="n">
        <x:f>IF(OR(J194=0,G194="",G194=0),"",I194/G194)</x:f>
        <x:v>53.84615384615385</x:v>
      </x:c>
      <x:c r="L194" t="n">
        <x:f>IF(OR(J194=0,I194=0,G194=""),"",G194/I194)</x:f>
        <x:v>0.018571428571428572</x:v>
      </x:c>
      <x:c r="M194" t="str">
        <x:f>IF(OR(J194=0,G194="",H194="",G194=0,H194=0),"",I194/(G194*H194))</x:f>
      </x:c>
      <x:c r="N194" t="n">
        <x:f>IF(K194="","",K194/_xlfn.MAXIFS($K:$K,$E:$E,E194))</x:f>
        <x:v>0.08076923076923076</x:v>
      </x:c>
      <x:c r="O194" t="str">
        <x:f>IF(M194="","",M194/_xlfn.MAXIFS($M:$M,$E:$E,E194))</x:f>
      </x:c>
      <x:c r="P194" t="str">
        <x:f>IF(OR(N194="",O194=""),"",SQRT(N194*O194))</x:f>
      </x:c>
      <x:c r="Q194" t="str">
        <x:f>IF(OR(N194="",O194=""),"",N194^0.7*O194^0.3)</x:f>
      </x:c>
      <x:c r="R194" t="str">
        <x:f>IF(OR(N194="",O194=""),"",N194^0.3*O194^0.7)</x:f>
      </x:c>
    </x:row>
    <x:row r="195">
      <x:c r="A195" t="inlineStr">
        <x:is>
          <x:t xml:space="preserve">openai|gpt-5.6-sol|low|reasoning|fallback-na|aa-v4.3.2|snapshot-2026-09-28</x:t>
        </x:is>
      </x:c>
      <x:c r="B195" t="inlineStr">
        <x:is>
          <x:t xml:space="preserve">openai|gpt-5.6-sol|low|reasoning|fallback-na</x:t>
        </x:is>
      </x:c>
      <x:c r="C195" t="inlineStr">
        <x:is>
          <x:t xml:space="preserve">AA|v4.3.2</x:t>
        </x:is>
      </x:c>
      <x:c r="D195" t="n">
        <x:v>26</x:v>
      </x:c>
      <x:c r="E195" t="n">
        <x:v>30</x:v>
      </x:c>
      <x:c r="F195" t="n">
        <x:f>INDEX(Run_Metrics!$F:$F,D195)</x:f>
        <x:v>33</x:v>
      </x:c>
      <x:c r="G195" t="n">
        <x:f>INDEX(Run_Metrics!$G:$G,D195)</x:f>
        <x:v>0.26</x:v>
      </x:c>
      <x:c r="H195" t="str">
        <x:f>INDEX(Run_Metrics!$I:$I,D195)</x:f>
      </x:c>
      <x:c r="I195" t="n">
        <x:f>IF(F195="","",F195-(E195-1))</x:f>
        <x:v>4</x:v>
      </x:c>
      <x:c r="J195" t="n">
        <x:f>IF(I195&gt;0,1,0)</x:f>
        <x:v>1</x:v>
      </x:c>
      <x:c r="K195" t="n">
        <x:f>IF(OR(J195=0,G195="",G195=0),"",I195/G195)</x:f>
        <x:v>15.384615384615383</x:v>
      </x:c>
      <x:c r="L195" t="n">
        <x:f>IF(OR(J195=0,I195=0,G195=""),"",G195/I195)</x:f>
        <x:v>0.065</x:v>
      </x:c>
      <x:c r="M195" t="str">
        <x:f>IF(OR(J195=0,G195="",H195="",G195=0,H195=0),"",I195/(G195*H195))</x:f>
      </x:c>
      <x:c r="N195" t="n">
        <x:f>IF(K195="","",K195/_xlfn.MAXIFS($K:$K,$E:$E,E195))</x:f>
        <x:v>0.10256410256410256</x:v>
      </x:c>
      <x:c r="O195" t="str">
        <x:f>IF(M195="","",M195/_xlfn.MAXIFS($M:$M,$E:$E,E195))</x:f>
      </x:c>
      <x:c r="P195" t="str">
        <x:f>IF(OR(N195="",O195=""),"",SQRT(N195*O195))</x:f>
      </x:c>
      <x:c r="Q195" t="str">
        <x:f>IF(OR(N195="",O195=""),"",N195^0.7*O195^0.3)</x:f>
      </x:c>
      <x:c r="R195" t="str">
        <x:f>IF(OR(N195="",O195=""),"",N195^0.3*O195^0.7)</x:f>
      </x:c>
    </x:row>
    <x:row r="196">
      <x:c r="A196" t="inlineStr">
        <x:is>
          <x:t xml:space="preserve">openai|gpt-5.6-sol|low|reasoning|fallback-na|aa-v4.3.2|snapshot-2026-09-28</x:t>
        </x:is>
      </x:c>
      <x:c r="B196" t="inlineStr">
        <x:is>
          <x:t xml:space="preserve">openai|gpt-5.6-sol|low|reasoning|fallback-na</x:t>
        </x:is>
      </x:c>
      <x:c r="C196" t="inlineStr">
        <x:is>
          <x:t xml:space="preserve">AA|v4.3.2</x:t>
        </x:is>
      </x:c>
      <x:c r="D196" t="n">
        <x:v>26</x:v>
      </x:c>
      <x:c r="E196" t="n">
        <x:v>40</x:v>
      </x:c>
      <x:c r="F196" t="n">
        <x:f>INDEX(Run_Metrics!$F:$F,D196)</x:f>
        <x:v>33</x:v>
      </x:c>
      <x:c r="G196" t="n">
        <x:f>INDEX(Run_Metrics!$G:$G,D196)</x:f>
        <x:v>0.26</x:v>
      </x:c>
      <x:c r="H196" t="str">
        <x:f>INDEX(Run_Metrics!$I:$I,D196)</x:f>
      </x:c>
      <x:c r="I196" t="n">
        <x:f>IF(F196="","",F196-(E196-1))</x:f>
        <x:v>-6</x:v>
      </x:c>
      <x:c r="J196" t="n">
        <x:f>IF(I196&gt;0,1,0)</x:f>
        <x:v>0</x:v>
      </x:c>
      <x:c r="K196" t="str">
        <x:f>IF(OR(J196=0,G196="",G196=0),"",I196/G196)</x:f>
      </x:c>
      <x:c r="L196" t="str">
        <x:f>IF(OR(J196=0,I196=0,G196=""),"",G196/I196)</x:f>
      </x:c>
      <x:c r="M196" t="str">
        <x:f>IF(OR(J196=0,G196="",H196="",G196=0,H196=0),"",I196/(G196*H196))</x:f>
      </x:c>
      <x:c r="N196" t="str">
        <x:f>IF(K196="","",K196/_xlfn.MAXIFS($K:$K,$E:$E,E196))</x:f>
      </x:c>
      <x:c r="O196" t="str">
        <x:f>IF(M196="","",M196/_xlfn.MAXIFS($M:$M,$E:$E,E196))</x:f>
      </x:c>
      <x:c r="P196" t="str">
        <x:f>IF(OR(N196="",O196=""),"",SQRT(N196*O196))</x:f>
      </x:c>
      <x:c r="Q196" t="str">
        <x:f>IF(OR(N196="",O196=""),"",N196^0.7*O196^0.3)</x:f>
      </x:c>
      <x:c r="R196" t="str">
        <x:f>IF(OR(N196="",O196=""),"",N196^0.3*O196^0.7)</x:f>
      </x:c>
    </x:row>
    <x:row r="197">
      <x:c r="A197" t="inlineStr">
        <x:is>
          <x:t xml:space="preserve">openai|gpt-5.6-sol|low|reasoning|fallback-na|aa-v4.3.2|snapshot-2026-09-28</x:t>
        </x:is>
      </x:c>
      <x:c r="B197" t="inlineStr">
        <x:is>
          <x:t xml:space="preserve">openai|gpt-5.6-sol|low|reasoning|fallback-na</x:t>
        </x:is>
      </x:c>
      <x:c r="C197" t="inlineStr">
        <x:is>
          <x:t xml:space="preserve">AA|v4.3.2</x:t>
        </x:is>
      </x:c>
      <x:c r="D197" t="n">
        <x:v>26</x:v>
      </x:c>
      <x:c r="E197" t="n">
        <x:v>45</x:v>
      </x:c>
      <x:c r="F197" t="n">
        <x:f>INDEX(Run_Metrics!$F:$F,D197)</x:f>
        <x:v>33</x:v>
      </x:c>
      <x:c r="G197" t="n">
        <x:f>INDEX(Run_Metrics!$G:$G,D197)</x:f>
        <x:v>0.26</x:v>
      </x:c>
      <x:c r="H197" t="str">
        <x:f>INDEX(Run_Metrics!$I:$I,D197)</x:f>
      </x:c>
      <x:c r="I197" t="n">
        <x:f>IF(F197="","",F197-(E197-1))</x:f>
        <x:v>-11</x:v>
      </x:c>
      <x:c r="J197" t="n">
        <x:f>IF(I197&gt;0,1,0)</x:f>
        <x:v>0</x:v>
      </x:c>
      <x:c r="K197" t="str">
        <x:f>IF(OR(J197=0,G197="",G197=0),"",I197/G197)</x:f>
      </x:c>
      <x:c r="L197" t="str">
        <x:f>IF(OR(J197=0,I197=0,G197=""),"",G197/I197)</x:f>
      </x:c>
      <x:c r="M197" t="str">
        <x:f>IF(OR(J197=0,G197="",H197="",G197=0,H197=0),"",I197/(G197*H197))</x:f>
      </x:c>
      <x:c r="N197" t="str">
        <x:f>IF(K197="","",K197/_xlfn.MAXIFS($K:$K,$E:$E,E197))</x:f>
      </x:c>
      <x:c r="O197" t="str">
        <x:f>IF(M197="","",M197/_xlfn.MAXIFS($M:$M,$E:$E,E197))</x:f>
      </x:c>
      <x:c r="P197" t="str">
        <x:f>IF(OR(N197="",O197=""),"",SQRT(N197*O197))</x:f>
      </x:c>
      <x:c r="Q197" t="str">
        <x:f>IF(OR(N197="",O197=""),"",N197^0.7*O197^0.3)</x:f>
      </x:c>
      <x:c r="R197" t="str">
        <x:f>IF(OR(N197="",O197=""),"",N197^0.3*O197^0.7)</x:f>
      </x:c>
    </x:row>
    <x:row r="198">
      <x:c r="A198" t="inlineStr">
        <x:is>
          <x:t xml:space="preserve">openai|gpt-5.6-sol|low|reasoning|fallback-na|aa-v4.3.2|snapshot-2026-09-28</x:t>
        </x:is>
      </x:c>
      <x:c r="B198" t="inlineStr">
        <x:is>
          <x:t xml:space="preserve">openai|gpt-5.6-sol|low|reasoning|fallback-na</x:t>
        </x:is>
      </x:c>
      <x:c r="C198" t="inlineStr">
        <x:is>
          <x:t xml:space="preserve">AA|v4.3.2</x:t>
        </x:is>
      </x:c>
      <x:c r="D198" t="n">
        <x:v>26</x:v>
      </x:c>
      <x:c r="E198" t="n">
        <x:v>50</x:v>
      </x:c>
      <x:c r="F198" t="n">
        <x:f>INDEX(Run_Metrics!$F:$F,D198)</x:f>
        <x:v>33</x:v>
      </x:c>
      <x:c r="G198" t="n">
        <x:f>INDEX(Run_Metrics!$G:$G,D198)</x:f>
        <x:v>0.26</x:v>
      </x:c>
      <x:c r="H198" t="str">
        <x:f>INDEX(Run_Metrics!$I:$I,D198)</x:f>
      </x:c>
      <x:c r="I198" t="n">
        <x:f>IF(F198="","",F198-(E198-1))</x:f>
        <x:v>-16</x:v>
      </x:c>
      <x:c r="J198" t="n">
        <x:f>IF(I198&gt;0,1,0)</x:f>
        <x:v>0</x:v>
      </x:c>
      <x:c r="K198" t="str">
        <x:f>IF(OR(J198=0,G198="",G198=0),"",I198/G198)</x:f>
      </x:c>
      <x:c r="L198" t="str">
        <x:f>IF(OR(J198=0,I198=0,G198=""),"",G198/I198)</x:f>
      </x:c>
      <x:c r="M198" t="str">
        <x:f>IF(OR(J198=0,G198="",H198="",G198=0,H198=0),"",I198/(G198*H198))</x:f>
      </x:c>
      <x:c r="N198" t="str">
        <x:f>IF(K198="","",K198/_xlfn.MAXIFS($K:$K,$E:$E,E198))</x:f>
      </x:c>
      <x:c r="O198" t="str">
        <x:f>IF(M198="","",M198/_xlfn.MAXIFS($M:$M,$E:$E,E198))</x:f>
      </x:c>
      <x:c r="P198" t="str">
        <x:f>IF(OR(N198="",O198=""),"",SQRT(N198*O198))</x:f>
      </x:c>
      <x:c r="Q198" t="str">
        <x:f>IF(OR(N198="",O198=""),"",N198^0.7*O198^0.3)</x:f>
      </x:c>
      <x:c r="R198" t="str">
        <x:f>IF(OR(N198="",O198=""),"",N198^0.3*O198^0.7)</x:f>
      </x:c>
    </x:row>
    <x:row r="199">
      <x:c r="A199" t="inlineStr">
        <x:is>
          <x:t xml:space="preserve">openai|gpt-5.6-sol|low|reasoning|fallback-na|aa-v4.3.2|snapshot-2026-09-28</x:t>
        </x:is>
      </x:c>
      <x:c r="B199" t="inlineStr">
        <x:is>
          <x:t xml:space="preserve">openai|gpt-5.6-sol|low|reasoning|fallback-na</x:t>
        </x:is>
      </x:c>
      <x:c r="C199" t="inlineStr">
        <x:is>
          <x:t xml:space="preserve">AA|v4.3.2</x:t>
        </x:is>
      </x:c>
      <x:c r="D199" t="n">
        <x:v>26</x:v>
      </x:c>
      <x:c r="E199" t="n">
        <x:v>52</x:v>
      </x:c>
      <x:c r="F199" t="n">
        <x:f>INDEX(Run_Metrics!$F:$F,D199)</x:f>
        <x:v>33</x:v>
      </x:c>
      <x:c r="G199" t="n">
        <x:f>INDEX(Run_Metrics!$G:$G,D199)</x:f>
        <x:v>0.26</x:v>
      </x:c>
      <x:c r="H199" t="str">
        <x:f>INDEX(Run_Metrics!$I:$I,D199)</x:f>
      </x:c>
      <x:c r="I199" t="n">
        <x:f>IF(F199="","",F199-(E199-1))</x:f>
        <x:v>-18</x:v>
      </x:c>
      <x:c r="J199" t="n">
        <x:f>IF(I199&gt;0,1,0)</x:f>
        <x:v>0</x:v>
      </x:c>
      <x:c r="K199" t="str">
        <x:f>IF(OR(J199=0,G199="",G199=0),"",I199/G199)</x:f>
      </x:c>
      <x:c r="L199" t="str">
        <x:f>IF(OR(J199=0,I199=0,G199=""),"",G199/I199)</x:f>
      </x:c>
      <x:c r="M199" t="str">
        <x:f>IF(OR(J199=0,G199="",H199="",G199=0,H199=0),"",I199/(G199*H199))</x:f>
      </x:c>
      <x:c r="N199" t="str">
        <x:f>IF(K199="","",K199/_xlfn.MAXIFS($K:$K,$E:$E,E199))</x:f>
      </x:c>
      <x:c r="O199" t="str">
        <x:f>IF(M199="","",M199/_xlfn.MAXIFS($M:$M,$E:$E,E199))</x:f>
      </x:c>
      <x:c r="P199" t="str">
        <x:f>IF(OR(N199="",O199=""),"",SQRT(N199*O199))</x:f>
      </x:c>
      <x:c r="Q199" t="str">
        <x:f>IF(OR(N199="",O199=""),"",N199^0.7*O199^0.3)</x:f>
      </x:c>
      <x:c r="R199" t="str">
        <x:f>IF(OR(N199="",O199=""),"",N199^0.3*O199^0.7)</x:f>
      </x:c>
    </x:row>
    <x:row r="200">
      <x:c r="A200" t="inlineStr">
        <x:is>
          <x:t xml:space="preserve">openai|gpt-5.6-sol|low|reasoning|fallback-na|aa-v4.3.2|snapshot-2026-09-28</x:t>
        </x:is>
      </x:c>
      <x:c r="B200" t="inlineStr">
        <x:is>
          <x:t xml:space="preserve">openai|gpt-5.6-sol|low|reasoning|fallback-na</x:t>
        </x:is>
      </x:c>
      <x:c r="C200" t="inlineStr">
        <x:is>
          <x:t xml:space="preserve">AA|v4.3.2</x:t>
        </x:is>
      </x:c>
      <x:c r="D200" t="n">
        <x:v>26</x:v>
      </x:c>
      <x:c r="E200" t="n">
        <x:v>65</x:v>
      </x:c>
      <x:c r="F200" t="n">
        <x:f>INDEX(Run_Metrics!$F:$F,D200)</x:f>
        <x:v>33</x:v>
      </x:c>
      <x:c r="G200" t="n">
        <x:f>INDEX(Run_Metrics!$G:$G,D200)</x:f>
        <x:v>0.26</x:v>
      </x:c>
      <x:c r="H200" t="str">
        <x:f>INDEX(Run_Metrics!$I:$I,D200)</x:f>
      </x:c>
      <x:c r="I200" t="n">
        <x:f>IF(F200="","",F200-(E200-1))</x:f>
        <x:v>-31</x:v>
      </x:c>
      <x:c r="J200" t="n">
        <x:f>IF(I200&gt;0,1,0)</x:f>
        <x:v>0</x:v>
      </x:c>
      <x:c r="K200" t="str">
        <x:f>IF(OR(J200=0,G200="",G200=0),"",I200/G200)</x:f>
      </x:c>
      <x:c r="L200" t="str">
        <x:f>IF(OR(J200=0,I200=0,G200=""),"",G200/I200)</x:f>
      </x:c>
      <x:c r="M200" t="str">
        <x:f>IF(OR(J200=0,G200="",H200="",G200=0,H200=0),"",I200/(G200*H200))</x:f>
      </x:c>
      <x:c r="N200" t="str">
        <x:f>IF(K200="","",K200/_xlfn.MAXIFS($K:$K,$E:$E,E200))</x:f>
      </x:c>
      <x:c r="O200" t="str">
        <x:f>IF(M200="","",M200/_xlfn.MAXIFS($M:$M,$E:$E,E200))</x:f>
      </x:c>
      <x:c r="P200" t="str">
        <x:f>IF(OR(N200="",O200=""),"",SQRT(N200*O200))</x:f>
      </x:c>
      <x:c r="Q200" t="str">
        <x:f>IF(OR(N200="",O200=""),"",N200^0.7*O200^0.3)</x:f>
      </x:c>
      <x:c r="R200" t="str">
        <x:f>IF(OR(N200="",O200=""),"",N200^0.3*O200^0.7)</x:f>
      </x:c>
    </x:row>
    <x:row r="201">
      <x:c r="A201" t="inlineStr">
        <x:is>
          <x:t xml:space="preserve">openai|gpt-5.6-sol|low|reasoning|fallback-na|aa-v4.3.2|snapshot-2026-09-28</x:t>
        </x:is>
      </x:c>
      <x:c r="B201" t="inlineStr">
        <x:is>
          <x:t xml:space="preserve">openai|gpt-5.6-sol|low|reasoning|fallback-na</x:t>
        </x:is>
      </x:c>
      <x:c r="C201" t="inlineStr">
        <x:is>
          <x:t xml:space="preserve">AA|v4.3.2</x:t>
        </x:is>
      </x:c>
      <x:c r="D201" t="n">
        <x:v>26</x:v>
      </x:c>
      <x:c r="E201" t="n">
        <x:v>80</x:v>
      </x:c>
      <x:c r="F201" t="n">
        <x:f>INDEX(Run_Metrics!$F:$F,D201)</x:f>
        <x:v>33</x:v>
      </x:c>
      <x:c r="G201" t="n">
        <x:f>INDEX(Run_Metrics!$G:$G,D201)</x:f>
        <x:v>0.26</x:v>
      </x:c>
      <x:c r="H201" t="str">
        <x:f>INDEX(Run_Metrics!$I:$I,D201)</x:f>
      </x:c>
      <x:c r="I201" t="n">
        <x:f>IF(F201="","",F201-(E201-1))</x:f>
        <x:v>-46</x:v>
      </x:c>
      <x:c r="J201" t="n">
        <x:f>IF(I201&gt;0,1,0)</x:f>
        <x:v>0</x:v>
      </x:c>
      <x:c r="K201" t="str">
        <x:f>IF(OR(J201=0,G201="",G201=0),"",I201/G201)</x:f>
      </x:c>
      <x:c r="L201" t="str">
        <x:f>IF(OR(J201=0,I201=0,G201=""),"",G201/I201)</x:f>
      </x:c>
      <x:c r="M201" t="str">
        <x:f>IF(OR(J201=0,G201="",H201="",G201=0,H201=0),"",I201/(G201*H201))</x:f>
      </x:c>
      <x:c r="N201" t="str">
        <x:f>IF(K201="","",K201/_xlfn.MAXIFS($K:$K,$E:$E,E201))</x:f>
      </x:c>
      <x:c r="O201" t="str">
        <x:f>IF(M201="","",M201/_xlfn.MAXIFS($M:$M,$E:$E,E201))</x:f>
      </x:c>
      <x:c r="P201" t="str">
        <x:f>IF(OR(N201="",O201=""),"",SQRT(N201*O201))</x:f>
      </x:c>
      <x:c r="Q201" t="str">
        <x:f>IF(OR(N201="",O201=""),"",N201^0.7*O201^0.3)</x:f>
      </x:c>
      <x:c r="R201" t="str">
        <x:f>IF(OR(N201="",O201=""),"",N201^0.3*O201^0.7)</x:f>
      </x:c>
    </x:row>
    <x:row r="202">
      <x:c r="A202" t="inlineStr">
        <x:is>
          <x:t xml:space="preserve">openai|gpt-5.6-sol|medium|reasoning|fallback-na|aa-v4.3.2|snapshot-2026-09-28</x:t>
        </x:is>
      </x:c>
      <x:c r="B202" t="inlineStr">
        <x:is>
          <x:t xml:space="preserve">openai|gpt-5.6-sol|medium|reasoning|fallback-na</x:t>
        </x:is>
      </x:c>
      <x:c r="C202" t="inlineStr">
        <x:is>
          <x:t xml:space="preserve">AA|v4.3.2</x:t>
        </x:is>
      </x:c>
      <x:c r="D202" t="n">
        <x:v>27</x:v>
      </x:c>
      <x:c r="E202" t="n">
        <x:v>20</x:v>
      </x:c>
      <x:c r="F202" t="n">
        <x:f>INDEX(Run_Metrics!$F:$F,D202)</x:f>
        <x:v>39</x:v>
      </x:c>
      <x:c r="G202" t="n">
        <x:f>INDEX(Run_Metrics!$G:$G,D202)</x:f>
        <x:v>0.5</x:v>
      </x:c>
      <x:c r="H202" t="str">
        <x:f>INDEX(Run_Metrics!$I:$I,D202)</x:f>
      </x:c>
      <x:c r="I202" t="n">
        <x:f>IF(F202="","",F202-(E202-1))</x:f>
        <x:v>20</x:v>
      </x:c>
      <x:c r="J202" t="n">
        <x:f>IF(I202&gt;0,1,0)</x:f>
        <x:v>1</x:v>
      </x:c>
      <x:c r="K202" t="n">
        <x:f>IF(OR(J202=0,G202="",G202=0),"",I202/G202)</x:f>
        <x:v>40</x:v>
      </x:c>
      <x:c r="L202" t="n">
        <x:f>IF(OR(J202=0,I202=0,G202=""),"",G202/I202)</x:f>
        <x:v>0.025</x:v>
      </x:c>
      <x:c r="M202" t="str">
        <x:f>IF(OR(J202=0,G202="",H202="",G202=0,H202=0),"",I202/(G202*H202))</x:f>
      </x:c>
      <x:c r="N202" t="n">
        <x:f>IF(K202="","",K202/_xlfn.MAXIFS($K:$K,$E:$E,E202))</x:f>
        <x:v>0.05999999999999999</x:v>
      </x:c>
      <x:c r="O202" t="str">
        <x:f>IF(M202="","",M202/_xlfn.MAXIFS($M:$M,$E:$E,E202))</x:f>
      </x:c>
      <x:c r="P202" t="str">
        <x:f>IF(OR(N202="",O202=""),"",SQRT(N202*O202))</x:f>
      </x:c>
      <x:c r="Q202" t="str">
        <x:f>IF(OR(N202="",O202=""),"",N202^0.7*O202^0.3)</x:f>
      </x:c>
      <x:c r="R202" t="str">
        <x:f>IF(OR(N202="",O202=""),"",N202^0.3*O202^0.7)</x:f>
      </x:c>
    </x:row>
    <x:row r="203">
      <x:c r="A203" t="inlineStr">
        <x:is>
          <x:t xml:space="preserve">openai|gpt-5.6-sol|medium|reasoning|fallback-na|aa-v4.3.2|snapshot-2026-09-28</x:t>
        </x:is>
      </x:c>
      <x:c r="B203" t="inlineStr">
        <x:is>
          <x:t xml:space="preserve">openai|gpt-5.6-sol|medium|reasoning|fallback-na</x:t>
        </x:is>
      </x:c>
      <x:c r="C203" t="inlineStr">
        <x:is>
          <x:t xml:space="preserve">AA|v4.3.2</x:t>
        </x:is>
      </x:c>
      <x:c r="D203" t="n">
        <x:v>27</x:v>
      </x:c>
      <x:c r="E203" t="n">
        <x:v>30</x:v>
      </x:c>
      <x:c r="F203" t="n">
        <x:f>INDEX(Run_Metrics!$F:$F,D203)</x:f>
        <x:v>39</x:v>
      </x:c>
      <x:c r="G203" t="n">
        <x:f>INDEX(Run_Metrics!$G:$G,D203)</x:f>
        <x:v>0.5</x:v>
      </x:c>
      <x:c r="H203" t="str">
        <x:f>INDEX(Run_Metrics!$I:$I,D203)</x:f>
      </x:c>
      <x:c r="I203" t="n">
        <x:f>IF(F203="","",F203-(E203-1))</x:f>
        <x:v>10</x:v>
      </x:c>
      <x:c r="J203" t="n">
        <x:f>IF(I203&gt;0,1,0)</x:f>
        <x:v>1</x:v>
      </x:c>
      <x:c r="K203" t="n">
        <x:f>IF(OR(J203=0,G203="",G203=0),"",I203/G203)</x:f>
        <x:v>20</x:v>
      </x:c>
      <x:c r="L203" t="n">
        <x:f>IF(OR(J203=0,I203=0,G203=""),"",G203/I203)</x:f>
        <x:v>0.05</x:v>
      </x:c>
      <x:c r="M203" t="str">
        <x:f>IF(OR(J203=0,G203="",H203="",G203=0,H203=0),"",I203/(G203*H203))</x:f>
      </x:c>
      <x:c r="N203" t="n">
        <x:f>IF(K203="","",K203/_xlfn.MAXIFS($K:$K,$E:$E,E203))</x:f>
        <x:v>0.13333333333333333</x:v>
      </x:c>
      <x:c r="O203" t="str">
        <x:f>IF(M203="","",M203/_xlfn.MAXIFS($M:$M,$E:$E,E203))</x:f>
      </x:c>
      <x:c r="P203" t="str">
        <x:f>IF(OR(N203="",O203=""),"",SQRT(N203*O203))</x:f>
      </x:c>
      <x:c r="Q203" t="str">
        <x:f>IF(OR(N203="",O203=""),"",N203^0.7*O203^0.3)</x:f>
      </x:c>
      <x:c r="R203" t="str">
        <x:f>IF(OR(N203="",O203=""),"",N203^0.3*O203^0.7)</x:f>
      </x:c>
    </x:row>
    <x:row r="204">
      <x:c r="A204" t="inlineStr">
        <x:is>
          <x:t xml:space="preserve">openai|gpt-5.6-sol|medium|reasoning|fallback-na|aa-v4.3.2|snapshot-2026-09-28</x:t>
        </x:is>
      </x:c>
      <x:c r="B204" t="inlineStr">
        <x:is>
          <x:t xml:space="preserve">openai|gpt-5.6-sol|medium|reasoning|fallback-na</x:t>
        </x:is>
      </x:c>
      <x:c r="C204" t="inlineStr">
        <x:is>
          <x:t xml:space="preserve">AA|v4.3.2</x:t>
        </x:is>
      </x:c>
      <x:c r="D204" t="n">
        <x:v>27</x:v>
      </x:c>
      <x:c r="E204" t="n">
        <x:v>40</x:v>
      </x:c>
      <x:c r="F204" t="n">
        <x:f>INDEX(Run_Metrics!$F:$F,D204)</x:f>
        <x:v>39</x:v>
      </x:c>
      <x:c r="G204" t="n">
        <x:f>INDEX(Run_Metrics!$G:$G,D204)</x:f>
        <x:v>0.5</x:v>
      </x:c>
      <x:c r="H204" t="str">
        <x:f>INDEX(Run_Metrics!$I:$I,D204)</x:f>
      </x:c>
      <x:c r="I204" t="n">
        <x:f>IF(F204="","",F204-(E204-1))</x:f>
        <x:v>0</x:v>
      </x:c>
      <x:c r="J204" t="n">
        <x:f>IF(I204&gt;0,1,0)</x:f>
        <x:v>0</x:v>
      </x:c>
      <x:c r="K204" t="str">
        <x:f>IF(OR(J204=0,G204="",G204=0),"",I204/G204)</x:f>
      </x:c>
      <x:c r="L204" t="str">
        <x:f>IF(OR(J204=0,I204=0,G204=""),"",G204/I204)</x:f>
      </x:c>
      <x:c r="M204" t="str">
        <x:f>IF(OR(J204=0,G204="",H204="",G204=0,H204=0),"",I204/(G204*H204))</x:f>
      </x:c>
      <x:c r="N204" t="str">
        <x:f>IF(K204="","",K204/_xlfn.MAXIFS($K:$K,$E:$E,E204))</x:f>
      </x:c>
      <x:c r="O204" t="str">
        <x:f>IF(M204="","",M204/_xlfn.MAXIFS($M:$M,$E:$E,E204))</x:f>
      </x:c>
      <x:c r="P204" t="str">
        <x:f>IF(OR(N204="",O204=""),"",SQRT(N204*O204))</x:f>
      </x:c>
      <x:c r="Q204" t="str">
        <x:f>IF(OR(N204="",O204=""),"",N204^0.7*O204^0.3)</x:f>
      </x:c>
      <x:c r="R204" t="str">
        <x:f>IF(OR(N204="",O204=""),"",N204^0.3*O204^0.7)</x:f>
      </x:c>
    </x:row>
    <x:row r="205">
      <x:c r="A205" t="inlineStr">
        <x:is>
          <x:t xml:space="preserve">openai|gpt-5.6-sol|medium|reasoning|fallback-na|aa-v4.3.2|snapshot-2026-09-28</x:t>
        </x:is>
      </x:c>
      <x:c r="B205" t="inlineStr">
        <x:is>
          <x:t xml:space="preserve">openai|gpt-5.6-sol|medium|reasoning|fallback-na</x:t>
        </x:is>
      </x:c>
      <x:c r="C205" t="inlineStr">
        <x:is>
          <x:t xml:space="preserve">AA|v4.3.2</x:t>
        </x:is>
      </x:c>
      <x:c r="D205" t="n">
        <x:v>27</x:v>
      </x:c>
      <x:c r="E205" t="n">
        <x:v>45</x:v>
      </x:c>
      <x:c r="F205" t="n">
        <x:f>INDEX(Run_Metrics!$F:$F,D205)</x:f>
        <x:v>39</x:v>
      </x:c>
      <x:c r="G205" t="n">
        <x:f>INDEX(Run_Metrics!$G:$G,D205)</x:f>
        <x:v>0.5</x:v>
      </x:c>
      <x:c r="H205" t="str">
        <x:f>INDEX(Run_Metrics!$I:$I,D205)</x:f>
      </x:c>
      <x:c r="I205" t="n">
        <x:f>IF(F205="","",F205-(E205-1))</x:f>
        <x:v>-5</x:v>
      </x:c>
      <x:c r="J205" t="n">
        <x:f>IF(I205&gt;0,1,0)</x:f>
        <x:v>0</x:v>
      </x:c>
      <x:c r="K205" t="str">
        <x:f>IF(OR(J205=0,G205="",G205=0),"",I205/G205)</x:f>
      </x:c>
      <x:c r="L205" t="str">
        <x:f>IF(OR(J205=0,I205=0,G205=""),"",G205/I205)</x:f>
      </x:c>
      <x:c r="M205" t="str">
        <x:f>IF(OR(J205=0,G205="",H205="",G205=0,H205=0),"",I205/(G205*H205))</x:f>
      </x:c>
      <x:c r="N205" t="str">
        <x:f>IF(K205="","",K205/_xlfn.MAXIFS($K:$K,$E:$E,E205))</x:f>
      </x:c>
      <x:c r="O205" t="str">
        <x:f>IF(M205="","",M205/_xlfn.MAXIFS($M:$M,$E:$E,E205))</x:f>
      </x:c>
      <x:c r="P205" t="str">
        <x:f>IF(OR(N205="",O205=""),"",SQRT(N205*O205))</x:f>
      </x:c>
      <x:c r="Q205" t="str">
        <x:f>IF(OR(N205="",O205=""),"",N205^0.7*O205^0.3)</x:f>
      </x:c>
      <x:c r="R205" t="str">
        <x:f>IF(OR(N205="",O205=""),"",N205^0.3*O205^0.7)</x:f>
      </x:c>
    </x:row>
    <x:row r="206">
      <x:c r="A206" t="inlineStr">
        <x:is>
          <x:t xml:space="preserve">openai|gpt-5.6-sol|medium|reasoning|fallback-na|aa-v4.3.2|snapshot-2026-09-28</x:t>
        </x:is>
      </x:c>
      <x:c r="B206" t="inlineStr">
        <x:is>
          <x:t xml:space="preserve">openai|gpt-5.6-sol|medium|reasoning|fallback-na</x:t>
        </x:is>
      </x:c>
      <x:c r="C206" t="inlineStr">
        <x:is>
          <x:t xml:space="preserve">AA|v4.3.2</x:t>
        </x:is>
      </x:c>
      <x:c r="D206" t="n">
        <x:v>27</x:v>
      </x:c>
      <x:c r="E206" t="n">
        <x:v>50</x:v>
      </x:c>
      <x:c r="F206" t="n">
        <x:f>INDEX(Run_Metrics!$F:$F,D206)</x:f>
        <x:v>39</x:v>
      </x:c>
      <x:c r="G206" t="n">
        <x:f>INDEX(Run_Metrics!$G:$G,D206)</x:f>
        <x:v>0.5</x:v>
      </x:c>
      <x:c r="H206" t="str">
        <x:f>INDEX(Run_Metrics!$I:$I,D206)</x:f>
      </x:c>
      <x:c r="I206" t="n">
        <x:f>IF(F206="","",F206-(E206-1))</x:f>
        <x:v>-10</x:v>
      </x:c>
      <x:c r="J206" t="n">
        <x:f>IF(I206&gt;0,1,0)</x:f>
        <x:v>0</x:v>
      </x:c>
      <x:c r="K206" t="str">
        <x:f>IF(OR(J206=0,G206="",G206=0),"",I206/G206)</x:f>
      </x:c>
      <x:c r="L206" t="str">
        <x:f>IF(OR(J206=0,I206=0,G206=""),"",G206/I206)</x:f>
      </x:c>
      <x:c r="M206" t="str">
        <x:f>IF(OR(J206=0,G206="",H206="",G206=0,H206=0),"",I206/(G206*H206))</x:f>
      </x:c>
      <x:c r="N206" t="str">
        <x:f>IF(K206="","",K206/_xlfn.MAXIFS($K:$K,$E:$E,E206))</x:f>
      </x:c>
      <x:c r="O206" t="str">
        <x:f>IF(M206="","",M206/_xlfn.MAXIFS($M:$M,$E:$E,E206))</x:f>
      </x:c>
      <x:c r="P206" t="str">
        <x:f>IF(OR(N206="",O206=""),"",SQRT(N206*O206))</x:f>
      </x:c>
      <x:c r="Q206" t="str">
        <x:f>IF(OR(N206="",O206=""),"",N206^0.7*O206^0.3)</x:f>
      </x:c>
      <x:c r="R206" t="str">
        <x:f>IF(OR(N206="",O206=""),"",N206^0.3*O206^0.7)</x:f>
      </x:c>
    </x:row>
    <x:row r="207">
      <x:c r="A207" t="inlineStr">
        <x:is>
          <x:t xml:space="preserve">openai|gpt-5.6-sol|medium|reasoning|fallback-na|aa-v4.3.2|snapshot-2026-09-28</x:t>
        </x:is>
      </x:c>
      <x:c r="B207" t="inlineStr">
        <x:is>
          <x:t xml:space="preserve">openai|gpt-5.6-sol|medium|reasoning|fallback-na</x:t>
        </x:is>
      </x:c>
      <x:c r="C207" t="inlineStr">
        <x:is>
          <x:t xml:space="preserve">AA|v4.3.2</x:t>
        </x:is>
      </x:c>
      <x:c r="D207" t="n">
        <x:v>27</x:v>
      </x:c>
      <x:c r="E207" t="n">
        <x:v>52</x:v>
      </x:c>
      <x:c r="F207" t="n">
        <x:f>INDEX(Run_Metrics!$F:$F,D207)</x:f>
        <x:v>39</x:v>
      </x:c>
      <x:c r="G207" t="n">
        <x:f>INDEX(Run_Metrics!$G:$G,D207)</x:f>
        <x:v>0.5</x:v>
      </x:c>
      <x:c r="H207" t="str">
        <x:f>INDEX(Run_Metrics!$I:$I,D207)</x:f>
      </x:c>
      <x:c r="I207" t="n">
        <x:f>IF(F207="","",F207-(E207-1))</x:f>
        <x:v>-12</x:v>
      </x:c>
      <x:c r="J207" t="n">
        <x:f>IF(I207&gt;0,1,0)</x:f>
        <x:v>0</x:v>
      </x:c>
      <x:c r="K207" t="str">
        <x:f>IF(OR(J207=0,G207="",G207=0),"",I207/G207)</x:f>
      </x:c>
      <x:c r="L207" t="str">
        <x:f>IF(OR(J207=0,I207=0,G207=""),"",G207/I207)</x:f>
      </x:c>
      <x:c r="M207" t="str">
        <x:f>IF(OR(J207=0,G207="",H207="",G207=0,H207=0),"",I207/(G207*H207))</x:f>
      </x:c>
      <x:c r="N207" t="str">
        <x:f>IF(K207="","",K207/_xlfn.MAXIFS($K:$K,$E:$E,E207))</x:f>
      </x:c>
      <x:c r="O207" t="str">
        <x:f>IF(M207="","",M207/_xlfn.MAXIFS($M:$M,$E:$E,E207))</x:f>
      </x:c>
      <x:c r="P207" t="str">
        <x:f>IF(OR(N207="",O207=""),"",SQRT(N207*O207))</x:f>
      </x:c>
      <x:c r="Q207" t="str">
        <x:f>IF(OR(N207="",O207=""),"",N207^0.7*O207^0.3)</x:f>
      </x:c>
      <x:c r="R207" t="str">
        <x:f>IF(OR(N207="",O207=""),"",N207^0.3*O207^0.7)</x:f>
      </x:c>
    </x:row>
    <x:row r="208">
      <x:c r="A208" t="inlineStr">
        <x:is>
          <x:t xml:space="preserve">openai|gpt-5.6-sol|medium|reasoning|fallback-na|aa-v4.3.2|snapshot-2026-09-28</x:t>
        </x:is>
      </x:c>
      <x:c r="B208" t="inlineStr">
        <x:is>
          <x:t xml:space="preserve">openai|gpt-5.6-sol|medium|reasoning|fallback-na</x:t>
        </x:is>
      </x:c>
      <x:c r="C208" t="inlineStr">
        <x:is>
          <x:t xml:space="preserve">AA|v4.3.2</x:t>
        </x:is>
      </x:c>
      <x:c r="D208" t="n">
        <x:v>27</x:v>
      </x:c>
      <x:c r="E208" t="n">
        <x:v>65</x:v>
      </x:c>
      <x:c r="F208" t="n">
        <x:f>INDEX(Run_Metrics!$F:$F,D208)</x:f>
        <x:v>39</x:v>
      </x:c>
      <x:c r="G208" t="n">
        <x:f>INDEX(Run_Metrics!$G:$G,D208)</x:f>
        <x:v>0.5</x:v>
      </x:c>
      <x:c r="H208" t="str">
        <x:f>INDEX(Run_Metrics!$I:$I,D208)</x:f>
      </x:c>
      <x:c r="I208" t="n">
        <x:f>IF(F208="","",F208-(E208-1))</x:f>
        <x:v>-25</x:v>
      </x:c>
      <x:c r="J208" t="n">
        <x:f>IF(I208&gt;0,1,0)</x:f>
        <x:v>0</x:v>
      </x:c>
      <x:c r="K208" t="str">
        <x:f>IF(OR(J208=0,G208="",G208=0),"",I208/G208)</x:f>
      </x:c>
      <x:c r="L208" t="str">
        <x:f>IF(OR(J208=0,I208=0,G208=""),"",G208/I208)</x:f>
      </x:c>
      <x:c r="M208" t="str">
        <x:f>IF(OR(J208=0,G208="",H208="",G208=0,H208=0),"",I208/(G208*H208))</x:f>
      </x:c>
      <x:c r="N208" t="str">
        <x:f>IF(K208="","",K208/_xlfn.MAXIFS($K:$K,$E:$E,E208))</x:f>
      </x:c>
      <x:c r="O208" t="str">
        <x:f>IF(M208="","",M208/_xlfn.MAXIFS($M:$M,$E:$E,E208))</x:f>
      </x:c>
      <x:c r="P208" t="str">
        <x:f>IF(OR(N208="",O208=""),"",SQRT(N208*O208))</x:f>
      </x:c>
      <x:c r="Q208" t="str">
        <x:f>IF(OR(N208="",O208=""),"",N208^0.7*O208^0.3)</x:f>
      </x:c>
      <x:c r="R208" t="str">
        <x:f>IF(OR(N208="",O208=""),"",N208^0.3*O208^0.7)</x:f>
      </x:c>
    </x:row>
    <x:row r="209">
      <x:c r="A209" t="inlineStr">
        <x:is>
          <x:t xml:space="preserve">openai|gpt-5.6-sol|medium|reasoning|fallback-na|aa-v4.3.2|snapshot-2026-09-28</x:t>
        </x:is>
      </x:c>
      <x:c r="B209" t="inlineStr">
        <x:is>
          <x:t xml:space="preserve">openai|gpt-5.6-sol|medium|reasoning|fallback-na</x:t>
        </x:is>
      </x:c>
      <x:c r="C209" t="inlineStr">
        <x:is>
          <x:t xml:space="preserve">AA|v4.3.2</x:t>
        </x:is>
      </x:c>
      <x:c r="D209" t="n">
        <x:v>27</x:v>
      </x:c>
      <x:c r="E209" t="n">
        <x:v>80</x:v>
      </x:c>
      <x:c r="F209" t="n">
        <x:f>INDEX(Run_Metrics!$F:$F,D209)</x:f>
        <x:v>39</x:v>
      </x:c>
      <x:c r="G209" t="n">
        <x:f>INDEX(Run_Metrics!$G:$G,D209)</x:f>
        <x:v>0.5</x:v>
      </x:c>
      <x:c r="H209" t="str">
        <x:f>INDEX(Run_Metrics!$I:$I,D209)</x:f>
      </x:c>
      <x:c r="I209" t="n">
        <x:f>IF(F209="","",F209-(E209-1))</x:f>
        <x:v>-40</x:v>
      </x:c>
      <x:c r="J209" t="n">
        <x:f>IF(I209&gt;0,1,0)</x:f>
        <x:v>0</x:v>
      </x:c>
      <x:c r="K209" t="str">
        <x:f>IF(OR(J209=0,G209="",G209=0),"",I209/G209)</x:f>
      </x:c>
      <x:c r="L209" t="str">
        <x:f>IF(OR(J209=0,I209=0,G209=""),"",G209/I209)</x:f>
      </x:c>
      <x:c r="M209" t="str">
        <x:f>IF(OR(J209=0,G209="",H209="",G209=0,H209=0),"",I209/(G209*H209))</x:f>
      </x:c>
      <x:c r="N209" t="str">
        <x:f>IF(K209="","",K209/_xlfn.MAXIFS($K:$K,$E:$E,E209))</x:f>
      </x:c>
      <x:c r="O209" t="str">
        <x:f>IF(M209="","",M209/_xlfn.MAXIFS($M:$M,$E:$E,E209))</x:f>
      </x:c>
      <x:c r="P209" t="str">
        <x:f>IF(OR(N209="",O209=""),"",SQRT(N209*O209))</x:f>
      </x:c>
      <x:c r="Q209" t="str">
        <x:f>IF(OR(N209="",O209=""),"",N209^0.7*O209^0.3)</x:f>
      </x:c>
      <x:c r="R209" t="str">
        <x:f>IF(OR(N209="",O209=""),"",N209^0.3*O209^0.7)</x:f>
      </x:c>
    </x:row>
    <x:row r="210">
      <x:c r="A210" t="inlineStr">
        <x:is>
          <x:t xml:space="preserve">openai|gpt-5.6-sol|high|reasoning|fallback-na|aa-v4.3.2|snapshot-2026-09-28</x:t>
        </x:is>
      </x:c>
      <x:c r="B210" t="inlineStr">
        <x:is>
          <x:t xml:space="preserve">openai|gpt-5.6-sol|high|reasoning|fallback-na</x:t>
        </x:is>
      </x:c>
      <x:c r="C210" t="inlineStr">
        <x:is>
          <x:t xml:space="preserve">AA|v4.3.2</x:t>
        </x:is>
      </x:c>
      <x:c r="D210" t="n">
        <x:v>28</x:v>
      </x:c>
      <x:c r="E210" t="n">
        <x:v>20</x:v>
      </x:c>
      <x:c r="F210" t="n">
        <x:f>INDEX(Run_Metrics!$F:$F,D210)</x:f>
        <x:v>42</x:v>
      </x:c>
      <x:c r="G210" t="n">
        <x:f>INDEX(Run_Metrics!$G:$G,D210)</x:f>
        <x:v>0.81</x:v>
      </x:c>
      <x:c r="H210" t="str">
        <x:f>INDEX(Run_Metrics!$I:$I,D210)</x:f>
      </x:c>
      <x:c r="I210" t="n">
        <x:f>IF(F210="","",F210-(E210-1))</x:f>
        <x:v>23</x:v>
      </x:c>
      <x:c r="J210" t="n">
        <x:f>IF(I210&gt;0,1,0)</x:f>
        <x:v>1</x:v>
      </x:c>
      <x:c r="K210" t="n">
        <x:f>IF(OR(J210=0,G210="",G210=0),"",I210/G210)</x:f>
        <x:v>28.39506172839506</x:v>
      </x:c>
      <x:c r="L210" t="n">
        <x:f>IF(OR(J210=0,I210=0,G210=""),"",G210/I210)</x:f>
        <x:v>0.035217391304347825</x:v>
      </x:c>
      <x:c r="M210" t="str">
        <x:f>IF(OR(J210=0,G210="",H210="",G210=0,H210=0),"",I210/(G210*H210))</x:f>
      </x:c>
      <x:c r="N210" t="n">
        <x:f>IF(K210="","",K210/_xlfn.MAXIFS($K:$K,$E:$E,E210))</x:f>
        <x:v>0.042592592592592585</x:v>
      </x:c>
      <x:c r="O210" t="str">
        <x:f>IF(M210="","",M210/_xlfn.MAXIFS($M:$M,$E:$E,E210))</x:f>
      </x:c>
      <x:c r="P210" t="str">
        <x:f>IF(OR(N210="",O210=""),"",SQRT(N210*O210))</x:f>
      </x:c>
      <x:c r="Q210" t="str">
        <x:f>IF(OR(N210="",O210=""),"",N210^0.7*O210^0.3)</x:f>
      </x:c>
      <x:c r="R210" t="str">
        <x:f>IF(OR(N210="",O210=""),"",N210^0.3*O210^0.7)</x:f>
      </x:c>
    </x:row>
    <x:row r="211">
      <x:c r="A211" t="inlineStr">
        <x:is>
          <x:t xml:space="preserve">openai|gpt-5.6-sol|high|reasoning|fallback-na|aa-v4.3.2|snapshot-2026-09-28</x:t>
        </x:is>
      </x:c>
      <x:c r="B211" t="inlineStr">
        <x:is>
          <x:t xml:space="preserve">openai|gpt-5.6-sol|high|reasoning|fallback-na</x:t>
        </x:is>
      </x:c>
      <x:c r="C211" t="inlineStr">
        <x:is>
          <x:t xml:space="preserve">AA|v4.3.2</x:t>
        </x:is>
      </x:c>
      <x:c r="D211" t="n">
        <x:v>28</x:v>
      </x:c>
      <x:c r="E211" t="n">
        <x:v>30</x:v>
      </x:c>
      <x:c r="F211" t="n">
        <x:f>INDEX(Run_Metrics!$F:$F,D211)</x:f>
        <x:v>42</x:v>
      </x:c>
      <x:c r="G211" t="n">
        <x:f>INDEX(Run_Metrics!$G:$G,D211)</x:f>
        <x:v>0.81</x:v>
      </x:c>
      <x:c r="H211" t="str">
        <x:f>INDEX(Run_Metrics!$I:$I,D211)</x:f>
      </x:c>
      <x:c r="I211" t="n">
        <x:f>IF(F211="","",F211-(E211-1))</x:f>
        <x:v>13</x:v>
      </x:c>
      <x:c r="J211" t="n">
        <x:f>IF(I211&gt;0,1,0)</x:f>
        <x:v>1</x:v>
      </x:c>
      <x:c r="K211" t="n">
        <x:f>IF(OR(J211=0,G211="",G211=0),"",I211/G211)</x:f>
        <x:v>16.049382716049383</x:v>
      </x:c>
      <x:c r="L211" t="n">
        <x:f>IF(OR(J211=0,I211=0,G211=""),"",G211/I211)</x:f>
        <x:v>0.062307692307692314</x:v>
      </x:c>
      <x:c r="M211" t="str">
        <x:f>IF(OR(J211=0,G211="",H211="",G211=0,H211=0),"",I211/(G211*H211))</x:f>
      </x:c>
      <x:c r="N211" t="n">
        <x:f>IF(K211="","",K211/_xlfn.MAXIFS($K:$K,$E:$E,E211))</x:f>
        <x:v>0.10699588477366255</x:v>
      </x:c>
      <x:c r="O211" t="str">
        <x:f>IF(M211="","",M211/_xlfn.MAXIFS($M:$M,$E:$E,E211))</x:f>
      </x:c>
      <x:c r="P211" t="str">
        <x:f>IF(OR(N211="",O211=""),"",SQRT(N211*O211))</x:f>
      </x:c>
      <x:c r="Q211" t="str">
        <x:f>IF(OR(N211="",O211=""),"",N211^0.7*O211^0.3)</x:f>
      </x:c>
      <x:c r="R211" t="str">
        <x:f>IF(OR(N211="",O211=""),"",N211^0.3*O211^0.7)</x:f>
      </x:c>
    </x:row>
    <x:row r="212">
      <x:c r="A212" t="inlineStr">
        <x:is>
          <x:t xml:space="preserve">openai|gpt-5.6-sol|high|reasoning|fallback-na|aa-v4.3.2|snapshot-2026-09-28</x:t>
        </x:is>
      </x:c>
      <x:c r="B212" t="inlineStr">
        <x:is>
          <x:t xml:space="preserve">openai|gpt-5.6-sol|high|reasoning|fallback-na</x:t>
        </x:is>
      </x:c>
      <x:c r="C212" t="inlineStr">
        <x:is>
          <x:t xml:space="preserve">AA|v4.3.2</x:t>
        </x:is>
      </x:c>
      <x:c r="D212" t="n">
        <x:v>28</x:v>
      </x:c>
      <x:c r="E212" t="n">
        <x:v>40</x:v>
      </x:c>
      <x:c r="F212" t="n">
        <x:f>INDEX(Run_Metrics!$F:$F,D212)</x:f>
        <x:v>42</x:v>
      </x:c>
      <x:c r="G212" t="n">
        <x:f>INDEX(Run_Metrics!$G:$G,D212)</x:f>
        <x:v>0.81</x:v>
      </x:c>
      <x:c r="H212" t="str">
        <x:f>INDEX(Run_Metrics!$I:$I,D212)</x:f>
      </x:c>
      <x:c r="I212" t="n">
        <x:f>IF(F212="","",F212-(E212-1))</x:f>
        <x:v>3</x:v>
      </x:c>
      <x:c r="J212" t="n">
        <x:f>IF(I212&gt;0,1,0)</x:f>
        <x:v>1</x:v>
      </x:c>
      <x:c r="K212" t="n">
        <x:f>IF(OR(J212=0,G212="",G212=0),"",I212/G212)</x:f>
        <x:v>3.7037037037037033</x:v>
      </x:c>
      <x:c r="L212" t="n">
        <x:f>IF(OR(J212=0,I212=0,G212=""),"",G212/I212)</x:f>
        <x:v>0.27</x:v>
      </x:c>
      <x:c r="M212" t="str">
        <x:f>IF(OR(J212=0,G212="",H212="",G212=0,H212=0),"",I212/(G212*H212))</x:f>
      </x:c>
      <x:c r="N212" t="n">
        <x:f>IF(K212="","",K212/_xlfn.MAXIFS($K:$K,$E:$E,E212))</x:f>
        <x:v>0.06878306878306878</x:v>
      </x:c>
      <x:c r="O212" t="str">
        <x:f>IF(M212="","",M212/_xlfn.MAXIFS($M:$M,$E:$E,E212))</x:f>
      </x:c>
      <x:c r="P212" t="str">
        <x:f>IF(OR(N212="",O212=""),"",SQRT(N212*O212))</x:f>
      </x:c>
      <x:c r="Q212" t="str">
        <x:f>IF(OR(N212="",O212=""),"",N212^0.7*O212^0.3)</x:f>
      </x:c>
      <x:c r="R212" t="str">
        <x:f>IF(OR(N212="",O212=""),"",N212^0.3*O212^0.7)</x:f>
      </x:c>
    </x:row>
    <x:row r="213">
      <x:c r="A213" t="inlineStr">
        <x:is>
          <x:t xml:space="preserve">openai|gpt-5.6-sol|high|reasoning|fallback-na|aa-v4.3.2|snapshot-2026-09-28</x:t>
        </x:is>
      </x:c>
      <x:c r="B213" t="inlineStr">
        <x:is>
          <x:t xml:space="preserve">openai|gpt-5.6-sol|high|reasoning|fallback-na</x:t>
        </x:is>
      </x:c>
      <x:c r="C213" t="inlineStr">
        <x:is>
          <x:t xml:space="preserve">AA|v4.3.2</x:t>
        </x:is>
      </x:c>
      <x:c r="D213" t="n">
        <x:v>28</x:v>
      </x:c>
      <x:c r="E213" t="n">
        <x:v>45</x:v>
      </x:c>
      <x:c r="F213" t="n">
        <x:f>INDEX(Run_Metrics!$F:$F,D213)</x:f>
        <x:v>42</x:v>
      </x:c>
      <x:c r="G213" t="n">
        <x:f>INDEX(Run_Metrics!$G:$G,D213)</x:f>
        <x:v>0.81</x:v>
      </x:c>
      <x:c r="H213" t="str">
        <x:f>INDEX(Run_Metrics!$I:$I,D213)</x:f>
      </x:c>
      <x:c r="I213" t="n">
        <x:f>IF(F213="","",F213-(E213-1))</x:f>
        <x:v>-2</x:v>
      </x:c>
      <x:c r="J213" t="n">
        <x:f>IF(I213&gt;0,1,0)</x:f>
        <x:v>0</x:v>
      </x:c>
      <x:c r="K213" t="str">
        <x:f>IF(OR(J213=0,G213="",G213=0),"",I213/G213)</x:f>
      </x:c>
      <x:c r="L213" t="str">
        <x:f>IF(OR(J213=0,I213=0,G213=""),"",G213/I213)</x:f>
      </x:c>
      <x:c r="M213" t="str">
        <x:f>IF(OR(J213=0,G213="",H213="",G213=0,H213=0),"",I213/(G213*H213))</x:f>
      </x:c>
      <x:c r="N213" t="str">
        <x:f>IF(K213="","",K213/_xlfn.MAXIFS($K:$K,$E:$E,E213))</x:f>
      </x:c>
      <x:c r="O213" t="str">
        <x:f>IF(M213="","",M213/_xlfn.MAXIFS($M:$M,$E:$E,E213))</x:f>
      </x:c>
      <x:c r="P213" t="str">
        <x:f>IF(OR(N213="",O213=""),"",SQRT(N213*O213))</x:f>
      </x:c>
      <x:c r="Q213" t="str">
        <x:f>IF(OR(N213="",O213=""),"",N213^0.7*O213^0.3)</x:f>
      </x:c>
      <x:c r="R213" t="str">
        <x:f>IF(OR(N213="",O213=""),"",N213^0.3*O213^0.7)</x:f>
      </x:c>
    </x:row>
    <x:row r="214">
      <x:c r="A214" t="inlineStr">
        <x:is>
          <x:t xml:space="preserve">openai|gpt-5.6-sol|high|reasoning|fallback-na|aa-v4.3.2|snapshot-2026-09-28</x:t>
        </x:is>
      </x:c>
      <x:c r="B214" t="inlineStr">
        <x:is>
          <x:t xml:space="preserve">openai|gpt-5.6-sol|high|reasoning|fallback-na</x:t>
        </x:is>
      </x:c>
      <x:c r="C214" t="inlineStr">
        <x:is>
          <x:t xml:space="preserve">AA|v4.3.2</x:t>
        </x:is>
      </x:c>
      <x:c r="D214" t="n">
        <x:v>28</x:v>
      </x:c>
      <x:c r="E214" t="n">
        <x:v>50</x:v>
      </x:c>
      <x:c r="F214" t="n">
        <x:f>INDEX(Run_Metrics!$F:$F,D214)</x:f>
        <x:v>42</x:v>
      </x:c>
      <x:c r="G214" t="n">
        <x:f>INDEX(Run_Metrics!$G:$G,D214)</x:f>
        <x:v>0.81</x:v>
      </x:c>
      <x:c r="H214" t="str">
        <x:f>INDEX(Run_Metrics!$I:$I,D214)</x:f>
      </x:c>
      <x:c r="I214" t="n">
        <x:f>IF(F214="","",F214-(E214-1))</x:f>
        <x:v>-7</x:v>
      </x:c>
      <x:c r="J214" t="n">
        <x:f>IF(I214&gt;0,1,0)</x:f>
        <x:v>0</x:v>
      </x:c>
      <x:c r="K214" t="str">
        <x:f>IF(OR(J214=0,G214="",G214=0),"",I214/G214)</x:f>
      </x:c>
      <x:c r="L214" t="str">
        <x:f>IF(OR(J214=0,I214=0,G214=""),"",G214/I214)</x:f>
      </x:c>
      <x:c r="M214" t="str">
        <x:f>IF(OR(J214=0,G214="",H214="",G214=0,H214=0),"",I214/(G214*H214))</x:f>
      </x:c>
      <x:c r="N214" t="str">
        <x:f>IF(K214="","",K214/_xlfn.MAXIFS($K:$K,$E:$E,E214))</x:f>
      </x:c>
      <x:c r="O214" t="str">
        <x:f>IF(M214="","",M214/_xlfn.MAXIFS($M:$M,$E:$E,E214))</x:f>
      </x:c>
      <x:c r="P214" t="str">
        <x:f>IF(OR(N214="",O214=""),"",SQRT(N214*O214))</x:f>
      </x:c>
      <x:c r="Q214" t="str">
        <x:f>IF(OR(N214="",O214=""),"",N214^0.7*O214^0.3)</x:f>
      </x:c>
      <x:c r="R214" t="str">
        <x:f>IF(OR(N214="",O214=""),"",N214^0.3*O214^0.7)</x:f>
      </x:c>
    </x:row>
    <x:row r="215">
      <x:c r="A215" t="inlineStr">
        <x:is>
          <x:t xml:space="preserve">openai|gpt-5.6-sol|high|reasoning|fallback-na|aa-v4.3.2|snapshot-2026-09-28</x:t>
        </x:is>
      </x:c>
      <x:c r="B215" t="inlineStr">
        <x:is>
          <x:t xml:space="preserve">openai|gpt-5.6-sol|high|reasoning|fallback-na</x:t>
        </x:is>
      </x:c>
      <x:c r="C215" t="inlineStr">
        <x:is>
          <x:t xml:space="preserve">AA|v4.3.2</x:t>
        </x:is>
      </x:c>
      <x:c r="D215" t="n">
        <x:v>28</x:v>
      </x:c>
      <x:c r="E215" t="n">
        <x:v>52</x:v>
      </x:c>
      <x:c r="F215" t="n">
        <x:f>INDEX(Run_Metrics!$F:$F,D215)</x:f>
        <x:v>42</x:v>
      </x:c>
      <x:c r="G215" t="n">
        <x:f>INDEX(Run_Metrics!$G:$G,D215)</x:f>
        <x:v>0.81</x:v>
      </x:c>
      <x:c r="H215" t="str">
        <x:f>INDEX(Run_Metrics!$I:$I,D215)</x:f>
      </x:c>
      <x:c r="I215" t="n">
        <x:f>IF(F215="","",F215-(E215-1))</x:f>
        <x:v>-9</x:v>
      </x:c>
      <x:c r="J215" t="n">
        <x:f>IF(I215&gt;0,1,0)</x:f>
        <x:v>0</x:v>
      </x:c>
      <x:c r="K215" t="str">
        <x:f>IF(OR(J215=0,G215="",G215=0),"",I215/G215)</x:f>
      </x:c>
      <x:c r="L215" t="str">
        <x:f>IF(OR(J215=0,I215=0,G215=""),"",G215/I215)</x:f>
      </x:c>
      <x:c r="M215" t="str">
        <x:f>IF(OR(J215=0,G215="",H215="",G215=0,H215=0),"",I215/(G215*H215))</x:f>
      </x:c>
      <x:c r="N215" t="str">
        <x:f>IF(K215="","",K215/_xlfn.MAXIFS($K:$K,$E:$E,E215))</x:f>
      </x:c>
      <x:c r="O215" t="str">
        <x:f>IF(M215="","",M215/_xlfn.MAXIFS($M:$M,$E:$E,E215))</x:f>
      </x:c>
      <x:c r="P215" t="str">
        <x:f>IF(OR(N215="",O215=""),"",SQRT(N215*O215))</x:f>
      </x:c>
      <x:c r="Q215" t="str">
        <x:f>IF(OR(N215="",O215=""),"",N215^0.7*O215^0.3)</x:f>
      </x:c>
      <x:c r="R215" t="str">
        <x:f>IF(OR(N215="",O215=""),"",N215^0.3*O215^0.7)</x:f>
      </x:c>
    </x:row>
    <x:row r="216">
      <x:c r="A216" t="inlineStr">
        <x:is>
          <x:t xml:space="preserve">openai|gpt-5.6-sol|high|reasoning|fallback-na|aa-v4.3.2|snapshot-2026-09-28</x:t>
        </x:is>
      </x:c>
      <x:c r="B216" t="inlineStr">
        <x:is>
          <x:t xml:space="preserve">openai|gpt-5.6-sol|high|reasoning|fallback-na</x:t>
        </x:is>
      </x:c>
      <x:c r="C216" t="inlineStr">
        <x:is>
          <x:t xml:space="preserve">AA|v4.3.2</x:t>
        </x:is>
      </x:c>
      <x:c r="D216" t="n">
        <x:v>28</x:v>
      </x:c>
      <x:c r="E216" t="n">
        <x:v>65</x:v>
      </x:c>
      <x:c r="F216" t="n">
        <x:f>INDEX(Run_Metrics!$F:$F,D216)</x:f>
        <x:v>42</x:v>
      </x:c>
      <x:c r="G216" t="n">
        <x:f>INDEX(Run_Metrics!$G:$G,D216)</x:f>
        <x:v>0.81</x:v>
      </x:c>
      <x:c r="H216" t="str">
        <x:f>INDEX(Run_Metrics!$I:$I,D216)</x:f>
      </x:c>
      <x:c r="I216" t="n">
        <x:f>IF(F216="","",F216-(E216-1))</x:f>
        <x:v>-22</x:v>
      </x:c>
      <x:c r="J216" t="n">
        <x:f>IF(I216&gt;0,1,0)</x:f>
        <x:v>0</x:v>
      </x:c>
      <x:c r="K216" t="str">
        <x:f>IF(OR(J216=0,G216="",G216=0),"",I216/G216)</x:f>
      </x:c>
      <x:c r="L216" t="str">
        <x:f>IF(OR(J216=0,I216=0,G216=""),"",G216/I216)</x:f>
      </x:c>
      <x:c r="M216" t="str">
        <x:f>IF(OR(J216=0,G216="",H216="",G216=0,H216=0),"",I216/(G216*H216))</x:f>
      </x:c>
      <x:c r="N216" t="str">
        <x:f>IF(K216="","",K216/_xlfn.MAXIFS($K:$K,$E:$E,E216))</x:f>
      </x:c>
      <x:c r="O216" t="str">
        <x:f>IF(M216="","",M216/_xlfn.MAXIFS($M:$M,$E:$E,E216))</x:f>
      </x:c>
      <x:c r="P216" t="str">
        <x:f>IF(OR(N216="",O216=""),"",SQRT(N216*O216))</x:f>
      </x:c>
      <x:c r="Q216" t="str">
        <x:f>IF(OR(N216="",O216=""),"",N216^0.7*O216^0.3)</x:f>
      </x:c>
      <x:c r="R216" t="str">
        <x:f>IF(OR(N216="",O216=""),"",N216^0.3*O216^0.7)</x:f>
      </x:c>
    </x:row>
    <x:row r="217">
      <x:c r="A217" t="inlineStr">
        <x:is>
          <x:t xml:space="preserve">openai|gpt-5.6-sol|high|reasoning|fallback-na|aa-v4.3.2|snapshot-2026-09-28</x:t>
        </x:is>
      </x:c>
      <x:c r="B217" t="inlineStr">
        <x:is>
          <x:t xml:space="preserve">openai|gpt-5.6-sol|high|reasoning|fallback-na</x:t>
        </x:is>
      </x:c>
      <x:c r="C217" t="inlineStr">
        <x:is>
          <x:t xml:space="preserve">AA|v4.3.2</x:t>
        </x:is>
      </x:c>
      <x:c r="D217" t="n">
        <x:v>28</x:v>
      </x:c>
      <x:c r="E217" t="n">
        <x:v>80</x:v>
      </x:c>
      <x:c r="F217" t="n">
        <x:f>INDEX(Run_Metrics!$F:$F,D217)</x:f>
        <x:v>42</x:v>
      </x:c>
      <x:c r="G217" t="n">
        <x:f>INDEX(Run_Metrics!$G:$G,D217)</x:f>
        <x:v>0.81</x:v>
      </x:c>
      <x:c r="H217" t="str">
        <x:f>INDEX(Run_Metrics!$I:$I,D217)</x:f>
      </x:c>
      <x:c r="I217" t="n">
        <x:f>IF(F217="","",F217-(E217-1))</x:f>
        <x:v>-37</x:v>
      </x:c>
      <x:c r="J217" t="n">
        <x:f>IF(I217&gt;0,1,0)</x:f>
        <x:v>0</x:v>
      </x:c>
      <x:c r="K217" t="str">
        <x:f>IF(OR(J217=0,G217="",G217=0),"",I217/G217)</x:f>
      </x:c>
      <x:c r="L217" t="str">
        <x:f>IF(OR(J217=0,I217=0,G217=""),"",G217/I217)</x:f>
      </x:c>
      <x:c r="M217" t="str">
        <x:f>IF(OR(J217=0,G217="",H217="",G217=0,H217=0),"",I217/(G217*H217))</x:f>
      </x:c>
      <x:c r="N217" t="str">
        <x:f>IF(K217="","",K217/_xlfn.MAXIFS($K:$K,$E:$E,E217))</x:f>
      </x:c>
      <x:c r="O217" t="str">
        <x:f>IF(M217="","",M217/_xlfn.MAXIFS($M:$M,$E:$E,E217))</x:f>
      </x:c>
      <x:c r="P217" t="str">
        <x:f>IF(OR(N217="",O217=""),"",SQRT(N217*O217))</x:f>
      </x:c>
      <x:c r="Q217" t="str">
        <x:f>IF(OR(N217="",O217=""),"",N217^0.7*O217^0.3)</x:f>
      </x:c>
      <x:c r="R217" t="str">
        <x:f>IF(OR(N217="",O217=""),"",N217^0.3*O217^0.7)</x:f>
      </x:c>
    </x:row>
    <x:row r="218">
      <x:c r="A218" t="inlineStr">
        <x:is>
          <x:t xml:space="preserve">openai|gpt-5.6-sol|xhigh|reasoning|fallback-na|aa-v4.3.2|snapshot-2026-09-28</x:t>
        </x:is>
      </x:c>
      <x:c r="B218" t="inlineStr">
        <x:is>
          <x:t xml:space="preserve">openai|gpt-5.6-sol|xhigh|reasoning|fallback-na</x:t>
        </x:is>
      </x:c>
      <x:c r="C218" t="inlineStr">
        <x:is>
          <x:t xml:space="preserve">AA|v4.3.2</x:t>
        </x:is>
      </x:c>
      <x:c r="D218" t="n">
        <x:v>29</x:v>
      </x:c>
      <x:c r="E218" t="n">
        <x:v>20</x:v>
      </x:c>
      <x:c r="F218" t="n">
        <x:f>INDEX(Run_Metrics!$F:$F,D218)</x:f>
        <x:v>44</x:v>
      </x:c>
      <x:c r="G218" t="n">
        <x:f>INDEX(Run_Metrics!$G:$G,D218)</x:f>
        <x:v>1.18</x:v>
      </x:c>
      <x:c r="H218" t="str">
        <x:f>INDEX(Run_Metrics!$I:$I,D218)</x:f>
      </x:c>
      <x:c r="I218" t="n">
        <x:f>IF(F218="","",F218-(E218-1))</x:f>
        <x:v>25</x:v>
      </x:c>
      <x:c r="J218" t="n">
        <x:f>IF(I218&gt;0,1,0)</x:f>
        <x:v>1</x:v>
      </x:c>
      <x:c r="K218" t="n">
        <x:f>IF(OR(J218=0,G218="",G218=0),"",I218/G218)</x:f>
        <x:v>21.186440677966104</x:v>
      </x:c>
      <x:c r="L218" t="n">
        <x:f>IF(OR(J218=0,I218=0,G218=""),"",G218/I218)</x:f>
        <x:v>0.0472</x:v>
      </x:c>
      <x:c r="M218" t="str">
        <x:f>IF(OR(J218=0,G218="",H218="",G218=0,H218=0),"",I218/(G218*H218))</x:f>
      </x:c>
      <x:c r="N218" t="n">
        <x:f>IF(K218="","",K218/_xlfn.MAXIFS($K:$K,$E:$E,E218))</x:f>
        <x:v>0.03177966101694915</x:v>
      </x:c>
      <x:c r="O218" t="str">
        <x:f>IF(M218="","",M218/_xlfn.MAXIFS($M:$M,$E:$E,E218))</x:f>
      </x:c>
      <x:c r="P218" t="str">
        <x:f>IF(OR(N218="",O218=""),"",SQRT(N218*O218))</x:f>
      </x:c>
      <x:c r="Q218" t="str">
        <x:f>IF(OR(N218="",O218=""),"",N218^0.7*O218^0.3)</x:f>
      </x:c>
      <x:c r="R218" t="str">
        <x:f>IF(OR(N218="",O218=""),"",N218^0.3*O218^0.7)</x:f>
      </x:c>
    </x:row>
    <x:row r="219">
      <x:c r="A219" t="inlineStr">
        <x:is>
          <x:t xml:space="preserve">openai|gpt-5.6-sol|xhigh|reasoning|fallback-na|aa-v4.3.2|snapshot-2026-09-28</x:t>
        </x:is>
      </x:c>
      <x:c r="B219" t="inlineStr">
        <x:is>
          <x:t xml:space="preserve">openai|gpt-5.6-sol|xhigh|reasoning|fallback-na</x:t>
        </x:is>
      </x:c>
      <x:c r="C219" t="inlineStr">
        <x:is>
          <x:t xml:space="preserve">AA|v4.3.2</x:t>
        </x:is>
      </x:c>
      <x:c r="D219" t="n">
        <x:v>29</x:v>
      </x:c>
      <x:c r="E219" t="n">
        <x:v>30</x:v>
      </x:c>
      <x:c r="F219" t="n">
        <x:f>INDEX(Run_Metrics!$F:$F,D219)</x:f>
        <x:v>44</x:v>
      </x:c>
      <x:c r="G219" t="n">
        <x:f>INDEX(Run_Metrics!$G:$G,D219)</x:f>
        <x:v>1.18</x:v>
      </x:c>
      <x:c r="H219" t="str">
        <x:f>INDEX(Run_Metrics!$I:$I,D219)</x:f>
      </x:c>
      <x:c r="I219" t="n">
        <x:f>IF(F219="","",F219-(E219-1))</x:f>
        <x:v>15</x:v>
      </x:c>
      <x:c r="J219" t="n">
        <x:f>IF(I219&gt;0,1,0)</x:f>
        <x:v>1</x:v>
      </x:c>
      <x:c r="K219" t="n">
        <x:f>IF(OR(J219=0,G219="",G219=0),"",I219/G219)</x:f>
        <x:v>12.711864406779661</x:v>
      </x:c>
      <x:c r="L219" t="n">
        <x:f>IF(OR(J219=0,I219=0,G219=""),"",G219/I219)</x:f>
        <x:v>0.07866666666666666</x:v>
      </x:c>
      <x:c r="M219" t="str">
        <x:f>IF(OR(J219=0,G219="",H219="",G219=0,H219=0),"",I219/(G219*H219))</x:f>
      </x:c>
      <x:c r="N219" t="n">
        <x:f>IF(K219="","",K219/_xlfn.MAXIFS($K:$K,$E:$E,E219))</x:f>
        <x:v>0.0847457627118644</x:v>
      </x:c>
      <x:c r="O219" t="str">
        <x:f>IF(M219="","",M219/_xlfn.MAXIFS($M:$M,$E:$E,E219))</x:f>
      </x:c>
      <x:c r="P219" t="str">
        <x:f>IF(OR(N219="",O219=""),"",SQRT(N219*O219))</x:f>
      </x:c>
      <x:c r="Q219" t="str">
        <x:f>IF(OR(N219="",O219=""),"",N219^0.7*O219^0.3)</x:f>
      </x:c>
      <x:c r="R219" t="str">
        <x:f>IF(OR(N219="",O219=""),"",N219^0.3*O219^0.7)</x:f>
      </x:c>
    </x:row>
    <x:row r="220">
      <x:c r="A220" t="inlineStr">
        <x:is>
          <x:t xml:space="preserve">openai|gpt-5.6-sol|xhigh|reasoning|fallback-na|aa-v4.3.2|snapshot-2026-09-28</x:t>
        </x:is>
      </x:c>
      <x:c r="B220" t="inlineStr">
        <x:is>
          <x:t xml:space="preserve">openai|gpt-5.6-sol|xhigh|reasoning|fallback-na</x:t>
        </x:is>
      </x:c>
      <x:c r="C220" t="inlineStr">
        <x:is>
          <x:t xml:space="preserve">AA|v4.3.2</x:t>
        </x:is>
      </x:c>
      <x:c r="D220" t="n">
        <x:v>29</x:v>
      </x:c>
      <x:c r="E220" t="n">
        <x:v>40</x:v>
      </x:c>
      <x:c r="F220" t="n">
        <x:f>INDEX(Run_Metrics!$F:$F,D220)</x:f>
        <x:v>44</x:v>
      </x:c>
      <x:c r="G220" t="n">
        <x:f>INDEX(Run_Metrics!$G:$G,D220)</x:f>
        <x:v>1.18</x:v>
      </x:c>
      <x:c r="H220" t="str">
        <x:f>INDEX(Run_Metrics!$I:$I,D220)</x:f>
      </x:c>
      <x:c r="I220" t="n">
        <x:f>IF(F220="","",F220-(E220-1))</x:f>
        <x:v>5</x:v>
      </x:c>
      <x:c r="J220" t="n">
        <x:f>IF(I220&gt;0,1,0)</x:f>
        <x:v>1</x:v>
      </x:c>
      <x:c r="K220" t="n">
        <x:f>IF(OR(J220=0,G220="",G220=0),"",I220/G220)</x:f>
        <x:v>4.237288135593221</x:v>
      </x:c>
      <x:c r="L220" t="n">
        <x:f>IF(OR(J220=0,I220=0,G220=""),"",G220/I220)</x:f>
        <x:v>0.236</x:v>
      </x:c>
      <x:c r="M220" t="str">
        <x:f>IF(OR(J220=0,G220="",H220="",G220=0,H220=0),"",I220/(G220*H220))</x:f>
      </x:c>
      <x:c r="N220" t="n">
        <x:f>IF(K220="","",K220/_xlfn.MAXIFS($K:$K,$E:$E,E220))</x:f>
        <x:v>0.07869249394673124</x:v>
      </x:c>
      <x:c r="O220" t="str">
        <x:f>IF(M220="","",M220/_xlfn.MAXIFS($M:$M,$E:$E,E220))</x:f>
      </x:c>
      <x:c r="P220" t="str">
        <x:f>IF(OR(N220="",O220=""),"",SQRT(N220*O220))</x:f>
      </x:c>
      <x:c r="Q220" t="str">
        <x:f>IF(OR(N220="",O220=""),"",N220^0.7*O220^0.3)</x:f>
      </x:c>
      <x:c r="R220" t="str">
        <x:f>IF(OR(N220="",O220=""),"",N220^0.3*O220^0.7)</x:f>
      </x:c>
    </x:row>
    <x:row r="221">
      <x:c r="A221" t="inlineStr">
        <x:is>
          <x:t xml:space="preserve">openai|gpt-5.6-sol|xhigh|reasoning|fallback-na|aa-v4.3.2|snapshot-2026-09-28</x:t>
        </x:is>
      </x:c>
      <x:c r="B221" t="inlineStr">
        <x:is>
          <x:t xml:space="preserve">openai|gpt-5.6-sol|xhigh|reasoning|fallback-na</x:t>
        </x:is>
      </x:c>
      <x:c r="C221" t="inlineStr">
        <x:is>
          <x:t xml:space="preserve">AA|v4.3.2</x:t>
        </x:is>
      </x:c>
      <x:c r="D221" t="n">
        <x:v>29</x:v>
      </x:c>
      <x:c r="E221" t="n">
        <x:v>45</x:v>
      </x:c>
      <x:c r="F221" t="n">
        <x:f>INDEX(Run_Metrics!$F:$F,D221)</x:f>
        <x:v>44</x:v>
      </x:c>
      <x:c r="G221" t="n">
        <x:f>INDEX(Run_Metrics!$G:$G,D221)</x:f>
        <x:v>1.18</x:v>
      </x:c>
      <x:c r="H221" t="str">
        <x:f>INDEX(Run_Metrics!$I:$I,D221)</x:f>
      </x:c>
      <x:c r="I221" t="n">
        <x:f>IF(F221="","",F221-(E221-1))</x:f>
        <x:v>0</x:v>
      </x:c>
      <x:c r="J221" t="n">
        <x:f>IF(I221&gt;0,1,0)</x:f>
        <x:v>0</x:v>
      </x:c>
      <x:c r="K221" t="str">
        <x:f>IF(OR(J221=0,G221="",G221=0),"",I221/G221)</x:f>
      </x:c>
      <x:c r="L221" t="str">
        <x:f>IF(OR(J221=0,I221=0,G221=""),"",G221/I221)</x:f>
      </x:c>
      <x:c r="M221" t="str">
        <x:f>IF(OR(J221=0,G221="",H221="",G221=0,H221=0),"",I221/(G221*H221))</x:f>
      </x:c>
      <x:c r="N221" t="str">
        <x:f>IF(K221="","",K221/_xlfn.MAXIFS($K:$K,$E:$E,E221))</x:f>
      </x:c>
      <x:c r="O221" t="str">
        <x:f>IF(M221="","",M221/_xlfn.MAXIFS($M:$M,$E:$E,E221))</x:f>
      </x:c>
      <x:c r="P221" t="str">
        <x:f>IF(OR(N221="",O221=""),"",SQRT(N221*O221))</x:f>
      </x:c>
      <x:c r="Q221" t="str">
        <x:f>IF(OR(N221="",O221=""),"",N221^0.7*O221^0.3)</x:f>
      </x:c>
      <x:c r="R221" t="str">
        <x:f>IF(OR(N221="",O221=""),"",N221^0.3*O221^0.7)</x:f>
      </x:c>
    </x:row>
    <x:row r="222">
      <x:c r="A222" t="inlineStr">
        <x:is>
          <x:t xml:space="preserve">openai|gpt-5.6-sol|xhigh|reasoning|fallback-na|aa-v4.3.2|snapshot-2026-09-28</x:t>
        </x:is>
      </x:c>
      <x:c r="B222" t="inlineStr">
        <x:is>
          <x:t xml:space="preserve">openai|gpt-5.6-sol|xhigh|reasoning|fallback-na</x:t>
        </x:is>
      </x:c>
      <x:c r="C222" t="inlineStr">
        <x:is>
          <x:t xml:space="preserve">AA|v4.3.2</x:t>
        </x:is>
      </x:c>
      <x:c r="D222" t="n">
        <x:v>29</x:v>
      </x:c>
      <x:c r="E222" t="n">
        <x:v>50</x:v>
      </x:c>
      <x:c r="F222" t="n">
        <x:f>INDEX(Run_Metrics!$F:$F,D222)</x:f>
        <x:v>44</x:v>
      </x:c>
      <x:c r="G222" t="n">
        <x:f>INDEX(Run_Metrics!$G:$G,D222)</x:f>
        <x:v>1.18</x:v>
      </x:c>
      <x:c r="H222" t="str">
        <x:f>INDEX(Run_Metrics!$I:$I,D222)</x:f>
      </x:c>
      <x:c r="I222" t="n">
        <x:f>IF(F222="","",F222-(E222-1))</x:f>
        <x:v>-5</x:v>
      </x:c>
      <x:c r="J222" t="n">
        <x:f>IF(I222&gt;0,1,0)</x:f>
        <x:v>0</x:v>
      </x:c>
      <x:c r="K222" t="str">
        <x:f>IF(OR(J222=0,G222="",G222=0),"",I222/G222)</x:f>
      </x:c>
      <x:c r="L222" t="str">
        <x:f>IF(OR(J222=0,I222=0,G222=""),"",G222/I222)</x:f>
      </x:c>
      <x:c r="M222" t="str">
        <x:f>IF(OR(J222=0,G222="",H222="",G222=0,H222=0),"",I222/(G222*H222))</x:f>
      </x:c>
      <x:c r="N222" t="str">
        <x:f>IF(K222="","",K222/_xlfn.MAXIFS($K:$K,$E:$E,E222))</x:f>
      </x:c>
      <x:c r="O222" t="str">
        <x:f>IF(M222="","",M222/_xlfn.MAXIFS($M:$M,$E:$E,E222))</x:f>
      </x:c>
      <x:c r="P222" t="str">
        <x:f>IF(OR(N222="",O222=""),"",SQRT(N222*O222))</x:f>
      </x:c>
      <x:c r="Q222" t="str">
        <x:f>IF(OR(N222="",O222=""),"",N222^0.7*O222^0.3)</x:f>
      </x:c>
      <x:c r="R222" t="str">
        <x:f>IF(OR(N222="",O222=""),"",N222^0.3*O222^0.7)</x:f>
      </x:c>
    </x:row>
    <x:row r="223">
      <x:c r="A223" t="inlineStr">
        <x:is>
          <x:t xml:space="preserve">openai|gpt-5.6-sol|xhigh|reasoning|fallback-na|aa-v4.3.2|snapshot-2026-09-28</x:t>
        </x:is>
      </x:c>
      <x:c r="B223" t="inlineStr">
        <x:is>
          <x:t xml:space="preserve">openai|gpt-5.6-sol|xhigh|reasoning|fallback-na</x:t>
        </x:is>
      </x:c>
      <x:c r="C223" t="inlineStr">
        <x:is>
          <x:t xml:space="preserve">AA|v4.3.2</x:t>
        </x:is>
      </x:c>
      <x:c r="D223" t="n">
        <x:v>29</x:v>
      </x:c>
      <x:c r="E223" t="n">
        <x:v>52</x:v>
      </x:c>
      <x:c r="F223" t="n">
        <x:f>INDEX(Run_Metrics!$F:$F,D223)</x:f>
        <x:v>44</x:v>
      </x:c>
      <x:c r="G223" t="n">
        <x:f>INDEX(Run_Metrics!$G:$G,D223)</x:f>
        <x:v>1.18</x:v>
      </x:c>
      <x:c r="H223" t="str">
        <x:f>INDEX(Run_Metrics!$I:$I,D223)</x:f>
      </x:c>
      <x:c r="I223" t="n">
        <x:f>IF(F223="","",F223-(E223-1))</x:f>
        <x:v>-7</x:v>
      </x:c>
      <x:c r="J223" t="n">
        <x:f>IF(I223&gt;0,1,0)</x:f>
        <x:v>0</x:v>
      </x:c>
      <x:c r="K223" t="str">
        <x:f>IF(OR(J223=0,G223="",G223=0),"",I223/G223)</x:f>
      </x:c>
      <x:c r="L223" t="str">
        <x:f>IF(OR(J223=0,I223=0,G223=""),"",G223/I223)</x:f>
      </x:c>
      <x:c r="M223" t="str">
        <x:f>IF(OR(J223=0,G223="",H223="",G223=0,H223=0),"",I223/(G223*H223))</x:f>
      </x:c>
      <x:c r="N223" t="str">
        <x:f>IF(K223="","",K223/_xlfn.MAXIFS($K:$K,$E:$E,E223))</x:f>
      </x:c>
      <x:c r="O223" t="str">
        <x:f>IF(M223="","",M223/_xlfn.MAXIFS($M:$M,$E:$E,E223))</x:f>
      </x:c>
      <x:c r="P223" t="str">
        <x:f>IF(OR(N223="",O223=""),"",SQRT(N223*O223))</x:f>
      </x:c>
      <x:c r="Q223" t="str">
        <x:f>IF(OR(N223="",O223=""),"",N223^0.7*O223^0.3)</x:f>
      </x:c>
      <x:c r="R223" t="str">
        <x:f>IF(OR(N223="",O223=""),"",N223^0.3*O223^0.7)</x:f>
      </x:c>
    </x:row>
    <x:row r="224">
      <x:c r="A224" t="inlineStr">
        <x:is>
          <x:t xml:space="preserve">openai|gpt-5.6-sol|xhigh|reasoning|fallback-na|aa-v4.3.2|snapshot-2026-09-28</x:t>
        </x:is>
      </x:c>
      <x:c r="B224" t="inlineStr">
        <x:is>
          <x:t xml:space="preserve">openai|gpt-5.6-sol|xhigh|reasoning|fallback-na</x:t>
        </x:is>
      </x:c>
      <x:c r="C224" t="inlineStr">
        <x:is>
          <x:t xml:space="preserve">AA|v4.3.2</x:t>
        </x:is>
      </x:c>
      <x:c r="D224" t="n">
        <x:v>29</x:v>
      </x:c>
      <x:c r="E224" t="n">
        <x:v>65</x:v>
      </x:c>
      <x:c r="F224" t="n">
        <x:f>INDEX(Run_Metrics!$F:$F,D224)</x:f>
        <x:v>44</x:v>
      </x:c>
      <x:c r="G224" t="n">
        <x:f>INDEX(Run_Metrics!$G:$G,D224)</x:f>
        <x:v>1.18</x:v>
      </x:c>
      <x:c r="H224" t="str">
        <x:f>INDEX(Run_Metrics!$I:$I,D224)</x:f>
      </x:c>
      <x:c r="I224" t="n">
        <x:f>IF(F224="","",F224-(E224-1))</x:f>
        <x:v>-20</x:v>
      </x:c>
      <x:c r="J224" t="n">
        <x:f>IF(I224&gt;0,1,0)</x:f>
        <x:v>0</x:v>
      </x:c>
      <x:c r="K224" t="str">
        <x:f>IF(OR(J224=0,G224="",G224=0),"",I224/G224)</x:f>
      </x:c>
      <x:c r="L224" t="str">
        <x:f>IF(OR(J224=0,I224=0,G224=""),"",G224/I224)</x:f>
      </x:c>
      <x:c r="M224" t="str">
        <x:f>IF(OR(J224=0,G224="",H224="",G224=0,H224=0),"",I224/(G224*H224))</x:f>
      </x:c>
      <x:c r="N224" t="str">
        <x:f>IF(K224="","",K224/_xlfn.MAXIFS($K:$K,$E:$E,E224))</x:f>
      </x:c>
      <x:c r="O224" t="str">
        <x:f>IF(M224="","",M224/_xlfn.MAXIFS($M:$M,$E:$E,E224))</x:f>
      </x:c>
      <x:c r="P224" t="str">
        <x:f>IF(OR(N224="",O224=""),"",SQRT(N224*O224))</x:f>
      </x:c>
      <x:c r="Q224" t="str">
        <x:f>IF(OR(N224="",O224=""),"",N224^0.7*O224^0.3)</x:f>
      </x:c>
      <x:c r="R224" t="str">
        <x:f>IF(OR(N224="",O224=""),"",N224^0.3*O224^0.7)</x:f>
      </x:c>
    </x:row>
    <x:row r="225">
      <x:c r="A225" t="inlineStr">
        <x:is>
          <x:t xml:space="preserve">openai|gpt-5.6-sol|xhigh|reasoning|fallback-na|aa-v4.3.2|snapshot-2026-09-28</x:t>
        </x:is>
      </x:c>
      <x:c r="B225" t="inlineStr">
        <x:is>
          <x:t xml:space="preserve">openai|gpt-5.6-sol|xhigh|reasoning|fallback-na</x:t>
        </x:is>
      </x:c>
      <x:c r="C225" t="inlineStr">
        <x:is>
          <x:t xml:space="preserve">AA|v4.3.2</x:t>
        </x:is>
      </x:c>
      <x:c r="D225" t="n">
        <x:v>29</x:v>
      </x:c>
      <x:c r="E225" t="n">
        <x:v>80</x:v>
      </x:c>
      <x:c r="F225" t="n">
        <x:f>INDEX(Run_Metrics!$F:$F,D225)</x:f>
        <x:v>44</x:v>
      </x:c>
      <x:c r="G225" t="n">
        <x:f>INDEX(Run_Metrics!$G:$G,D225)</x:f>
        <x:v>1.18</x:v>
      </x:c>
      <x:c r="H225" t="str">
        <x:f>INDEX(Run_Metrics!$I:$I,D225)</x:f>
      </x:c>
      <x:c r="I225" t="n">
        <x:f>IF(F225="","",F225-(E225-1))</x:f>
        <x:v>-35</x:v>
      </x:c>
      <x:c r="J225" t="n">
        <x:f>IF(I225&gt;0,1,0)</x:f>
        <x:v>0</x:v>
      </x:c>
      <x:c r="K225" t="str">
        <x:f>IF(OR(J225=0,G225="",G225=0),"",I225/G225)</x:f>
      </x:c>
      <x:c r="L225" t="str">
        <x:f>IF(OR(J225=0,I225=0,G225=""),"",G225/I225)</x:f>
      </x:c>
      <x:c r="M225" t="str">
        <x:f>IF(OR(J225=0,G225="",H225="",G225=0,H225=0),"",I225/(G225*H225))</x:f>
      </x:c>
      <x:c r="N225" t="str">
        <x:f>IF(K225="","",K225/_xlfn.MAXIFS($K:$K,$E:$E,E225))</x:f>
      </x:c>
      <x:c r="O225" t="str">
        <x:f>IF(M225="","",M225/_xlfn.MAXIFS($M:$M,$E:$E,E225))</x:f>
      </x:c>
      <x:c r="P225" t="str">
        <x:f>IF(OR(N225="",O225=""),"",SQRT(N225*O225))</x:f>
      </x:c>
      <x:c r="Q225" t="str">
        <x:f>IF(OR(N225="",O225=""),"",N225^0.7*O225^0.3)</x:f>
      </x:c>
      <x:c r="R225" t="str">
        <x:f>IF(OR(N225="",O225=""),"",N225^0.3*O225^0.7)</x:f>
      </x:c>
    </x:row>
    <x:row r="226">
      <x:c r="A226" t="inlineStr">
        <x:is>
          <x:t xml:space="preserve">openai|gpt-5.6-sol|max|reasoning|fallback-na|aa-v4.3.2|snapshot-2026-09-28</x:t>
        </x:is>
      </x:c>
      <x:c r="B226" t="inlineStr">
        <x:is>
          <x:t xml:space="preserve">openai|gpt-5.6-sol|max|reasoning|fallback-na</x:t>
        </x:is>
      </x:c>
      <x:c r="C226" t="inlineStr">
        <x:is>
          <x:t xml:space="preserve">AA|v4.3.2</x:t>
        </x:is>
      </x:c>
      <x:c r="D226" t="n">
        <x:v>30</x:v>
      </x:c>
      <x:c r="E226" t="n">
        <x:v>20</x:v>
      </x:c>
      <x:c r="F226" t="n">
        <x:f>INDEX(Run_Metrics!$F:$F,D226)</x:f>
        <x:v>47</x:v>
      </x:c>
      <x:c r="G226" t="n">
        <x:f>INDEX(Run_Metrics!$G:$G,D226)</x:f>
        <x:v>1.99</x:v>
      </x:c>
      <x:c r="H226" t="str">
        <x:f>INDEX(Run_Metrics!$I:$I,D226)</x:f>
      </x:c>
      <x:c r="I226" t="n">
        <x:f>IF(F226="","",F226-(E226-1))</x:f>
        <x:v>28</x:v>
      </x:c>
      <x:c r="J226" t="n">
        <x:f>IF(I226&gt;0,1,0)</x:f>
        <x:v>1</x:v>
      </x:c>
      <x:c r="K226" t="n">
        <x:f>IF(OR(J226=0,G226="",G226=0),"",I226/G226)</x:f>
        <x:v>14.07035175879397</x:v>
      </x:c>
      <x:c r="L226" t="n">
        <x:f>IF(OR(J226=0,I226=0,G226=""),"",G226/I226)</x:f>
        <x:v>0.07107142857142858</x:v>
      </x:c>
      <x:c r="M226" t="str">
        <x:f>IF(OR(J226=0,G226="",H226="",G226=0,H226=0),"",I226/(G226*H226))</x:f>
      </x:c>
      <x:c r="N226" t="n">
        <x:f>IF(K226="","",K226/_xlfn.MAXIFS($K:$K,$E:$E,E226))</x:f>
        <x:v>0.021105527638190954</x:v>
      </x:c>
      <x:c r="O226" t="str">
        <x:f>IF(M226="","",M226/_xlfn.MAXIFS($M:$M,$E:$E,E226))</x:f>
      </x:c>
      <x:c r="P226" t="str">
        <x:f>IF(OR(N226="",O226=""),"",SQRT(N226*O226))</x:f>
      </x:c>
      <x:c r="Q226" t="str">
        <x:f>IF(OR(N226="",O226=""),"",N226^0.7*O226^0.3)</x:f>
      </x:c>
      <x:c r="R226" t="str">
        <x:f>IF(OR(N226="",O226=""),"",N226^0.3*O226^0.7)</x:f>
      </x:c>
    </x:row>
    <x:row r="227">
      <x:c r="A227" t="inlineStr">
        <x:is>
          <x:t xml:space="preserve">openai|gpt-5.6-sol|max|reasoning|fallback-na|aa-v4.3.2|snapshot-2026-09-28</x:t>
        </x:is>
      </x:c>
      <x:c r="B227" t="inlineStr">
        <x:is>
          <x:t xml:space="preserve">openai|gpt-5.6-sol|max|reasoning|fallback-na</x:t>
        </x:is>
      </x:c>
      <x:c r="C227" t="inlineStr">
        <x:is>
          <x:t xml:space="preserve">AA|v4.3.2</x:t>
        </x:is>
      </x:c>
      <x:c r="D227" t="n">
        <x:v>30</x:v>
      </x:c>
      <x:c r="E227" t="n">
        <x:v>30</x:v>
      </x:c>
      <x:c r="F227" t="n">
        <x:f>INDEX(Run_Metrics!$F:$F,D227)</x:f>
        <x:v>47</x:v>
      </x:c>
      <x:c r="G227" t="n">
        <x:f>INDEX(Run_Metrics!$G:$G,D227)</x:f>
        <x:v>1.99</x:v>
      </x:c>
      <x:c r="H227" t="str">
        <x:f>INDEX(Run_Metrics!$I:$I,D227)</x:f>
      </x:c>
      <x:c r="I227" t="n">
        <x:f>IF(F227="","",F227-(E227-1))</x:f>
        <x:v>18</x:v>
      </x:c>
      <x:c r="J227" t="n">
        <x:f>IF(I227&gt;0,1,0)</x:f>
        <x:v>1</x:v>
      </x:c>
      <x:c r="K227" t="n">
        <x:f>IF(OR(J227=0,G227="",G227=0),"",I227/G227)</x:f>
        <x:v>9.045226130653266</x:v>
      </x:c>
      <x:c r="L227" t="n">
        <x:f>IF(OR(J227=0,I227=0,G227=""),"",G227/I227)</x:f>
        <x:v>0.11055555555555556</x:v>
      </x:c>
      <x:c r="M227" t="str">
        <x:f>IF(OR(J227=0,G227="",H227="",G227=0,H227=0),"",I227/(G227*H227))</x:f>
      </x:c>
      <x:c r="N227" t="n">
        <x:f>IF(K227="","",K227/_xlfn.MAXIFS($K:$K,$E:$E,E227))</x:f>
        <x:v>0.06030150753768844</x:v>
      </x:c>
      <x:c r="O227" t="str">
        <x:f>IF(M227="","",M227/_xlfn.MAXIFS($M:$M,$E:$E,E227))</x:f>
      </x:c>
      <x:c r="P227" t="str">
        <x:f>IF(OR(N227="",O227=""),"",SQRT(N227*O227))</x:f>
      </x:c>
      <x:c r="Q227" t="str">
        <x:f>IF(OR(N227="",O227=""),"",N227^0.7*O227^0.3)</x:f>
      </x:c>
      <x:c r="R227" t="str">
        <x:f>IF(OR(N227="",O227=""),"",N227^0.3*O227^0.7)</x:f>
      </x:c>
    </x:row>
    <x:row r="228">
      <x:c r="A228" t="inlineStr">
        <x:is>
          <x:t xml:space="preserve">openai|gpt-5.6-sol|max|reasoning|fallback-na|aa-v4.3.2|snapshot-2026-09-28</x:t>
        </x:is>
      </x:c>
      <x:c r="B228" t="inlineStr">
        <x:is>
          <x:t xml:space="preserve">openai|gpt-5.6-sol|max|reasoning|fallback-na</x:t>
        </x:is>
      </x:c>
      <x:c r="C228" t="inlineStr">
        <x:is>
          <x:t xml:space="preserve">AA|v4.3.2</x:t>
        </x:is>
      </x:c>
      <x:c r="D228" t="n">
        <x:v>30</x:v>
      </x:c>
      <x:c r="E228" t="n">
        <x:v>40</x:v>
      </x:c>
      <x:c r="F228" t="n">
        <x:f>INDEX(Run_Metrics!$F:$F,D228)</x:f>
        <x:v>47</x:v>
      </x:c>
      <x:c r="G228" t="n">
        <x:f>INDEX(Run_Metrics!$G:$G,D228)</x:f>
        <x:v>1.99</x:v>
      </x:c>
      <x:c r="H228" t="str">
        <x:f>INDEX(Run_Metrics!$I:$I,D228)</x:f>
      </x:c>
      <x:c r="I228" t="n">
        <x:f>IF(F228="","",F228-(E228-1))</x:f>
        <x:v>8</x:v>
      </x:c>
      <x:c r="J228" t="n">
        <x:f>IF(I228&gt;0,1,0)</x:f>
        <x:v>1</x:v>
      </x:c>
      <x:c r="K228" t="n">
        <x:f>IF(OR(J228=0,G228="",G228=0),"",I228/G228)</x:f>
        <x:v>4.0201005025125625</x:v>
      </x:c>
      <x:c r="L228" t="n">
        <x:f>IF(OR(J228=0,I228=0,G228=""),"",G228/I228)</x:f>
        <x:v>0.24875</x:v>
      </x:c>
      <x:c r="M228" t="str">
        <x:f>IF(OR(J228=0,G228="",H228="",G228=0,H228=0),"",I228/(G228*H228))</x:f>
      </x:c>
      <x:c r="N228" t="n">
        <x:f>IF(K228="","",K228/_xlfn.MAXIFS($K:$K,$E:$E,E228))</x:f>
        <x:v>0.07465900933237615</x:v>
      </x:c>
      <x:c r="O228" t="str">
        <x:f>IF(M228="","",M228/_xlfn.MAXIFS($M:$M,$E:$E,E228))</x:f>
      </x:c>
      <x:c r="P228" t="str">
        <x:f>IF(OR(N228="",O228=""),"",SQRT(N228*O228))</x:f>
      </x:c>
      <x:c r="Q228" t="str">
        <x:f>IF(OR(N228="",O228=""),"",N228^0.7*O228^0.3)</x:f>
      </x:c>
      <x:c r="R228" t="str">
        <x:f>IF(OR(N228="",O228=""),"",N228^0.3*O228^0.7)</x:f>
      </x:c>
    </x:row>
    <x:row r="229">
      <x:c r="A229" t="inlineStr">
        <x:is>
          <x:t xml:space="preserve">openai|gpt-5.6-sol|max|reasoning|fallback-na|aa-v4.3.2|snapshot-2026-09-28</x:t>
        </x:is>
      </x:c>
      <x:c r="B229" t="inlineStr">
        <x:is>
          <x:t xml:space="preserve">openai|gpt-5.6-sol|max|reasoning|fallback-na</x:t>
        </x:is>
      </x:c>
      <x:c r="C229" t="inlineStr">
        <x:is>
          <x:t xml:space="preserve">AA|v4.3.2</x:t>
        </x:is>
      </x:c>
      <x:c r="D229" t="n">
        <x:v>30</x:v>
      </x:c>
      <x:c r="E229" t="n">
        <x:v>45</x:v>
      </x:c>
      <x:c r="F229" t="n">
        <x:f>INDEX(Run_Metrics!$F:$F,D229)</x:f>
        <x:v>47</x:v>
      </x:c>
      <x:c r="G229" t="n">
        <x:f>INDEX(Run_Metrics!$G:$G,D229)</x:f>
        <x:v>1.99</x:v>
      </x:c>
      <x:c r="H229" t="str">
        <x:f>INDEX(Run_Metrics!$I:$I,D229)</x:f>
      </x:c>
      <x:c r="I229" t="n">
        <x:f>IF(F229="","",F229-(E229-1))</x:f>
        <x:v>3</x:v>
      </x:c>
      <x:c r="J229" t="n">
        <x:f>IF(I229&gt;0,1,0)</x:f>
        <x:v>1</x:v>
      </x:c>
      <x:c r="K229" t="n">
        <x:f>IF(OR(J229=0,G229="",G229=0),"",I229/G229)</x:f>
        <x:v>1.5075376884422111</x:v>
      </x:c>
      <x:c r="L229" t="n">
        <x:f>IF(OR(J229=0,I229=0,G229=""),"",G229/I229)</x:f>
        <x:v>0.6633333333333333</x:v>
      </x:c>
      <x:c r="M229" t="str">
        <x:f>IF(OR(J229=0,G229="",H229="",G229=0,H229=0),"",I229/(G229*H229))</x:f>
      </x:c>
      <x:c r="N229" t="n">
        <x:f>IF(K229="","",K229/_xlfn.MAXIFS($K:$K,$E:$E,E229))</x:f>
        <x:v>0.07914572864321609</x:v>
      </x:c>
      <x:c r="O229" t="str">
        <x:f>IF(M229="","",M229/_xlfn.MAXIFS($M:$M,$E:$E,E229))</x:f>
      </x:c>
      <x:c r="P229" t="str">
        <x:f>IF(OR(N229="",O229=""),"",SQRT(N229*O229))</x:f>
      </x:c>
      <x:c r="Q229" t="str">
        <x:f>IF(OR(N229="",O229=""),"",N229^0.7*O229^0.3)</x:f>
      </x:c>
      <x:c r="R229" t="str">
        <x:f>IF(OR(N229="",O229=""),"",N229^0.3*O229^0.7)</x:f>
      </x:c>
    </x:row>
    <x:row r="230">
      <x:c r="A230" t="inlineStr">
        <x:is>
          <x:t xml:space="preserve">openai|gpt-5.6-sol|max|reasoning|fallback-na|aa-v4.3.2|snapshot-2026-09-28</x:t>
        </x:is>
      </x:c>
      <x:c r="B230" t="inlineStr">
        <x:is>
          <x:t xml:space="preserve">openai|gpt-5.6-sol|max|reasoning|fallback-na</x:t>
        </x:is>
      </x:c>
      <x:c r="C230" t="inlineStr">
        <x:is>
          <x:t xml:space="preserve">AA|v4.3.2</x:t>
        </x:is>
      </x:c>
      <x:c r="D230" t="n">
        <x:v>30</x:v>
      </x:c>
      <x:c r="E230" t="n">
        <x:v>50</x:v>
      </x:c>
      <x:c r="F230" t="n">
        <x:f>INDEX(Run_Metrics!$F:$F,D230)</x:f>
        <x:v>47</x:v>
      </x:c>
      <x:c r="G230" t="n">
        <x:f>INDEX(Run_Metrics!$G:$G,D230)</x:f>
        <x:v>1.99</x:v>
      </x:c>
      <x:c r="H230" t="str">
        <x:f>INDEX(Run_Metrics!$I:$I,D230)</x:f>
      </x:c>
      <x:c r="I230" t="n">
        <x:f>IF(F230="","",F230-(E230-1))</x:f>
        <x:v>-2</x:v>
      </x:c>
      <x:c r="J230" t="n">
        <x:f>IF(I230&gt;0,1,0)</x:f>
        <x:v>0</x:v>
      </x:c>
      <x:c r="K230" t="str">
        <x:f>IF(OR(J230=0,G230="",G230=0),"",I230/G230)</x:f>
      </x:c>
      <x:c r="L230" t="str">
        <x:f>IF(OR(J230=0,I230=0,G230=""),"",G230/I230)</x:f>
      </x:c>
      <x:c r="M230" t="str">
        <x:f>IF(OR(J230=0,G230="",H230="",G230=0,H230=0),"",I230/(G230*H230))</x:f>
      </x:c>
      <x:c r="N230" t="str">
        <x:f>IF(K230="","",K230/_xlfn.MAXIFS($K:$K,$E:$E,E230))</x:f>
      </x:c>
      <x:c r="O230" t="str">
        <x:f>IF(M230="","",M230/_xlfn.MAXIFS($M:$M,$E:$E,E230))</x:f>
      </x:c>
      <x:c r="P230" t="str">
        <x:f>IF(OR(N230="",O230=""),"",SQRT(N230*O230))</x:f>
      </x:c>
      <x:c r="Q230" t="str">
        <x:f>IF(OR(N230="",O230=""),"",N230^0.7*O230^0.3)</x:f>
      </x:c>
      <x:c r="R230" t="str">
        <x:f>IF(OR(N230="",O230=""),"",N230^0.3*O230^0.7)</x:f>
      </x:c>
    </x:row>
    <x:row r="231">
      <x:c r="A231" t="inlineStr">
        <x:is>
          <x:t xml:space="preserve">openai|gpt-5.6-sol|max|reasoning|fallback-na|aa-v4.3.2|snapshot-2026-09-28</x:t>
        </x:is>
      </x:c>
      <x:c r="B231" t="inlineStr">
        <x:is>
          <x:t xml:space="preserve">openai|gpt-5.6-sol|max|reasoning|fallback-na</x:t>
        </x:is>
      </x:c>
      <x:c r="C231" t="inlineStr">
        <x:is>
          <x:t xml:space="preserve">AA|v4.3.2</x:t>
        </x:is>
      </x:c>
      <x:c r="D231" t="n">
        <x:v>30</x:v>
      </x:c>
      <x:c r="E231" t="n">
        <x:v>52</x:v>
      </x:c>
      <x:c r="F231" t="n">
        <x:f>INDEX(Run_Metrics!$F:$F,D231)</x:f>
        <x:v>47</x:v>
      </x:c>
      <x:c r="G231" t="n">
        <x:f>INDEX(Run_Metrics!$G:$G,D231)</x:f>
        <x:v>1.99</x:v>
      </x:c>
      <x:c r="H231" t="str">
        <x:f>INDEX(Run_Metrics!$I:$I,D231)</x:f>
      </x:c>
      <x:c r="I231" t="n">
        <x:f>IF(F231="","",F231-(E231-1))</x:f>
        <x:v>-4</x:v>
      </x:c>
      <x:c r="J231" t="n">
        <x:f>IF(I231&gt;0,1,0)</x:f>
        <x:v>0</x:v>
      </x:c>
      <x:c r="K231" t="str">
        <x:f>IF(OR(J231=0,G231="",G231=0),"",I231/G231)</x:f>
      </x:c>
      <x:c r="L231" t="str">
        <x:f>IF(OR(J231=0,I231=0,G231=""),"",G231/I231)</x:f>
      </x:c>
      <x:c r="M231" t="str">
        <x:f>IF(OR(J231=0,G231="",H231="",G231=0,H231=0),"",I231/(G231*H231))</x:f>
      </x:c>
      <x:c r="N231" t="str">
        <x:f>IF(K231="","",K231/_xlfn.MAXIFS($K:$K,$E:$E,E231))</x:f>
      </x:c>
      <x:c r="O231" t="str">
        <x:f>IF(M231="","",M231/_xlfn.MAXIFS($M:$M,$E:$E,E231))</x:f>
      </x:c>
      <x:c r="P231" t="str">
        <x:f>IF(OR(N231="",O231=""),"",SQRT(N231*O231))</x:f>
      </x:c>
      <x:c r="Q231" t="str">
        <x:f>IF(OR(N231="",O231=""),"",N231^0.7*O231^0.3)</x:f>
      </x:c>
      <x:c r="R231" t="str">
        <x:f>IF(OR(N231="",O231=""),"",N231^0.3*O231^0.7)</x:f>
      </x:c>
    </x:row>
    <x:row r="232">
      <x:c r="A232" t="inlineStr">
        <x:is>
          <x:t xml:space="preserve">openai|gpt-5.6-sol|max|reasoning|fallback-na|aa-v4.3.2|snapshot-2026-09-28</x:t>
        </x:is>
      </x:c>
      <x:c r="B232" t="inlineStr">
        <x:is>
          <x:t xml:space="preserve">openai|gpt-5.6-sol|max|reasoning|fallback-na</x:t>
        </x:is>
      </x:c>
      <x:c r="C232" t="inlineStr">
        <x:is>
          <x:t xml:space="preserve">AA|v4.3.2</x:t>
        </x:is>
      </x:c>
      <x:c r="D232" t="n">
        <x:v>30</x:v>
      </x:c>
      <x:c r="E232" t="n">
        <x:v>65</x:v>
      </x:c>
      <x:c r="F232" t="n">
        <x:f>INDEX(Run_Metrics!$F:$F,D232)</x:f>
        <x:v>47</x:v>
      </x:c>
      <x:c r="G232" t="n">
        <x:f>INDEX(Run_Metrics!$G:$G,D232)</x:f>
        <x:v>1.99</x:v>
      </x:c>
      <x:c r="H232" t="str">
        <x:f>INDEX(Run_Metrics!$I:$I,D232)</x:f>
      </x:c>
      <x:c r="I232" t="n">
        <x:f>IF(F232="","",F232-(E232-1))</x:f>
        <x:v>-17</x:v>
      </x:c>
      <x:c r="J232" t="n">
        <x:f>IF(I232&gt;0,1,0)</x:f>
        <x:v>0</x:v>
      </x:c>
      <x:c r="K232" t="str">
        <x:f>IF(OR(J232=0,G232="",G232=0),"",I232/G232)</x:f>
      </x:c>
      <x:c r="L232" t="str">
        <x:f>IF(OR(J232=0,I232=0,G232=""),"",G232/I232)</x:f>
      </x:c>
      <x:c r="M232" t="str">
        <x:f>IF(OR(J232=0,G232="",H232="",G232=0,H232=0),"",I232/(G232*H232))</x:f>
      </x:c>
      <x:c r="N232" t="str">
        <x:f>IF(K232="","",K232/_xlfn.MAXIFS($K:$K,$E:$E,E232))</x:f>
      </x:c>
      <x:c r="O232" t="str">
        <x:f>IF(M232="","",M232/_xlfn.MAXIFS($M:$M,$E:$E,E232))</x:f>
      </x:c>
      <x:c r="P232" t="str">
        <x:f>IF(OR(N232="",O232=""),"",SQRT(N232*O232))</x:f>
      </x:c>
      <x:c r="Q232" t="str">
        <x:f>IF(OR(N232="",O232=""),"",N232^0.7*O232^0.3)</x:f>
      </x:c>
      <x:c r="R232" t="str">
        <x:f>IF(OR(N232="",O232=""),"",N232^0.3*O232^0.7)</x:f>
      </x:c>
    </x:row>
    <x:row r="233">
      <x:c r="A233" t="inlineStr">
        <x:is>
          <x:t xml:space="preserve">openai|gpt-5.6-sol|max|reasoning|fallback-na|aa-v4.3.2|snapshot-2026-09-28</x:t>
        </x:is>
      </x:c>
      <x:c r="B233" t="inlineStr">
        <x:is>
          <x:t xml:space="preserve">openai|gpt-5.6-sol|max|reasoning|fallback-na</x:t>
        </x:is>
      </x:c>
      <x:c r="C233" t="inlineStr">
        <x:is>
          <x:t xml:space="preserve">AA|v4.3.2</x:t>
        </x:is>
      </x:c>
      <x:c r="D233" t="n">
        <x:v>30</x:v>
      </x:c>
      <x:c r="E233" t="n">
        <x:v>80</x:v>
      </x:c>
      <x:c r="F233" t="n">
        <x:f>INDEX(Run_Metrics!$F:$F,D233)</x:f>
        <x:v>47</x:v>
      </x:c>
      <x:c r="G233" t="n">
        <x:f>INDEX(Run_Metrics!$G:$G,D233)</x:f>
        <x:v>1.99</x:v>
      </x:c>
      <x:c r="H233" t="str">
        <x:f>INDEX(Run_Metrics!$I:$I,D233)</x:f>
      </x:c>
      <x:c r="I233" t="n">
        <x:f>IF(F233="","",F233-(E233-1))</x:f>
        <x:v>-32</x:v>
      </x:c>
      <x:c r="J233" t="n">
        <x:f>IF(I233&gt;0,1,0)</x:f>
        <x:v>0</x:v>
      </x:c>
      <x:c r="K233" t="str">
        <x:f>IF(OR(J233=0,G233="",G233=0),"",I233/G233)</x:f>
      </x:c>
      <x:c r="L233" t="str">
        <x:f>IF(OR(J233=0,I233=0,G233=""),"",G233/I233)</x:f>
      </x:c>
      <x:c r="M233" t="str">
        <x:f>IF(OR(J233=0,G233="",H233="",G233=0,H233=0),"",I233/(G233*H233))</x:f>
      </x:c>
      <x:c r="N233" t="str">
        <x:f>IF(K233="","",K233/_xlfn.MAXIFS($K:$K,$E:$E,E233))</x:f>
      </x:c>
      <x:c r="O233" t="str">
        <x:f>IF(M233="","",M233/_xlfn.MAXIFS($M:$M,$E:$E,E233))</x:f>
      </x:c>
      <x:c r="P233" t="str">
        <x:f>IF(OR(N233="",O233=""),"",SQRT(N233*O233))</x:f>
      </x:c>
      <x:c r="Q233" t="str">
        <x:f>IF(OR(N233="",O233=""),"",N233^0.7*O233^0.3)</x:f>
      </x:c>
      <x:c r="R233" t="str">
        <x:f>IF(OR(N233="",O233=""),"",N233^0.3*O233^0.7)</x:f>
      </x:c>
    </x:row>
    <x:row r="234">
      <x:c r="A234" t="inlineStr">
        <x:is>
          <x:t xml:space="preserve">anthropic|claude-sonnet-5.5|low|reasoning|fallback-true|aa-v4.3.2|snapshot-2026-09-28</x:t>
        </x:is>
      </x:c>
      <x:c r="B234" t="inlineStr">
        <x:is>
          <x:t xml:space="preserve">anthropic|claude-sonnet-5.5|low|reasoning|fallback-true</x:t>
        </x:is>
      </x:c>
      <x:c r="C234" t="inlineStr">
        <x:is>
          <x:t xml:space="preserve">AA|v4.3.2</x:t>
        </x:is>
      </x:c>
      <x:c r="D234" t="n">
        <x:v>31</x:v>
      </x:c>
      <x:c r="E234" t="n">
        <x:v>20</x:v>
      </x:c>
      <x:c r="F234" t="n">
        <x:f>INDEX(Run_Metrics!$F:$F,D234)</x:f>
        <x:v>36</x:v>
      </x:c>
      <x:c r="G234" t="n">
        <x:f>INDEX(Run_Metrics!$G:$G,D234)</x:f>
        <x:v>0.41</x:v>
      </x:c>
      <x:c r="H234" t="str">
        <x:f>INDEX(Run_Metrics!$I:$I,D234)</x:f>
      </x:c>
      <x:c r="I234" t="n">
        <x:f>IF(F234="","",F234-(E234-1))</x:f>
        <x:v>17</x:v>
      </x:c>
      <x:c r="J234" t="n">
        <x:f>IF(I234&gt;0,1,0)</x:f>
        <x:v>1</x:v>
      </x:c>
      <x:c r="K234" t="n">
        <x:f>IF(OR(J234=0,G234="",G234=0),"",I234/G234)</x:f>
        <x:v>41.463414634146346</x:v>
      </x:c>
      <x:c r="L234" t="n">
        <x:f>IF(OR(J234=0,I234=0,G234=""),"",G234/I234)</x:f>
        <x:v>0.02411764705882353</x:v>
      </x:c>
      <x:c r="M234" t="str">
        <x:f>IF(OR(J234=0,G234="",H234="",G234=0,H234=0),"",I234/(G234*H234))</x:f>
      </x:c>
      <x:c r="N234" t="n">
        <x:f>IF(K234="","",K234/_xlfn.MAXIFS($K:$K,$E:$E,E234))</x:f>
        <x:v>0.06219512195121951</x:v>
      </x:c>
      <x:c r="O234" t="str">
        <x:f>IF(M234="","",M234/_xlfn.MAXIFS($M:$M,$E:$E,E234))</x:f>
      </x:c>
      <x:c r="P234" t="str">
        <x:f>IF(OR(N234="",O234=""),"",SQRT(N234*O234))</x:f>
      </x:c>
      <x:c r="Q234" t="str">
        <x:f>IF(OR(N234="",O234=""),"",N234^0.7*O234^0.3)</x:f>
      </x:c>
      <x:c r="R234" t="str">
        <x:f>IF(OR(N234="",O234=""),"",N234^0.3*O234^0.7)</x:f>
      </x:c>
    </x:row>
    <x:row r="235">
      <x:c r="A235" t="inlineStr">
        <x:is>
          <x:t xml:space="preserve">anthropic|claude-sonnet-5.5|low|reasoning|fallback-true|aa-v4.3.2|snapshot-2026-09-28</x:t>
        </x:is>
      </x:c>
      <x:c r="B235" t="inlineStr">
        <x:is>
          <x:t xml:space="preserve">anthropic|claude-sonnet-5.5|low|reasoning|fallback-true</x:t>
        </x:is>
      </x:c>
      <x:c r="C235" t="inlineStr">
        <x:is>
          <x:t xml:space="preserve">AA|v4.3.2</x:t>
        </x:is>
      </x:c>
      <x:c r="D235" t="n">
        <x:v>31</x:v>
      </x:c>
      <x:c r="E235" t="n">
        <x:v>30</x:v>
      </x:c>
      <x:c r="F235" t="n">
        <x:f>INDEX(Run_Metrics!$F:$F,D235)</x:f>
        <x:v>36</x:v>
      </x:c>
      <x:c r="G235" t="n">
        <x:f>INDEX(Run_Metrics!$G:$G,D235)</x:f>
        <x:v>0.41</x:v>
      </x:c>
      <x:c r="H235" t="str">
        <x:f>INDEX(Run_Metrics!$I:$I,D235)</x:f>
      </x:c>
      <x:c r="I235" t="n">
        <x:f>IF(F235="","",F235-(E235-1))</x:f>
        <x:v>7</x:v>
      </x:c>
      <x:c r="J235" t="n">
        <x:f>IF(I235&gt;0,1,0)</x:f>
        <x:v>1</x:v>
      </x:c>
      <x:c r="K235" t="n">
        <x:f>IF(OR(J235=0,G235="",G235=0),"",I235/G235)</x:f>
        <x:v>17.073170731707318</x:v>
      </x:c>
      <x:c r="L235" t="n">
        <x:f>IF(OR(J235=0,I235=0,G235=""),"",G235/I235)</x:f>
        <x:v>0.058571428571428566</x:v>
      </x:c>
      <x:c r="M235" t="str">
        <x:f>IF(OR(J235=0,G235="",H235="",G235=0,H235=0),"",I235/(G235*H235))</x:f>
      </x:c>
      <x:c r="N235" t="n">
        <x:f>IF(K235="","",K235/_xlfn.MAXIFS($K:$K,$E:$E,E235))</x:f>
        <x:v>0.11382113821138212</x:v>
      </x:c>
      <x:c r="O235" t="str">
        <x:f>IF(M235="","",M235/_xlfn.MAXIFS($M:$M,$E:$E,E235))</x:f>
      </x:c>
      <x:c r="P235" t="str">
        <x:f>IF(OR(N235="",O235=""),"",SQRT(N235*O235))</x:f>
      </x:c>
      <x:c r="Q235" t="str">
        <x:f>IF(OR(N235="",O235=""),"",N235^0.7*O235^0.3)</x:f>
      </x:c>
      <x:c r="R235" t="str">
        <x:f>IF(OR(N235="",O235=""),"",N235^0.3*O235^0.7)</x:f>
      </x:c>
    </x:row>
    <x:row r="236">
      <x:c r="A236" t="inlineStr">
        <x:is>
          <x:t xml:space="preserve">anthropic|claude-sonnet-5.5|low|reasoning|fallback-true|aa-v4.3.2|snapshot-2026-09-28</x:t>
        </x:is>
      </x:c>
      <x:c r="B236" t="inlineStr">
        <x:is>
          <x:t xml:space="preserve">anthropic|claude-sonnet-5.5|low|reasoning|fallback-true</x:t>
        </x:is>
      </x:c>
      <x:c r="C236" t="inlineStr">
        <x:is>
          <x:t xml:space="preserve">AA|v4.3.2</x:t>
        </x:is>
      </x:c>
      <x:c r="D236" t="n">
        <x:v>31</x:v>
      </x:c>
      <x:c r="E236" t="n">
        <x:v>40</x:v>
      </x:c>
      <x:c r="F236" t="n">
        <x:f>INDEX(Run_Metrics!$F:$F,D236)</x:f>
        <x:v>36</x:v>
      </x:c>
      <x:c r="G236" t="n">
        <x:f>INDEX(Run_Metrics!$G:$G,D236)</x:f>
        <x:v>0.41</x:v>
      </x:c>
      <x:c r="H236" t="str">
        <x:f>INDEX(Run_Metrics!$I:$I,D236)</x:f>
      </x:c>
      <x:c r="I236" t="n">
        <x:f>IF(F236="","",F236-(E236-1))</x:f>
        <x:v>-3</x:v>
      </x:c>
      <x:c r="J236" t="n">
        <x:f>IF(I236&gt;0,1,0)</x:f>
        <x:v>0</x:v>
      </x:c>
      <x:c r="K236" t="str">
        <x:f>IF(OR(J236=0,G236="",G236=0),"",I236/G236)</x:f>
      </x:c>
      <x:c r="L236" t="str">
        <x:f>IF(OR(J236=0,I236=0,G236=""),"",G236/I236)</x:f>
      </x:c>
      <x:c r="M236" t="str">
        <x:f>IF(OR(J236=0,G236="",H236="",G236=0,H236=0),"",I236/(G236*H236))</x:f>
      </x:c>
      <x:c r="N236" t="str">
        <x:f>IF(K236="","",K236/_xlfn.MAXIFS($K:$K,$E:$E,E236))</x:f>
      </x:c>
      <x:c r="O236" t="str">
        <x:f>IF(M236="","",M236/_xlfn.MAXIFS($M:$M,$E:$E,E236))</x:f>
      </x:c>
      <x:c r="P236" t="str">
        <x:f>IF(OR(N236="",O236=""),"",SQRT(N236*O236))</x:f>
      </x:c>
      <x:c r="Q236" t="str">
        <x:f>IF(OR(N236="",O236=""),"",N236^0.7*O236^0.3)</x:f>
      </x:c>
      <x:c r="R236" t="str">
        <x:f>IF(OR(N236="",O236=""),"",N236^0.3*O236^0.7)</x:f>
      </x:c>
    </x:row>
    <x:row r="237">
      <x:c r="A237" t="inlineStr">
        <x:is>
          <x:t xml:space="preserve">anthropic|claude-sonnet-5.5|low|reasoning|fallback-true|aa-v4.3.2|snapshot-2026-09-28</x:t>
        </x:is>
      </x:c>
      <x:c r="B237" t="inlineStr">
        <x:is>
          <x:t xml:space="preserve">anthropic|claude-sonnet-5.5|low|reasoning|fallback-true</x:t>
        </x:is>
      </x:c>
      <x:c r="C237" t="inlineStr">
        <x:is>
          <x:t xml:space="preserve">AA|v4.3.2</x:t>
        </x:is>
      </x:c>
      <x:c r="D237" t="n">
        <x:v>31</x:v>
      </x:c>
      <x:c r="E237" t="n">
        <x:v>45</x:v>
      </x:c>
      <x:c r="F237" t="n">
        <x:f>INDEX(Run_Metrics!$F:$F,D237)</x:f>
        <x:v>36</x:v>
      </x:c>
      <x:c r="G237" t="n">
        <x:f>INDEX(Run_Metrics!$G:$G,D237)</x:f>
        <x:v>0.41</x:v>
      </x:c>
      <x:c r="H237" t="str">
        <x:f>INDEX(Run_Metrics!$I:$I,D237)</x:f>
      </x:c>
      <x:c r="I237" t="n">
        <x:f>IF(F237="","",F237-(E237-1))</x:f>
        <x:v>-8</x:v>
      </x:c>
      <x:c r="J237" t="n">
        <x:f>IF(I237&gt;0,1,0)</x:f>
        <x:v>0</x:v>
      </x:c>
      <x:c r="K237" t="str">
        <x:f>IF(OR(J237=0,G237="",G237=0),"",I237/G237)</x:f>
      </x:c>
      <x:c r="L237" t="str">
        <x:f>IF(OR(J237=0,I237=0,G237=""),"",G237/I237)</x:f>
      </x:c>
      <x:c r="M237" t="str">
        <x:f>IF(OR(J237=0,G237="",H237="",G237=0,H237=0),"",I237/(G237*H237))</x:f>
      </x:c>
      <x:c r="N237" t="str">
        <x:f>IF(K237="","",K237/_xlfn.MAXIFS($K:$K,$E:$E,E237))</x:f>
      </x:c>
      <x:c r="O237" t="str">
        <x:f>IF(M237="","",M237/_xlfn.MAXIFS($M:$M,$E:$E,E237))</x:f>
      </x:c>
      <x:c r="P237" t="str">
        <x:f>IF(OR(N237="",O237=""),"",SQRT(N237*O237))</x:f>
      </x:c>
      <x:c r="Q237" t="str">
        <x:f>IF(OR(N237="",O237=""),"",N237^0.7*O237^0.3)</x:f>
      </x:c>
      <x:c r="R237" t="str">
        <x:f>IF(OR(N237="",O237=""),"",N237^0.3*O237^0.7)</x:f>
      </x:c>
    </x:row>
    <x:row r="238">
      <x:c r="A238" t="inlineStr">
        <x:is>
          <x:t xml:space="preserve">anthropic|claude-sonnet-5.5|low|reasoning|fallback-true|aa-v4.3.2|snapshot-2026-09-28</x:t>
        </x:is>
      </x:c>
      <x:c r="B238" t="inlineStr">
        <x:is>
          <x:t xml:space="preserve">anthropic|claude-sonnet-5.5|low|reasoning|fallback-true</x:t>
        </x:is>
      </x:c>
      <x:c r="C238" t="inlineStr">
        <x:is>
          <x:t xml:space="preserve">AA|v4.3.2</x:t>
        </x:is>
      </x:c>
      <x:c r="D238" t="n">
        <x:v>31</x:v>
      </x:c>
      <x:c r="E238" t="n">
        <x:v>50</x:v>
      </x:c>
      <x:c r="F238" t="n">
        <x:f>INDEX(Run_Metrics!$F:$F,D238)</x:f>
        <x:v>36</x:v>
      </x:c>
      <x:c r="G238" t="n">
        <x:f>INDEX(Run_Metrics!$G:$G,D238)</x:f>
        <x:v>0.41</x:v>
      </x:c>
      <x:c r="H238" t="str">
        <x:f>INDEX(Run_Metrics!$I:$I,D238)</x:f>
      </x:c>
      <x:c r="I238" t="n">
        <x:f>IF(F238="","",F238-(E238-1))</x:f>
        <x:v>-13</x:v>
      </x:c>
      <x:c r="J238" t="n">
        <x:f>IF(I238&gt;0,1,0)</x:f>
        <x:v>0</x:v>
      </x:c>
      <x:c r="K238" t="str">
        <x:f>IF(OR(J238=0,G238="",G238=0),"",I238/G238)</x:f>
      </x:c>
      <x:c r="L238" t="str">
        <x:f>IF(OR(J238=0,I238=0,G238=""),"",G238/I238)</x:f>
      </x:c>
      <x:c r="M238" t="str">
        <x:f>IF(OR(J238=0,G238="",H238="",G238=0,H238=0),"",I238/(G238*H238))</x:f>
      </x:c>
      <x:c r="N238" t="str">
        <x:f>IF(K238="","",K238/_xlfn.MAXIFS($K:$K,$E:$E,E238))</x:f>
      </x:c>
      <x:c r="O238" t="str">
        <x:f>IF(M238="","",M238/_xlfn.MAXIFS($M:$M,$E:$E,E238))</x:f>
      </x:c>
      <x:c r="P238" t="str">
        <x:f>IF(OR(N238="",O238=""),"",SQRT(N238*O238))</x:f>
      </x:c>
      <x:c r="Q238" t="str">
        <x:f>IF(OR(N238="",O238=""),"",N238^0.7*O238^0.3)</x:f>
      </x:c>
      <x:c r="R238" t="str">
        <x:f>IF(OR(N238="",O238=""),"",N238^0.3*O238^0.7)</x:f>
      </x:c>
    </x:row>
    <x:row r="239">
      <x:c r="A239" t="inlineStr">
        <x:is>
          <x:t xml:space="preserve">anthropic|claude-sonnet-5.5|low|reasoning|fallback-true|aa-v4.3.2|snapshot-2026-09-28</x:t>
        </x:is>
      </x:c>
      <x:c r="B239" t="inlineStr">
        <x:is>
          <x:t xml:space="preserve">anthropic|claude-sonnet-5.5|low|reasoning|fallback-true</x:t>
        </x:is>
      </x:c>
      <x:c r="C239" t="inlineStr">
        <x:is>
          <x:t xml:space="preserve">AA|v4.3.2</x:t>
        </x:is>
      </x:c>
      <x:c r="D239" t="n">
        <x:v>31</x:v>
      </x:c>
      <x:c r="E239" t="n">
        <x:v>52</x:v>
      </x:c>
      <x:c r="F239" t="n">
        <x:f>INDEX(Run_Metrics!$F:$F,D239)</x:f>
        <x:v>36</x:v>
      </x:c>
      <x:c r="G239" t="n">
        <x:f>INDEX(Run_Metrics!$G:$G,D239)</x:f>
        <x:v>0.41</x:v>
      </x:c>
      <x:c r="H239" t="str">
        <x:f>INDEX(Run_Metrics!$I:$I,D239)</x:f>
      </x:c>
      <x:c r="I239" t="n">
        <x:f>IF(F239="","",F239-(E239-1))</x:f>
        <x:v>-15</x:v>
      </x:c>
      <x:c r="J239" t="n">
        <x:f>IF(I239&gt;0,1,0)</x:f>
        <x:v>0</x:v>
      </x:c>
      <x:c r="K239" t="str">
        <x:f>IF(OR(J239=0,G239="",G239=0),"",I239/G239)</x:f>
      </x:c>
      <x:c r="L239" t="str">
        <x:f>IF(OR(J239=0,I239=0,G239=""),"",G239/I239)</x:f>
      </x:c>
      <x:c r="M239" t="str">
        <x:f>IF(OR(J239=0,G239="",H239="",G239=0,H239=0),"",I239/(G239*H239))</x:f>
      </x:c>
      <x:c r="N239" t="str">
        <x:f>IF(K239="","",K239/_xlfn.MAXIFS($K:$K,$E:$E,E239))</x:f>
      </x:c>
      <x:c r="O239" t="str">
        <x:f>IF(M239="","",M239/_xlfn.MAXIFS($M:$M,$E:$E,E239))</x:f>
      </x:c>
      <x:c r="P239" t="str">
        <x:f>IF(OR(N239="",O239=""),"",SQRT(N239*O239))</x:f>
      </x:c>
      <x:c r="Q239" t="str">
        <x:f>IF(OR(N239="",O239=""),"",N239^0.7*O239^0.3)</x:f>
      </x:c>
      <x:c r="R239" t="str">
        <x:f>IF(OR(N239="",O239=""),"",N239^0.3*O239^0.7)</x:f>
      </x:c>
    </x:row>
    <x:row r="240">
      <x:c r="A240" t="inlineStr">
        <x:is>
          <x:t xml:space="preserve">anthropic|claude-sonnet-5.5|low|reasoning|fallback-true|aa-v4.3.2|snapshot-2026-09-28</x:t>
        </x:is>
      </x:c>
      <x:c r="B240" t="inlineStr">
        <x:is>
          <x:t xml:space="preserve">anthropic|claude-sonnet-5.5|low|reasoning|fallback-true</x:t>
        </x:is>
      </x:c>
      <x:c r="C240" t="inlineStr">
        <x:is>
          <x:t xml:space="preserve">AA|v4.3.2</x:t>
        </x:is>
      </x:c>
      <x:c r="D240" t="n">
        <x:v>31</x:v>
      </x:c>
      <x:c r="E240" t="n">
        <x:v>65</x:v>
      </x:c>
      <x:c r="F240" t="n">
        <x:f>INDEX(Run_Metrics!$F:$F,D240)</x:f>
        <x:v>36</x:v>
      </x:c>
      <x:c r="G240" t="n">
        <x:f>INDEX(Run_Metrics!$G:$G,D240)</x:f>
        <x:v>0.41</x:v>
      </x:c>
      <x:c r="H240" t="str">
        <x:f>INDEX(Run_Metrics!$I:$I,D240)</x:f>
      </x:c>
      <x:c r="I240" t="n">
        <x:f>IF(F240="","",F240-(E240-1))</x:f>
        <x:v>-28</x:v>
      </x:c>
      <x:c r="J240" t="n">
        <x:f>IF(I240&gt;0,1,0)</x:f>
        <x:v>0</x:v>
      </x:c>
      <x:c r="K240" t="str">
        <x:f>IF(OR(J240=0,G240="",G240=0),"",I240/G240)</x:f>
      </x:c>
      <x:c r="L240" t="str">
        <x:f>IF(OR(J240=0,I240=0,G240=""),"",G240/I240)</x:f>
      </x:c>
      <x:c r="M240" t="str">
        <x:f>IF(OR(J240=0,G240="",H240="",G240=0,H240=0),"",I240/(G240*H240))</x:f>
      </x:c>
      <x:c r="N240" t="str">
        <x:f>IF(K240="","",K240/_xlfn.MAXIFS($K:$K,$E:$E,E240))</x:f>
      </x:c>
      <x:c r="O240" t="str">
        <x:f>IF(M240="","",M240/_xlfn.MAXIFS($M:$M,$E:$E,E240))</x:f>
      </x:c>
      <x:c r="P240" t="str">
        <x:f>IF(OR(N240="",O240=""),"",SQRT(N240*O240))</x:f>
      </x:c>
      <x:c r="Q240" t="str">
        <x:f>IF(OR(N240="",O240=""),"",N240^0.7*O240^0.3)</x:f>
      </x:c>
      <x:c r="R240" t="str">
        <x:f>IF(OR(N240="",O240=""),"",N240^0.3*O240^0.7)</x:f>
      </x:c>
    </x:row>
    <x:row r="241">
      <x:c r="A241" t="inlineStr">
        <x:is>
          <x:t xml:space="preserve">anthropic|claude-sonnet-5.5|low|reasoning|fallback-true|aa-v4.3.2|snapshot-2026-09-28</x:t>
        </x:is>
      </x:c>
      <x:c r="B241" t="inlineStr">
        <x:is>
          <x:t xml:space="preserve">anthropic|claude-sonnet-5.5|low|reasoning|fallback-true</x:t>
        </x:is>
      </x:c>
      <x:c r="C241" t="inlineStr">
        <x:is>
          <x:t xml:space="preserve">AA|v4.3.2</x:t>
        </x:is>
      </x:c>
      <x:c r="D241" t="n">
        <x:v>31</x:v>
      </x:c>
      <x:c r="E241" t="n">
        <x:v>80</x:v>
      </x:c>
      <x:c r="F241" t="n">
        <x:f>INDEX(Run_Metrics!$F:$F,D241)</x:f>
        <x:v>36</x:v>
      </x:c>
      <x:c r="G241" t="n">
        <x:f>INDEX(Run_Metrics!$G:$G,D241)</x:f>
        <x:v>0.41</x:v>
      </x:c>
      <x:c r="H241" t="str">
        <x:f>INDEX(Run_Metrics!$I:$I,D241)</x:f>
      </x:c>
      <x:c r="I241" t="n">
        <x:f>IF(F241="","",F241-(E241-1))</x:f>
        <x:v>-43</x:v>
      </x:c>
      <x:c r="J241" t="n">
        <x:f>IF(I241&gt;0,1,0)</x:f>
        <x:v>0</x:v>
      </x:c>
      <x:c r="K241" t="str">
        <x:f>IF(OR(J241=0,G241="",G241=0),"",I241/G241)</x:f>
      </x:c>
      <x:c r="L241" t="str">
        <x:f>IF(OR(J241=0,I241=0,G241=""),"",G241/I241)</x:f>
      </x:c>
      <x:c r="M241" t="str">
        <x:f>IF(OR(J241=0,G241="",H241="",G241=0,H241=0),"",I241/(G241*H241))</x:f>
      </x:c>
      <x:c r="N241" t="str">
        <x:f>IF(K241="","",K241/_xlfn.MAXIFS($K:$K,$E:$E,E241))</x:f>
      </x:c>
      <x:c r="O241" t="str">
        <x:f>IF(M241="","",M241/_xlfn.MAXIFS($M:$M,$E:$E,E241))</x:f>
      </x:c>
      <x:c r="P241" t="str">
        <x:f>IF(OR(N241="",O241=""),"",SQRT(N241*O241))</x:f>
      </x:c>
      <x:c r="Q241" t="str">
        <x:f>IF(OR(N241="",O241=""),"",N241^0.7*O241^0.3)</x:f>
      </x:c>
      <x:c r="R241" t="str">
        <x:f>IF(OR(N241="",O241=""),"",N241^0.3*O241^0.7)</x:f>
      </x:c>
    </x:row>
    <x:row r="242">
      <x:c r="A242" t="inlineStr">
        <x:is>
          <x:t xml:space="preserve">anthropic|claude-sonnet-5.5|medium|reasoning|fallback-true|aa-v4.3.2|snapshot-2026-09-28</x:t>
        </x:is>
      </x:c>
      <x:c r="B242" t="inlineStr">
        <x:is>
          <x:t xml:space="preserve">anthropic|claude-sonnet-5.5|medium|reasoning|fallback-true</x:t>
        </x:is>
      </x:c>
      <x:c r="C242" t="inlineStr">
        <x:is>
          <x:t xml:space="preserve">AA|v4.3.2</x:t>
        </x:is>
      </x:c>
      <x:c r="D242" t="n">
        <x:v>32</x:v>
      </x:c>
      <x:c r="E242" t="n">
        <x:v>20</x:v>
      </x:c>
      <x:c r="F242" t="n">
        <x:f>INDEX(Run_Metrics!$F:$F,D242)</x:f>
        <x:v>41</x:v>
      </x:c>
      <x:c r="G242" t="n">
        <x:f>INDEX(Run_Metrics!$G:$G,D242)</x:f>
        <x:v>0.59</x:v>
      </x:c>
      <x:c r="H242" t="str">
        <x:f>INDEX(Run_Metrics!$I:$I,D242)</x:f>
      </x:c>
      <x:c r="I242" t="n">
        <x:f>IF(F242="","",F242-(E242-1))</x:f>
        <x:v>22</x:v>
      </x:c>
      <x:c r="J242" t="n">
        <x:f>IF(I242&gt;0,1,0)</x:f>
        <x:v>1</x:v>
      </x:c>
      <x:c r="K242" t="n">
        <x:f>IF(OR(J242=0,G242="",G242=0),"",I242/G242)</x:f>
        <x:v>37.28813559322034</x:v>
      </x:c>
      <x:c r="L242" t="n">
        <x:f>IF(OR(J242=0,I242=0,G242=""),"",G242/I242)</x:f>
        <x:v>0.026818181818181817</x:v>
      </x:c>
      <x:c r="M242" t="str">
        <x:f>IF(OR(J242=0,G242="",H242="",G242=0,H242=0),"",I242/(G242*H242))</x:f>
      </x:c>
      <x:c r="N242" t="n">
        <x:f>IF(K242="","",K242/_xlfn.MAXIFS($K:$K,$E:$E,E242))</x:f>
        <x:v>0.0559322033898305</x:v>
      </x:c>
      <x:c r="O242" t="str">
        <x:f>IF(M242="","",M242/_xlfn.MAXIFS($M:$M,$E:$E,E242))</x:f>
      </x:c>
      <x:c r="P242" t="str">
        <x:f>IF(OR(N242="",O242=""),"",SQRT(N242*O242))</x:f>
      </x:c>
      <x:c r="Q242" t="str">
        <x:f>IF(OR(N242="",O242=""),"",N242^0.7*O242^0.3)</x:f>
      </x:c>
      <x:c r="R242" t="str">
        <x:f>IF(OR(N242="",O242=""),"",N242^0.3*O242^0.7)</x:f>
      </x:c>
    </x:row>
    <x:row r="243">
      <x:c r="A243" t="inlineStr">
        <x:is>
          <x:t xml:space="preserve">anthropic|claude-sonnet-5.5|medium|reasoning|fallback-true|aa-v4.3.2|snapshot-2026-09-28</x:t>
        </x:is>
      </x:c>
      <x:c r="B243" t="inlineStr">
        <x:is>
          <x:t xml:space="preserve">anthropic|claude-sonnet-5.5|medium|reasoning|fallback-true</x:t>
        </x:is>
      </x:c>
      <x:c r="C243" t="inlineStr">
        <x:is>
          <x:t xml:space="preserve">AA|v4.3.2</x:t>
        </x:is>
      </x:c>
      <x:c r="D243" t="n">
        <x:v>32</x:v>
      </x:c>
      <x:c r="E243" t="n">
        <x:v>30</x:v>
      </x:c>
      <x:c r="F243" t="n">
        <x:f>INDEX(Run_Metrics!$F:$F,D243)</x:f>
        <x:v>41</x:v>
      </x:c>
      <x:c r="G243" t="n">
        <x:f>INDEX(Run_Metrics!$G:$G,D243)</x:f>
        <x:v>0.59</x:v>
      </x:c>
      <x:c r="H243" t="str">
        <x:f>INDEX(Run_Metrics!$I:$I,D243)</x:f>
      </x:c>
      <x:c r="I243" t="n">
        <x:f>IF(F243="","",F243-(E243-1))</x:f>
        <x:v>12</x:v>
      </x:c>
      <x:c r="J243" t="n">
        <x:f>IF(I243&gt;0,1,0)</x:f>
        <x:v>1</x:v>
      </x:c>
      <x:c r="K243" t="n">
        <x:f>IF(OR(J243=0,G243="",G243=0),"",I243/G243)</x:f>
        <x:v>20.33898305084746</x:v>
      </x:c>
      <x:c r="L243" t="n">
        <x:f>IF(OR(J243=0,I243=0,G243=""),"",G243/I243)</x:f>
        <x:v>0.049166666666666664</x:v>
      </x:c>
      <x:c r="M243" t="str">
        <x:f>IF(OR(J243=0,G243="",H243="",G243=0,H243=0),"",I243/(G243*H243))</x:f>
      </x:c>
      <x:c r="N243" t="n">
        <x:f>IF(K243="","",K243/_xlfn.MAXIFS($K:$K,$E:$E,E243))</x:f>
        <x:v>0.13559322033898308</x:v>
      </x:c>
      <x:c r="O243" t="str">
        <x:f>IF(M243="","",M243/_xlfn.MAXIFS($M:$M,$E:$E,E243))</x:f>
      </x:c>
      <x:c r="P243" t="str">
        <x:f>IF(OR(N243="",O243=""),"",SQRT(N243*O243))</x:f>
      </x:c>
      <x:c r="Q243" t="str">
        <x:f>IF(OR(N243="",O243=""),"",N243^0.7*O243^0.3)</x:f>
      </x:c>
      <x:c r="R243" t="str">
        <x:f>IF(OR(N243="",O243=""),"",N243^0.3*O243^0.7)</x:f>
      </x:c>
    </x:row>
    <x:row r="244">
      <x:c r="A244" t="inlineStr">
        <x:is>
          <x:t xml:space="preserve">anthropic|claude-sonnet-5.5|medium|reasoning|fallback-true|aa-v4.3.2|snapshot-2026-09-28</x:t>
        </x:is>
      </x:c>
      <x:c r="B244" t="inlineStr">
        <x:is>
          <x:t xml:space="preserve">anthropic|claude-sonnet-5.5|medium|reasoning|fallback-true</x:t>
        </x:is>
      </x:c>
      <x:c r="C244" t="inlineStr">
        <x:is>
          <x:t xml:space="preserve">AA|v4.3.2</x:t>
        </x:is>
      </x:c>
      <x:c r="D244" t="n">
        <x:v>32</x:v>
      </x:c>
      <x:c r="E244" t="n">
        <x:v>40</x:v>
      </x:c>
      <x:c r="F244" t="n">
        <x:f>INDEX(Run_Metrics!$F:$F,D244)</x:f>
        <x:v>41</x:v>
      </x:c>
      <x:c r="G244" t="n">
        <x:f>INDEX(Run_Metrics!$G:$G,D244)</x:f>
        <x:v>0.59</x:v>
      </x:c>
      <x:c r="H244" t="str">
        <x:f>INDEX(Run_Metrics!$I:$I,D244)</x:f>
      </x:c>
      <x:c r="I244" t="n">
        <x:f>IF(F244="","",F244-(E244-1))</x:f>
        <x:v>2</x:v>
      </x:c>
      <x:c r="J244" t="n">
        <x:f>IF(I244&gt;0,1,0)</x:f>
        <x:v>1</x:v>
      </x:c>
      <x:c r="K244" t="n">
        <x:f>IF(OR(J244=0,G244="",G244=0),"",I244/G244)</x:f>
        <x:v>3.3898305084745766</x:v>
      </x:c>
      <x:c r="L244" t="n">
        <x:f>IF(OR(J244=0,I244=0,G244=""),"",G244/I244)</x:f>
        <x:v>0.295</x:v>
      </x:c>
      <x:c r="M244" t="str">
        <x:f>IF(OR(J244=0,G244="",H244="",G244=0,H244=0),"",I244/(G244*H244))</x:f>
      </x:c>
      <x:c r="N244" t="n">
        <x:f>IF(K244="","",K244/_xlfn.MAXIFS($K:$K,$E:$E,E244))</x:f>
        <x:v>0.06295399515738499</x:v>
      </x:c>
      <x:c r="O244" t="str">
        <x:f>IF(M244="","",M244/_xlfn.MAXIFS($M:$M,$E:$E,E244))</x:f>
      </x:c>
      <x:c r="P244" t="str">
        <x:f>IF(OR(N244="",O244=""),"",SQRT(N244*O244))</x:f>
      </x:c>
      <x:c r="Q244" t="str">
        <x:f>IF(OR(N244="",O244=""),"",N244^0.7*O244^0.3)</x:f>
      </x:c>
      <x:c r="R244" t="str">
        <x:f>IF(OR(N244="",O244=""),"",N244^0.3*O244^0.7)</x:f>
      </x:c>
    </x:row>
    <x:row r="245">
      <x:c r="A245" t="inlineStr">
        <x:is>
          <x:t xml:space="preserve">anthropic|claude-sonnet-5.5|medium|reasoning|fallback-true|aa-v4.3.2|snapshot-2026-09-28</x:t>
        </x:is>
      </x:c>
      <x:c r="B245" t="inlineStr">
        <x:is>
          <x:t xml:space="preserve">anthropic|claude-sonnet-5.5|medium|reasoning|fallback-true</x:t>
        </x:is>
      </x:c>
      <x:c r="C245" t="inlineStr">
        <x:is>
          <x:t xml:space="preserve">AA|v4.3.2</x:t>
        </x:is>
      </x:c>
      <x:c r="D245" t="n">
        <x:v>32</x:v>
      </x:c>
      <x:c r="E245" t="n">
        <x:v>45</x:v>
      </x:c>
      <x:c r="F245" t="n">
        <x:f>INDEX(Run_Metrics!$F:$F,D245)</x:f>
        <x:v>41</x:v>
      </x:c>
      <x:c r="G245" t="n">
        <x:f>INDEX(Run_Metrics!$G:$G,D245)</x:f>
        <x:v>0.59</x:v>
      </x:c>
      <x:c r="H245" t="str">
        <x:f>INDEX(Run_Metrics!$I:$I,D245)</x:f>
      </x:c>
      <x:c r="I245" t="n">
        <x:f>IF(F245="","",F245-(E245-1))</x:f>
        <x:v>-3</x:v>
      </x:c>
      <x:c r="J245" t="n">
        <x:f>IF(I245&gt;0,1,0)</x:f>
        <x:v>0</x:v>
      </x:c>
      <x:c r="K245" t="str">
        <x:f>IF(OR(J245=0,G245="",G245=0),"",I245/G245)</x:f>
      </x:c>
      <x:c r="L245" t="str">
        <x:f>IF(OR(J245=0,I245=0,G245=""),"",G245/I245)</x:f>
      </x:c>
      <x:c r="M245" t="str">
        <x:f>IF(OR(J245=0,G245="",H245="",G245=0,H245=0),"",I245/(G245*H245))</x:f>
      </x:c>
      <x:c r="N245" t="str">
        <x:f>IF(K245="","",K245/_xlfn.MAXIFS($K:$K,$E:$E,E245))</x:f>
      </x:c>
      <x:c r="O245" t="str">
        <x:f>IF(M245="","",M245/_xlfn.MAXIFS($M:$M,$E:$E,E245))</x:f>
      </x:c>
      <x:c r="P245" t="str">
        <x:f>IF(OR(N245="",O245=""),"",SQRT(N245*O245))</x:f>
      </x:c>
      <x:c r="Q245" t="str">
        <x:f>IF(OR(N245="",O245=""),"",N245^0.7*O245^0.3)</x:f>
      </x:c>
      <x:c r="R245" t="str">
        <x:f>IF(OR(N245="",O245=""),"",N245^0.3*O245^0.7)</x:f>
      </x:c>
    </x:row>
    <x:row r="246">
      <x:c r="A246" t="inlineStr">
        <x:is>
          <x:t xml:space="preserve">anthropic|claude-sonnet-5.5|medium|reasoning|fallback-true|aa-v4.3.2|snapshot-2026-09-28</x:t>
        </x:is>
      </x:c>
      <x:c r="B246" t="inlineStr">
        <x:is>
          <x:t xml:space="preserve">anthropic|claude-sonnet-5.5|medium|reasoning|fallback-true</x:t>
        </x:is>
      </x:c>
      <x:c r="C246" t="inlineStr">
        <x:is>
          <x:t xml:space="preserve">AA|v4.3.2</x:t>
        </x:is>
      </x:c>
      <x:c r="D246" t="n">
        <x:v>32</x:v>
      </x:c>
      <x:c r="E246" t="n">
        <x:v>50</x:v>
      </x:c>
      <x:c r="F246" t="n">
        <x:f>INDEX(Run_Metrics!$F:$F,D246)</x:f>
        <x:v>41</x:v>
      </x:c>
      <x:c r="G246" t="n">
        <x:f>INDEX(Run_Metrics!$G:$G,D246)</x:f>
        <x:v>0.59</x:v>
      </x:c>
      <x:c r="H246" t="str">
        <x:f>INDEX(Run_Metrics!$I:$I,D246)</x:f>
      </x:c>
      <x:c r="I246" t="n">
        <x:f>IF(F246="","",F246-(E246-1))</x:f>
        <x:v>-8</x:v>
      </x:c>
      <x:c r="J246" t="n">
        <x:f>IF(I246&gt;0,1,0)</x:f>
        <x:v>0</x:v>
      </x:c>
      <x:c r="K246" t="str">
        <x:f>IF(OR(J246=0,G246="",G246=0),"",I246/G246)</x:f>
      </x:c>
      <x:c r="L246" t="str">
        <x:f>IF(OR(J246=0,I246=0,G246=""),"",G246/I246)</x:f>
      </x:c>
      <x:c r="M246" t="str">
        <x:f>IF(OR(J246=0,G246="",H246="",G246=0,H246=0),"",I246/(G246*H246))</x:f>
      </x:c>
      <x:c r="N246" t="str">
        <x:f>IF(K246="","",K246/_xlfn.MAXIFS($K:$K,$E:$E,E246))</x:f>
      </x:c>
      <x:c r="O246" t="str">
        <x:f>IF(M246="","",M246/_xlfn.MAXIFS($M:$M,$E:$E,E246))</x:f>
      </x:c>
      <x:c r="P246" t="str">
        <x:f>IF(OR(N246="",O246=""),"",SQRT(N246*O246))</x:f>
      </x:c>
      <x:c r="Q246" t="str">
        <x:f>IF(OR(N246="",O246=""),"",N246^0.7*O246^0.3)</x:f>
      </x:c>
      <x:c r="R246" t="str">
        <x:f>IF(OR(N246="",O246=""),"",N246^0.3*O246^0.7)</x:f>
      </x:c>
    </x:row>
    <x:row r="247">
      <x:c r="A247" t="inlineStr">
        <x:is>
          <x:t xml:space="preserve">anthropic|claude-sonnet-5.5|medium|reasoning|fallback-true|aa-v4.3.2|snapshot-2026-09-28</x:t>
        </x:is>
      </x:c>
      <x:c r="B247" t="inlineStr">
        <x:is>
          <x:t xml:space="preserve">anthropic|claude-sonnet-5.5|medium|reasoning|fallback-true</x:t>
        </x:is>
      </x:c>
      <x:c r="C247" t="inlineStr">
        <x:is>
          <x:t xml:space="preserve">AA|v4.3.2</x:t>
        </x:is>
      </x:c>
      <x:c r="D247" t="n">
        <x:v>32</x:v>
      </x:c>
      <x:c r="E247" t="n">
        <x:v>52</x:v>
      </x:c>
      <x:c r="F247" t="n">
        <x:f>INDEX(Run_Metrics!$F:$F,D247)</x:f>
        <x:v>41</x:v>
      </x:c>
      <x:c r="G247" t="n">
        <x:f>INDEX(Run_Metrics!$G:$G,D247)</x:f>
        <x:v>0.59</x:v>
      </x:c>
      <x:c r="H247" t="str">
        <x:f>INDEX(Run_Metrics!$I:$I,D247)</x:f>
      </x:c>
      <x:c r="I247" t="n">
        <x:f>IF(F247="","",F247-(E247-1))</x:f>
        <x:v>-10</x:v>
      </x:c>
      <x:c r="J247" t="n">
        <x:f>IF(I247&gt;0,1,0)</x:f>
        <x:v>0</x:v>
      </x:c>
      <x:c r="K247" t="str">
        <x:f>IF(OR(J247=0,G247="",G247=0),"",I247/G247)</x:f>
      </x:c>
      <x:c r="L247" t="str">
        <x:f>IF(OR(J247=0,I247=0,G247=""),"",G247/I247)</x:f>
      </x:c>
      <x:c r="M247" t="str">
        <x:f>IF(OR(J247=0,G247="",H247="",G247=0,H247=0),"",I247/(G247*H247))</x:f>
      </x:c>
      <x:c r="N247" t="str">
        <x:f>IF(K247="","",K247/_xlfn.MAXIFS($K:$K,$E:$E,E247))</x:f>
      </x:c>
      <x:c r="O247" t="str">
        <x:f>IF(M247="","",M247/_xlfn.MAXIFS($M:$M,$E:$E,E247))</x:f>
      </x:c>
      <x:c r="P247" t="str">
        <x:f>IF(OR(N247="",O247=""),"",SQRT(N247*O247))</x:f>
      </x:c>
      <x:c r="Q247" t="str">
        <x:f>IF(OR(N247="",O247=""),"",N247^0.7*O247^0.3)</x:f>
      </x:c>
      <x:c r="R247" t="str">
        <x:f>IF(OR(N247="",O247=""),"",N247^0.3*O247^0.7)</x:f>
      </x:c>
    </x:row>
    <x:row r="248">
      <x:c r="A248" t="inlineStr">
        <x:is>
          <x:t xml:space="preserve">anthropic|claude-sonnet-5.5|medium|reasoning|fallback-true|aa-v4.3.2|snapshot-2026-09-28</x:t>
        </x:is>
      </x:c>
      <x:c r="B248" t="inlineStr">
        <x:is>
          <x:t xml:space="preserve">anthropic|claude-sonnet-5.5|medium|reasoning|fallback-true</x:t>
        </x:is>
      </x:c>
      <x:c r="C248" t="inlineStr">
        <x:is>
          <x:t xml:space="preserve">AA|v4.3.2</x:t>
        </x:is>
      </x:c>
      <x:c r="D248" t="n">
        <x:v>32</x:v>
      </x:c>
      <x:c r="E248" t="n">
        <x:v>65</x:v>
      </x:c>
      <x:c r="F248" t="n">
        <x:f>INDEX(Run_Metrics!$F:$F,D248)</x:f>
        <x:v>41</x:v>
      </x:c>
      <x:c r="G248" t="n">
        <x:f>INDEX(Run_Metrics!$G:$G,D248)</x:f>
        <x:v>0.59</x:v>
      </x:c>
      <x:c r="H248" t="str">
        <x:f>INDEX(Run_Metrics!$I:$I,D248)</x:f>
      </x:c>
      <x:c r="I248" t="n">
        <x:f>IF(F248="","",F248-(E248-1))</x:f>
        <x:v>-23</x:v>
      </x:c>
      <x:c r="J248" t="n">
        <x:f>IF(I248&gt;0,1,0)</x:f>
        <x:v>0</x:v>
      </x:c>
      <x:c r="K248" t="str">
        <x:f>IF(OR(J248=0,G248="",G248=0),"",I248/G248)</x:f>
      </x:c>
      <x:c r="L248" t="str">
        <x:f>IF(OR(J248=0,I248=0,G248=""),"",G248/I248)</x:f>
      </x:c>
      <x:c r="M248" t="str">
        <x:f>IF(OR(J248=0,G248="",H248="",G248=0,H248=0),"",I248/(G248*H248))</x:f>
      </x:c>
      <x:c r="N248" t="str">
        <x:f>IF(K248="","",K248/_xlfn.MAXIFS($K:$K,$E:$E,E248))</x:f>
      </x:c>
      <x:c r="O248" t="str">
        <x:f>IF(M248="","",M248/_xlfn.MAXIFS($M:$M,$E:$E,E248))</x:f>
      </x:c>
      <x:c r="P248" t="str">
        <x:f>IF(OR(N248="",O248=""),"",SQRT(N248*O248))</x:f>
      </x:c>
      <x:c r="Q248" t="str">
        <x:f>IF(OR(N248="",O248=""),"",N248^0.7*O248^0.3)</x:f>
      </x:c>
      <x:c r="R248" t="str">
        <x:f>IF(OR(N248="",O248=""),"",N248^0.3*O248^0.7)</x:f>
      </x:c>
    </x:row>
    <x:row r="249">
      <x:c r="A249" t="inlineStr">
        <x:is>
          <x:t xml:space="preserve">anthropic|claude-sonnet-5.5|medium|reasoning|fallback-true|aa-v4.3.2|snapshot-2026-09-28</x:t>
        </x:is>
      </x:c>
      <x:c r="B249" t="inlineStr">
        <x:is>
          <x:t xml:space="preserve">anthropic|claude-sonnet-5.5|medium|reasoning|fallback-true</x:t>
        </x:is>
      </x:c>
      <x:c r="C249" t="inlineStr">
        <x:is>
          <x:t xml:space="preserve">AA|v4.3.2</x:t>
        </x:is>
      </x:c>
      <x:c r="D249" t="n">
        <x:v>32</x:v>
      </x:c>
      <x:c r="E249" t="n">
        <x:v>80</x:v>
      </x:c>
      <x:c r="F249" t="n">
        <x:f>INDEX(Run_Metrics!$F:$F,D249)</x:f>
        <x:v>41</x:v>
      </x:c>
      <x:c r="G249" t="n">
        <x:f>INDEX(Run_Metrics!$G:$G,D249)</x:f>
        <x:v>0.59</x:v>
      </x:c>
      <x:c r="H249" t="str">
        <x:f>INDEX(Run_Metrics!$I:$I,D249)</x:f>
      </x:c>
      <x:c r="I249" t="n">
        <x:f>IF(F249="","",F249-(E249-1))</x:f>
        <x:v>-38</x:v>
      </x:c>
      <x:c r="J249" t="n">
        <x:f>IF(I249&gt;0,1,0)</x:f>
        <x:v>0</x:v>
      </x:c>
      <x:c r="K249" t="str">
        <x:f>IF(OR(J249=0,G249="",G249=0),"",I249/G249)</x:f>
      </x:c>
      <x:c r="L249" t="str">
        <x:f>IF(OR(J249=0,I249=0,G249=""),"",G249/I249)</x:f>
      </x:c>
      <x:c r="M249" t="str">
        <x:f>IF(OR(J249=0,G249="",H249="",G249=0,H249=0),"",I249/(G249*H249))</x:f>
      </x:c>
      <x:c r="N249" t="str">
        <x:f>IF(K249="","",K249/_xlfn.MAXIFS($K:$K,$E:$E,E249))</x:f>
      </x:c>
      <x:c r="O249" t="str">
        <x:f>IF(M249="","",M249/_xlfn.MAXIFS($M:$M,$E:$E,E249))</x:f>
      </x:c>
      <x:c r="P249" t="str">
        <x:f>IF(OR(N249="",O249=""),"",SQRT(N249*O249))</x:f>
      </x:c>
      <x:c r="Q249" t="str">
        <x:f>IF(OR(N249="",O249=""),"",N249^0.7*O249^0.3)</x:f>
      </x:c>
      <x:c r="R249" t="str">
        <x:f>IF(OR(N249="",O249=""),"",N249^0.3*O249^0.7)</x:f>
      </x:c>
    </x:row>
    <x:row r="250">
      <x:c r="A250" t="inlineStr">
        <x:is>
          <x:t xml:space="preserve">anthropic|claude-sonnet-5.5|high|reasoning|fallback-true|aa-v4.3.2|snapshot-2026-09-28</x:t>
        </x:is>
      </x:c>
      <x:c r="B250" t="inlineStr">
        <x:is>
          <x:t xml:space="preserve">anthropic|claude-sonnet-5.5|high|reasoning|fallback-true</x:t>
        </x:is>
      </x:c>
      <x:c r="C250" t="inlineStr">
        <x:is>
          <x:t xml:space="preserve">AA|v4.3.2</x:t>
        </x:is>
      </x:c>
      <x:c r="D250" t="n">
        <x:v>33</x:v>
      </x:c>
      <x:c r="E250" t="n">
        <x:v>20</x:v>
      </x:c>
      <x:c r="F250" t="n">
        <x:f>INDEX(Run_Metrics!$F:$F,D250)</x:f>
        <x:v>47</x:v>
      </x:c>
      <x:c r="G250" t="n">
        <x:f>INDEX(Run_Metrics!$G:$G,D250)</x:f>
        <x:v>1.08</x:v>
      </x:c>
      <x:c r="H250" t="str">
        <x:f>INDEX(Run_Metrics!$I:$I,D250)</x:f>
      </x:c>
      <x:c r="I250" t="n">
        <x:f>IF(F250="","",F250-(E250-1))</x:f>
        <x:v>28</x:v>
      </x:c>
      <x:c r="J250" t="n">
        <x:f>IF(I250&gt;0,1,0)</x:f>
        <x:v>1</x:v>
      </x:c>
      <x:c r="K250" t="n">
        <x:f>IF(OR(J250=0,G250="",G250=0),"",I250/G250)</x:f>
        <x:v>25.925925925925924</x:v>
      </x:c>
      <x:c r="L250" t="n">
        <x:f>IF(OR(J250=0,I250=0,G250=""),"",G250/I250)</x:f>
        <x:v>0.038571428571428576</x:v>
      </x:c>
      <x:c r="M250" t="str">
        <x:f>IF(OR(J250=0,G250="",H250="",G250=0,H250=0),"",I250/(G250*H250))</x:f>
      </x:c>
      <x:c r="N250" t="n">
        <x:f>IF(K250="","",K250/_xlfn.MAXIFS($K:$K,$E:$E,E250))</x:f>
        <x:v>0.03888888888888888</x:v>
      </x:c>
      <x:c r="O250" t="str">
        <x:f>IF(M250="","",M250/_xlfn.MAXIFS($M:$M,$E:$E,E250))</x:f>
      </x:c>
      <x:c r="P250" t="str">
        <x:f>IF(OR(N250="",O250=""),"",SQRT(N250*O250))</x:f>
      </x:c>
      <x:c r="Q250" t="str">
        <x:f>IF(OR(N250="",O250=""),"",N250^0.7*O250^0.3)</x:f>
      </x:c>
      <x:c r="R250" t="str">
        <x:f>IF(OR(N250="",O250=""),"",N250^0.3*O250^0.7)</x:f>
      </x:c>
    </x:row>
    <x:row r="251">
      <x:c r="A251" t="inlineStr">
        <x:is>
          <x:t xml:space="preserve">anthropic|claude-sonnet-5.5|high|reasoning|fallback-true|aa-v4.3.2|snapshot-2026-09-28</x:t>
        </x:is>
      </x:c>
      <x:c r="B251" t="inlineStr">
        <x:is>
          <x:t xml:space="preserve">anthropic|claude-sonnet-5.5|high|reasoning|fallback-true</x:t>
        </x:is>
      </x:c>
      <x:c r="C251" t="inlineStr">
        <x:is>
          <x:t xml:space="preserve">AA|v4.3.2</x:t>
        </x:is>
      </x:c>
      <x:c r="D251" t="n">
        <x:v>33</x:v>
      </x:c>
      <x:c r="E251" t="n">
        <x:v>30</x:v>
      </x:c>
      <x:c r="F251" t="n">
        <x:f>INDEX(Run_Metrics!$F:$F,D251)</x:f>
        <x:v>47</x:v>
      </x:c>
      <x:c r="G251" t="n">
        <x:f>INDEX(Run_Metrics!$G:$G,D251)</x:f>
        <x:v>1.08</x:v>
      </x:c>
      <x:c r="H251" t="str">
        <x:f>INDEX(Run_Metrics!$I:$I,D251)</x:f>
      </x:c>
      <x:c r="I251" t="n">
        <x:f>IF(F251="","",F251-(E251-1))</x:f>
        <x:v>18</x:v>
      </x:c>
      <x:c r="J251" t="n">
        <x:f>IF(I251&gt;0,1,0)</x:f>
        <x:v>1</x:v>
      </x:c>
      <x:c r="K251" t="n">
        <x:f>IF(OR(J251=0,G251="",G251=0),"",I251/G251)</x:f>
        <x:v>16.666666666666664</x:v>
      </x:c>
      <x:c r="L251" t="n">
        <x:f>IF(OR(J251=0,I251=0,G251=""),"",G251/I251)</x:f>
        <x:v>0.060000000000000005</x:v>
      </x:c>
      <x:c r="M251" t="str">
        <x:f>IF(OR(J251=0,G251="",H251="",G251=0,H251=0),"",I251/(G251*H251))</x:f>
      </x:c>
      <x:c r="N251" t="n">
        <x:f>IF(K251="","",K251/_xlfn.MAXIFS($K:$K,$E:$E,E251))</x:f>
        <x:v>0.11111111111111109</x:v>
      </x:c>
      <x:c r="O251" t="str">
        <x:f>IF(M251="","",M251/_xlfn.MAXIFS($M:$M,$E:$E,E251))</x:f>
      </x:c>
      <x:c r="P251" t="str">
        <x:f>IF(OR(N251="",O251=""),"",SQRT(N251*O251))</x:f>
      </x:c>
      <x:c r="Q251" t="str">
        <x:f>IF(OR(N251="",O251=""),"",N251^0.7*O251^0.3)</x:f>
      </x:c>
      <x:c r="R251" t="str">
        <x:f>IF(OR(N251="",O251=""),"",N251^0.3*O251^0.7)</x:f>
      </x:c>
    </x:row>
    <x:row r="252">
      <x:c r="A252" t="inlineStr">
        <x:is>
          <x:t xml:space="preserve">anthropic|claude-sonnet-5.5|high|reasoning|fallback-true|aa-v4.3.2|snapshot-2026-09-28</x:t>
        </x:is>
      </x:c>
      <x:c r="B252" t="inlineStr">
        <x:is>
          <x:t xml:space="preserve">anthropic|claude-sonnet-5.5|high|reasoning|fallback-true</x:t>
        </x:is>
      </x:c>
      <x:c r="C252" t="inlineStr">
        <x:is>
          <x:t xml:space="preserve">AA|v4.3.2</x:t>
        </x:is>
      </x:c>
      <x:c r="D252" t="n">
        <x:v>33</x:v>
      </x:c>
      <x:c r="E252" t="n">
        <x:v>40</x:v>
      </x:c>
      <x:c r="F252" t="n">
        <x:f>INDEX(Run_Metrics!$F:$F,D252)</x:f>
        <x:v>47</x:v>
      </x:c>
      <x:c r="G252" t="n">
        <x:f>INDEX(Run_Metrics!$G:$G,D252)</x:f>
        <x:v>1.08</x:v>
      </x:c>
      <x:c r="H252" t="str">
        <x:f>INDEX(Run_Metrics!$I:$I,D252)</x:f>
      </x:c>
      <x:c r="I252" t="n">
        <x:f>IF(F252="","",F252-(E252-1))</x:f>
        <x:v>8</x:v>
      </x:c>
      <x:c r="J252" t="n">
        <x:f>IF(I252&gt;0,1,0)</x:f>
        <x:v>1</x:v>
      </x:c>
      <x:c r="K252" t="n">
        <x:f>IF(OR(J252=0,G252="",G252=0),"",I252/G252)</x:f>
        <x:v>7.4074074074074066</x:v>
      </x:c>
      <x:c r="L252" t="n">
        <x:f>IF(OR(J252=0,I252=0,G252=""),"",G252/I252)</x:f>
        <x:v>0.135</x:v>
      </x:c>
      <x:c r="M252" t="str">
        <x:f>IF(OR(J252=0,G252="",H252="",G252=0,H252=0),"",I252/(G252*H252))</x:f>
      </x:c>
      <x:c r="N252" t="n">
        <x:f>IF(K252="","",K252/_xlfn.MAXIFS($K:$K,$E:$E,E252))</x:f>
        <x:v>0.13756613756613756</x:v>
      </x:c>
      <x:c r="O252" t="str">
        <x:f>IF(M252="","",M252/_xlfn.MAXIFS($M:$M,$E:$E,E252))</x:f>
      </x:c>
      <x:c r="P252" t="str">
        <x:f>IF(OR(N252="",O252=""),"",SQRT(N252*O252))</x:f>
      </x:c>
      <x:c r="Q252" t="str">
        <x:f>IF(OR(N252="",O252=""),"",N252^0.7*O252^0.3)</x:f>
      </x:c>
      <x:c r="R252" t="str">
        <x:f>IF(OR(N252="",O252=""),"",N252^0.3*O252^0.7)</x:f>
      </x:c>
    </x:row>
    <x:row r="253">
      <x:c r="A253" t="inlineStr">
        <x:is>
          <x:t xml:space="preserve">anthropic|claude-sonnet-5.5|high|reasoning|fallback-true|aa-v4.3.2|snapshot-2026-09-28</x:t>
        </x:is>
      </x:c>
      <x:c r="B253" t="inlineStr">
        <x:is>
          <x:t xml:space="preserve">anthropic|claude-sonnet-5.5|high|reasoning|fallback-true</x:t>
        </x:is>
      </x:c>
      <x:c r="C253" t="inlineStr">
        <x:is>
          <x:t xml:space="preserve">AA|v4.3.2</x:t>
        </x:is>
      </x:c>
      <x:c r="D253" t="n">
        <x:v>33</x:v>
      </x:c>
      <x:c r="E253" t="n">
        <x:v>45</x:v>
      </x:c>
      <x:c r="F253" t="n">
        <x:f>INDEX(Run_Metrics!$F:$F,D253)</x:f>
        <x:v>47</x:v>
      </x:c>
      <x:c r="G253" t="n">
        <x:f>INDEX(Run_Metrics!$G:$G,D253)</x:f>
        <x:v>1.08</x:v>
      </x:c>
      <x:c r="H253" t="str">
        <x:f>INDEX(Run_Metrics!$I:$I,D253)</x:f>
      </x:c>
      <x:c r="I253" t="n">
        <x:f>IF(F253="","",F253-(E253-1))</x:f>
        <x:v>3</x:v>
      </x:c>
      <x:c r="J253" t="n">
        <x:f>IF(I253&gt;0,1,0)</x:f>
        <x:v>1</x:v>
      </x:c>
      <x:c r="K253" t="n">
        <x:f>IF(OR(J253=0,G253="",G253=0),"",I253/G253)</x:f>
        <x:v>2.7777777777777777</x:v>
      </x:c>
      <x:c r="L253" t="n">
        <x:f>IF(OR(J253=0,I253=0,G253=""),"",G253/I253)</x:f>
        <x:v>0.36000000000000004</x:v>
      </x:c>
      <x:c r="M253" t="str">
        <x:f>IF(OR(J253=0,G253="",H253="",G253=0,H253=0),"",I253/(G253*H253))</x:f>
      </x:c>
      <x:c r="N253" t="n">
        <x:f>IF(K253="","",K253/_xlfn.MAXIFS($K:$K,$E:$E,E253))</x:f>
        <x:v>0.14583333333333334</x:v>
      </x:c>
      <x:c r="O253" t="str">
        <x:f>IF(M253="","",M253/_xlfn.MAXIFS($M:$M,$E:$E,E253))</x:f>
      </x:c>
      <x:c r="P253" t="str">
        <x:f>IF(OR(N253="",O253=""),"",SQRT(N253*O253))</x:f>
      </x:c>
      <x:c r="Q253" t="str">
        <x:f>IF(OR(N253="",O253=""),"",N253^0.7*O253^0.3)</x:f>
      </x:c>
      <x:c r="R253" t="str">
        <x:f>IF(OR(N253="",O253=""),"",N253^0.3*O253^0.7)</x:f>
      </x:c>
    </x:row>
    <x:row r="254">
      <x:c r="A254" t="inlineStr">
        <x:is>
          <x:t xml:space="preserve">anthropic|claude-sonnet-5.5|high|reasoning|fallback-true|aa-v4.3.2|snapshot-2026-09-28</x:t>
        </x:is>
      </x:c>
      <x:c r="B254" t="inlineStr">
        <x:is>
          <x:t xml:space="preserve">anthropic|claude-sonnet-5.5|high|reasoning|fallback-true</x:t>
        </x:is>
      </x:c>
      <x:c r="C254" t="inlineStr">
        <x:is>
          <x:t xml:space="preserve">AA|v4.3.2</x:t>
        </x:is>
      </x:c>
      <x:c r="D254" t="n">
        <x:v>33</x:v>
      </x:c>
      <x:c r="E254" t="n">
        <x:v>50</x:v>
      </x:c>
      <x:c r="F254" t="n">
        <x:f>INDEX(Run_Metrics!$F:$F,D254)</x:f>
        <x:v>47</x:v>
      </x:c>
      <x:c r="G254" t="n">
        <x:f>INDEX(Run_Metrics!$G:$G,D254)</x:f>
        <x:v>1.08</x:v>
      </x:c>
      <x:c r="H254" t="str">
        <x:f>INDEX(Run_Metrics!$I:$I,D254)</x:f>
      </x:c>
      <x:c r="I254" t="n">
        <x:f>IF(F254="","",F254-(E254-1))</x:f>
        <x:v>-2</x:v>
      </x:c>
      <x:c r="J254" t="n">
        <x:f>IF(I254&gt;0,1,0)</x:f>
        <x:v>0</x:v>
      </x:c>
      <x:c r="K254" t="str">
        <x:f>IF(OR(J254=0,G254="",G254=0),"",I254/G254)</x:f>
      </x:c>
      <x:c r="L254" t="str">
        <x:f>IF(OR(J254=0,I254=0,G254=""),"",G254/I254)</x:f>
      </x:c>
      <x:c r="M254" t="str">
        <x:f>IF(OR(J254=0,G254="",H254="",G254=0,H254=0),"",I254/(G254*H254))</x:f>
      </x:c>
      <x:c r="N254" t="str">
        <x:f>IF(K254="","",K254/_xlfn.MAXIFS($K:$K,$E:$E,E254))</x:f>
      </x:c>
      <x:c r="O254" t="str">
        <x:f>IF(M254="","",M254/_xlfn.MAXIFS($M:$M,$E:$E,E254))</x:f>
      </x:c>
      <x:c r="P254" t="str">
        <x:f>IF(OR(N254="",O254=""),"",SQRT(N254*O254))</x:f>
      </x:c>
      <x:c r="Q254" t="str">
        <x:f>IF(OR(N254="",O254=""),"",N254^0.7*O254^0.3)</x:f>
      </x:c>
      <x:c r="R254" t="str">
        <x:f>IF(OR(N254="",O254=""),"",N254^0.3*O254^0.7)</x:f>
      </x:c>
    </x:row>
    <x:row r="255">
      <x:c r="A255" t="inlineStr">
        <x:is>
          <x:t xml:space="preserve">anthropic|claude-sonnet-5.5|high|reasoning|fallback-true|aa-v4.3.2|snapshot-2026-09-28</x:t>
        </x:is>
      </x:c>
      <x:c r="B255" t="inlineStr">
        <x:is>
          <x:t xml:space="preserve">anthropic|claude-sonnet-5.5|high|reasoning|fallback-true</x:t>
        </x:is>
      </x:c>
      <x:c r="C255" t="inlineStr">
        <x:is>
          <x:t xml:space="preserve">AA|v4.3.2</x:t>
        </x:is>
      </x:c>
      <x:c r="D255" t="n">
        <x:v>33</x:v>
      </x:c>
      <x:c r="E255" t="n">
        <x:v>52</x:v>
      </x:c>
      <x:c r="F255" t="n">
        <x:f>INDEX(Run_Metrics!$F:$F,D255)</x:f>
        <x:v>47</x:v>
      </x:c>
      <x:c r="G255" t="n">
        <x:f>INDEX(Run_Metrics!$G:$G,D255)</x:f>
        <x:v>1.08</x:v>
      </x:c>
      <x:c r="H255" t="str">
        <x:f>INDEX(Run_Metrics!$I:$I,D255)</x:f>
      </x:c>
      <x:c r="I255" t="n">
        <x:f>IF(F255="","",F255-(E255-1))</x:f>
        <x:v>-4</x:v>
      </x:c>
      <x:c r="J255" t="n">
        <x:f>IF(I255&gt;0,1,0)</x:f>
        <x:v>0</x:v>
      </x:c>
      <x:c r="K255" t="str">
        <x:f>IF(OR(J255=0,G255="",G255=0),"",I255/G255)</x:f>
      </x:c>
      <x:c r="L255" t="str">
        <x:f>IF(OR(J255=0,I255=0,G255=""),"",G255/I255)</x:f>
      </x:c>
      <x:c r="M255" t="str">
        <x:f>IF(OR(J255=0,G255="",H255="",G255=0,H255=0),"",I255/(G255*H255))</x:f>
      </x:c>
      <x:c r="N255" t="str">
        <x:f>IF(K255="","",K255/_xlfn.MAXIFS($K:$K,$E:$E,E255))</x:f>
      </x:c>
      <x:c r="O255" t="str">
        <x:f>IF(M255="","",M255/_xlfn.MAXIFS($M:$M,$E:$E,E255))</x:f>
      </x:c>
      <x:c r="P255" t="str">
        <x:f>IF(OR(N255="",O255=""),"",SQRT(N255*O255))</x:f>
      </x:c>
      <x:c r="Q255" t="str">
        <x:f>IF(OR(N255="",O255=""),"",N255^0.7*O255^0.3)</x:f>
      </x:c>
      <x:c r="R255" t="str">
        <x:f>IF(OR(N255="",O255=""),"",N255^0.3*O255^0.7)</x:f>
      </x:c>
    </x:row>
    <x:row r="256">
      <x:c r="A256" t="inlineStr">
        <x:is>
          <x:t xml:space="preserve">anthropic|claude-sonnet-5.5|high|reasoning|fallback-true|aa-v4.3.2|snapshot-2026-09-28</x:t>
        </x:is>
      </x:c>
      <x:c r="B256" t="inlineStr">
        <x:is>
          <x:t xml:space="preserve">anthropic|claude-sonnet-5.5|high|reasoning|fallback-true</x:t>
        </x:is>
      </x:c>
      <x:c r="C256" t="inlineStr">
        <x:is>
          <x:t xml:space="preserve">AA|v4.3.2</x:t>
        </x:is>
      </x:c>
      <x:c r="D256" t="n">
        <x:v>33</x:v>
      </x:c>
      <x:c r="E256" t="n">
        <x:v>65</x:v>
      </x:c>
      <x:c r="F256" t="n">
        <x:f>INDEX(Run_Metrics!$F:$F,D256)</x:f>
        <x:v>47</x:v>
      </x:c>
      <x:c r="G256" t="n">
        <x:f>INDEX(Run_Metrics!$G:$G,D256)</x:f>
        <x:v>1.08</x:v>
      </x:c>
      <x:c r="H256" t="str">
        <x:f>INDEX(Run_Metrics!$I:$I,D256)</x:f>
      </x:c>
      <x:c r="I256" t="n">
        <x:f>IF(F256="","",F256-(E256-1))</x:f>
        <x:v>-17</x:v>
      </x:c>
      <x:c r="J256" t="n">
        <x:f>IF(I256&gt;0,1,0)</x:f>
        <x:v>0</x:v>
      </x:c>
      <x:c r="K256" t="str">
        <x:f>IF(OR(J256=0,G256="",G256=0),"",I256/G256)</x:f>
      </x:c>
      <x:c r="L256" t="str">
        <x:f>IF(OR(J256=0,I256=0,G256=""),"",G256/I256)</x:f>
      </x:c>
      <x:c r="M256" t="str">
        <x:f>IF(OR(J256=0,G256="",H256="",G256=0,H256=0),"",I256/(G256*H256))</x:f>
      </x:c>
      <x:c r="N256" t="str">
        <x:f>IF(K256="","",K256/_xlfn.MAXIFS($K:$K,$E:$E,E256))</x:f>
      </x:c>
      <x:c r="O256" t="str">
        <x:f>IF(M256="","",M256/_xlfn.MAXIFS($M:$M,$E:$E,E256))</x:f>
      </x:c>
      <x:c r="P256" t="str">
        <x:f>IF(OR(N256="",O256=""),"",SQRT(N256*O256))</x:f>
      </x:c>
      <x:c r="Q256" t="str">
        <x:f>IF(OR(N256="",O256=""),"",N256^0.7*O256^0.3)</x:f>
      </x:c>
      <x:c r="R256" t="str">
        <x:f>IF(OR(N256="",O256=""),"",N256^0.3*O256^0.7)</x:f>
      </x:c>
    </x:row>
    <x:row r="257">
      <x:c r="A257" t="inlineStr">
        <x:is>
          <x:t xml:space="preserve">anthropic|claude-sonnet-5.5|high|reasoning|fallback-true|aa-v4.3.2|snapshot-2026-09-28</x:t>
        </x:is>
      </x:c>
      <x:c r="B257" t="inlineStr">
        <x:is>
          <x:t xml:space="preserve">anthropic|claude-sonnet-5.5|high|reasoning|fallback-true</x:t>
        </x:is>
      </x:c>
      <x:c r="C257" t="inlineStr">
        <x:is>
          <x:t xml:space="preserve">AA|v4.3.2</x:t>
        </x:is>
      </x:c>
      <x:c r="D257" t="n">
        <x:v>33</x:v>
      </x:c>
      <x:c r="E257" t="n">
        <x:v>80</x:v>
      </x:c>
      <x:c r="F257" t="n">
        <x:f>INDEX(Run_Metrics!$F:$F,D257)</x:f>
        <x:v>47</x:v>
      </x:c>
      <x:c r="G257" t="n">
        <x:f>INDEX(Run_Metrics!$G:$G,D257)</x:f>
        <x:v>1.08</x:v>
      </x:c>
      <x:c r="H257" t="str">
        <x:f>INDEX(Run_Metrics!$I:$I,D257)</x:f>
      </x:c>
      <x:c r="I257" t="n">
        <x:f>IF(F257="","",F257-(E257-1))</x:f>
        <x:v>-32</x:v>
      </x:c>
      <x:c r="J257" t="n">
        <x:f>IF(I257&gt;0,1,0)</x:f>
        <x:v>0</x:v>
      </x:c>
      <x:c r="K257" t="str">
        <x:f>IF(OR(J257=0,G257="",G257=0),"",I257/G257)</x:f>
      </x:c>
      <x:c r="L257" t="str">
        <x:f>IF(OR(J257=0,I257=0,G257=""),"",G257/I257)</x:f>
      </x:c>
      <x:c r="M257" t="str">
        <x:f>IF(OR(J257=0,G257="",H257="",G257=0,H257=0),"",I257/(G257*H257))</x:f>
      </x:c>
      <x:c r="N257" t="str">
        <x:f>IF(K257="","",K257/_xlfn.MAXIFS($K:$K,$E:$E,E257))</x:f>
      </x:c>
      <x:c r="O257" t="str">
        <x:f>IF(M257="","",M257/_xlfn.MAXIFS($M:$M,$E:$E,E257))</x:f>
      </x:c>
      <x:c r="P257" t="str">
        <x:f>IF(OR(N257="",O257=""),"",SQRT(N257*O257))</x:f>
      </x:c>
      <x:c r="Q257" t="str">
        <x:f>IF(OR(N257="",O257=""),"",N257^0.7*O257^0.3)</x:f>
      </x:c>
      <x:c r="R257" t="str">
        <x:f>IF(OR(N257="",O257=""),"",N257^0.3*O257^0.7)</x:f>
      </x:c>
    </x:row>
    <x:row r="258">
      <x:c r="A258" t="inlineStr">
        <x:is>
          <x:t xml:space="preserve">anthropic|claude-sonnet-5.5|xhigh|reasoning|fallback-true|aa-v4.3.2|snapshot-2026-09-28</x:t>
        </x:is>
      </x:c>
      <x:c r="B258" t="inlineStr">
        <x:is>
          <x:t xml:space="preserve">anthropic|claude-sonnet-5.5|xhigh|reasoning|fallback-true</x:t>
        </x:is>
      </x:c>
      <x:c r="C258" t="inlineStr">
        <x:is>
          <x:t xml:space="preserve">AA|v4.3.2</x:t>
        </x:is>
      </x:c>
      <x:c r="D258" t="n">
        <x:v>34</x:v>
      </x:c>
      <x:c r="E258" t="n">
        <x:v>20</x:v>
      </x:c>
      <x:c r="F258" t="n">
        <x:f>INDEX(Run_Metrics!$F:$F,D258)</x:f>
        <x:v>52</x:v>
      </x:c>
      <x:c r="G258" t="n">
        <x:f>INDEX(Run_Metrics!$G:$G,D258)</x:f>
        <x:v>2.74</x:v>
      </x:c>
      <x:c r="H258" t="str">
        <x:f>INDEX(Run_Metrics!$I:$I,D258)</x:f>
      </x:c>
      <x:c r="I258" t="n">
        <x:f>IF(F258="","",F258-(E258-1))</x:f>
        <x:v>33</x:v>
      </x:c>
      <x:c r="J258" t="n">
        <x:f>IF(I258&gt;0,1,0)</x:f>
        <x:v>1</x:v>
      </x:c>
      <x:c r="K258" t="n">
        <x:f>IF(OR(J258=0,G258="",G258=0),"",I258/G258)</x:f>
        <x:v>12.043795620437955</x:v>
      </x:c>
      <x:c r="L258" t="n">
        <x:f>IF(OR(J258=0,I258=0,G258=""),"",G258/I258)</x:f>
        <x:v>0.08303030303030304</x:v>
      </x:c>
      <x:c r="M258" t="str">
        <x:f>IF(OR(J258=0,G258="",H258="",G258=0,H258=0),"",I258/(G258*H258))</x:f>
      </x:c>
      <x:c r="N258" t="n">
        <x:f>IF(K258="","",K258/_xlfn.MAXIFS($K:$K,$E:$E,E258))</x:f>
        <x:v>0.01806569343065693</x:v>
      </x:c>
      <x:c r="O258" t="str">
        <x:f>IF(M258="","",M258/_xlfn.MAXIFS($M:$M,$E:$E,E258))</x:f>
      </x:c>
      <x:c r="P258" t="str">
        <x:f>IF(OR(N258="",O258=""),"",SQRT(N258*O258))</x:f>
      </x:c>
      <x:c r="Q258" t="str">
        <x:f>IF(OR(N258="",O258=""),"",N258^0.7*O258^0.3)</x:f>
      </x:c>
      <x:c r="R258" t="str">
        <x:f>IF(OR(N258="",O258=""),"",N258^0.3*O258^0.7)</x:f>
      </x:c>
    </x:row>
    <x:row r="259">
      <x:c r="A259" t="inlineStr">
        <x:is>
          <x:t xml:space="preserve">anthropic|claude-sonnet-5.5|xhigh|reasoning|fallback-true|aa-v4.3.2|snapshot-2026-09-28</x:t>
        </x:is>
      </x:c>
      <x:c r="B259" t="inlineStr">
        <x:is>
          <x:t xml:space="preserve">anthropic|claude-sonnet-5.5|xhigh|reasoning|fallback-true</x:t>
        </x:is>
      </x:c>
      <x:c r="C259" t="inlineStr">
        <x:is>
          <x:t xml:space="preserve">AA|v4.3.2</x:t>
        </x:is>
      </x:c>
      <x:c r="D259" t="n">
        <x:v>34</x:v>
      </x:c>
      <x:c r="E259" t="n">
        <x:v>30</x:v>
      </x:c>
      <x:c r="F259" t="n">
        <x:f>INDEX(Run_Metrics!$F:$F,D259)</x:f>
        <x:v>52</x:v>
      </x:c>
      <x:c r="G259" t="n">
        <x:f>INDEX(Run_Metrics!$G:$G,D259)</x:f>
        <x:v>2.74</x:v>
      </x:c>
      <x:c r="H259" t="str">
        <x:f>INDEX(Run_Metrics!$I:$I,D259)</x:f>
      </x:c>
      <x:c r="I259" t="n">
        <x:f>IF(F259="","",F259-(E259-1))</x:f>
        <x:v>23</x:v>
      </x:c>
      <x:c r="J259" t="n">
        <x:f>IF(I259&gt;0,1,0)</x:f>
        <x:v>1</x:v>
      </x:c>
      <x:c r="K259" t="n">
        <x:f>IF(OR(J259=0,G259="",G259=0),"",I259/G259)</x:f>
        <x:v>8.394160583941606</x:v>
      </x:c>
      <x:c r="L259" t="n">
        <x:f>IF(OR(J259=0,I259=0,G259=""),"",G259/I259)</x:f>
        <x:v>0.11913043478260871</x:v>
      </x:c>
      <x:c r="M259" t="str">
        <x:f>IF(OR(J259=0,G259="",H259="",G259=0,H259=0),"",I259/(G259*H259))</x:f>
      </x:c>
      <x:c r="N259" t="n">
        <x:f>IF(K259="","",K259/_xlfn.MAXIFS($K:$K,$E:$E,E259))</x:f>
        <x:v>0.05596107055961071</x:v>
      </x:c>
      <x:c r="O259" t="str">
        <x:f>IF(M259="","",M259/_xlfn.MAXIFS($M:$M,$E:$E,E259))</x:f>
      </x:c>
      <x:c r="P259" t="str">
        <x:f>IF(OR(N259="",O259=""),"",SQRT(N259*O259))</x:f>
      </x:c>
      <x:c r="Q259" t="str">
        <x:f>IF(OR(N259="",O259=""),"",N259^0.7*O259^0.3)</x:f>
      </x:c>
      <x:c r="R259" t="str">
        <x:f>IF(OR(N259="",O259=""),"",N259^0.3*O259^0.7)</x:f>
      </x:c>
    </x:row>
    <x:row r="260">
      <x:c r="A260" t="inlineStr">
        <x:is>
          <x:t xml:space="preserve">anthropic|claude-sonnet-5.5|xhigh|reasoning|fallback-true|aa-v4.3.2|snapshot-2026-09-28</x:t>
        </x:is>
      </x:c>
      <x:c r="B260" t="inlineStr">
        <x:is>
          <x:t xml:space="preserve">anthropic|claude-sonnet-5.5|xhigh|reasoning|fallback-true</x:t>
        </x:is>
      </x:c>
      <x:c r="C260" t="inlineStr">
        <x:is>
          <x:t xml:space="preserve">AA|v4.3.2</x:t>
        </x:is>
      </x:c>
      <x:c r="D260" t="n">
        <x:v>34</x:v>
      </x:c>
      <x:c r="E260" t="n">
        <x:v>40</x:v>
      </x:c>
      <x:c r="F260" t="n">
        <x:f>INDEX(Run_Metrics!$F:$F,D260)</x:f>
        <x:v>52</x:v>
      </x:c>
      <x:c r="G260" t="n">
        <x:f>INDEX(Run_Metrics!$G:$G,D260)</x:f>
        <x:v>2.74</x:v>
      </x:c>
      <x:c r="H260" t="str">
        <x:f>INDEX(Run_Metrics!$I:$I,D260)</x:f>
      </x:c>
      <x:c r="I260" t="n">
        <x:f>IF(F260="","",F260-(E260-1))</x:f>
        <x:v>13</x:v>
      </x:c>
      <x:c r="J260" t="n">
        <x:f>IF(I260&gt;0,1,0)</x:f>
        <x:v>1</x:v>
      </x:c>
      <x:c r="K260" t="n">
        <x:f>IF(OR(J260=0,G260="",G260=0),"",I260/G260)</x:f>
        <x:v>4.744525547445255</x:v>
      </x:c>
      <x:c r="L260" t="n">
        <x:f>IF(OR(J260=0,I260=0,G260=""),"",G260/I260)</x:f>
        <x:v>0.2107692307692308</x:v>
      </x:c>
      <x:c r="M260" t="str">
        <x:f>IF(OR(J260=0,G260="",H260="",G260=0,H260=0),"",I260/(G260*H260))</x:f>
      </x:c>
      <x:c r="N260" t="n">
        <x:f>IF(K260="","",K260/_xlfn.MAXIFS($K:$K,$E:$E,E260))</x:f>
        <x:v>0.08811261730969759</x:v>
      </x:c>
      <x:c r="O260" t="str">
        <x:f>IF(M260="","",M260/_xlfn.MAXIFS($M:$M,$E:$E,E260))</x:f>
      </x:c>
      <x:c r="P260" t="str">
        <x:f>IF(OR(N260="",O260=""),"",SQRT(N260*O260))</x:f>
      </x:c>
      <x:c r="Q260" t="str">
        <x:f>IF(OR(N260="",O260=""),"",N260^0.7*O260^0.3)</x:f>
      </x:c>
      <x:c r="R260" t="str">
        <x:f>IF(OR(N260="",O260=""),"",N260^0.3*O260^0.7)</x:f>
      </x:c>
    </x:row>
    <x:row r="261">
      <x:c r="A261" t="inlineStr">
        <x:is>
          <x:t xml:space="preserve">anthropic|claude-sonnet-5.5|xhigh|reasoning|fallback-true|aa-v4.3.2|snapshot-2026-09-28</x:t>
        </x:is>
      </x:c>
      <x:c r="B261" t="inlineStr">
        <x:is>
          <x:t xml:space="preserve">anthropic|claude-sonnet-5.5|xhigh|reasoning|fallback-true</x:t>
        </x:is>
      </x:c>
      <x:c r="C261" t="inlineStr">
        <x:is>
          <x:t xml:space="preserve">AA|v4.3.2</x:t>
        </x:is>
      </x:c>
      <x:c r="D261" t="n">
        <x:v>34</x:v>
      </x:c>
      <x:c r="E261" t="n">
        <x:v>45</x:v>
      </x:c>
      <x:c r="F261" t="n">
        <x:f>INDEX(Run_Metrics!$F:$F,D261)</x:f>
        <x:v>52</x:v>
      </x:c>
      <x:c r="G261" t="n">
        <x:f>INDEX(Run_Metrics!$G:$G,D261)</x:f>
        <x:v>2.74</x:v>
      </x:c>
      <x:c r="H261" t="str">
        <x:f>INDEX(Run_Metrics!$I:$I,D261)</x:f>
      </x:c>
      <x:c r="I261" t="n">
        <x:f>IF(F261="","",F261-(E261-1))</x:f>
        <x:v>8</x:v>
      </x:c>
      <x:c r="J261" t="n">
        <x:f>IF(I261&gt;0,1,0)</x:f>
        <x:v>1</x:v>
      </x:c>
      <x:c r="K261" t="n">
        <x:f>IF(OR(J261=0,G261="",G261=0),"",I261/G261)</x:f>
        <x:v>2.9197080291970803</x:v>
      </x:c>
      <x:c r="L261" t="n">
        <x:f>IF(OR(J261=0,I261=0,G261=""),"",G261/I261)</x:f>
        <x:v>0.3425</x:v>
      </x:c>
      <x:c r="M261" t="str">
        <x:f>IF(OR(J261=0,G261="",H261="",G261=0,H261=0),"",I261/(G261*H261))</x:f>
      </x:c>
      <x:c r="N261" t="n">
        <x:f>IF(K261="","",K261/_xlfn.MAXIFS($K:$K,$E:$E,E261))</x:f>
        <x:v>0.15328467153284672</x:v>
      </x:c>
      <x:c r="O261" t="str">
        <x:f>IF(M261="","",M261/_xlfn.MAXIFS($M:$M,$E:$E,E261))</x:f>
      </x:c>
      <x:c r="P261" t="str">
        <x:f>IF(OR(N261="",O261=""),"",SQRT(N261*O261))</x:f>
      </x:c>
      <x:c r="Q261" t="str">
        <x:f>IF(OR(N261="",O261=""),"",N261^0.7*O261^0.3)</x:f>
      </x:c>
      <x:c r="R261" t="str">
        <x:f>IF(OR(N261="",O261=""),"",N261^0.3*O261^0.7)</x:f>
      </x:c>
    </x:row>
    <x:row r="262">
      <x:c r="A262" t="inlineStr">
        <x:is>
          <x:t xml:space="preserve">anthropic|claude-sonnet-5.5|xhigh|reasoning|fallback-true|aa-v4.3.2|snapshot-2026-09-28</x:t>
        </x:is>
      </x:c>
      <x:c r="B262" t="inlineStr">
        <x:is>
          <x:t xml:space="preserve">anthropic|claude-sonnet-5.5|xhigh|reasoning|fallback-true</x:t>
        </x:is>
      </x:c>
      <x:c r="C262" t="inlineStr">
        <x:is>
          <x:t xml:space="preserve">AA|v4.3.2</x:t>
        </x:is>
      </x:c>
      <x:c r="D262" t="n">
        <x:v>34</x:v>
      </x:c>
      <x:c r="E262" t="n">
        <x:v>50</x:v>
      </x:c>
      <x:c r="F262" t="n">
        <x:f>INDEX(Run_Metrics!$F:$F,D262)</x:f>
        <x:v>52</x:v>
      </x:c>
      <x:c r="G262" t="n">
        <x:f>INDEX(Run_Metrics!$G:$G,D262)</x:f>
        <x:v>2.74</x:v>
      </x:c>
      <x:c r="H262" t="str">
        <x:f>INDEX(Run_Metrics!$I:$I,D262)</x:f>
      </x:c>
      <x:c r="I262" t="n">
        <x:f>IF(F262="","",F262-(E262-1))</x:f>
        <x:v>3</x:v>
      </x:c>
      <x:c r="J262" t="n">
        <x:f>IF(I262&gt;0,1,0)</x:f>
        <x:v>1</x:v>
      </x:c>
      <x:c r="K262" t="n">
        <x:f>IF(OR(J262=0,G262="",G262=0),"",I262/G262)</x:f>
        <x:v>1.094890510948905</x:v>
      </x:c>
      <x:c r="L262" t="n">
        <x:f>IF(OR(J262=0,I262=0,G262=""),"",G262/I262)</x:f>
        <x:v>0.9133333333333334</x:v>
      </x:c>
      <x:c r="M262" t="str">
        <x:f>IF(OR(J262=0,G262="",H262="",G262=0,H262=0),"",I262/(G262*H262))</x:f>
      </x:c>
      <x:c r="N262" t="n">
        <x:f>IF(K262="","",K262/_xlfn.MAXIFS($K:$K,$E:$E,E262))</x:f>
        <x:v>0.2135036496350365</x:v>
      </x:c>
      <x:c r="O262" t="str">
        <x:f>IF(M262="","",M262/_xlfn.MAXIFS($M:$M,$E:$E,E262))</x:f>
      </x:c>
      <x:c r="P262" t="str">
        <x:f>IF(OR(N262="",O262=""),"",SQRT(N262*O262))</x:f>
      </x:c>
      <x:c r="Q262" t="str">
        <x:f>IF(OR(N262="",O262=""),"",N262^0.7*O262^0.3)</x:f>
      </x:c>
      <x:c r="R262" t="str">
        <x:f>IF(OR(N262="",O262=""),"",N262^0.3*O262^0.7)</x:f>
      </x:c>
    </x:row>
    <x:row r="263">
      <x:c r="A263" t="inlineStr">
        <x:is>
          <x:t xml:space="preserve">anthropic|claude-sonnet-5.5|xhigh|reasoning|fallback-true|aa-v4.3.2|snapshot-2026-09-28</x:t>
        </x:is>
      </x:c>
      <x:c r="B263" t="inlineStr">
        <x:is>
          <x:t xml:space="preserve">anthropic|claude-sonnet-5.5|xhigh|reasoning|fallback-true</x:t>
        </x:is>
      </x:c>
      <x:c r="C263" t="inlineStr">
        <x:is>
          <x:t xml:space="preserve">AA|v4.3.2</x:t>
        </x:is>
      </x:c>
      <x:c r="D263" t="n">
        <x:v>34</x:v>
      </x:c>
      <x:c r="E263" t="n">
        <x:v>52</x:v>
      </x:c>
      <x:c r="F263" t="n">
        <x:f>INDEX(Run_Metrics!$F:$F,D263)</x:f>
        <x:v>52</x:v>
      </x:c>
      <x:c r="G263" t="n">
        <x:f>INDEX(Run_Metrics!$G:$G,D263)</x:f>
        <x:v>2.74</x:v>
      </x:c>
      <x:c r="H263" t="str">
        <x:f>INDEX(Run_Metrics!$I:$I,D263)</x:f>
      </x:c>
      <x:c r="I263" t="n">
        <x:f>IF(F263="","",F263-(E263-1))</x:f>
        <x:v>1</x:v>
      </x:c>
      <x:c r="J263" t="n">
        <x:f>IF(I263&gt;0,1,0)</x:f>
        <x:v>1</x:v>
      </x:c>
      <x:c r="K263" t="n">
        <x:f>IF(OR(J263=0,G263="",G263=0),"",I263/G263)</x:f>
        <x:v>0.36496350364963503</x:v>
      </x:c>
      <x:c r="L263" t="n">
        <x:f>IF(OR(J263=0,I263=0,G263=""),"",G263/I263)</x:f>
        <x:v>2.74</x:v>
      </x:c>
      <x:c r="M263" t="str">
        <x:f>IF(OR(J263=0,G263="",H263="",G263=0,H263=0),"",I263/(G263*H263))</x:f>
      </x:c>
      <x:c r="N263" t="n">
        <x:f>IF(K263="","",K263/_xlfn.MAXIFS($K:$K,$E:$E,E263))</x:f>
        <x:v>0.22141119221411193</x:v>
      </x:c>
      <x:c r="O263" t="str">
        <x:f>IF(M263="","",M263/_xlfn.MAXIFS($M:$M,$E:$E,E263))</x:f>
      </x:c>
      <x:c r="P263" t="str">
        <x:f>IF(OR(N263="",O263=""),"",SQRT(N263*O263))</x:f>
      </x:c>
      <x:c r="Q263" t="str">
        <x:f>IF(OR(N263="",O263=""),"",N263^0.7*O263^0.3)</x:f>
      </x:c>
      <x:c r="R263" t="str">
        <x:f>IF(OR(N263="",O263=""),"",N263^0.3*O263^0.7)</x:f>
      </x:c>
    </x:row>
    <x:row r="264">
      <x:c r="A264" t="inlineStr">
        <x:is>
          <x:t xml:space="preserve">anthropic|claude-sonnet-5.5|xhigh|reasoning|fallback-true|aa-v4.3.2|snapshot-2026-09-28</x:t>
        </x:is>
      </x:c>
      <x:c r="B264" t="inlineStr">
        <x:is>
          <x:t xml:space="preserve">anthropic|claude-sonnet-5.5|xhigh|reasoning|fallback-true</x:t>
        </x:is>
      </x:c>
      <x:c r="C264" t="inlineStr">
        <x:is>
          <x:t xml:space="preserve">AA|v4.3.2</x:t>
        </x:is>
      </x:c>
      <x:c r="D264" t="n">
        <x:v>34</x:v>
      </x:c>
      <x:c r="E264" t="n">
        <x:v>65</x:v>
      </x:c>
      <x:c r="F264" t="n">
        <x:f>INDEX(Run_Metrics!$F:$F,D264)</x:f>
        <x:v>52</x:v>
      </x:c>
      <x:c r="G264" t="n">
        <x:f>INDEX(Run_Metrics!$G:$G,D264)</x:f>
        <x:v>2.74</x:v>
      </x:c>
      <x:c r="H264" t="str">
        <x:f>INDEX(Run_Metrics!$I:$I,D264)</x:f>
      </x:c>
      <x:c r="I264" t="n">
        <x:f>IF(F264="","",F264-(E264-1))</x:f>
        <x:v>-12</x:v>
      </x:c>
      <x:c r="J264" t="n">
        <x:f>IF(I264&gt;0,1,0)</x:f>
        <x:v>0</x:v>
      </x:c>
      <x:c r="K264" t="str">
        <x:f>IF(OR(J264=0,G264="",G264=0),"",I264/G264)</x:f>
      </x:c>
      <x:c r="L264" t="str">
        <x:f>IF(OR(J264=0,I264=0,G264=""),"",G264/I264)</x:f>
      </x:c>
      <x:c r="M264" t="str">
        <x:f>IF(OR(J264=0,G264="",H264="",G264=0,H264=0),"",I264/(G264*H264))</x:f>
      </x:c>
      <x:c r="N264" t="str">
        <x:f>IF(K264="","",K264/_xlfn.MAXIFS($K:$K,$E:$E,E264))</x:f>
      </x:c>
      <x:c r="O264" t="str">
        <x:f>IF(M264="","",M264/_xlfn.MAXIFS($M:$M,$E:$E,E264))</x:f>
      </x:c>
      <x:c r="P264" t="str">
        <x:f>IF(OR(N264="",O264=""),"",SQRT(N264*O264))</x:f>
      </x:c>
      <x:c r="Q264" t="str">
        <x:f>IF(OR(N264="",O264=""),"",N264^0.7*O264^0.3)</x:f>
      </x:c>
      <x:c r="R264" t="str">
        <x:f>IF(OR(N264="",O264=""),"",N264^0.3*O264^0.7)</x:f>
      </x:c>
    </x:row>
    <x:row r="265">
      <x:c r="A265" t="inlineStr">
        <x:is>
          <x:t xml:space="preserve">anthropic|claude-sonnet-5.5|xhigh|reasoning|fallback-true|aa-v4.3.2|snapshot-2026-09-28</x:t>
        </x:is>
      </x:c>
      <x:c r="B265" t="inlineStr">
        <x:is>
          <x:t xml:space="preserve">anthropic|claude-sonnet-5.5|xhigh|reasoning|fallback-true</x:t>
        </x:is>
      </x:c>
      <x:c r="C265" t="inlineStr">
        <x:is>
          <x:t xml:space="preserve">AA|v4.3.2</x:t>
        </x:is>
      </x:c>
      <x:c r="D265" t="n">
        <x:v>34</x:v>
      </x:c>
      <x:c r="E265" t="n">
        <x:v>80</x:v>
      </x:c>
      <x:c r="F265" t="n">
        <x:f>INDEX(Run_Metrics!$F:$F,D265)</x:f>
        <x:v>52</x:v>
      </x:c>
      <x:c r="G265" t="n">
        <x:f>INDEX(Run_Metrics!$G:$G,D265)</x:f>
        <x:v>2.74</x:v>
      </x:c>
      <x:c r="H265" t="str">
        <x:f>INDEX(Run_Metrics!$I:$I,D265)</x:f>
      </x:c>
      <x:c r="I265" t="n">
        <x:f>IF(F265="","",F265-(E265-1))</x:f>
        <x:v>-27</x:v>
      </x:c>
      <x:c r="J265" t="n">
        <x:f>IF(I265&gt;0,1,0)</x:f>
        <x:v>0</x:v>
      </x:c>
      <x:c r="K265" t="str">
        <x:f>IF(OR(J265=0,G265="",G265=0),"",I265/G265)</x:f>
      </x:c>
      <x:c r="L265" t="str">
        <x:f>IF(OR(J265=0,I265=0,G265=""),"",G265/I265)</x:f>
      </x:c>
      <x:c r="M265" t="str">
        <x:f>IF(OR(J265=0,G265="",H265="",G265=0,H265=0),"",I265/(G265*H265))</x:f>
      </x:c>
      <x:c r="N265" t="str">
        <x:f>IF(K265="","",K265/_xlfn.MAXIFS($K:$K,$E:$E,E265))</x:f>
      </x:c>
      <x:c r="O265" t="str">
        <x:f>IF(M265="","",M265/_xlfn.MAXIFS($M:$M,$E:$E,E265))</x:f>
      </x:c>
      <x:c r="P265" t="str">
        <x:f>IF(OR(N265="",O265=""),"",SQRT(N265*O265))</x:f>
      </x:c>
      <x:c r="Q265" t="str">
        <x:f>IF(OR(N265="",O265=""),"",N265^0.7*O265^0.3)</x:f>
      </x:c>
      <x:c r="R265" t="str">
        <x:f>IF(OR(N265="",O265=""),"",N265^0.3*O265^0.7)</x:f>
      </x:c>
    </x:row>
    <x:row r="266">
      <x:c r="A266" t="inlineStr">
        <x:is>
          <x:t xml:space="preserve">anthropic|claude-sonnet-5.5|max|reasoning|fallback-true|aa-v4.3.2|snapshot-2026-09-28</x:t>
        </x:is>
      </x:c>
      <x:c r="B266" t="inlineStr">
        <x:is>
          <x:t xml:space="preserve">anthropic|claude-sonnet-5.5|max|reasoning|fallback-true</x:t>
        </x:is>
      </x:c>
      <x:c r="C266" t="inlineStr">
        <x:is>
          <x:t xml:space="preserve">AA|v4.3.2</x:t>
        </x:is>
      </x:c>
      <x:c r="D266" t="n">
        <x:v>35</x:v>
      </x:c>
      <x:c r="E266" t="n">
        <x:v>20</x:v>
      </x:c>
      <x:c r="F266" t="n">
        <x:f>INDEX(Run_Metrics!$F:$F,D266)</x:f>
        <x:v>56</x:v>
      </x:c>
      <x:c r="G266" t="n">
        <x:f>INDEX(Run_Metrics!$G:$G,D266)</x:f>
        <x:v>7.6</x:v>
      </x:c>
      <x:c r="H266" t="str">
        <x:f>INDEX(Run_Metrics!$I:$I,D266)</x:f>
      </x:c>
      <x:c r="I266" t="n">
        <x:f>IF(F266="","",F266-(E266-1))</x:f>
        <x:v>37</x:v>
      </x:c>
      <x:c r="J266" t="n">
        <x:f>IF(I266&gt;0,1,0)</x:f>
        <x:v>1</x:v>
      </x:c>
      <x:c r="K266" t="n">
        <x:f>IF(OR(J266=0,G266="",G266=0),"",I266/G266)</x:f>
        <x:v>4.868421052631579</x:v>
      </x:c>
      <x:c r="L266" t="n">
        <x:f>IF(OR(J266=0,I266=0,G266=""),"",G266/I266)</x:f>
        <x:v>0.2054054054054054</x:v>
      </x:c>
      <x:c r="M266" t="str">
        <x:f>IF(OR(J266=0,G266="",H266="",G266=0,H266=0),"",I266/(G266*H266))</x:f>
      </x:c>
      <x:c r="N266" t="n">
        <x:f>IF(K266="","",K266/_xlfn.MAXIFS($K:$K,$E:$E,E266))</x:f>
        <x:v>0.007302631578947367</x:v>
      </x:c>
      <x:c r="O266" t="str">
        <x:f>IF(M266="","",M266/_xlfn.MAXIFS($M:$M,$E:$E,E266))</x:f>
      </x:c>
      <x:c r="P266" t="str">
        <x:f>IF(OR(N266="",O266=""),"",SQRT(N266*O266))</x:f>
      </x:c>
      <x:c r="Q266" t="str">
        <x:f>IF(OR(N266="",O266=""),"",N266^0.7*O266^0.3)</x:f>
      </x:c>
      <x:c r="R266" t="str">
        <x:f>IF(OR(N266="",O266=""),"",N266^0.3*O266^0.7)</x:f>
      </x:c>
    </x:row>
    <x:row r="267">
      <x:c r="A267" t="inlineStr">
        <x:is>
          <x:t xml:space="preserve">anthropic|claude-sonnet-5.5|max|reasoning|fallback-true|aa-v4.3.2|snapshot-2026-09-28</x:t>
        </x:is>
      </x:c>
      <x:c r="B267" t="inlineStr">
        <x:is>
          <x:t xml:space="preserve">anthropic|claude-sonnet-5.5|max|reasoning|fallback-true</x:t>
        </x:is>
      </x:c>
      <x:c r="C267" t="inlineStr">
        <x:is>
          <x:t xml:space="preserve">AA|v4.3.2</x:t>
        </x:is>
      </x:c>
      <x:c r="D267" t="n">
        <x:v>35</x:v>
      </x:c>
      <x:c r="E267" t="n">
        <x:v>30</x:v>
      </x:c>
      <x:c r="F267" t="n">
        <x:f>INDEX(Run_Metrics!$F:$F,D267)</x:f>
        <x:v>56</x:v>
      </x:c>
      <x:c r="G267" t="n">
        <x:f>INDEX(Run_Metrics!$G:$G,D267)</x:f>
        <x:v>7.6</x:v>
      </x:c>
      <x:c r="H267" t="str">
        <x:f>INDEX(Run_Metrics!$I:$I,D267)</x:f>
      </x:c>
      <x:c r="I267" t="n">
        <x:f>IF(F267="","",F267-(E267-1))</x:f>
        <x:v>27</x:v>
      </x:c>
      <x:c r="J267" t="n">
        <x:f>IF(I267&gt;0,1,0)</x:f>
        <x:v>1</x:v>
      </x:c>
      <x:c r="K267" t="n">
        <x:f>IF(OR(J267=0,G267="",G267=0),"",I267/G267)</x:f>
        <x:v>3.5526315789473686</x:v>
      </x:c>
      <x:c r="L267" t="n">
        <x:f>IF(OR(J267=0,I267=0,G267=""),"",G267/I267)</x:f>
        <x:v>0.28148148148148144</x:v>
      </x:c>
      <x:c r="M267" t="str">
        <x:f>IF(OR(J267=0,G267="",H267="",G267=0,H267=0),"",I267/(G267*H267))</x:f>
      </x:c>
      <x:c r="N267" t="n">
        <x:f>IF(K267="","",K267/_xlfn.MAXIFS($K:$K,$E:$E,E267))</x:f>
        <x:v>0.02368421052631579</x:v>
      </x:c>
      <x:c r="O267" t="str">
        <x:f>IF(M267="","",M267/_xlfn.MAXIFS($M:$M,$E:$E,E267))</x:f>
      </x:c>
      <x:c r="P267" t="str">
        <x:f>IF(OR(N267="",O267=""),"",SQRT(N267*O267))</x:f>
      </x:c>
      <x:c r="Q267" t="str">
        <x:f>IF(OR(N267="",O267=""),"",N267^0.7*O267^0.3)</x:f>
      </x:c>
      <x:c r="R267" t="str">
        <x:f>IF(OR(N267="",O267=""),"",N267^0.3*O267^0.7)</x:f>
      </x:c>
    </x:row>
    <x:row r="268">
      <x:c r="A268" t="inlineStr">
        <x:is>
          <x:t xml:space="preserve">anthropic|claude-sonnet-5.5|max|reasoning|fallback-true|aa-v4.3.2|snapshot-2026-09-28</x:t>
        </x:is>
      </x:c>
      <x:c r="B268" t="inlineStr">
        <x:is>
          <x:t xml:space="preserve">anthropic|claude-sonnet-5.5|max|reasoning|fallback-true</x:t>
        </x:is>
      </x:c>
      <x:c r="C268" t="inlineStr">
        <x:is>
          <x:t xml:space="preserve">AA|v4.3.2</x:t>
        </x:is>
      </x:c>
      <x:c r="D268" t="n">
        <x:v>35</x:v>
      </x:c>
      <x:c r="E268" t="n">
        <x:v>40</x:v>
      </x:c>
      <x:c r="F268" t="n">
        <x:f>INDEX(Run_Metrics!$F:$F,D268)</x:f>
        <x:v>56</x:v>
      </x:c>
      <x:c r="G268" t="n">
        <x:f>INDEX(Run_Metrics!$G:$G,D268)</x:f>
        <x:v>7.6</x:v>
      </x:c>
      <x:c r="H268" t="str">
        <x:f>INDEX(Run_Metrics!$I:$I,D268)</x:f>
      </x:c>
      <x:c r="I268" t="n">
        <x:f>IF(F268="","",F268-(E268-1))</x:f>
        <x:v>17</x:v>
      </x:c>
      <x:c r="J268" t="n">
        <x:f>IF(I268&gt;0,1,0)</x:f>
        <x:v>1</x:v>
      </x:c>
      <x:c r="K268" t="n">
        <x:f>IF(OR(J268=0,G268="",G268=0),"",I268/G268)</x:f>
        <x:v>2.236842105263158</x:v>
      </x:c>
      <x:c r="L268" t="n">
        <x:f>IF(OR(J268=0,I268=0,G268=""),"",G268/I268)</x:f>
        <x:v>0.44705882352941173</x:v>
      </x:c>
      <x:c r="M268" t="str">
        <x:f>IF(OR(J268=0,G268="",H268="",G268=0,H268=0),"",I268/(G268*H268))</x:f>
      </x:c>
      <x:c r="N268" t="n">
        <x:f>IF(K268="","",K268/_xlfn.MAXIFS($K:$K,$E:$E,E268))</x:f>
        <x:v>0.04154135338345865</x:v>
      </x:c>
      <x:c r="O268" t="str">
        <x:f>IF(M268="","",M268/_xlfn.MAXIFS($M:$M,$E:$E,E268))</x:f>
      </x:c>
      <x:c r="P268" t="str">
        <x:f>IF(OR(N268="",O268=""),"",SQRT(N268*O268))</x:f>
      </x:c>
      <x:c r="Q268" t="str">
        <x:f>IF(OR(N268="",O268=""),"",N268^0.7*O268^0.3)</x:f>
      </x:c>
      <x:c r="R268" t="str">
        <x:f>IF(OR(N268="",O268=""),"",N268^0.3*O268^0.7)</x:f>
      </x:c>
    </x:row>
    <x:row r="269">
      <x:c r="A269" t="inlineStr">
        <x:is>
          <x:t xml:space="preserve">anthropic|claude-sonnet-5.5|max|reasoning|fallback-true|aa-v4.3.2|snapshot-2026-09-28</x:t>
        </x:is>
      </x:c>
      <x:c r="B269" t="inlineStr">
        <x:is>
          <x:t xml:space="preserve">anthropic|claude-sonnet-5.5|max|reasoning|fallback-true</x:t>
        </x:is>
      </x:c>
      <x:c r="C269" t="inlineStr">
        <x:is>
          <x:t xml:space="preserve">AA|v4.3.2</x:t>
        </x:is>
      </x:c>
      <x:c r="D269" t="n">
        <x:v>35</x:v>
      </x:c>
      <x:c r="E269" t="n">
        <x:v>45</x:v>
      </x:c>
      <x:c r="F269" t="n">
        <x:f>INDEX(Run_Metrics!$F:$F,D269)</x:f>
        <x:v>56</x:v>
      </x:c>
      <x:c r="G269" t="n">
        <x:f>INDEX(Run_Metrics!$G:$G,D269)</x:f>
        <x:v>7.6</x:v>
      </x:c>
      <x:c r="H269" t="str">
        <x:f>INDEX(Run_Metrics!$I:$I,D269)</x:f>
      </x:c>
      <x:c r="I269" t="n">
        <x:f>IF(F269="","",F269-(E269-1))</x:f>
        <x:v>12</x:v>
      </x:c>
      <x:c r="J269" t="n">
        <x:f>IF(I269&gt;0,1,0)</x:f>
        <x:v>1</x:v>
      </x:c>
      <x:c r="K269" t="n">
        <x:f>IF(OR(J269=0,G269="",G269=0),"",I269/G269)</x:f>
        <x:v>1.5789473684210527</x:v>
      </x:c>
      <x:c r="L269" t="n">
        <x:f>IF(OR(J269=0,I269=0,G269=""),"",G269/I269)</x:f>
        <x:v>0.6333333333333333</x:v>
      </x:c>
      <x:c r="M269" t="str">
        <x:f>IF(OR(J269=0,G269="",H269="",G269=0,H269=0),"",I269/(G269*H269))</x:f>
      </x:c>
      <x:c r="N269" t="n">
        <x:f>IF(K269="","",K269/_xlfn.MAXIFS($K:$K,$E:$E,E269))</x:f>
        <x:v>0.08289473684210527</x:v>
      </x:c>
      <x:c r="O269" t="str">
        <x:f>IF(M269="","",M269/_xlfn.MAXIFS($M:$M,$E:$E,E269))</x:f>
      </x:c>
      <x:c r="P269" t="str">
        <x:f>IF(OR(N269="",O269=""),"",SQRT(N269*O269))</x:f>
      </x:c>
      <x:c r="Q269" t="str">
        <x:f>IF(OR(N269="",O269=""),"",N269^0.7*O269^0.3)</x:f>
      </x:c>
      <x:c r="R269" t="str">
        <x:f>IF(OR(N269="",O269=""),"",N269^0.3*O269^0.7)</x:f>
      </x:c>
    </x:row>
    <x:row r="270">
      <x:c r="A270" t="inlineStr">
        <x:is>
          <x:t xml:space="preserve">anthropic|claude-sonnet-5.5|max|reasoning|fallback-true|aa-v4.3.2|snapshot-2026-09-28</x:t>
        </x:is>
      </x:c>
      <x:c r="B270" t="inlineStr">
        <x:is>
          <x:t xml:space="preserve">anthropic|claude-sonnet-5.5|max|reasoning|fallback-true</x:t>
        </x:is>
      </x:c>
      <x:c r="C270" t="inlineStr">
        <x:is>
          <x:t xml:space="preserve">AA|v4.3.2</x:t>
        </x:is>
      </x:c>
      <x:c r="D270" t="n">
        <x:v>35</x:v>
      </x:c>
      <x:c r="E270" t="n">
        <x:v>50</x:v>
      </x:c>
      <x:c r="F270" t="n">
        <x:f>INDEX(Run_Metrics!$F:$F,D270)</x:f>
        <x:v>56</x:v>
      </x:c>
      <x:c r="G270" t="n">
        <x:f>INDEX(Run_Metrics!$G:$G,D270)</x:f>
        <x:v>7.6</x:v>
      </x:c>
      <x:c r="H270" t="str">
        <x:f>INDEX(Run_Metrics!$I:$I,D270)</x:f>
      </x:c>
      <x:c r="I270" t="n">
        <x:f>IF(F270="","",F270-(E270-1))</x:f>
        <x:v>7</x:v>
      </x:c>
      <x:c r="J270" t="n">
        <x:f>IF(I270&gt;0,1,0)</x:f>
        <x:v>1</x:v>
      </x:c>
      <x:c r="K270" t="n">
        <x:f>IF(OR(J270=0,G270="",G270=0),"",I270/G270)</x:f>
        <x:v>0.9210526315789475</x:v>
      </x:c>
      <x:c r="L270" t="n">
        <x:f>IF(OR(J270=0,I270=0,G270=""),"",G270/I270)</x:f>
        <x:v>1.0857142857142856</x:v>
      </x:c>
      <x:c r="M270" t="str">
        <x:f>IF(OR(J270=0,G270="",H270="",G270=0,H270=0),"",I270/(G270*H270))</x:f>
      </x:c>
      <x:c r="N270" t="n">
        <x:f>IF(K270="","",K270/_xlfn.MAXIFS($K:$K,$E:$E,E270))</x:f>
        <x:v>0.17960526315789477</x:v>
      </x:c>
      <x:c r="O270" t="str">
        <x:f>IF(M270="","",M270/_xlfn.MAXIFS($M:$M,$E:$E,E270))</x:f>
      </x:c>
      <x:c r="P270" t="str">
        <x:f>IF(OR(N270="",O270=""),"",SQRT(N270*O270))</x:f>
      </x:c>
      <x:c r="Q270" t="str">
        <x:f>IF(OR(N270="",O270=""),"",N270^0.7*O270^0.3)</x:f>
      </x:c>
      <x:c r="R270" t="str">
        <x:f>IF(OR(N270="",O270=""),"",N270^0.3*O270^0.7)</x:f>
      </x:c>
    </x:row>
    <x:row r="271">
      <x:c r="A271" t="inlineStr">
        <x:is>
          <x:t xml:space="preserve">anthropic|claude-sonnet-5.5|max|reasoning|fallback-true|aa-v4.3.2|snapshot-2026-09-28</x:t>
        </x:is>
      </x:c>
      <x:c r="B271" t="inlineStr">
        <x:is>
          <x:t xml:space="preserve">anthropic|claude-sonnet-5.5|max|reasoning|fallback-true</x:t>
        </x:is>
      </x:c>
      <x:c r="C271" t="inlineStr">
        <x:is>
          <x:t xml:space="preserve">AA|v4.3.2</x:t>
        </x:is>
      </x:c>
      <x:c r="D271" t="n">
        <x:v>35</x:v>
      </x:c>
      <x:c r="E271" t="n">
        <x:v>52</x:v>
      </x:c>
      <x:c r="F271" t="n">
        <x:f>INDEX(Run_Metrics!$F:$F,D271)</x:f>
        <x:v>56</x:v>
      </x:c>
      <x:c r="G271" t="n">
        <x:f>INDEX(Run_Metrics!$G:$G,D271)</x:f>
        <x:v>7.6</x:v>
      </x:c>
      <x:c r="H271" t="str">
        <x:f>INDEX(Run_Metrics!$I:$I,D271)</x:f>
      </x:c>
      <x:c r="I271" t="n">
        <x:f>IF(F271="","",F271-(E271-1))</x:f>
        <x:v>5</x:v>
      </x:c>
      <x:c r="J271" t="n">
        <x:f>IF(I271&gt;0,1,0)</x:f>
        <x:v>1</x:v>
      </x:c>
      <x:c r="K271" t="n">
        <x:f>IF(OR(J271=0,G271="",G271=0),"",I271/G271)</x:f>
        <x:v>0.6578947368421053</x:v>
      </x:c>
      <x:c r="L271" t="n">
        <x:f>IF(OR(J271=0,I271=0,G271=""),"",G271/I271)</x:f>
        <x:v>1.52</x:v>
      </x:c>
      <x:c r="M271" t="str">
        <x:f>IF(OR(J271=0,G271="",H271="",G271=0,H271=0),"",I271/(G271*H271))</x:f>
      </x:c>
      <x:c r="N271" t="n">
        <x:f>IF(K271="","",K271/_xlfn.MAXIFS($K:$K,$E:$E,E271))</x:f>
        <x:v>0.39912280701754393</x:v>
      </x:c>
      <x:c r="O271" t="str">
        <x:f>IF(M271="","",M271/_xlfn.MAXIFS($M:$M,$E:$E,E271))</x:f>
      </x:c>
      <x:c r="P271" t="str">
        <x:f>IF(OR(N271="",O271=""),"",SQRT(N271*O271))</x:f>
      </x:c>
      <x:c r="Q271" t="str">
        <x:f>IF(OR(N271="",O271=""),"",N271^0.7*O271^0.3)</x:f>
      </x:c>
      <x:c r="R271" t="str">
        <x:f>IF(OR(N271="",O271=""),"",N271^0.3*O271^0.7)</x:f>
      </x:c>
    </x:row>
    <x:row r="272">
      <x:c r="A272" t="inlineStr">
        <x:is>
          <x:t xml:space="preserve">anthropic|claude-sonnet-5.5|max|reasoning|fallback-true|aa-v4.3.2|snapshot-2026-09-28</x:t>
        </x:is>
      </x:c>
      <x:c r="B272" t="inlineStr">
        <x:is>
          <x:t xml:space="preserve">anthropic|claude-sonnet-5.5|max|reasoning|fallback-true</x:t>
        </x:is>
      </x:c>
      <x:c r="C272" t="inlineStr">
        <x:is>
          <x:t xml:space="preserve">AA|v4.3.2</x:t>
        </x:is>
      </x:c>
      <x:c r="D272" t="n">
        <x:v>35</x:v>
      </x:c>
      <x:c r="E272" t="n">
        <x:v>65</x:v>
      </x:c>
      <x:c r="F272" t="n">
        <x:f>INDEX(Run_Metrics!$F:$F,D272)</x:f>
        <x:v>56</x:v>
      </x:c>
      <x:c r="G272" t="n">
        <x:f>INDEX(Run_Metrics!$G:$G,D272)</x:f>
        <x:v>7.6</x:v>
      </x:c>
      <x:c r="H272" t="str">
        <x:f>INDEX(Run_Metrics!$I:$I,D272)</x:f>
      </x:c>
      <x:c r="I272" t="n">
        <x:f>IF(F272="","",F272-(E272-1))</x:f>
        <x:v>-8</x:v>
      </x:c>
      <x:c r="J272" t="n">
        <x:f>IF(I272&gt;0,1,0)</x:f>
        <x:v>0</x:v>
      </x:c>
      <x:c r="K272" t="str">
        <x:f>IF(OR(J272=0,G272="",G272=0),"",I272/G272)</x:f>
      </x:c>
      <x:c r="L272" t="str">
        <x:f>IF(OR(J272=0,I272=0,G272=""),"",G272/I272)</x:f>
      </x:c>
      <x:c r="M272" t="str">
        <x:f>IF(OR(J272=0,G272="",H272="",G272=0,H272=0),"",I272/(G272*H272))</x:f>
      </x:c>
      <x:c r="N272" t="str">
        <x:f>IF(K272="","",K272/_xlfn.MAXIFS($K:$K,$E:$E,E272))</x:f>
      </x:c>
      <x:c r="O272" t="str">
        <x:f>IF(M272="","",M272/_xlfn.MAXIFS($M:$M,$E:$E,E272))</x:f>
      </x:c>
      <x:c r="P272" t="str">
        <x:f>IF(OR(N272="",O272=""),"",SQRT(N272*O272))</x:f>
      </x:c>
      <x:c r="Q272" t="str">
        <x:f>IF(OR(N272="",O272=""),"",N272^0.7*O272^0.3)</x:f>
      </x:c>
      <x:c r="R272" t="str">
        <x:f>IF(OR(N272="",O272=""),"",N272^0.3*O272^0.7)</x:f>
      </x:c>
    </x:row>
    <x:row r="273">
      <x:c r="A273" t="inlineStr">
        <x:is>
          <x:t xml:space="preserve">anthropic|claude-sonnet-5.5|max|reasoning|fallback-true|aa-v4.3.2|snapshot-2026-09-28</x:t>
        </x:is>
      </x:c>
      <x:c r="B273" t="inlineStr">
        <x:is>
          <x:t xml:space="preserve">anthropic|claude-sonnet-5.5|max|reasoning|fallback-true</x:t>
        </x:is>
      </x:c>
      <x:c r="C273" t="inlineStr">
        <x:is>
          <x:t xml:space="preserve">AA|v4.3.2</x:t>
        </x:is>
      </x:c>
      <x:c r="D273" t="n">
        <x:v>35</x:v>
      </x:c>
      <x:c r="E273" t="n">
        <x:v>80</x:v>
      </x:c>
      <x:c r="F273" t="n">
        <x:f>INDEX(Run_Metrics!$F:$F,D273)</x:f>
        <x:v>56</x:v>
      </x:c>
      <x:c r="G273" t="n">
        <x:f>INDEX(Run_Metrics!$G:$G,D273)</x:f>
        <x:v>7.6</x:v>
      </x:c>
      <x:c r="H273" t="str">
        <x:f>INDEX(Run_Metrics!$I:$I,D273)</x:f>
      </x:c>
      <x:c r="I273" t="n">
        <x:f>IF(F273="","",F273-(E273-1))</x:f>
        <x:v>-23</x:v>
      </x:c>
      <x:c r="J273" t="n">
        <x:f>IF(I273&gt;0,1,0)</x:f>
        <x:v>0</x:v>
      </x:c>
      <x:c r="K273" t="str">
        <x:f>IF(OR(J273=0,G273="",G273=0),"",I273/G273)</x:f>
      </x:c>
      <x:c r="L273" t="str">
        <x:f>IF(OR(J273=0,I273=0,G273=""),"",G273/I273)</x:f>
      </x:c>
      <x:c r="M273" t="str">
        <x:f>IF(OR(J273=0,G273="",H273="",G273=0,H273=0),"",I273/(G273*H273))</x:f>
      </x:c>
      <x:c r="N273" t="str">
        <x:f>IF(K273="","",K273/_xlfn.MAXIFS($K:$K,$E:$E,E273))</x:f>
      </x:c>
      <x:c r="O273" t="str">
        <x:f>IF(M273="","",M273/_xlfn.MAXIFS($M:$M,$E:$E,E273))</x:f>
      </x:c>
      <x:c r="P273" t="str">
        <x:f>IF(OR(N273="",O273=""),"",SQRT(N273*O273))</x:f>
      </x:c>
      <x:c r="Q273" t="str">
        <x:f>IF(OR(N273="",O273=""),"",N273^0.7*O273^0.3)</x:f>
      </x:c>
      <x:c r="R273" t="str">
        <x:f>IF(OR(N273="",O273=""),"",N273^0.3*O273^0.7)</x:f>
      </x:c>
    </x:row>
    <x:row r="274">
      <x:c r="A274" t="inlineStr">
        <x:is>
          <x:t xml:space="preserve">anthropic|claude-opus-5.5|low|reasoning|fallback-true|aa-v4.3.2|snapshot-2026-09-28</x:t>
        </x:is>
      </x:c>
      <x:c r="B274" t="inlineStr">
        <x:is>
          <x:t xml:space="preserve">anthropic|claude-opus-5.5|low|reasoning|fallback-true</x:t>
        </x:is>
      </x:c>
      <x:c r="C274" t="inlineStr">
        <x:is>
          <x:t xml:space="preserve">AA|v4.3.2</x:t>
        </x:is>
      </x:c>
      <x:c r="D274" t="n">
        <x:v>36</x:v>
      </x:c>
      <x:c r="E274" t="n">
        <x:v>20</x:v>
      </x:c>
      <x:c r="F274" t="n">
        <x:f>INDEX(Run_Metrics!$F:$F,D274)</x:f>
        <x:v>42</x:v>
      </x:c>
      <x:c r="G274" t="n">
        <x:f>INDEX(Run_Metrics!$G:$G,D274)</x:f>
        <x:v>0.55</x:v>
      </x:c>
      <x:c r="H274" t="str">
        <x:f>INDEX(Run_Metrics!$I:$I,D274)</x:f>
      </x:c>
      <x:c r="I274" t="n">
        <x:f>IF(F274="","",F274-(E274-1))</x:f>
        <x:v>23</x:v>
      </x:c>
      <x:c r="J274" t="n">
        <x:f>IF(I274&gt;0,1,0)</x:f>
        <x:v>1</x:v>
      </x:c>
      <x:c r="K274" t="n">
        <x:f>IF(OR(J274=0,G274="",G274=0),"",I274/G274)</x:f>
        <x:v>41.81818181818181</x:v>
      </x:c>
      <x:c r="L274" t="n">
        <x:f>IF(OR(J274=0,I274=0,G274=""),"",G274/I274)</x:f>
        <x:v>0.02391304347826087</x:v>
      </x:c>
      <x:c r="M274" t="str">
        <x:f>IF(OR(J274=0,G274="",H274="",G274=0,H274=0),"",I274/(G274*H274))</x:f>
      </x:c>
      <x:c r="N274" t="n">
        <x:f>IF(K274="","",K274/_xlfn.MAXIFS($K:$K,$E:$E,E274))</x:f>
        <x:v>0.06272727272727271</x:v>
      </x:c>
      <x:c r="O274" t="str">
        <x:f>IF(M274="","",M274/_xlfn.MAXIFS($M:$M,$E:$E,E274))</x:f>
      </x:c>
      <x:c r="P274" t="str">
        <x:f>IF(OR(N274="",O274=""),"",SQRT(N274*O274))</x:f>
      </x:c>
      <x:c r="Q274" t="str">
        <x:f>IF(OR(N274="",O274=""),"",N274^0.7*O274^0.3)</x:f>
      </x:c>
      <x:c r="R274" t="str">
        <x:f>IF(OR(N274="",O274=""),"",N274^0.3*O274^0.7)</x:f>
      </x:c>
    </x:row>
    <x:row r="275">
      <x:c r="A275" t="inlineStr">
        <x:is>
          <x:t xml:space="preserve">anthropic|claude-opus-5.5|low|reasoning|fallback-true|aa-v4.3.2|snapshot-2026-09-28</x:t>
        </x:is>
      </x:c>
      <x:c r="B275" t="inlineStr">
        <x:is>
          <x:t xml:space="preserve">anthropic|claude-opus-5.5|low|reasoning|fallback-true</x:t>
        </x:is>
      </x:c>
      <x:c r="C275" t="inlineStr">
        <x:is>
          <x:t xml:space="preserve">AA|v4.3.2</x:t>
        </x:is>
      </x:c>
      <x:c r="D275" t="n">
        <x:v>36</x:v>
      </x:c>
      <x:c r="E275" t="n">
        <x:v>30</x:v>
      </x:c>
      <x:c r="F275" t="n">
        <x:f>INDEX(Run_Metrics!$F:$F,D275)</x:f>
        <x:v>42</x:v>
      </x:c>
      <x:c r="G275" t="n">
        <x:f>INDEX(Run_Metrics!$G:$G,D275)</x:f>
        <x:v>0.55</x:v>
      </x:c>
      <x:c r="H275" t="str">
        <x:f>INDEX(Run_Metrics!$I:$I,D275)</x:f>
      </x:c>
      <x:c r="I275" t="n">
        <x:f>IF(F275="","",F275-(E275-1))</x:f>
        <x:v>13</x:v>
      </x:c>
      <x:c r="J275" t="n">
        <x:f>IF(I275&gt;0,1,0)</x:f>
        <x:v>1</x:v>
      </x:c>
      <x:c r="K275" t="n">
        <x:f>IF(OR(J275=0,G275="",G275=0),"",I275/G275)</x:f>
        <x:v>23.636363636363633</x:v>
      </x:c>
      <x:c r="L275" t="n">
        <x:f>IF(OR(J275=0,I275=0,G275=""),"",G275/I275)</x:f>
        <x:v>0.04230769230769231</x:v>
      </x:c>
      <x:c r="M275" t="str">
        <x:f>IF(OR(J275=0,G275="",H275="",G275=0,H275=0),"",I275/(G275*H275))</x:f>
      </x:c>
      <x:c r="N275" t="n">
        <x:f>IF(K275="","",K275/_xlfn.MAXIFS($K:$K,$E:$E,E275))</x:f>
        <x:v>0.15757575757575756</x:v>
      </x:c>
      <x:c r="O275" t="str">
        <x:f>IF(M275="","",M275/_xlfn.MAXIFS($M:$M,$E:$E,E275))</x:f>
      </x:c>
      <x:c r="P275" t="str">
        <x:f>IF(OR(N275="",O275=""),"",SQRT(N275*O275))</x:f>
      </x:c>
      <x:c r="Q275" t="str">
        <x:f>IF(OR(N275="",O275=""),"",N275^0.7*O275^0.3)</x:f>
      </x:c>
      <x:c r="R275" t="str">
        <x:f>IF(OR(N275="",O275=""),"",N275^0.3*O275^0.7)</x:f>
      </x:c>
    </x:row>
    <x:row r="276">
      <x:c r="A276" t="inlineStr">
        <x:is>
          <x:t xml:space="preserve">anthropic|claude-opus-5.5|low|reasoning|fallback-true|aa-v4.3.2|snapshot-2026-09-28</x:t>
        </x:is>
      </x:c>
      <x:c r="B276" t="inlineStr">
        <x:is>
          <x:t xml:space="preserve">anthropic|claude-opus-5.5|low|reasoning|fallback-true</x:t>
        </x:is>
      </x:c>
      <x:c r="C276" t="inlineStr">
        <x:is>
          <x:t xml:space="preserve">AA|v4.3.2</x:t>
        </x:is>
      </x:c>
      <x:c r="D276" t="n">
        <x:v>36</x:v>
      </x:c>
      <x:c r="E276" t="n">
        <x:v>40</x:v>
      </x:c>
      <x:c r="F276" t="n">
        <x:f>INDEX(Run_Metrics!$F:$F,D276)</x:f>
        <x:v>42</x:v>
      </x:c>
      <x:c r="G276" t="n">
        <x:f>INDEX(Run_Metrics!$G:$G,D276)</x:f>
        <x:v>0.55</x:v>
      </x:c>
      <x:c r="H276" t="str">
        <x:f>INDEX(Run_Metrics!$I:$I,D276)</x:f>
      </x:c>
      <x:c r="I276" t="n">
        <x:f>IF(F276="","",F276-(E276-1))</x:f>
        <x:v>3</x:v>
      </x:c>
      <x:c r="J276" t="n">
        <x:f>IF(I276&gt;0,1,0)</x:f>
        <x:v>1</x:v>
      </x:c>
      <x:c r="K276" t="n">
        <x:f>IF(OR(J276=0,G276="",G276=0),"",I276/G276)</x:f>
        <x:v>5.454545454545454</x:v>
      </x:c>
      <x:c r="L276" t="n">
        <x:f>IF(OR(J276=0,I276=0,G276=""),"",G276/I276)</x:f>
        <x:v>0.18333333333333335</x:v>
      </x:c>
      <x:c r="M276" t="str">
        <x:f>IF(OR(J276=0,G276="",H276="",G276=0,H276=0),"",I276/(G276*H276))</x:f>
      </x:c>
      <x:c r="N276" t="n">
        <x:f>IF(K276="","",K276/_xlfn.MAXIFS($K:$K,$E:$E,E276))</x:f>
        <x:v>0.10129870129870129</x:v>
      </x:c>
      <x:c r="O276" t="str">
        <x:f>IF(M276="","",M276/_xlfn.MAXIFS($M:$M,$E:$E,E276))</x:f>
      </x:c>
      <x:c r="P276" t="str">
        <x:f>IF(OR(N276="",O276=""),"",SQRT(N276*O276))</x:f>
      </x:c>
      <x:c r="Q276" t="str">
        <x:f>IF(OR(N276="",O276=""),"",N276^0.7*O276^0.3)</x:f>
      </x:c>
      <x:c r="R276" t="str">
        <x:f>IF(OR(N276="",O276=""),"",N276^0.3*O276^0.7)</x:f>
      </x:c>
    </x:row>
    <x:row r="277">
      <x:c r="A277" t="inlineStr">
        <x:is>
          <x:t xml:space="preserve">anthropic|claude-opus-5.5|low|reasoning|fallback-true|aa-v4.3.2|snapshot-2026-09-28</x:t>
        </x:is>
      </x:c>
      <x:c r="B277" t="inlineStr">
        <x:is>
          <x:t xml:space="preserve">anthropic|claude-opus-5.5|low|reasoning|fallback-true</x:t>
        </x:is>
      </x:c>
      <x:c r="C277" t="inlineStr">
        <x:is>
          <x:t xml:space="preserve">AA|v4.3.2</x:t>
        </x:is>
      </x:c>
      <x:c r="D277" t="n">
        <x:v>36</x:v>
      </x:c>
      <x:c r="E277" t="n">
        <x:v>45</x:v>
      </x:c>
      <x:c r="F277" t="n">
        <x:f>INDEX(Run_Metrics!$F:$F,D277)</x:f>
        <x:v>42</x:v>
      </x:c>
      <x:c r="G277" t="n">
        <x:f>INDEX(Run_Metrics!$G:$G,D277)</x:f>
        <x:v>0.55</x:v>
      </x:c>
      <x:c r="H277" t="str">
        <x:f>INDEX(Run_Metrics!$I:$I,D277)</x:f>
      </x:c>
      <x:c r="I277" t="n">
        <x:f>IF(F277="","",F277-(E277-1))</x:f>
        <x:v>-2</x:v>
      </x:c>
      <x:c r="J277" t="n">
        <x:f>IF(I277&gt;0,1,0)</x:f>
        <x:v>0</x:v>
      </x:c>
      <x:c r="K277" t="str">
        <x:f>IF(OR(J277=0,G277="",G277=0),"",I277/G277)</x:f>
      </x:c>
      <x:c r="L277" t="str">
        <x:f>IF(OR(J277=0,I277=0,G277=""),"",G277/I277)</x:f>
      </x:c>
      <x:c r="M277" t="str">
        <x:f>IF(OR(J277=0,G277="",H277="",G277=0,H277=0),"",I277/(G277*H277))</x:f>
      </x:c>
      <x:c r="N277" t="str">
        <x:f>IF(K277="","",K277/_xlfn.MAXIFS($K:$K,$E:$E,E277))</x:f>
      </x:c>
      <x:c r="O277" t="str">
        <x:f>IF(M277="","",M277/_xlfn.MAXIFS($M:$M,$E:$E,E277))</x:f>
      </x:c>
      <x:c r="P277" t="str">
        <x:f>IF(OR(N277="",O277=""),"",SQRT(N277*O277))</x:f>
      </x:c>
      <x:c r="Q277" t="str">
        <x:f>IF(OR(N277="",O277=""),"",N277^0.7*O277^0.3)</x:f>
      </x:c>
      <x:c r="R277" t="str">
        <x:f>IF(OR(N277="",O277=""),"",N277^0.3*O277^0.7)</x:f>
      </x:c>
    </x:row>
    <x:row r="278">
      <x:c r="A278" t="inlineStr">
        <x:is>
          <x:t xml:space="preserve">anthropic|claude-opus-5.5|low|reasoning|fallback-true|aa-v4.3.2|snapshot-2026-09-28</x:t>
        </x:is>
      </x:c>
      <x:c r="B278" t="inlineStr">
        <x:is>
          <x:t xml:space="preserve">anthropic|claude-opus-5.5|low|reasoning|fallback-true</x:t>
        </x:is>
      </x:c>
      <x:c r="C278" t="inlineStr">
        <x:is>
          <x:t xml:space="preserve">AA|v4.3.2</x:t>
        </x:is>
      </x:c>
      <x:c r="D278" t="n">
        <x:v>36</x:v>
      </x:c>
      <x:c r="E278" t="n">
        <x:v>50</x:v>
      </x:c>
      <x:c r="F278" t="n">
        <x:f>INDEX(Run_Metrics!$F:$F,D278)</x:f>
        <x:v>42</x:v>
      </x:c>
      <x:c r="G278" t="n">
        <x:f>INDEX(Run_Metrics!$G:$G,D278)</x:f>
        <x:v>0.55</x:v>
      </x:c>
      <x:c r="H278" t="str">
        <x:f>INDEX(Run_Metrics!$I:$I,D278)</x:f>
      </x:c>
      <x:c r="I278" t="n">
        <x:f>IF(F278="","",F278-(E278-1))</x:f>
        <x:v>-7</x:v>
      </x:c>
      <x:c r="J278" t="n">
        <x:f>IF(I278&gt;0,1,0)</x:f>
        <x:v>0</x:v>
      </x:c>
      <x:c r="K278" t="str">
        <x:f>IF(OR(J278=0,G278="",G278=0),"",I278/G278)</x:f>
      </x:c>
      <x:c r="L278" t="str">
        <x:f>IF(OR(J278=0,I278=0,G278=""),"",G278/I278)</x:f>
      </x:c>
      <x:c r="M278" t="str">
        <x:f>IF(OR(J278=0,G278="",H278="",G278=0,H278=0),"",I278/(G278*H278))</x:f>
      </x:c>
      <x:c r="N278" t="str">
        <x:f>IF(K278="","",K278/_xlfn.MAXIFS($K:$K,$E:$E,E278))</x:f>
      </x:c>
      <x:c r="O278" t="str">
        <x:f>IF(M278="","",M278/_xlfn.MAXIFS($M:$M,$E:$E,E278))</x:f>
      </x:c>
      <x:c r="P278" t="str">
        <x:f>IF(OR(N278="",O278=""),"",SQRT(N278*O278))</x:f>
      </x:c>
      <x:c r="Q278" t="str">
        <x:f>IF(OR(N278="",O278=""),"",N278^0.7*O278^0.3)</x:f>
      </x:c>
      <x:c r="R278" t="str">
        <x:f>IF(OR(N278="",O278=""),"",N278^0.3*O278^0.7)</x:f>
      </x:c>
    </x:row>
    <x:row r="279">
      <x:c r="A279" t="inlineStr">
        <x:is>
          <x:t xml:space="preserve">anthropic|claude-opus-5.5|low|reasoning|fallback-true|aa-v4.3.2|snapshot-2026-09-28</x:t>
        </x:is>
      </x:c>
      <x:c r="B279" t="inlineStr">
        <x:is>
          <x:t xml:space="preserve">anthropic|claude-opus-5.5|low|reasoning|fallback-true</x:t>
        </x:is>
      </x:c>
      <x:c r="C279" t="inlineStr">
        <x:is>
          <x:t xml:space="preserve">AA|v4.3.2</x:t>
        </x:is>
      </x:c>
      <x:c r="D279" t="n">
        <x:v>36</x:v>
      </x:c>
      <x:c r="E279" t="n">
        <x:v>52</x:v>
      </x:c>
      <x:c r="F279" t="n">
        <x:f>INDEX(Run_Metrics!$F:$F,D279)</x:f>
        <x:v>42</x:v>
      </x:c>
      <x:c r="G279" t="n">
        <x:f>INDEX(Run_Metrics!$G:$G,D279)</x:f>
        <x:v>0.55</x:v>
      </x:c>
      <x:c r="H279" t="str">
        <x:f>INDEX(Run_Metrics!$I:$I,D279)</x:f>
      </x:c>
      <x:c r="I279" t="n">
        <x:f>IF(F279="","",F279-(E279-1))</x:f>
        <x:v>-9</x:v>
      </x:c>
      <x:c r="J279" t="n">
        <x:f>IF(I279&gt;0,1,0)</x:f>
        <x:v>0</x:v>
      </x:c>
      <x:c r="K279" t="str">
        <x:f>IF(OR(J279=0,G279="",G279=0),"",I279/G279)</x:f>
      </x:c>
      <x:c r="L279" t="str">
        <x:f>IF(OR(J279=0,I279=0,G279=""),"",G279/I279)</x:f>
      </x:c>
      <x:c r="M279" t="str">
        <x:f>IF(OR(J279=0,G279="",H279="",G279=0,H279=0),"",I279/(G279*H279))</x:f>
      </x:c>
      <x:c r="N279" t="str">
        <x:f>IF(K279="","",K279/_xlfn.MAXIFS($K:$K,$E:$E,E279))</x:f>
      </x:c>
      <x:c r="O279" t="str">
        <x:f>IF(M279="","",M279/_xlfn.MAXIFS($M:$M,$E:$E,E279))</x:f>
      </x:c>
      <x:c r="P279" t="str">
        <x:f>IF(OR(N279="",O279=""),"",SQRT(N279*O279))</x:f>
      </x:c>
      <x:c r="Q279" t="str">
        <x:f>IF(OR(N279="",O279=""),"",N279^0.7*O279^0.3)</x:f>
      </x:c>
      <x:c r="R279" t="str">
        <x:f>IF(OR(N279="",O279=""),"",N279^0.3*O279^0.7)</x:f>
      </x:c>
    </x:row>
    <x:row r="280">
      <x:c r="A280" t="inlineStr">
        <x:is>
          <x:t xml:space="preserve">anthropic|claude-opus-5.5|low|reasoning|fallback-true|aa-v4.3.2|snapshot-2026-09-28</x:t>
        </x:is>
      </x:c>
      <x:c r="B280" t="inlineStr">
        <x:is>
          <x:t xml:space="preserve">anthropic|claude-opus-5.5|low|reasoning|fallback-true</x:t>
        </x:is>
      </x:c>
      <x:c r="C280" t="inlineStr">
        <x:is>
          <x:t xml:space="preserve">AA|v4.3.2</x:t>
        </x:is>
      </x:c>
      <x:c r="D280" t="n">
        <x:v>36</x:v>
      </x:c>
      <x:c r="E280" t="n">
        <x:v>65</x:v>
      </x:c>
      <x:c r="F280" t="n">
        <x:f>INDEX(Run_Metrics!$F:$F,D280)</x:f>
        <x:v>42</x:v>
      </x:c>
      <x:c r="G280" t="n">
        <x:f>INDEX(Run_Metrics!$G:$G,D280)</x:f>
        <x:v>0.55</x:v>
      </x:c>
      <x:c r="H280" t="str">
        <x:f>INDEX(Run_Metrics!$I:$I,D280)</x:f>
      </x:c>
      <x:c r="I280" t="n">
        <x:f>IF(F280="","",F280-(E280-1))</x:f>
        <x:v>-22</x:v>
      </x:c>
      <x:c r="J280" t="n">
        <x:f>IF(I280&gt;0,1,0)</x:f>
        <x:v>0</x:v>
      </x:c>
      <x:c r="K280" t="str">
        <x:f>IF(OR(J280=0,G280="",G280=0),"",I280/G280)</x:f>
      </x:c>
      <x:c r="L280" t="str">
        <x:f>IF(OR(J280=0,I280=0,G280=""),"",G280/I280)</x:f>
      </x:c>
      <x:c r="M280" t="str">
        <x:f>IF(OR(J280=0,G280="",H280="",G280=0,H280=0),"",I280/(G280*H280))</x:f>
      </x:c>
      <x:c r="N280" t="str">
        <x:f>IF(K280="","",K280/_xlfn.MAXIFS($K:$K,$E:$E,E280))</x:f>
      </x:c>
      <x:c r="O280" t="str">
        <x:f>IF(M280="","",M280/_xlfn.MAXIFS($M:$M,$E:$E,E280))</x:f>
      </x:c>
      <x:c r="P280" t="str">
        <x:f>IF(OR(N280="",O280=""),"",SQRT(N280*O280))</x:f>
      </x:c>
      <x:c r="Q280" t="str">
        <x:f>IF(OR(N280="",O280=""),"",N280^0.7*O280^0.3)</x:f>
      </x:c>
      <x:c r="R280" t="str">
        <x:f>IF(OR(N280="",O280=""),"",N280^0.3*O280^0.7)</x:f>
      </x:c>
    </x:row>
    <x:row r="281">
      <x:c r="A281" t="inlineStr">
        <x:is>
          <x:t xml:space="preserve">anthropic|claude-opus-5.5|low|reasoning|fallback-true|aa-v4.3.2|snapshot-2026-09-28</x:t>
        </x:is>
      </x:c>
      <x:c r="B281" t="inlineStr">
        <x:is>
          <x:t xml:space="preserve">anthropic|claude-opus-5.5|low|reasoning|fallback-true</x:t>
        </x:is>
      </x:c>
      <x:c r="C281" t="inlineStr">
        <x:is>
          <x:t xml:space="preserve">AA|v4.3.2</x:t>
        </x:is>
      </x:c>
      <x:c r="D281" t="n">
        <x:v>36</x:v>
      </x:c>
      <x:c r="E281" t="n">
        <x:v>80</x:v>
      </x:c>
      <x:c r="F281" t="n">
        <x:f>INDEX(Run_Metrics!$F:$F,D281)</x:f>
        <x:v>42</x:v>
      </x:c>
      <x:c r="G281" t="n">
        <x:f>INDEX(Run_Metrics!$G:$G,D281)</x:f>
        <x:v>0.55</x:v>
      </x:c>
      <x:c r="H281" t="str">
        <x:f>INDEX(Run_Metrics!$I:$I,D281)</x:f>
      </x:c>
      <x:c r="I281" t="n">
        <x:f>IF(F281="","",F281-(E281-1))</x:f>
        <x:v>-37</x:v>
      </x:c>
      <x:c r="J281" t="n">
        <x:f>IF(I281&gt;0,1,0)</x:f>
        <x:v>0</x:v>
      </x:c>
      <x:c r="K281" t="str">
        <x:f>IF(OR(J281=0,G281="",G281=0),"",I281/G281)</x:f>
      </x:c>
      <x:c r="L281" t="str">
        <x:f>IF(OR(J281=0,I281=0,G281=""),"",G281/I281)</x:f>
      </x:c>
      <x:c r="M281" t="str">
        <x:f>IF(OR(J281=0,G281="",H281="",G281=0,H281=0),"",I281/(G281*H281))</x:f>
      </x:c>
      <x:c r="N281" t="str">
        <x:f>IF(K281="","",K281/_xlfn.MAXIFS($K:$K,$E:$E,E281))</x:f>
      </x:c>
      <x:c r="O281" t="str">
        <x:f>IF(M281="","",M281/_xlfn.MAXIFS($M:$M,$E:$E,E281))</x:f>
      </x:c>
      <x:c r="P281" t="str">
        <x:f>IF(OR(N281="",O281=""),"",SQRT(N281*O281))</x:f>
      </x:c>
      <x:c r="Q281" t="str">
        <x:f>IF(OR(N281="",O281=""),"",N281^0.7*O281^0.3)</x:f>
      </x:c>
      <x:c r="R281" t="str">
        <x:f>IF(OR(N281="",O281=""),"",N281^0.3*O281^0.7)</x:f>
      </x:c>
    </x:row>
    <x:row r="282">
      <x:c r="A282" t="inlineStr">
        <x:is>
          <x:t xml:space="preserve">anthropic|claude-opus-5.5|medium|reasoning|fallback-true|aa-v4.3.2|snapshot-2026-09-28</x:t>
        </x:is>
      </x:c>
      <x:c r="B282" t="inlineStr">
        <x:is>
          <x:t xml:space="preserve">anthropic|claude-opus-5.5|medium|reasoning|fallback-true</x:t>
        </x:is>
      </x:c>
      <x:c r="C282" t="inlineStr">
        <x:is>
          <x:t xml:space="preserve">AA|v4.3.2</x:t>
        </x:is>
      </x:c>
      <x:c r="D282" t="n">
        <x:v>37</x:v>
      </x:c>
      <x:c r="E282" t="n">
        <x:v>20</x:v>
      </x:c>
      <x:c r="F282" t="n">
        <x:f>INDEX(Run_Metrics!$F:$F,D282)</x:f>
        <x:v>51</x:v>
      </x:c>
      <x:c r="G282" t="n">
        <x:f>INDEX(Run_Metrics!$G:$G,D282)</x:f>
        <x:v>1.34</x:v>
      </x:c>
      <x:c r="H282" t="str">
        <x:f>INDEX(Run_Metrics!$I:$I,D282)</x:f>
      </x:c>
      <x:c r="I282" t="n">
        <x:f>IF(F282="","",F282-(E282-1))</x:f>
        <x:v>32</x:v>
      </x:c>
      <x:c r="J282" t="n">
        <x:f>IF(I282&gt;0,1,0)</x:f>
        <x:v>1</x:v>
      </x:c>
      <x:c r="K282" t="n">
        <x:f>IF(OR(J282=0,G282="",G282=0),"",I282/G282)</x:f>
        <x:v>23.88059701492537</x:v>
      </x:c>
      <x:c r="L282" t="n">
        <x:f>IF(OR(J282=0,I282=0,G282=""),"",G282/I282)</x:f>
        <x:v>0.041875</x:v>
      </x:c>
      <x:c r="M282" t="str">
        <x:f>IF(OR(J282=0,G282="",H282="",G282=0,H282=0),"",I282/(G282*H282))</x:f>
      </x:c>
      <x:c r="N282" t="n">
        <x:f>IF(K282="","",K282/_xlfn.MAXIFS($K:$K,$E:$E,E282))</x:f>
        <x:v>0.035820895522388055</x:v>
      </x:c>
      <x:c r="O282" t="str">
        <x:f>IF(M282="","",M282/_xlfn.MAXIFS($M:$M,$E:$E,E282))</x:f>
      </x:c>
      <x:c r="P282" t="str">
        <x:f>IF(OR(N282="",O282=""),"",SQRT(N282*O282))</x:f>
      </x:c>
      <x:c r="Q282" t="str">
        <x:f>IF(OR(N282="",O282=""),"",N282^0.7*O282^0.3)</x:f>
      </x:c>
      <x:c r="R282" t="str">
        <x:f>IF(OR(N282="",O282=""),"",N282^0.3*O282^0.7)</x:f>
      </x:c>
    </x:row>
    <x:row r="283">
      <x:c r="A283" t="inlineStr">
        <x:is>
          <x:t xml:space="preserve">anthropic|claude-opus-5.5|medium|reasoning|fallback-true|aa-v4.3.2|snapshot-2026-09-28</x:t>
        </x:is>
      </x:c>
      <x:c r="B283" t="inlineStr">
        <x:is>
          <x:t xml:space="preserve">anthropic|claude-opus-5.5|medium|reasoning|fallback-true</x:t>
        </x:is>
      </x:c>
      <x:c r="C283" t="inlineStr">
        <x:is>
          <x:t xml:space="preserve">AA|v4.3.2</x:t>
        </x:is>
      </x:c>
      <x:c r="D283" t="n">
        <x:v>37</x:v>
      </x:c>
      <x:c r="E283" t="n">
        <x:v>30</x:v>
      </x:c>
      <x:c r="F283" t="n">
        <x:f>INDEX(Run_Metrics!$F:$F,D283)</x:f>
        <x:v>51</x:v>
      </x:c>
      <x:c r="G283" t="n">
        <x:f>INDEX(Run_Metrics!$G:$G,D283)</x:f>
        <x:v>1.34</x:v>
      </x:c>
      <x:c r="H283" t="str">
        <x:f>INDEX(Run_Metrics!$I:$I,D283)</x:f>
      </x:c>
      <x:c r="I283" t="n">
        <x:f>IF(F283="","",F283-(E283-1))</x:f>
        <x:v>22</x:v>
      </x:c>
      <x:c r="J283" t="n">
        <x:f>IF(I283&gt;0,1,0)</x:f>
        <x:v>1</x:v>
      </x:c>
      <x:c r="K283" t="n">
        <x:f>IF(OR(J283=0,G283="",G283=0),"",I283/G283)</x:f>
        <x:v>16.417910447761194</x:v>
      </x:c>
      <x:c r="L283" t="n">
        <x:f>IF(OR(J283=0,I283=0,G283=""),"",G283/I283)</x:f>
        <x:v>0.06090909090909091</x:v>
      </x:c>
      <x:c r="M283" t="str">
        <x:f>IF(OR(J283=0,G283="",H283="",G283=0,H283=0),"",I283/(G283*H283))</x:f>
      </x:c>
      <x:c r="N283" t="n">
        <x:f>IF(K283="","",K283/_xlfn.MAXIFS($K:$K,$E:$E,E283))</x:f>
        <x:v>0.10945273631840796</x:v>
      </x:c>
      <x:c r="O283" t="str">
        <x:f>IF(M283="","",M283/_xlfn.MAXIFS($M:$M,$E:$E,E283))</x:f>
      </x:c>
      <x:c r="P283" t="str">
        <x:f>IF(OR(N283="",O283=""),"",SQRT(N283*O283))</x:f>
      </x:c>
      <x:c r="Q283" t="str">
        <x:f>IF(OR(N283="",O283=""),"",N283^0.7*O283^0.3)</x:f>
      </x:c>
      <x:c r="R283" t="str">
        <x:f>IF(OR(N283="",O283=""),"",N283^0.3*O283^0.7)</x:f>
      </x:c>
    </x:row>
    <x:row r="284">
      <x:c r="A284" t="inlineStr">
        <x:is>
          <x:t xml:space="preserve">anthropic|claude-opus-5.5|medium|reasoning|fallback-true|aa-v4.3.2|snapshot-2026-09-28</x:t>
        </x:is>
      </x:c>
      <x:c r="B284" t="inlineStr">
        <x:is>
          <x:t xml:space="preserve">anthropic|claude-opus-5.5|medium|reasoning|fallback-true</x:t>
        </x:is>
      </x:c>
      <x:c r="C284" t="inlineStr">
        <x:is>
          <x:t xml:space="preserve">AA|v4.3.2</x:t>
        </x:is>
      </x:c>
      <x:c r="D284" t="n">
        <x:v>37</x:v>
      </x:c>
      <x:c r="E284" t="n">
        <x:v>40</x:v>
      </x:c>
      <x:c r="F284" t="n">
        <x:f>INDEX(Run_Metrics!$F:$F,D284)</x:f>
        <x:v>51</x:v>
      </x:c>
      <x:c r="G284" t="n">
        <x:f>INDEX(Run_Metrics!$G:$G,D284)</x:f>
        <x:v>1.34</x:v>
      </x:c>
      <x:c r="H284" t="str">
        <x:f>INDEX(Run_Metrics!$I:$I,D284)</x:f>
      </x:c>
      <x:c r="I284" t="n">
        <x:f>IF(F284="","",F284-(E284-1))</x:f>
        <x:v>12</x:v>
      </x:c>
      <x:c r="J284" t="n">
        <x:f>IF(I284&gt;0,1,0)</x:f>
        <x:v>1</x:v>
      </x:c>
      <x:c r="K284" t="n">
        <x:f>IF(OR(J284=0,G284="",G284=0),"",I284/G284)</x:f>
        <x:v>8.955223880597014</x:v>
      </x:c>
      <x:c r="L284" t="n">
        <x:f>IF(OR(J284=0,I284=0,G284=""),"",G284/I284)</x:f>
        <x:v>0.11166666666666668</x:v>
      </x:c>
      <x:c r="M284" t="str">
        <x:f>IF(OR(J284=0,G284="",H284="",G284=0,H284=0),"",I284/(G284*H284))</x:f>
      </x:c>
      <x:c r="N284" t="n">
        <x:f>IF(K284="","",K284/_xlfn.MAXIFS($K:$K,$E:$E,E284))</x:f>
        <x:v>0.16631130063965882</x:v>
      </x:c>
      <x:c r="O284" t="str">
        <x:f>IF(M284="","",M284/_xlfn.MAXIFS($M:$M,$E:$E,E284))</x:f>
      </x:c>
      <x:c r="P284" t="str">
        <x:f>IF(OR(N284="",O284=""),"",SQRT(N284*O284))</x:f>
      </x:c>
      <x:c r="Q284" t="str">
        <x:f>IF(OR(N284="",O284=""),"",N284^0.7*O284^0.3)</x:f>
      </x:c>
      <x:c r="R284" t="str">
        <x:f>IF(OR(N284="",O284=""),"",N284^0.3*O284^0.7)</x:f>
      </x:c>
    </x:row>
    <x:row r="285">
      <x:c r="A285" t="inlineStr">
        <x:is>
          <x:t xml:space="preserve">anthropic|claude-opus-5.5|medium|reasoning|fallback-true|aa-v4.3.2|snapshot-2026-09-28</x:t>
        </x:is>
      </x:c>
      <x:c r="B285" t="inlineStr">
        <x:is>
          <x:t xml:space="preserve">anthropic|claude-opus-5.5|medium|reasoning|fallback-true</x:t>
        </x:is>
      </x:c>
      <x:c r="C285" t="inlineStr">
        <x:is>
          <x:t xml:space="preserve">AA|v4.3.2</x:t>
        </x:is>
      </x:c>
      <x:c r="D285" t="n">
        <x:v>37</x:v>
      </x:c>
      <x:c r="E285" t="n">
        <x:v>45</x:v>
      </x:c>
      <x:c r="F285" t="n">
        <x:f>INDEX(Run_Metrics!$F:$F,D285)</x:f>
        <x:v>51</x:v>
      </x:c>
      <x:c r="G285" t="n">
        <x:f>INDEX(Run_Metrics!$G:$G,D285)</x:f>
        <x:v>1.34</x:v>
      </x:c>
      <x:c r="H285" t="str">
        <x:f>INDEX(Run_Metrics!$I:$I,D285)</x:f>
      </x:c>
      <x:c r="I285" t="n">
        <x:f>IF(F285="","",F285-(E285-1))</x:f>
        <x:v>7</x:v>
      </x:c>
      <x:c r="J285" t="n">
        <x:f>IF(I285&gt;0,1,0)</x:f>
        <x:v>1</x:v>
      </x:c>
      <x:c r="K285" t="n">
        <x:f>IF(OR(J285=0,G285="",G285=0),"",I285/G285)</x:f>
        <x:v>5.223880597014925</x:v>
      </x:c>
      <x:c r="L285" t="n">
        <x:f>IF(OR(J285=0,I285=0,G285=""),"",G285/I285)</x:f>
        <x:v>0.19142857142857145</x:v>
      </x:c>
      <x:c r="M285" t="str">
        <x:f>IF(OR(J285=0,G285="",H285="",G285=0,H285=0),"",I285/(G285*H285))</x:f>
      </x:c>
      <x:c r="N285" t="n">
        <x:f>IF(K285="","",K285/_xlfn.MAXIFS($K:$K,$E:$E,E285))</x:f>
        <x:v>0.27425373134328357</x:v>
      </x:c>
      <x:c r="O285" t="str">
        <x:f>IF(M285="","",M285/_xlfn.MAXIFS($M:$M,$E:$E,E285))</x:f>
      </x:c>
      <x:c r="P285" t="str">
        <x:f>IF(OR(N285="",O285=""),"",SQRT(N285*O285))</x:f>
      </x:c>
      <x:c r="Q285" t="str">
        <x:f>IF(OR(N285="",O285=""),"",N285^0.7*O285^0.3)</x:f>
      </x:c>
      <x:c r="R285" t="str">
        <x:f>IF(OR(N285="",O285=""),"",N285^0.3*O285^0.7)</x:f>
      </x:c>
    </x:row>
    <x:row r="286">
      <x:c r="A286" t="inlineStr">
        <x:is>
          <x:t xml:space="preserve">anthropic|claude-opus-5.5|medium|reasoning|fallback-true|aa-v4.3.2|snapshot-2026-09-28</x:t>
        </x:is>
      </x:c>
      <x:c r="B286" t="inlineStr">
        <x:is>
          <x:t xml:space="preserve">anthropic|claude-opus-5.5|medium|reasoning|fallback-true</x:t>
        </x:is>
      </x:c>
      <x:c r="C286" t="inlineStr">
        <x:is>
          <x:t xml:space="preserve">AA|v4.3.2</x:t>
        </x:is>
      </x:c>
      <x:c r="D286" t="n">
        <x:v>37</x:v>
      </x:c>
      <x:c r="E286" t="n">
        <x:v>50</x:v>
      </x:c>
      <x:c r="F286" t="n">
        <x:f>INDEX(Run_Metrics!$F:$F,D286)</x:f>
        <x:v>51</x:v>
      </x:c>
      <x:c r="G286" t="n">
        <x:f>INDEX(Run_Metrics!$G:$G,D286)</x:f>
        <x:v>1.34</x:v>
      </x:c>
      <x:c r="H286" t="str">
        <x:f>INDEX(Run_Metrics!$I:$I,D286)</x:f>
      </x:c>
      <x:c r="I286" t="n">
        <x:f>IF(F286="","",F286-(E286-1))</x:f>
        <x:v>2</x:v>
      </x:c>
      <x:c r="J286" t="n">
        <x:f>IF(I286&gt;0,1,0)</x:f>
        <x:v>1</x:v>
      </x:c>
      <x:c r="K286" t="n">
        <x:f>IF(OR(J286=0,G286="",G286=0),"",I286/G286)</x:f>
        <x:v>1.4925373134328357</x:v>
      </x:c>
      <x:c r="L286" t="n">
        <x:f>IF(OR(J286=0,I286=0,G286=""),"",G286/I286)</x:f>
        <x:v>0.67</x:v>
      </x:c>
      <x:c r="M286" t="str">
        <x:f>IF(OR(J286=0,G286="",H286="",G286=0,H286=0),"",I286/(G286*H286))</x:f>
      </x:c>
      <x:c r="N286" t="n">
        <x:f>IF(K286="","",K286/_xlfn.MAXIFS($K:$K,$E:$E,E286))</x:f>
        <x:v>0.291044776119403</x:v>
      </x:c>
      <x:c r="O286" t="str">
        <x:f>IF(M286="","",M286/_xlfn.MAXIFS($M:$M,$E:$E,E286))</x:f>
      </x:c>
      <x:c r="P286" t="str">
        <x:f>IF(OR(N286="",O286=""),"",SQRT(N286*O286))</x:f>
      </x:c>
      <x:c r="Q286" t="str">
        <x:f>IF(OR(N286="",O286=""),"",N286^0.7*O286^0.3)</x:f>
      </x:c>
      <x:c r="R286" t="str">
        <x:f>IF(OR(N286="",O286=""),"",N286^0.3*O286^0.7)</x:f>
      </x:c>
    </x:row>
    <x:row r="287">
      <x:c r="A287" t="inlineStr">
        <x:is>
          <x:t xml:space="preserve">anthropic|claude-opus-5.5|medium|reasoning|fallback-true|aa-v4.3.2|snapshot-2026-09-28</x:t>
        </x:is>
      </x:c>
      <x:c r="B287" t="inlineStr">
        <x:is>
          <x:t xml:space="preserve">anthropic|claude-opus-5.5|medium|reasoning|fallback-true</x:t>
        </x:is>
      </x:c>
      <x:c r="C287" t="inlineStr">
        <x:is>
          <x:t xml:space="preserve">AA|v4.3.2</x:t>
        </x:is>
      </x:c>
      <x:c r="D287" t="n">
        <x:v>37</x:v>
      </x:c>
      <x:c r="E287" t="n">
        <x:v>52</x:v>
      </x:c>
      <x:c r="F287" t="n">
        <x:f>INDEX(Run_Metrics!$F:$F,D287)</x:f>
        <x:v>51</x:v>
      </x:c>
      <x:c r="G287" t="n">
        <x:f>INDEX(Run_Metrics!$G:$G,D287)</x:f>
        <x:v>1.34</x:v>
      </x:c>
      <x:c r="H287" t="str">
        <x:f>INDEX(Run_Metrics!$I:$I,D287)</x:f>
      </x:c>
      <x:c r="I287" t="n">
        <x:f>IF(F287="","",F287-(E287-1))</x:f>
        <x:v>0</x:v>
      </x:c>
      <x:c r="J287" t="n">
        <x:f>IF(I287&gt;0,1,0)</x:f>
        <x:v>0</x:v>
      </x:c>
      <x:c r="K287" t="str">
        <x:f>IF(OR(J287=0,G287="",G287=0),"",I287/G287)</x:f>
      </x:c>
      <x:c r="L287" t="str">
        <x:f>IF(OR(J287=0,I287=0,G287=""),"",G287/I287)</x:f>
      </x:c>
      <x:c r="M287" t="str">
        <x:f>IF(OR(J287=0,G287="",H287="",G287=0,H287=0),"",I287/(G287*H287))</x:f>
      </x:c>
      <x:c r="N287" t="str">
        <x:f>IF(K287="","",K287/_xlfn.MAXIFS($K:$K,$E:$E,E287))</x:f>
      </x:c>
      <x:c r="O287" t="str">
        <x:f>IF(M287="","",M287/_xlfn.MAXIFS($M:$M,$E:$E,E287))</x:f>
      </x:c>
      <x:c r="P287" t="str">
        <x:f>IF(OR(N287="",O287=""),"",SQRT(N287*O287))</x:f>
      </x:c>
      <x:c r="Q287" t="str">
        <x:f>IF(OR(N287="",O287=""),"",N287^0.7*O287^0.3)</x:f>
      </x:c>
      <x:c r="R287" t="str">
        <x:f>IF(OR(N287="",O287=""),"",N287^0.3*O287^0.7)</x:f>
      </x:c>
    </x:row>
    <x:row r="288">
      <x:c r="A288" t="inlineStr">
        <x:is>
          <x:t xml:space="preserve">anthropic|claude-opus-5.5|medium|reasoning|fallback-true|aa-v4.3.2|snapshot-2026-09-28</x:t>
        </x:is>
      </x:c>
      <x:c r="B288" t="inlineStr">
        <x:is>
          <x:t xml:space="preserve">anthropic|claude-opus-5.5|medium|reasoning|fallback-true</x:t>
        </x:is>
      </x:c>
      <x:c r="C288" t="inlineStr">
        <x:is>
          <x:t xml:space="preserve">AA|v4.3.2</x:t>
        </x:is>
      </x:c>
      <x:c r="D288" t="n">
        <x:v>37</x:v>
      </x:c>
      <x:c r="E288" t="n">
        <x:v>65</x:v>
      </x:c>
      <x:c r="F288" t="n">
        <x:f>INDEX(Run_Metrics!$F:$F,D288)</x:f>
        <x:v>51</x:v>
      </x:c>
      <x:c r="G288" t="n">
        <x:f>INDEX(Run_Metrics!$G:$G,D288)</x:f>
        <x:v>1.34</x:v>
      </x:c>
      <x:c r="H288" t="str">
        <x:f>INDEX(Run_Metrics!$I:$I,D288)</x:f>
      </x:c>
      <x:c r="I288" t="n">
        <x:f>IF(F288="","",F288-(E288-1))</x:f>
        <x:v>-13</x:v>
      </x:c>
      <x:c r="J288" t="n">
        <x:f>IF(I288&gt;0,1,0)</x:f>
        <x:v>0</x:v>
      </x:c>
      <x:c r="K288" t="str">
        <x:f>IF(OR(J288=0,G288="",G288=0),"",I288/G288)</x:f>
      </x:c>
      <x:c r="L288" t="str">
        <x:f>IF(OR(J288=0,I288=0,G288=""),"",G288/I288)</x:f>
      </x:c>
      <x:c r="M288" t="str">
        <x:f>IF(OR(J288=0,G288="",H288="",G288=0,H288=0),"",I288/(G288*H288))</x:f>
      </x:c>
      <x:c r="N288" t="str">
        <x:f>IF(K288="","",K288/_xlfn.MAXIFS($K:$K,$E:$E,E288))</x:f>
      </x:c>
      <x:c r="O288" t="str">
        <x:f>IF(M288="","",M288/_xlfn.MAXIFS($M:$M,$E:$E,E288))</x:f>
      </x:c>
      <x:c r="P288" t="str">
        <x:f>IF(OR(N288="",O288=""),"",SQRT(N288*O288))</x:f>
      </x:c>
      <x:c r="Q288" t="str">
        <x:f>IF(OR(N288="",O288=""),"",N288^0.7*O288^0.3)</x:f>
      </x:c>
      <x:c r="R288" t="str">
        <x:f>IF(OR(N288="",O288=""),"",N288^0.3*O288^0.7)</x:f>
      </x:c>
    </x:row>
    <x:row r="289">
      <x:c r="A289" t="inlineStr">
        <x:is>
          <x:t xml:space="preserve">anthropic|claude-opus-5.5|medium|reasoning|fallback-true|aa-v4.3.2|snapshot-2026-09-28</x:t>
        </x:is>
      </x:c>
      <x:c r="B289" t="inlineStr">
        <x:is>
          <x:t xml:space="preserve">anthropic|claude-opus-5.5|medium|reasoning|fallback-true</x:t>
        </x:is>
      </x:c>
      <x:c r="C289" t="inlineStr">
        <x:is>
          <x:t xml:space="preserve">AA|v4.3.2</x:t>
        </x:is>
      </x:c>
      <x:c r="D289" t="n">
        <x:v>37</x:v>
      </x:c>
      <x:c r="E289" t="n">
        <x:v>80</x:v>
      </x:c>
      <x:c r="F289" t="n">
        <x:f>INDEX(Run_Metrics!$F:$F,D289)</x:f>
        <x:v>51</x:v>
      </x:c>
      <x:c r="G289" t="n">
        <x:f>INDEX(Run_Metrics!$G:$G,D289)</x:f>
        <x:v>1.34</x:v>
      </x:c>
      <x:c r="H289" t="str">
        <x:f>INDEX(Run_Metrics!$I:$I,D289)</x:f>
      </x:c>
      <x:c r="I289" t="n">
        <x:f>IF(F289="","",F289-(E289-1))</x:f>
        <x:v>-28</x:v>
      </x:c>
      <x:c r="J289" t="n">
        <x:f>IF(I289&gt;0,1,0)</x:f>
        <x:v>0</x:v>
      </x:c>
      <x:c r="K289" t="str">
        <x:f>IF(OR(J289=0,G289="",G289=0),"",I289/G289)</x:f>
      </x:c>
      <x:c r="L289" t="str">
        <x:f>IF(OR(J289=0,I289=0,G289=""),"",G289/I289)</x:f>
      </x:c>
      <x:c r="M289" t="str">
        <x:f>IF(OR(J289=0,G289="",H289="",G289=0,H289=0),"",I289/(G289*H289))</x:f>
      </x:c>
      <x:c r="N289" t="str">
        <x:f>IF(K289="","",K289/_xlfn.MAXIFS($K:$K,$E:$E,E289))</x:f>
      </x:c>
      <x:c r="O289" t="str">
        <x:f>IF(M289="","",M289/_xlfn.MAXIFS($M:$M,$E:$E,E289))</x:f>
      </x:c>
      <x:c r="P289" t="str">
        <x:f>IF(OR(N289="",O289=""),"",SQRT(N289*O289))</x:f>
      </x:c>
      <x:c r="Q289" t="str">
        <x:f>IF(OR(N289="",O289=""),"",N289^0.7*O289^0.3)</x:f>
      </x:c>
      <x:c r="R289" t="str">
        <x:f>IF(OR(N289="",O289=""),"",N289^0.3*O289^0.7)</x:f>
      </x:c>
    </x:row>
    <x:row r="290">
      <x:c r="A290" t="inlineStr">
        <x:is>
          <x:t xml:space="preserve">anthropic|claude-opus-5.5|high|reasoning|fallback-true|aa-v4.3.2|snapshot-2026-09-28</x:t>
        </x:is>
      </x:c>
      <x:c r="B290" t="inlineStr">
        <x:is>
          <x:t xml:space="preserve">anthropic|claude-opus-5.5|high|reasoning|fallback-true</x:t>
        </x:is>
      </x:c>
      <x:c r="C290" t="inlineStr">
        <x:is>
          <x:t xml:space="preserve">AA|v4.3.2</x:t>
        </x:is>
      </x:c>
      <x:c r="D290" t="n">
        <x:v>38</x:v>
      </x:c>
      <x:c r="E290" t="n">
        <x:v>20</x:v>
      </x:c>
      <x:c r="F290" t="n">
        <x:f>INDEX(Run_Metrics!$F:$F,D290)</x:f>
        <x:v>54</x:v>
      </x:c>
      <x:c r="G290" t="n">
        <x:f>INDEX(Run_Metrics!$G:$G,D290)</x:f>
        <x:v>1.82</x:v>
      </x:c>
      <x:c r="H290" t="str">
        <x:f>INDEX(Run_Metrics!$I:$I,D290)</x:f>
      </x:c>
      <x:c r="I290" t="n">
        <x:f>IF(F290="","",F290-(E290-1))</x:f>
        <x:v>35</x:v>
      </x:c>
      <x:c r="J290" t="n">
        <x:f>IF(I290&gt;0,1,0)</x:f>
        <x:v>1</x:v>
      </x:c>
      <x:c r="K290" t="n">
        <x:f>IF(OR(J290=0,G290="",G290=0),"",I290/G290)</x:f>
        <x:v>19.23076923076923</x:v>
      </x:c>
      <x:c r="L290" t="n">
        <x:f>IF(OR(J290=0,I290=0,G290=""),"",G290/I290)</x:f>
        <x:v>0.052000000000000005</x:v>
      </x:c>
      <x:c r="M290" t="str">
        <x:f>IF(OR(J290=0,G290="",H290="",G290=0,H290=0),"",I290/(G290*H290))</x:f>
      </x:c>
      <x:c r="N290" t="n">
        <x:f>IF(K290="","",K290/_xlfn.MAXIFS($K:$K,$E:$E,E290))</x:f>
        <x:v>0.02884615384615384</x:v>
      </x:c>
      <x:c r="O290" t="str">
        <x:f>IF(M290="","",M290/_xlfn.MAXIFS($M:$M,$E:$E,E290))</x:f>
      </x:c>
      <x:c r="P290" t="str">
        <x:f>IF(OR(N290="",O290=""),"",SQRT(N290*O290))</x:f>
      </x:c>
      <x:c r="Q290" t="str">
        <x:f>IF(OR(N290="",O290=""),"",N290^0.7*O290^0.3)</x:f>
      </x:c>
      <x:c r="R290" t="str">
        <x:f>IF(OR(N290="",O290=""),"",N290^0.3*O290^0.7)</x:f>
      </x:c>
    </x:row>
    <x:row r="291">
      <x:c r="A291" t="inlineStr">
        <x:is>
          <x:t xml:space="preserve">anthropic|claude-opus-5.5|high|reasoning|fallback-true|aa-v4.3.2|snapshot-2026-09-28</x:t>
        </x:is>
      </x:c>
      <x:c r="B291" t="inlineStr">
        <x:is>
          <x:t xml:space="preserve">anthropic|claude-opus-5.5|high|reasoning|fallback-true</x:t>
        </x:is>
      </x:c>
      <x:c r="C291" t="inlineStr">
        <x:is>
          <x:t xml:space="preserve">AA|v4.3.2</x:t>
        </x:is>
      </x:c>
      <x:c r="D291" t="n">
        <x:v>38</x:v>
      </x:c>
      <x:c r="E291" t="n">
        <x:v>30</x:v>
      </x:c>
      <x:c r="F291" t="n">
        <x:f>INDEX(Run_Metrics!$F:$F,D291)</x:f>
        <x:v>54</x:v>
      </x:c>
      <x:c r="G291" t="n">
        <x:f>INDEX(Run_Metrics!$G:$G,D291)</x:f>
        <x:v>1.82</x:v>
      </x:c>
      <x:c r="H291" t="str">
        <x:f>INDEX(Run_Metrics!$I:$I,D291)</x:f>
      </x:c>
      <x:c r="I291" t="n">
        <x:f>IF(F291="","",F291-(E291-1))</x:f>
        <x:v>25</x:v>
      </x:c>
      <x:c r="J291" t="n">
        <x:f>IF(I291&gt;0,1,0)</x:f>
        <x:v>1</x:v>
      </x:c>
      <x:c r="K291" t="n">
        <x:f>IF(OR(J291=0,G291="",G291=0),"",I291/G291)</x:f>
        <x:v>13.736263736263735</x:v>
      </x:c>
      <x:c r="L291" t="n">
        <x:f>IF(OR(J291=0,I291=0,G291=""),"",G291/I291)</x:f>
        <x:v>0.0728</x:v>
      </x:c>
      <x:c r="M291" t="str">
        <x:f>IF(OR(J291=0,G291="",H291="",G291=0,H291=0),"",I291/(G291*H291))</x:f>
      </x:c>
      <x:c r="N291" t="n">
        <x:f>IF(K291="","",K291/_xlfn.MAXIFS($K:$K,$E:$E,E291))</x:f>
        <x:v>0.09157509157509157</x:v>
      </x:c>
      <x:c r="O291" t="str">
        <x:f>IF(M291="","",M291/_xlfn.MAXIFS($M:$M,$E:$E,E291))</x:f>
      </x:c>
      <x:c r="P291" t="str">
        <x:f>IF(OR(N291="",O291=""),"",SQRT(N291*O291))</x:f>
      </x:c>
      <x:c r="Q291" t="str">
        <x:f>IF(OR(N291="",O291=""),"",N291^0.7*O291^0.3)</x:f>
      </x:c>
      <x:c r="R291" t="str">
        <x:f>IF(OR(N291="",O291=""),"",N291^0.3*O291^0.7)</x:f>
      </x:c>
    </x:row>
    <x:row r="292">
      <x:c r="A292" t="inlineStr">
        <x:is>
          <x:t xml:space="preserve">anthropic|claude-opus-5.5|high|reasoning|fallback-true|aa-v4.3.2|snapshot-2026-09-28</x:t>
        </x:is>
      </x:c>
      <x:c r="B292" t="inlineStr">
        <x:is>
          <x:t xml:space="preserve">anthropic|claude-opus-5.5|high|reasoning|fallback-true</x:t>
        </x:is>
      </x:c>
      <x:c r="C292" t="inlineStr">
        <x:is>
          <x:t xml:space="preserve">AA|v4.3.2</x:t>
        </x:is>
      </x:c>
      <x:c r="D292" t="n">
        <x:v>38</x:v>
      </x:c>
      <x:c r="E292" t="n">
        <x:v>40</x:v>
      </x:c>
      <x:c r="F292" t="n">
        <x:f>INDEX(Run_Metrics!$F:$F,D292)</x:f>
        <x:v>54</x:v>
      </x:c>
      <x:c r="G292" t="n">
        <x:f>INDEX(Run_Metrics!$G:$G,D292)</x:f>
        <x:v>1.82</x:v>
      </x:c>
      <x:c r="H292" t="str">
        <x:f>INDEX(Run_Metrics!$I:$I,D292)</x:f>
      </x:c>
      <x:c r="I292" t="n">
        <x:f>IF(F292="","",F292-(E292-1))</x:f>
        <x:v>15</x:v>
      </x:c>
      <x:c r="J292" t="n">
        <x:f>IF(I292&gt;0,1,0)</x:f>
        <x:v>1</x:v>
      </x:c>
      <x:c r="K292" t="n">
        <x:f>IF(OR(J292=0,G292="",G292=0),"",I292/G292)</x:f>
        <x:v>8.241758241758241</x:v>
      </x:c>
      <x:c r="L292" t="n">
        <x:f>IF(OR(J292=0,I292=0,G292=""),"",G292/I292)</x:f>
        <x:v>0.12133333333333333</x:v>
      </x:c>
      <x:c r="M292" t="str">
        <x:f>IF(OR(J292=0,G292="",H292="",G292=0,H292=0),"",I292/(G292*H292))</x:f>
      </x:c>
      <x:c r="N292" t="n">
        <x:f>IF(K292="","",K292/_xlfn.MAXIFS($K:$K,$E:$E,E292))</x:f>
        <x:v>0.1530612244897959</x:v>
      </x:c>
      <x:c r="O292" t="str">
        <x:f>IF(M292="","",M292/_xlfn.MAXIFS($M:$M,$E:$E,E292))</x:f>
      </x:c>
      <x:c r="P292" t="str">
        <x:f>IF(OR(N292="",O292=""),"",SQRT(N292*O292))</x:f>
      </x:c>
      <x:c r="Q292" t="str">
        <x:f>IF(OR(N292="",O292=""),"",N292^0.7*O292^0.3)</x:f>
      </x:c>
      <x:c r="R292" t="str">
        <x:f>IF(OR(N292="",O292=""),"",N292^0.3*O292^0.7)</x:f>
      </x:c>
    </x:row>
    <x:row r="293">
      <x:c r="A293" t="inlineStr">
        <x:is>
          <x:t xml:space="preserve">anthropic|claude-opus-5.5|high|reasoning|fallback-true|aa-v4.3.2|snapshot-2026-09-28</x:t>
        </x:is>
      </x:c>
      <x:c r="B293" t="inlineStr">
        <x:is>
          <x:t xml:space="preserve">anthropic|claude-opus-5.5|high|reasoning|fallback-true</x:t>
        </x:is>
      </x:c>
      <x:c r="C293" t="inlineStr">
        <x:is>
          <x:t xml:space="preserve">AA|v4.3.2</x:t>
        </x:is>
      </x:c>
      <x:c r="D293" t="n">
        <x:v>38</x:v>
      </x:c>
      <x:c r="E293" t="n">
        <x:v>45</x:v>
      </x:c>
      <x:c r="F293" t="n">
        <x:f>INDEX(Run_Metrics!$F:$F,D293)</x:f>
        <x:v>54</x:v>
      </x:c>
      <x:c r="G293" t="n">
        <x:f>INDEX(Run_Metrics!$G:$G,D293)</x:f>
        <x:v>1.82</x:v>
      </x:c>
      <x:c r="H293" t="str">
        <x:f>INDEX(Run_Metrics!$I:$I,D293)</x:f>
      </x:c>
      <x:c r="I293" t="n">
        <x:f>IF(F293="","",F293-(E293-1))</x:f>
        <x:v>10</x:v>
      </x:c>
      <x:c r="J293" t="n">
        <x:f>IF(I293&gt;0,1,0)</x:f>
        <x:v>1</x:v>
      </x:c>
      <x:c r="K293" t="n">
        <x:f>IF(OR(J293=0,G293="",G293=0),"",I293/G293)</x:f>
        <x:v>5.4945054945054945</x:v>
      </x:c>
      <x:c r="L293" t="n">
        <x:f>IF(OR(J293=0,I293=0,G293=""),"",G293/I293)</x:f>
        <x:v>0.182</x:v>
      </x:c>
      <x:c r="M293" t="str">
        <x:f>IF(OR(J293=0,G293="",H293="",G293=0,H293=0),"",I293/(G293*H293))</x:f>
      </x:c>
      <x:c r="N293" t="n">
        <x:f>IF(K293="","",K293/_xlfn.MAXIFS($K:$K,$E:$E,E293))</x:f>
        <x:v>0.2884615384615385</x:v>
      </x:c>
      <x:c r="O293" t="str">
        <x:f>IF(M293="","",M293/_xlfn.MAXIFS($M:$M,$E:$E,E293))</x:f>
      </x:c>
      <x:c r="P293" t="str">
        <x:f>IF(OR(N293="",O293=""),"",SQRT(N293*O293))</x:f>
      </x:c>
      <x:c r="Q293" t="str">
        <x:f>IF(OR(N293="",O293=""),"",N293^0.7*O293^0.3)</x:f>
      </x:c>
      <x:c r="R293" t="str">
        <x:f>IF(OR(N293="",O293=""),"",N293^0.3*O293^0.7)</x:f>
      </x:c>
    </x:row>
    <x:row r="294">
      <x:c r="A294" t="inlineStr">
        <x:is>
          <x:t xml:space="preserve">anthropic|claude-opus-5.5|high|reasoning|fallback-true|aa-v4.3.2|snapshot-2026-09-28</x:t>
        </x:is>
      </x:c>
      <x:c r="B294" t="inlineStr">
        <x:is>
          <x:t xml:space="preserve">anthropic|claude-opus-5.5|high|reasoning|fallback-true</x:t>
        </x:is>
      </x:c>
      <x:c r="C294" t="inlineStr">
        <x:is>
          <x:t xml:space="preserve">AA|v4.3.2</x:t>
        </x:is>
      </x:c>
      <x:c r="D294" t="n">
        <x:v>38</x:v>
      </x:c>
      <x:c r="E294" t="n">
        <x:v>50</x:v>
      </x:c>
      <x:c r="F294" t="n">
        <x:f>INDEX(Run_Metrics!$F:$F,D294)</x:f>
        <x:v>54</x:v>
      </x:c>
      <x:c r="G294" t="n">
        <x:f>INDEX(Run_Metrics!$G:$G,D294)</x:f>
        <x:v>1.82</x:v>
      </x:c>
      <x:c r="H294" t="str">
        <x:f>INDEX(Run_Metrics!$I:$I,D294)</x:f>
      </x:c>
      <x:c r="I294" t="n">
        <x:f>IF(F294="","",F294-(E294-1))</x:f>
        <x:v>5</x:v>
      </x:c>
      <x:c r="J294" t="n">
        <x:f>IF(I294&gt;0,1,0)</x:f>
        <x:v>1</x:v>
      </x:c>
      <x:c r="K294" t="n">
        <x:f>IF(OR(J294=0,G294="",G294=0),"",I294/G294)</x:f>
        <x:v>2.7472527472527473</x:v>
      </x:c>
      <x:c r="L294" t="n">
        <x:f>IF(OR(J294=0,I294=0,G294=""),"",G294/I294)</x:f>
        <x:v>0.364</x:v>
      </x:c>
      <x:c r="M294" t="str">
        <x:f>IF(OR(J294=0,G294="",H294="",G294=0,H294=0),"",I294/(G294*H294))</x:f>
      </x:c>
      <x:c r="N294" t="n">
        <x:f>IF(K294="","",K294/_xlfn.MAXIFS($K:$K,$E:$E,E294))</x:f>
        <x:v>0.5357142857142858</x:v>
      </x:c>
      <x:c r="O294" t="str">
        <x:f>IF(M294="","",M294/_xlfn.MAXIFS($M:$M,$E:$E,E294))</x:f>
      </x:c>
      <x:c r="P294" t="str">
        <x:f>IF(OR(N294="",O294=""),"",SQRT(N294*O294))</x:f>
      </x:c>
      <x:c r="Q294" t="str">
        <x:f>IF(OR(N294="",O294=""),"",N294^0.7*O294^0.3)</x:f>
      </x:c>
      <x:c r="R294" t="str">
        <x:f>IF(OR(N294="",O294=""),"",N294^0.3*O294^0.7)</x:f>
      </x:c>
    </x:row>
    <x:row r="295">
      <x:c r="A295" t="inlineStr">
        <x:is>
          <x:t xml:space="preserve">anthropic|claude-opus-5.5|high|reasoning|fallback-true|aa-v4.3.2|snapshot-2026-09-28</x:t>
        </x:is>
      </x:c>
      <x:c r="B295" t="inlineStr">
        <x:is>
          <x:t xml:space="preserve">anthropic|claude-opus-5.5|high|reasoning|fallback-true</x:t>
        </x:is>
      </x:c>
      <x:c r="C295" t="inlineStr">
        <x:is>
          <x:t xml:space="preserve">AA|v4.3.2</x:t>
        </x:is>
      </x:c>
      <x:c r="D295" t="n">
        <x:v>38</x:v>
      </x:c>
      <x:c r="E295" t="n">
        <x:v>52</x:v>
      </x:c>
      <x:c r="F295" t="n">
        <x:f>INDEX(Run_Metrics!$F:$F,D295)</x:f>
        <x:v>54</x:v>
      </x:c>
      <x:c r="G295" t="n">
        <x:f>INDEX(Run_Metrics!$G:$G,D295)</x:f>
        <x:v>1.82</x:v>
      </x:c>
      <x:c r="H295" t="str">
        <x:f>INDEX(Run_Metrics!$I:$I,D295)</x:f>
      </x:c>
      <x:c r="I295" t="n">
        <x:f>IF(F295="","",F295-(E295-1))</x:f>
        <x:v>3</x:v>
      </x:c>
      <x:c r="J295" t="n">
        <x:f>IF(I295&gt;0,1,0)</x:f>
        <x:v>1</x:v>
      </x:c>
      <x:c r="K295" t="n">
        <x:f>IF(OR(J295=0,G295="",G295=0),"",I295/G295)</x:f>
        <x:v>1.6483516483516483</x:v>
      </x:c>
      <x:c r="L295" t="n">
        <x:f>IF(OR(J295=0,I295=0,G295=""),"",G295/I295)</x:f>
        <x:v>0.6066666666666667</x:v>
      </x:c>
      <x:c r="M295" t="str">
        <x:f>IF(OR(J295=0,G295="",H295="",G295=0,H295=0),"",I295/(G295*H295))</x:f>
      </x:c>
      <x:c r="N295" t="n">
        <x:f>IF(K295="","",K295/_xlfn.MAXIFS($K:$K,$E:$E,E295))</x:f>
        <x:v>1</x:v>
      </x:c>
      <x:c r="O295" t="str">
        <x:f>IF(M295="","",M295/_xlfn.MAXIFS($M:$M,$E:$E,E295))</x:f>
      </x:c>
      <x:c r="P295" t="str">
        <x:f>IF(OR(N295="",O295=""),"",SQRT(N295*O295))</x:f>
      </x:c>
      <x:c r="Q295" t="str">
        <x:f>IF(OR(N295="",O295=""),"",N295^0.7*O295^0.3)</x:f>
      </x:c>
      <x:c r="R295" t="str">
        <x:f>IF(OR(N295="",O295=""),"",N295^0.3*O295^0.7)</x:f>
      </x:c>
    </x:row>
    <x:row r="296">
      <x:c r="A296" t="inlineStr">
        <x:is>
          <x:t xml:space="preserve">anthropic|claude-opus-5.5|high|reasoning|fallback-true|aa-v4.3.2|snapshot-2026-09-28</x:t>
        </x:is>
      </x:c>
      <x:c r="B296" t="inlineStr">
        <x:is>
          <x:t xml:space="preserve">anthropic|claude-opus-5.5|high|reasoning|fallback-true</x:t>
        </x:is>
      </x:c>
      <x:c r="C296" t="inlineStr">
        <x:is>
          <x:t xml:space="preserve">AA|v4.3.2</x:t>
        </x:is>
      </x:c>
      <x:c r="D296" t="n">
        <x:v>38</x:v>
      </x:c>
      <x:c r="E296" t="n">
        <x:v>65</x:v>
      </x:c>
      <x:c r="F296" t="n">
        <x:f>INDEX(Run_Metrics!$F:$F,D296)</x:f>
        <x:v>54</x:v>
      </x:c>
      <x:c r="G296" t="n">
        <x:f>INDEX(Run_Metrics!$G:$G,D296)</x:f>
        <x:v>1.82</x:v>
      </x:c>
      <x:c r="H296" t="str">
        <x:f>INDEX(Run_Metrics!$I:$I,D296)</x:f>
      </x:c>
      <x:c r="I296" t="n">
        <x:f>IF(F296="","",F296-(E296-1))</x:f>
        <x:v>-10</x:v>
      </x:c>
      <x:c r="J296" t="n">
        <x:f>IF(I296&gt;0,1,0)</x:f>
        <x:v>0</x:v>
      </x:c>
      <x:c r="K296" t="str">
        <x:f>IF(OR(J296=0,G296="",G296=0),"",I296/G296)</x:f>
      </x:c>
      <x:c r="L296" t="str">
        <x:f>IF(OR(J296=0,I296=0,G296=""),"",G296/I296)</x:f>
      </x:c>
      <x:c r="M296" t="str">
        <x:f>IF(OR(J296=0,G296="",H296="",G296=0,H296=0),"",I296/(G296*H296))</x:f>
      </x:c>
      <x:c r="N296" t="str">
        <x:f>IF(K296="","",K296/_xlfn.MAXIFS($K:$K,$E:$E,E296))</x:f>
      </x:c>
      <x:c r="O296" t="str">
        <x:f>IF(M296="","",M296/_xlfn.MAXIFS($M:$M,$E:$E,E296))</x:f>
      </x:c>
      <x:c r="P296" t="str">
        <x:f>IF(OR(N296="",O296=""),"",SQRT(N296*O296))</x:f>
      </x:c>
      <x:c r="Q296" t="str">
        <x:f>IF(OR(N296="",O296=""),"",N296^0.7*O296^0.3)</x:f>
      </x:c>
      <x:c r="R296" t="str">
        <x:f>IF(OR(N296="",O296=""),"",N296^0.3*O296^0.7)</x:f>
      </x:c>
    </x:row>
    <x:row r="297">
      <x:c r="A297" t="inlineStr">
        <x:is>
          <x:t xml:space="preserve">anthropic|claude-opus-5.5|high|reasoning|fallback-true|aa-v4.3.2|snapshot-2026-09-28</x:t>
        </x:is>
      </x:c>
      <x:c r="B297" t="inlineStr">
        <x:is>
          <x:t xml:space="preserve">anthropic|claude-opus-5.5|high|reasoning|fallback-true</x:t>
        </x:is>
      </x:c>
      <x:c r="C297" t="inlineStr">
        <x:is>
          <x:t xml:space="preserve">AA|v4.3.2</x:t>
        </x:is>
      </x:c>
      <x:c r="D297" t="n">
        <x:v>38</x:v>
      </x:c>
      <x:c r="E297" t="n">
        <x:v>80</x:v>
      </x:c>
      <x:c r="F297" t="n">
        <x:f>INDEX(Run_Metrics!$F:$F,D297)</x:f>
        <x:v>54</x:v>
      </x:c>
      <x:c r="G297" t="n">
        <x:f>INDEX(Run_Metrics!$G:$G,D297)</x:f>
        <x:v>1.82</x:v>
      </x:c>
      <x:c r="H297" t="str">
        <x:f>INDEX(Run_Metrics!$I:$I,D297)</x:f>
      </x:c>
      <x:c r="I297" t="n">
        <x:f>IF(F297="","",F297-(E297-1))</x:f>
        <x:v>-25</x:v>
      </x:c>
      <x:c r="J297" t="n">
        <x:f>IF(I297&gt;0,1,0)</x:f>
        <x:v>0</x:v>
      </x:c>
      <x:c r="K297" t="str">
        <x:f>IF(OR(J297=0,G297="",G297=0),"",I297/G297)</x:f>
      </x:c>
      <x:c r="L297" t="str">
        <x:f>IF(OR(J297=0,I297=0,G297=""),"",G297/I297)</x:f>
      </x:c>
      <x:c r="M297" t="str">
        <x:f>IF(OR(J297=0,G297="",H297="",G297=0,H297=0),"",I297/(G297*H297))</x:f>
      </x:c>
      <x:c r="N297" t="str">
        <x:f>IF(K297="","",K297/_xlfn.MAXIFS($K:$K,$E:$E,E297))</x:f>
      </x:c>
      <x:c r="O297" t="str">
        <x:f>IF(M297="","",M297/_xlfn.MAXIFS($M:$M,$E:$E,E297))</x:f>
      </x:c>
      <x:c r="P297" t="str">
        <x:f>IF(OR(N297="",O297=""),"",SQRT(N297*O297))</x:f>
      </x:c>
      <x:c r="Q297" t="str">
        <x:f>IF(OR(N297="",O297=""),"",N297^0.7*O297^0.3)</x:f>
      </x:c>
      <x:c r="R297" t="str">
        <x:f>IF(OR(N297="",O297=""),"",N297^0.3*O297^0.7)</x:f>
      </x:c>
    </x:row>
    <x:row r="298">
      <x:c r="A298" t="inlineStr">
        <x:is>
          <x:t xml:space="preserve">anthropic|claude-opus-5.5|xhigh|reasoning|fallback-true|aa-v4.3.2|snapshot-2026-09-28</x:t>
        </x:is>
      </x:c>
      <x:c r="B298" t="inlineStr">
        <x:is>
          <x:t xml:space="preserve">anthropic|claude-opus-5.5|xhigh|reasoning|fallback-true</x:t>
        </x:is>
      </x:c>
      <x:c r="C298" t="inlineStr">
        <x:is>
          <x:t xml:space="preserve">AA|v4.3.2</x:t>
        </x:is>
      </x:c>
      <x:c r="D298" t="n">
        <x:v>39</x:v>
      </x:c>
      <x:c r="E298" t="n">
        <x:v>20</x:v>
      </x:c>
      <x:c r="F298" t="n">
        <x:f>INDEX(Run_Metrics!$F:$F,D298)</x:f>
        <x:v>56</x:v>
      </x:c>
      <x:c r="G298" t="n">
        <x:f>INDEX(Run_Metrics!$G:$G,D298)</x:f>
        <x:v>3.46</x:v>
      </x:c>
      <x:c r="H298" t="str">
        <x:f>INDEX(Run_Metrics!$I:$I,D298)</x:f>
      </x:c>
      <x:c r="I298" t="n">
        <x:f>IF(F298="","",F298-(E298-1))</x:f>
        <x:v>37</x:v>
      </x:c>
      <x:c r="J298" t="n">
        <x:f>IF(I298&gt;0,1,0)</x:f>
        <x:v>1</x:v>
      </x:c>
      <x:c r="K298" t="n">
        <x:f>IF(OR(J298=0,G298="",G298=0),"",I298/G298)</x:f>
        <x:v>10.69364161849711</x:v>
      </x:c>
      <x:c r="L298" t="n">
        <x:f>IF(OR(J298=0,I298=0,G298=""),"",G298/I298)</x:f>
        <x:v>0.09351351351351352</x:v>
      </x:c>
      <x:c r="M298" t="str">
        <x:f>IF(OR(J298=0,G298="",H298="",G298=0,H298=0),"",I298/(G298*H298))</x:f>
      </x:c>
      <x:c r="N298" t="n">
        <x:f>IF(K298="","",K298/_xlfn.MAXIFS($K:$K,$E:$E,E298))</x:f>
        <x:v>0.016040462427745664</x:v>
      </x:c>
      <x:c r="O298" t="str">
        <x:f>IF(M298="","",M298/_xlfn.MAXIFS($M:$M,$E:$E,E298))</x:f>
      </x:c>
      <x:c r="P298" t="str">
        <x:f>IF(OR(N298="",O298=""),"",SQRT(N298*O298))</x:f>
      </x:c>
      <x:c r="Q298" t="str">
        <x:f>IF(OR(N298="",O298=""),"",N298^0.7*O298^0.3)</x:f>
      </x:c>
      <x:c r="R298" t="str">
        <x:f>IF(OR(N298="",O298=""),"",N298^0.3*O298^0.7)</x:f>
      </x:c>
    </x:row>
    <x:row r="299">
      <x:c r="A299" t="inlineStr">
        <x:is>
          <x:t xml:space="preserve">anthropic|claude-opus-5.5|xhigh|reasoning|fallback-true|aa-v4.3.2|snapshot-2026-09-28</x:t>
        </x:is>
      </x:c>
      <x:c r="B299" t="inlineStr">
        <x:is>
          <x:t xml:space="preserve">anthropic|claude-opus-5.5|xhigh|reasoning|fallback-true</x:t>
        </x:is>
      </x:c>
      <x:c r="C299" t="inlineStr">
        <x:is>
          <x:t xml:space="preserve">AA|v4.3.2</x:t>
        </x:is>
      </x:c>
      <x:c r="D299" t="n">
        <x:v>39</x:v>
      </x:c>
      <x:c r="E299" t="n">
        <x:v>30</x:v>
      </x:c>
      <x:c r="F299" t="n">
        <x:f>INDEX(Run_Metrics!$F:$F,D299)</x:f>
        <x:v>56</x:v>
      </x:c>
      <x:c r="G299" t="n">
        <x:f>INDEX(Run_Metrics!$G:$G,D299)</x:f>
        <x:v>3.46</x:v>
      </x:c>
      <x:c r="H299" t="str">
        <x:f>INDEX(Run_Metrics!$I:$I,D299)</x:f>
      </x:c>
      <x:c r="I299" t="n">
        <x:f>IF(F299="","",F299-(E299-1))</x:f>
        <x:v>27</x:v>
      </x:c>
      <x:c r="J299" t="n">
        <x:f>IF(I299&gt;0,1,0)</x:f>
        <x:v>1</x:v>
      </x:c>
      <x:c r="K299" t="n">
        <x:f>IF(OR(J299=0,G299="",G299=0),"",I299/G299)</x:f>
        <x:v>7.803468208092486</x:v>
      </x:c>
      <x:c r="L299" t="n">
        <x:f>IF(OR(J299=0,I299=0,G299=""),"",G299/I299)</x:f>
        <x:v>0.12814814814814815</x:v>
      </x:c>
      <x:c r="M299" t="str">
        <x:f>IF(OR(J299=0,G299="",H299="",G299=0,H299=0),"",I299/(G299*H299))</x:f>
      </x:c>
      <x:c r="N299" t="n">
        <x:f>IF(K299="","",K299/_xlfn.MAXIFS($K:$K,$E:$E,E299))</x:f>
        <x:v>0.05202312138728324</x:v>
      </x:c>
      <x:c r="O299" t="str">
        <x:f>IF(M299="","",M299/_xlfn.MAXIFS($M:$M,$E:$E,E299))</x:f>
      </x:c>
      <x:c r="P299" t="str">
        <x:f>IF(OR(N299="",O299=""),"",SQRT(N299*O299))</x:f>
      </x:c>
      <x:c r="Q299" t="str">
        <x:f>IF(OR(N299="",O299=""),"",N299^0.7*O299^0.3)</x:f>
      </x:c>
      <x:c r="R299" t="str">
        <x:f>IF(OR(N299="",O299=""),"",N299^0.3*O299^0.7)</x:f>
      </x:c>
    </x:row>
    <x:row r="300">
      <x:c r="A300" t="inlineStr">
        <x:is>
          <x:t xml:space="preserve">anthropic|claude-opus-5.5|xhigh|reasoning|fallback-true|aa-v4.3.2|snapshot-2026-09-28</x:t>
        </x:is>
      </x:c>
      <x:c r="B300" t="inlineStr">
        <x:is>
          <x:t xml:space="preserve">anthropic|claude-opus-5.5|xhigh|reasoning|fallback-true</x:t>
        </x:is>
      </x:c>
      <x:c r="C300" t="inlineStr">
        <x:is>
          <x:t xml:space="preserve">AA|v4.3.2</x:t>
        </x:is>
      </x:c>
      <x:c r="D300" t="n">
        <x:v>39</x:v>
      </x:c>
      <x:c r="E300" t="n">
        <x:v>40</x:v>
      </x:c>
      <x:c r="F300" t="n">
        <x:f>INDEX(Run_Metrics!$F:$F,D300)</x:f>
        <x:v>56</x:v>
      </x:c>
      <x:c r="G300" t="n">
        <x:f>INDEX(Run_Metrics!$G:$G,D300)</x:f>
        <x:v>3.46</x:v>
      </x:c>
      <x:c r="H300" t="str">
        <x:f>INDEX(Run_Metrics!$I:$I,D300)</x:f>
      </x:c>
      <x:c r="I300" t="n">
        <x:f>IF(F300="","",F300-(E300-1))</x:f>
        <x:v>17</x:v>
      </x:c>
      <x:c r="J300" t="n">
        <x:f>IF(I300&gt;0,1,0)</x:f>
        <x:v>1</x:v>
      </x:c>
      <x:c r="K300" t="n">
        <x:f>IF(OR(J300=0,G300="",G300=0),"",I300/G300)</x:f>
        <x:v>4.913294797687861</x:v>
      </x:c>
      <x:c r="L300" t="n">
        <x:f>IF(OR(J300=0,I300=0,G300=""),"",G300/I300)</x:f>
        <x:v>0.20352941176470588</x:v>
      </x:c>
      <x:c r="M300" t="str">
        <x:f>IF(OR(J300=0,G300="",H300="",G300=0,H300=0),"",I300/(G300*H300))</x:f>
      </x:c>
      <x:c r="N300" t="n">
        <x:f>IF(K300="","",K300/_xlfn.MAXIFS($K:$K,$E:$E,E300))</x:f>
        <x:v>0.09124690338563171</x:v>
      </x:c>
      <x:c r="O300" t="str">
        <x:f>IF(M300="","",M300/_xlfn.MAXIFS($M:$M,$E:$E,E300))</x:f>
      </x:c>
      <x:c r="P300" t="str">
        <x:f>IF(OR(N300="",O300=""),"",SQRT(N300*O300))</x:f>
      </x:c>
      <x:c r="Q300" t="str">
        <x:f>IF(OR(N300="",O300=""),"",N300^0.7*O300^0.3)</x:f>
      </x:c>
      <x:c r="R300" t="str">
        <x:f>IF(OR(N300="",O300=""),"",N300^0.3*O300^0.7)</x:f>
      </x:c>
    </x:row>
    <x:row r="301">
      <x:c r="A301" t="inlineStr">
        <x:is>
          <x:t xml:space="preserve">anthropic|claude-opus-5.5|xhigh|reasoning|fallback-true|aa-v4.3.2|snapshot-2026-09-28</x:t>
        </x:is>
      </x:c>
      <x:c r="B301" t="inlineStr">
        <x:is>
          <x:t xml:space="preserve">anthropic|claude-opus-5.5|xhigh|reasoning|fallback-true</x:t>
        </x:is>
      </x:c>
      <x:c r="C301" t="inlineStr">
        <x:is>
          <x:t xml:space="preserve">AA|v4.3.2</x:t>
        </x:is>
      </x:c>
      <x:c r="D301" t="n">
        <x:v>39</x:v>
      </x:c>
      <x:c r="E301" t="n">
        <x:v>45</x:v>
      </x:c>
      <x:c r="F301" t="n">
        <x:f>INDEX(Run_Metrics!$F:$F,D301)</x:f>
        <x:v>56</x:v>
      </x:c>
      <x:c r="G301" t="n">
        <x:f>INDEX(Run_Metrics!$G:$G,D301)</x:f>
        <x:v>3.46</x:v>
      </x:c>
      <x:c r="H301" t="str">
        <x:f>INDEX(Run_Metrics!$I:$I,D301)</x:f>
      </x:c>
      <x:c r="I301" t="n">
        <x:f>IF(F301="","",F301-(E301-1))</x:f>
        <x:v>12</x:v>
      </x:c>
      <x:c r="J301" t="n">
        <x:f>IF(I301&gt;0,1,0)</x:f>
        <x:v>1</x:v>
      </x:c>
      <x:c r="K301" t="n">
        <x:f>IF(OR(J301=0,G301="",G301=0),"",I301/G301)</x:f>
        <x:v>3.468208092485549</x:v>
      </x:c>
      <x:c r="L301" t="n">
        <x:f>IF(OR(J301=0,I301=0,G301=""),"",G301/I301)</x:f>
        <x:v>0.28833333333333333</x:v>
      </x:c>
      <x:c r="M301" t="str">
        <x:f>IF(OR(J301=0,G301="",H301="",G301=0,H301=0),"",I301/(G301*H301))</x:f>
      </x:c>
      <x:c r="N301" t="n">
        <x:f>IF(K301="","",K301/_xlfn.MAXIFS($K:$K,$E:$E,E301))</x:f>
        <x:v>0.18208092485549132</x:v>
      </x:c>
      <x:c r="O301" t="str">
        <x:f>IF(M301="","",M301/_xlfn.MAXIFS($M:$M,$E:$E,E301))</x:f>
      </x:c>
      <x:c r="P301" t="str">
        <x:f>IF(OR(N301="",O301=""),"",SQRT(N301*O301))</x:f>
      </x:c>
      <x:c r="Q301" t="str">
        <x:f>IF(OR(N301="",O301=""),"",N301^0.7*O301^0.3)</x:f>
      </x:c>
      <x:c r="R301" t="str">
        <x:f>IF(OR(N301="",O301=""),"",N301^0.3*O301^0.7)</x:f>
      </x:c>
    </x:row>
    <x:row r="302">
      <x:c r="A302" t="inlineStr">
        <x:is>
          <x:t xml:space="preserve">anthropic|claude-opus-5.5|xhigh|reasoning|fallback-true|aa-v4.3.2|snapshot-2026-09-28</x:t>
        </x:is>
      </x:c>
      <x:c r="B302" t="inlineStr">
        <x:is>
          <x:t xml:space="preserve">anthropic|claude-opus-5.5|xhigh|reasoning|fallback-true</x:t>
        </x:is>
      </x:c>
      <x:c r="C302" t="inlineStr">
        <x:is>
          <x:t xml:space="preserve">AA|v4.3.2</x:t>
        </x:is>
      </x:c>
      <x:c r="D302" t="n">
        <x:v>39</x:v>
      </x:c>
      <x:c r="E302" t="n">
        <x:v>50</x:v>
      </x:c>
      <x:c r="F302" t="n">
        <x:f>INDEX(Run_Metrics!$F:$F,D302)</x:f>
        <x:v>56</x:v>
      </x:c>
      <x:c r="G302" t="n">
        <x:f>INDEX(Run_Metrics!$G:$G,D302)</x:f>
        <x:v>3.46</x:v>
      </x:c>
      <x:c r="H302" t="str">
        <x:f>INDEX(Run_Metrics!$I:$I,D302)</x:f>
      </x:c>
      <x:c r="I302" t="n">
        <x:f>IF(F302="","",F302-(E302-1))</x:f>
        <x:v>7</x:v>
      </x:c>
      <x:c r="J302" t="n">
        <x:f>IF(I302&gt;0,1,0)</x:f>
        <x:v>1</x:v>
      </x:c>
      <x:c r="K302" t="n">
        <x:f>IF(OR(J302=0,G302="",G302=0),"",I302/G302)</x:f>
        <x:v>2.023121387283237</x:v>
      </x:c>
      <x:c r="L302" t="n">
        <x:f>IF(OR(J302=0,I302=0,G302=""),"",G302/I302)</x:f>
        <x:v>0.4942857142857143</x:v>
      </x:c>
      <x:c r="M302" t="str">
        <x:f>IF(OR(J302=0,G302="",H302="",G302=0,H302=0),"",I302/(G302*H302))</x:f>
      </x:c>
      <x:c r="N302" t="n">
        <x:f>IF(K302="","",K302/_xlfn.MAXIFS($K:$K,$E:$E,E302))</x:f>
        <x:v>0.3945086705202313</x:v>
      </x:c>
      <x:c r="O302" t="str">
        <x:f>IF(M302="","",M302/_xlfn.MAXIFS($M:$M,$E:$E,E302))</x:f>
      </x:c>
      <x:c r="P302" t="str">
        <x:f>IF(OR(N302="",O302=""),"",SQRT(N302*O302))</x:f>
      </x:c>
      <x:c r="Q302" t="str">
        <x:f>IF(OR(N302="",O302=""),"",N302^0.7*O302^0.3)</x:f>
      </x:c>
      <x:c r="R302" t="str">
        <x:f>IF(OR(N302="",O302=""),"",N302^0.3*O302^0.7)</x:f>
      </x:c>
    </x:row>
    <x:row r="303">
      <x:c r="A303" t="inlineStr">
        <x:is>
          <x:t xml:space="preserve">anthropic|claude-opus-5.5|xhigh|reasoning|fallback-true|aa-v4.3.2|snapshot-2026-09-28</x:t>
        </x:is>
      </x:c>
      <x:c r="B303" t="inlineStr">
        <x:is>
          <x:t xml:space="preserve">anthropic|claude-opus-5.5|xhigh|reasoning|fallback-true</x:t>
        </x:is>
      </x:c>
      <x:c r="C303" t="inlineStr">
        <x:is>
          <x:t xml:space="preserve">AA|v4.3.2</x:t>
        </x:is>
      </x:c>
      <x:c r="D303" t="n">
        <x:v>39</x:v>
      </x:c>
      <x:c r="E303" t="n">
        <x:v>52</x:v>
      </x:c>
      <x:c r="F303" t="n">
        <x:f>INDEX(Run_Metrics!$F:$F,D303)</x:f>
        <x:v>56</x:v>
      </x:c>
      <x:c r="G303" t="n">
        <x:f>INDEX(Run_Metrics!$G:$G,D303)</x:f>
        <x:v>3.46</x:v>
      </x:c>
      <x:c r="H303" t="str">
        <x:f>INDEX(Run_Metrics!$I:$I,D303)</x:f>
      </x:c>
      <x:c r="I303" t="n">
        <x:f>IF(F303="","",F303-(E303-1))</x:f>
        <x:v>5</x:v>
      </x:c>
      <x:c r="J303" t="n">
        <x:f>IF(I303&gt;0,1,0)</x:f>
        <x:v>1</x:v>
      </x:c>
      <x:c r="K303" t="n">
        <x:f>IF(OR(J303=0,G303="",G303=0),"",I303/G303)</x:f>
        <x:v>1.4450867052023122</x:v>
      </x:c>
      <x:c r="L303" t="n">
        <x:f>IF(OR(J303=0,I303=0,G303=""),"",G303/I303)</x:f>
        <x:v>0.692</x:v>
      </x:c>
      <x:c r="M303" t="str">
        <x:f>IF(OR(J303=0,G303="",H303="",G303=0,H303=0),"",I303/(G303*H303))</x:f>
      </x:c>
      <x:c r="N303" t="n">
        <x:f>IF(K303="","",K303/_xlfn.MAXIFS($K:$K,$E:$E,E303))</x:f>
        <x:v>0.8766859344894028</x:v>
      </x:c>
      <x:c r="O303" t="str">
        <x:f>IF(M303="","",M303/_xlfn.MAXIFS($M:$M,$E:$E,E303))</x:f>
      </x:c>
      <x:c r="P303" t="str">
        <x:f>IF(OR(N303="",O303=""),"",SQRT(N303*O303))</x:f>
      </x:c>
      <x:c r="Q303" t="str">
        <x:f>IF(OR(N303="",O303=""),"",N303^0.7*O303^0.3)</x:f>
      </x:c>
      <x:c r="R303" t="str">
        <x:f>IF(OR(N303="",O303=""),"",N303^0.3*O303^0.7)</x:f>
      </x:c>
    </x:row>
    <x:row r="304">
      <x:c r="A304" t="inlineStr">
        <x:is>
          <x:t xml:space="preserve">anthropic|claude-opus-5.5|xhigh|reasoning|fallback-true|aa-v4.3.2|snapshot-2026-09-28</x:t>
        </x:is>
      </x:c>
      <x:c r="B304" t="inlineStr">
        <x:is>
          <x:t xml:space="preserve">anthropic|claude-opus-5.5|xhigh|reasoning|fallback-true</x:t>
        </x:is>
      </x:c>
      <x:c r="C304" t="inlineStr">
        <x:is>
          <x:t xml:space="preserve">AA|v4.3.2</x:t>
        </x:is>
      </x:c>
      <x:c r="D304" t="n">
        <x:v>39</x:v>
      </x:c>
      <x:c r="E304" t="n">
        <x:v>65</x:v>
      </x:c>
      <x:c r="F304" t="n">
        <x:f>INDEX(Run_Metrics!$F:$F,D304)</x:f>
        <x:v>56</x:v>
      </x:c>
      <x:c r="G304" t="n">
        <x:f>INDEX(Run_Metrics!$G:$G,D304)</x:f>
        <x:v>3.46</x:v>
      </x:c>
      <x:c r="H304" t="str">
        <x:f>INDEX(Run_Metrics!$I:$I,D304)</x:f>
      </x:c>
      <x:c r="I304" t="n">
        <x:f>IF(F304="","",F304-(E304-1))</x:f>
        <x:v>-8</x:v>
      </x:c>
      <x:c r="J304" t="n">
        <x:f>IF(I304&gt;0,1,0)</x:f>
        <x:v>0</x:v>
      </x:c>
      <x:c r="K304" t="str">
        <x:f>IF(OR(J304=0,G304="",G304=0),"",I304/G304)</x:f>
      </x:c>
      <x:c r="L304" t="str">
        <x:f>IF(OR(J304=0,I304=0,G304=""),"",G304/I304)</x:f>
      </x:c>
      <x:c r="M304" t="str">
        <x:f>IF(OR(J304=0,G304="",H304="",G304=0,H304=0),"",I304/(G304*H304))</x:f>
      </x:c>
      <x:c r="N304" t="str">
        <x:f>IF(K304="","",K304/_xlfn.MAXIFS($K:$K,$E:$E,E304))</x:f>
      </x:c>
      <x:c r="O304" t="str">
        <x:f>IF(M304="","",M304/_xlfn.MAXIFS($M:$M,$E:$E,E304))</x:f>
      </x:c>
      <x:c r="P304" t="str">
        <x:f>IF(OR(N304="",O304=""),"",SQRT(N304*O304))</x:f>
      </x:c>
      <x:c r="Q304" t="str">
        <x:f>IF(OR(N304="",O304=""),"",N304^0.7*O304^0.3)</x:f>
      </x:c>
      <x:c r="R304" t="str">
        <x:f>IF(OR(N304="",O304=""),"",N304^0.3*O304^0.7)</x:f>
      </x:c>
    </x:row>
    <x:row r="305">
      <x:c r="A305" t="inlineStr">
        <x:is>
          <x:t xml:space="preserve">anthropic|claude-opus-5.5|xhigh|reasoning|fallback-true|aa-v4.3.2|snapshot-2026-09-28</x:t>
        </x:is>
      </x:c>
      <x:c r="B305" t="inlineStr">
        <x:is>
          <x:t xml:space="preserve">anthropic|claude-opus-5.5|xhigh|reasoning|fallback-true</x:t>
        </x:is>
      </x:c>
      <x:c r="C305" t="inlineStr">
        <x:is>
          <x:t xml:space="preserve">AA|v4.3.2</x:t>
        </x:is>
      </x:c>
      <x:c r="D305" t="n">
        <x:v>39</x:v>
      </x:c>
      <x:c r="E305" t="n">
        <x:v>80</x:v>
      </x:c>
      <x:c r="F305" t="n">
        <x:f>INDEX(Run_Metrics!$F:$F,D305)</x:f>
        <x:v>56</x:v>
      </x:c>
      <x:c r="G305" t="n">
        <x:f>INDEX(Run_Metrics!$G:$G,D305)</x:f>
        <x:v>3.46</x:v>
      </x:c>
      <x:c r="H305" t="str">
        <x:f>INDEX(Run_Metrics!$I:$I,D305)</x:f>
      </x:c>
      <x:c r="I305" t="n">
        <x:f>IF(F305="","",F305-(E305-1))</x:f>
        <x:v>-23</x:v>
      </x:c>
      <x:c r="J305" t="n">
        <x:f>IF(I305&gt;0,1,0)</x:f>
        <x:v>0</x:v>
      </x:c>
      <x:c r="K305" t="str">
        <x:f>IF(OR(J305=0,G305="",G305=0),"",I305/G305)</x:f>
      </x:c>
      <x:c r="L305" t="str">
        <x:f>IF(OR(J305=0,I305=0,G305=""),"",G305/I305)</x:f>
      </x:c>
      <x:c r="M305" t="str">
        <x:f>IF(OR(J305=0,G305="",H305="",G305=0,H305=0),"",I305/(G305*H305))</x:f>
      </x:c>
      <x:c r="N305" t="str">
        <x:f>IF(K305="","",K305/_xlfn.MAXIFS($K:$K,$E:$E,E305))</x:f>
      </x:c>
      <x:c r="O305" t="str">
        <x:f>IF(M305="","",M305/_xlfn.MAXIFS($M:$M,$E:$E,E305))</x:f>
      </x:c>
      <x:c r="P305" t="str">
        <x:f>IF(OR(N305="",O305=""),"",SQRT(N305*O305))</x:f>
      </x:c>
      <x:c r="Q305" t="str">
        <x:f>IF(OR(N305="",O305=""),"",N305^0.7*O305^0.3)</x:f>
      </x:c>
      <x:c r="R305" t="str">
        <x:f>IF(OR(N305="",O305=""),"",N305^0.3*O305^0.7)</x:f>
      </x:c>
    </x:row>
    <x:row r="306">
      <x:c r="A306" t="inlineStr">
        <x:is>
          <x:t xml:space="preserve">anthropic|claude-opus-5.5|max|reasoning|fallback-true|aa-v4.3.2|snapshot-2026-09-28</x:t>
        </x:is>
      </x:c>
      <x:c r="B306" t="inlineStr">
        <x:is>
          <x:t xml:space="preserve">anthropic|claude-opus-5.5|max|reasoning|fallback-true</x:t>
        </x:is>
      </x:c>
      <x:c r="C306" t="inlineStr">
        <x:is>
          <x:t xml:space="preserve">AA|v4.3.2</x:t>
        </x:is>
      </x:c>
      <x:c r="D306" t="n">
        <x:v>40</x:v>
      </x:c>
      <x:c r="E306" t="n">
        <x:v>20</x:v>
      </x:c>
      <x:c r="F306" t="n">
        <x:f>INDEX(Run_Metrics!$F:$F,D306)</x:f>
        <x:v>58</x:v>
      </x:c>
      <x:c r="G306" t="n">
        <x:f>INDEX(Run_Metrics!$G:$G,D306)</x:f>
        <x:v>5.98</x:v>
      </x:c>
      <x:c r="H306" t="str">
        <x:f>INDEX(Run_Metrics!$I:$I,D306)</x:f>
      </x:c>
      <x:c r="I306" t="n">
        <x:f>IF(F306="","",F306-(E306-1))</x:f>
        <x:v>39</x:v>
      </x:c>
      <x:c r="J306" t="n">
        <x:f>IF(I306&gt;0,1,0)</x:f>
        <x:v>1</x:v>
      </x:c>
      <x:c r="K306" t="n">
        <x:f>IF(OR(J306=0,G306="",G306=0),"",I306/G306)</x:f>
        <x:v>6.521739130434782</x:v>
      </x:c>
      <x:c r="L306" t="n">
        <x:f>IF(OR(J306=0,I306=0,G306=""),"",G306/I306)</x:f>
        <x:v>0.15333333333333335</x:v>
      </x:c>
      <x:c r="M306" t="str">
        <x:f>IF(OR(J306=0,G306="",H306="",G306=0,H306=0),"",I306/(G306*H306))</x:f>
      </x:c>
      <x:c r="N306" t="n">
        <x:f>IF(K306="","",K306/_xlfn.MAXIFS($K:$K,$E:$E,E306))</x:f>
        <x:v>0.009782608695652173</x:v>
      </x:c>
      <x:c r="O306" t="str">
        <x:f>IF(M306="","",M306/_xlfn.MAXIFS($M:$M,$E:$E,E306))</x:f>
      </x:c>
      <x:c r="P306" t="str">
        <x:f>IF(OR(N306="",O306=""),"",SQRT(N306*O306))</x:f>
      </x:c>
      <x:c r="Q306" t="str">
        <x:f>IF(OR(N306="",O306=""),"",N306^0.7*O306^0.3)</x:f>
      </x:c>
      <x:c r="R306" t="str">
        <x:f>IF(OR(N306="",O306=""),"",N306^0.3*O306^0.7)</x:f>
      </x:c>
    </x:row>
    <x:row r="307">
      <x:c r="A307" t="inlineStr">
        <x:is>
          <x:t xml:space="preserve">anthropic|claude-opus-5.5|max|reasoning|fallback-true|aa-v4.3.2|snapshot-2026-09-28</x:t>
        </x:is>
      </x:c>
      <x:c r="B307" t="inlineStr">
        <x:is>
          <x:t xml:space="preserve">anthropic|claude-opus-5.5|max|reasoning|fallback-true</x:t>
        </x:is>
      </x:c>
      <x:c r="C307" t="inlineStr">
        <x:is>
          <x:t xml:space="preserve">AA|v4.3.2</x:t>
        </x:is>
      </x:c>
      <x:c r="D307" t="n">
        <x:v>40</x:v>
      </x:c>
      <x:c r="E307" t="n">
        <x:v>30</x:v>
      </x:c>
      <x:c r="F307" t="n">
        <x:f>INDEX(Run_Metrics!$F:$F,D307)</x:f>
        <x:v>58</x:v>
      </x:c>
      <x:c r="G307" t="n">
        <x:f>INDEX(Run_Metrics!$G:$G,D307)</x:f>
        <x:v>5.98</x:v>
      </x:c>
      <x:c r="H307" t="str">
        <x:f>INDEX(Run_Metrics!$I:$I,D307)</x:f>
      </x:c>
      <x:c r="I307" t="n">
        <x:f>IF(F307="","",F307-(E307-1))</x:f>
        <x:v>29</x:v>
      </x:c>
      <x:c r="J307" t="n">
        <x:f>IF(I307&gt;0,1,0)</x:f>
        <x:v>1</x:v>
      </x:c>
      <x:c r="K307" t="n">
        <x:f>IF(OR(J307=0,G307="",G307=0),"",I307/G307)</x:f>
        <x:v>4.849498327759197</x:v>
      </x:c>
      <x:c r="L307" t="n">
        <x:f>IF(OR(J307=0,I307=0,G307=""),"",G307/I307)</x:f>
        <x:v>0.20620689655172414</x:v>
      </x:c>
      <x:c r="M307" t="str">
        <x:f>IF(OR(J307=0,G307="",H307="",G307=0,H307=0),"",I307/(G307*H307))</x:f>
      </x:c>
      <x:c r="N307" t="n">
        <x:f>IF(K307="","",K307/_xlfn.MAXIFS($K:$K,$E:$E,E307))</x:f>
        <x:v>0.032329988851727984</x:v>
      </x:c>
      <x:c r="O307" t="str">
        <x:f>IF(M307="","",M307/_xlfn.MAXIFS($M:$M,$E:$E,E307))</x:f>
      </x:c>
      <x:c r="P307" t="str">
        <x:f>IF(OR(N307="",O307=""),"",SQRT(N307*O307))</x:f>
      </x:c>
      <x:c r="Q307" t="str">
        <x:f>IF(OR(N307="",O307=""),"",N307^0.7*O307^0.3)</x:f>
      </x:c>
      <x:c r="R307" t="str">
        <x:f>IF(OR(N307="",O307=""),"",N307^0.3*O307^0.7)</x:f>
      </x:c>
    </x:row>
    <x:row r="308">
      <x:c r="A308" t="inlineStr">
        <x:is>
          <x:t xml:space="preserve">anthropic|claude-opus-5.5|max|reasoning|fallback-true|aa-v4.3.2|snapshot-2026-09-28</x:t>
        </x:is>
      </x:c>
      <x:c r="B308" t="inlineStr">
        <x:is>
          <x:t xml:space="preserve">anthropic|claude-opus-5.5|max|reasoning|fallback-true</x:t>
        </x:is>
      </x:c>
      <x:c r="C308" t="inlineStr">
        <x:is>
          <x:t xml:space="preserve">AA|v4.3.2</x:t>
        </x:is>
      </x:c>
      <x:c r="D308" t="n">
        <x:v>40</x:v>
      </x:c>
      <x:c r="E308" t="n">
        <x:v>40</x:v>
      </x:c>
      <x:c r="F308" t="n">
        <x:f>INDEX(Run_Metrics!$F:$F,D308)</x:f>
        <x:v>58</x:v>
      </x:c>
      <x:c r="G308" t="n">
        <x:f>INDEX(Run_Metrics!$G:$G,D308)</x:f>
        <x:v>5.98</x:v>
      </x:c>
      <x:c r="H308" t="str">
        <x:f>INDEX(Run_Metrics!$I:$I,D308)</x:f>
      </x:c>
      <x:c r="I308" t="n">
        <x:f>IF(F308="","",F308-(E308-1))</x:f>
        <x:v>19</x:v>
      </x:c>
      <x:c r="J308" t="n">
        <x:f>IF(I308&gt;0,1,0)</x:f>
        <x:v>1</x:v>
      </x:c>
      <x:c r="K308" t="n">
        <x:f>IF(OR(J308=0,G308="",G308=0),"",I308/G308)</x:f>
        <x:v>3.1772575250836117</x:v>
      </x:c>
      <x:c r="L308" t="n">
        <x:f>IF(OR(J308=0,I308=0,G308=""),"",G308/I308)</x:f>
        <x:v>0.3147368421052632</x:v>
      </x:c>
      <x:c r="M308" t="str">
        <x:f>IF(OR(J308=0,G308="",H308="",G308=0,H308=0),"",I308/(G308*H308))</x:f>
      </x:c>
      <x:c r="N308" t="n">
        <x:f>IF(K308="","",K308/_xlfn.MAXIFS($K:$K,$E:$E,E308))</x:f>
        <x:v>0.05900621118012422</x:v>
      </x:c>
      <x:c r="O308" t="str">
        <x:f>IF(M308="","",M308/_xlfn.MAXIFS($M:$M,$E:$E,E308))</x:f>
      </x:c>
      <x:c r="P308" t="str">
        <x:f>IF(OR(N308="",O308=""),"",SQRT(N308*O308))</x:f>
      </x:c>
      <x:c r="Q308" t="str">
        <x:f>IF(OR(N308="",O308=""),"",N308^0.7*O308^0.3)</x:f>
      </x:c>
      <x:c r="R308" t="str">
        <x:f>IF(OR(N308="",O308=""),"",N308^0.3*O308^0.7)</x:f>
      </x:c>
    </x:row>
    <x:row r="309">
      <x:c r="A309" t="inlineStr">
        <x:is>
          <x:t xml:space="preserve">anthropic|claude-opus-5.5|max|reasoning|fallback-true|aa-v4.3.2|snapshot-2026-09-28</x:t>
        </x:is>
      </x:c>
      <x:c r="B309" t="inlineStr">
        <x:is>
          <x:t xml:space="preserve">anthropic|claude-opus-5.5|max|reasoning|fallback-true</x:t>
        </x:is>
      </x:c>
      <x:c r="C309" t="inlineStr">
        <x:is>
          <x:t xml:space="preserve">AA|v4.3.2</x:t>
        </x:is>
      </x:c>
      <x:c r="D309" t="n">
        <x:v>40</x:v>
      </x:c>
      <x:c r="E309" t="n">
        <x:v>45</x:v>
      </x:c>
      <x:c r="F309" t="n">
        <x:f>INDEX(Run_Metrics!$F:$F,D309)</x:f>
        <x:v>58</x:v>
      </x:c>
      <x:c r="G309" t="n">
        <x:f>INDEX(Run_Metrics!$G:$G,D309)</x:f>
        <x:v>5.98</x:v>
      </x:c>
      <x:c r="H309" t="str">
        <x:f>INDEX(Run_Metrics!$I:$I,D309)</x:f>
      </x:c>
      <x:c r="I309" t="n">
        <x:f>IF(F309="","",F309-(E309-1))</x:f>
        <x:v>14</x:v>
      </x:c>
      <x:c r="J309" t="n">
        <x:f>IF(I309&gt;0,1,0)</x:f>
        <x:v>1</x:v>
      </x:c>
      <x:c r="K309" t="n">
        <x:f>IF(OR(J309=0,G309="",G309=0),"",I309/G309)</x:f>
        <x:v>2.341137123745819</x:v>
      </x:c>
      <x:c r="L309" t="n">
        <x:f>IF(OR(J309=0,I309=0,G309=""),"",G309/I309)</x:f>
        <x:v>0.42714285714285716</x:v>
      </x:c>
      <x:c r="M309" t="str">
        <x:f>IF(OR(J309=0,G309="",H309="",G309=0,H309=0),"",I309/(G309*H309))</x:f>
      </x:c>
      <x:c r="N309" t="n">
        <x:f>IF(K309="","",K309/_xlfn.MAXIFS($K:$K,$E:$E,E309))</x:f>
        <x:v>0.1229096989966555</x:v>
      </x:c>
      <x:c r="O309" t="str">
        <x:f>IF(M309="","",M309/_xlfn.MAXIFS($M:$M,$E:$E,E309))</x:f>
      </x:c>
      <x:c r="P309" t="str">
        <x:f>IF(OR(N309="",O309=""),"",SQRT(N309*O309))</x:f>
      </x:c>
      <x:c r="Q309" t="str">
        <x:f>IF(OR(N309="",O309=""),"",N309^0.7*O309^0.3)</x:f>
      </x:c>
      <x:c r="R309" t="str">
        <x:f>IF(OR(N309="",O309=""),"",N309^0.3*O309^0.7)</x:f>
      </x:c>
    </x:row>
    <x:row r="310">
      <x:c r="A310" t="inlineStr">
        <x:is>
          <x:t xml:space="preserve">anthropic|claude-opus-5.5|max|reasoning|fallback-true|aa-v4.3.2|snapshot-2026-09-28</x:t>
        </x:is>
      </x:c>
      <x:c r="B310" t="inlineStr">
        <x:is>
          <x:t xml:space="preserve">anthropic|claude-opus-5.5|max|reasoning|fallback-true</x:t>
        </x:is>
      </x:c>
      <x:c r="C310" t="inlineStr">
        <x:is>
          <x:t xml:space="preserve">AA|v4.3.2</x:t>
        </x:is>
      </x:c>
      <x:c r="D310" t="n">
        <x:v>40</x:v>
      </x:c>
      <x:c r="E310" t="n">
        <x:v>50</x:v>
      </x:c>
      <x:c r="F310" t="n">
        <x:f>INDEX(Run_Metrics!$F:$F,D310)</x:f>
        <x:v>58</x:v>
      </x:c>
      <x:c r="G310" t="n">
        <x:f>INDEX(Run_Metrics!$G:$G,D310)</x:f>
        <x:v>5.98</x:v>
      </x:c>
      <x:c r="H310" t="str">
        <x:f>INDEX(Run_Metrics!$I:$I,D310)</x:f>
      </x:c>
      <x:c r="I310" t="n">
        <x:f>IF(F310="","",F310-(E310-1))</x:f>
        <x:v>9</x:v>
      </x:c>
      <x:c r="J310" t="n">
        <x:f>IF(I310&gt;0,1,0)</x:f>
        <x:v>1</x:v>
      </x:c>
      <x:c r="K310" t="n">
        <x:f>IF(OR(J310=0,G310="",G310=0),"",I310/G310)</x:f>
        <x:v>1.5050167224080266</x:v>
      </x:c>
      <x:c r="L310" t="n">
        <x:f>IF(OR(J310=0,I310=0,G310=""),"",G310/I310)</x:f>
        <x:v>0.6644444444444445</x:v>
      </x:c>
      <x:c r="M310" t="str">
        <x:f>IF(OR(J310=0,G310="",H310="",G310=0,H310=0),"",I310/(G310*H310))</x:f>
      </x:c>
      <x:c r="N310" t="n">
        <x:f>IF(K310="","",K310/_xlfn.MAXIFS($K:$K,$E:$E,E310))</x:f>
        <x:v>0.29347826086956524</x:v>
      </x:c>
      <x:c r="O310" t="str">
        <x:f>IF(M310="","",M310/_xlfn.MAXIFS($M:$M,$E:$E,E310))</x:f>
      </x:c>
      <x:c r="P310" t="str">
        <x:f>IF(OR(N310="",O310=""),"",SQRT(N310*O310))</x:f>
      </x:c>
      <x:c r="Q310" t="str">
        <x:f>IF(OR(N310="",O310=""),"",N310^0.7*O310^0.3)</x:f>
      </x:c>
      <x:c r="R310" t="str">
        <x:f>IF(OR(N310="",O310=""),"",N310^0.3*O310^0.7)</x:f>
      </x:c>
    </x:row>
    <x:row r="311">
      <x:c r="A311" t="inlineStr">
        <x:is>
          <x:t xml:space="preserve">anthropic|claude-opus-5.5|max|reasoning|fallback-true|aa-v4.3.2|snapshot-2026-09-28</x:t>
        </x:is>
      </x:c>
      <x:c r="B311" t="inlineStr">
        <x:is>
          <x:t xml:space="preserve">anthropic|claude-opus-5.5|max|reasoning|fallback-true</x:t>
        </x:is>
      </x:c>
      <x:c r="C311" t="inlineStr">
        <x:is>
          <x:t xml:space="preserve">AA|v4.3.2</x:t>
        </x:is>
      </x:c>
      <x:c r="D311" t="n">
        <x:v>40</x:v>
      </x:c>
      <x:c r="E311" t="n">
        <x:v>52</x:v>
      </x:c>
      <x:c r="F311" t="n">
        <x:f>INDEX(Run_Metrics!$F:$F,D311)</x:f>
        <x:v>58</x:v>
      </x:c>
      <x:c r="G311" t="n">
        <x:f>INDEX(Run_Metrics!$G:$G,D311)</x:f>
        <x:v>5.98</x:v>
      </x:c>
      <x:c r="H311" t="str">
        <x:f>INDEX(Run_Metrics!$I:$I,D311)</x:f>
      </x:c>
      <x:c r="I311" t="n">
        <x:f>IF(F311="","",F311-(E311-1))</x:f>
        <x:v>7</x:v>
      </x:c>
      <x:c r="J311" t="n">
        <x:f>IF(I311&gt;0,1,0)</x:f>
        <x:v>1</x:v>
      </x:c>
      <x:c r="K311" t="n">
        <x:f>IF(OR(J311=0,G311="",G311=0),"",I311/G311)</x:f>
        <x:v>1.1705685618729096</x:v>
      </x:c>
      <x:c r="L311" t="n">
        <x:f>IF(OR(J311=0,I311=0,G311=""),"",G311/I311)</x:f>
        <x:v>0.8542857142857143</x:v>
      </x:c>
      <x:c r="M311" t="str">
        <x:f>IF(OR(J311=0,G311="",H311="",G311=0,H311=0),"",I311/(G311*H311))</x:f>
      </x:c>
      <x:c r="N311" t="n">
        <x:f>IF(K311="","",K311/_xlfn.MAXIFS($K:$K,$E:$E,E311))</x:f>
        <x:v>0.7101449275362318</x:v>
      </x:c>
      <x:c r="O311" t="str">
        <x:f>IF(M311="","",M311/_xlfn.MAXIFS($M:$M,$E:$E,E311))</x:f>
      </x:c>
      <x:c r="P311" t="str">
        <x:f>IF(OR(N311="",O311=""),"",SQRT(N311*O311))</x:f>
      </x:c>
      <x:c r="Q311" t="str">
        <x:f>IF(OR(N311="",O311=""),"",N311^0.7*O311^0.3)</x:f>
      </x:c>
      <x:c r="R311" t="str">
        <x:f>IF(OR(N311="",O311=""),"",N311^0.3*O311^0.7)</x:f>
      </x:c>
    </x:row>
    <x:row r="312">
      <x:c r="A312" t="inlineStr">
        <x:is>
          <x:t xml:space="preserve">anthropic|claude-opus-5.5|max|reasoning|fallback-true|aa-v4.3.2|snapshot-2026-09-28</x:t>
        </x:is>
      </x:c>
      <x:c r="B312" t="inlineStr">
        <x:is>
          <x:t xml:space="preserve">anthropic|claude-opus-5.5|max|reasoning|fallback-true</x:t>
        </x:is>
      </x:c>
      <x:c r="C312" t="inlineStr">
        <x:is>
          <x:t xml:space="preserve">AA|v4.3.2</x:t>
        </x:is>
      </x:c>
      <x:c r="D312" t="n">
        <x:v>40</x:v>
      </x:c>
      <x:c r="E312" t="n">
        <x:v>65</x:v>
      </x:c>
      <x:c r="F312" t="n">
        <x:f>INDEX(Run_Metrics!$F:$F,D312)</x:f>
        <x:v>58</x:v>
      </x:c>
      <x:c r="G312" t="n">
        <x:f>INDEX(Run_Metrics!$G:$G,D312)</x:f>
        <x:v>5.98</x:v>
      </x:c>
      <x:c r="H312" t="str">
        <x:f>INDEX(Run_Metrics!$I:$I,D312)</x:f>
      </x:c>
      <x:c r="I312" t="n">
        <x:f>IF(F312="","",F312-(E312-1))</x:f>
        <x:v>-6</x:v>
      </x:c>
      <x:c r="J312" t="n">
        <x:f>IF(I312&gt;0,1,0)</x:f>
        <x:v>0</x:v>
      </x:c>
      <x:c r="K312" t="str">
        <x:f>IF(OR(J312=0,G312="",G312=0),"",I312/G312)</x:f>
      </x:c>
      <x:c r="L312" t="str">
        <x:f>IF(OR(J312=0,I312=0,G312=""),"",G312/I312)</x:f>
      </x:c>
      <x:c r="M312" t="str">
        <x:f>IF(OR(J312=0,G312="",H312="",G312=0,H312=0),"",I312/(G312*H312))</x:f>
      </x:c>
      <x:c r="N312" t="str">
        <x:f>IF(K312="","",K312/_xlfn.MAXIFS($K:$K,$E:$E,E312))</x:f>
      </x:c>
      <x:c r="O312" t="str">
        <x:f>IF(M312="","",M312/_xlfn.MAXIFS($M:$M,$E:$E,E312))</x:f>
      </x:c>
      <x:c r="P312" t="str">
        <x:f>IF(OR(N312="",O312=""),"",SQRT(N312*O312))</x:f>
      </x:c>
      <x:c r="Q312" t="str">
        <x:f>IF(OR(N312="",O312=""),"",N312^0.7*O312^0.3)</x:f>
      </x:c>
      <x:c r="R312" t="str">
        <x:f>IF(OR(N312="",O312=""),"",N312^0.3*O312^0.7)</x:f>
      </x:c>
    </x:row>
    <x:row r="313">
      <x:c r="A313" t="inlineStr">
        <x:is>
          <x:t xml:space="preserve">anthropic|claude-opus-5.5|max|reasoning|fallback-true|aa-v4.3.2|snapshot-2026-09-28</x:t>
        </x:is>
      </x:c>
      <x:c r="B313" t="inlineStr">
        <x:is>
          <x:t xml:space="preserve">anthropic|claude-opus-5.5|max|reasoning|fallback-true</x:t>
        </x:is>
      </x:c>
      <x:c r="C313" t="inlineStr">
        <x:is>
          <x:t xml:space="preserve">AA|v4.3.2</x:t>
        </x:is>
      </x:c>
      <x:c r="D313" t="n">
        <x:v>40</x:v>
      </x:c>
      <x:c r="E313" t="n">
        <x:v>80</x:v>
      </x:c>
      <x:c r="F313" t="n">
        <x:f>INDEX(Run_Metrics!$F:$F,D313)</x:f>
        <x:v>58</x:v>
      </x:c>
      <x:c r="G313" t="n">
        <x:f>INDEX(Run_Metrics!$G:$G,D313)</x:f>
        <x:v>5.98</x:v>
      </x:c>
      <x:c r="H313" t="str">
        <x:f>INDEX(Run_Metrics!$I:$I,D313)</x:f>
      </x:c>
      <x:c r="I313" t="n">
        <x:f>IF(F313="","",F313-(E313-1))</x:f>
        <x:v>-21</x:v>
      </x:c>
      <x:c r="J313" t="n">
        <x:f>IF(I313&gt;0,1,0)</x:f>
        <x:v>0</x:v>
      </x:c>
      <x:c r="K313" t="str">
        <x:f>IF(OR(J313=0,G313="",G313=0),"",I313/G313)</x:f>
      </x:c>
      <x:c r="L313" t="str">
        <x:f>IF(OR(J313=0,I313=0,G313=""),"",G313/I313)</x:f>
      </x:c>
      <x:c r="M313" t="str">
        <x:f>IF(OR(J313=0,G313="",H313="",G313=0,H313=0),"",I313/(G313*H313))</x:f>
      </x:c>
      <x:c r="N313" t="str">
        <x:f>IF(K313="","",K313/_xlfn.MAXIFS($K:$K,$E:$E,E313))</x:f>
      </x:c>
      <x:c r="O313" t="str">
        <x:f>IF(M313="","",M313/_xlfn.MAXIFS($M:$M,$E:$E,E313))</x:f>
      </x:c>
      <x:c r="P313" t="str">
        <x:f>IF(OR(N313="",O313=""),"",SQRT(N313*O313))</x:f>
      </x:c>
      <x:c r="Q313" t="str">
        <x:f>IF(OR(N313="",O313=""),"",N313^0.7*O313^0.3)</x:f>
      </x:c>
      <x:c r="R313" t="str">
        <x:f>IF(OR(N313="",O313=""),"",N313^0.3*O313^0.7)</x:f>
      </x:c>
    </x:row>
    <x:row r="314">
      <x:c r="A314" t="inlineStr">
        <x:is>
          <x:t xml:space="preserve">anthropic|claude-opus-5|low|reasoning|fallback-na|aa-v4.3.2|snapshot-2026-09-28</x:t>
        </x:is>
      </x:c>
      <x:c r="B314" t="inlineStr">
        <x:is>
          <x:t xml:space="preserve">anthropic|claude-opus-5|low|reasoning|fallback-na</x:t>
        </x:is>
      </x:c>
      <x:c r="C314" t="inlineStr">
        <x:is>
          <x:t xml:space="preserve">AA|v4.3.2</x:t>
        </x:is>
      </x:c>
      <x:c r="D314" t="n">
        <x:v>41</x:v>
      </x:c>
      <x:c r="E314" t="n">
        <x:v>20</x:v>
      </x:c>
      <x:c r="F314" t="n">
        <x:f>INDEX(Run_Metrics!$F:$F,D314)</x:f>
        <x:v>40</x:v>
      </x:c>
      <x:c r="G314" t="n">
        <x:f>INDEX(Run_Metrics!$G:$G,D314)</x:f>
        <x:v>1.1</x:v>
      </x:c>
      <x:c r="H314" t="str">
        <x:f>INDEX(Run_Metrics!$I:$I,D314)</x:f>
      </x:c>
      <x:c r="I314" t="n">
        <x:f>IF(F314="","",F314-(E314-1))</x:f>
        <x:v>21</x:v>
      </x:c>
      <x:c r="J314" t="n">
        <x:f>IF(I314&gt;0,1,0)</x:f>
        <x:v>1</x:v>
      </x:c>
      <x:c r="K314" t="n">
        <x:f>IF(OR(J314=0,G314="",G314=0),"",I314/G314)</x:f>
        <x:v>19.09090909090909</x:v>
      </x:c>
      <x:c r="L314" t="n">
        <x:f>IF(OR(J314=0,I314=0,G314=""),"",G314/I314)</x:f>
        <x:v>0.05238095238095238</x:v>
      </x:c>
      <x:c r="M314" t="str">
        <x:f>IF(OR(J314=0,G314="",H314="",G314=0,H314=0),"",I314/(G314*H314))</x:f>
      </x:c>
      <x:c r="N314" t="n">
        <x:f>IF(K314="","",K314/_xlfn.MAXIFS($K:$K,$E:$E,E314))</x:f>
        <x:v>0.02863636363636363</x:v>
      </x:c>
      <x:c r="O314" t="str">
        <x:f>IF(M314="","",M314/_xlfn.MAXIFS($M:$M,$E:$E,E314))</x:f>
      </x:c>
      <x:c r="P314" t="str">
        <x:f>IF(OR(N314="",O314=""),"",SQRT(N314*O314))</x:f>
      </x:c>
      <x:c r="Q314" t="str">
        <x:f>IF(OR(N314="",O314=""),"",N314^0.7*O314^0.3)</x:f>
      </x:c>
      <x:c r="R314" t="str">
        <x:f>IF(OR(N314="",O314=""),"",N314^0.3*O314^0.7)</x:f>
      </x:c>
    </x:row>
    <x:row r="315">
      <x:c r="A315" t="inlineStr">
        <x:is>
          <x:t xml:space="preserve">anthropic|claude-opus-5|low|reasoning|fallback-na|aa-v4.3.2|snapshot-2026-09-28</x:t>
        </x:is>
      </x:c>
      <x:c r="B315" t="inlineStr">
        <x:is>
          <x:t xml:space="preserve">anthropic|claude-opus-5|low|reasoning|fallback-na</x:t>
        </x:is>
      </x:c>
      <x:c r="C315" t="inlineStr">
        <x:is>
          <x:t xml:space="preserve">AA|v4.3.2</x:t>
        </x:is>
      </x:c>
      <x:c r="D315" t="n">
        <x:v>41</x:v>
      </x:c>
      <x:c r="E315" t="n">
        <x:v>30</x:v>
      </x:c>
      <x:c r="F315" t="n">
        <x:f>INDEX(Run_Metrics!$F:$F,D315)</x:f>
        <x:v>40</x:v>
      </x:c>
      <x:c r="G315" t="n">
        <x:f>INDEX(Run_Metrics!$G:$G,D315)</x:f>
        <x:v>1.1</x:v>
      </x:c>
      <x:c r="H315" t="str">
        <x:f>INDEX(Run_Metrics!$I:$I,D315)</x:f>
      </x:c>
      <x:c r="I315" t="n">
        <x:f>IF(F315="","",F315-(E315-1))</x:f>
        <x:v>11</x:v>
      </x:c>
      <x:c r="J315" t="n">
        <x:f>IF(I315&gt;0,1,0)</x:f>
        <x:v>1</x:v>
      </x:c>
      <x:c r="K315" t="n">
        <x:f>IF(OR(J315=0,G315="",G315=0),"",I315/G315)</x:f>
        <x:v>10</x:v>
      </x:c>
      <x:c r="L315" t="n">
        <x:f>IF(OR(J315=0,I315=0,G315=""),"",G315/I315)</x:f>
        <x:v>0.1</x:v>
      </x:c>
      <x:c r="M315" t="str">
        <x:f>IF(OR(J315=0,G315="",H315="",G315=0,H315=0),"",I315/(G315*H315))</x:f>
      </x:c>
      <x:c r="N315" t="n">
        <x:f>IF(K315="","",K315/_xlfn.MAXIFS($K:$K,$E:$E,E315))</x:f>
        <x:v>0.06666666666666667</x:v>
      </x:c>
      <x:c r="O315" t="str">
        <x:f>IF(M315="","",M315/_xlfn.MAXIFS($M:$M,$E:$E,E315))</x:f>
      </x:c>
      <x:c r="P315" t="str">
        <x:f>IF(OR(N315="",O315=""),"",SQRT(N315*O315))</x:f>
      </x:c>
      <x:c r="Q315" t="str">
        <x:f>IF(OR(N315="",O315=""),"",N315^0.7*O315^0.3)</x:f>
      </x:c>
      <x:c r="R315" t="str">
        <x:f>IF(OR(N315="",O315=""),"",N315^0.3*O315^0.7)</x:f>
      </x:c>
    </x:row>
    <x:row r="316">
      <x:c r="A316" t="inlineStr">
        <x:is>
          <x:t xml:space="preserve">anthropic|claude-opus-5|low|reasoning|fallback-na|aa-v4.3.2|snapshot-2026-09-28</x:t>
        </x:is>
      </x:c>
      <x:c r="B316" t="inlineStr">
        <x:is>
          <x:t xml:space="preserve">anthropic|claude-opus-5|low|reasoning|fallback-na</x:t>
        </x:is>
      </x:c>
      <x:c r="C316" t="inlineStr">
        <x:is>
          <x:t xml:space="preserve">AA|v4.3.2</x:t>
        </x:is>
      </x:c>
      <x:c r="D316" t="n">
        <x:v>41</x:v>
      </x:c>
      <x:c r="E316" t="n">
        <x:v>40</x:v>
      </x:c>
      <x:c r="F316" t="n">
        <x:f>INDEX(Run_Metrics!$F:$F,D316)</x:f>
        <x:v>40</x:v>
      </x:c>
      <x:c r="G316" t="n">
        <x:f>INDEX(Run_Metrics!$G:$G,D316)</x:f>
        <x:v>1.1</x:v>
      </x:c>
      <x:c r="H316" t="str">
        <x:f>INDEX(Run_Metrics!$I:$I,D316)</x:f>
      </x:c>
      <x:c r="I316" t="n">
        <x:f>IF(F316="","",F316-(E316-1))</x:f>
        <x:v>1</x:v>
      </x:c>
      <x:c r="J316" t="n">
        <x:f>IF(I316&gt;0,1,0)</x:f>
        <x:v>1</x:v>
      </x:c>
      <x:c r="K316" t="n">
        <x:f>IF(OR(J316=0,G316="",G316=0),"",I316/G316)</x:f>
        <x:v>0.9090909090909091</x:v>
      </x:c>
      <x:c r="L316" t="n">
        <x:f>IF(OR(J316=0,I316=0,G316=""),"",G316/I316)</x:f>
        <x:v>1.1</x:v>
      </x:c>
      <x:c r="M316" t="str">
        <x:f>IF(OR(J316=0,G316="",H316="",G316=0,H316=0),"",I316/(G316*H316))</x:f>
      </x:c>
      <x:c r="N316" t="n">
        <x:f>IF(K316="","",K316/_xlfn.MAXIFS($K:$K,$E:$E,E316))</x:f>
        <x:v>0.016883116883116882</x:v>
      </x:c>
      <x:c r="O316" t="str">
        <x:f>IF(M316="","",M316/_xlfn.MAXIFS($M:$M,$E:$E,E316))</x:f>
      </x:c>
      <x:c r="P316" t="str">
        <x:f>IF(OR(N316="",O316=""),"",SQRT(N316*O316))</x:f>
      </x:c>
      <x:c r="Q316" t="str">
        <x:f>IF(OR(N316="",O316=""),"",N316^0.7*O316^0.3)</x:f>
      </x:c>
      <x:c r="R316" t="str">
        <x:f>IF(OR(N316="",O316=""),"",N316^0.3*O316^0.7)</x:f>
      </x:c>
    </x:row>
    <x:row r="317">
      <x:c r="A317" t="inlineStr">
        <x:is>
          <x:t xml:space="preserve">anthropic|claude-opus-5|low|reasoning|fallback-na|aa-v4.3.2|snapshot-2026-09-28</x:t>
        </x:is>
      </x:c>
      <x:c r="B317" t="inlineStr">
        <x:is>
          <x:t xml:space="preserve">anthropic|claude-opus-5|low|reasoning|fallback-na</x:t>
        </x:is>
      </x:c>
      <x:c r="C317" t="inlineStr">
        <x:is>
          <x:t xml:space="preserve">AA|v4.3.2</x:t>
        </x:is>
      </x:c>
      <x:c r="D317" t="n">
        <x:v>41</x:v>
      </x:c>
      <x:c r="E317" t="n">
        <x:v>45</x:v>
      </x:c>
      <x:c r="F317" t="n">
        <x:f>INDEX(Run_Metrics!$F:$F,D317)</x:f>
        <x:v>40</x:v>
      </x:c>
      <x:c r="G317" t="n">
        <x:f>INDEX(Run_Metrics!$G:$G,D317)</x:f>
        <x:v>1.1</x:v>
      </x:c>
      <x:c r="H317" t="str">
        <x:f>INDEX(Run_Metrics!$I:$I,D317)</x:f>
      </x:c>
      <x:c r="I317" t="n">
        <x:f>IF(F317="","",F317-(E317-1))</x:f>
        <x:v>-4</x:v>
      </x:c>
      <x:c r="J317" t="n">
        <x:f>IF(I317&gt;0,1,0)</x:f>
        <x:v>0</x:v>
      </x:c>
      <x:c r="K317" t="str">
        <x:f>IF(OR(J317=0,G317="",G317=0),"",I317/G317)</x:f>
      </x:c>
      <x:c r="L317" t="str">
        <x:f>IF(OR(J317=0,I317=0,G317=""),"",G317/I317)</x:f>
      </x:c>
      <x:c r="M317" t="str">
        <x:f>IF(OR(J317=0,G317="",H317="",G317=0,H317=0),"",I317/(G317*H317))</x:f>
      </x:c>
      <x:c r="N317" t="str">
        <x:f>IF(K317="","",K317/_xlfn.MAXIFS($K:$K,$E:$E,E317))</x:f>
      </x:c>
      <x:c r="O317" t="str">
        <x:f>IF(M317="","",M317/_xlfn.MAXIFS($M:$M,$E:$E,E317))</x:f>
      </x:c>
      <x:c r="P317" t="str">
        <x:f>IF(OR(N317="",O317=""),"",SQRT(N317*O317))</x:f>
      </x:c>
      <x:c r="Q317" t="str">
        <x:f>IF(OR(N317="",O317=""),"",N317^0.7*O317^0.3)</x:f>
      </x:c>
      <x:c r="R317" t="str">
        <x:f>IF(OR(N317="",O317=""),"",N317^0.3*O317^0.7)</x:f>
      </x:c>
    </x:row>
    <x:row r="318">
      <x:c r="A318" t="inlineStr">
        <x:is>
          <x:t xml:space="preserve">anthropic|claude-opus-5|low|reasoning|fallback-na|aa-v4.3.2|snapshot-2026-09-28</x:t>
        </x:is>
      </x:c>
      <x:c r="B318" t="inlineStr">
        <x:is>
          <x:t xml:space="preserve">anthropic|claude-opus-5|low|reasoning|fallback-na</x:t>
        </x:is>
      </x:c>
      <x:c r="C318" t="inlineStr">
        <x:is>
          <x:t xml:space="preserve">AA|v4.3.2</x:t>
        </x:is>
      </x:c>
      <x:c r="D318" t="n">
        <x:v>41</x:v>
      </x:c>
      <x:c r="E318" t="n">
        <x:v>50</x:v>
      </x:c>
      <x:c r="F318" t="n">
        <x:f>INDEX(Run_Metrics!$F:$F,D318)</x:f>
        <x:v>40</x:v>
      </x:c>
      <x:c r="G318" t="n">
        <x:f>INDEX(Run_Metrics!$G:$G,D318)</x:f>
        <x:v>1.1</x:v>
      </x:c>
      <x:c r="H318" t="str">
        <x:f>INDEX(Run_Metrics!$I:$I,D318)</x:f>
      </x:c>
      <x:c r="I318" t="n">
        <x:f>IF(F318="","",F318-(E318-1))</x:f>
        <x:v>-9</x:v>
      </x:c>
      <x:c r="J318" t="n">
        <x:f>IF(I318&gt;0,1,0)</x:f>
        <x:v>0</x:v>
      </x:c>
      <x:c r="K318" t="str">
        <x:f>IF(OR(J318=0,G318="",G318=0),"",I318/G318)</x:f>
      </x:c>
      <x:c r="L318" t="str">
        <x:f>IF(OR(J318=0,I318=0,G318=""),"",G318/I318)</x:f>
      </x:c>
      <x:c r="M318" t="str">
        <x:f>IF(OR(J318=0,G318="",H318="",G318=0,H318=0),"",I318/(G318*H318))</x:f>
      </x:c>
      <x:c r="N318" t="str">
        <x:f>IF(K318="","",K318/_xlfn.MAXIFS($K:$K,$E:$E,E318))</x:f>
      </x:c>
      <x:c r="O318" t="str">
        <x:f>IF(M318="","",M318/_xlfn.MAXIFS($M:$M,$E:$E,E318))</x:f>
      </x:c>
      <x:c r="P318" t="str">
        <x:f>IF(OR(N318="",O318=""),"",SQRT(N318*O318))</x:f>
      </x:c>
      <x:c r="Q318" t="str">
        <x:f>IF(OR(N318="",O318=""),"",N318^0.7*O318^0.3)</x:f>
      </x:c>
      <x:c r="R318" t="str">
        <x:f>IF(OR(N318="",O318=""),"",N318^0.3*O318^0.7)</x:f>
      </x:c>
    </x:row>
    <x:row r="319">
      <x:c r="A319" t="inlineStr">
        <x:is>
          <x:t xml:space="preserve">anthropic|claude-opus-5|low|reasoning|fallback-na|aa-v4.3.2|snapshot-2026-09-28</x:t>
        </x:is>
      </x:c>
      <x:c r="B319" t="inlineStr">
        <x:is>
          <x:t xml:space="preserve">anthropic|claude-opus-5|low|reasoning|fallback-na</x:t>
        </x:is>
      </x:c>
      <x:c r="C319" t="inlineStr">
        <x:is>
          <x:t xml:space="preserve">AA|v4.3.2</x:t>
        </x:is>
      </x:c>
      <x:c r="D319" t="n">
        <x:v>41</x:v>
      </x:c>
      <x:c r="E319" t="n">
        <x:v>52</x:v>
      </x:c>
      <x:c r="F319" t="n">
        <x:f>INDEX(Run_Metrics!$F:$F,D319)</x:f>
        <x:v>40</x:v>
      </x:c>
      <x:c r="G319" t="n">
        <x:f>INDEX(Run_Metrics!$G:$G,D319)</x:f>
        <x:v>1.1</x:v>
      </x:c>
      <x:c r="H319" t="str">
        <x:f>INDEX(Run_Metrics!$I:$I,D319)</x:f>
      </x:c>
      <x:c r="I319" t="n">
        <x:f>IF(F319="","",F319-(E319-1))</x:f>
        <x:v>-11</x:v>
      </x:c>
      <x:c r="J319" t="n">
        <x:f>IF(I319&gt;0,1,0)</x:f>
        <x:v>0</x:v>
      </x:c>
      <x:c r="K319" t="str">
        <x:f>IF(OR(J319=0,G319="",G319=0),"",I319/G319)</x:f>
      </x:c>
      <x:c r="L319" t="str">
        <x:f>IF(OR(J319=0,I319=0,G319=""),"",G319/I319)</x:f>
      </x:c>
      <x:c r="M319" t="str">
        <x:f>IF(OR(J319=0,G319="",H319="",G319=0,H319=0),"",I319/(G319*H319))</x:f>
      </x:c>
      <x:c r="N319" t="str">
        <x:f>IF(K319="","",K319/_xlfn.MAXIFS($K:$K,$E:$E,E319))</x:f>
      </x:c>
      <x:c r="O319" t="str">
        <x:f>IF(M319="","",M319/_xlfn.MAXIFS($M:$M,$E:$E,E319))</x:f>
      </x:c>
      <x:c r="P319" t="str">
        <x:f>IF(OR(N319="",O319=""),"",SQRT(N319*O319))</x:f>
      </x:c>
      <x:c r="Q319" t="str">
        <x:f>IF(OR(N319="",O319=""),"",N319^0.7*O319^0.3)</x:f>
      </x:c>
      <x:c r="R319" t="str">
        <x:f>IF(OR(N319="",O319=""),"",N319^0.3*O319^0.7)</x:f>
      </x:c>
    </x:row>
    <x:row r="320">
      <x:c r="A320" t="inlineStr">
        <x:is>
          <x:t xml:space="preserve">anthropic|claude-opus-5|low|reasoning|fallback-na|aa-v4.3.2|snapshot-2026-09-28</x:t>
        </x:is>
      </x:c>
      <x:c r="B320" t="inlineStr">
        <x:is>
          <x:t xml:space="preserve">anthropic|claude-opus-5|low|reasoning|fallback-na</x:t>
        </x:is>
      </x:c>
      <x:c r="C320" t="inlineStr">
        <x:is>
          <x:t xml:space="preserve">AA|v4.3.2</x:t>
        </x:is>
      </x:c>
      <x:c r="D320" t="n">
        <x:v>41</x:v>
      </x:c>
      <x:c r="E320" t="n">
        <x:v>65</x:v>
      </x:c>
      <x:c r="F320" t="n">
        <x:f>INDEX(Run_Metrics!$F:$F,D320)</x:f>
        <x:v>40</x:v>
      </x:c>
      <x:c r="G320" t="n">
        <x:f>INDEX(Run_Metrics!$G:$G,D320)</x:f>
        <x:v>1.1</x:v>
      </x:c>
      <x:c r="H320" t="str">
        <x:f>INDEX(Run_Metrics!$I:$I,D320)</x:f>
      </x:c>
      <x:c r="I320" t="n">
        <x:f>IF(F320="","",F320-(E320-1))</x:f>
        <x:v>-24</x:v>
      </x:c>
      <x:c r="J320" t="n">
        <x:f>IF(I320&gt;0,1,0)</x:f>
        <x:v>0</x:v>
      </x:c>
      <x:c r="K320" t="str">
        <x:f>IF(OR(J320=0,G320="",G320=0),"",I320/G320)</x:f>
      </x:c>
      <x:c r="L320" t="str">
        <x:f>IF(OR(J320=0,I320=0,G320=""),"",G320/I320)</x:f>
      </x:c>
      <x:c r="M320" t="str">
        <x:f>IF(OR(J320=0,G320="",H320="",G320=0,H320=0),"",I320/(G320*H320))</x:f>
      </x:c>
      <x:c r="N320" t="str">
        <x:f>IF(K320="","",K320/_xlfn.MAXIFS($K:$K,$E:$E,E320))</x:f>
      </x:c>
      <x:c r="O320" t="str">
        <x:f>IF(M320="","",M320/_xlfn.MAXIFS($M:$M,$E:$E,E320))</x:f>
      </x:c>
      <x:c r="P320" t="str">
        <x:f>IF(OR(N320="",O320=""),"",SQRT(N320*O320))</x:f>
      </x:c>
      <x:c r="Q320" t="str">
        <x:f>IF(OR(N320="",O320=""),"",N320^0.7*O320^0.3)</x:f>
      </x:c>
      <x:c r="R320" t="str">
        <x:f>IF(OR(N320="",O320=""),"",N320^0.3*O320^0.7)</x:f>
      </x:c>
    </x:row>
    <x:row r="321">
      <x:c r="A321" t="inlineStr">
        <x:is>
          <x:t xml:space="preserve">anthropic|claude-opus-5|low|reasoning|fallback-na|aa-v4.3.2|snapshot-2026-09-28</x:t>
        </x:is>
      </x:c>
      <x:c r="B321" t="inlineStr">
        <x:is>
          <x:t xml:space="preserve">anthropic|claude-opus-5|low|reasoning|fallback-na</x:t>
        </x:is>
      </x:c>
      <x:c r="C321" t="inlineStr">
        <x:is>
          <x:t xml:space="preserve">AA|v4.3.2</x:t>
        </x:is>
      </x:c>
      <x:c r="D321" t="n">
        <x:v>41</x:v>
      </x:c>
      <x:c r="E321" t="n">
        <x:v>80</x:v>
      </x:c>
      <x:c r="F321" t="n">
        <x:f>INDEX(Run_Metrics!$F:$F,D321)</x:f>
        <x:v>40</x:v>
      </x:c>
      <x:c r="G321" t="n">
        <x:f>INDEX(Run_Metrics!$G:$G,D321)</x:f>
        <x:v>1.1</x:v>
      </x:c>
      <x:c r="H321" t="str">
        <x:f>INDEX(Run_Metrics!$I:$I,D321)</x:f>
      </x:c>
      <x:c r="I321" t="n">
        <x:f>IF(F321="","",F321-(E321-1))</x:f>
        <x:v>-39</x:v>
      </x:c>
      <x:c r="J321" t="n">
        <x:f>IF(I321&gt;0,1,0)</x:f>
        <x:v>0</x:v>
      </x:c>
      <x:c r="K321" t="str">
        <x:f>IF(OR(J321=0,G321="",G321=0),"",I321/G321)</x:f>
      </x:c>
      <x:c r="L321" t="str">
        <x:f>IF(OR(J321=0,I321=0,G321=""),"",G321/I321)</x:f>
      </x:c>
      <x:c r="M321" t="str">
        <x:f>IF(OR(J321=0,G321="",H321="",G321=0,H321=0),"",I321/(G321*H321))</x:f>
      </x:c>
      <x:c r="N321" t="str">
        <x:f>IF(K321="","",K321/_xlfn.MAXIFS($K:$K,$E:$E,E321))</x:f>
      </x:c>
      <x:c r="O321" t="str">
        <x:f>IF(M321="","",M321/_xlfn.MAXIFS($M:$M,$E:$E,E321))</x:f>
      </x:c>
      <x:c r="P321" t="str">
        <x:f>IF(OR(N321="",O321=""),"",SQRT(N321*O321))</x:f>
      </x:c>
      <x:c r="Q321" t="str">
        <x:f>IF(OR(N321="",O321=""),"",N321^0.7*O321^0.3)</x:f>
      </x:c>
      <x:c r="R321" t="str">
        <x:f>IF(OR(N321="",O321=""),"",N321^0.3*O321^0.7)</x:f>
      </x:c>
    </x:row>
    <x:row r="322">
      <x:c r="A322" t="inlineStr">
        <x:is>
          <x:t xml:space="preserve">anthropic|claude-opus-5|medium|reasoning|fallback-na|aa-v4.3.2|snapshot-2026-09-28</x:t>
        </x:is>
      </x:c>
      <x:c r="B322" t="inlineStr">
        <x:is>
          <x:t xml:space="preserve">anthropic|claude-opus-5|medium|reasoning|fallback-na</x:t>
        </x:is>
      </x:c>
      <x:c r="C322" t="inlineStr">
        <x:is>
          <x:t xml:space="preserve">AA|v4.3.2</x:t>
        </x:is>
      </x:c>
      <x:c r="D322" t="n">
        <x:v>42</x:v>
      </x:c>
      <x:c r="E322" t="n">
        <x:v>20</x:v>
      </x:c>
      <x:c r="F322" t="n">
        <x:f>INDEX(Run_Metrics!$F:$F,D322)</x:f>
        <x:v>45</x:v>
      </x:c>
      <x:c r="G322" t="n">
        <x:f>INDEX(Run_Metrics!$G:$G,D322)</x:f>
        <x:v>2.19</x:v>
      </x:c>
      <x:c r="H322" t="str">
        <x:f>INDEX(Run_Metrics!$I:$I,D322)</x:f>
      </x:c>
      <x:c r="I322" t="n">
        <x:f>IF(F322="","",F322-(E322-1))</x:f>
        <x:v>26</x:v>
      </x:c>
      <x:c r="J322" t="n">
        <x:f>IF(I322&gt;0,1,0)</x:f>
        <x:v>1</x:v>
      </x:c>
      <x:c r="K322" t="n">
        <x:f>IF(OR(J322=0,G322="",G322=0),"",I322/G322)</x:f>
        <x:v>11.872146118721462</x:v>
      </x:c>
      <x:c r="L322" t="n">
        <x:f>IF(OR(J322=0,I322=0,G322=""),"",G322/I322)</x:f>
        <x:v>0.08423076923076923</x:v>
      </x:c>
      <x:c r="M322" t="str">
        <x:f>IF(OR(J322=0,G322="",H322="",G322=0,H322=0),"",I322/(G322*H322))</x:f>
      </x:c>
      <x:c r="N322" t="n">
        <x:f>IF(K322="","",K322/_xlfn.MAXIFS($K:$K,$E:$E,E322))</x:f>
        <x:v>0.01780821917808219</x:v>
      </x:c>
      <x:c r="O322" t="str">
        <x:f>IF(M322="","",M322/_xlfn.MAXIFS($M:$M,$E:$E,E322))</x:f>
      </x:c>
      <x:c r="P322" t="str">
        <x:f>IF(OR(N322="",O322=""),"",SQRT(N322*O322))</x:f>
      </x:c>
      <x:c r="Q322" t="str">
        <x:f>IF(OR(N322="",O322=""),"",N322^0.7*O322^0.3)</x:f>
      </x:c>
      <x:c r="R322" t="str">
        <x:f>IF(OR(N322="",O322=""),"",N322^0.3*O322^0.7)</x:f>
      </x:c>
    </x:row>
    <x:row r="323">
      <x:c r="A323" t="inlineStr">
        <x:is>
          <x:t xml:space="preserve">anthropic|claude-opus-5|medium|reasoning|fallback-na|aa-v4.3.2|snapshot-2026-09-28</x:t>
        </x:is>
      </x:c>
      <x:c r="B323" t="inlineStr">
        <x:is>
          <x:t xml:space="preserve">anthropic|claude-opus-5|medium|reasoning|fallback-na</x:t>
        </x:is>
      </x:c>
      <x:c r="C323" t="inlineStr">
        <x:is>
          <x:t xml:space="preserve">AA|v4.3.2</x:t>
        </x:is>
      </x:c>
      <x:c r="D323" t="n">
        <x:v>42</x:v>
      </x:c>
      <x:c r="E323" t="n">
        <x:v>30</x:v>
      </x:c>
      <x:c r="F323" t="n">
        <x:f>INDEX(Run_Metrics!$F:$F,D323)</x:f>
        <x:v>45</x:v>
      </x:c>
      <x:c r="G323" t="n">
        <x:f>INDEX(Run_Metrics!$G:$G,D323)</x:f>
        <x:v>2.19</x:v>
      </x:c>
      <x:c r="H323" t="str">
        <x:f>INDEX(Run_Metrics!$I:$I,D323)</x:f>
      </x:c>
      <x:c r="I323" t="n">
        <x:f>IF(F323="","",F323-(E323-1))</x:f>
        <x:v>16</x:v>
      </x:c>
      <x:c r="J323" t="n">
        <x:f>IF(I323&gt;0,1,0)</x:f>
        <x:v>1</x:v>
      </x:c>
      <x:c r="K323" t="n">
        <x:f>IF(OR(J323=0,G323="",G323=0),"",I323/G323)</x:f>
        <x:v>7.305936073059361</x:v>
      </x:c>
      <x:c r="L323" t="n">
        <x:f>IF(OR(J323=0,I323=0,G323=""),"",G323/I323)</x:f>
        <x:v>0.136875</x:v>
      </x:c>
      <x:c r="M323" t="str">
        <x:f>IF(OR(J323=0,G323="",H323="",G323=0,H323=0),"",I323/(G323*H323))</x:f>
      </x:c>
      <x:c r="N323" t="n">
        <x:f>IF(K323="","",K323/_xlfn.MAXIFS($K:$K,$E:$E,E323))</x:f>
        <x:v>0.04870624048706241</x:v>
      </x:c>
      <x:c r="O323" t="str">
        <x:f>IF(M323="","",M323/_xlfn.MAXIFS($M:$M,$E:$E,E323))</x:f>
      </x:c>
      <x:c r="P323" t="str">
        <x:f>IF(OR(N323="",O323=""),"",SQRT(N323*O323))</x:f>
      </x:c>
      <x:c r="Q323" t="str">
        <x:f>IF(OR(N323="",O323=""),"",N323^0.7*O323^0.3)</x:f>
      </x:c>
      <x:c r="R323" t="str">
        <x:f>IF(OR(N323="",O323=""),"",N323^0.3*O323^0.7)</x:f>
      </x:c>
    </x:row>
    <x:row r="324">
      <x:c r="A324" t="inlineStr">
        <x:is>
          <x:t xml:space="preserve">anthropic|claude-opus-5|medium|reasoning|fallback-na|aa-v4.3.2|snapshot-2026-09-28</x:t>
        </x:is>
      </x:c>
      <x:c r="B324" t="inlineStr">
        <x:is>
          <x:t xml:space="preserve">anthropic|claude-opus-5|medium|reasoning|fallback-na</x:t>
        </x:is>
      </x:c>
      <x:c r="C324" t="inlineStr">
        <x:is>
          <x:t xml:space="preserve">AA|v4.3.2</x:t>
        </x:is>
      </x:c>
      <x:c r="D324" t="n">
        <x:v>42</x:v>
      </x:c>
      <x:c r="E324" t="n">
        <x:v>40</x:v>
      </x:c>
      <x:c r="F324" t="n">
        <x:f>INDEX(Run_Metrics!$F:$F,D324)</x:f>
        <x:v>45</x:v>
      </x:c>
      <x:c r="G324" t="n">
        <x:f>INDEX(Run_Metrics!$G:$G,D324)</x:f>
        <x:v>2.19</x:v>
      </x:c>
      <x:c r="H324" t="str">
        <x:f>INDEX(Run_Metrics!$I:$I,D324)</x:f>
      </x:c>
      <x:c r="I324" t="n">
        <x:f>IF(F324="","",F324-(E324-1))</x:f>
        <x:v>6</x:v>
      </x:c>
      <x:c r="J324" t="n">
        <x:f>IF(I324&gt;0,1,0)</x:f>
        <x:v>1</x:v>
      </x:c>
      <x:c r="K324" t="n">
        <x:f>IF(OR(J324=0,G324="",G324=0),"",I324/G324)</x:f>
        <x:v>2.73972602739726</x:v>
      </x:c>
      <x:c r="L324" t="n">
        <x:f>IF(OR(J324=0,I324=0,G324=""),"",G324/I324)</x:f>
        <x:v>0.365</x:v>
      </x:c>
      <x:c r="M324" t="str">
        <x:f>IF(OR(J324=0,G324="",H324="",G324=0,H324=0),"",I324/(G324*H324))</x:f>
      </x:c>
      <x:c r="N324" t="n">
        <x:f>IF(K324="","",K324/_xlfn.MAXIFS($K:$K,$E:$E,E324))</x:f>
        <x:v>0.050880626223091974</x:v>
      </x:c>
      <x:c r="O324" t="str">
        <x:f>IF(M324="","",M324/_xlfn.MAXIFS($M:$M,$E:$E,E324))</x:f>
      </x:c>
      <x:c r="P324" t="str">
        <x:f>IF(OR(N324="",O324=""),"",SQRT(N324*O324))</x:f>
      </x:c>
      <x:c r="Q324" t="str">
        <x:f>IF(OR(N324="",O324=""),"",N324^0.7*O324^0.3)</x:f>
      </x:c>
      <x:c r="R324" t="str">
        <x:f>IF(OR(N324="",O324=""),"",N324^0.3*O324^0.7)</x:f>
      </x:c>
    </x:row>
    <x:row r="325">
      <x:c r="A325" t="inlineStr">
        <x:is>
          <x:t xml:space="preserve">anthropic|claude-opus-5|medium|reasoning|fallback-na|aa-v4.3.2|snapshot-2026-09-28</x:t>
        </x:is>
      </x:c>
      <x:c r="B325" t="inlineStr">
        <x:is>
          <x:t xml:space="preserve">anthropic|claude-opus-5|medium|reasoning|fallback-na</x:t>
        </x:is>
      </x:c>
      <x:c r="C325" t="inlineStr">
        <x:is>
          <x:t xml:space="preserve">AA|v4.3.2</x:t>
        </x:is>
      </x:c>
      <x:c r="D325" t="n">
        <x:v>42</x:v>
      </x:c>
      <x:c r="E325" t="n">
        <x:v>45</x:v>
      </x:c>
      <x:c r="F325" t="n">
        <x:f>INDEX(Run_Metrics!$F:$F,D325)</x:f>
        <x:v>45</x:v>
      </x:c>
      <x:c r="G325" t="n">
        <x:f>INDEX(Run_Metrics!$G:$G,D325)</x:f>
        <x:v>2.19</x:v>
      </x:c>
      <x:c r="H325" t="str">
        <x:f>INDEX(Run_Metrics!$I:$I,D325)</x:f>
      </x:c>
      <x:c r="I325" t="n">
        <x:f>IF(F325="","",F325-(E325-1))</x:f>
        <x:v>1</x:v>
      </x:c>
      <x:c r="J325" t="n">
        <x:f>IF(I325&gt;0,1,0)</x:f>
        <x:v>1</x:v>
      </x:c>
      <x:c r="K325" t="n">
        <x:f>IF(OR(J325=0,G325="",G325=0),"",I325/G325)</x:f>
        <x:v>0.4566210045662101</x:v>
      </x:c>
      <x:c r="L325" t="n">
        <x:f>IF(OR(J325=0,I325=0,G325=""),"",G325/I325)</x:f>
        <x:v>2.19</x:v>
      </x:c>
      <x:c r="M325" t="str">
        <x:f>IF(OR(J325=0,G325="",H325="",G325=0,H325=0),"",I325/(G325*H325))</x:f>
      </x:c>
      <x:c r="N325" t="n">
        <x:f>IF(K325="","",K325/_xlfn.MAXIFS($K:$K,$E:$E,E325))</x:f>
        <x:v>0.02397260273972603</x:v>
      </x:c>
      <x:c r="O325" t="str">
        <x:f>IF(M325="","",M325/_xlfn.MAXIFS($M:$M,$E:$E,E325))</x:f>
      </x:c>
      <x:c r="P325" t="str">
        <x:f>IF(OR(N325="",O325=""),"",SQRT(N325*O325))</x:f>
      </x:c>
      <x:c r="Q325" t="str">
        <x:f>IF(OR(N325="",O325=""),"",N325^0.7*O325^0.3)</x:f>
      </x:c>
      <x:c r="R325" t="str">
        <x:f>IF(OR(N325="",O325=""),"",N325^0.3*O325^0.7)</x:f>
      </x:c>
    </x:row>
    <x:row r="326">
      <x:c r="A326" t="inlineStr">
        <x:is>
          <x:t xml:space="preserve">anthropic|claude-opus-5|medium|reasoning|fallback-na|aa-v4.3.2|snapshot-2026-09-28</x:t>
        </x:is>
      </x:c>
      <x:c r="B326" t="inlineStr">
        <x:is>
          <x:t xml:space="preserve">anthropic|claude-opus-5|medium|reasoning|fallback-na</x:t>
        </x:is>
      </x:c>
      <x:c r="C326" t="inlineStr">
        <x:is>
          <x:t xml:space="preserve">AA|v4.3.2</x:t>
        </x:is>
      </x:c>
      <x:c r="D326" t="n">
        <x:v>42</x:v>
      </x:c>
      <x:c r="E326" t="n">
        <x:v>50</x:v>
      </x:c>
      <x:c r="F326" t="n">
        <x:f>INDEX(Run_Metrics!$F:$F,D326)</x:f>
        <x:v>45</x:v>
      </x:c>
      <x:c r="G326" t="n">
        <x:f>INDEX(Run_Metrics!$G:$G,D326)</x:f>
        <x:v>2.19</x:v>
      </x:c>
      <x:c r="H326" t="str">
        <x:f>INDEX(Run_Metrics!$I:$I,D326)</x:f>
      </x:c>
      <x:c r="I326" t="n">
        <x:f>IF(F326="","",F326-(E326-1))</x:f>
        <x:v>-4</x:v>
      </x:c>
      <x:c r="J326" t="n">
        <x:f>IF(I326&gt;0,1,0)</x:f>
        <x:v>0</x:v>
      </x:c>
      <x:c r="K326" t="str">
        <x:f>IF(OR(J326=0,G326="",G326=0),"",I326/G326)</x:f>
      </x:c>
      <x:c r="L326" t="str">
        <x:f>IF(OR(J326=0,I326=0,G326=""),"",G326/I326)</x:f>
      </x:c>
      <x:c r="M326" t="str">
        <x:f>IF(OR(J326=0,G326="",H326="",G326=0,H326=0),"",I326/(G326*H326))</x:f>
      </x:c>
      <x:c r="N326" t="str">
        <x:f>IF(K326="","",K326/_xlfn.MAXIFS($K:$K,$E:$E,E326))</x:f>
      </x:c>
      <x:c r="O326" t="str">
        <x:f>IF(M326="","",M326/_xlfn.MAXIFS($M:$M,$E:$E,E326))</x:f>
      </x:c>
      <x:c r="P326" t="str">
        <x:f>IF(OR(N326="",O326=""),"",SQRT(N326*O326))</x:f>
      </x:c>
      <x:c r="Q326" t="str">
        <x:f>IF(OR(N326="",O326=""),"",N326^0.7*O326^0.3)</x:f>
      </x:c>
      <x:c r="R326" t="str">
        <x:f>IF(OR(N326="",O326=""),"",N326^0.3*O326^0.7)</x:f>
      </x:c>
    </x:row>
    <x:row r="327">
      <x:c r="A327" t="inlineStr">
        <x:is>
          <x:t xml:space="preserve">anthropic|claude-opus-5|medium|reasoning|fallback-na|aa-v4.3.2|snapshot-2026-09-28</x:t>
        </x:is>
      </x:c>
      <x:c r="B327" t="inlineStr">
        <x:is>
          <x:t xml:space="preserve">anthropic|claude-opus-5|medium|reasoning|fallback-na</x:t>
        </x:is>
      </x:c>
      <x:c r="C327" t="inlineStr">
        <x:is>
          <x:t xml:space="preserve">AA|v4.3.2</x:t>
        </x:is>
      </x:c>
      <x:c r="D327" t="n">
        <x:v>42</x:v>
      </x:c>
      <x:c r="E327" t="n">
        <x:v>52</x:v>
      </x:c>
      <x:c r="F327" t="n">
        <x:f>INDEX(Run_Metrics!$F:$F,D327)</x:f>
        <x:v>45</x:v>
      </x:c>
      <x:c r="G327" t="n">
        <x:f>INDEX(Run_Metrics!$G:$G,D327)</x:f>
        <x:v>2.19</x:v>
      </x:c>
      <x:c r="H327" t="str">
        <x:f>INDEX(Run_Metrics!$I:$I,D327)</x:f>
      </x:c>
      <x:c r="I327" t="n">
        <x:f>IF(F327="","",F327-(E327-1))</x:f>
        <x:v>-6</x:v>
      </x:c>
      <x:c r="J327" t="n">
        <x:f>IF(I327&gt;0,1,0)</x:f>
        <x:v>0</x:v>
      </x:c>
      <x:c r="K327" t="str">
        <x:f>IF(OR(J327=0,G327="",G327=0),"",I327/G327)</x:f>
      </x:c>
      <x:c r="L327" t="str">
        <x:f>IF(OR(J327=0,I327=0,G327=""),"",G327/I327)</x:f>
      </x:c>
      <x:c r="M327" t="str">
        <x:f>IF(OR(J327=0,G327="",H327="",G327=0,H327=0),"",I327/(G327*H327))</x:f>
      </x:c>
      <x:c r="N327" t="str">
        <x:f>IF(K327="","",K327/_xlfn.MAXIFS($K:$K,$E:$E,E327))</x:f>
      </x:c>
      <x:c r="O327" t="str">
        <x:f>IF(M327="","",M327/_xlfn.MAXIFS($M:$M,$E:$E,E327))</x:f>
      </x:c>
      <x:c r="P327" t="str">
        <x:f>IF(OR(N327="",O327=""),"",SQRT(N327*O327))</x:f>
      </x:c>
      <x:c r="Q327" t="str">
        <x:f>IF(OR(N327="",O327=""),"",N327^0.7*O327^0.3)</x:f>
      </x:c>
      <x:c r="R327" t="str">
        <x:f>IF(OR(N327="",O327=""),"",N327^0.3*O327^0.7)</x:f>
      </x:c>
    </x:row>
    <x:row r="328">
      <x:c r="A328" t="inlineStr">
        <x:is>
          <x:t xml:space="preserve">anthropic|claude-opus-5|medium|reasoning|fallback-na|aa-v4.3.2|snapshot-2026-09-28</x:t>
        </x:is>
      </x:c>
      <x:c r="B328" t="inlineStr">
        <x:is>
          <x:t xml:space="preserve">anthropic|claude-opus-5|medium|reasoning|fallback-na</x:t>
        </x:is>
      </x:c>
      <x:c r="C328" t="inlineStr">
        <x:is>
          <x:t xml:space="preserve">AA|v4.3.2</x:t>
        </x:is>
      </x:c>
      <x:c r="D328" t="n">
        <x:v>42</x:v>
      </x:c>
      <x:c r="E328" t="n">
        <x:v>65</x:v>
      </x:c>
      <x:c r="F328" t="n">
        <x:f>INDEX(Run_Metrics!$F:$F,D328)</x:f>
        <x:v>45</x:v>
      </x:c>
      <x:c r="G328" t="n">
        <x:f>INDEX(Run_Metrics!$G:$G,D328)</x:f>
        <x:v>2.19</x:v>
      </x:c>
      <x:c r="H328" t="str">
        <x:f>INDEX(Run_Metrics!$I:$I,D328)</x:f>
      </x:c>
      <x:c r="I328" t="n">
        <x:f>IF(F328="","",F328-(E328-1))</x:f>
        <x:v>-19</x:v>
      </x:c>
      <x:c r="J328" t="n">
        <x:f>IF(I328&gt;0,1,0)</x:f>
        <x:v>0</x:v>
      </x:c>
      <x:c r="K328" t="str">
        <x:f>IF(OR(J328=0,G328="",G328=0),"",I328/G328)</x:f>
      </x:c>
      <x:c r="L328" t="str">
        <x:f>IF(OR(J328=0,I328=0,G328=""),"",G328/I328)</x:f>
      </x:c>
      <x:c r="M328" t="str">
        <x:f>IF(OR(J328=0,G328="",H328="",G328=0,H328=0),"",I328/(G328*H328))</x:f>
      </x:c>
      <x:c r="N328" t="str">
        <x:f>IF(K328="","",K328/_xlfn.MAXIFS($K:$K,$E:$E,E328))</x:f>
      </x:c>
      <x:c r="O328" t="str">
        <x:f>IF(M328="","",M328/_xlfn.MAXIFS($M:$M,$E:$E,E328))</x:f>
      </x:c>
      <x:c r="P328" t="str">
        <x:f>IF(OR(N328="",O328=""),"",SQRT(N328*O328))</x:f>
      </x:c>
      <x:c r="Q328" t="str">
        <x:f>IF(OR(N328="",O328=""),"",N328^0.7*O328^0.3)</x:f>
      </x:c>
      <x:c r="R328" t="str">
        <x:f>IF(OR(N328="",O328=""),"",N328^0.3*O328^0.7)</x:f>
      </x:c>
    </x:row>
    <x:row r="329">
      <x:c r="A329" t="inlineStr">
        <x:is>
          <x:t xml:space="preserve">anthropic|claude-opus-5|medium|reasoning|fallback-na|aa-v4.3.2|snapshot-2026-09-28</x:t>
        </x:is>
      </x:c>
      <x:c r="B329" t="inlineStr">
        <x:is>
          <x:t xml:space="preserve">anthropic|claude-opus-5|medium|reasoning|fallback-na</x:t>
        </x:is>
      </x:c>
      <x:c r="C329" t="inlineStr">
        <x:is>
          <x:t xml:space="preserve">AA|v4.3.2</x:t>
        </x:is>
      </x:c>
      <x:c r="D329" t="n">
        <x:v>42</x:v>
      </x:c>
      <x:c r="E329" t="n">
        <x:v>80</x:v>
      </x:c>
      <x:c r="F329" t="n">
        <x:f>INDEX(Run_Metrics!$F:$F,D329)</x:f>
        <x:v>45</x:v>
      </x:c>
      <x:c r="G329" t="n">
        <x:f>INDEX(Run_Metrics!$G:$G,D329)</x:f>
        <x:v>2.19</x:v>
      </x:c>
      <x:c r="H329" t="str">
        <x:f>INDEX(Run_Metrics!$I:$I,D329)</x:f>
      </x:c>
      <x:c r="I329" t="n">
        <x:f>IF(F329="","",F329-(E329-1))</x:f>
        <x:v>-34</x:v>
      </x:c>
      <x:c r="J329" t="n">
        <x:f>IF(I329&gt;0,1,0)</x:f>
        <x:v>0</x:v>
      </x:c>
      <x:c r="K329" t="str">
        <x:f>IF(OR(J329=0,G329="",G329=0),"",I329/G329)</x:f>
      </x:c>
      <x:c r="L329" t="str">
        <x:f>IF(OR(J329=0,I329=0,G329=""),"",G329/I329)</x:f>
      </x:c>
      <x:c r="M329" t="str">
        <x:f>IF(OR(J329=0,G329="",H329="",G329=0,H329=0),"",I329/(G329*H329))</x:f>
      </x:c>
      <x:c r="N329" t="str">
        <x:f>IF(K329="","",K329/_xlfn.MAXIFS($K:$K,$E:$E,E329))</x:f>
      </x:c>
      <x:c r="O329" t="str">
        <x:f>IF(M329="","",M329/_xlfn.MAXIFS($M:$M,$E:$E,E329))</x:f>
      </x:c>
      <x:c r="P329" t="str">
        <x:f>IF(OR(N329="",O329=""),"",SQRT(N329*O329))</x:f>
      </x:c>
      <x:c r="Q329" t="str">
        <x:f>IF(OR(N329="",O329=""),"",N329^0.7*O329^0.3)</x:f>
      </x:c>
      <x:c r="R329" t="str">
        <x:f>IF(OR(N329="",O329=""),"",N329^0.3*O329^0.7)</x:f>
      </x:c>
    </x:row>
    <x:row r="330">
      <x:c r="A330" t="inlineStr">
        <x:is>
          <x:t xml:space="preserve">anthropic|claude-opus-5|high|reasoning|fallback-na|aa-v4.3.2|snapshot-2026-09-28</x:t>
        </x:is>
      </x:c>
      <x:c r="B330" t="inlineStr">
        <x:is>
          <x:t xml:space="preserve">anthropic|claude-opus-5|high|reasoning|fallback-na</x:t>
        </x:is>
      </x:c>
      <x:c r="C330" t="inlineStr">
        <x:is>
          <x:t xml:space="preserve">AA|v4.3.2</x:t>
        </x:is>
      </x:c>
      <x:c r="D330" t="n">
        <x:v>43</x:v>
      </x:c>
      <x:c r="E330" t="n">
        <x:v>20</x:v>
      </x:c>
      <x:c r="F330" t="n">
        <x:f>INDEX(Run_Metrics!$F:$F,D330)</x:f>
        <x:v>48</x:v>
      </x:c>
      <x:c r="G330" t="n">
        <x:f>INDEX(Run_Metrics!$G:$G,D330)</x:f>
        <x:v>3.61</x:v>
      </x:c>
      <x:c r="H330" t="str">
        <x:f>INDEX(Run_Metrics!$I:$I,D330)</x:f>
      </x:c>
      <x:c r="I330" t="n">
        <x:f>IF(F330="","",F330-(E330-1))</x:f>
        <x:v>29</x:v>
      </x:c>
      <x:c r="J330" t="n">
        <x:f>IF(I330&gt;0,1,0)</x:f>
        <x:v>1</x:v>
      </x:c>
      <x:c r="K330" t="n">
        <x:f>IF(OR(J330=0,G330="",G330=0),"",I330/G330)</x:f>
        <x:v>8.033240997229917</x:v>
      </x:c>
      <x:c r="L330" t="n">
        <x:f>IF(OR(J330=0,I330=0,G330=""),"",G330/I330)</x:f>
        <x:v>0.12448275862068965</x:v>
      </x:c>
      <x:c r="M330" t="str">
        <x:f>IF(OR(J330=0,G330="",H330="",G330=0,H330=0),"",I330/(G330*H330))</x:f>
      </x:c>
      <x:c r="N330" t="n">
        <x:f>IF(K330="","",K330/_xlfn.MAXIFS($K:$K,$E:$E,E330))</x:f>
        <x:v>0.012049861495844874</x:v>
      </x:c>
      <x:c r="O330" t="str">
        <x:f>IF(M330="","",M330/_xlfn.MAXIFS($M:$M,$E:$E,E330))</x:f>
      </x:c>
      <x:c r="P330" t="str">
        <x:f>IF(OR(N330="",O330=""),"",SQRT(N330*O330))</x:f>
      </x:c>
      <x:c r="Q330" t="str">
        <x:f>IF(OR(N330="",O330=""),"",N330^0.7*O330^0.3)</x:f>
      </x:c>
      <x:c r="R330" t="str">
        <x:f>IF(OR(N330="",O330=""),"",N330^0.3*O330^0.7)</x:f>
      </x:c>
    </x:row>
    <x:row r="331">
      <x:c r="A331" t="inlineStr">
        <x:is>
          <x:t xml:space="preserve">anthropic|claude-opus-5|high|reasoning|fallback-na|aa-v4.3.2|snapshot-2026-09-28</x:t>
        </x:is>
      </x:c>
      <x:c r="B331" t="inlineStr">
        <x:is>
          <x:t xml:space="preserve">anthropic|claude-opus-5|high|reasoning|fallback-na</x:t>
        </x:is>
      </x:c>
      <x:c r="C331" t="inlineStr">
        <x:is>
          <x:t xml:space="preserve">AA|v4.3.2</x:t>
        </x:is>
      </x:c>
      <x:c r="D331" t="n">
        <x:v>43</x:v>
      </x:c>
      <x:c r="E331" t="n">
        <x:v>30</x:v>
      </x:c>
      <x:c r="F331" t="n">
        <x:f>INDEX(Run_Metrics!$F:$F,D331)</x:f>
        <x:v>48</x:v>
      </x:c>
      <x:c r="G331" t="n">
        <x:f>INDEX(Run_Metrics!$G:$G,D331)</x:f>
        <x:v>3.61</x:v>
      </x:c>
      <x:c r="H331" t="str">
        <x:f>INDEX(Run_Metrics!$I:$I,D331)</x:f>
      </x:c>
      <x:c r="I331" t="n">
        <x:f>IF(F331="","",F331-(E331-1))</x:f>
        <x:v>19</x:v>
      </x:c>
      <x:c r="J331" t="n">
        <x:f>IF(I331&gt;0,1,0)</x:f>
        <x:v>1</x:v>
      </x:c>
      <x:c r="K331" t="n">
        <x:f>IF(OR(J331=0,G331="",G331=0),"",I331/G331)</x:f>
        <x:v>5.2631578947368425</x:v>
      </x:c>
      <x:c r="L331" t="n">
        <x:f>IF(OR(J331=0,I331=0,G331=""),"",G331/I331)</x:f>
        <x:v>0.19</x:v>
      </x:c>
      <x:c r="M331" t="str">
        <x:f>IF(OR(J331=0,G331="",H331="",G331=0,H331=0),"",I331/(G331*H331))</x:f>
      </x:c>
      <x:c r="N331" t="n">
        <x:f>IF(K331="","",K331/_xlfn.MAXIFS($K:$K,$E:$E,E331))</x:f>
        <x:v>0.03508771929824562</x:v>
      </x:c>
      <x:c r="O331" t="str">
        <x:f>IF(M331="","",M331/_xlfn.MAXIFS($M:$M,$E:$E,E331))</x:f>
      </x:c>
      <x:c r="P331" t="str">
        <x:f>IF(OR(N331="",O331=""),"",SQRT(N331*O331))</x:f>
      </x:c>
      <x:c r="Q331" t="str">
        <x:f>IF(OR(N331="",O331=""),"",N331^0.7*O331^0.3)</x:f>
      </x:c>
      <x:c r="R331" t="str">
        <x:f>IF(OR(N331="",O331=""),"",N331^0.3*O331^0.7)</x:f>
      </x:c>
    </x:row>
    <x:row r="332">
      <x:c r="A332" t="inlineStr">
        <x:is>
          <x:t xml:space="preserve">anthropic|claude-opus-5|high|reasoning|fallback-na|aa-v4.3.2|snapshot-2026-09-28</x:t>
        </x:is>
      </x:c>
      <x:c r="B332" t="inlineStr">
        <x:is>
          <x:t xml:space="preserve">anthropic|claude-opus-5|high|reasoning|fallback-na</x:t>
        </x:is>
      </x:c>
      <x:c r="C332" t="inlineStr">
        <x:is>
          <x:t xml:space="preserve">AA|v4.3.2</x:t>
        </x:is>
      </x:c>
      <x:c r="D332" t="n">
        <x:v>43</x:v>
      </x:c>
      <x:c r="E332" t="n">
        <x:v>40</x:v>
      </x:c>
      <x:c r="F332" t="n">
        <x:f>INDEX(Run_Metrics!$F:$F,D332)</x:f>
        <x:v>48</x:v>
      </x:c>
      <x:c r="G332" t="n">
        <x:f>INDEX(Run_Metrics!$G:$G,D332)</x:f>
        <x:v>3.61</x:v>
      </x:c>
      <x:c r="H332" t="str">
        <x:f>INDEX(Run_Metrics!$I:$I,D332)</x:f>
      </x:c>
      <x:c r="I332" t="n">
        <x:f>IF(F332="","",F332-(E332-1))</x:f>
        <x:v>9</x:v>
      </x:c>
      <x:c r="J332" t="n">
        <x:f>IF(I332&gt;0,1,0)</x:f>
        <x:v>1</x:v>
      </x:c>
      <x:c r="K332" t="n">
        <x:f>IF(OR(J332=0,G332="",G332=0),"",I332/G332)</x:f>
        <x:v>2.4930747922437675</x:v>
      </x:c>
      <x:c r="L332" t="n">
        <x:f>IF(OR(J332=0,I332=0,G332=""),"",G332/I332)</x:f>
        <x:v>0.4011111111111111</x:v>
      </x:c>
      <x:c r="M332" t="str">
        <x:f>IF(OR(J332=0,G332="",H332="",G332=0,H332=0),"",I332/(G332*H332))</x:f>
      </x:c>
      <x:c r="N332" t="n">
        <x:f>IF(K332="","",K332/_xlfn.MAXIFS($K:$K,$E:$E,E332))</x:f>
        <x:v>0.046299960427384254</x:v>
      </x:c>
      <x:c r="O332" t="str">
        <x:f>IF(M332="","",M332/_xlfn.MAXIFS($M:$M,$E:$E,E332))</x:f>
      </x:c>
      <x:c r="P332" t="str">
        <x:f>IF(OR(N332="",O332=""),"",SQRT(N332*O332))</x:f>
      </x:c>
      <x:c r="Q332" t="str">
        <x:f>IF(OR(N332="",O332=""),"",N332^0.7*O332^0.3)</x:f>
      </x:c>
      <x:c r="R332" t="str">
        <x:f>IF(OR(N332="",O332=""),"",N332^0.3*O332^0.7)</x:f>
      </x:c>
    </x:row>
    <x:row r="333">
      <x:c r="A333" t="inlineStr">
        <x:is>
          <x:t xml:space="preserve">anthropic|claude-opus-5|high|reasoning|fallback-na|aa-v4.3.2|snapshot-2026-09-28</x:t>
        </x:is>
      </x:c>
      <x:c r="B333" t="inlineStr">
        <x:is>
          <x:t xml:space="preserve">anthropic|claude-opus-5|high|reasoning|fallback-na</x:t>
        </x:is>
      </x:c>
      <x:c r="C333" t="inlineStr">
        <x:is>
          <x:t xml:space="preserve">AA|v4.3.2</x:t>
        </x:is>
      </x:c>
      <x:c r="D333" t="n">
        <x:v>43</x:v>
      </x:c>
      <x:c r="E333" t="n">
        <x:v>45</x:v>
      </x:c>
      <x:c r="F333" t="n">
        <x:f>INDEX(Run_Metrics!$F:$F,D333)</x:f>
        <x:v>48</x:v>
      </x:c>
      <x:c r="G333" t="n">
        <x:f>INDEX(Run_Metrics!$G:$G,D333)</x:f>
        <x:v>3.61</x:v>
      </x:c>
      <x:c r="H333" t="str">
        <x:f>INDEX(Run_Metrics!$I:$I,D333)</x:f>
      </x:c>
      <x:c r="I333" t="n">
        <x:f>IF(F333="","",F333-(E333-1))</x:f>
        <x:v>4</x:v>
      </x:c>
      <x:c r="J333" t="n">
        <x:f>IF(I333&gt;0,1,0)</x:f>
        <x:v>1</x:v>
      </x:c>
      <x:c r="K333" t="n">
        <x:f>IF(OR(J333=0,G333="",G333=0),"",I333/G333)</x:f>
        <x:v>1.10803324099723</x:v>
      </x:c>
      <x:c r="L333" t="n">
        <x:f>IF(OR(J333=0,I333=0,G333=""),"",G333/I333)</x:f>
        <x:v>0.9025</x:v>
      </x:c>
      <x:c r="M333" t="str">
        <x:f>IF(OR(J333=0,G333="",H333="",G333=0,H333=0),"",I333/(G333*H333))</x:f>
      </x:c>
      <x:c r="N333" t="n">
        <x:f>IF(K333="","",K333/_xlfn.MAXIFS($K:$K,$E:$E,E333))</x:f>
        <x:v>0.05817174515235458</x:v>
      </x:c>
      <x:c r="O333" t="str">
        <x:f>IF(M333="","",M333/_xlfn.MAXIFS($M:$M,$E:$E,E333))</x:f>
      </x:c>
      <x:c r="P333" t="str">
        <x:f>IF(OR(N333="",O333=""),"",SQRT(N333*O333))</x:f>
      </x:c>
      <x:c r="Q333" t="str">
        <x:f>IF(OR(N333="",O333=""),"",N333^0.7*O333^0.3)</x:f>
      </x:c>
      <x:c r="R333" t="str">
        <x:f>IF(OR(N333="",O333=""),"",N333^0.3*O333^0.7)</x:f>
      </x:c>
    </x:row>
    <x:row r="334">
      <x:c r="A334" t="inlineStr">
        <x:is>
          <x:t xml:space="preserve">anthropic|claude-opus-5|high|reasoning|fallback-na|aa-v4.3.2|snapshot-2026-09-28</x:t>
        </x:is>
      </x:c>
      <x:c r="B334" t="inlineStr">
        <x:is>
          <x:t xml:space="preserve">anthropic|claude-opus-5|high|reasoning|fallback-na</x:t>
        </x:is>
      </x:c>
      <x:c r="C334" t="inlineStr">
        <x:is>
          <x:t xml:space="preserve">AA|v4.3.2</x:t>
        </x:is>
      </x:c>
      <x:c r="D334" t="n">
        <x:v>43</x:v>
      </x:c>
      <x:c r="E334" t="n">
        <x:v>50</x:v>
      </x:c>
      <x:c r="F334" t="n">
        <x:f>INDEX(Run_Metrics!$F:$F,D334)</x:f>
        <x:v>48</x:v>
      </x:c>
      <x:c r="G334" t="n">
        <x:f>INDEX(Run_Metrics!$G:$G,D334)</x:f>
        <x:v>3.61</x:v>
      </x:c>
      <x:c r="H334" t="str">
        <x:f>INDEX(Run_Metrics!$I:$I,D334)</x:f>
      </x:c>
      <x:c r="I334" t="n">
        <x:f>IF(F334="","",F334-(E334-1))</x:f>
        <x:v>-1</x:v>
      </x:c>
      <x:c r="J334" t="n">
        <x:f>IF(I334&gt;0,1,0)</x:f>
        <x:v>0</x:v>
      </x:c>
      <x:c r="K334" t="str">
        <x:f>IF(OR(J334=0,G334="",G334=0),"",I334/G334)</x:f>
      </x:c>
      <x:c r="L334" t="str">
        <x:f>IF(OR(J334=0,I334=0,G334=""),"",G334/I334)</x:f>
      </x:c>
      <x:c r="M334" t="str">
        <x:f>IF(OR(J334=0,G334="",H334="",G334=0,H334=0),"",I334/(G334*H334))</x:f>
      </x:c>
      <x:c r="N334" t="str">
        <x:f>IF(K334="","",K334/_xlfn.MAXIFS($K:$K,$E:$E,E334))</x:f>
      </x:c>
      <x:c r="O334" t="str">
        <x:f>IF(M334="","",M334/_xlfn.MAXIFS($M:$M,$E:$E,E334))</x:f>
      </x:c>
      <x:c r="P334" t="str">
        <x:f>IF(OR(N334="",O334=""),"",SQRT(N334*O334))</x:f>
      </x:c>
      <x:c r="Q334" t="str">
        <x:f>IF(OR(N334="",O334=""),"",N334^0.7*O334^0.3)</x:f>
      </x:c>
      <x:c r="R334" t="str">
        <x:f>IF(OR(N334="",O334=""),"",N334^0.3*O334^0.7)</x:f>
      </x:c>
    </x:row>
    <x:row r="335">
      <x:c r="A335" t="inlineStr">
        <x:is>
          <x:t xml:space="preserve">anthropic|claude-opus-5|high|reasoning|fallback-na|aa-v4.3.2|snapshot-2026-09-28</x:t>
        </x:is>
      </x:c>
      <x:c r="B335" t="inlineStr">
        <x:is>
          <x:t xml:space="preserve">anthropic|claude-opus-5|high|reasoning|fallback-na</x:t>
        </x:is>
      </x:c>
      <x:c r="C335" t="inlineStr">
        <x:is>
          <x:t xml:space="preserve">AA|v4.3.2</x:t>
        </x:is>
      </x:c>
      <x:c r="D335" t="n">
        <x:v>43</x:v>
      </x:c>
      <x:c r="E335" t="n">
        <x:v>52</x:v>
      </x:c>
      <x:c r="F335" t="n">
        <x:f>INDEX(Run_Metrics!$F:$F,D335)</x:f>
        <x:v>48</x:v>
      </x:c>
      <x:c r="G335" t="n">
        <x:f>INDEX(Run_Metrics!$G:$G,D335)</x:f>
        <x:v>3.61</x:v>
      </x:c>
      <x:c r="H335" t="str">
        <x:f>INDEX(Run_Metrics!$I:$I,D335)</x:f>
      </x:c>
      <x:c r="I335" t="n">
        <x:f>IF(F335="","",F335-(E335-1))</x:f>
        <x:v>-3</x:v>
      </x:c>
      <x:c r="J335" t="n">
        <x:f>IF(I335&gt;0,1,0)</x:f>
        <x:v>0</x:v>
      </x:c>
      <x:c r="K335" t="str">
        <x:f>IF(OR(J335=0,G335="",G335=0),"",I335/G335)</x:f>
      </x:c>
      <x:c r="L335" t="str">
        <x:f>IF(OR(J335=0,I335=0,G335=""),"",G335/I335)</x:f>
      </x:c>
      <x:c r="M335" t="str">
        <x:f>IF(OR(J335=0,G335="",H335="",G335=0,H335=0),"",I335/(G335*H335))</x:f>
      </x:c>
      <x:c r="N335" t="str">
        <x:f>IF(K335="","",K335/_xlfn.MAXIFS($K:$K,$E:$E,E335))</x:f>
      </x:c>
      <x:c r="O335" t="str">
        <x:f>IF(M335="","",M335/_xlfn.MAXIFS($M:$M,$E:$E,E335))</x:f>
      </x:c>
      <x:c r="P335" t="str">
        <x:f>IF(OR(N335="",O335=""),"",SQRT(N335*O335))</x:f>
      </x:c>
      <x:c r="Q335" t="str">
        <x:f>IF(OR(N335="",O335=""),"",N335^0.7*O335^0.3)</x:f>
      </x:c>
      <x:c r="R335" t="str">
        <x:f>IF(OR(N335="",O335=""),"",N335^0.3*O335^0.7)</x:f>
      </x:c>
    </x:row>
    <x:row r="336">
      <x:c r="A336" t="inlineStr">
        <x:is>
          <x:t xml:space="preserve">anthropic|claude-opus-5|high|reasoning|fallback-na|aa-v4.3.2|snapshot-2026-09-28</x:t>
        </x:is>
      </x:c>
      <x:c r="B336" t="inlineStr">
        <x:is>
          <x:t xml:space="preserve">anthropic|claude-opus-5|high|reasoning|fallback-na</x:t>
        </x:is>
      </x:c>
      <x:c r="C336" t="inlineStr">
        <x:is>
          <x:t xml:space="preserve">AA|v4.3.2</x:t>
        </x:is>
      </x:c>
      <x:c r="D336" t="n">
        <x:v>43</x:v>
      </x:c>
      <x:c r="E336" t="n">
        <x:v>65</x:v>
      </x:c>
      <x:c r="F336" t="n">
        <x:f>INDEX(Run_Metrics!$F:$F,D336)</x:f>
        <x:v>48</x:v>
      </x:c>
      <x:c r="G336" t="n">
        <x:f>INDEX(Run_Metrics!$G:$G,D336)</x:f>
        <x:v>3.61</x:v>
      </x:c>
      <x:c r="H336" t="str">
        <x:f>INDEX(Run_Metrics!$I:$I,D336)</x:f>
      </x:c>
      <x:c r="I336" t="n">
        <x:f>IF(F336="","",F336-(E336-1))</x:f>
        <x:v>-16</x:v>
      </x:c>
      <x:c r="J336" t="n">
        <x:f>IF(I336&gt;0,1,0)</x:f>
        <x:v>0</x:v>
      </x:c>
      <x:c r="K336" t="str">
        <x:f>IF(OR(J336=0,G336="",G336=0),"",I336/G336)</x:f>
      </x:c>
      <x:c r="L336" t="str">
        <x:f>IF(OR(J336=0,I336=0,G336=""),"",G336/I336)</x:f>
      </x:c>
      <x:c r="M336" t="str">
        <x:f>IF(OR(J336=0,G336="",H336="",G336=0,H336=0),"",I336/(G336*H336))</x:f>
      </x:c>
      <x:c r="N336" t="str">
        <x:f>IF(K336="","",K336/_xlfn.MAXIFS($K:$K,$E:$E,E336))</x:f>
      </x:c>
      <x:c r="O336" t="str">
        <x:f>IF(M336="","",M336/_xlfn.MAXIFS($M:$M,$E:$E,E336))</x:f>
      </x:c>
      <x:c r="P336" t="str">
        <x:f>IF(OR(N336="",O336=""),"",SQRT(N336*O336))</x:f>
      </x:c>
      <x:c r="Q336" t="str">
        <x:f>IF(OR(N336="",O336=""),"",N336^0.7*O336^0.3)</x:f>
      </x:c>
      <x:c r="R336" t="str">
        <x:f>IF(OR(N336="",O336=""),"",N336^0.3*O336^0.7)</x:f>
      </x:c>
    </x:row>
    <x:row r="337">
      <x:c r="A337" t="inlineStr">
        <x:is>
          <x:t xml:space="preserve">anthropic|claude-opus-5|high|reasoning|fallback-na|aa-v4.3.2|snapshot-2026-09-28</x:t>
        </x:is>
      </x:c>
      <x:c r="B337" t="inlineStr">
        <x:is>
          <x:t xml:space="preserve">anthropic|claude-opus-5|high|reasoning|fallback-na</x:t>
        </x:is>
      </x:c>
      <x:c r="C337" t="inlineStr">
        <x:is>
          <x:t xml:space="preserve">AA|v4.3.2</x:t>
        </x:is>
      </x:c>
      <x:c r="D337" t="n">
        <x:v>43</x:v>
      </x:c>
      <x:c r="E337" t="n">
        <x:v>80</x:v>
      </x:c>
      <x:c r="F337" t="n">
        <x:f>INDEX(Run_Metrics!$F:$F,D337)</x:f>
        <x:v>48</x:v>
      </x:c>
      <x:c r="G337" t="n">
        <x:f>INDEX(Run_Metrics!$G:$G,D337)</x:f>
        <x:v>3.61</x:v>
      </x:c>
      <x:c r="H337" t="str">
        <x:f>INDEX(Run_Metrics!$I:$I,D337)</x:f>
      </x:c>
      <x:c r="I337" t="n">
        <x:f>IF(F337="","",F337-(E337-1))</x:f>
        <x:v>-31</x:v>
      </x:c>
      <x:c r="J337" t="n">
        <x:f>IF(I337&gt;0,1,0)</x:f>
        <x:v>0</x:v>
      </x:c>
      <x:c r="K337" t="str">
        <x:f>IF(OR(J337=0,G337="",G337=0),"",I337/G337)</x:f>
      </x:c>
      <x:c r="L337" t="str">
        <x:f>IF(OR(J337=0,I337=0,G337=""),"",G337/I337)</x:f>
      </x:c>
      <x:c r="M337" t="str">
        <x:f>IF(OR(J337=0,G337="",H337="",G337=0,H337=0),"",I337/(G337*H337))</x:f>
      </x:c>
      <x:c r="N337" t="str">
        <x:f>IF(K337="","",K337/_xlfn.MAXIFS($K:$K,$E:$E,E337))</x:f>
      </x:c>
      <x:c r="O337" t="str">
        <x:f>IF(M337="","",M337/_xlfn.MAXIFS($M:$M,$E:$E,E337))</x:f>
      </x:c>
      <x:c r="P337" t="str">
        <x:f>IF(OR(N337="",O337=""),"",SQRT(N337*O337))</x:f>
      </x:c>
      <x:c r="Q337" t="str">
        <x:f>IF(OR(N337="",O337=""),"",N337^0.7*O337^0.3)</x:f>
      </x:c>
      <x:c r="R337" t="str">
        <x:f>IF(OR(N337="",O337=""),"",N337^0.3*O337^0.7)</x:f>
      </x:c>
    </x:row>
    <x:row r="338">
      <x:c r="A338" t="inlineStr">
        <x:is>
          <x:t xml:space="preserve">anthropic|claude-opus-5|xhigh|reasoning|fallback-na|aa-v4.3.2|snapshot-2026-09-28</x:t>
        </x:is>
      </x:c>
      <x:c r="B338" t="inlineStr">
        <x:is>
          <x:t xml:space="preserve">anthropic|claude-opus-5|xhigh|reasoning|fallback-na</x:t>
        </x:is>
      </x:c>
      <x:c r="C338" t="inlineStr">
        <x:is>
          <x:t xml:space="preserve">AA|v4.3.2</x:t>
        </x:is>
      </x:c>
      <x:c r="D338" t="n">
        <x:v>44</x:v>
      </x:c>
      <x:c r="E338" t="n">
        <x:v>20</x:v>
      </x:c>
      <x:c r="F338" t="n">
        <x:f>INDEX(Run_Metrics!$F:$F,D338)</x:f>
        <x:v>50</x:v>
      </x:c>
      <x:c r="G338" t="n">
        <x:f>INDEX(Run_Metrics!$G:$G,D338)</x:f>
        <x:v>4.88</x:v>
      </x:c>
      <x:c r="H338" t="str">
        <x:f>INDEX(Run_Metrics!$I:$I,D338)</x:f>
      </x:c>
      <x:c r="I338" t="n">
        <x:f>IF(F338="","",F338-(E338-1))</x:f>
        <x:v>31</x:v>
      </x:c>
      <x:c r="J338" t="n">
        <x:f>IF(I338&gt;0,1,0)</x:f>
        <x:v>1</x:v>
      </x:c>
      <x:c r="K338" t="n">
        <x:f>IF(OR(J338=0,G338="",G338=0),"",I338/G338)</x:f>
        <x:v>6.352459016393443</x:v>
      </x:c>
      <x:c r="L338" t="n">
        <x:f>IF(OR(J338=0,I338=0,G338=""),"",G338/I338)</x:f>
        <x:v>0.15741935483870967</x:v>
      </x:c>
      <x:c r="M338" t="str">
        <x:f>IF(OR(J338=0,G338="",H338="",G338=0,H338=0),"",I338/(G338*H338))</x:f>
      </x:c>
      <x:c r="N338" t="n">
        <x:f>IF(K338="","",K338/_xlfn.MAXIFS($K:$K,$E:$E,E338))</x:f>
        <x:v>0.009528688524590163</x:v>
      </x:c>
      <x:c r="O338" t="str">
        <x:f>IF(M338="","",M338/_xlfn.MAXIFS($M:$M,$E:$E,E338))</x:f>
      </x:c>
      <x:c r="P338" t="str">
        <x:f>IF(OR(N338="",O338=""),"",SQRT(N338*O338))</x:f>
      </x:c>
      <x:c r="Q338" t="str">
        <x:f>IF(OR(N338="",O338=""),"",N338^0.7*O338^0.3)</x:f>
      </x:c>
      <x:c r="R338" t="str">
        <x:f>IF(OR(N338="",O338=""),"",N338^0.3*O338^0.7)</x:f>
      </x:c>
    </x:row>
    <x:row r="339">
      <x:c r="A339" t="inlineStr">
        <x:is>
          <x:t xml:space="preserve">anthropic|claude-opus-5|xhigh|reasoning|fallback-na|aa-v4.3.2|snapshot-2026-09-28</x:t>
        </x:is>
      </x:c>
      <x:c r="B339" t="inlineStr">
        <x:is>
          <x:t xml:space="preserve">anthropic|claude-opus-5|xhigh|reasoning|fallback-na</x:t>
        </x:is>
      </x:c>
      <x:c r="C339" t="inlineStr">
        <x:is>
          <x:t xml:space="preserve">AA|v4.3.2</x:t>
        </x:is>
      </x:c>
      <x:c r="D339" t="n">
        <x:v>44</x:v>
      </x:c>
      <x:c r="E339" t="n">
        <x:v>30</x:v>
      </x:c>
      <x:c r="F339" t="n">
        <x:f>INDEX(Run_Metrics!$F:$F,D339)</x:f>
        <x:v>50</x:v>
      </x:c>
      <x:c r="G339" t="n">
        <x:f>INDEX(Run_Metrics!$G:$G,D339)</x:f>
        <x:v>4.88</x:v>
      </x:c>
      <x:c r="H339" t="str">
        <x:f>INDEX(Run_Metrics!$I:$I,D339)</x:f>
      </x:c>
      <x:c r="I339" t="n">
        <x:f>IF(F339="","",F339-(E339-1))</x:f>
        <x:v>21</x:v>
      </x:c>
      <x:c r="J339" t="n">
        <x:f>IF(I339&gt;0,1,0)</x:f>
        <x:v>1</x:v>
      </x:c>
      <x:c r="K339" t="n">
        <x:f>IF(OR(J339=0,G339="",G339=0),"",I339/G339)</x:f>
        <x:v>4.30327868852459</x:v>
      </x:c>
      <x:c r="L339" t="n">
        <x:f>IF(OR(J339=0,I339=0,G339=""),"",G339/I339)</x:f>
        <x:v>0.23238095238095238</x:v>
      </x:c>
      <x:c r="M339" t="str">
        <x:f>IF(OR(J339=0,G339="",H339="",G339=0,H339=0),"",I339/(G339*H339))</x:f>
      </x:c>
      <x:c r="N339" t="n">
        <x:f>IF(K339="","",K339/_xlfn.MAXIFS($K:$K,$E:$E,E339))</x:f>
        <x:v>0.02868852459016393</x:v>
      </x:c>
      <x:c r="O339" t="str">
        <x:f>IF(M339="","",M339/_xlfn.MAXIFS($M:$M,$E:$E,E339))</x:f>
      </x:c>
      <x:c r="P339" t="str">
        <x:f>IF(OR(N339="",O339=""),"",SQRT(N339*O339))</x:f>
      </x:c>
      <x:c r="Q339" t="str">
        <x:f>IF(OR(N339="",O339=""),"",N339^0.7*O339^0.3)</x:f>
      </x:c>
      <x:c r="R339" t="str">
        <x:f>IF(OR(N339="",O339=""),"",N339^0.3*O339^0.7)</x:f>
      </x:c>
    </x:row>
    <x:row r="340">
      <x:c r="A340" t="inlineStr">
        <x:is>
          <x:t xml:space="preserve">anthropic|claude-opus-5|xhigh|reasoning|fallback-na|aa-v4.3.2|snapshot-2026-09-28</x:t>
        </x:is>
      </x:c>
      <x:c r="B340" t="inlineStr">
        <x:is>
          <x:t xml:space="preserve">anthropic|claude-opus-5|xhigh|reasoning|fallback-na</x:t>
        </x:is>
      </x:c>
      <x:c r="C340" t="inlineStr">
        <x:is>
          <x:t xml:space="preserve">AA|v4.3.2</x:t>
        </x:is>
      </x:c>
      <x:c r="D340" t="n">
        <x:v>44</x:v>
      </x:c>
      <x:c r="E340" t="n">
        <x:v>40</x:v>
      </x:c>
      <x:c r="F340" t="n">
        <x:f>INDEX(Run_Metrics!$F:$F,D340)</x:f>
        <x:v>50</x:v>
      </x:c>
      <x:c r="G340" t="n">
        <x:f>INDEX(Run_Metrics!$G:$G,D340)</x:f>
        <x:v>4.88</x:v>
      </x:c>
      <x:c r="H340" t="str">
        <x:f>INDEX(Run_Metrics!$I:$I,D340)</x:f>
      </x:c>
      <x:c r="I340" t="n">
        <x:f>IF(F340="","",F340-(E340-1))</x:f>
        <x:v>11</x:v>
      </x:c>
      <x:c r="J340" t="n">
        <x:f>IF(I340&gt;0,1,0)</x:f>
        <x:v>1</x:v>
      </x:c>
      <x:c r="K340" t="n">
        <x:f>IF(OR(J340=0,G340="",G340=0),"",I340/G340)</x:f>
        <x:v>2.2540983606557377</x:v>
      </x:c>
      <x:c r="L340" t="n">
        <x:f>IF(OR(J340=0,I340=0,G340=""),"",G340/I340)</x:f>
        <x:v>0.4436363636363636</x:v>
      </x:c>
      <x:c r="M340" t="str">
        <x:f>IF(OR(J340=0,G340="",H340="",G340=0,H340=0),"",I340/(G340*H340))</x:f>
      </x:c>
      <x:c r="N340" t="n">
        <x:f>IF(K340="","",K340/_xlfn.MAXIFS($K:$K,$E:$E,E340))</x:f>
        <x:v>0.04186182669789227</x:v>
      </x:c>
      <x:c r="O340" t="str">
        <x:f>IF(M340="","",M340/_xlfn.MAXIFS($M:$M,$E:$E,E340))</x:f>
      </x:c>
      <x:c r="P340" t="str">
        <x:f>IF(OR(N340="",O340=""),"",SQRT(N340*O340))</x:f>
      </x:c>
      <x:c r="Q340" t="str">
        <x:f>IF(OR(N340="",O340=""),"",N340^0.7*O340^0.3)</x:f>
      </x:c>
      <x:c r="R340" t="str">
        <x:f>IF(OR(N340="",O340=""),"",N340^0.3*O340^0.7)</x:f>
      </x:c>
    </x:row>
    <x:row r="341">
      <x:c r="A341" t="inlineStr">
        <x:is>
          <x:t xml:space="preserve">anthropic|claude-opus-5|xhigh|reasoning|fallback-na|aa-v4.3.2|snapshot-2026-09-28</x:t>
        </x:is>
      </x:c>
      <x:c r="B341" t="inlineStr">
        <x:is>
          <x:t xml:space="preserve">anthropic|claude-opus-5|xhigh|reasoning|fallback-na</x:t>
        </x:is>
      </x:c>
      <x:c r="C341" t="inlineStr">
        <x:is>
          <x:t xml:space="preserve">AA|v4.3.2</x:t>
        </x:is>
      </x:c>
      <x:c r="D341" t="n">
        <x:v>44</x:v>
      </x:c>
      <x:c r="E341" t="n">
        <x:v>45</x:v>
      </x:c>
      <x:c r="F341" t="n">
        <x:f>INDEX(Run_Metrics!$F:$F,D341)</x:f>
        <x:v>50</x:v>
      </x:c>
      <x:c r="G341" t="n">
        <x:f>INDEX(Run_Metrics!$G:$G,D341)</x:f>
        <x:v>4.88</x:v>
      </x:c>
      <x:c r="H341" t="str">
        <x:f>INDEX(Run_Metrics!$I:$I,D341)</x:f>
      </x:c>
      <x:c r="I341" t="n">
        <x:f>IF(F341="","",F341-(E341-1))</x:f>
        <x:v>6</x:v>
      </x:c>
      <x:c r="J341" t="n">
        <x:f>IF(I341&gt;0,1,0)</x:f>
        <x:v>1</x:v>
      </x:c>
      <x:c r="K341" t="n">
        <x:f>IF(OR(J341=0,G341="",G341=0),"",I341/G341)</x:f>
        <x:v>1.2295081967213115</x:v>
      </x:c>
      <x:c r="L341" t="n">
        <x:f>IF(OR(J341=0,I341=0,G341=""),"",G341/I341)</x:f>
        <x:v>0.8133333333333334</x:v>
      </x:c>
      <x:c r="M341" t="str">
        <x:f>IF(OR(J341=0,G341="",H341="",G341=0,H341=0),"",I341/(G341*H341))</x:f>
      </x:c>
      <x:c r="N341" t="n">
        <x:f>IF(K341="","",K341/_xlfn.MAXIFS($K:$K,$E:$E,E341))</x:f>
        <x:v>0.06454918032786885</x:v>
      </x:c>
      <x:c r="O341" t="str">
        <x:f>IF(M341="","",M341/_xlfn.MAXIFS($M:$M,$E:$E,E341))</x:f>
      </x:c>
      <x:c r="P341" t="str">
        <x:f>IF(OR(N341="",O341=""),"",SQRT(N341*O341))</x:f>
      </x:c>
      <x:c r="Q341" t="str">
        <x:f>IF(OR(N341="",O341=""),"",N341^0.7*O341^0.3)</x:f>
      </x:c>
      <x:c r="R341" t="str">
        <x:f>IF(OR(N341="",O341=""),"",N341^0.3*O341^0.7)</x:f>
      </x:c>
    </x:row>
    <x:row r="342">
      <x:c r="A342" t="inlineStr">
        <x:is>
          <x:t xml:space="preserve">anthropic|claude-opus-5|xhigh|reasoning|fallback-na|aa-v4.3.2|snapshot-2026-09-28</x:t>
        </x:is>
      </x:c>
      <x:c r="B342" t="inlineStr">
        <x:is>
          <x:t xml:space="preserve">anthropic|claude-opus-5|xhigh|reasoning|fallback-na</x:t>
        </x:is>
      </x:c>
      <x:c r="C342" t="inlineStr">
        <x:is>
          <x:t xml:space="preserve">AA|v4.3.2</x:t>
        </x:is>
      </x:c>
      <x:c r="D342" t="n">
        <x:v>44</x:v>
      </x:c>
      <x:c r="E342" t="n">
        <x:v>50</x:v>
      </x:c>
      <x:c r="F342" t="n">
        <x:f>INDEX(Run_Metrics!$F:$F,D342)</x:f>
        <x:v>50</x:v>
      </x:c>
      <x:c r="G342" t="n">
        <x:f>INDEX(Run_Metrics!$G:$G,D342)</x:f>
        <x:v>4.88</x:v>
      </x:c>
      <x:c r="H342" t="str">
        <x:f>INDEX(Run_Metrics!$I:$I,D342)</x:f>
      </x:c>
      <x:c r="I342" t="n">
        <x:f>IF(F342="","",F342-(E342-1))</x:f>
        <x:v>1</x:v>
      </x:c>
      <x:c r="J342" t="n">
        <x:f>IF(I342&gt;0,1,0)</x:f>
        <x:v>1</x:v>
      </x:c>
      <x:c r="K342" t="n">
        <x:f>IF(OR(J342=0,G342="",G342=0),"",I342/G342)</x:f>
        <x:v>0.20491803278688525</x:v>
      </x:c>
      <x:c r="L342" t="n">
        <x:f>IF(OR(J342=0,I342=0,G342=""),"",G342/I342)</x:f>
        <x:v>4.88</x:v>
      </x:c>
      <x:c r="M342" t="str">
        <x:f>IF(OR(J342=0,G342="",H342="",G342=0,H342=0),"",I342/(G342*H342))</x:f>
      </x:c>
      <x:c r="N342" t="n">
        <x:f>IF(K342="","",K342/_xlfn.MAXIFS($K:$K,$E:$E,E342))</x:f>
        <x:v>0.039959016393442626</x:v>
      </x:c>
      <x:c r="O342" t="str">
        <x:f>IF(M342="","",M342/_xlfn.MAXIFS($M:$M,$E:$E,E342))</x:f>
      </x:c>
      <x:c r="P342" t="str">
        <x:f>IF(OR(N342="",O342=""),"",SQRT(N342*O342))</x:f>
      </x:c>
      <x:c r="Q342" t="str">
        <x:f>IF(OR(N342="",O342=""),"",N342^0.7*O342^0.3)</x:f>
      </x:c>
      <x:c r="R342" t="str">
        <x:f>IF(OR(N342="",O342=""),"",N342^0.3*O342^0.7)</x:f>
      </x:c>
    </x:row>
    <x:row r="343">
      <x:c r="A343" t="inlineStr">
        <x:is>
          <x:t xml:space="preserve">anthropic|claude-opus-5|xhigh|reasoning|fallback-na|aa-v4.3.2|snapshot-2026-09-28</x:t>
        </x:is>
      </x:c>
      <x:c r="B343" t="inlineStr">
        <x:is>
          <x:t xml:space="preserve">anthropic|claude-opus-5|xhigh|reasoning|fallback-na</x:t>
        </x:is>
      </x:c>
      <x:c r="C343" t="inlineStr">
        <x:is>
          <x:t xml:space="preserve">AA|v4.3.2</x:t>
        </x:is>
      </x:c>
      <x:c r="D343" t="n">
        <x:v>44</x:v>
      </x:c>
      <x:c r="E343" t="n">
        <x:v>52</x:v>
      </x:c>
      <x:c r="F343" t="n">
        <x:f>INDEX(Run_Metrics!$F:$F,D343)</x:f>
        <x:v>50</x:v>
      </x:c>
      <x:c r="G343" t="n">
        <x:f>INDEX(Run_Metrics!$G:$G,D343)</x:f>
        <x:v>4.88</x:v>
      </x:c>
      <x:c r="H343" t="str">
        <x:f>INDEX(Run_Metrics!$I:$I,D343)</x:f>
      </x:c>
      <x:c r="I343" t="n">
        <x:f>IF(F343="","",F343-(E343-1))</x:f>
        <x:v>-1</x:v>
      </x:c>
      <x:c r="J343" t="n">
        <x:f>IF(I343&gt;0,1,0)</x:f>
        <x:v>0</x:v>
      </x:c>
      <x:c r="K343" t="str">
        <x:f>IF(OR(J343=0,G343="",G343=0),"",I343/G343)</x:f>
      </x:c>
      <x:c r="L343" t="str">
        <x:f>IF(OR(J343=0,I343=0,G343=""),"",G343/I343)</x:f>
      </x:c>
      <x:c r="M343" t="str">
        <x:f>IF(OR(J343=0,G343="",H343="",G343=0,H343=0),"",I343/(G343*H343))</x:f>
      </x:c>
      <x:c r="N343" t="str">
        <x:f>IF(K343="","",K343/_xlfn.MAXIFS($K:$K,$E:$E,E343))</x:f>
      </x:c>
      <x:c r="O343" t="str">
        <x:f>IF(M343="","",M343/_xlfn.MAXIFS($M:$M,$E:$E,E343))</x:f>
      </x:c>
      <x:c r="P343" t="str">
        <x:f>IF(OR(N343="",O343=""),"",SQRT(N343*O343))</x:f>
      </x:c>
      <x:c r="Q343" t="str">
        <x:f>IF(OR(N343="",O343=""),"",N343^0.7*O343^0.3)</x:f>
      </x:c>
      <x:c r="R343" t="str">
        <x:f>IF(OR(N343="",O343=""),"",N343^0.3*O343^0.7)</x:f>
      </x:c>
    </x:row>
    <x:row r="344">
      <x:c r="A344" t="inlineStr">
        <x:is>
          <x:t xml:space="preserve">anthropic|claude-opus-5|xhigh|reasoning|fallback-na|aa-v4.3.2|snapshot-2026-09-28</x:t>
        </x:is>
      </x:c>
      <x:c r="B344" t="inlineStr">
        <x:is>
          <x:t xml:space="preserve">anthropic|claude-opus-5|xhigh|reasoning|fallback-na</x:t>
        </x:is>
      </x:c>
      <x:c r="C344" t="inlineStr">
        <x:is>
          <x:t xml:space="preserve">AA|v4.3.2</x:t>
        </x:is>
      </x:c>
      <x:c r="D344" t="n">
        <x:v>44</x:v>
      </x:c>
      <x:c r="E344" t="n">
        <x:v>65</x:v>
      </x:c>
      <x:c r="F344" t="n">
        <x:f>INDEX(Run_Metrics!$F:$F,D344)</x:f>
        <x:v>50</x:v>
      </x:c>
      <x:c r="G344" t="n">
        <x:f>INDEX(Run_Metrics!$G:$G,D344)</x:f>
        <x:v>4.88</x:v>
      </x:c>
      <x:c r="H344" t="str">
        <x:f>INDEX(Run_Metrics!$I:$I,D344)</x:f>
      </x:c>
      <x:c r="I344" t="n">
        <x:f>IF(F344="","",F344-(E344-1))</x:f>
        <x:v>-14</x:v>
      </x:c>
      <x:c r="J344" t="n">
        <x:f>IF(I344&gt;0,1,0)</x:f>
        <x:v>0</x:v>
      </x:c>
      <x:c r="K344" t="str">
        <x:f>IF(OR(J344=0,G344="",G344=0),"",I344/G344)</x:f>
      </x:c>
      <x:c r="L344" t="str">
        <x:f>IF(OR(J344=0,I344=0,G344=""),"",G344/I344)</x:f>
      </x:c>
      <x:c r="M344" t="str">
        <x:f>IF(OR(J344=0,G344="",H344="",G344=0,H344=0),"",I344/(G344*H344))</x:f>
      </x:c>
      <x:c r="N344" t="str">
        <x:f>IF(K344="","",K344/_xlfn.MAXIFS($K:$K,$E:$E,E344))</x:f>
      </x:c>
      <x:c r="O344" t="str">
        <x:f>IF(M344="","",M344/_xlfn.MAXIFS($M:$M,$E:$E,E344))</x:f>
      </x:c>
      <x:c r="P344" t="str">
        <x:f>IF(OR(N344="",O344=""),"",SQRT(N344*O344))</x:f>
      </x:c>
      <x:c r="Q344" t="str">
        <x:f>IF(OR(N344="",O344=""),"",N344^0.7*O344^0.3)</x:f>
      </x:c>
      <x:c r="R344" t="str">
        <x:f>IF(OR(N344="",O344=""),"",N344^0.3*O344^0.7)</x:f>
      </x:c>
    </x:row>
    <x:row r="345">
      <x:c r="A345" t="inlineStr">
        <x:is>
          <x:t xml:space="preserve">anthropic|claude-opus-5|xhigh|reasoning|fallback-na|aa-v4.3.2|snapshot-2026-09-28</x:t>
        </x:is>
      </x:c>
      <x:c r="B345" t="inlineStr">
        <x:is>
          <x:t xml:space="preserve">anthropic|claude-opus-5|xhigh|reasoning|fallback-na</x:t>
        </x:is>
      </x:c>
      <x:c r="C345" t="inlineStr">
        <x:is>
          <x:t xml:space="preserve">AA|v4.3.2</x:t>
        </x:is>
      </x:c>
      <x:c r="D345" t="n">
        <x:v>44</x:v>
      </x:c>
      <x:c r="E345" t="n">
        <x:v>80</x:v>
      </x:c>
      <x:c r="F345" t="n">
        <x:f>INDEX(Run_Metrics!$F:$F,D345)</x:f>
        <x:v>50</x:v>
      </x:c>
      <x:c r="G345" t="n">
        <x:f>INDEX(Run_Metrics!$G:$G,D345)</x:f>
        <x:v>4.88</x:v>
      </x:c>
      <x:c r="H345" t="str">
        <x:f>INDEX(Run_Metrics!$I:$I,D345)</x:f>
      </x:c>
      <x:c r="I345" t="n">
        <x:f>IF(F345="","",F345-(E345-1))</x:f>
        <x:v>-29</x:v>
      </x:c>
      <x:c r="J345" t="n">
        <x:f>IF(I345&gt;0,1,0)</x:f>
        <x:v>0</x:v>
      </x:c>
      <x:c r="K345" t="str">
        <x:f>IF(OR(J345=0,G345="",G345=0),"",I345/G345)</x:f>
      </x:c>
      <x:c r="L345" t="str">
        <x:f>IF(OR(J345=0,I345=0,G345=""),"",G345/I345)</x:f>
      </x:c>
      <x:c r="M345" t="str">
        <x:f>IF(OR(J345=0,G345="",H345="",G345=0,H345=0),"",I345/(G345*H345))</x:f>
      </x:c>
      <x:c r="N345" t="str">
        <x:f>IF(K345="","",K345/_xlfn.MAXIFS($K:$K,$E:$E,E345))</x:f>
      </x:c>
      <x:c r="O345" t="str">
        <x:f>IF(M345="","",M345/_xlfn.MAXIFS($M:$M,$E:$E,E345))</x:f>
      </x:c>
      <x:c r="P345" t="str">
        <x:f>IF(OR(N345="",O345=""),"",SQRT(N345*O345))</x:f>
      </x:c>
      <x:c r="Q345" t="str">
        <x:f>IF(OR(N345="",O345=""),"",N345^0.7*O345^0.3)</x:f>
      </x:c>
      <x:c r="R345" t="str">
        <x:f>IF(OR(N345="",O345=""),"",N345^0.3*O345^0.7)</x:f>
      </x:c>
    </x:row>
    <x:row r="346">
      <x:c r="A346" t="inlineStr">
        <x:is>
          <x:t xml:space="preserve">anthropic|claude-opus-5|max|reasoning|fallback-na|aa-v4.3.2|snapshot-2026-09-28</x:t>
        </x:is>
      </x:c>
      <x:c r="B346" t="inlineStr">
        <x:is>
          <x:t xml:space="preserve">anthropic|claude-opus-5|max|reasoning|fallback-na</x:t>
        </x:is>
      </x:c>
      <x:c r="C346" t="inlineStr">
        <x:is>
          <x:t xml:space="preserve">AA|v4.3.2</x:t>
        </x:is>
      </x:c>
      <x:c r="D346" t="n">
        <x:v>45</x:v>
      </x:c>
      <x:c r="E346" t="n">
        <x:v>20</x:v>
      </x:c>
      <x:c r="F346" t="n">
        <x:f>INDEX(Run_Metrics!$F:$F,D346)</x:f>
        <x:v>51</x:v>
      </x:c>
      <x:c r="G346" t="n">
        <x:f>INDEX(Run_Metrics!$G:$G,D346)</x:f>
        <x:v>5.86</x:v>
      </x:c>
      <x:c r="H346" t="str">
        <x:f>INDEX(Run_Metrics!$I:$I,D346)</x:f>
      </x:c>
      <x:c r="I346" t="n">
        <x:f>IF(F346="","",F346-(E346-1))</x:f>
        <x:v>32</x:v>
      </x:c>
      <x:c r="J346" t="n">
        <x:f>IF(I346&gt;0,1,0)</x:f>
        <x:v>1</x:v>
      </x:c>
      <x:c r="K346" t="n">
        <x:f>IF(OR(J346=0,G346="",G346=0),"",I346/G346)</x:f>
        <x:v>5.46075085324232</x:v>
      </x:c>
      <x:c r="L346" t="n">
        <x:f>IF(OR(J346=0,I346=0,G346=""),"",G346/I346)</x:f>
        <x:v>0.183125</x:v>
      </x:c>
      <x:c r="M346" t="str">
        <x:f>IF(OR(J346=0,G346="",H346="",G346=0,H346=0),"",I346/(G346*H346))</x:f>
      </x:c>
      <x:c r="N346" t="n">
        <x:f>IF(K346="","",K346/_xlfn.MAXIFS($K:$K,$E:$E,E346))</x:f>
        <x:v>0.00819112627986348</x:v>
      </x:c>
      <x:c r="O346" t="str">
        <x:f>IF(M346="","",M346/_xlfn.MAXIFS($M:$M,$E:$E,E346))</x:f>
      </x:c>
      <x:c r="P346" t="str">
        <x:f>IF(OR(N346="",O346=""),"",SQRT(N346*O346))</x:f>
      </x:c>
      <x:c r="Q346" t="str">
        <x:f>IF(OR(N346="",O346=""),"",N346^0.7*O346^0.3)</x:f>
      </x:c>
      <x:c r="R346" t="str">
        <x:f>IF(OR(N346="",O346=""),"",N346^0.3*O346^0.7)</x:f>
      </x:c>
    </x:row>
    <x:row r="347">
      <x:c r="A347" t="inlineStr">
        <x:is>
          <x:t xml:space="preserve">anthropic|claude-opus-5|max|reasoning|fallback-na|aa-v4.3.2|snapshot-2026-09-28</x:t>
        </x:is>
      </x:c>
      <x:c r="B347" t="inlineStr">
        <x:is>
          <x:t xml:space="preserve">anthropic|claude-opus-5|max|reasoning|fallback-na</x:t>
        </x:is>
      </x:c>
      <x:c r="C347" t="inlineStr">
        <x:is>
          <x:t xml:space="preserve">AA|v4.3.2</x:t>
        </x:is>
      </x:c>
      <x:c r="D347" t="n">
        <x:v>45</x:v>
      </x:c>
      <x:c r="E347" t="n">
        <x:v>30</x:v>
      </x:c>
      <x:c r="F347" t="n">
        <x:f>INDEX(Run_Metrics!$F:$F,D347)</x:f>
        <x:v>51</x:v>
      </x:c>
      <x:c r="G347" t="n">
        <x:f>INDEX(Run_Metrics!$G:$G,D347)</x:f>
        <x:v>5.86</x:v>
      </x:c>
      <x:c r="H347" t="str">
        <x:f>INDEX(Run_Metrics!$I:$I,D347)</x:f>
      </x:c>
      <x:c r="I347" t="n">
        <x:f>IF(F347="","",F347-(E347-1))</x:f>
        <x:v>22</x:v>
      </x:c>
      <x:c r="J347" t="n">
        <x:f>IF(I347&gt;0,1,0)</x:f>
        <x:v>1</x:v>
      </x:c>
      <x:c r="K347" t="n">
        <x:f>IF(OR(J347=0,G347="",G347=0),"",I347/G347)</x:f>
        <x:v>3.7542662116040955</x:v>
      </x:c>
      <x:c r="L347" t="n">
        <x:f>IF(OR(J347=0,I347=0,G347=""),"",G347/I347)</x:f>
        <x:v>0.26636363636363636</x:v>
      </x:c>
      <x:c r="M347" t="str">
        <x:f>IF(OR(J347=0,G347="",H347="",G347=0,H347=0),"",I347/(G347*H347))</x:f>
      </x:c>
      <x:c r="N347" t="n">
        <x:f>IF(K347="","",K347/_xlfn.MAXIFS($K:$K,$E:$E,E347))</x:f>
        <x:v>0.02502844141069397</x:v>
      </x:c>
      <x:c r="O347" t="str">
        <x:f>IF(M347="","",M347/_xlfn.MAXIFS($M:$M,$E:$E,E347))</x:f>
      </x:c>
      <x:c r="P347" t="str">
        <x:f>IF(OR(N347="",O347=""),"",SQRT(N347*O347))</x:f>
      </x:c>
      <x:c r="Q347" t="str">
        <x:f>IF(OR(N347="",O347=""),"",N347^0.7*O347^0.3)</x:f>
      </x:c>
      <x:c r="R347" t="str">
        <x:f>IF(OR(N347="",O347=""),"",N347^0.3*O347^0.7)</x:f>
      </x:c>
    </x:row>
    <x:row r="348">
      <x:c r="A348" t="inlineStr">
        <x:is>
          <x:t xml:space="preserve">anthropic|claude-opus-5|max|reasoning|fallback-na|aa-v4.3.2|snapshot-2026-09-28</x:t>
        </x:is>
      </x:c>
      <x:c r="B348" t="inlineStr">
        <x:is>
          <x:t xml:space="preserve">anthropic|claude-opus-5|max|reasoning|fallback-na</x:t>
        </x:is>
      </x:c>
      <x:c r="C348" t="inlineStr">
        <x:is>
          <x:t xml:space="preserve">AA|v4.3.2</x:t>
        </x:is>
      </x:c>
      <x:c r="D348" t="n">
        <x:v>45</x:v>
      </x:c>
      <x:c r="E348" t="n">
        <x:v>40</x:v>
      </x:c>
      <x:c r="F348" t="n">
        <x:f>INDEX(Run_Metrics!$F:$F,D348)</x:f>
        <x:v>51</x:v>
      </x:c>
      <x:c r="G348" t="n">
        <x:f>INDEX(Run_Metrics!$G:$G,D348)</x:f>
        <x:v>5.86</x:v>
      </x:c>
      <x:c r="H348" t="str">
        <x:f>INDEX(Run_Metrics!$I:$I,D348)</x:f>
      </x:c>
      <x:c r="I348" t="n">
        <x:f>IF(F348="","",F348-(E348-1))</x:f>
        <x:v>12</x:v>
      </x:c>
      <x:c r="J348" t="n">
        <x:f>IF(I348&gt;0,1,0)</x:f>
        <x:v>1</x:v>
      </x:c>
      <x:c r="K348" t="n">
        <x:f>IF(OR(J348=0,G348="",G348=0),"",I348/G348)</x:f>
        <x:v>2.04778156996587</x:v>
      </x:c>
      <x:c r="L348" t="n">
        <x:f>IF(OR(J348=0,I348=0,G348=""),"",G348/I348)</x:f>
        <x:v>0.48833333333333334</x:v>
      </x:c>
      <x:c r="M348" t="str">
        <x:f>IF(OR(J348=0,G348="",H348="",G348=0,H348=0),"",I348/(G348*H348))</x:f>
      </x:c>
      <x:c r="N348" t="n">
        <x:f>IF(K348="","",K348/_xlfn.MAXIFS($K:$K,$E:$E,E348))</x:f>
        <x:v>0.03803022915650902</x:v>
      </x:c>
      <x:c r="O348" t="str">
        <x:f>IF(M348="","",M348/_xlfn.MAXIFS($M:$M,$E:$E,E348))</x:f>
      </x:c>
      <x:c r="P348" t="str">
        <x:f>IF(OR(N348="",O348=""),"",SQRT(N348*O348))</x:f>
      </x:c>
      <x:c r="Q348" t="str">
        <x:f>IF(OR(N348="",O348=""),"",N348^0.7*O348^0.3)</x:f>
      </x:c>
      <x:c r="R348" t="str">
        <x:f>IF(OR(N348="",O348=""),"",N348^0.3*O348^0.7)</x:f>
      </x:c>
    </x:row>
    <x:row r="349">
      <x:c r="A349" t="inlineStr">
        <x:is>
          <x:t xml:space="preserve">anthropic|claude-opus-5|max|reasoning|fallback-na|aa-v4.3.2|snapshot-2026-09-28</x:t>
        </x:is>
      </x:c>
      <x:c r="B349" t="inlineStr">
        <x:is>
          <x:t xml:space="preserve">anthropic|claude-opus-5|max|reasoning|fallback-na</x:t>
        </x:is>
      </x:c>
      <x:c r="C349" t="inlineStr">
        <x:is>
          <x:t xml:space="preserve">AA|v4.3.2</x:t>
        </x:is>
      </x:c>
      <x:c r="D349" t="n">
        <x:v>45</x:v>
      </x:c>
      <x:c r="E349" t="n">
        <x:v>45</x:v>
      </x:c>
      <x:c r="F349" t="n">
        <x:f>INDEX(Run_Metrics!$F:$F,D349)</x:f>
        <x:v>51</x:v>
      </x:c>
      <x:c r="G349" t="n">
        <x:f>INDEX(Run_Metrics!$G:$G,D349)</x:f>
        <x:v>5.86</x:v>
      </x:c>
      <x:c r="H349" t="str">
        <x:f>INDEX(Run_Metrics!$I:$I,D349)</x:f>
      </x:c>
      <x:c r="I349" t="n">
        <x:f>IF(F349="","",F349-(E349-1))</x:f>
        <x:v>7</x:v>
      </x:c>
      <x:c r="J349" t="n">
        <x:f>IF(I349&gt;0,1,0)</x:f>
        <x:v>1</x:v>
      </x:c>
      <x:c r="K349" t="n">
        <x:f>IF(OR(J349=0,G349="",G349=0),"",I349/G349)</x:f>
        <x:v>1.1945392491467577</x:v>
      </x:c>
      <x:c r="L349" t="n">
        <x:f>IF(OR(J349=0,I349=0,G349=""),"",G349/I349)</x:f>
        <x:v>0.8371428571428572</x:v>
      </x:c>
      <x:c r="M349" t="str">
        <x:f>IF(OR(J349=0,G349="",H349="",G349=0,H349=0),"",I349/(G349*H349))</x:f>
      </x:c>
      <x:c r="N349" t="n">
        <x:f>IF(K349="","",K349/_xlfn.MAXIFS($K:$K,$E:$E,E349))</x:f>
        <x:v>0.06271331058020478</x:v>
      </x:c>
      <x:c r="O349" t="str">
        <x:f>IF(M349="","",M349/_xlfn.MAXIFS($M:$M,$E:$E,E349))</x:f>
      </x:c>
      <x:c r="P349" t="str">
        <x:f>IF(OR(N349="",O349=""),"",SQRT(N349*O349))</x:f>
      </x:c>
      <x:c r="Q349" t="str">
        <x:f>IF(OR(N349="",O349=""),"",N349^0.7*O349^0.3)</x:f>
      </x:c>
      <x:c r="R349" t="str">
        <x:f>IF(OR(N349="",O349=""),"",N349^0.3*O349^0.7)</x:f>
      </x:c>
    </x:row>
    <x:row r="350">
      <x:c r="A350" t="inlineStr">
        <x:is>
          <x:t xml:space="preserve">anthropic|claude-opus-5|max|reasoning|fallback-na|aa-v4.3.2|snapshot-2026-09-28</x:t>
        </x:is>
      </x:c>
      <x:c r="B350" t="inlineStr">
        <x:is>
          <x:t xml:space="preserve">anthropic|claude-opus-5|max|reasoning|fallback-na</x:t>
        </x:is>
      </x:c>
      <x:c r="C350" t="inlineStr">
        <x:is>
          <x:t xml:space="preserve">AA|v4.3.2</x:t>
        </x:is>
      </x:c>
      <x:c r="D350" t="n">
        <x:v>45</x:v>
      </x:c>
      <x:c r="E350" t="n">
        <x:v>50</x:v>
      </x:c>
      <x:c r="F350" t="n">
        <x:f>INDEX(Run_Metrics!$F:$F,D350)</x:f>
        <x:v>51</x:v>
      </x:c>
      <x:c r="G350" t="n">
        <x:f>INDEX(Run_Metrics!$G:$G,D350)</x:f>
        <x:v>5.86</x:v>
      </x:c>
      <x:c r="H350" t="str">
        <x:f>INDEX(Run_Metrics!$I:$I,D350)</x:f>
      </x:c>
      <x:c r="I350" t="n">
        <x:f>IF(F350="","",F350-(E350-1))</x:f>
        <x:v>2</x:v>
      </x:c>
      <x:c r="J350" t="n">
        <x:f>IF(I350&gt;0,1,0)</x:f>
        <x:v>1</x:v>
      </x:c>
      <x:c r="K350" t="n">
        <x:f>IF(OR(J350=0,G350="",G350=0),"",I350/G350)</x:f>
        <x:v>0.341296928327645</x:v>
      </x:c>
      <x:c r="L350" t="n">
        <x:f>IF(OR(J350=0,I350=0,G350=""),"",G350/I350)</x:f>
        <x:v>2.93</x:v>
      </x:c>
      <x:c r="M350" t="str">
        <x:f>IF(OR(J350=0,G350="",H350="",G350=0,H350=0),"",I350/(G350*H350))</x:f>
      </x:c>
      <x:c r="N350" t="n">
        <x:f>IF(K350="","",K350/_xlfn.MAXIFS($K:$K,$E:$E,E350))</x:f>
        <x:v>0.06655290102389079</x:v>
      </x:c>
      <x:c r="O350" t="str">
        <x:f>IF(M350="","",M350/_xlfn.MAXIFS($M:$M,$E:$E,E350))</x:f>
      </x:c>
      <x:c r="P350" t="str">
        <x:f>IF(OR(N350="",O350=""),"",SQRT(N350*O350))</x:f>
      </x:c>
      <x:c r="Q350" t="str">
        <x:f>IF(OR(N350="",O350=""),"",N350^0.7*O350^0.3)</x:f>
      </x:c>
      <x:c r="R350" t="str">
        <x:f>IF(OR(N350="",O350=""),"",N350^0.3*O350^0.7)</x:f>
      </x:c>
    </x:row>
    <x:row r="351">
      <x:c r="A351" t="inlineStr">
        <x:is>
          <x:t xml:space="preserve">anthropic|claude-opus-5|max|reasoning|fallback-na|aa-v4.3.2|snapshot-2026-09-28</x:t>
        </x:is>
      </x:c>
      <x:c r="B351" t="inlineStr">
        <x:is>
          <x:t xml:space="preserve">anthropic|claude-opus-5|max|reasoning|fallback-na</x:t>
        </x:is>
      </x:c>
      <x:c r="C351" t="inlineStr">
        <x:is>
          <x:t xml:space="preserve">AA|v4.3.2</x:t>
        </x:is>
      </x:c>
      <x:c r="D351" t="n">
        <x:v>45</x:v>
      </x:c>
      <x:c r="E351" t="n">
        <x:v>52</x:v>
      </x:c>
      <x:c r="F351" t="n">
        <x:f>INDEX(Run_Metrics!$F:$F,D351)</x:f>
        <x:v>51</x:v>
      </x:c>
      <x:c r="G351" t="n">
        <x:f>INDEX(Run_Metrics!$G:$G,D351)</x:f>
        <x:v>5.86</x:v>
      </x:c>
      <x:c r="H351" t="str">
        <x:f>INDEX(Run_Metrics!$I:$I,D351)</x:f>
      </x:c>
      <x:c r="I351" t="n">
        <x:f>IF(F351="","",F351-(E351-1))</x:f>
        <x:v>0</x:v>
      </x:c>
      <x:c r="J351" t="n">
        <x:f>IF(I351&gt;0,1,0)</x:f>
        <x:v>0</x:v>
      </x:c>
      <x:c r="K351" t="str">
        <x:f>IF(OR(J351=0,G351="",G351=0),"",I351/G351)</x:f>
      </x:c>
      <x:c r="L351" t="str">
        <x:f>IF(OR(J351=0,I351=0,G351=""),"",G351/I351)</x:f>
      </x:c>
      <x:c r="M351" t="str">
        <x:f>IF(OR(J351=0,G351="",H351="",G351=0,H351=0),"",I351/(G351*H351))</x:f>
      </x:c>
      <x:c r="N351" t="str">
        <x:f>IF(K351="","",K351/_xlfn.MAXIFS($K:$K,$E:$E,E351))</x:f>
      </x:c>
      <x:c r="O351" t="str">
        <x:f>IF(M351="","",M351/_xlfn.MAXIFS($M:$M,$E:$E,E351))</x:f>
      </x:c>
      <x:c r="P351" t="str">
        <x:f>IF(OR(N351="",O351=""),"",SQRT(N351*O351))</x:f>
      </x:c>
      <x:c r="Q351" t="str">
        <x:f>IF(OR(N351="",O351=""),"",N351^0.7*O351^0.3)</x:f>
      </x:c>
      <x:c r="R351" t="str">
        <x:f>IF(OR(N351="",O351=""),"",N351^0.3*O351^0.7)</x:f>
      </x:c>
    </x:row>
    <x:row r="352">
      <x:c r="A352" t="inlineStr">
        <x:is>
          <x:t xml:space="preserve">anthropic|claude-opus-5|max|reasoning|fallback-na|aa-v4.3.2|snapshot-2026-09-28</x:t>
        </x:is>
      </x:c>
      <x:c r="B352" t="inlineStr">
        <x:is>
          <x:t xml:space="preserve">anthropic|claude-opus-5|max|reasoning|fallback-na</x:t>
        </x:is>
      </x:c>
      <x:c r="C352" t="inlineStr">
        <x:is>
          <x:t xml:space="preserve">AA|v4.3.2</x:t>
        </x:is>
      </x:c>
      <x:c r="D352" t="n">
        <x:v>45</x:v>
      </x:c>
      <x:c r="E352" t="n">
        <x:v>65</x:v>
      </x:c>
      <x:c r="F352" t="n">
        <x:f>INDEX(Run_Metrics!$F:$F,D352)</x:f>
        <x:v>51</x:v>
      </x:c>
      <x:c r="G352" t="n">
        <x:f>INDEX(Run_Metrics!$G:$G,D352)</x:f>
        <x:v>5.86</x:v>
      </x:c>
      <x:c r="H352" t="str">
        <x:f>INDEX(Run_Metrics!$I:$I,D352)</x:f>
      </x:c>
      <x:c r="I352" t="n">
        <x:f>IF(F352="","",F352-(E352-1))</x:f>
        <x:v>-13</x:v>
      </x:c>
      <x:c r="J352" t="n">
        <x:f>IF(I352&gt;0,1,0)</x:f>
        <x:v>0</x:v>
      </x:c>
      <x:c r="K352" t="str">
        <x:f>IF(OR(J352=0,G352="",G352=0),"",I352/G352)</x:f>
      </x:c>
      <x:c r="L352" t="str">
        <x:f>IF(OR(J352=0,I352=0,G352=""),"",G352/I352)</x:f>
      </x:c>
      <x:c r="M352" t="str">
        <x:f>IF(OR(J352=0,G352="",H352="",G352=0,H352=0),"",I352/(G352*H352))</x:f>
      </x:c>
      <x:c r="N352" t="str">
        <x:f>IF(K352="","",K352/_xlfn.MAXIFS($K:$K,$E:$E,E352))</x:f>
      </x:c>
      <x:c r="O352" t="str">
        <x:f>IF(M352="","",M352/_xlfn.MAXIFS($M:$M,$E:$E,E352))</x:f>
      </x:c>
      <x:c r="P352" t="str">
        <x:f>IF(OR(N352="",O352=""),"",SQRT(N352*O352))</x:f>
      </x:c>
      <x:c r="Q352" t="str">
        <x:f>IF(OR(N352="",O352=""),"",N352^0.7*O352^0.3)</x:f>
      </x:c>
      <x:c r="R352" t="str">
        <x:f>IF(OR(N352="",O352=""),"",N352^0.3*O352^0.7)</x:f>
      </x:c>
    </x:row>
    <x:row r="353">
      <x:c r="A353" t="inlineStr">
        <x:is>
          <x:t xml:space="preserve">anthropic|claude-opus-5|max|reasoning|fallback-na|aa-v4.3.2|snapshot-2026-09-28</x:t>
        </x:is>
      </x:c>
      <x:c r="B353" t="inlineStr">
        <x:is>
          <x:t xml:space="preserve">anthropic|claude-opus-5|max|reasoning|fallback-na</x:t>
        </x:is>
      </x:c>
      <x:c r="C353" t="inlineStr">
        <x:is>
          <x:t xml:space="preserve">AA|v4.3.2</x:t>
        </x:is>
      </x:c>
      <x:c r="D353" t="n">
        <x:v>45</x:v>
      </x:c>
      <x:c r="E353" t="n">
        <x:v>80</x:v>
      </x:c>
      <x:c r="F353" t="n">
        <x:f>INDEX(Run_Metrics!$F:$F,D353)</x:f>
        <x:v>51</x:v>
      </x:c>
      <x:c r="G353" t="n">
        <x:f>INDEX(Run_Metrics!$G:$G,D353)</x:f>
        <x:v>5.86</x:v>
      </x:c>
      <x:c r="H353" t="str">
        <x:f>INDEX(Run_Metrics!$I:$I,D353)</x:f>
      </x:c>
      <x:c r="I353" t="n">
        <x:f>IF(F353="","",F353-(E353-1))</x:f>
        <x:v>-28</x:v>
      </x:c>
      <x:c r="J353" t="n">
        <x:f>IF(I353&gt;0,1,0)</x:f>
        <x:v>0</x:v>
      </x:c>
      <x:c r="K353" t="str">
        <x:f>IF(OR(J353=0,G353="",G353=0),"",I353/G353)</x:f>
      </x:c>
      <x:c r="L353" t="str">
        <x:f>IF(OR(J353=0,I353=0,G353=""),"",G353/I353)</x:f>
      </x:c>
      <x:c r="M353" t="str">
        <x:f>IF(OR(J353=0,G353="",H353="",G353=0,H353=0),"",I353/(G353*H353))</x:f>
      </x:c>
      <x:c r="N353" t="str">
        <x:f>IF(K353="","",K353/_xlfn.MAXIFS($K:$K,$E:$E,E353))</x:f>
      </x:c>
      <x:c r="O353" t="str">
        <x:f>IF(M353="","",M353/_xlfn.MAXIFS($M:$M,$E:$E,E353))</x:f>
      </x:c>
      <x:c r="P353" t="str">
        <x:f>IF(OR(N353="",O353=""),"",SQRT(N353*O353))</x:f>
      </x:c>
      <x:c r="Q353" t="str">
        <x:f>IF(OR(N353="",O353=""),"",N353^0.7*O353^0.3)</x:f>
      </x:c>
      <x:c r="R353" t="str">
        <x:f>IF(OR(N353="",O353=""),"",N353^0.3*O353^0.7)</x:f>
      </x:c>
    </x:row>
    <x:row r="354">
      <x:c r="A354" t="inlineStr">
        <x:is>
          <x:t xml:space="preserve">anthropic|claude-sonnet-5|non-reasoning|nonreasoning|fallback-na|aa-v4.3.2|snapshot-2026-09-28</x:t>
        </x:is>
      </x:c>
      <x:c r="B354" t="inlineStr">
        <x:is>
          <x:t xml:space="preserve">anthropic|claude-sonnet-5|non-reasoning|nonreasoning|fallback-na</x:t>
        </x:is>
      </x:c>
      <x:c r="C354" t="inlineStr">
        <x:is>
          <x:t xml:space="preserve">AA|v4.3.2</x:t>
        </x:is>
      </x:c>
      <x:c r="D354" t="n">
        <x:v>46</x:v>
      </x:c>
      <x:c r="E354" t="n">
        <x:v>20</x:v>
      </x:c>
      <x:c r="F354" t="n">
        <x:f>INDEX(Run_Metrics!$F:$F,D354)</x:f>
        <x:v>29</x:v>
      </x:c>
      <x:c r="G354" t="str">
        <x:f>INDEX(Run_Metrics!$G:$G,D354)</x:f>
      </x:c>
      <x:c r="H354" t="str">
        <x:f>INDEX(Run_Metrics!$I:$I,D354)</x:f>
      </x:c>
      <x:c r="I354" t="n">
        <x:f>IF(F354="","",F354-(E354-1))</x:f>
        <x:v>10</x:v>
      </x:c>
      <x:c r="J354" t="n">
        <x:f>IF(I354&gt;0,1,0)</x:f>
        <x:v>1</x:v>
      </x:c>
      <x:c r="K354" t="str">
        <x:f>IF(OR(J354=0,G354="",G354=0),"",I354/G354)</x:f>
      </x:c>
      <x:c r="L354" t="str">
        <x:f>IF(OR(J354=0,I354=0,G354=""),"",G354/I354)</x:f>
      </x:c>
      <x:c r="M354" t="str">
        <x:f>IF(OR(J354=0,G354="",H354="",G354=0,H354=0),"",I354/(G354*H354))</x:f>
      </x:c>
      <x:c r="N354" t="str">
        <x:f>IF(K354="","",K354/_xlfn.MAXIFS($K:$K,$E:$E,E354))</x:f>
      </x:c>
      <x:c r="O354" t="str">
        <x:f>IF(M354="","",M354/_xlfn.MAXIFS($M:$M,$E:$E,E354))</x:f>
      </x:c>
      <x:c r="P354" t="str">
        <x:f>IF(OR(N354="",O354=""),"",SQRT(N354*O354))</x:f>
      </x:c>
      <x:c r="Q354" t="str">
        <x:f>IF(OR(N354="",O354=""),"",N354^0.7*O354^0.3)</x:f>
      </x:c>
      <x:c r="R354" t="str">
        <x:f>IF(OR(N354="",O354=""),"",N354^0.3*O354^0.7)</x:f>
      </x:c>
    </x:row>
    <x:row r="355">
      <x:c r="A355" t="inlineStr">
        <x:is>
          <x:t xml:space="preserve">anthropic|claude-sonnet-5|non-reasoning|nonreasoning|fallback-na|aa-v4.3.2|snapshot-2026-09-28</x:t>
        </x:is>
      </x:c>
      <x:c r="B355" t="inlineStr">
        <x:is>
          <x:t xml:space="preserve">anthropic|claude-sonnet-5|non-reasoning|nonreasoning|fallback-na</x:t>
        </x:is>
      </x:c>
      <x:c r="C355" t="inlineStr">
        <x:is>
          <x:t xml:space="preserve">AA|v4.3.2</x:t>
        </x:is>
      </x:c>
      <x:c r="D355" t="n">
        <x:v>46</x:v>
      </x:c>
      <x:c r="E355" t="n">
        <x:v>30</x:v>
      </x:c>
      <x:c r="F355" t="n">
        <x:f>INDEX(Run_Metrics!$F:$F,D355)</x:f>
        <x:v>29</x:v>
      </x:c>
      <x:c r="G355" t="str">
        <x:f>INDEX(Run_Metrics!$G:$G,D355)</x:f>
      </x:c>
      <x:c r="H355" t="str">
        <x:f>INDEX(Run_Metrics!$I:$I,D355)</x:f>
      </x:c>
      <x:c r="I355" t="n">
        <x:f>IF(F355="","",F355-(E355-1))</x:f>
        <x:v>0</x:v>
      </x:c>
      <x:c r="J355" t="n">
        <x:f>IF(I355&gt;0,1,0)</x:f>
        <x:v>0</x:v>
      </x:c>
      <x:c r="K355" t="str">
        <x:f>IF(OR(J355=0,G355="",G355=0),"",I355/G355)</x:f>
      </x:c>
      <x:c r="L355" t="str">
        <x:f>IF(OR(J355=0,I355=0,G355=""),"",G355/I355)</x:f>
      </x:c>
      <x:c r="M355" t="str">
        <x:f>IF(OR(J355=0,G355="",H355="",G355=0,H355=0),"",I355/(G355*H355))</x:f>
      </x:c>
      <x:c r="N355" t="str">
        <x:f>IF(K355="","",K355/_xlfn.MAXIFS($K:$K,$E:$E,E355))</x:f>
      </x:c>
      <x:c r="O355" t="str">
        <x:f>IF(M355="","",M355/_xlfn.MAXIFS($M:$M,$E:$E,E355))</x:f>
      </x:c>
      <x:c r="P355" t="str">
        <x:f>IF(OR(N355="",O355=""),"",SQRT(N355*O355))</x:f>
      </x:c>
      <x:c r="Q355" t="str">
        <x:f>IF(OR(N355="",O355=""),"",N355^0.7*O355^0.3)</x:f>
      </x:c>
      <x:c r="R355" t="str">
        <x:f>IF(OR(N355="",O355=""),"",N355^0.3*O355^0.7)</x:f>
      </x:c>
    </x:row>
    <x:row r="356">
      <x:c r="A356" t="inlineStr">
        <x:is>
          <x:t xml:space="preserve">anthropic|claude-sonnet-5|non-reasoning|nonreasoning|fallback-na|aa-v4.3.2|snapshot-2026-09-28</x:t>
        </x:is>
      </x:c>
      <x:c r="B356" t="inlineStr">
        <x:is>
          <x:t xml:space="preserve">anthropic|claude-sonnet-5|non-reasoning|nonreasoning|fallback-na</x:t>
        </x:is>
      </x:c>
      <x:c r="C356" t="inlineStr">
        <x:is>
          <x:t xml:space="preserve">AA|v4.3.2</x:t>
        </x:is>
      </x:c>
      <x:c r="D356" t="n">
        <x:v>46</x:v>
      </x:c>
      <x:c r="E356" t="n">
        <x:v>40</x:v>
      </x:c>
      <x:c r="F356" t="n">
        <x:f>INDEX(Run_Metrics!$F:$F,D356)</x:f>
        <x:v>29</x:v>
      </x:c>
      <x:c r="G356" t="str">
        <x:f>INDEX(Run_Metrics!$G:$G,D356)</x:f>
      </x:c>
      <x:c r="H356" t="str">
        <x:f>INDEX(Run_Metrics!$I:$I,D356)</x:f>
      </x:c>
      <x:c r="I356" t="n">
        <x:f>IF(F356="","",F356-(E356-1))</x:f>
        <x:v>-10</x:v>
      </x:c>
      <x:c r="J356" t="n">
        <x:f>IF(I356&gt;0,1,0)</x:f>
        <x:v>0</x:v>
      </x:c>
      <x:c r="K356" t="str">
        <x:f>IF(OR(J356=0,G356="",G356=0),"",I356/G356)</x:f>
      </x:c>
      <x:c r="L356" t="str">
        <x:f>IF(OR(J356=0,I356=0,G356=""),"",G356/I356)</x:f>
      </x:c>
      <x:c r="M356" t="str">
        <x:f>IF(OR(J356=0,G356="",H356="",G356=0,H356=0),"",I356/(G356*H356))</x:f>
      </x:c>
      <x:c r="N356" t="str">
        <x:f>IF(K356="","",K356/_xlfn.MAXIFS($K:$K,$E:$E,E356))</x:f>
      </x:c>
      <x:c r="O356" t="str">
        <x:f>IF(M356="","",M356/_xlfn.MAXIFS($M:$M,$E:$E,E356))</x:f>
      </x:c>
      <x:c r="P356" t="str">
        <x:f>IF(OR(N356="",O356=""),"",SQRT(N356*O356))</x:f>
      </x:c>
      <x:c r="Q356" t="str">
        <x:f>IF(OR(N356="",O356=""),"",N356^0.7*O356^0.3)</x:f>
      </x:c>
      <x:c r="R356" t="str">
        <x:f>IF(OR(N356="",O356=""),"",N356^0.3*O356^0.7)</x:f>
      </x:c>
    </x:row>
    <x:row r="357">
      <x:c r="A357" t="inlineStr">
        <x:is>
          <x:t xml:space="preserve">anthropic|claude-sonnet-5|non-reasoning|nonreasoning|fallback-na|aa-v4.3.2|snapshot-2026-09-28</x:t>
        </x:is>
      </x:c>
      <x:c r="B357" t="inlineStr">
        <x:is>
          <x:t xml:space="preserve">anthropic|claude-sonnet-5|non-reasoning|nonreasoning|fallback-na</x:t>
        </x:is>
      </x:c>
      <x:c r="C357" t="inlineStr">
        <x:is>
          <x:t xml:space="preserve">AA|v4.3.2</x:t>
        </x:is>
      </x:c>
      <x:c r="D357" t="n">
        <x:v>46</x:v>
      </x:c>
      <x:c r="E357" t="n">
        <x:v>45</x:v>
      </x:c>
      <x:c r="F357" t="n">
        <x:f>INDEX(Run_Metrics!$F:$F,D357)</x:f>
        <x:v>29</x:v>
      </x:c>
      <x:c r="G357" t="str">
        <x:f>INDEX(Run_Metrics!$G:$G,D357)</x:f>
      </x:c>
      <x:c r="H357" t="str">
        <x:f>INDEX(Run_Metrics!$I:$I,D357)</x:f>
      </x:c>
      <x:c r="I357" t="n">
        <x:f>IF(F357="","",F357-(E357-1))</x:f>
        <x:v>-15</x:v>
      </x:c>
      <x:c r="J357" t="n">
        <x:f>IF(I357&gt;0,1,0)</x:f>
        <x:v>0</x:v>
      </x:c>
      <x:c r="K357" t="str">
        <x:f>IF(OR(J357=0,G357="",G357=0),"",I357/G357)</x:f>
      </x:c>
      <x:c r="L357" t="str">
        <x:f>IF(OR(J357=0,I357=0,G357=""),"",G357/I357)</x:f>
      </x:c>
      <x:c r="M357" t="str">
        <x:f>IF(OR(J357=0,G357="",H357="",G357=0,H357=0),"",I357/(G357*H357))</x:f>
      </x:c>
      <x:c r="N357" t="str">
        <x:f>IF(K357="","",K357/_xlfn.MAXIFS($K:$K,$E:$E,E357))</x:f>
      </x:c>
      <x:c r="O357" t="str">
        <x:f>IF(M357="","",M357/_xlfn.MAXIFS($M:$M,$E:$E,E357))</x:f>
      </x:c>
      <x:c r="P357" t="str">
        <x:f>IF(OR(N357="",O357=""),"",SQRT(N357*O357))</x:f>
      </x:c>
      <x:c r="Q357" t="str">
        <x:f>IF(OR(N357="",O357=""),"",N357^0.7*O357^0.3)</x:f>
      </x:c>
      <x:c r="R357" t="str">
        <x:f>IF(OR(N357="",O357=""),"",N357^0.3*O357^0.7)</x:f>
      </x:c>
    </x:row>
    <x:row r="358">
      <x:c r="A358" t="inlineStr">
        <x:is>
          <x:t xml:space="preserve">anthropic|claude-sonnet-5|non-reasoning|nonreasoning|fallback-na|aa-v4.3.2|snapshot-2026-09-28</x:t>
        </x:is>
      </x:c>
      <x:c r="B358" t="inlineStr">
        <x:is>
          <x:t xml:space="preserve">anthropic|claude-sonnet-5|non-reasoning|nonreasoning|fallback-na</x:t>
        </x:is>
      </x:c>
      <x:c r="C358" t="inlineStr">
        <x:is>
          <x:t xml:space="preserve">AA|v4.3.2</x:t>
        </x:is>
      </x:c>
      <x:c r="D358" t="n">
        <x:v>46</x:v>
      </x:c>
      <x:c r="E358" t="n">
        <x:v>50</x:v>
      </x:c>
      <x:c r="F358" t="n">
        <x:f>INDEX(Run_Metrics!$F:$F,D358)</x:f>
        <x:v>29</x:v>
      </x:c>
      <x:c r="G358" t="str">
        <x:f>INDEX(Run_Metrics!$G:$G,D358)</x:f>
      </x:c>
      <x:c r="H358" t="str">
        <x:f>INDEX(Run_Metrics!$I:$I,D358)</x:f>
      </x:c>
      <x:c r="I358" t="n">
        <x:f>IF(F358="","",F358-(E358-1))</x:f>
        <x:v>-20</x:v>
      </x:c>
      <x:c r="J358" t="n">
        <x:f>IF(I358&gt;0,1,0)</x:f>
        <x:v>0</x:v>
      </x:c>
      <x:c r="K358" t="str">
        <x:f>IF(OR(J358=0,G358="",G358=0),"",I358/G358)</x:f>
      </x:c>
      <x:c r="L358" t="str">
        <x:f>IF(OR(J358=0,I358=0,G358=""),"",G358/I358)</x:f>
      </x:c>
      <x:c r="M358" t="str">
        <x:f>IF(OR(J358=0,G358="",H358="",G358=0,H358=0),"",I358/(G358*H358))</x:f>
      </x:c>
      <x:c r="N358" t="str">
        <x:f>IF(K358="","",K358/_xlfn.MAXIFS($K:$K,$E:$E,E358))</x:f>
      </x:c>
      <x:c r="O358" t="str">
        <x:f>IF(M358="","",M358/_xlfn.MAXIFS($M:$M,$E:$E,E358))</x:f>
      </x:c>
      <x:c r="P358" t="str">
        <x:f>IF(OR(N358="",O358=""),"",SQRT(N358*O358))</x:f>
      </x:c>
      <x:c r="Q358" t="str">
        <x:f>IF(OR(N358="",O358=""),"",N358^0.7*O358^0.3)</x:f>
      </x:c>
      <x:c r="R358" t="str">
        <x:f>IF(OR(N358="",O358=""),"",N358^0.3*O358^0.7)</x:f>
      </x:c>
    </x:row>
    <x:row r="359">
      <x:c r="A359" t="inlineStr">
        <x:is>
          <x:t xml:space="preserve">anthropic|claude-sonnet-5|non-reasoning|nonreasoning|fallback-na|aa-v4.3.2|snapshot-2026-09-28</x:t>
        </x:is>
      </x:c>
      <x:c r="B359" t="inlineStr">
        <x:is>
          <x:t xml:space="preserve">anthropic|claude-sonnet-5|non-reasoning|nonreasoning|fallback-na</x:t>
        </x:is>
      </x:c>
      <x:c r="C359" t="inlineStr">
        <x:is>
          <x:t xml:space="preserve">AA|v4.3.2</x:t>
        </x:is>
      </x:c>
      <x:c r="D359" t="n">
        <x:v>46</x:v>
      </x:c>
      <x:c r="E359" t="n">
        <x:v>52</x:v>
      </x:c>
      <x:c r="F359" t="n">
        <x:f>INDEX(Run_Metrics!$F:$F,D359)</x:f>
        <x:v>29</x:v>
      </x:c>
      <x:c r="G359" t="str">
        <x:f>INDEX(Run_Metrics!$G:$G,D359)</x:f>
      </x:c>
      <x:c r="H359" t="str">
        <x:f>INDEX(Run_Metrics!$I:$I,D359)</x:f>
      </x:c>
      <x:c r="I359" t="n">
        <x:f>IF(F359="","",F359-(E359-1))</x:f>
        <x:v>-22</x:v>
      </x:c>
      <x:c r="J359" t="n">
        <x:f>IF(I359&gt;0,1,0)</x:f>
        <x:v>0</x:v>
      </x:c>
      <x:c r="K359" t="str">
        <x:f>IF(OR(J359=0,G359="",G359=0),"",I359/G359)</x:f>
      </x:c>
      <x:c r="L359" t="str">
        <x:f>IF(OR(J359=0,I359=0,G359=""),"",G359/I359)</x:f>
      </x:c>
      <x:c r="M359" t="str">
        <x:f>IF(OR(J359=0,G359="",H359="",G359=0,H359=0),"",I359/(G359*H359))</x:f>
      </x:c>
      <x:c r="N359" t="str">
        <x:f>IF(K359="","",K359/_xlfn.MAXIFS($K:$K,$E:$E,E359))</x:f>
      </x:c>
      <x:c r="O359" t="str">
        <x:f>IF(M359="","",M359/_xlfn.MAXIFS($M:$M,$E:$E,E359))</x:f>
      </x:c>
      <x:c r="P359" t="str">
        <x:f>IF(OR(N359="",O359=""),"",SQRT(N359*O359))</x:f>
      </x:c>
      <x:c r="Q359" t="str">
        <x:f>IF(OR(N359="",O359=""),"",N359^0.7*O359^0.3)</x:f>
      </x:c>
      <x:c r="R359" t="str">
        <x:f>IF(OR(N359="",O359=""),"",N359^0.3*O359^0.7)</x:f>
      </x:c>
    </x:row>
    <x:row r="360">
      <x:c r="A360" t="inlineStr">
        <x:is>
          <x:t xml:space="preserve">anthropic|claude-sonnet-5|non-reasoning|nonreasoning|fallback-na|aa-v4.3.2|snapshot-2026-09-28</x:t>
        </x:is>
      </x:c>
      <x:c r="B360" t="inlineStr">
        <x:is>
          <x:t xml:space="preserve">anthropic|claude-sonnet-5|non-reasoning|nonreasoning|fallback-na</x:t>
        </x:is>
      </x:c>
      <x:c r="C360" t="inlineStr">
        <x:is>
          <x:t xml:space="preserve">AA|v4.3.2</x:t>
        </x:is>
      </x:c>
      <x:c r="D360" t="n">
        <x:v>46</x:v>
      </x:c>
      <x:c r="E360" t="n">
        <x:v>65</x:v>
      </x:c>
      <x:c r="F360" t="n">
        <x:f>INDEX(Run_Metrics!$F:$F,D360)</x:f>
        <x:v>29</x:v>
      </x:c>
      <x:c r="G360" t="str">
        <x:f>INDEX(Run_Metrics!$G:$G,D360)</x:f>
      </x:c>
      <x:c r="H360" t="str">
        <x:f>INDEX(Run_Metrics!$I:$I,D360)</x:f>
      </x:c>
      <x:c r="I360" t="n">
        <x:f>IF(F360="","",F360-(E360-1))</x:f>
        <x:v>-35</x:v>
      </x:c>
      <x:c r="J360" t="n">
        <x:f>IF(I360&gt;0,1,0)</x:f>
        <x:v>0</x:v>
      </x:c>
      <x:c r="K360" t="str">
        <x:f>IF(OR(J360=0,G360="",G360=0),"",I360/G360)</x:f>
      </x:c>
      <x:c r="L360" t="str">
        <x:f>IF(OR(J360=0,I360=0,G360=""),"",G360/I360)</x:f>
      </x:c>
      <x:c r="M360" t="str">
        <x:f>IF(OR(J360=0,G360="",H360="",G360=0,H360=0),"",I360/(G360*H360))</x:f>
      </x:c>
      <x:c r="N360" t="str">
        <x:f>IF(K360="","",K360/_xlfn.MAXIFS($K:$K,$E:$E,E360))</x:f>
      </x:c>
      <x:c r="O360" t="str">
        <x:f>IF(M360="","",M360/_xlfn.MAXIFS($M:$M,$E:$E,E360))</x:f>
      </x:c>
      <x:c r="P360" t="str">
        <x:f>IF(OR(N360="",O360=""),"",SQRT(N360*O360))</x:f>
      </x:c>
      <x:c r="Q360" t="str">
        <x:f>IF(OR(N360="",O360=""),"",N360^0.7*O360^0.3)</x:f>
      </x:c>
      <x:c r="R360" t="str">
        <x:f>IF(OR(N360="",O360=""),"",N360^0.3*O360^0.7)</x:f>
      </x:c>
    </x:row>
    <x:row r="361">
      <x:c r="A361" t="inlineStr">
        <x:is>
          <x:t xml:space="preserve">anthropic|claude-sonnet-5|non-reasoning|nonreasoning|fallback-na|aa-v4.3.2|snapshot-2026-09-28</x:t>
        </x:is>
      </x:c>
      <x:c r="B361" t="inlineStr">
        <x:is>
          <x:t xml:space="preserve">anthropic|claude-sonnet-5|non-reasoning|nonreasoning|fallback-na</x:t>
        </x:is>
      </x:c>
      <x:c r="C361" t="inlineStr">
        <x:is>
          <x:t xml:space="preserve">AA|v4.3.2</x:t>
        </x:is>
      </x:c>
      <x:c r="D361" t="n">
        <x:v>46</x:v>
      </x:c>
      <x:c r="E361" t="n">
        <x:v>80</x:v>
      </x:c>
      <x:c r="F361" t="n">
        <x:f>INDEX(Run_Metrics!$F:$F,D361)</x:f>
        <x:v>29</x:v>
      </x:c>
      <x:c r="G361" t="str">
        <x:f>INDEX(Run_Metrics!$G:$G,D361)</x:f>
      </x:c>
      <x:c r="H361" t="str">
        <x:f>INDEX(Run_Metrics!$I:$I,D361)</x:f>
      </x:c>
      <x:c r="I361" t="n">
        <x:f>IF(F361="","",F361-(E361-1))</x:f>
        <x:v>-50</x:v>
      </x:c>
      <x:c r="J361" t="n">
        <x:f>IF(I361&gt;0,1,0)</x:f>
        <x:v>0</x:v>
      </x:c>
      <x:c r="K361" t="str">
        <x:f>IF(OR(J361=0,G361="",G361=0),"",I361/G361)</x:f>
      </x:c>
      <x:c r="L361" t="str">
        <x:f>IF(OR(J361=0,I361=0,G361=""),"",G361/I361)</x:f>
      </x:c>
      <x:c r="M361" t="str">
        <x:f>IF(OR(J361=0,G361="",H361="",G361=0,H361=0),"",I361/(G361*H361))</x:f>
      </x:c>
      <x:c r="N361" t="str">
        <x:f>IF(K361="","",K361/_xlfn.MAXIFS($K:$K,$E:$E,E361))</x:f>
      </x:c>
      <x:c r="O361" t="str">
        <x:f>IF(M361="","",M361/_xlfn.MAXIFS($M:$M,$E:$E,E361))</x:f>
      </x:c>
      <x:c r="P361" t="str">
        <x:f>IF(OR(N361="",O361=""),"",SQRT(N361*O361))</x:f>
      </x:c>
      <x:c r="Q361" t="str">
        <x:f>IF(OR(N361="",O361=""),"",N361^0.7*O361^0.3)</x:f>
      </x:c>
      <x:c r="R361" t="str">
        <x:f>IF(OR(N361="",O361=""),"",N361^0.3*O361^0.7)</x:f>
      </x:c>
    </x:row>
    <x:row r="362">
      <x:c r="A362" t="inlineStr">
        <x:is>
          <x:t xml:space="preserve">anthropic|claude-sonnet-5|low|reasoning|fallback-na|aa-v4.3.2|snapshot-2026-09-28</x:t>
        </x:is>
      </x:c>
      <x:c r="B362" t="inlineStr">
        <x:is>
          <x:t xml:space="preserve">anthropic|claude-sonnet-5|low|reasoning|fallback-na</x:t>
        </x:is>
      </x:c>
      <x:c r="C362" t="inlineStr">
        <x:is>
          <x:t xml:space="preserve">AA|v4.3.2</x:t>
        </x:is>
      </x:c>
      <x:c r="D362" t="n">
        <x:v>47</x:v>
      </x:c>
      <x:c r="E362" t="n">
        <x:v>20</x:v>
      </x:c>
      <x:c r="F362" t="n">
        <x:f>INDEX(Run_Metrics!$F:$F,D362)</x:f>
        <x:v>25</x:v>
      </x:c>
      <x:c r="G362" t="n">
        <x:f>INDEX(Run_Metrics!$G:$G,D362)</x:f>
        <x:v>0.51</x:v>
      </x:c>
      <x:c r="H362" t="str">
        <x:f>INDEX(Run_Metrics!$I:$I,D362)</x:f>
      </x:c>
      <x:c r="I362" t="n">
        <x:f>IF(F362="","",F362-(E362-1))</x:f>
        <x:v>6</x:v>
      </x:c>
      <x:c r="J362" t="n">
        <x:f>IF(I362&gt;0,1,0)</x:f>
        <x:v>1</x:v>
      </x:c>
      <x:c r="K362" t="n">
        <x:f>IF(OR(J362=0,G362="",G362=0),"",I362/G362)</x:f>
        <x:v>11.76470588235294</x:v>
      </x:c>
      <x:c r="L362" t="n">
        <x:f>IF(OR(J362=0,I362=0,G362=""),"",G362/I362)</x:f>
        <x:v>0.085</x:v>
      </x:c>
      <x:c r="M362" t="str">
        <x:f>IF(OR(J362=0,G362="",H362="",G362=0,H362=0),"",I362/(G362*H362))</x:f>
      </x:c>
      <x:c r="N362" t="n">
        <x:f>IF(K362="","",K362/_xlfn.MAXIFS($K:$K,$E:$E,E362))</x:f>
        <x:v>0.017647058823529408</x:v>
      </x:c>
      <x:c r="O362" t="str">
        <x:f>IF(M362="","",M362/_xlfn.MAXIFS($M:$M,$E:$E,E362))</x:f>
      </x:c>
      <x:c r="P362" t="str">
        <x:f>IF(OR(N362="",O362=""),"",SQRT(N362*O362))</x:f>
      </x:c>
      <x:c r="Q362" t="str">
        <x:f>IF(OR(N362="",O362=""),"",N362^0.7*O362^0.3)</x:f>
      </x:c>
      <x:c r="R362" t="str">
        <x:f>IF(OR(N362="",O362=""),"",N362^0.3*O362^0.7)</x:f>
      </x:c>
    </x:row>
    <x:row r="363">
      <x:c r="A363" t="inlineStr">
        <x:is>
          <x:t xml:space="preserve">anthropic|claude-sonnet-5|low|reasoning|fallback-na|aa-v4.3.2|snapshot-2026-09-28</x:t>
        </x:is>
      </x:c>
      <x:c r="B363" t="inlineStr">
        <x:is>
          <x:t xml:space="preserve">anthropic|claude-sonnet-5|low|reasoning|fallback-na</x:t>
        </x:is>
      </x:c>
      <x:c r="C363" t="inlineStr">
        <x:is>
          <x:t xml:space="preserve">AA|v4.3.2</x:t>
        </x:is>
      </x:c>
      <x:c r="D363" t="n">
        <x:v>47</x:v>
      </x:c>
      <x:c r="E363" t="n">
        <x:v>30</x:v>
      </x:c>
      <x:c r="F363" t="n">
        <x:f>INDEX(Run_Metrics!$F:$F,D363)</x:f>
        <x:v>25</x:v>
      </x:c>
      <x:c r="G363" t="n">
        <x:f>INDEX(Run_Metrics!$G:$G,D363)</x:f>
        <x:v>0.51</x:v>
      </x:c>
      <x:c r="H363" t="str">
        <x:f>INDEX(Run_Metrics!$I:$I,D363)</x:f>
      </x:c>
      <x:c r="I363" t="n">
        <x:f>IF(F363="","",F363-(E363-1))</x:f>
        <x:v>-4</x:v>
      </x:c>
      <x:c r="J363" t="n">
        <x:f>IF(I363&gt;0,1,0)</x:f>
        <x:v>0</x:v>
      </x:c>
      <x:c r="K363" t="str">
        <x:f>IF(OR(J363=0,G363="",G363=0),"",I363/G363)</x:f>
      </x:c>
      <x:c r="L363" t="str">
        <x:f>IF(OR(J363=0,I363=0,G363=""),"",G363/I363)</x:f>
      </x:c>
      <x:c r="M363" t="str">
        <x:f>IF(OR(J363=0,G363="",H363="",G363=0,H363=0),"",I363/(G363*H363))</x:f>
      </x:c>
      <x:c r="N363" t="str">
        <x:f>IF(K363="","",K363/_xlfn.MAXIFS($K:$K,$E:$E,E363))</x:f>
      </x:c>
      <x:c r="O363" t="str">
        <x:f>IF(M363="","",M363/_xlfn.MAXIFS($M:$M,$E:$E,E363))</x:f>
      </x:c>
      <x:c r="P363" t="str">
        <x:f>IF(OR(N363="",O363=""),"",SQRT(N363*O363))</x:f>
      </x:c>
      <x:c r="Q363" t="str">
        <x:f>IF(OR(N363="",O363=""),"",N363^0.7*O363^0.3)</x:f>
      </x:c>
      <x:c r="R363" t="str">
        <x:f>IF(OR(N363="",O363=""),"",N363^0.3*O363^0.7)</x:f>
      </x:c>
    </x:row>
    <x:row r="364">
      <x:c r="A364" t="inlineStr">
        <x:is>
          <x:t xml:space="preserve">anthropic|claude-sonnet-5|low|reasoning|fallback-na|aa-v4.3.2|snapshot-2026-09-28</x:t>
        </x:is>
      </x:c>
      <x:c r="B364" t="inlineStr">
        <x:is>
          <x:t xml:space="preserve">anthropic|claude-sonnet-5|low|reasoning|fallback-na</x:t>
        </x:is>
      </x:c>
      <x:c r="C364" t="inlineStr">
        <x:is>
          <x:t xml:space="preserve">AA|v4.3.2</x:t>
        </x:is>
      </x:c>
      <x:c r="D364" t="n">
        <x:v>47</x:v>
      </x:c>
      <x:c r="E364" t="n">
        <x:v>40</x:v>
      </x:c>
      <x:c r="F364" t="n">
        <x:f>INDEX(Run_Metrics!$F:$F,D364)</x:f>
        <x:v>25</x:v>
      </x:c>
      <x:c r="G364" t="n">
        <x:f>INDEX(Run_Metrics!$G:$G,D364)</x:f>
        <x:v>0.51</x:v>
      </x:c>
      <x:c r="H364" t="str">
        <x:f>INDEX(Run_Metrics!$I:$I,D364)</x:f>
      </x:c>
      <x:c r="I364" t="n">
        <x:f>IF(F364="","",F364-(E364-1))</x:f>
        <x:v>-14</x:v>
      </x:c>
      <x:c r="J364" t="n">
        <x:f>IF(I364&gt;0,1,0)</x:f>
        <x:v>0</x:v>
      </x:c>
      <x:c r="K364" t="str">
        <x:f>IF(OR(J364=0,G364="",G364=0),"",I364/G364)</x:f>
      </x:c>
      <x:c r="L364" t="str">
        <x:f>IF(OR(J364=0,I364=0,G364=""),"",G364/I364)</x:f>
      </x:c>
      <x:c r="M364" t="str">
        <x:f>IF(OR(J364=0,G364="",H364="",G364=0,H364=0),"",I364/(G364*H364))</x:f>
      </x:c>
      <x:c r="N364" t="str">
        <x:f>IF(K364="","",K364/_xlfn.MAXIFS($K:$K,$E:$E,E364))</x:f>
      </x:c>
      <x:c r="O364" t="str">
        <x:f>IF(M364="","",M364/_xlfn.MAXIFS($M:$M,$E:$E,E364))</x:f>
      </x:c>
      <x:c r="P364" t="str">
        <x:f>IF(OR(N364="",O364=""),"",SQRT(N364*O364))</x:f>
      </x:c>
      <x:c r="Q364" t="str">
        <x:f>IF(OR(N364="",O364=""),"",N364^0.7*O364^0.3)</x:f>
      </x:c>
      <x:c r="R364" t="str">
        <x:f>IF(OR(N364="",O364=""),"",N364^0.3*O364^0.7)</x:f>
      </x:c>
    </x:row>
    <x:row r="365">
      <x:c r="A365" t="inlineStr">
        <x:is>
          <x:t xml:space="preserve">anthropic|claude-sonnet-5|low|reasoning|fallback-na|aa-v4.3.2|snapshot-2026-09-28</x:t>
        </x:is>
      </x:c>
      <x:c r="B365" t="inlineStr">
        <x:is>
          <x:t xml:space="preserve">anthropic|claude-sonnet-5|low|reasoning|fallback-na</x:t>
        </x:is>
      </x:c>
      <x:c r="C365" t="inlineStr">
        <x:is>
          <x:t xml:space="preserve">AA|v4.3.2</x:t>
        </x:is>
      </x:c>
      <x:c r="D365" t="n">
        <x:v>47</x:v>
      </x:c>
      <x:c r="E365" t="n">
        <x:v>45</x:v>
      </x:c>
      <x:c r="F365" t="n">
        <x:f>INDEX(Run_Metrics!$F:$F,D365)</x:f>
        <x:v>25</x:v>
      </x:c>
      <x:c r="G365" t="n">
        <x:f>INDEX(Run_Metrics!$G:$G,D365)</x:f>
        <x:v>0.51</x:v>
      </x:c>
      <x:c r="H365" t="str">
        <x:f>INDEX(Run_Metrics!$I:$I,D365)</x:f>
      </x:c>
      <x:c r="I365" t="n">
        <x:f>IF(F365="","",F365-(E365-1))</x:f>
        <x:v>-19</x:v>
      </x:c>
      <x:c r="J365" t="n">
        <x:f>IF(I365&gt;0,1,0)</x:f>
        <x:v>0</x:v>
      </x:c>
      <x:c r="K365" t="str">
        <x:f>IF(OR(J365=0,G365="",G365=0),"",I365/G365)</x:f>
      </x:c>
      <x:c r="L365" t="str">
        <x:f>IF(OR(J365=0,I365=0,G365=""),"",G365/I365)</x:f>
      </x:c>
      <x:c r="M365" t="str">
        <x:f>IF(OR(J365=0,G365="",H365="",G365=0,H365=0),"",I365/(G365*H365))</x:f>
      </x:c>
      <x:c r="N365" t="str">
        <x:f>IF(K365="","",K365/_xlfn.MAXIFS($K:$K,$E:$E,E365))</x:f>
      </x:c>
      <x:c r="O365" t="str">
        <x:f>IF(M365="","",M365/_xlfn.MAXIFS($M:$M,$E:$E,E365))</x:f>
      </x:c>
      <x:c r="P365" t="str">
        <x:f>IF(OR(N365="",O365=""),"",SQRT(N365*O365))</x:f>
      </x:c>
      <x:c r="Q365" t="str">
        <x:f>IF(OR(N365="",O365=""),"",N365^0.7*O365^0.3)</x:f>
      </x:c>
      <x:c r="R365" t="str">
        <x:f>IF(OR(N365="",O365=""),"",N365^0.3*O365^0.7)</x:f>
      </x:c>
    </x:row>
    <x:row r="366">
      <x:c r="A366" t="inlineStr">
        <x:is>
          <x:t xml:space="preserve">anthropic|claude-sonnet-5|low|reasoning|fallback-na|aa-v4.3.2|snapshot-2026-09-28</x:t>
        </x:is>
      </x:c>
      <x:c r="B366" t="inlineStr">
        <x:is>
          <x:t xml:space="preserve">anthropic|claude-sonnet-5|low|reasoning|fallback-na</x:t>
        </x:is>
      </x:c>
      <x:c r="C366" t="inlineStr">
        <x:is>
          <x:t xml:space="preserve">AA|v4.3.2</x:t>
        </x:is>
      </x:c>
      <x:c r="D366" t="n">
        <x:v>47</x:v>
      </x:c>
      <x:c r="E366" t="n">
        <x:v>50</x:v>
      </x:c>
      <x:c r="F366" t="n">
        <x:f>INDEX(Run_Metrics!$F:$F,D366)</x:f>
        <x:v>25</x:v>
      </x:c>
      <x:c r="G366" t="n">
        <x:f>INDEX(Run_Metrics!$G:$G,D366)</x:f>
        <x:v>0.51</x:v>
      </x:c>
      <x:c r="H366" t="str">
        <x:f>INDEX(Run_Metrics!$I:$I,D366)</x:f>
      </x:c>
      <x:c r="I366" t="n">
        <x:f>IF(F366="","",F366-(E366-1))</x:f>
        <x:v>-24</x:v>
      </x:c>
      <x:c r="J366" t="n">
        <x:f>IF(I366&gt;0,1,0)</x:f>
        <x:v>0</x:v>
      </x:c>
      <x:c r="K366" t="str">
        <x:f>IF(OR(J366=0,G366="",G366=0),"",I366/G366)</x:f>
      </x:c>
      <x:c r="L366" t="str">
        <x:f>IF(OR(J366=0,I366=0,G366=""),"",G366/I366)</x:f>
      </x:c>
      <x:c r="M366" t="str">
        <x:f>IF(OR(J366=0,G366="",H366="",G366=0,H366=0),"",I366/(G366*H366))</x:f>
      </x:c>
      <x:c r="N366" t="str">
        <x:f>IF(K366="","",K366/_xlfn.MAXIFS($K:$K,$E:$E,E366))</x:f>
      </x:c>
      <x:c r="O366" t="str">
        <x:f>IF(M366="","",M366/_xlfn.MAXIFS($M:$M,$E:$E,E366))</x:f>
      </x:c>
      <x:c r="P366" t="str">
        <x:f>IF(OR(N366="",O366=""),"",SQRT(N366*O366))</x:f>
      </x:c>
      <x:c r="Q366" t="str">
        <x:f>IF(OR(N366="",O366=""),"",N366^0.7*O366^0.3)</x:f>
      </x:c>
      <x:c r="R366" t="str">
        <x:f>IF(OR(N366="",O366=""),"",N366^0.3*O366^0.7)</x:f>
      </x:c>
    </x:row>
    <x:row r="367">
      <x:c r="A367" t="inlineStr">
        <x:is>
          <x:t xml:space="preserve">anthropic|claude-sonnet-5|low|reasoning|fallback-na|aa-v4.3.2|snapshot-2026-09-28</x:t>
        </x:is>
      </x:c>
      <x:c r="B367" t="inlineStr">
        <x:is>
          <x:t xml:space="preserve">anthropic|claude-sonnet-5|low|reasoning|fallback-na</x:t>
        </x:is>
      </x:c>
      <x:c r="C367" t="inlineStr">
        <x:is>
          <x:t xml:space="preserve">AA|v4.3.2</x:t>
        </x:is>
      </x:c>
      <x:c r="D367" t="n">
        <x:v>47</x:v>
      </x:c>
      <x:c r="E367" t="n">
        <x:v>52</x:v>
      </x:c>
      <x:c r="F367" t="n">
        <x:f>INDEX(Run_Metrics!$F:$F,D367)</x:f>
        <x:v>25</x:v>
      </x:c>
      <x:c r="G367" t="n">
        <x:f>INDEX(Run_Metrics!$G:$G,D367)</x:f>
        <x:v>0.51</x:v>
      </x:c>
      <x:c r="H367" t="str">
        <x:f>INDEX(Run_Metrics!$I:$I,D367)</x:f>
      </x:c>
      <x:c r="I367" t="n">
        <x:f>IF(F367="","",F367-(E367-1))</x:f>
        <x:v>-26</x:v>
      </x:c>
      <x:c r="J367" t="n">
        <x:f>IF(I367&gt;0,1,0)</x:f>
        <x:v>0</x:v>
      </x:c>
      <x:c r="K367" t="str">
        <x:f>IF(OR(J367=0,G367="",G367=0),"",I367/G367)</x:f>
      </x:c>
      <x:c r="L367" t="str">
        <x:f>IF(OR(J367=0,I367=0,G367=""),"",G367/I367)</x:f>
      </x:c>
      <x:c r="M367" t="str">
        <x:f>IF(OR(J367=0,G367="",H367="",G367=0,H367=0),"",I367/(G367*H367))</x:f>
      </x:c>
      <x:c r="N367" t="str">
        <x:f>IF(K367="","",K367/_xlfn.MAXIFS($K:$K,$E:$E,E367))</x:f>
      </x:c>
      <x:c r="O367" t="str">
        <x:f>IF(M367="","",M367/_xlfn.MAXIFS($M:$M,$E:$E,E367))</x:f>
      </x:c>
      <x:c r="P367" t="str">
        <x:f>IF(OR(N367="",O367=""),"",SQRT(N367*O367))</x:f>
      </x:c>
      <x:c r="Q367" t="str">
        <x:f>IF(OR(N367="",O367=""),"",N367^0.7*O367^0.3)</x:f>
      </x:c>
      <x:c r="R367" t="str">
        <x:f>IF(OR(N367="",O367=""),"",N367^0.3*O367^0.7)</x:f>
      </x:c>
    </x:row>
    <x:row r="368">
      <x:c r="A368" t="inlineStr">
        <x:is>
          <x:t xml:space="preserve">anthropic|claude-sonnet-5|low|reasoning|fallback-na|aa-v4.3.2|snapshot-2026-09-28</x:t>
        </x:is>
      </x:c>
      <x:c r="B368" t="inlineStr">
        <x:is>
          <x:t xml:space="preserve">anthropic|claude-sonnet-5|low|reasoning|fallback-na</x:t>
        </x:is>
      </x:c>
      <x:c r="C368" t="inlineStr">
        <x:is>
          <x:t xml:space="preserve">AA|v4.3.2</x:t>
        </x:is>
      </x:c>
      <x:c r="D368" t="n">
        <x:v>47</x:v>
      </x:c>
      <x:c r="E368" t="n">
        <x:v>65</x:v>
      </x:c>
      <x:c r="F368" t="n">
        <x:f>INDEX(Run_Metrics!$F:$F,D368)</x:f>
        <x:v>25</x:v>
      </x:c>
      <x:c r="G368" t="n">
        <x:f>INDEX(Run_Metrics!$G:$G,D368)</x:f>
        <x:v>0.51</x:v>
      </x:c>
      <x:c r="H368" t="str">
        <x:f>INDEX(Run_Metrics!$I:$I,D368)</x:f>
      </x:c>
      <x:c r="I368" t="n">
        <x:f>IF(F368="","",F368-(E368-1))</x:f>
        <x:v>-39</x:v>
      </x:c>
      <x:c r="J368" t="n">
        <x:f>IF(I368&gt;0,1,0)</x:f>
        <x:v>0</x:v>
      </x:c>
      <x:c r="K368" t="str">
        <x:f>IF(OR(J368=0,G368="",G368=0),"",I368/G368)</x:f>
      </x:c>
      <x:c r="L368" t="str">
        <x:f>IF(OR(J368=0,I368=0,G368=""),"",G368/I368)</x:f>
      </x:c>
      <x:c r="M368" t="str">
        <x:f>IF(OR(J368=0,G368="",H368="",G368=0,H368=0),"",I368/(G368*H368))</x:f>
      </x:c>
      <x:c r="N368" t="str">
        <x:f>IF(K368="","",K368/_xlfn.MAXIFS($K:$K,$E:$E,E368))</x:f>
      </x:c>
      <x:c r="O368" t="str">
        <x:f>IF(M368="","",M368/_xlfn.MAXIFS($M:$M,$E:$E,E368))</x:f>
      </x:c>
      <x:c r="P368" t="str">
        <x:f>IF(OR(N368="",O368=""),"",SQRT(N368*O368))</x:f>
      </x:c>
      <x:c r="Q368" t="str">
        <x:f>IF(OR(N368="",O368=""),"",N368^0.7*O368^0.3)</x:f>
      </x:c>
      <x:c r="R368" t="str">
        <x:f>IF(OR(N368="",O368=""),"",N368^0.3*O368^0.7)</x:f>
      </x:c>
    </x:row>
    <x:row r="369">
      <x:c r="A369" t="inlineStr">
        <x:is>
          <x:t xml:space="preserve">anthropic|claude-sonnet-5|low|reasoning|fallback-na|aa-v4.3.2|snapshot-2026-09-28</x:t>
        </x:is>
      </x:c>
      <x:c r="B369" t="inlineStr">
        <x:is>
          <x:t xml:space="preserve">anthropic|claude-sonnet-5|low|reasoning|fallback-na</x:t>
        </x:is>
      </x:c>
      <x:c r="C369" t="inlineStr">
        <x:is>
          <x:t xml:space="preserve">AA|v4.3.2</x:t>
        </x:is>
      </x:c>
      <x:c r="D369" t="n">
        <x:v>47</x:v>
      </x:c>
      <x:c r="E369" t="n">
        <x:v>80</x:v>
      </x:c>
      <x:c r="F369" t="n">
        <x:f>INDEX(Run_Metrics!$F:$F,D369)</x:f>
        <x:v>25</x:v>
      </x:c>
      <x:c r="G369" t="n">
        <x:f>INDEX(Run_Metrics!$G:$G,D369)</x:f>
        <x:v>0.51</x:v>
      </x:c>
      <x:c r="H369" t="str">
        <x:f>INDEX(Run_Metrics!$I:$I,D369)</x:f>
      </x:c>
      <x:c r="I369" t="n">
        <x:f>IF(F369="","",F369-(E369-1))</x:f>
        <x:v>-54</x:v>
      </x:c>
      <x:c r="J369" t="n">
        <x:f>IF(I369&gt;0,1,0)</x:f>
        <x:v>0</x:v>
      </x:c>
      <x:c r="K369" t="str">
        <x:f>IF(OR(J369=0,G369="",G369=0),"",I369/G369)</x:f>
      </x:c>
      <x:c r="L369" t="str">
        <x:f>IF(OR(J369=0,I369=0,G369=""),"",G369/I369)</x:f>
      </x:c>
      <x:c r="M369" t="str">
        <x:f>IF(OR(J369=0,G369="",H369="",G369=0,H369=0),"",I369/(G369*H369))</x:f>
      </x:c>
      <x:c r="N369" t="str">
        <x:f>IF(K369="","",K369/_xlfn.MAXIFS($K:$K,$E:$E,E369))</x:f>
      </x:c>
      <x:c r="O369" t="str">
        <x:f>IF(M369="","",M369/_xlfn.MAXIFS($M:$M,$E:$E,E369))</x:f>
      </x:c>
      <x:c r="P369" t="str">
        <x:f>IF(OR(N369="",O369=""),"",SQRT(N369*O369))</x:f>
      </x:c>
      <x:c r="Q369" t="str">
        <x:f>IF(OR(N369="",O369=""),"",N369^0.7*O369^0.3)</x:f>
      </x:c>
      <x:c r="R369" t="str">
        <x:f>IF(OR(N369="",O369=""),"",N369^0.3*O369^0.7)</x:f>
      </x:c>
    </x:row>
    <x:row r="370">
      <x:c r="A370" t="inlineStr">
        <x:is>
          <x:t xml:space="preserve">anthropic|claude-sonnet-5|medium|reasoning|fallback-na|aa-v4.3.2|snapshot-2026-09-28</x:t>
        </x:is>
      </x:c>
      <x:c r="B370" t="inlineStr">
        <x:is>
          <x:t xml:space="preserve">anthropic|claude-sonnet-5|medium|reasoning|fallback-na</x:t>
        </x:is>
      </x:c>
      <x:c r="C370" t="inlineStr">
        <x:is>
          <x:t xml:space="preserve">AA|v4.3.2</x:t>
        </x:is>
      </x:c>
      <x:c r="D370" t="n">
        <x:v>48</x:v>
      </x:c>
      <x:c r="E370" t="n">
        <x:v>20</x:v>
      </x:c>
      <x:c r="F370" t="n">
        <x:f>INDEX(Run_Metrics!$F:$F,D370)</x:f>
        <x:v>28</x:v>
      </x:c>
      <x:c r="G370" t="n">
        <x:f>INDEX(Run_Metrics!$G:$G,D370)</x:f>
        <x:v>1</x:v>
      </x:c>
      <x:c r="H370" t="str">
        <x:f>INDEX(Run_Metrics!$I:$I,D370)</x:f>
      </x:c>
      <x:c r="I370" t="n">
        <x:f>IF(F370="","",F370-(E370-1))</x:f>
        <x:v>9</x:v>
      </x:c>
      <x:c r="J370" t="n">
        <x:f>IF(I370&gt;0,1,0)</x:f>
        <x:v>1</x:v>
      </x:c>
      <x:c r="K370" t="n">
        <x:f>IF(OR(J370=0,G370="",G370=0),"",I370/G370)</x:f>
        <x:v>9</x:v>
      </x:c>
      <x:c r="L370" t="n">
        <x:f>IF(OR(J370=0,I370=0,G370=""),"",G370/I370)</x:f>
        <x:v>0.1111111111111111</x:v>
      </x:c>
      <x:c r="M370" t="str">
        <x:f>IF(OR(J370=0,G370="",H370="",G370=0,H370=0),"",I370/(G370*H370))</x:f>
      </x:c>
      <x:c r="N370" t="n">
        <x:f>IF(K370="","",K370/_xlfn.MAXIFS($K:$K,$E:$E,E370))</x:f>
        <x:v>0.013499999999999998</x:v>
      </x:c>
      <x:c r="O370" t="str">
        <x:f>IF(M370="","",M370/_xlfn.MAXIFS($M:$M,$E:$E,E370))</x:f>
      </x:c>
      <x:c r="P370" t="str">
        <x:f>IF(OR(N370="",O370=""),"",SQRT(N370*O370))</x:f>
      </x:c>
      <x:c r="Q370" t="str">
        <x:f>IF(OR(N370="",O370=""),"",N370^0.7*O370^0.3)</x:f>
      </x:c>
      <x:c r="R370" t="str">
        <x:f>IF(OR(N370="",O370=""),"",N370^0.3*O370^0.7)</x:f>
      </x:c>
    </x:row>
    <x:row r="371">
      <x:c r="A371" t="inlineStr">
        <x:is>
          <x:t xml:space="preserve">anthropic|claude-sonnet-5|medium|reasoning|fallback-na|aa-v4.3.2|snapshot-2026-09-28</x:t>
        </x:is>
      </x:c>
      <x:c r="B371" t="inlineStr">
        <x:is>
          <x:t xml:space="preserve">anthropic|claude-sonnet-5|medium|reasoning|fallback-na</x:t>
        </x:is>
      </x:c>
      <x:c r="C371" t="inlineStr">
        <x:is>
          <x:t xml:space="preserve">AA|v4.3.2</x:t>
        </x:is>
      </x:c>
      <x:c r="D371" t="n">
        <x:v>48</x:v>
      </x:c>
      <x:c r="E371" t="n">
        <x:v>30</x:v>
      </x:c>
      <x:c r="F371" t="n">
        <x:f>INDEX(Run_Metrics!$F:$F,D371)</x:f>
        <x:v>28</x:v>
      </x:c>
      <x:c r="G371" t="n">
        <x:f>INDEX(Run_Metrics!$G:$G,D371)</x:f>
        <x:v>1</x:v>
      </x:c>
      <x:c r="H371" t="str">
        <x:f>INDEX(Run_Metrics!$I:$I,D371)</x:f>
      </x:c>
      <x:c r="I371" t="n">
        <x:f>IF(F371="","",F371-(E371-1))</x:f>
        <x:v>-1</x:v>
      </x:c>
      <x:c r="J371" t="n">
        <x:f>IF(I371&gt;0,1,0)</x:f>
        <x:v>0</x:v>
      </x:c>
      <x:c r="K371" t="str">
        <x:f>IF(OR(J371=0,G371="",G371=0),"",I371/G371)</x:f>
      </x:c>
      <x:c r="L371" t="str">
        <x:f>IF(OR(J371=0,I371=0,G371=""),"",G371/I371)</x:f>
      </x:c>
      <x:c r="M371" t="str">
        <x:f>IF(OR(J371=0,G371="",H371="",G371=0,H371=0),"",I371/(G371*H371))</x:f>
      </x:c>
      <x:c r="N371" t="str">
        <x:f>IF(K371="","",K371/_xlfn.MAXIFS($K:$K,$E:$E,E371))</x:f>
      </x:c>
      <x:c r="O371" t="str">
        <x:f>IF(M371="","",M371/_xlfn.MAXIFS($M:$M,$E:$E,E371))</x:f>
      </x:c>
      <x:c r="P371" t="str">
        <x:f>IF(OR(N371="",O371=""),"",SQRT(N371*O371))</x:f>
      </x:c>
      <x:c r="Q371" t="str">
        <x:f>IF(OR(N371="",O371=""),"",N371^0.7*O371^0.3)</x:f>
      </x:c>
      <x:c r="R371" t="str">
        <x:f>IF(OR(N371="",O371=""),"",N371^0.3*O371^0.7)</x:f>
      </x:c>
    </x:row>
    <x:row r="372">
      <x:c r="A372" t="inlineStr">
        <x:is>
          <x:t xml:space="preserve">anthropic|claude-sonnet-5|medium|reasoning|fallback-na|aa-v4.3.2|snapshot-2026-09-28</x:t>
        </x:is>
      </x:c>
      <x:c r="B372" t="inlineStr">
        <x:is>
          <x:t xml:space="preserve">anthropic|claude-sonnet-5|medium|reasoning|fallback-na</x:t>
        </x:is>
      </x:c>
      <x:c r="C372" t="inlineStr">
        <x:is>
          <x:t xml:space="preserve">AA|v4.3.2</x:t>
        </x:is>
      </x:c>
      <x:c r="D372" t="n">
        <x:v>48</x:v>
      </x:c>
      <x:c r="E372" t="n">
        <x:v>40</x:v>
      </x:c>
      <x:c r="F372" t="n">
        <x:f>INDEX(Run_Metrics!$F:$F,D372)</x:f>
        <x:v>28</x:v>
      </x:c>
      <x:c r="G372" t="n">
        <x:f>INDEX(Run_Metrics!$G:$G,D372)</x:f>
        <x:v>1</x:v>
      </x:c>
      <x:c r="H372" t="str">
        <x:f>INDEX(Run_Metrics!$I:$I,D372)</x:f>
      </x:c>
      <x:c r="I372" t="n">
        <x:f>IF(F372="","",F372-(E372-1))</x:f>
        <x:v>-11</x:v>
      </x:c>
      <x:c r="J372" t="n">
        <x:f>IF(I372&gt;0,1,0)</x:f>
        <x:v>0</x:v>
      </x:c>
      <x:c r="K372" t="str">
        <x:f>IF(OR(J372=0,G372="",G372=0),"",I372/G372)</x:f>
      </x:c>
      <x:c r="L372" t="str">
        <x:f>IF(OR(J372=0,I372=0,G372=""),"",G372/I372)</x:f>
      </x:c>
      <x:c r="M372" t="str">
        <x:f>IF(OR(J372=0,G372="",H372="",G372=0,H372=0),"",I372/(G372*H372))</x:f>
      </x:c>
      <x:c r="N372" t="str">
        <x:f>IF(K372="","",K372/_xlfn.MAXIFS($K:$K,$E:$E,E372))</x:f>
      </x:c>
      <x:c r="O372" t="str">
        <x:f>IF(M372="","",M372/_xlfn.MAXIFS($M:$M,$E:$E,E372))</x:f>
      </x:c>
      <x:c r="P372" t="str">
        <x:f>IF(OR(N372="",O372=""),"",SQRT(N372*O372))</x:f>
      </x:c>
      <x:c r="Q372" t="str">
        <x:f>IF(OR(N372="",O372=""),"",N372^0.7*O372^0.3)</x:f>
      </x:c>
      <x:c r="R372" t="str">
        <x:f>IF(OR(N372="",O372=""),"",N372^0.3*O372^0.7)</x:f>
      </x:c>
    </x:row>
    <x:row r="373">
      <x:c r="A373" t="inlineStr">
        <x:is>
          <x:t xml:space="preserve">anthropic|claude-sonnet-5|medium|reasoning|fallback-na|aa-v4.3.2|snapshot-2026-09-28</x:t>
        </x:is>
      </x:c>
      <x:c r="B373" t="inlineStr">
        <x:is>
          <x:t xml:space="preserve">anthropic|claude-sonnet-5|medium|reasoning|fallback-na</x:t>
        </x:is>
      </x:c>
      <x:c r="C373" t="inlineStr">
        <x:is>
          <x:t xml:space="preserve">AA|v4.3.2</x:t>
        </x:is>
      </x:c>
      <x:c r="D373" t="n">
        <x:v>48</x:v>
      </x:c>
      <x:c r="E373" t="n">
        <x:v>45</x:v>
      </x:c>
      <x:c r="F373" t="n">
        <x:f>INDEX(Run_Metrics!$F:$F,D373)</x:f>
        <x:v>28</x:v>
      </x:c>
      <x:c r="G373" t="n">
        <x:f>INDEX(Run_Metrics!$G:$G,D373)</x:f>
        <x:v>1</x:v>
      </x:c>
      <x:c r="H373" t="str">
        <x:f>INDEX(Run_Metrics!$I:$I,D373)</x:f>
      </x:c>
      <x:c r="I373" t="n">
        <x:f>IF(F373="","",F373-(E373-1))</x:f>
        <x:v>-16</x:v>
      </x:c>
      <x:c r="J373" t="n">
        <x:f>IF(I373&gt;0,1,0)</x:f>
        <x:v>0</x:v>
      </x:c>
      <x:c r="K373" t="str">
        <x:f>IF(OR(J373=0,G373="",G373=0),"",I373/G373)</x:f>
      </x:c>
      <x:c r="L373" t="str">
        <x:f>IF(OR(J373=0,I373=0,G373=""),"",G373/I373)</x:f>
      </x:c>
      <x:c r="M373" t="str">
        <x:f>IF(OR(J373=0,G373="",H373="",G373=0,H373=0),"",I373/(G373*H373))</x:f>
      </x:c>
      <x:c r="N373" t="str">
        <x:f>IF(K373="","",K373/_xlfn.MAXIFS($K:$K,$E:$E,E373))</x:f>
      </x:c>
      <x:c r="O373" t="str">
        <x:f>IF(M373="","",M373/_xlfn.MAXIFS($M:$M,$E:$E,E373))</x:f>
      </x:c>
      <x:c r="P373" t="str">
        <x:f>IF(OR(N373="",O373=""),"",SQRT(N373*O373))</x:f>
      </x:c>
      <x:c r="Q373" t="str">
        <x:f>IF(OR(N373="",O373=""),"",N373^0.7*O373^0.3)</x:f>
      </x:c>
      <x:c r="R373" t="str">
        <x:f>IF(OR(N373="",O373=""),"",N373^0.3*O373^0.7)</x:f>
      </x:c>
    </x:row>
    <x:row r="374">
      <x:c r="A374" t="inlineStr">
        <x:is>
          <x:t xml:space="preserve">anthropic|claude-sonnet-5|medium|reasoning|fallback-na|aa-v4.3.2|snapshot-2026-09-28</x:t>
        </x:is>
      </x:c>
      <x:c r="B374" t="inlineStr">
        <x:is>
          <x:t xml:space="preserve">anthropic|claude-sonnet-5|medium|reasoning|fallback-na</x:t>
        </x:is>
      </x:c>
      <x:c r="C374" t="inlineStr">
        <x:is>
          <x:t xml:space="preserve">AA|v4.3.2</x:t>
        </x:is>
      </x:c>
      <x:c r="D374" t="n">
        <x:v>48</x:v>
      </x:c>
      <x:c r="E374" t="n">
        <x:v>50</x:v>
      </x:c>
      <x:c r="F374" t="n">
        <x:f>INDEX(Run_Metrics!$F:$F,D374)</x:f>
        <x:v>28</x:v>
      </x:c>
      <x:c r="G374" t="n">
        <x:f>INDEX(Run_Metrics!$G:$G,D374)</x:f>
        <x:v>1</x:v>
      </x:c>
      <x:c r="H374" t="str">
        <x:f>INDEX(Run_Metrics!$I:$I,D374)</x:f>
      </x:c>
      <x:c r="I374" t="n">
        <x:f>IF(F374="","",F374-(E374-1))</x:f>
        <x:v>-21</x:v>
      </x:c>
      <x:c r="J374" t="n">
        <x:f>IF(I374&gt;0,1,0)</x:f>
        <x:v>0</x:v>
      </x:c>
      <x:c r="K374" t="str">
        <x:f>IF(OR(J374=0,G374="",G374=0),"",I374/G374)</x:f>
      </x:c>
      <x:c r="L374" t="str">
        <x:f>IF(OR(J374=0,I374=0,G374=""),"",G374/I374)</x:f>
      </x:c>
      <x:c r="M374" t="str">
        <x:f>IF(OR(J374=0,G374="",H374="",G374=0,H374=0),"",I374/(G374*H374))</x:f>
      </x:c>
      <x:c r="N374" t="str">
        <x:f>IF(K374="","",K374/_xlfn.MAXIFS($K:$K,$E:$E,E374))</x:f>
      </x:c>
      <x:c r="O374" t="str">
        <x:f>IF(M374="","",M374/_xlfn.MAXIFS($M:$M,$E:$E,E374))</x:f>
      </x:c>
      <x:c r="P374" t="str">
        <x:f>IF(OR(N374="",O374=""),"",SQRT(N374*O374))</x:f>
      </x:c>
      <x:c r="Q374" t="str">
        <x:f>IF(OR(N374="",O374=""),"",N374^0.7*O374^0.3)</x:f>
      </x:c>
      <x:c r="R374" t="str">
        <x:f>IF(OR(N374="",O374=""),"",N374^0.3*O374^0.7)</x:f>
      </x:c>
    </x:row>
    <x:row r="375">
      <x:c r="A375" t="inlineStr">
        <x:is>
          <x:t xml:space="preserve">anthropic|claude-sonnet-5|medium|reasoning|fallback-na|aa-v4.3.2|snapshot-2026-09-28</x:t>
        </x:is>
      </x:c>
      <x:c r="B375" t="inlineStr">
        <x:is>
          <x:t xml:space="preserve">anthropic|claude-sonnet-5|medium|reasoning|fallback-na</x:t>
        </x:is>
      </x:c>
      <x:c r="C375" t="inlineStr">
        <x:is>
          <x:t xml:space="preserve">AA|v4.3.2</x:t>
        </x:is>
      </x:c>
      <x:c r="D375" t="n">
        <x:v>48</x:v>
      </x:c>
      <x:c r="E375" t="n">
        <x:v>52</x:v>
      </x:c>
      <x:c r="F375" t="n">
        <x:f>INDEX(Run_Metrics!$F:$F,D375)</x:f>
        <x:v>28</x:v>
      </x:c>
      <x:c r="G375" t="n">
        <x:f>INDEX(Run_Metrics!$G:$G,D375)</x:f>
        <x:v>1</x:v>
      </x:c>
      <x:c r="H375" t="str">
        <x:f>INDEX(Run_Metrics!$I:$I,D375)</x:f>
      </x:c>
      <x:c r="I375" t="n">
        <x:f>IF(F375="","",F375-(E375-1))</x:f>
        <x:v>-23</x:v>
      </x:c>
      <x:c r="J375" t="n">
        <x:f>IF(I375&gt;0,1,0)</x:f>
        <x:v>0</x:v>
      </x:c>
      <x:c r="K375" t="str">
        <x:f>IF(OR(J375=0,G375="",G375=0),"",I375/G375)</x:f>
      </x:c>
      <x:c r="L375" t="str">
        <x:f>IF(OR(J375=0,I375=0,G375=""),"",G375/I375)</x:f>
      </x:c>
      <x:c r="M375" t="str">
        <x:f>IF(OR(J375=0,G375="",H375="",G375=0,H375=0),"",I375/(G375*H375))</x:f>
      </x:c>
      <x:c r="N375" t="str">
        <x:f>IF(K375="","",K375/_xlfn.MAXIFS($K:$K,$E:$E,E375))</x:f>
      </x:c>
      <x:c r="O375" t="str">
        <x:f>IF(M375="","",M375/_xlfn.MAXIFS($M:$M,$E:$E,E375))</x:f>
      </x:c>
      <x:c r="P375" t="str">
        <x:f>IF(OR(N375="",O375=""),"",SQRT(N375*O375))</x:f>
      </x:c>
      <x:c r="Q375" t="str">
        <x:f>IF(OR(N375="",O375=""),"",N375^0.7*O375^0.3)</x:f>
      </x:c>
      <x:c r="R375" t="str">
        <x:f>IF(OR(N375="",O375=""),"",N375^0.3*O375^0.7)</x:f>
      </x:c>
    </x:row>
    <x:row r="376">
      <x:c r="A376" t="inlineStr">
        <x:is>
          <x:t xml:space="preserve">anthropic|claude-sonnet-5|medium|reasoning|fallback-na|aa-v4.3.2|snapshot-2026-09-28</x:t>
        </x:is>
      </x:c>
      <x:c r="B376" t="inlineStr">
        <x:is>
          <x:t xml:space="preserve">anthropic|claude-sonnet-5|medium|reasoning|fallback-na</x:t>
        </x:is>
      </x:c>
      <x:c r="C376" t="inlineStr">
        <x:is>
          <x:t xml:space="preserve">AA|v4.3.2</x:t>
        </x:is>
      </x:c>
      <x:c r="D376" t="n">
        <x:v>48</x:v>
      </x:c>
      <x:c r="E376" t="n">
        <x:v>65</x:v>
      </x:c>
      <x:c r="F376" t="n">
        <x:f>INDEX(Run_Metrics!$F:$F,D376)</x:f>
        <x:v>28</x:v>
      </x:c>
      <x:c r="G376" t="n">
        <x:f>INDEX(Run_Metrics!$G:$G,D376)</x:f>
        <x:v>1</x:v>
      </x:c>
      <x:c r="H376" t="str">
        <x:f>INDEX(Run_Metrics!$I:$I,D376)</x:f>
      </x:c>
      <x:c r="I376" t="n">
        <x:f>IF(F376="","",F376-(E376-1))</x:f>
        <x:v>-36</x:v>
      </x:c>
      <x:c r="J376" t="n">
        <x:f>IF(I376&gt;0,1,0)</x:f>
        <x:v>0</x:v>
      </x:c>
      <x:c r="K376" t="str">
        <x:f>IF(OR(J376=0,G376="",G376=0),"",I376/G376)</x:f>
      </x:c>
      <x:c r="L376" t="str">
        <x:f>IF(OR(J376=0,I376=0,G376=""),"",G376/I376)</x:f>
      </x:c>
      <x:c r="M376" t="str">
        <x:f>IF(OR(J376=0,G376="",H376="",G376=0,H376=0),"",I376/(G376*H376))</x:f>
      </x:c>
      <x:c r="N376" t="str">
        <x:f>IF(K376="","",K376/_xlfn.MAXIFS($K:$K,$E:$E,E376))</x:f>
      </x:c>
      <x:c r="O376" t="str">
        <x:f>IF(M376="","",M376/_xlfn.MAXIFS($M:$M,$E:$E,E376))</x:f>
      </x:c>
      <x:c r="P376" t="str">
        <x:f>IF(OR(N376="",O376=""),"",SQRT(N376*O376))</x:f>
      </x:c>
      <x:c r="Q376" t="str">
        <x:f>IF(OR(N376="",O376=""),"",N376^0.7*O376^0.3)</x:f>
      </x:c>
      <x:c r="R376" t="str">
        <x:f>IF(OR(N376="",O376=""),"",N376^0.3*O376^0.7)</x:f>
      </x:c>
    </x:row>
    <x:row r="377">
      <x:c r="A377" t="inlineStr">
        <x:is>
          <x:t xml:space="preserve">anthropic|claude-sonnet-5|medium|reasoning|fallback-na|aa-v4.3.2|snapshot-2026-09-28</x:t>
        </x:is>
      </x:c>
      <x:c r="B377" t="inlineStr">
        <x:is>
          <x:t xml:space="preserve">anthropic|claude-sonnet-5|medium|reasoning|fallback-na</x:t>
        </x:is>
      </x:c>
      <x:c r="C377" t="inlineStr">
        <x:is>
          <x:t xml:space="preserve">AA|v4.3.2</x:t>
        </x:is>
      </x:c>
      <x:c r="D377" t="n">
        <x:v>48</x:v>
      </x:c>
      <x:c r="E377" t="n">
        <x:v>80</x:v>
      </x:c>
      <x:c r="F377" t="n">
        <x:f>INDEX(Run_Metrics!$F:$F,D377)</x:f>
        <x:v>28</x:v>
      </x:c>
      <x:c r="G377" t="n">
        <x:f>INDEX(Run_Metrics!$G:$G,D377)</x:f>
        <x:v>1</x:v>
      </x:c>
      <x:c r="H377" t="str">
        <x:f>INDEX(Run_Metrics!$I:$I,D377)</x:f>
      </x:c>
      <x:c r="I377" t="n">
        <x:f>IF(F377="","",F377-(E377-1))</x:f>
        <x:v>-51</x:v>
      </x:c>
      <x:c r="J377" t="n">
        <x:f>IF(I377&gt;0,1,0)</x:f>
        <x:v>0</x:v>
      </x:c>
      <x:c r="K377" t="str">
        <x:f>IF(OR(J377=0,G377="",G377=0),"",I377/G377)</x:f>
      </x:c>
      <x:c r="L377" t="str">
        <x:f>IF(OR(J377=0,I377=0,G377=""),"",G377/I377)</x:f>
      </x:c>
      <x:c r="M377" t="str">
        <x:f>IF(OR(J377=0,G377="",H377="",G377=0,H377=0),"",I377/(G377*H377))</x:f>
      </x:c>
      <x:c r="N377" t="str">
        <x:f>IF(K377="","",K377/_xlfn.MAXIFS($K:$K,$E:$E,E377))</x:f>
      </x:c>
      <x:c r="O377" t="str">
        <x:f>IF(M377="","",M377/_xlfn.MAXIFS($M:$M,$E:$E,E377))</x:f>
      </x:c>
      <x:c r="P377" t="str">
        <x:f>IF(OR(N377="",O377=""),"",SQRT(N377*O377))</x:f>
      </x:c>
      <x:c r="Q377" t="str">
        <x:f>IF(OR(N377="",O377=""),"",N377^0.7*O377^0.3)</x:f>
      </x:c>
      <x:c r="R377" t="str">
        <x:f>IF(OR(N377="",O377=""),"",N377^0.3*O377^0.7)</x:f>
      </x:c>
    </x:row>
    <x:row r="378">
      <x:c r="A378" t="inlineStr">
        <x:is>
          <x:t xml:space="preserve">anthropic|claude-sonnet-5|high|reasoning|fallback-na|aa-v4.3.2|snapshot-2026-09-28</x:t>
        </x:is>
      </x:c>
      <x:c r="B378" t="inlineStr">
        <x:is>
          <x:t xml:space="preserve">anthropic|claude-sonnet-5|high|reasoning|fallback-na</x:t>
        </x:is>
      </x:c>
      <x:c r="C378" t="inlineStr">
        <x:is>
          <x:t xml:space="preserve">AA|v4.3.2</x:t>
        </x:is>
      </x:c>
      <x:c r="D378" t="n">
        <x:v>49</x:v>
      </x:c>
      <x:c r="E378" t="n">
        <x:v>20</x:v>
      </x:c>
      <x:c r="F378" t="n">
        <x:f>INDEX(Run_Metrics!$F:$F,D378)</x:f>
        <x:v>32</x:v>
      </x:c>
      <x:c r="G378" t="n">
        <x:f>INDEX(Run_Metrics!$G:$G,D378)</x:f>
        <x:v>1.79</x:v>
      </x:c>
      <x:c r="H378" t="str">
        <x:f>INDEX(Run_Metrics!$I:$I,D378)</x:f>
      </x:c>
      <x:c r="I378" t="n">
        <x:f>IF(F378="","",F378-(E378-1))</x:f>
        <x:v>13</x:v>
      </x:c>
      <x:c r="J378" t="n">
        <x:f>IF(I378&gt;0,1,0)</x:f>
        <x:v>1</x:v>
      </x:c>
      <x:c r="K378" t="n">
        <x:f>IF(OR(J378=0,G378="",G378=0),"",I378/G378)</x:f>
        <x:v>7.262569832402234</x:v>
      </x:c>
      <x:c r="L378" t="n">
        <x:f>IF(OR(J378=0,I378=0,G378=""),"",G378/I378)</x:f>
        <x:v>0.1376923076923077</x:v>
      </x:c>
      <x:c r="M378" t="str">
        <x:f>IF(OR(J378=0,G378="",H378="",G378=0,H378=0),"",I378/(G378*H378))</x:f>
      </x:c>
      <x:c r="N378" t="n">
        <x:f>IF(K378="","",K378/_xlfn.MAXIFS($K:$K,$E:$E,E378))</x:f>
        <x:v>0.010893854748603351</x:v>
      </x:c>
      <x:c r="O378" t="str">
        <x:f>IF(M378="","",M378/_xlfn.MAXIFS($M:$M,$E:$E,E378))</x:f>
      </x:c>
      <x:c r="P378" t="str">
        <x:f>IF(OR(N378="",O378=""),"",SQRT(N378*O378))</x:f>
      </x:c>
      <x:c r="Q378" t="str">
        <x:f>IF(OR(N378="",O378=""),"",N378^0.7*O378^0.3)</x:f>
      </x:c>
      <x:c r="R378" t="str">
        <x:f>IF(OR(N378="",O378=""),"",N378^0.3*O378^0.7)</x:f>
      </x:c>
    </x:row>
    <x:row r="379">
      <x:c r="A379" t="inlineStr">
        <x:is>
          <x:t xml:space="preserve">anthropic|claude-sonnet-5|high|reasoning|fallback-na|aa-v4.3.2|snapshot-2026-09-28</x:t>
        </x:is>
      </x:c>
      <x:c r="B379" t="inlineStr">
        <x:is>
          <x:t xml:space="preserve">anthropic|claude-sonnet-5|high|reasoning|fallback-na</x:t>
        </x:is>
      </x:c>
      <x:c r="C379" t="inlineStr">
        <x:is>
          <x:t xml:space="preserve">AA|v4.3.2</x:t>
        </x:is>
      </x:c>
      <x:c r="D379" t="n">
        <x:v>49</x:v>
      </x:c>
      <x:c r="E379" t="n">
        <x:v>30</x:v>
      </x:c>
      <x:c r="F379" t="n">
        <x:f>INDEX(Run_Metrics!$F:$F,D379)</x:f>
        <x:v>32</x:v>
      </x:c>
      <x:c r="G379" t="n">
        <x:f>INDEX(Run_Metrics!$G:$G,D379)</x:f>
        <x:v>1.79</x:v>
      </x:c>
      <x:c r="H379" t="str">
        <x:f>INDEX(Run_Metrics!$I:$I,D379)</x:f>
      </x:c>
      <x:c r="I379" t="n">
        <x:f>IF(F379="","",F379-(E379-1))</x:f>
        <x:v>3</x:v>
      </x:c>
      <x:c r="J379" t="n">
        <x:f>IF(I379&gt;0,1,0)</x:f>
        <x:v>1</x:v>
      </x:c>
      <x:c r="K379" t="n">
        <x:f>IF(OR(J379=0,G379="",G379=0),"",I379/G379)</x:f>
        <x:v>1.675977653631285</x:v>
      </x:c>
      <x:c r="L379" t="n">
        <x:f>IF(OR(J379=0,I379=0,G379=""),"",G379/I379)</x:f>
        <x:v>0.5966666666666667</x:v>
      </x:c>
      <x:c r="M379" t="str">
        <x:f>IF(OR(J379=0,G379="",H379="",G379=0,H379=0),"",I379/(G379*H379))</x:f>
      </x:c>
      <x:c r="N379" t="n">
        <x:f>IF(K379="","",K379/_xlfn.MAXIFS($K:$K,$E:$E,E379))</x:f>
        <x:v>0.0111731843575419</x:v>
      </x:c>
      <x:c r="O379" t="str">
        <x:f>IF(M379="","",M379/_xlfn.MAXIFS($M:$M,$E:$E,E379))</x:f>
      </x:c>
      <x:c r="P379" t="str">
        <x:f>IF(OR(N379="",O379=""),"",SQRT(N379*O379))</x:f>
      </x:c>
      <x:c r="Q379" t="str">
        <x:f>IF(OR(N379="",O379=""),"",N379^0.7*O379^0.3)</x:f>
      </x:c>
      <x:c r="R379" t="str">
        <x:f>IF(OR(N379="",O379=""),"",N379^0.3*O379^0.7)</x:f>
      </x:c>
    </x:row>
    <x:row r="380">
      <x:c r="A380" t="inlineStr">
        <x:is>
          <x:t xml:space="preserve">anthropic|claude-sonnet-5|high|reasoning|fallback-na|aa-v4.3.2|snapshot-2026-09-28</x:t>
        </x:is>
      </x:c>
      <x:c r="B380" t="inlineStr">
        <x:is>
          <x:t xml:space="preserve">anthropic|claude-sonnet-5|high|reasoning|fallback-na</x:t>
        </x:is>
      </x:c>
      <x:c r="C380" t="inlineStr">
        <x:is>
          <x:t xml:space="preserve">AA|v4.3.2</x:t>
        </x:is>
      </x:c>
      <x:c r="D380" t="n">
        <x:v>49</x:v>
      </x:c>
      <x:c r="E380" t="n">
        <x:v>40</x:v>
      </x:c>
      <x:c r="F380" t="n">
        <x:f>INDEX(Run_Metrics!$F:$F,D380)</x:f>
        <x:v>32</x:v>
      </x:c>
      <x:c r="G380" t="n">
        <x:f>INDEX(Run_Metrics!$G:$G,D380)</x:f>
        <x:v>1.79</x:v>
      </x:c>
      <x:c r="H380" t="str">
        <x:f>INDEX(Run_Metrics!$I:$I,D380)</x:f>
      </x:c>
      <x:c r="I380" t="n">
        <x:f>IF(F380="","",F380-(E380-1))</x:f>
        <x:v>-7</x:v>
      </x:c>
      <x:c r="J380" t="n">
        <x:f>IF(I380&gt;0,1,0)</x:f>
        <x:v>0</x:v>
      </x:c>
      <x:c r="K380" t="str">
        <x:f>IF(OR(J380=0,G380="",G380=0),"",I380/G380)</x:f>
      </x:c>
      <x:c r="L380" t="str">
        <x:f>IF(OR(J380=0,I380=0,G380=""),"",G380/I380)</x:f>
      </x:c>
      <x:c r="M380" t="str">
        <x:f>IF(OR(J380=0,G380="",H380="",G380=0,H380=0),"",I380/(G380*H380))</x:f>
      </x:c>
      <x:c r="N380" t="str">
        <x:f>IF(K380="","",K380/_xlfn.MAXIFS($K:$K,$E:$E,E380))</x:f>
      </x:c>
      <x:c r="O380" t="str">
        <x:f>IF(M380="","",M380/_xlfn.MAXIFS($M:$M,$E:$E,E380))</x:f>
      </x:c>
      <x:c r="P380" t="str">
        <x:f>IF(OR(N380="",O380=""),"",SQRT(N380*O380))</x:f>
      </x:c>
      <x:c r="Q380" t="str">
        <x:f>IF(OR(N380="",O380=""),"",N380^0.7*O380^0.3)</x:f>
      </x:c>
      <x:c r="R380" t="str">
        <x:f>IF(OR(N380="",O380=""),"",N380^0.3*O380^0.7)</x:f>
      </x:c>
    </x:row>
    <x:row r="381">
      <x:c r="A381" t="inlineStr">
        <x:is>
          <x:t xml:space="preserve">anthropic|claude-sonnet-5|high|reasoning|fallback-na|aa-v4.3.2|snapshot-2026-09-28</x:t>
        </x:is>
      </x:c>
      <x:c r="B381" t="inlineStr">
        <x:is>
          <x:t xml:space="preserve">anthropic|claude-sonnet-5|high|reasoning|fallback-na</x:t>
        </x:is>
      </x:c>
      <x:c r="C381" t="inlineStr">
        <x:is>
          <x:t xml:space="preserve">AA|v4.3.2</x:t>
        </x:is>
      </x:c>
      <x:c r="D381" t="n">
        <x:v>49</x:v>
      </x:c>
      <x:c r="E381" t="n">
        <x:v>45</x:v>
      </x:c>
      <x:c r="F381" t="n">
        <x:f>INDEX(Run_Metrics!$F:$F,D381)</x:f>
        <x:v>32</x:v>
      </x:c>
      <x:c r="G381" t="n">
        <x:f>INDEX(Run_Metrics!$G:$G,D381)</x:f>
        <x:v>1.79</x:v>
      </x:c>
      <x:c r="H381" t="str">
        <x:f>INDEX(Run_Metrics!$I:$I,D381)</x:f>
      </x:c>
      <x:c r="I381" t="n">
        <x:f>IF(F381="","",F381-(E381-1))</x:f>
        <x:v>-12</x:v>
      </x:c>
      <x:c r="J381" t="n">
        <x:f>IF(I381&gt;0,1,0)</x:f>
        <x:v>0</x:v>
      </x:c>
      <x:c r="K381" t="str">
        <x:f>IF(OR(J381=0,G381="",G381=0),"",I381/G381)</x:f>
      </x:c>
      <x:c r="L381" t="str">
        <x:f>IF(OR(J381=0,I381=0,G381=""),"",G381/I381)</x:f>
      </x:c>
      <x:c r="M381" t="str">
        <x:f>IF(OR(J381=0,G381="",H381="",G381=0,H381=0),"",I381/(G381*H381))</x:f>
      </x:c>
      <x:c r="N381" t="str">
        <x:f>IF(K381="","",K381/_xlfn.MAXIFS($K:$K,$E:$E,E381))</x:f>
      </x:c>
      <x:c r="O381" t="str">
        <x:f>IF(M381="","",M381/_xlfn.MAXIFS($M:$M,$E:$E,E381))</x:f>
      </x:c>
      <x:c r="P381" t="str">
        <x:f>IF(OR(N381="",O381=""),"",SQRT(N381*O381))</x:f>
      </x:c>
      <x:c r="Q381" t="str">
        <x:f>IF(OR(N381="",O381=""),"",N381^0.7*O381^0.3)</x:f>
      </x:c>
      <x:c r="R381" t="str">
        <x:f>IF(OR(N381="",O381=""),"",N381^0.3*O381^0.7)</x:f>
      </x:c>
    </x:row>
    <x:row r="382">
      <x:c r="A382" t="inlineStr">
        <x:is>
          <x:t xml:space="preserve">anthropic|claude-sonnet-5|high|reasoning|fallback-na|aa-v4.3.2|snapshot-2026-09-28</x:t>
        </x:is>
      </x:c>
      <x:c r="B382" t="inlineStr">
        <x:is>
          <x:t xml:space="preserve">anthropic|claude-sonnet-5|high|reasoning|fallback-na</x:t>
        </x:is>
      </x:c>
      <x:c r="C382" t="inlineStr">
        <x:is>
          <x:t xml:space="preserve">AA|v4.3.2</x:t>
        </x:is>
      </x:c>
      <x:c r="D382" t="n">
        <x:v>49</x:v>
      </x:c>
      <x:c r="E382" t="n">
        <x:v>50</x:v>
      </x:c>
      <x:c r="F382" t="n">
        <x:f>INDEX(Run_Metrics!$F:$F,D382)</x:f>
        <x:v>32</x:v>
      </x:c>
      <x:c r="G382" t="n">
        <x:f>INDEX(Run_Metrics!$G:$G,D382)</x:f>
        <x:v>1.79</x:v>
      </x:c>
      <x:c r="H382" t="str">
        <x:f>INDEX(Run_Metrics!$I:$I,D382)</x:f>
      </x:c>
      <x:c r="I382" t="n">
        <x:f>IF(F382="","",F382-(E382-1))</x:f>
        <x:v>-17</x:v>
      </x:c>
      <x:c r="J382" t="n">
        <x:f>IF(I382&gt;0,1,0)</x:f>
        <x:v>0</x:v>
      </x:c>
      <x:c r="K382" t="str">
        <x:f>IF(OR(J382=0,G382="",G382=0),"",I382/G382)</x:f>
      </x:c>
      <x:c r="L382" t="str">
        <x:f>IF(OR(J382=0,I382=0,G382=""),"",G382/I382)</x:f>
      </x:c>
      <x:c r="M382" t="str">
        <x:f>IF(OR(J382=0,G382="",H382="",G382=0,H382=0),"",I382/(G382*H382))</x:f>
      </x:c>
      <x:c r="N382" t="str">
        <x:f>IF(K382="","",K382/_xlfn.MAXIFS($K:$K,$E:$E,E382))</x:f>
      </x:c>
      <x:c r="O382" t="str">
        <x:f>IF(M382="","",M382/_xlfn.MAXIFS($M:$M,$E:$E,E382))</x:f>
      </x:c>
      <x:c r="P382" t="str">
        <x:f>IF(OR(N382="",O382=""),"",SQRT(N382*O382))</x:f>
      </x:c>
      <x:c r="Q382" t="str">
        <x:f>IF(OR(N382="",O382=""),"",N382^0.7*O382^0.3)</x:f>
      </x:c>
      <x:c r="R382" t="str">
        <x:f>IF(OR(N382="",O382=""),"",N382^0.3*O382^0.7)</x:f>
      </x:c>
    </x:row>
    <x:row r="383">
      <x:c r="A383" t="inlineStr">
        <x:is>
          <x:t xml:space="preserve">anthropic|claude-sonnet-5|high|reasoning|fallback-na|aa-v4.3.2|snapshot-2026-09-28</x:t>
        </x:is>
      </x:c>
      <x:c r="B383" t="inlineStr">
        <x:is>
          <x:t xml:space="preserve">anthropic|claude-sonnet-5|high|reasoning|fallback-na</x:t>
        </x:is>
      </x:c>
      <x:c r="C383" t="inlineStr">
        <x:is>
          <x:t xml:space="preserve">AA|v4.3.2</x:t>
        </x:is>
      </x:c>
      <x:c r="D383" t="n">
        <x:v>49</x:v>
      </x:c>
      <x:c r="E383" t="n">
        <x:v>52</x:v>
      </x:c>
      <x:c r="F383" t="n">
        <x:f>INDEX(Run_Metrics!$F:$F,D383)</x:f>
        <x:v>32</x:v>
      </x:c>
      <x:c r="G383" t="n">
        <x:f>INDEX(Run_Metrics!$G:$G,D383)</x:f>
        <x:v>1.79</x:v>
      </x:c>
      <x:c r="H383" t="str">
        <x:f>INDEX(Run_Metrics!$I:$I,D383)</x:f>
      </x:c>
      <x:c r="I383" t="n">
        <x:f>IF(F383="","",F383-(E383-1))</x:f>
        <x:v>-19</x:v>
      </x:c>
      <x:c r="J383" t="n">
        <x:f>IF(I383&gt;0,1,0)</x:f>
        <x:v>0</x:v>
      </x:c>
      <x:c r="K383" t="str">
        <x:f>IF(OR(J383=0,G383="",G383=0),"",I383/G383)</x:f>
      </x:c>
      <x:c r="L383" t="str">
        <x:f>IF(OR(J383=0,I383=0,G383=""),"",G383/I383)</x:f>
      </x:c>
      <x:c r="M383" t="str">
        <x:f>IF(OR(J383=0,G383="",H383="",G383=0,H383=0),"",I383/(G383*H383))</x:f>
      </x:c>
      <x:c r="N383" t="str">
        <x:f>IF(K383="","",K383/_xlfn.MAXIFS($K:$K,$E:$E,E383))</x:f>
      </x:c>
      <x:c r="O383" t="str">
        <x:f>IF(M383="","",M383/_xlfn.MAXIFS($M:$M,$E:$E,E383))</x:f>
      </x:c>
      <x:c r="P383" t="str">
        <x:f>IF(OR(N383="",O383=""),"",SQRT(N383*O383))</x:f>
      </x:c>
      <x:c r="Q383" t="str">
        <x:f>IF(OR(N383="",O383=""),"",N383^0.7*O383^0.3)</x:f>
      </x:c>
      <x:c r="R383" t="str">
        <x:f>IF(OR(N383="",O383=""),"",N383^0.3*O383^0.7)</x:f>
      </x:c>
    </x:row>
    <x:row r="384">
      <x:c r="A384" t="inlineStr">
        <x:is>
          <x:t xml:space="preserve">anthropic|claude-sonnet-5|high|reasoning|fallback-na|aa-v4.3.2|snapshot-2026-09-28</x:t>
        </x:is>
      </x:c>
      <x:c r="B384" t="inlineStr">
        <x:is>
          <x:t xml:space="preserve">anthropic|claude-sonnet-5|high|reasoning|fallback-na</x:t>
        </x:is>
      </x:c>
      <x:c r="C384" t="inlineStr">
        <x:is>
          <x:t xml:space="preserve">AA|v4.3.2</x:t>
        </x:is>
      </x:c>
      <x:c r="D384" t="n">
        <x:v>49</x:v>
      </x:c>
      <x:c r="E384" t="n">
        <x:v>65</x:v>
      </x:c>
      <x:c r="F384" t="n">
        <x:f>INDEX(Run_Metrics!$F:$F,D384)</x:f>
        <x:v>32</x:v>
      </x:c>
      <x:c r="G384" t="n">
        <x:f>INDEX(Run_Metrics!$G:$G,D384)</x:f>
        <x:v>1.79</x:v>
      </x:c>
      <x:c r="H384" t="str">
        <x:f>INDEX(Run_Metrics!$I:$I,D384)</x:f>
      </x:c>
      <x:c r="I384" t="n">
        <x:f>IF(F384="","",F384-(E384-1))</x:f>
        <x:v>-32</x:v>
      </x:c>
      <x:c r="J384" t="n">
        <x:f>IF(I384&gt;0,1,0)</x:f>
        <x:v>0</x:v>
      </x:c>
      <x:c r="K384" t="str">
        <x:f>IF(OR(J384=0,G384="",G384=0),"",I384/G384)</x:f>
      </x:c>
      <x:c r="L384" t="str">
        <x:f>IF(OR(J384=0,I384=0,G384=""),"",G384/I384)</x:f>
      </x:c>
      <x:c r="M384" t="str">
        <x:f>IF(OR(J384=0,G384="",H384="",G384=0,H384=0),"",I384/(G384*H384))</x:f>
      </x:c>
      <x:c r="N384" t="str">
        <x:f>IF(K384="","",K384/_xlfn.MAXIFS($K:$K,$E:$E,E384))</x:f>
      </x:c>
      <x:c r="O384" t="str">
        <x:f>IF(M384="","",M384/_xlfn.MAXIFS($M:$M,$E:$E,E384))</x:f>
      </x:c>
      <x:c r="P384" t="str">
        <x:f>IF(OR(N384="",O384=""),"",SQRT(N384*O384))</x:f>
      </x:c>
      <x:c r="Q384" t="str">
        <x:f>IF(OR(N384="",O384=""),"",N384^0.7*O384^0.3)</x:f>
      </x:c>
      <x:c r="R384" t="str">
        <x:f>IF(OR(N384="",O384=""),"",N384^0.3*O384^0.7)</x:f>
      </x:c>
    </x:row>
    <x:row r="385">
      <x:c r="A385" t="inlineStr">
        <x:is>
          <x:t xml:space="preserve">anthropic|claude-sonnet-5|high|reasoning|fallback-na|aa-v4.3.2|snapshot-2026-09-28</x:t>
        </x:is>
      </x:c>
      <x:c r="B385" t="inlineStr">
        <x:is>
          <x:t xml:space="preserve">anthropic|claude-sonnet-5|high|reasoning|fallback-na</x:t>
        </x:is>
      </x:c>
      <x:c r="C385" t="inlineStr">
        <x:is>
          <x:t xml:space="preserve">AA|v4.3.2</x:t>
        </x:is>
      </x:c>
      <x:c r="D385" t="n">
        <x:v>49</x:v>
      </x:c>
      <x:c r="E385" t="n">
        <x:v>80</x:v>
      </x:c>
      <x:c r="F385" t="n">
        <x:f>INDEX(Run_Metrics!$F:$F,D385)</x:f>
        <x:v>32</x:v>
      </x:c>
      <x:c r="G385" t="n">
        <x:f>INDEX(Run_Metrics!$G:$G,D385)</x:f>
        <x:v>1.79</x:v>
      </x:c>
      <x:c r="H385" t="str">
        <x:f>INDEX(Run_Metrics!$I:$I,D385)</x:f>
      </x:c>
      <x:c r="I385" t="n">
        <x:f>IF(F385="","",F385-(E385-1))</x:f>
        <x:v>-47</x:v>
      </x:c>
      <x:c r="J385" t="n">
        <x:f>IF(I385&gt;0,1,0)</x:f>
        <x:v>0</x:v>
      </x:c>
      <x:c r="K385" t="str">
        <x:f>IF(OR(J385=0,G385="",G385=0),"",I385/G385)</x:f>
      </x:c>
      <x:c r="L385" t="str">
        <x:f>IF(OR(J385=0,I385=0,G385=""),"",G385/I385)</x:f>
      </x:c>
      <x:c r="M385" t="str">
        <x:f>IF(OR(J385=0,G385="",H385="",G385=0,H385=0),"",I385/(G385*H385))</x:f>
      </x:c>
      <x:c r="N385" t="str">
        <x:f>IF(K385="","",K385/_xlfn.MAXIFS($K:$K,$E:$E,E385))</x:f>
      </x:c>
      <x:c r="O385" t="str">
        <x:f>IF(M385="","",M385/_xlfn.MAXIFS($M:$M,$E:$E,E385))</x:f>
      </x:c>
      <x:c r="P385" t="str">
        <x:f>IF(OR(N385="",O385=""),"",SQRT(N385*O385))</x:f>
      </x:c>
      <x:c r="Q385" t="str">
        <x:f>IF(OR(N385="",O385=""),"",N385^0.7*O385^0.3)</x:f>
      </x:c>
      <x:c r="R385" t="str">
        <x:f>IF(OR(N385="",O385=""),"",N385^0.3*O385^0.7)</x:f>
      </x:c>
    </x:row>
    <x:row r="386">
      <x:c r="A386" t="inlineStr">
        <x:is>
          <x:t xml:space="preserve">anthropic|claude-sonnet-5|xhigh|reasoning|fallback-na|aa-v4.3.2|snapshot-2026-09-28</x:t>
        </x:is>
      </x:c>
      <x:c r="B386" t="inlineStr">
        <x:is>
          <x:t xml:space="preserve">anthropic|claude-sonnet-5|xhigh|reasoning|fallback-na</x:t>
        </x:is>
      </x:c>
      <x:c r="C386" t="inlineStr">
        <x:is>
          <x:t xml:space="preserve">AA|v4.3.2</x:t>
        </x:is>
      </x:c>
      <x:c r="D386" t="n">
        <x:v>50</x:v>
      </x:c>
      <x:c r="E386" t="n">
        <x:v>20</x:v>
      </x:c>
      <x:c r="F386" t="str">
        <x:f>INDEX(Run_Metrics!$F:$F,D386)</x:f>
      </x:c>
      <x:c r="G386" t="str">
        <x:f>INDEX(Run_Metrics!$G:$G,D386)</x:f>
      </x:c>
      <x:c r="H386" t="str">
        <x:f>INDEX(Run_Metrics!$I:$I,D386)</x:f>
      </x:c>
      <x:c r="I386" t="str">
        <x:f>IF(F386="","",F386-(E386-1))</x:f>
      </x:c>
      <x:c r="J386" t="n">
        <x:f>IF(I386&gt;0,1,0)</x:f>
        <x:v>0</x:v>
      </x:c>
      <x:c r="K386" t="str">
        <x:f>IF(OR(J386=0,G386="",G386=0),"",I386/G386)</x:f>
      </x:c>
      <x:c r="L386" t="str">
        <x:f>IF(OR(J386=0,I386=0,G386=""),"",G386/I386)</x:f>
      </x:c>
      <x:c r="M386" t="str">
        <x:f>IF(OR(J386=0,G386="",H386="",G386=0,H386=0),"",I386/(G386*H386))</x:f>
      </x:c>
      <x:c r="N386" t="str">
        <x:f>IF(K386="","",K386/_xlfn.MAXIFS($K:$K,$E:$E,E386))</x:f>
      </x:c>
      <x:c r="O386" t="str">
        <x:f>IF(M386="","",M386/_xlfn.MAXIFS($M:$M,$E:$E,E386))</x:f>
      </x:c>
      <x:c r="P386" t="str">
        <x:f>IF(OR(N386="",O386=""),"",SQRT(N386*O386))</x:f>
      </x:c>
      <x:c r="Q386" t="str">
        <x:f>IF(OR(N386="",O386=""),"",N386^0.7*O386^0.3)</x:f>
      </x:c>
      <x:c r="R386" t="str">
        <x:f>IF(OR(N386="",O386=""),"",N386^0.3*O386^0.7)</x:f>
      </x:c>
    </x:row>
    <x:row r="387">
      <x:c r="A387" t="inlineStr">
        <x:is>
          <x:t xml:space="preserve">anthropic|claude-sonnet-5|xhigh|reasoning|fallback-na|aa-v4.3.2|snapshot-2026-09-28</x:t>
        </x:is>
      </x:c>
      <x:c r="B387" t="inlineStr">
        <x:is>
          <x:t xml:space="preserve">anthropic|claude-sonnet-5|xhigh|reasoning|fallback-na</x:t>
        </x:is>
      </x:c>
      <x:c r="C387" t="inlineStr">
        <x:is>
          <x:t xml:space="preserve">AA|v4.3.2</x:t>
        </x:is>
      </x:c>
      <x:c r="D387" t="n">
        <x:v>50</x:v>
      </x:c>
      <x:c r="E387" t="n">
        <x:v>30</x:v>
      </x:c>
      <x:c r="F387" t="str">
        <x:f>INDEX(Run_Metrics!$F:$F,D387)</x:f>
      </x:c>
      <x:c r="G387" t="str">
        <x:f>INDEX(Run_Metrics!$G:$G,D387)</x:f>
      </x:c>
      <x:c r="H387" t="str">
        <x:f>INDEX(Run_Metrics!$I:$I,D387)</x:f>
      </x:c>
      <x:c r="I387" t="str">
        <x:f>IF(F387="","",F387-(E387-1))</x:f>
      </x:c>
      <x:c r="J387" t="n">
        <x:f>IF(I387&gt;0,1,0)</x:f>
        <x:v>0</x:v>
      </x:c>
      <x:c r="K387" t="str">
        <x:f>IF(OR(J387=0,G387="",G387=0),"",I387/G387)</x:f>
      </x:c>
      <x:c r="L387" t="str">
        <x:f>IF(OR(J387=0,I387=0,G387=""),"",G387/I387)</x:f>
      </x:c>
      <x:c r="M387" t="str">
        <x:f>IF(OR(J387=0,G387="",H387="",G387=0,H387=0),"",I387/(G387*H387))</x:f>
      </x:c>
      <x:c r="N387" t="str">
        <x:f>IF(K387="","",K387/_xlfn.MAXIFS($K:$K,$E:$E,E387))</x:f>
      </x:c>
      <x:c r="O387" t="str">
        <x:f>IF(M387="","",M387/_xlfn.MAXIFS($M:$M,$E:$E,E387))</x:f>
      </x:c>
      <x:c r="P387" t="str">
        <x:f>IF(OR(N387="",O387=""),"",SQRT(N387*O387))</x:f>
      </x:c>
      <x:c r="Q387" t="str">
        <x:f>IF(OR(N387="",O387=""),"",N387^0.7*O387^0.3)</x:f>
      </x:c>
      <x:c r="R387" t="str">
        <x:f>IF(OR(N387="",O387=""),"",N387^0.3*O387^0.7)</x:f>
      </x:c>
    </x:row>
    <x:row r="388">
      <x:c r="A388" t="inlineStr">
        <x:is>
          <x:t xml:space="preserve">anthropic|claude-sonnet-5|xhigh|reasoning|fallback-na|aa-v4.3.2|snapshot-2026-09-28</x:t>
        </x:is>
      </x:c>
      <x:c r="B388" t="inlineStr">
        <x:is>
          <x:t xml:space="preserve">anthropic|claude-sonnet-5|xhigh|reasoning|fallback-na</x:t>
        </x:is>
      </x:c>
      <x:c r="C388" t="inlineStr">
        <x:is>
          <x:t xml:space="preserve">AA|v4.3.2</x:t>
        </x:is>
      </x:c>
      <x:c r="D388" t="n">
        <x:v>50</x:v>
      </x:c>
      <x:c r="E388" t="n">
        <x:v>40</x:v>
      </x:c>
      <x:c r="F388" t="str">
        <x:f>INDEX(Run_Metrics!$F:$F,D388)</x:f>
      </x:c>
      <x:c r="G388" t="str">
        <x:f>INDEX(Run_Metrics!$G:$G,D388)</x:f>
      </x:c>
      <x:c r="H388" t="str">
        <x:f>INDEX(Run_Metrics!$I:$I,D388)</x:f>
      </x:c>
      <x:c r="I388" t="str">
        <x:f>IF(F388="","",F388-(E388-1))</x:f>
      </x:c>
      <x:c r="J388" t="n">
        <x:f>IF(I388&gt;0,1,0)</x:f>
        <x:v>0</x:v>
      </x:c>
      <x:c r="K388" t="str">
        <x:f>IF(OR(J388=0,G388="",G388=0),"",I388/G388)</x:f>
      </x:c>
      <x:c r="L388" t="str">
        <x:f>IF(OR(J388=0,I388=0,G388=""),"",G388/I388)</x:f>
      </x:c>
      <x:c r="M388" t="str">
        <x:f>IF(OR(J388=0,G388="",H388="",G388=0,H388=0),"",I388/(G388*H388))</x:f>
      </x:c>
      <x:c r="N388" t="str">
        <x:f>IF(K388="","",K388/_xlfn.MAXIFS($K:$K,$E:$E,E388))</x:f>
      </x:c>
      <x:c r="O388" t="str">
        <x:f>IF(M388="","",M388/_xlfn.MAXIFS($M:$M,$E:$E,E388))</x:f>
      </x:c>
      <x:c r="P388" t="str">
        <x:f>IF(OR(N388="",O388=""),"",SQRT(N388*O388))</x:f>
      </x:c>
      <x:c r="Q388" t="str">
        <x:f>IF(OR(N388="",O388=""),"",N388^0.7*O388^0.3)</x:f>
      </x:c>
      <x:c r="R388" t="str">
        <x:f>IF(OR(N388="",O388=""),"",N388^0.3*O388^0.7)</x:f>
      </x:c>
    </x:row>
    <x:row r="389">
      <x:c r="A389" t="inlineStr">
        <x:is>
          <x:t xml:space="preserve">anthropic|claude-sonnet-5|xhigh|reasoning|fallback-na|aa-v4.3.2|snapshot-2026-09-28</x:t>
        </x:is>
      </x:c>
      <x:c r="B389" t="inlineStr">
        <x:is>
          <x:t xml:space="preserve">anthropic|claude-sonnet-5|xhigh|reasoning|fallback-na</x:t>
        </x:is>
      </x:c>
      <x:c r="C389" t="inlineStr">
        <x:is>
          <x:t xml:space="preserve">AA|v4.3.2</x:t>
        </x:is>
      </x:c>
      <x:c r="D389" t="n">
        <x:v>50</x:v>
      </x:c>
      <x:c r="E389" t="n">
        <x:v>45</x:v>
      </x:c>
      <x:c r="F389" t="str">
        <x:f>INDEX(Run_Metrics!$F:$F,D389)</x:f>
      </x:c>
      <x:c r="G389" t="str">
        <x:f>INDEX(Run_Metrics!$G:$G,D389)</x:f>
      </x:c>
      <x:c r="H389" t="str">
        <x:f>INDEX(Run_Metrics!$I:$I,D389)</x:f>
      </x:c>
      <x:c r="I389" t="str">
        <x:f>IF(F389="","",F389-(E389-1))</x:f>
      </x:c>
      <x:c r="J389" t="n">
        <x:f>IF(I389&gt;0,1,0)</x:f>
        <x:v>0</x:v>
      </x:c>
      <x:c r="K389" t="str">
        <x:f>IF(OR(J389=0,G389="",G389=0),"",I389/G389)</x:f>
      </x:c>
      <x:c r="L389" t="str">
        <x:f>IF(OR(J389=0,I389=0,G389=""),"",G389/I389)</x:f>
      </x:c>
      <x:c r="M389" t="str">
        <x:f>IF(OR(J389=0,G389="",H389="",G389=0,H389=0),"",I389/(G389*H389))</x:f>
      </x:c>
      <x:c r="N389" t="str">
        <x:f>IF(K389="","",K389/_xlfn.MAXIFS($K:$K,$E:$E,E389))</x:f>
      </x:c>
      <x:c r="O389" t="str">
        <x:f>IF(M389="","",M389/_xlfn.MAXIFS($M:$M,$E:$E,E389))</x:f>
      </x:c>
      <x:c r="P389" t="str">
        <x:f>IF(OR(N389="",O389=""),"",SQRT(N389*O389))</x:f>
      </x:c>
      <x:c r="Q389" t="str">
        <x:f>IF(OR(N389="",O389=""),"",N389^0.7*O389^0.3)</x:f>
      </x:c>
      <x:c r="R389" t="str">
        <x:f>IF(OR(N389="",O389=""),"",N389^0.3*O389^0.7)</x:f>
      </x:c>
    </x:row>
    <x:row r="390">
      <x:c r="A390" t="inlineStr">
        <x:is>
          <x:t xml:space="preserve">anthropic|claude-sonnet-5|xhigh|reasoning|fallback-na|aa-v4.3.2|snapshot-2026-09-28</x:t>
        </x:is>
      </x:c>
      <x:c r="B390" t="inlineStr">
        <x:is>
          <x:t xml:space="preserve">anthropic|claude-sonnet-5|xhigh|reasoning|fallback-na</x:t>
        </x:is>
      </x:c>
      <x:c r="C390" t="inlineStr">
        <x:is>
          <x:t xml:space="preserve">AA|v4.3.2</x:t>
        </x:is>
      </x:c>
      <x:c r="D390" t="n">
        <x:v>50</x:v>
      </x:c>
      <x:c r="E390" t="n">
        <x:v>50</x:v>
      </x:c>
      <x:c r="F390" t="str">
        <x:f>INDEX(Run_Metrics!$F:$F,D390)</x:f>
      </x:c>
      <x:c r="G390" t="str">
        <x:f>INDEX(Run_Metrics!$G:$G,D390)</x:f>
      </x:c>
      <x:c r="H390" t="str">
        <x:f>INDEX(Run_Metrics!$I:$I,D390)</x:f>
      </x:c>
      <x:c r="I390" t="str">
        <x:f>IF(F390="","",F390-(E390-1))</x:f>
      </x:c>
      <x:c r="J390" t="n">
        <x:f>IF(I390&gt;0,1,0)</x:f>
        <x:v>0</x:v>
      </x:c>
      <x:c r="K390" t="str">
        <x:f>IF(OR(J390=0,G390="",G390=0),"",I390/G390)</x:f>
      </x:c>
      <x:c r="L390" t="str">
        <x:f>IF(OR(J390=0,I390=0,G390=""),"",G390/I390)</x:f>
      </x:c>
      <x:c r="M390" t="str">
        <x:f>IF(OR(J390=0,G390="",H390="",G390=0,H390=0),"",I390/(G390*H390))</x:f>
      </x:c>
      <x:c r="N390" t="str">
        <x:f>IF(K390="","",K390/_xlfn.MAXIFS($K:$K,$E:$E,E390))</x:f>
      </x:c>
      <x:c r="O390" t="str">
        <x:f>IF(M390="","",M390/_xlfn.MAXIFS($M:$M,$E:$E,E390))</x:f>
      </x:c>
      <x:c r="P390" t="str">
        <x:f>IF(OR(N390="",O390=""),"",SQRT(N390*O390))</x:f>
      </x:c>
      <x:c r="Q390" t="str">
        <x:f>IF(OR(N390="",O390=""),"",N390^0.7*O390^0.3)</x:f>
      </x:c>
      <x:c r="R390" t="str">
        <x:f>IF(OR(N390="",O390=""),"",N390^0.3*O390^0.7)</x:f>
      </x:c>
    </x:row>
    <x:row r="391">
      <x:c r="A391" t="inlineStr">
        <x:is>
          <x:t xml:space="preserve">anthropic|claude-sonnet-5|xhigh|reasoning|fallback-na|aa-v4.3.2|snapshot-2026-09-28</x:t>
        </x:is>
      </x:c>
      <x:c r="B391" t="inlineStr">
        <x:is>
          <x:t xml:space="preserve">anthropic|claude-sonnet-5|xhigh|reasoning|fallback-na</x:t>
        </x:is>
      </x:c>
      <x:c r="C391" t="inlineStr">
        <x:is>
          <x:t xml:space="preserve">AA|v4.3.2</x:t>
        </x:is>
      </x:c>
      <x:c r="D391" t="n">
        <x:v>50</x:v>
      </x:c>
      <x:c r="E391" t="n">
        <x:v>52</x:v>
      </x:c>
      <x:c r="F391" t="str">
        <x:f>INDEX(Run_Metrics!$F:$F,D391)</x:f>
      </x:c>
      <x:c r="G391" t="str">
        <x:f>INDEX(Run_Metrics!$G:$G,D391)</x:f>
      </x:c>
      <x:c r="H391" t="str">
        <x:f>INDEX(Run_Metrics!$I:$I,D391)</x:f>
      </x:c>
      <x:c r="I391" t="str">
        <x:f>IF(F391="","",F391-(E391-1))</x:f>
      </x:c>
      <x:c r="J391" t="n">
        <x:f>IF(I391&gt;0,1,0)</x:f>
        <x:v>0</x:v>
      </x:c>
      <x:c r="K391" t="str">
        <x:f>IF(OR(J391=0,G391="",G391=0),"",I391/G391)</x:f>
      </x:c>
      <x:c r="L391" t="str">
        <x:f>IF(OR(J391=0,I391=0,G391=""),"",G391/I391)</x:f>
      </x:c>
      <x:c r="M391" t="str">
        <x:f>IF(OR(J391=0,G391="",H391="",G391=0,H391=0),"",I391/(G391*H391))</x:f>
      </x:c>
      <x:c r="N391" t="str">
        <x:f>IF(K391="","",K391/_xlfn.MAXIFS($K:$K,$E:$E,E391))</x:f>
      </x:c>
      <x:c r="O391" t="str">
        <x:f>IF(M391="","",M391/_xlfn.MAXIFS($M:$M,$E:$E,E391))</x:f>
      </x:c>
      <x:c r="P391" t="str">
        <x:f>IF(OR(N391="",O391=""),"",SQRT(N391*O391))</x:f>
      </x:c>
      <x:c r="Q391" t="str">
        <x:f>IF(OR(N391="",O391=""),"",N391^0.7*O391^0.3)</x:f>
      </x:c>
      <x:c r="R391" t="str">
        <x:f>IF(OR(N391="",O391=""),"",N391^0.3*O391^0.7)</x:f>
      </x:c>
    </x:row>
    <x:row r="392">
      <x:c r="A392" t="inlineStr">
        <x:is>
          <x:t xml:space="preserve">anthropic|claude-sonnet-5|xhigh|reasoning|fallback-na|aa-v4.3.2|snapshot-2026-09-28</x:t>
        </x:is>
      </x:c>
      <x:c r="B392" t="inlineStr">
        <x:is>
          <x:t xml:space="preserve">anthropic|claude-sonnet-5|xhigh|reasoning|fallback-na</x:t>
        </x:is>
      </x:c>
      <x:c r="C392" t="inlineStr">
        <x:is>
          <x:t xml:space="preserve">AA|v4.3.2</x:t>
        </x:is>
      </x:c>
      <x:c r="D392" t="n">
        <x:v>50</x:v>
      </x:c>
      <x:c r="E392" t="n">
        <x:v>65</x:v>
      </x:c>
      <x:c r="F392" t="str">
        <x:f>INDEX(Run_Metrics!$F:$F,D392)</x:f>
      </x:c>
      <x:c r="G392" t="str">
        <x:f>INDEX(Run_Metrics!$G:$G,D392)</x:f>
      </x:c>
      <x:c r="H392" t="str">
        <x:f>INDEX(Run_Metrics!$I:$I,D392)</x:f>
      </x:c>
      <x:c r="I392" t="str">
        <x:f>IF(F392="","",F392-(E392-1))</x:f>
      </x:c>
      <x:c r="J392" t="n">
        <x:f>IF(I392&gt;0,1,0)</x:f>
        <x:v>0</x:v>
      </x:c>
      <x:c r="K392" t="str">
        <x:f>IF(OR(J392=0,G392="",G392=0),"",I392/G392)</x:f>
      </x:c>
      <x:c r="L392" t="str">
        <x:f>IF(OR(J392=0,I392=0,G392=""),"",G392/I392)</x:f>
      </x:c>
      <x:c r="M392" t="str">
        <x:f>IF(OR(J392=0,G392="",H392="",G392=0,H392=0),"",I392/(G392*H392))</x:f>
      </x:c>
      <x:c r="N392" t="str">
        <x:f>IF(K392="","",K392/_xlfn.MAXIFS($K:$K,$E:$E,E392))</x:f>
      </x:c>
      <x:c r="O392" t="str">
        <x:f>IF(M392="","",M392/_xlfn.MAXIFS($M:$M,$E:$E,E392))</x:f>
      </x:c>
      <x:c r="P392" t="str">
        <x:f>IF(OR(N392="",O392=""),"",SQRT(N392*O392))</x:f>
      </x:c>
      <x:c r="Q392" t="str">
        <x:f>IF(OR(N392="",O392=""),"",N392^0.7*O392^0.3)</x:f>
      </x:c>
      <x:c r="R392" t="str">
        <x:f>IF(OR(N392="",O392=""),"",N392^0.3*O392^0.7)</x:f>
      </x:c>
    </x:row>
    <x:row r="393">
      <x:c r="A393" t="inlineStr">
        <x:is>
          <x:t xml:space="preserve">anthropic|claude-sonnet-5|xhigh|reasoning|fallback-na|aa-v4.3.2|snapshot-2026-09-28</x:t>
        </x:is>
      </x:c>
      <x:c r="B393" t="inlineStr">
        <x:is>
          <x:t xml:space="preserve">anthropic|claude-sonnet-5|xhigh|reasoning|fallback-na</x:t>
        </x:is>
      </x:c>
      <x:c r="C393" t="inlineStr">
        <x:is>
          <x:t xml:space="preserve">AA|v4.3.2</x:t>
        </x:is>
      </x:c>
      <x:c r="D393" t="n">
        <x:v>50</x:v>
      </x:c>
      <x:c r="E393" t="n">
        <x:v>80</x:v>
      </x:c>
      <x:c r="F393" t="str">
        <x:f>INDEX(Run_Metrics!$F:$F,D393)</x:f>
      </x:c>
      <x:c r="G393" t="str">
        <x:f>INDEX(Run_Metrics!$G:$G,D393)</x:f>
      </x:c>
      <x:c r="H393" t="str">
        <x:f>INDEX(Run_Metrics!$I:$I,D393)</x:f>
      </x:c>
      <x:c r="I393" t="str">
        <x:f>IF(F393="","",F393-(E393-1))</x:f>
      </x:c>
      <x:c r="J393" t="n">
        <x:f>IF(I393&gt;0,1,0)</x:f>
        <x:v>0</x:v>
      </x:c>
      <x:c r="K393" t="str">
        <x:f>IF(OR(J393=0,G393="",G393=0),"",I393/G393)</x:f>
      </x:c>
      <x:c r="L393" t="str">
        <x:f>IF(OR(J393=0,I393=0,G393=""),"",G393/I393)</x:f>
      </x:c>
      <x:c r="M393" t="str">
        <x:f>IF(OR(J393=0,G393="",H393="",G393=0,H393=0),"",I393/(G393*H393))</x:f>
      </x:c>
      <x:c r="N393" t="str">
        <x:f>IF(K393="","",K393/_xlfn.MAXIFS($K:$K,$E:$E,E393))</x:f>
      </x:c>
      <x:c r="O393" t="str">
        <x:f>IF(M393="","",M393/_xlfn.MAXIFS($M:$M,$E:$E,E393))</x:f>
      </x:c>
      <x:c r="P393" t="str">
        <x:f>IF(OR(N393="",O393=""),"",SQRT(N393*O393))</x:f>
      </x:c>
      <x:c r="Q393" t="str">
        <x:f>IF(OR(N393="",O393=""),"",N393^0.7*O393^0.3)</x:f>
      </x:c>
      <x:c r="R393" t="str">
        <x:f>IF(OR(N393="",O393=""),"",N393^0.3*O393^0.7)</x:f>
      </x:c>
    </x:row>
    <x:row r="394">
      <x:c r="A394" t="inlineStr">
        <x:is>
          <x:t xml:space="preserve">anthropic|claude-sonnet-5|max|reasoning|fallback-na|aa-v4.3.2|snapshot-2026-09-28</x:t>
        </x:is>
      </x:c>
      <x:c r="B394" t="inlineStr">
        <x:is>
          <x:t xml:space="preserve">anthropic|claude-sonnet-5|max|reasoning|fallback-na</x:t>
        </x:is>
      </x:c>
      <x:c r="C394" t="inlineStr">
        <x:is>
          <x:t xml:space="preserve">AA|v4.3.2</x:t>
        </x:is>
      </x:c>
      <x:c r="D394" t="n">
        <x:v>51</x:v>
      </x:c>
      <x:c r="E394" t="n">
        <x:v>20</x:v>
      </x:c>
      <x:c r="F394" t="n">
        <x:f>INDEX(Run_Metrics!$F:$F,D394)</x:f>
        <x:v>38</x:v>
      </x:c>
      <x:c r="G394" t="n">
        <x:f>INDEX(Run_Metrics!$G:$G,D394)</x:f>
        <x:v>5.09</x:v>
      </x:c>
      <x:c r="H394" t="str">
        <x:f>INDEX(Run_Metrics!$I:$I,D394)</x:f>
      </x:c>
      <x:c r="I394" t="n">
        <x:f>IF(F394="","",F394-(E394-1))</x:f>
        <x:v>19</x:v>
      </x:c>
      <x:c r="J394" t="n">
        <x:f>IF(I394&gt;0,1,0)</x:f>
        <x:v>1</x:v>
      </x:c>
      <x:c r="K394" t="n">
        <x:f>IF(OR(J394=0,G394="",G394=0),"",I394/G394)</x:f>
        <x:v>3.732809430255403</x:v>
      </x:c>
      <x:c r="L394" t="n">
        <x:f>IF(OR(J394=0,I394=0,G394=""),"",G394/I394)</x:f>
        <x:v>0.26789473684210524</x:v>
      </x:c>
      <x:c r="M394" t="str">
        <x:f>IF(OR(J394=0,G394="",H394="",G394=0,H394=0),"",I394/(G394*H394))</x:f>
      </x:c>
      <x:c r="N394" t="n">
        <x:f>IF(K394="","",K394/_xlfn.MAXIFS($K:$K,$E:$E,E394))</x:f>
        <x:v>0.005599214145383104</x:v>
      </x:c>
      <x:c r="O394" t="str">
        <x:f>IF(M394="","",M394/_xlfn.MAXIFS($M:$M,$E:$E,E394))</x:f>
      </x:c>
      <x:c r="P394" t="str">
        <x:f>IF(OR(N394="",O394=""),"",SQRT(N394*O394))</x:f>
      </x:c>
      <x:c r="Q394" t="str">
        <x:f>IF(OR(N394="",O394=""),"",N394^0.7*O394^0.3)</x:f>
      </x:c>
      <x:c r="R394" t="str">
        <x:f>IF(OR(N394="",O394=""),"",N394^0.3*O394^0.7)</x:f>
      </x:c>
    </x:row>
    <x:row r="395">
      <x:c r="A395" t="inlineStr">
        <x:is>
          <x:t xml:space="preserve">anthropic|claude-sonnet-5|max|reasoning|fallback-na|aa-v4.3.2|snapshot-2026-09-28</x:t>
        </x:is>
      </x:c>
      <x:c r="B395" t="inlineStr">
        <x:is>
          <x:t xml:space="preserve">anthropic|claude-sonnet-5|max|reasoning|fallback-na</x:t>
        </x:is>
      </x:c>
      <x:c r="C395" t="inlineStr">
        <x:is>
          <x:t xml:space="preserve">AA|v4.3.2</x:t>
        </x:is>
      </x:c>
      <x:c r="D395" t="n">
        <x:v>51</x:v>
      </x:c>
      <x:c r="E395" t="n">
        <x:v>30</x:v>
      </x:c>
      <x:c r="F395" t="n">
        <x:f>INDEX(Run_Metrics!$F:$F,D395)</x:f>
        <x:v>38</x:v>
      </x:c>
      <x:c r="G395" t="n">
        <x:f>INDEX(Run_Metrics!$G:$G,D395)</x:f>
        <x:v>5.09</x:v>
      </x:c>
      <x:c r="H395" t="str">
        <x:f>INDEX(Run_Metrics!$I:$I,D395)</x:f>
      </x:c>
      <x:c r="I395" t="n">
        <x:f>IF(F395="","",F395-(E395-1))</x:f>
        <x:v>9</x:v>
      </x:c>
      <x:c r="J395" t="n">
        <x:f>IF(I395&gt;0,1,0)</x:f>
        <x:v>1</x:v>
      </x:c>
      <x:c r="K395" t="n">
        <x:f>IF(OR(J395=0,G395="",G395=0),"",I395/G395)</x:f>
        <x:v>1.768172888015717</x:v>
      </x:c>
      <x:c r="L395" t="n">
        <x:f>IF(OR(J395=0,I395=0,G395=""),"",G395/I395)</x:f>
        <x:v>0.5655555555555556</x:v>
      </x:c>
      <x:c r="M395" t="str">
        <x:f>IF(OR(J395=0,G395="",H395="",G395=0,H395=0),"",I395/(G395*H395))</x:f>
      </x:c>
      <x:c r="N395" t="n">
        <x:f>IF(K395="","",K395/_xlfn.MAXIFS($K:$K,$E:$E,E395))</x:f>
        <x:v>0.011787819253438114</x:v>
      </x:c>
      <x:c r="O395" t="str">
        <x:f>IF(M395="","",M395/_xlfn.MAXIFS($M:$M,$E:$E,E395))</x:f>
      </x:c>
      <x:c r="P395" t="str">
        <x:f>IF(OR(N395="",O395=""),"",SQRT(N395*O395))</x:f>
      </x:c>
      <x:c r="Q395" t="str">
        <x:f>IF(OR(N395="",O395=""),"",N395^0.7*O395^0.3)</x:f>
      </x:c>
      <x:c r="R395" t="str">
        <x:f>IF(OR(N395="",O395=""),"",N395^0.3*O395^0.7)</x:f>
      </x:c>
    </x:row>
    <x:row r="396">
      <x:c r="A396" t="inlineStr">
        <x:is>
          <x:t xml:space="preserve">anthropic|claude-sonnet-5|max|reasoning|fallback-na|aa-v4.3.2|snapshot-2026-09-28</x:t>
        </x:is>
      </x:c>
      <x:c r="B396" t="inlineStr">
        <x:is>
          <x:t xml:space="preserve">anthropic|claude-sonnet-5|max|reasoning|fallback-na</x:t>
        </x:is>
      </x:c>
      <x:c r="C396" t="inlineStr">
        <x:is>
          <x:t xml:space="preserve">AA|v4.3.2</x:t>
        </x:is>
      </x:c>
      <x:c r="D396" t="n">
        <x:v>51</x:v>
      </x:c>
      <x:c r="E396" t="n">
        <x:v>40</x:v>
      </x:c>
      <x:c r="F396" t="n">
        <x:f>INDEX(Run_Metrics!$F:$F,D396)</x:f>
        <x:v>38</x:v>
      </x:c>
      <x:c r="G396" t="n">
        <x:f>INDEX(Run_Metrics!$G:$G,D396)</x:f>
        <x:v>5.09</x:v>
      </x:c>
      <x:c r="H396" t="str">
        <x:f>INDEX(Run_Metrics!$I:$I,D396)</x:f>
      </x:c>
      <x:c r="I396" t="n">
        <x:f>IF(F396="","",F396-(E396-1))</x:f>
        <x:v>-1</x:v>
      </x:c>
      <x:c r="J396" t="n">
        <x:f>IF(I396&gt;0,1,0)</x:f>
        <x:v>0</x:v>
      </x:c>
      <x:c r="K396" t="str">
        <x:f>IF(OR(J396=0,G396="",G396=0),"",I396/G396)</x:f>
      </x:c>
      <x:c r="L396" t="str">
        <x:f>IF(OR(J396=0,I396=0,G396=""),"",G396/I396)</x:f>
      </x:c>
      <x:c r="M396" t="str">
        <x:f>IF(OR(J396=0,G396="",H396="",G396=0,H396=0),"",I396/(G396*H396))</x:f>
      </x:c>
      <x:c r="N396" t="str">
        <x:f>IF(K396="","",K396/_xlfn.MAXIFS($K:$K,$E:$E,E396))</x:f>
      </x:c>
      <x:c r="O396" t="str">
        <x:f>IF(M396="","",M396/_xlfn.MAXIFS($M:$M,$E:$E,E396))</x:f>
      </x:c>
      <x:c r="P396" t="str">
        <x:f>IF(OR(N396="",O396=""),"",SQRT(N396*O396))</x:f>
      </x:c>
      <x:c r="Q396" t="str">
        <x:f>IF(OR(N396="",O396=""),"",N396^0.7*O396^0.3)</x:f>
      </x:c>
      <x:c r="R396" t="str">
        <x:f>IF(OR(N396="",O396=""),"",N396^0.3*O396^0.7)</x:f>
      </x:c>
    </x:row>
    <x:row r="397">
      <x:c r="A397" t="inlineStr">
        <x:is>
          <x:t xml:space="preserve">anthropic|claude-sonnet-5|max|reasoning|fallback-na|aa-v4.3.2|snapshot-2026-09-28</x:t>
        </x:is>
      </x:c>
      <x:c r="B397" t="inlineStr">
        <x:is>
          <x:t xml:space="preserve">anthropic|claude-sonnet-5|max|reasoning|fallback-na</x:t>
        </x:is>
      </x:c>
      <x:c r="C397" t="inlineStr">
        <x:is>
          <x:t xml:space="preserve">AA|v4.3.2</x:t>
        </x:is>
      </x:c>
      <x:c r="D397" t="n">
        <x:v>51</x:v>
      </x:c>
      <x:c r="E397" t="n">
        <x:v>45</x:v>
      </x:c>
      <x:c r="F397" t="n">
        <x:f>INDEX(Run_Metrics!$F:$F,D397)</x:f>
        <x:v>38</x:v>
      </x:c>
      <x:c r="G397" t="n">
        <x:f>INDEX(Run_Metrics!$G:$G,D397)</x:f>
        <x:v>5.09</x:v>
      </x:c>
      <x:c r="H397" t="str">
        <x:f>INDEX(Run_Metrics!$I:$I,D397)</x:f>
      </x:c>
      <x:c r="I397" t="n">
        <x:f>IF(F397="","",F397-(E397-1))</x:f>
        <x:v>-6</x:v>
      </x:c>
      <x:c r="J397" t="n">
        <x:f>IF(I397&gt;0,1,0)</x:f>
        <x:v>0</x:v>
      </x:c>
      <x:c r="K397" t="str">
        <x:f>IF(OR(J397=0,G397="",G397=0),"",I397/G397)</x:f>
      </x:c>
      <x:c r="L397" t="str">
        <x:f>IF(OR(J397=0,I397=0,G397=""),"",G397/I397)</x:f>
      </x:c>
      <x:c r="M397" t="str">
        <x:f>IF(OR(J397=0,G397="",H397="",G397=0,H397=0),"",I397/(G397*H397))</x:f>
      </x:c>
      <x:c r="N397" t="str">
        <x:f>IF(K397="","",K397/_xlfn.MAXIFS($K:$K,$E:$E,E397))</x:f>
      </x:c>
      <x:c r="O397" t="str">
        <x:f>IF(M397="","",M397/_xlfn.MAXIFS($M:$M,$E:$E,E397))</x:f>
      </x:c>
      <x:c r="P397" t="str">
        <x:f>IF(OR(N397="",O397=""),"",SQRT(N397*O397))</x:f>
      </x:c>
      <x:c r="Q397" t="str">
        <x:f>IF(OR(N397="",O397=""),"",N397^0.7*O397^0.3)</x:f>
      </x:c>
      <x:c r="R397" t="str">
        <x:f>IF(OR(N397="",O397=""),"",N397^0.3*O397^0.7)</x:f>
      </x:c>
    </x:row>
    <x:row r="398">
      <x:c r="A398" t="inlineStr">
        <x:is>
          <x:t xml:space="preserve">anthropic|claude-sonnet-5|max|reasoning|fallback-na|aa-v4.3.2|snapshot-2026-09-28</x:t>
        </x:is>
      </x:c>
      <x:c r="B398" t="inlineStr">
        <x:is>
          <x:t xml:space="preserve">anthropic|claude-sonnet-5|max|reasoning|fallback-na</x:t>
        </x:is>
      </x:c>
      <x:c r="C398" t="inlineStr">
        <x:is>
          <x:t xml:space="preserve">AA|v4.3.2</x:t>
        </x:is>
      </x:c>
      <x:c r="D398" t="n">
        <x:v>51</x:v>
      </x:c>
      <x:c r="E398" t="n">
        <x:v>50</x:v>
      </x:c>
      <x:c r="F398" t="n">
        <x:f>INDEX(Run_Metrics!$F:$F,D398)</x:f>
        <x:v>38</x:v>
      </x:c>
      <x:c r="G398" t="n">
        <x:f>INDEX(Run_Metrics!$G:$G,D398)</x:f>
        <x:v>5.09</x:v>
      </x:c>
      <x:c r="H398" t="str">
        <x:f>INDEX(Run_Metrics!$I:$I,D398)</x:f>
      </x:c>
      <x:c r="I398" t="n">
        <x:f>IF(F398="","",F398-(E398-1))</x:f>
        <x:v>-11</x:v>
      </x:c>
      <x:c r="J398" t="n">
        <x:f>IF(I398&gt;0,1,0)</x:f>
        <x:v>0</x:v>
      </x:c>
      <x:c r="K398" t="str">
        <x:f>IF(OR(J398=0,G398="",G398=0),"",I398/G398)</x:f>
      </x:c>
      <x:c r="L398" t="str">
        <x:f>IF(OR(J398=0,I398=0,G398=""),"",G398/I398)</x:f>
      </x:c>
      <x:c r="M398" t="str">
        <x:f>IF(OR(J398=0,G398="",H398="",G398=0,H398=0),"",I398/(G398*H398))</x:f>
      </x:c>
      <x:c r="N398" t="str">
        <x:f>IF(K398="","",K398/_xlfn.MAXIFS($K:$K,$E:$E,E398))</x:f>
      </x:c>
      <x:c r="O398" t="str">
        <x:f>IF(M398="","",M398/_xlfn.MAXIFS($M:$M,$E:$E,E398))</x:f>
      </x:c>
      <x:c r="P398" t="str">
        <x:f>IF(OR(N398="",O398=""),"",SQRT(N398*O398))</x:f>
      </x:c>
      <x:c r="Q398" t="str">
        <x:f>IF(OR(N398="",O398=""),"",N398^0.7*O398^0.3)</x:f>
      </x:c>
      <x:c r="R398" t="str">
        <x:f>IF(OR(N398="",O398=""),"",N398^0.3*O398^0.7)</x:f>
      </x:c>
    </x:row>
    <x:row r="399">
      <x:c r="A399" t="inlineStr">
        <x:is>
          <x:t xml:space="preserve">anthropic|claude-sonnet-5|max|reasoning|fallback-na|aa-v4.3.2|snapshot-2026-09-28</x:t>
        </x:is>
      </x:c>
      <x:c r="B399" t="inlineStr">
        <x:is>
          <x:t xml:space="preserve">anthropic|claude-sonnet-5|max|reasoning|fallback-na</x:t>
        </x:is>
      </x:c>
      <x:c r="C399" t="inlineStr">
        <x:is>
          <x:t xml:space="preserve">AA|v4.3.2</x:t>
        </x:is>
      </x:c>
      <x:c r="D399" t="n">
        <x:v>51</x:v>
      </x:c>
      <x:c r="E399" t="n">
        <x:v>52</x:v>
      </x:c>
      <x:c r="F399" t="n">
        <x:f>INDEX(Run_Metrics!$F:$F,D399)</x:f>
        <x:v>38</x:v>
      </x:c>
      <x:c r="G399" t="n">
        <x:f>INDEX(Run_Metrics!$G:$G,D399)</x:f>
        <x:v>5.09</x:v>
      </x:c>
      <x:c r="H399" t="str">
        <x:f>INDEX(Run_Metrics!$I:$I,D399)</x:f>
      </x:c>
      <x:c r="I399" t="n">
        <x:f>IF(F399="","",F399-(E399-1))</x:f>
        <x:v>-13</x:v>
      </x:c>
      <x:c r="J399" t="n">
        <x:f>IF(I399&gt;0,1,0)</x:f>
        <x:v>0</x:v>
      </x:c>
      <x:c r="K399" t="str">
        <x:f>IF(OR(J399=0,G399="",G399=0),"",I399/G399)</x:f>
      </x:c>
      <x:c r="L399" t="str">
        <x:f>IF(OR(J399=0,I399=0,G399=""),"",G399/I399)</x:f>
      </x:c>
      <x:c r="M399" t="str">
        <x:f>IF(OR(J399=0,G399="",H399="",G399=0,H399=0),"",I399/(G399*H399))</x:f>
      </x:c>
      <x:c r="N399" t="str">
        <x:f>IF(K399="","",K399/_xlfn.MAXIFS($K:$K,$E:$E,E399))</x:f>
      </x:c>
      <x:c r="O399" t="str">
        <x:f>IF(M399="","",M399/_xlfn.MAXIFS($M:$M,$E:$E,E399))</x:f>
      </x:c>
      <x:c r="P399" t="str">
        <x:f>IF(OR(N399="",O399=""),"",SQRT(N399*O399))</x:f>
      </x:c>
      <x:c r="Q399" t="str">
        <x:f>IF(OR(N399="",O399=""),"",N399^0.7*O399^0.3)</x:f>
      </x:c>
      <x:c r="R399" t="str">
        <x:f>IF(OR(N399="",O399=""),"",N399^0.3*O399^0.7)</x:f>
      </x:c>
    </x:row>
    <x:row r="400">
      <x:c r="A400" t="inlineStr">
        <x:is>
          <x:t xml:space="preserve">anthropic|claude-sonnet-5|max|reasoning|fallback-na|aa-v4.3.2|snapshot-2026-09-28</x:t>
        </x:is>
      </x:c>
      <x:c r="B400" t="inlineStr">
        <x:is>
          <x:t xml:space="preserve">anthropic|claude-sonnet-5|max|reasoning|fallback-na</x:t>
        </x:is>
      </x:c>
      <x:c r="C400" t="inlineStr">
        <x:is>
          <x:t xml:space="preserve">AA|v4.3.2</x:t>
        </x:is>
      </x:c>
      <x:c r="D400" t="n">
        <x:v>51</x:v>
      </x:c>
      <x:c r="E400" t="n">
        <x:v>65</x:v>
      </x:c>
      <x:c r="F400" t="n">
        <x:f>INDEX(Run_Metrics!$F:$F,D400)</x:f>
        <x:v>38</x:v>
      </x:c>
      <x:c r="G400" t="n">
        <x:f>INDEX(Run_Metrics!$G:$G,D400)</x:f>
        <x:v>5.09</x:v>
      </x:c>
      <x:c r="H400" t="str">
        <x:f>INDEX(Run_Metrics!$I:$I,D400)</x:f>
      </x:c>
      <x:c r="I400" t="n">
        <x:f>IF(F400="","",F400-(E400-1))</x:f>
        <x:v>-26</x:v>
      </x:c>
      <x:c r="J400" t="n">
        <x:f>IF(I400&gt;0,1,0)</x:f>
        <x:v>0</x:v>
      </x:c>
      <x:c r="K400" t="str">
        <x:f>IF(OR(J400=0,G400="",G400=0),"",I400/G400)</x:f>
      </x:c>
      <x:c r="L400" t="str">
        <x:f>IF(OR(J400=0,I400=0,G400=""),"",G400/I400)</x:f>
      </x:c>
      <x:c r="M400" t="str">
        <x:f>IF(OR(J400=0,G400="",H400="",G400=0,H400=0),"",I400/(G400*H400))</x:f>
      </x:c>
      <x:c r="N400" t="str">
        <x:f>IF(K400="","",K400/_xlfn.MAXIFS($K:$K,$E:$E,E400))</x:f>
      </x:c>
      <x:c r="O400" t="str">
        <x:f>IF(M400="","",M400/_xlfn.MAXIFS($M:$M,$E:$E,E400))</x:f>
      </x:c>
      <x:c r="P400" t="str">
        <x:f>IF(OR(N400="",O400=""),"",SQRT(N400*O400))</x:f>
      </x:c>
      <x:c r="Q400" t="str">
        <x:f>IF(OR(N400="",O400=""),"",N400^0.7*O400^0.3)</x:f>
      </x:c>
      <x:c r="R400" t="str">
        <x:f>IF(OR(N400="",O400=""),"",N400^0.3*O400^0.7)</x:f>
      </x:c>
    </x:row>
    <x:row r="401">
      <x:c r="A401" t="inlineStr">
        <x:is>
          <x:t xml:space="preserve">anthropic|claude-sonnet-5|max|reasoning|fallback-na|aa-v4.3.2|snapshot-2026-09-28</x:t>
        </x:is>
      </x:c>
      <x:c r="B401" t="inlineStr">
        <x:is>
          <x:t xml:space="preserve">anthropic|claude-sonnet-5|max|reasoning|fallback-na</x:t>
        </x:is>
      </x:c>
      <x:c r="C401" t="inlineStr">
        <x:is>
          <x:t xml:space="preserve">AA|v4.3.2</x:t>
        </x:is>
      </x:c>
      <x:c r="D401" t="n">
        <x:v>51</x:v>
      </x:c>
      <x:c r="E401" t="n">
        <x:v>80</x:v>
      </x:c>
      <x:c r="F401" t="n">
        <x:f>INDEX(Run_Metrics!$F:$F,D401)</x:f>
        <x:v>38</x:v>
      </x:c>
      <x:c r="G401" t="n">
        <x:f>INDEX(Run_Metrics!$G:$G,D401)</x:f>
        <x:v>5.09</x:v>
      </x:c>
      <x:c r="H401" t="str">
        <x:f>INDEX(Run_Metrics!$I:$I,D401)</x:f>
      </x:c>
      <x:c r="I401" t="n">
        <x:f>IF(F401="","",F401-(E401-1))</x:f>
        <x:v>-41</x:v>
      </x:c>
      <x:c r="J401" t="n">
        <x:f>IF(I401&gt;0,1,0)</x:f>
        <x:v>0</x:v>
      </x:c>
      <x:c r="K401" t="str">
        <x:f>IF(OR(J401=0,G401="",G401=0),"",I401/G401)</x:f>
      </x:c>
      <x:c r="L401" t="str">
        <x:f>IF(OR(J401=0,I401=0,G401=""),"",G401/I401)</x:f>
      </x:c>
      <x:c r="M401" t="str">
        <x:f>IF(OR(J401=0,G401="",H401="",G401=0,H401=0),"",I401/(G401*H401))</x:f>
      </x:c>
      <x:c r="N401" t="str">
        <x:f>IF(K401="","",K401/_xlfn.MAXIFS($K:$K,$E:$E,E401))</x:f>
      </x:c>
      <x:c r="O401" t="str">
        <x:f>IF(M401="","",M401/_xlfn.MAXIFS($M:$M,$E:$E,E401))</x:f>
      </x:c>
      <x:c r="P401" t="str">
        <x:f>IF(OR(N401="",O401=""),"",SQRT(N401*O401))</x:f>
      </x:c>
      <x:c r="Q401" t="str">
        <x:f>IF(OR(N401="",O401=""),"",N401^0.7*O401^0.3)</x:f>
      </x:c>
      <x:c r="R401" t="str">
        <x:f>IF(OR(N401="",O401=""),"",N401^0.3*O401^0.7)</x:f>
      </x:c>
    </x:row>
    <x:row r="402">
      <x:c r="A402" t="inlineStr">
        <x:is>
          <x:t xml:space="preserve">anthropic|claude-4.5-haiku|non-reasoning|nonreasoning|fallback-na|aa-v4.3.2|snapshot-2026-09-28</x:t>
        </x:is>
      </x:c>
      <x:c r="B402" t="inlineStr">
        <x:is>
          <x:t xml:space="preserve">anthropic|claude-4.5-haiku|non-reasoning|nonreasoning|fallback-na</x:t>
        </x:is>
      </x:c>
      <x:c r="C402" t="inlineStr">
        <x:is>
          <x:t xml:space="preserve">AA|v4.3.2</x:t>
        </x:is>
      </x:c>
      <x:c r="D402" t="n">
        <x:v>52</x:v>
      </x:c>
      <x:c r="E402" t="n">
        <x:v>20</x:v>
      </x:c>
      <x:c r="F402" t="n">
        <x:f>INDEX(Run_Metrics!$F:$F,D402)</x:f>
        <x:v>15</x:v>
      </x:c>
      <x:c r="G402" t="str">
        <x:f>INDEX(Run_Metrics!$G:$G,D402)</x:f>
      </x:c>
      <x:c r="H402" t="str">
        <x:f>INDEX(Run_Metrics!$I:$I,D402)</x:f>
      </x:c>
      <x:c r="I402" t="n">
        <x:f>IF(F402="","",F402-(E402-1))</x:f>
        <x:v>-4</x:v>
      </x:c>
      <x:c r="J402" t="n">
        <x:f>IF(I402&gt;0,1,0)</x:f>
        <x:v>0</x:v>
      </x:c>
      <x:c r="K402" t="str">
        <x:f>IF(OR(J402=0,G402="",G402=0),"",I402/G402)</x:f>
      </x:c>
      <x:c r="L402" t="str">
        <x:f>IF(OR(J402=0,I402=0,G402=""),"",G402/I402)</x:f>
      </x:c>
      <x:c r="M402" t="str">
        <x:f>IF(OR(J402=0,G402="",H402="",G402=0,H402=0),"",I402/(G402*H402))</x:f>
      </x:c>
      <x:c r="N402" t="str">
        <x:f>IF(K402="","",K402/_xlfn.MAXIFS($K:$K,$E:$E,E402))</x:f>
      </x:c>
      <x:c r="O402" t="str">
        <x:f>IF(M402="","",M402/_xlfn.MAXIFS($M:$M,$E:$E,E402))</x:f>
      </x:c>
      <x:c r="P402" t="str">
        <x:f>IF(OR(N402="",O402=""),"",SQRT(N402*O402))</x:f>
      </x:c>
      <x:c r="Q402" t="str">
        <x:f>IF(OR(N402="",O402=""),"",N402^0.7*O402^0.3)</x:f>
      </x:c>
      <x:c r="R402" t="str">
        <x:f>IF(OR(N402="",O402=""),"",N402^0.3*O402^0.7)</x:f>
      </x:c>
    </x:row>
    <x:row r="403">
      <x:c r="A403" t="inlineStr">
        <x:is>
          <x:t xml:space="preserve">anthropic|claude-4.5-haiku|non-reasoning|nonreasoning|fallback-na|aa-v4.3.2|snapshot-2026-09-28</x:t>
        </x:is>
      </x:c>
      <x:c r="B403" t="inlineStr">
        <x:is>
          <x:t xml:space="preserve">anthropic|claude-4.5-haiku|non-reasoning|nonreasoning|fallback-na</x:t>
        </x:is>
      </x:c>
      <x:c r="C403" t="inlineStr">
        <x:is>
          <x:t xml:space="preserve">AA|v4.3.2</x:t>
        </x:is>
      </x:c>
      <x:c r="D403" t="n">
        <x:v>52</x:v>
      </x:c>
      <x:c r="E403" t="n">
        <x:v>30</x:v>
      </x:c>
      <x:c r="F403" t="n">
        <x:f>INDEX(Run_Metrics!$F:$F,D403)</x:f>
        <x:v>15</x:v>
      </x:c>
      <x:c r="G403" t="str">
        <x:f>INDEX(Run_Metrics!$G:$G,D403)</x:f>
      </x:c>
      <x:c r="H403" t="str">
        <x:f>INDEX(Run_Metrics!$I:$I,D403)</x:f>
      </x:c>
      <x:c r="I403" t="n">
        <x:f>IF(F403="","",F403-(E403-1))</x:f>
        <x:v>-14</x:v>
      </x:c>
      <x:c r="J403" t="n">
        <x:f>IF(I403&gt;0,1,0)</x:f>
        <x:v>0</x:v>
      </x:c>
      <x:c r="K403" t="str">
        <x:f>IF(OR(J403=0,G403="",G403=0),"",I403/G403)</x:f>
      </x:c>
      <x:c r="L403" t="str">
        <x:f>IF(OR(J403=0,I403=0,G403=""),"",G403/I403)</x:f>
      </x:c>
      <x:c r="M403" t="str">
        <x:f>IF(OR(J403=0,G403="",H403="",G403=0,H403=0),"",I403/(G403*H403))</x:f>
      </x:c>
      <x:c r="N403" t="str">
        <x:f>IF(K403="","",K403/_xlfn.MAXIFS($K:$K,$E:$E,E403))</x:f>
      </x:c>
      <x:c r="O403" t="str">
        <x:f>IF(M403="","",M403/_xlfn.MAXIFS($M:$M,$E:$E,E403))</x:f>
      </x:c>
      <x:c r="P403" t="str">
        <x:f>IF(OR(N403="",O403=""),"",SQRT(N403*O403))</x:f>
      </x:c>
      <x:c r="Q403" t="str">
        <x:f>IF(OR(N403="",O403=""),"",N403^0.7*O403^0.3)</x:f>
      </x:c>
      <x:c r="R403" t="str">
        <x:f>IF(OR(N403="",O403=""),"",N403^0.3*O403^0.7)</x:f>
      </x:c>
    </x:row>
    <x:row r="404">
      <x:c r="A404" t="inlineStr">
        <x:is>
          <x:t xml:space="preserve">anthropic|claude-4.5-haiku|non-reasoning|nonreasoning|fallback-na|aa-v4.3.2|snapshot-2026-09-28</x:t>
        </x:is>
      </x:c>
      <x:c r="B404" t="inlineStr">
        <x:is>
          <x:t xml:space="preserve">anthropic|claude-4.5-haiku|non-reasoning|nonreasoning|fallback-na</x:t>
        </x:is>
      </x:c>
      <x:c r="C404" t="inlineStr">
        <x:is>
          <x:t xml:space="preserve">AA|v4.3.2</x:t>
        </x:is>
      </x:c>
      <x:c r="D404" t="n">
        <x:v>52</x:v>
      </x:c>
      <x:c r="E404" t="n">
        <x:v>40</x:v>
      </x:c>
      <x:c r="F404" t="n">
        <x:f>INDEX(Run_Metrics!$F:$F,D404)</x:f>
        <x:v>15</x:v>
      </x:c>
      <x:c r="G404" t="str">
        <x:f>INDEX(Run_Metrics!$G:$G,D404)</x:f>
      </x:c>
      <x:c r="H404" t="str">
        <x:f>INDEX(Run_Metrics!$I:$I,D404)</x:f>
      </x:c>
      <x:c r="I404" t="n">
        <x:f>IF(F404="","",F404-(E404-1))</x:f>
        <x:v>-24</x:v>
      </x:c>
      <x:c r="J404" t="n">
        <x:f>IF(I404&gt;0,1,0)</x:f>
        <x:v>0</x:v>
      </x:c>
      <x:c r="K404" t="str">
        <x:f>IF(OR(J404=0,G404="",G404=0),"",I404/G404)</x:f>
      </x:c>
      <x:c r="L404" t="str">
        <x:f>IF(OR(J404=0,I404=0,G404=""),"",G404/I404)</x:f>
      </x:c>
      <x:c r="M404" t="str">
        <x:f>IF(OR(J404=0,G404="",H404="",G404=0,H404=0),"",I404/(G404*H404))</x:f>
      </x:c>
      <x:c r="N404" t="str">
        <x:f>IF(K404="","",K404/_xlfn.MAXIFS($K:$K,$E:$E,E404))</x:f>
      </x:c>
      <x:c r="O404" t="str">
        <x:f>IF(M404="","",M404/_xlfn.MAXIFS($M:$M,$E:$E,E404))</x:f>
      </x:c>
      <x:c r="P404" t="str">
        <x:f>IF(OR(N404="",O404=""),"",SQRT(N404*O404))</x:f>
      </x:c>
      <x:c r="Q404" t="str">
        <x:f>IF(OR(N404="",O404=""),"",N404^0.7*O404^0.3)</x:f>
      </x:c>
      <x:c r="R404" t="str">
        <x:f>IF(OR(N404="",O404=""),"",N404^0.3*O404^0.7)</x:f>
      </x:c>
    </x:row>
    <x:row r="405">
      <x:c r="A405" t="inlineStr">
        <x:is>
          <x:t xml:space="preserve">anthropic|claude-4.5-haiku|non-reasoning|nonreasoning|fallback-na|aa-v4.3.2|snapshot-2026-09-28</x:t>
        </x:is>
      </x:c>
      <x:c r="B405" t="inlineStr">
        <x:is>
          <x:t xml:space="preserve">anthropic|claude-4.5-haiku|non-reasoning|nonreasoning|fallback-na</x:t>
        </x:is>
      </x:c>
      <x:c r="C405" t="inlineStr">
        <x:is>
          <x:t xml:space="preserve">AA|v4.3.2</x:t>
        </x:is>
      </x:c>
      <x:c r="D405" t="n">
        <x:v>52</x:v>
      </x:c>
      <x:c r="E405" t="n">
        <x:v>45</x:v>
      </x:c>
      <x:c r="F405" t="n">
        <x:f>INDEX(Run_Metrics!$F:$F,D405)</x:f>
        <x:v>15</x:v>
      </x:c>
      <x:c r="G405" t="str">
        <x:f>INDEX(Run_Metrics!$G:$G,D405)</x:f>
      </x:c>
      <x:c r="H405" t="str">
        <x:f>INDEX(Run_Metrics!$I:$I,D405)</x:f>
      </x:c>
      <x:c r="I405" t="n">
        <x:f>IF(F405="","",F405-(E405-1))</x:f>
        <x:v>-29</x:v>
      </x:c>
      <x:c r="J405" t="n">
        <x:f>IF(I405&gt;0,1,0)</x:f>
        <x:v>0</x:v>
      </x:c>
      <x:c r="K405" t="str">
        <x:f>IF(OR(J405=0,G405="",G405=0),"",I405/G405)</x:f>
      </x:c>
      <x:c r="L405" t="str">
        <x:f>IF(OR(J405=0,I405=0,G405=""),"",G405/I405)</x:f>
      </x:c>
      <x:c r="M405" t="str">
        <x:f>IF(OR(J405=0,G405="",H405="",G405=0,H405=0),"",I405/(G405*H405))</x:f>
      </x:c>
      <x:c r="N405" t="str">
        <x:f>IF(K405="","",K405/_xlfn.MAXIFS($K:$K,$E:$E,E405))</x:f>
      </x:c>
      <x:c r="O405" t="str">
        <x:f>IF(M405="","",M405/_xlfn.MAXIFS($M:$M,$E:$E,E405))</x:f>
      </x:c>
      <x:c r="P405" t="str">
        <x:f>IF(OR(N405="",O405=""),"",SQRT(N405*O405))</x:f>
      </x:c>
      <x:c r="Q405" t="str">
        <x:f>IF(OR(N405="",O405=""),"",N405^0.7*O405^0.3)</x:f>
      </x:c>
      <x:c r="R405" t="str">
        <x:f>IF(OR(N405="",O405=""),"",N405^0.3*O405^0.7)</x:f>
      </x:c>
    </x:row>
    <x:row r="406">
      <x:c r="A406" t="inlineStr">
        <x:is>
          <x:t xml:space="preserve">anthropic|claude-4.5-haiku|non-reasoning|nonreasoning|fallback-na|aa-v4.3.2|snapshot-2026-09-28</x:t>
        </x:is>
      </x:c>
      <x:c r="B406" t="inlineStr">
        <x:is>
          <x:t xml:space="preserve">anthropic|claude-4.5-haiku|non-reasoning|nonreasoning|fallback-na</x:t>
        </x:is>
      </x:c>
      <x:c r="C406" t="inlineStr">
        <x:is>
          <x:t xml:space="preserve">AA|v4.3.2</x:t>
        </x:is>
      </x:c>
      <x:c r="D406" t="n">
        <x:v>52</x:v>
      </x:c>
      <x:c r="E406" t="n">
        <x:v>50</x:v>
      </x:c>
      <x:c r="F406" t="n">
        <x:f>INDEX(Run_Metrics!$F:$F,D406)</x:f>
        <x:v>15</x:v>
      </x:c>
      <x:c r="G406" t="str">
        <x:f>INDEX(Run_Metrics!$G:$G,D406)</x:f>
      </x:c>
      <x:c r="H406" t="str">
        <x:f>INDEX(Run_Metrics!$I:$I,D406)</x:f>
      </x:c>
      <x:c r="I406" t="n">
        <x:f>IF(F406="","",F406-(E406-1))</x:f>
        <x:v>-34</x:v>
      </x:c>
      <x:c r="J406" t="n">
        <x:f>IF(I406&gt;0,1,0)</x:f>
        <x:v>0</x:v>
      </x:c>
      <x:c r="K406" t="str">
        <x:f>IF(OR(J406=0,G406="",G406=0),"",I406/G406)</x:f>
      </x:c>
      <x:c r="L406" t="str">
        <x:f>IF(OR(J406=0,I406=0,G406=""),"",G406/I406)</x:f>
      </x:c>
      <x:c r="M406" t="str">
        <x:f>IF(OR(J406=0,G406="",H406="",G406=0,H406=0),"",I406/(G406*H406))</x:f>
      </x:c>
      <x:c r="N406" t="str">
        <x:f>IF(K406="","",K406/_xlfn.MAXIFS($K:$K,$E:$E,E406))</x:f>
      </x:c>
      <x:c r="O406" t="str">
        <x:f>IF(M406="","",M406/_xlfn.MAXIFS($M:$M,$E:$E,E406))</x:f>
      </x:c>
      <x:c r="P406" t="str">
        <x:f>IF(OR(N406="",O406=""),"",SQRT(N406*O406))</x:f>
      </x:c>
      <x:c r="Q406" t="str">
        <x:f>IF(OR(N406="",O406=""),"",N406^0.7*O406^0.3)</x:f>
      </x:c>
      <x:c r="R406" t="str">
        <x:f>IF(OR(N406="",O406=""),"",N406^0.3*O406^0.7)</x:f>
      </x:c>
    </x:row>
    <x:row r="407">
      <x:c r="A407" t="inlineStr">
        <x:is>
          <x:t xml:space="preserve">anthropic|claude-4.5-haiku|non-reasoning|nonreasoning|fallback-na|aa-v4.3.2|snapshot-2026-09-28</x:t>
        </x:is>
      </x:c>
      <x:c r="B407" t="inlineStr">
        <x:is>
          <x:t xml:space="preserve">anthropic|claude-4.5-haiku|non-reasoning|nonreasoning|fallback-na</x:t>
        </x:is>
      </x:c>
      <x:c r="C407" t="inlineStr">
        <x:is>
          <x:t xml:space="preserve">AA|v4.3.2</x:t>
        </x:is>
      </x:c>
      <x:c r="D407" t="n">
        <x:v>52</x:v>
      </x:c>
      <x:c r="E407" t="n">
        <x:v>52</x:v>
      </x:c>
      <x:c r="F407" t="n">
        <x:f>INDEX(Run_Metrics!$F:$F,D407)</x:f>
        <x:v>15</x:v>
      </x:c>
      <x:c r="G407" t="str">
        <x:f>INDEX(Run_Metrics!$G:$G,D407)</x:f>
      </x:c>
      <x:c r="H407" t="str">
        <x:f>INDEX(Run_Metrics!$I:$I,D407)</x:f>
      </x:c>
      <x:c r="I407" t="n">
        <x:f>IF(F407="","",F407-(E407-1))</x:f>
        <x:v>-36</x:v>
      </x:c>
      <x:c r="J407" t="n">
        <x:f>IF(I407&gt;0,1,0)</x:f>
        <x:v>0</x:v>
      </x:c>
      <x:c r="K407" t="str">
        <x:f>IF(OR(J407=0,G407="",G407=0),"",I407/G407)</x:f>
      </x:c>
      <x:c r="L407" t="str">
        <x:f>IF(OR(J407=0,I407=0,G407=""),"",G407/I407)</x:f>
      </x:c>
      <x:c r="M407" t="str">
        <x:f>IF(OR(J407=0,G407="",H407="",G407=0,H407=0),"",I407/(G407*H407))</x:f>
      </x:c>
      <x:c r="N407" t="str">
        <x:f>IF(K407="","",K407/_xlfn.MAXIFS($K:$K,$E:$E,E407))</x:f>
      </x:c>
      <x:c r="O407" t="str">
        <x:f>IF(M407="","",M407/_xlfn.MAXIFS($M:$M,$E:$E,E407))</x:f>
      </x:c>
      <x:c r="P407" t="str">
        <x:f>IF(OR(N407="",O407=""),"",SQRT(N407*O407))</x:f>
      </x:c>
      <x:c r="Q407" t="str">
        <x:f>IF(OR(N407="",O407=""),"",N407^0.7*O407^0.3)</x:f>
      </x:c>
      <x:c r="R407" t="str">
        <x:f>IF(OR(N407="",O407=""),"",N407^0.3*O407^0.7)</x:f>
      </x:c>
    </x:row>
    <x:row r="408">
      <x:c r="A408" t="inlineStr">
        <x:is>
          <x:t xml:space="preserve">anthropic|claude-4.5-haiku|non-reasoning|nonreasoning|fallback-na|aa-v4.3.2|snapshot-2026-09-28</x:t>
        </x:is>
      </x:c>
      <x:c r="B408" t="inlineStr">
        <x:is>
          <x:t xml:space="preserve">anthropic|claude-4.5-haiku|non-reasoning|nonreasoning|fallback-na</x:t>
        </x:is>
      </x:c>
      <x:c r="C408" t="inlineStr">
        <x:is>
          <x:t xml:space="preserve">AA|v4.3.2</x:t>
        </x:is>
      </x:c>
      <x:c r="D408" t="n">
        <x:v>52</x:v>
      </x:c>
      <x:c r="E408" t="n">
        <x:v>65</x:v>
      </x:c>
      <x:c r="F408" t="n">
        <x:f>INDEX(Run_Metrics!$F:$F,D408)</x:f>
        <x:v>15</x:v>
      </x:c>
      <x:c r="G408" t="str">
        <x:f>INDEX(Run_Metrics!$G:$G,D408)</x:f>
      </x:c>
      <x:c r="H408" t="str">
        <x:f>INDEX(Run_Metrics!$I:$I,D408)</x:f>
      </x:c>
      <x:c r="I408" t="n">
        <x:f>IF(F408="","",F408-(E408-1))</x:f>
        <x:v>-49</x:v>
      </x:c>
      <x:c r="J408" t="n">
        <x:f>IF(I408&gt;0,1,0)</x:f>
        <x:v>0</x:v>
      </x:c>
      <x:c r="K408" t="str">
        <x:f>IF(OR(J408=0,G408="",G408=0),"",I408/G408)</x:f>
      </x:c>
      <x:c r="L408" t="str">
        <x:f>IF(OR(J408=0,I408=0,G408=""),"",G408/I408)</x:f>
      </x:c>
      <x:c r="M408" t="str">
        <x:f>IF(OR(J408=0,G408="",H408="",G408=0,H408=0),"",I408/(G408*H408))</x:f>
      </x:c>
      <x:c r="N408" t="str">
        <x:f>IF(K408="","",K408/_xlfn.MAXIFS($K:$K,$E:$E,E408))</x:f>
      </x:c>
      <x:c r="O408" t="str">
        <x:f>IF(M408="","",M408/_xlfn.MAXIFS($M:$M,$E:$E,E408))</x:f>
      </x:c>
      <x:c r="P408" t="str">
        <x:f>IF(OR(N408="",O408=""),"",SQRT(N408*O408))</x:f>
      </x:c>
      <x:c r="Q408" t="str">
        <x:f>IF(OR(N408="",O408=""),"",N408^0.7*O408^0.3)</x:f>
      </x:c>
      <x:c r="R408" t="str">
        <x:f>IF(OR(N408="",O408=""),"",N408^0.3*O408^0.7)</x:f>
      </x:c>
    </x:row>
    <x:row r="409">
      <x:c r="A409" t="inlineStr">
        <x:is>
          <x:t xml:space="preserve">anthropic|claude-4.5-haiku|non-reasoning|nonreasoning|fallback-na|aa-v4.3.2|snapshot-2026-09-28</x:t>
        </x:is>
      </x:c>
      <x:c r="B409" t="inlineStr">
        <x:is>
          <x:t xml:space="preserve">anthropic|claude-4.5-haiku|non-reasoning|nonreasoning|fallback-na</x:t>
        </x:is>
      </x:c>
      <x:c r="C409" t="inlineStr">
        <x:is>
          <x:t xml:space="preserve">AA|v4.3.2</x:t>
        </x:is>
      </x:c>
      <x:c r="D409" t="n">
        <x:v>52</x:v>
      </x:c>
      <x:c r="E409" t="n">
        <x:v>80</x:v>
      </x:c>
      <x:c r="F409" t="n">
        <x:f>INDEX(Run_Metrics!$F:$F,D409)</x:f>
        <x:v>15</x:v>
      </x:c>
      <x:c r="G409" t="str">
        <x:f>INDEX(Run_Metrics!$G:$G,D409)</x:f>
      </x:c>
      <x:c r="H409" t="str">
        <x:f>INDEX(Run_Metrics!$I:$I,D409)</x:f>
      </x:c>
      <x:c r="I409" t="n">
        <x:f>IF(F409="","",F409-(E409-1))</x:f>
        <x:v>-64</x:v>
      </x:c>
      <x:c r="J409" t="n">
        <x:f>IF(I409&gt;0,1,0)</x:f>
        <x:v>0</x:v>
      </x:c>
      <x:c r="K409" t="str">
        <x:f>IF(OR(J409=0,G409="",G409=0),"",I409/G409)</x:f>
      </x:c>
      <x:c r="L409" t="str">
        <x:f>IF(OR(J409=0,I409=0,G409=""),"",G409/I409)</x:f>
      </x:c>
      <x:c r="M409" t="str">
        <x:f>IF(OR(J409=0,G409="",H409="",G409=0,H409=0),"",I409/(G409*H409))</x:f>
      </x:c>
      <x:c r="N409" t="str">
        <x:f>IF(K409="","",K409/_xlfn.MAXIFS($K:$K,$E:$E,E409))</x:f>
      </x:c>
      <x:c r="O409" t="str">
        <x:f>IF(M409="","",M409/_xlfn.MAXIFS($M:$M,$E:$E,E409))</x:f>
      </x:c>
      <x:c r="P409" t="str">
        <x:f>IF(OR(N409="",O409=""),"",SQRT(N409*O409))</x:f>
      </x:c>
      <x:c r="Q409" t="str">
        <x:f>IF(OR(N409="",O409=""),"",N409^0.7*O409^0.3)</x:f>
      </x:c>
      <x:c r="R409" t="str">
        <x:f>IF(OR(N409="",O409=""),"",N409^0.3*O409^0.7)</x:f>
      </x:c>
    </x:row>
    <x:row r="410">
      <x:c r="A410" t="inlineStr">
        <x:is>
          <x:t xml:space="preserve">anthropic|claude-4.5-haiku|reasoning|reasoning|fallback-na|aa-v4.3.2|snapshot-2026-09-28</x:t>
        </x:is>
      </x:c>
      <x:c r="B410" t="inlineStr">
        <x:is>
          <x:t xml:space="preserve">anthropic|claude-4.5-haiku|reasoning|reasoning|fallback-na</x:t>
        </x:is>
      </x:c>
      <x:c r="C410" t="inlineStr">
        <x:is>
          <x:t xml:space="preserve">AA|v4.3.2</x:t>
        </x:is>
      </x:c>
      <x:c r="D410" t="n">
        <x:v>53</x:v>
      </x:c>
      <x:c r="E410" t="n">
        <x:v>20</x:v>
      </x:c>
      <x:c r="F410" t="n">
        <x:f>INDEX(Run_Metrics!$F:$F,D410)</x:f>
        <x:v>17</x:v>
      </x:c>
      <x:c r="G410" t="n">
        <x:f>INDEX(Run_Metrics!$G:$G,D410)</x:f>
        <x:v>0.28</x:v>
      </x:c>
      <x:c r="H410" t="str">
        <x:f>INDEX(Run_Metrics!$I:$I,D410)</x:f>
      </x:c>
      <x:c r="I410" t="n">
        <x:f>IF(F410="","",F410-(E410-1))</x:f>
        <x:v>-2</x:v>
      </x:c>
      <x:c r="J410" t="n">
        <x:f>IF(I410&gt;0,1,0)</x:f>
        <x:v>0</x:v>
      </x:c>
      <x:c r="K410" t="str">
        <x:f>IF(OR(J410=0,G410="",G410=0),"",I410/G410)</x:f>
      </x:c>
      <x:c r="L410" t="str">
        <x:f>IF(OR(J410=0,I410=0,G410=""),"",G410/I410)</x:f>
      </x:c>
      <x:c r="M410" t="str">
        <x:f>IF(OR(J410=0,G410="",H410="",G410=0,H410=0),"",I410/(G410*H410))</x:f>
      </x:c>
      <x:c r="N410" t="str">
        <x:f>IF(K410="","",K410/_xlfn.MAXIFS($K:$K,$E:$E,E410))</x:f>
      </x:c>
      <x:c r="O410" t="str">
        <x:f>IF(M410="","",M410/_xlfn.MAXIFS($M:$M,$E:$E,E410))</x:f>
      </x:c>
      <x:c r="P410" t="str">
        <x:f>IF(OR(N410="",O410=""),"",SQRT(N410*O410))</x:f>
      </x:c>
      <x:c r="Q410" t="str">
        <x:f>IF(OR(N410="",O410=""),"",N410^0.7*O410^0.3)</x:f>
      </x:c>
      <x:c r="R410" t="str">
        <x:f>IF(OR(N410="",O410=""),"",N410^0.3*O410^0.7)</x:f>
      </x:c>
    </x:row>
    <x:row r="411">
      <x:c r="A411" t="inlineStr">
        <x:is>
          <x:t xml:space="preserve">anthropic|claude-4.5-haiku|reasoning|reasoning|fallback-na|aa-v4.3.2|snapshot-2026-09-28</x:t>
        </x:is>
      </x:c>
      <x:c r="B411" t="inlineStr">
        <x:is>
          <x:t xml:space="preserve">anthropic|claude-4.5-haiku|reasoning|reasoning|fallback-na</x:t>
        </x:is>
      </x:c>
      <x:c r="C411" t="inlineStr">
        <x:is>
          <x:t xml:space="preserve">AA|v4.3.2</x:t>
        </x:is>
      </x:c>
      <x:c r="D411" t="n">
        <x:v>53</x:v>
      </x:c>
      <x:c r="E411" t="n">
        <x:v>30</x:v>
      </x:c>
      <x:c r="F411" t="n">
        <x:f>INDEX(Run_Metrics!$F:$F,D411)</x:f>
        <x:v>17</x:v>
      </x:c>
      <x:c r="G411" t="n">
        <x:f>INDEX(Run_Metrics!$G:$G,D411)</x:f>
        <x:v>0.28</x:v>
      </x:c>
      <x:c r="H411" t="str">
        <x:f>INDEX(Run_Metrics!$I:$I,D411)</x:f>
      </x:c>
      <x:c r="I411" t="n">
        <x:f>IF(F411="","",F411-(E411-1))</x:f>
        <x:v>-12</x:v>
      </x:c>
      <x:c r="J411" t="n">
        <x:f>IF(I411&gt;0,1,0)</x:f>
        <x:v>0</x:v>
      </x:c>
      <x:c r="K411" t="str">
        <x:f>IF(OR(J411=0,G411="",G411=0),"",I411/G411)</x:f>
      </x:c>
      <x:c r="L411" t="str">
        <x:f>IF(OR(J411=0,I411=0,G411=""),"",G411/I411)</x:f>
      </x:c>
      <x:c r="M411" t="str">
        <x:f>IF(OR(J411=0,G411="",H411="",G411=0,H411=0),"",I411/(G411*H411))</x:f>
      </x:c>
      <x:c r="N411" t="str">
        <x:f>IF(K411="","",K411/_xlfn.MAXIFS($K:$K,$E:$E,E411))</x:f>
      </x:c>
      <x:c r="O411" t="str">
        <x:f>IF(M411="","",M411/_xlfn.MAXIFS($M:$M,$E:$E,E411))</x:f>
      </x:c>
      <x:c r="P411" t="str">
        <x:f>IF(OR(N411="",O411=""),"",SQRT(N411*O411))</x:f>
      </x:c>
      <x:c r="Q411" t="str">
        <x:f>IF(OR(N411="",O411=""),"",N411^0.7*O411^0.3)</x:f>
      </x:c>
      <x:c r="R411" t="str">
        <x:f>IF(OR(N411="",O411=""),"",N411^0.3*O411^0.7)</x:f>
      </x:c>
    </x:row>
    <x:row r="412">
      <x:c r="A412" t="inlineStr">
        <x:is>
          <x:t xml:space="preserve">anthropic|claude-4.5-haiku|reasoning|reasoning|fallback-na|aa-v4.3.2|snapshot-2026-09-28</x:t>
        </x:is>
      </x:c>
      <x:c r="B412" t="inlineStr">
        <x:is>
          <x:t xml:space="preserve">anthropic|claude-4.5-haiku|reasoning|reasoning|fallback-na</x:t>
        </x:is>
      </x:c>
      <x:c r="C412" t="inlineStr">
        <x:is>
          <x:t xml:space="preserve">AA|v4.3.2</x:t>
        </x:is>
      </x:c>
      <x:c r="D412" t="n">
        <x:v>53</x:v>
      </x:c>
      <x:c r="E412" t="n">
        <x:v>40</x:v>
      </x:c>
      <x:c r="F412" t="n">
        <x:f>INDEX(Run_Metrics!$F:$F,D412)</x:f>
        <x:v>17</x:v>
      </x:c>
      <x:c r="G412" t="n">
        <x:f>INDEX(Run_Metrics!$G:$G,D412)</x:f>
        <x:v>0.28</x:v>
      </x:c>
      <x:c r="H412" t="str">
        <x:f>INDEX(Run_Metrics!$I:$I,D412)</x:f>
      </x:c>
      <x:c r="I412" t="n">
        <x:f>IF(F412="","",F412-(E412-1))</x:f>
        <x:v>-22</x:v>
      </x:c>
      <x:c r="J412" t="n">
        <x:f>IF(I412&gt;0,1,0)</x:f>
        <x:v>0</x:v>
      </x:c>
      <x:c r="K412" t="str">
        <x:f>IF(OR(J412=0,G412="",G412=0),"",I412/G412)</x:f>
      </x:c>
      <x:c r="L412" t="str">
        <x:f>IF(OR(J412=0,I412=0,G412=""),"",G412/I412)</x:f>
      </x:c>
      <x:c r="M412" t="str">
        <x:f>IF(OR(J412=0,G412="",H412="",G412=0,H412=0),"",I412/(G412*H412))</x:f>
      </x:c>
      <x:c r="N412" t="str">
        <x:f>IF(K412="","",K412/_xlfn.MAXIFS($K:$K,$E:$E,E412))</x:f>
      </x:c>
      <x:c r="O412" t="str">
        <x:f>IF(M412="","",M412/_xlfn.MAXIFS($M:$M,$E:$E,E412))</x:f>
      </x:c>
      <x:c r="P412" t="str">
        <x:f>IF(OR(N412="",O412=""),"",SQRT(N412*O412))</x:f>
      </x:c>
      <x:c r="Q412" t="str">
        <x:f>IF(OR(N412="",O412=""),"",N412^0.7*O412^0.3)</x:f>
      </x:c>
      <x:c r="R412" t="str">
        <x:f>IF(OR(N412="",O412=""),"",N412^0.3*O412^0.7)</x:f>
      </x:c>
    </x:row>
    <x:row r="413">
      <x:c r="A413" t="inlineStr">
        <x:is>
          <x:t xml:space="preserve">anthropic|claude-4.5-haiku|reasoning|reasoning|fallback-na|aa-v4.3.2|snapshot-2026-09-28</x:t>
        </x:is>
      </x:c>
      <x:c r="B413" t="inlineStr">
        <x:is>
          <x:t xml:space="preserve">anthropic|claude-4.5-haiku|reasoning|reasoning|fallback-na</x:t>
        </x:is>
      </x:c>
      <x:c r="C413" t="inlineStr">
        <x:is>
          <x:t xml:space="preserve">AA|v4.3.2</x:t>
        </x:is>
      </x:c>
      <x:c r="D413" t="n">
        <x:v>53</x:v>
      </x:c>
      <x:c r="E413" t="n">
        <x:v>45</x:v>
      </x:c>
      <x:c r="F413" t="n">
        <x:f>INDEX(Run_Metrics!$F:$F,D413)</x:f>
        <x:v>17</x:v>
      </x:c>
      <x:c r="G413" t="n">
        <x:f>INDEX(Run_Metrics!$G:$G,D413)</x:f>
        <x:v>0.28</x:v>
      </x:c>
      <x:c r="H413" t="str">
        <x:f>INDEX(Run_Metrics!$I:$I,D413)</x:f>
      </x:c>
      <x:c r="I413" t="n">
        <x:f>IF(F413="","",F413-(E413-1))</x:f>
        <x:v>-27</x:v>
      </x:c>
      <x:c r="J413" t="n">
        <x:f>IF(I413&gt;0,1,0)</x:f>
        <x:v>0</x:v>
      </x:c>
      <x:c r="K413" t="str">
        <x:f>IF(OR(J413=0,G413="",G413=0),"",I413/G413)</x:f>
      </x:c>
      <x:c r="L413" t="str">
        <x:f>IF(OR(J413=0,I413=0,G413=""),"",G413/I413)</x:f>
      </x:c>
      <x:c r="M413" t="str">
        <x:f>IF(OR(J413=0,G413="",H413="",G413=0,H413=0),"",I413/(G413*H413))</x:f>
      </x:c>
      <x:c r="N413" t="str">
        <x:f>IF(K413="","",K413/_xlfn.MAXIFS($K:$K,$E:$E,E413))</x:f>
      </x:c>
      <x:c r="O413" t="str">
        <x:f>IF(M413="","",M413/_xlfn.MAXIFS($M:$M,$E:$E,E413))</x:f>
      </x:c>
      <x:c r="P413" t="str">
        <x:f>IF(OR(N413="",O413=""),"",SQRT(N413*O413))</x:f>
      </x:c>
      <x:c r="Q413" t="str">
        <x:f>IF(OR(N413="",O413=""),"",N413^0.7*O413^0.3)</x:f>
      </x:c>
      <x:c r="R413" t="str">
        <x:f>IF(OR(N413="",O413=""),"",N413^0.3*O413^0.7)</x:f>
      </x:c>
    </x:row>
    <x:row r="414">
      <x:c r="A414" t="inlineStr">
        <x:is>
          <x:t xml:space="preserve">anthropic|claude-4.5-haiku|reasoning|reasoning|fallback-na|aa-v4.3.2|snapshot-2026-09-28</x:t>
        </x:is>
      </x:c>
      <x:c r="B414" t="inlineStr">
        <x:is>
          <x:t xml:space="preserve">anthropic|claude-4.5-haiku|reasoning|reasoning|fallback-na</x:t>
        </x:is>
      </x:c>
      <x:c r="C414" t="inlineStr">
        <x:is>
          <x:t xml:space="preserve">AA|v4.3.2</x:t>
        </x:is>
      </x:c>
      <x:c r="D414" t="n">
        <x:v>53</x:v>
      </x:c>
      <x:c r="E414" t="n">
        <x:v>50</x:v>
      </x:c>
      <x:c r="F414" t="n">
        <x:f>INDEX(Run_Metrics!$F:$F,D414)</x:f>
        <x:v>17</x:v>
      </x:c>
      <x:c r="G414" t="n">
        <x:f>INDEX(Run_Metrics!$G:$G,D414)</x:f>
        <x:v>0.28</x:v>
      </x:c>
      <x:c r="H414" t="str">
        <x:f>INDEX(Run_Metrics!$I:$I,D414)</x:f>
      </x:c>
      <x:c r="I414" t="n">
        <x:f>IF(F414="","",F414-(E414-1))</x:f>
        <x:v>-32</x:v>
      </x:c>
      <x:c r="J414" t="n">
        <x:f>IF(I414&gt;0,1,0)</x:f>
        <x:v>0</x:v>
      </x:c>
      <x:c r="K414" t="str">
        <x:f>IF(OR(J414=0,G414="",G414=0),"",I414/G414)</x:f>
      </x:c>
      <x:c r="L414" t="str">
        <x:f>IF(OR(J414=0,I414=0,G414=""),"",G414/I414)</x:f>
      </x:c>
      <x:c r="M414" t="str">
        <x:f>IF(OR(J414=0,G414="",H414="",G414=0,H414=0),"",I414/(G414*H414))</x:f>
      </x:c>
      <x:c r="N414" t="str">
        <x:f>IF(K414="","",K414/_xlfn.MAXIFS($K:$K,$E:$E,E414))</x:f>
      </x:c>
      <x:c r="O414" t="str">
        <x:f>IF(M414="","",M414/_xlfn.MAXIFS($M:$M,$E:$E,E414))</x:f>
      </x:c>
      <x:c r="P414" t="str">
        <x:f>IF(OR(N414="",O414=""),"",SQRT(N414*O414))</x:f>
      </x:c>
      <x:c r="Q414" t="str">
        <x:f>IF(OR(N414="",O414=""),"",N414^0.7*O414^0.3)</x:f>
      </x:c>
      <x:c r="R414" t="str">
        <x:f>IF(OR(N414="",O414=""),"",N414^0.3*O414^0.7)</x:f>
      </x:c>
    </x:row>
    <x:row r="415">
      <x:c r="A415" t="inlineStr">
        <x:is>
          <x:t xml:space="preserve">anthropic|claude-4.5-haiku|reasoning|reasoning|fallback-na|aa-v4.3.2|snapshot-2026-09-28</x:t>
        </x:is>
      </x:c>
      <x:c r="B415" t="inlineStr">
        <x:is>
          <x:t xml:space="preserve">anthropic|claude-4.5-haiku|reasoning|reasoning|fallback-na</x:t>
        </x:is>
      </x:c>
      <x:c r="C415" t="inlineStr">
        <x:is>
          <x:t xml:space="preserve">AA|v4.3.2</x:t>
        </x:is>
      </x:c>
      <x:c r="D415" t="n">
        <x:v>53</x:v>
      </x:c>
      <x:c r="E415" t="n">
        <x:v>52</x:v>
      </x:c>
      <x:c r="F415" t="n">
        <x:f>INDEX(Run_Metrics!$F:$F,D415)</x:f>
        <x:v>17</x:v>
      </x:c>
      <x:c r="G415" t="n">
        <x:f>INDEX(Run_Metrics!$G:$G,D415)</x:f>
        <x:v>0.28</x:v>
      </x:c>
      <x:c r="H415" t="str">
        <x:f>INDEX(Run_Metrics!$I:$I,D415)</x:f>
      </x:c>
      <x:c r="I415" t="n">
        <x:f>IF(F415="","",F415-(E415-1))</x:f>
        <x:v>-34</x:v>
      </x:c>
      <x:c r="J415" t="n">
        <x:f>IF(I415&gt;0,1,0)</x:f>
        <x:v>0</x:v>
      </x:c>
      <x:c r="K415" t="str">
        <x:f>IF(OR(J415=0,G415="",G415=0),"",I415/G415)</x:f>
      </x:c>
      <x:c r="L415" t="str">
        <x:f>IF(OR(J415=0,I415=0,G415=""),"",G415/I415)</x:f>
      </x:c>
      <x:c r="M415" t="str">
        <x:f>IF(OR(J415=0,G415="",H415="",G415=0,H415=0),"",I415/(G415*H415))</x:f>
      </x:c>
      <x:c r="N415" t="str">
        <x:f>IF(K415="","",K415/_xlfn.MAXIFS($K:$K,$E:$E,E415))</x:f>
      </x:c>
      <x:c r="O415" t="str">
        <x:f>IF(M415="","",M415/_xlfn.MAXIFS($M:$M,$E:$E,E415))</x:f>
      </x:c>
      <x:c r="P415" t="str">
        <x:f>IF(OR(N415="",O415=""),"",SQRT(N415*O415))</x:f>
      </x:c>
      <x:c r="Q415" t="str">
        <x:f>IF(OR(N415="",O415=""),"",N415^0.7*O415^0.3)</x:f>
      </x:c>
      <x:c r="R415" t="str">
        <x:f>IF(OR(N415="",O415=""),"",N415^0.3*O415^0.7)</x:f>
      </x:c>
    </x:row>
    <x:row r="416">
      <x:c r="A416" t="inlineStr">
        <x:is>
          <x:t xml:space="preserve">anthropic|claude-4.5-haiku|reasoning|reasoning|fallback-na|aa-v4.3.2|snapshot-2026-09-28</x:t>
        </x:is>
      </x:c>
      <x:c r="B416" t="inlineStr">
        <x:is>
          <x:t xml:space="preserve">anthropic|claude-4.5-haiku|reasoning|reasoning|fallback-na</x:t>
        </x:is>
      </x:c>
      <x:c r="C416" t="inlineStr">
        <x:is>
          <x:t xml:space="preserve">AA|v4.3.2</x:t>
        </x:is>
      </x:c>
      <x:c r="D416" t="n">
        <x:v>53</x:v>
      </x:c>
      <x:c r="E416" t="n">
        <x:v>65</x:v>
      </x:c>
      <x:c r="F416" t="n">
        <x:f>INDEX(Run_Metrics!$F:$F,D416)</x:f>
        <x:v>17</x:v>
      </x:c>
      <x:c r="G416" t="n">
        <x:f>INDEX(Run_Metrics!$G:$G,D416)</x:f>
        <x:v>0.28</x:v>
      </x:c>
      <x:c r="H416" t="str">
        <x:f>INDEX(Run_Metrics!$I:$I,D416)</x:f>
      </x:c>
      <x:c r="I416" t="n">
        <x:f>IF(F416="","",F416-(E416-1))</x:f>
        <x:v>-47</x:v>
      </x:c>
      <x:c r="J416" t="n">
        <x:f>IF(I416&gt;0,1,0)</x:f>
        <x:v>0</x:v>
      </x:c>
      <x:c r="K416" t="str">
        <x:f>IF(OR(J416=0,G416="",G416=0),"",I416/G416)</x:f>
      </x:c>
      <x:c r="L416" t="str">
        <x:f>IF(OR(J416=0,I416=0,G416=""),"",G416/I416)</x:f>
      </x:c>
      <x:c r="M416" t="str">
        <x:f>IF(OR(J416=0,G416="",H416="",G416=0,H416=0),"",I416/(G416*H416))</x:f>
      </x:c>
      <x:c r="N416" t="str">
        <x:f>IF(K416="","",K416/_xlfn.MAXIFS($K:$K,$E:$E,E416))</x:f>
      </x:c>
      <x:c r="O416" t="str">
        <x:f>IF(M416="","",M416/_xlfn.MAXIFS($M:$M,$E:$E,E416))</x:f>
      </x:c>
      <x:c r="P416" t="str">
        <x:f>IF(OR(N416="",O416=""),"",SQRT(N416*O416))</x:f>
      </x:c>
      <x:c r="Q416" t="str">
        <x:f>IF(OR(N416="",O416=""),"",N416^0.7*O416^0.3)</x:f>
      </x:c>
      <x:c r="R416" t="str">
        <x:f>IF(OR(N416="",O416=""),"",N416^0.3*O416^0.7)</x:f>
      </x:c>
    </x:row>
    <x:row r="417">
      <x:c r="A417" t="inlineStr">
        <x:is>
          <x:t xml:space="preserve">anthropic|claude-4.5-haiku|reasoning|reasoning|fallback-na|aa-v4.3.2|snapshot-2026-09-28</x:t>
        </x:is>
      </x:c>
      <x:c r="B417" t="inlineStr">
        <x:is>
          <x:t xml:space="preserve">anthropic|claude-4.5-haiku|reasoning|reasoning|fallback-na</x:t>
        </x:is>
      </x:c>
      <x:c r="C417" t="inlineStr">
        <x:is>
          <x:t xml:space="preserve">AA|v4.3.2</x:t>
        </x:is>
      </x:c>
      <x:c r="D417" t="n">
        <x:v>53</x:v>
      </x:c>
      <x:c r="E417" t="n">
        <x:v>80</x:v>
      </x:c>
      <x:c r="F417" t="n">
        <x:f>INDEX(Run_Metrics!$F:$F,D417)</x:f>
        <x:v>17</x:v>
      </x:c>
      <x:c r="G417" t="n">
        <x:f>INDEX(Run_Metrics!$G:$G,D417)</x:f>
        <x:v>0.28</x:v>
      </x:c>
      <x:c r="H417" t="str">
        <x:f>INDEX(Run_Metrics!$I:$I,D417)</x:f>
      </x:c>
      <x:c r="I417" t="n">
        <x:f>IF(F417="","",F417-(E417-1))</x:f>
        <x:v>-62</x:v>
      </x:c>
      <x:c r="J417" t="n">
        <x:f>IF(I417&gt;0,1,0)</x:f>
        <x:v>0</x:v>
      </x:c>
      <x:c r="K417" t="str">
        <x:f>IF(OR(J417=0,G417="",G417=0),"",I417/G417)</x:f>
      </x:c>
      <x:c r="L417" t="str">
        <x:f>IF(OR(J417=0,I417=0,G417=""),"",G417/I417)</x:f>
      </x:c>
      <x:c r="M417" t="str">
        <x:f>IF(OR(J417=0,G417="",H417="",G417=0,H417=0),"",I417/(G417*H417))</x:f>
      </x:c>
      <x:c r="N417" t="str">
        <x:f>IF(K417="","",K417/_xlfn.MAXIFS($K:$K,$E:$E,E417))</x:f>
      </x:c>
      <x:c r="O417" t="str">
        <x:f>IF(M417="","",M417/_xlfn.MAXIFS($M:$M,$E:$E,E417))</x:f>
      </x:c>
      <x:c r="P417" t="str">
        <x:f>IF(OR(N417="",O417=""),"",SQRT(N417*O417))</x:f>
      </x:c>
      <x:c r="Q417" t="str">
        <x:f>IF(OR(N417="",O417=""),"",N417^0.7*O417^0.3)</x:f>
      </x:c>
      <x:c r="R417" t="str">
        <x:f>IF(OR(N417="",O417=""),"",N417^0.3*O417^0.7)</x:f>
      </x:c>
    </x:row>
    <x:row r="418">
      <x:c r="A418" t="inlineStr">
        <x:is>
          <x:t xml:space="preserve">anthropic|claude-opus-4.5|non-reasoning|nonreasoning|fallback-na|aa-v4.3.2|snapshot-2026-09-28</x:t>
        </x:is>
      </x:c>
      <x:c r="B418" t="inlineStr">
        <x:is>
          <x:t xml:space="preserve">anthropic|claude-opus-4.5|non-reasoning|nonreasoning|fallback-na</x:t>
        </x:is>
      </x:c>
      <x:c r="C418" t="inlineStr">
        <x:is>
          <x:t xml:space="preserve">AA|v4.3.2</x:t>
        </x:is>
      </x:c>
      <x:c r="D418" t="n">
        <x:v>54</x:v>
      </x:c>
      <x:c r="E418" t="n">
        <x:v>20</x:v>
      </x:c>
      <x:c r="F418" t="n">
        <x:f>INDEX(Run_Metrics!$F:$F,D418)</x:f>
        <x:v>24</x:v>
      </x:c>
      <x:c r="G418" t="str">
        <x:f>INDEX(Run_Metrics!$G:$G,D418)</x:f>
      </x:c>
      <x:c r="H418" t="str">
        <x:f>INDEX(Run_Metrics!$I:$I,D418)</x:f>
      </x:c>
      <x:c r="I418" t="n">
        <x:f>IF(F418="","",F418-(E418-1))</x:f>
        <x:v>5</x:v>
      </x:c>
      <x:c r="J418" t="n">
        <x:f>IF(I418&gt;0,1,0)</x:f>
        <x:v>1</x:v>
      </x:c>
      <x:c r="K418" t="str">
        <x:f>IF(OR(J418=0,G418="",G418=0),"",I418/G418)</x:f>
      </x:c>
      <x:c r="L418" t="str">
        <x:f>IF(OR(J418=0,I418=0,G418=""),"",G418/I418)</x:f>
      </x:c>
      <x:c r="M418" t="str">
        <x:f>IF(OR(J418=0,G418="",H418="",G418=0,H418=0),"",I418/(G418*H418))</x:f>
      </x:c>
      <x:c r="N418" t="str">
        <x:f>IF(K418="","",K418/_xlfn.MAXIFS($K:$K,$E:$E,E418))</x:f>
      </x:c>
      <x:c r="O418" t="str">
        <x:f>IF(M418="","",M418/_xlfn.MAXIFS($M:$M,$E:$E,E418))</x:f>
      </x:c>
      <x:c r="P418" t="str">
        <x:f>IF(OR(N418="",O418=""),"",SQRT(N418*O418))</x:f>
      </x:c>
      <x:c r="Q418" t="str">
        <x:f>IF(OR(N418="",O418=""),"",N418^0.7*O418^0.3)</x:f>
      </x:c>
      <x:c r="R418" t="str">
        <x:f>IF(OR(N418="",O418=""),"",N418^0.3*O418^0.7)</x:f>
      </x:c>
    </x:row>
    <x:row r="419">
      <x:c r="A419" t="inlineStr">
        <x:is>
          <x:t xml:space="preserve">anthropic|claude-opus-4.5|non-reasoning|nonreasoning|fallback-na|aa-v4.3.2|snapshot-2026-09-28</x:t>
        </x:is>
      </x:c>
      <x:c r="B419" t="inlineStr">
        <x:is>
          <x:t xml:space="preserve">anthropic|claude-opus-4.5|non-reasoning|nonreasoning|fallback-na</x:t>
        </x:is>
      </x:c>
      <x:c r="C419" t="inlineStr">
        <x:is>
          <x:t xml:space="preserve">AA|v4.3.2</x:t>
        </x:is>
      </x:c>
      <x:c r="D419" t="n">
        <x:v>54</x:v>
      </x:c>
      <x:c r="E419" t="n">
        <x:v>30</x:v>
      </x:c>
      <x:c r="F419" t="n">
        <x:f>INDEX(Run_Metrics!$F:$F,D419)</x:f>
        <x:v>24</x:v>
      </x:c>
      <x:c r="G419" t="str">
        <x:f>INDEX(Run_Metrics!$G:$G,D419)</x:f>
      </x:c>
      <x:c r="H419" t="str">
        <x:f>INDEX(Run_Metrics!$I:$I,D419)</x:f>
      </x:c>
      <x:c r="I419" t="n">
        <x:f>IF(F419="","",F419-(E419-1))</x:f>
        <x:v>-5</x:v>
      </x:c>
      <x:c r="J419" t="n">
        <x:f>IF(I419&gt;0,1,0)</x:f>
        <x:v>0</x:v>
      </x:c>
      <x:c r="K419" t="str">
        <x:f>IF(OR(J419=0,G419="",G419=0),"",I419/G419)</x:f>
      </x:c>
      <x:c r="L419" t="str">
        <x:f>IF(OR(J419=0,I419=0,G419=""),"",G419/I419)</x:f>
      </x:c>
      <x:c r="M419" t="str">
        <x:f>IF(OR(J419=0,G419="",H419="",G419=0,H419=0),"",I419/(G419*H419))</x:f>
      </x:c>
      <x:c r="N419" t="str">
        <x:f>IF(K419="","",K419/_xlfn.MAXIFS($K:$K,$E:$E,E419))</x:f>
      </x:c>
      <x:c r="O419" t="str">
        <x:f>IF(M419="","",M419/_xlfn.MAXIFS($M:$M,$E:$E,E419))</x:f>
      </x:c>
      <x:c r="P419" t="str">
        <x:f>IF(OR(N419="",O419=""),"",SQRT(N419*O419))</x:f>
      </x:c>
      <x:c r="Q419" t="str">
        <x:f>IF(OR(N419="",O419=""),"",N419^0.7*O419^0.3)</x:f>
      </x:c>
      <x:c r="R419" t="str">
        <x:f>IF(OR(N419="",O419=""),"",N419^0.3*O419^0.7)</x:f>
      </x:c>
    </x:row>
    <x:row r="420">
      <x:c r="A420" t="inlineStr">
        <x:is>
          <x:t xml:space="preserve">anthropic|claude-opus-4.5|non-reasoning|nonreasoning|fallback-na|aa-v4.3.2|snapshot-2026-09-28</x:t>
        </x:is>
      </x:c>
      <x:c r="B420" t="inlineStr">
        <x:is>
          <x:t xml:space="preserve">anthropic|claude-opus-4.5|non-reasoning|nonreasoning|fallback-na</x:t>
        </x:is>
      </x:c>
      <x:c r="C420" t="inlineStr">
        <x:is>
          <x:t xml:space="preserve">AA|v4.3.2</x:t>
        </x:is>
      </x:c>
      <x:c r="D420" t="n">
        <x:v>54</x:v>
      </x:c>
      <x:c r="E420" t="n">
        <x:v>40</x:v>
      </x:c>
      <x:c r="F420" t="n">
        <x:f>INDEX(Run_Metrics!$F:$F,D420)</x:f>
        <x:v>24</x:v>
      </x:c>
      <x:c r="G420" t="str">
        <x:f>INDEX(Run_Metrics!$G:$G,D420)</x:f>
      </x:c>
      <x:c r="H420" t="str">
        <x:f>INDEX(Run_Metrics!$I:$I,D420)</x:f>
      </x:c>
      <x:c r="I420" t="n">
        <x:f>IF(F420="","",F420-(E420-1))</x:f>
        <x:v>-15</x:v>
      </x:c>
      <x:c r="J420" t="n">
        <x:f>IF(I420&gt;0,1,0)</x:f>
        <x:v>0</x:v>
      </x:c>
      <x:c r="K420" t="str">
        <x:f>IF(OR(J420=0,G420="",G420=0),"",I420/G420)</x:f>
      </x:c>
      <x:c r="L420" t="str">
        <x:f>IF(OR(J420=0,I420=0,G420=""),"",G420/I420)</x:f>
      </x:c>
      <x:c r="M420" t="str">
        <x:f>IF(OR(J420=0,G420="",H420="",G420=0,H420=0),"",I420/(G420*H420))</x:f>
      </x:c>
      <x:c r="N420" t="str">
        <x:f>IF(K420="","",K420/_xlfn.MAXIFS($K:$K,$E:$E,E420))</x:f>
      </x:c>
      <x:c r="O420" t="str">
        <x:f>IF(M420="","",M420/_xlfn.MAXIFS($M:$M,$E:$E,E420))</x:f>
      </x:c>
      <x:c r="P420" t="str">
        <x:f>IF(OR(N420="",O420=""),"",SQRT(N420*O420))</x:f>
      </x:c>
      <x:c r="Q420" t="str">
        <x:f>IF(OR(N420="",O420=""),"",N420^0.7*O420^0.3)</x:f>
      </x:c>
      <x:c r="R420" t="str">
        <x:f>IF(OR(N420="",O420=""),"",N420^0.3*O420^0.7)</x:f>
      </x:c>
    </x:row>
    <x:row r="421">
      <x:c r="A421" t="inlineStr">
        <x:is>
          <x:t xml:space="preserve">anthropic|claude-opus-4.5|non-reasoning|nonreasoning|fallback-na|aa-v4.3.2|snapshot-2026-09-28</x:t>
        </x:is>
      </x:c>
      <x:c r="B421" t="inlineStr">
        <x:is>
          <x:t xml:space="preserve">anthropic|claude-opus-4.5|non-reasoning|nonreasoning|fallback-na</x:t>
        </x:is>
      </x:c>
      <x:c r="C421" t="inlineStr">
        <x:is>
          <x:t xml:space="preserve">AA|v4.3.2</x:t>
        </x:is>
      </x:c>
      <x:c r="D421" t="n">
        <x:v>54</x:v>
      </x:c>
      <x:c r="E421" t="n">
        <x:v>45</x:v>
      </x:c>
      <x:c r="F421" t="n">
        <x:f>INDEX(Run_Metrics!$F:$F,D421)</x:f>
        <x:v>24</x:v>
      </x:c>
      <x:c r="G421" t="str">
        <x:f>INDEX(Run_Metrics!$G:$G,D421)</x:f>
      </x:c>
      <x:c r="H421" t="str">
        <x:f>INDEX(Run_Metrics!$I:$I,D421)</x:f>
      </x:c>
      <x:c r="I421" t="n">
        <x:f>IF(F421="","",F421-(E421-1))</x:f>
        <x:v>-20</x:v>
      </x:c>
      <x:c r="J421" t="n">
        <x:f>IF(I421&gt;0,1,0)</x:f>
        <x:v>0</x:v>
      </x:c>
      <x:c r="K421" t="str">
        <x:f>IF(OR(J421=0,G421="",G421=0),"",I421/G421)</x:f>
      </x:c>
      <x:c r="L421" t="str">
        <x:f>IF(OR(J421=0,I421=0,G421=""),"",G421/I421)</x:f>
      </x:c>
      <x:c r="M421" t="str">
        <x:f>IF(OR(J421=0,G421="",H421="",G421=0,H421=0),"",I421/(G421*H421))</x:f>
      </x:c>
      <x:c r="N421" t="str">
        <x:f>IF(K421="","",K421/_xlfn.MAXIFS($K:$K,$E:$E,E421))</x:f>
      </x:c>
      <x:c r="O421" t="str">
        <x:f>IF(M421="","",M421/_xlfn.MAXIFS($M:$M,$E:$E,E421))</x:f>
      </x:c>
      <x:c r="P421" t="str">
        <x:f>IF(OR(N421="",O421=""),"",SQRT(N421*O421))</x:f>
      </x:c>
      <x:c r="Q421" t="str">
        <x:f>IF(OR(N421="",O421=""),"",N421^0.7*O421^0.3)</x:f>
      </x:c>
      <x:c r="R421" t="str">
        <x:f>IF(OR(N421="",O421=""),"",N421^0.3*O421^0.7)</x:f>
      </x:c>
    </x:row>
    <x:row r="422">
      <x:c r="A422" t="inlineStr">
        <x:is>
          <x:t xml:space="preserve">anthropic|claude-opus-4.5|non-reasoning|nonreasoning|fallback-na|aa-v4.3.2|snapshot-2026-09-28</x:t>
        </x:is>
      </x:c>
      <x:c r="B422" t="inlineStr">
        <x:is>
          <x:t xml:space="preserve">anthropic|claude-opus-4.5|non-reasoning|nonreasoning|fallback-na</x:t>
        </x:is>
      </x:c>
      <x:c r="C422" t="inlineStr">
        <x:is>
          <x:t xml:space="preserve">AA|v4.3.2</x:t>
        </x:is>
      </x:c>
      <x:c r="D422" t="n">
        <x:v>54</x:v>
      </x:c>
      <x:c r="E422" t="n">
        <x:v>50</x:v>
      </x:c>
      <x:c r="F422" t="n">
        <x:f>INDEX(Run_Metrics!$F:$F,D422)</x:f>
        <x:v>24</x:v>
      </x:c>
      <x:c r="G422" t="str">
        <x:f>INDEX(Run_Metrics!$G:$G,D422)</x:f>
      </x:c>
      <x:c r="H422" t="str">
        <x:f>INDEX(Run_Metrics!$I:$I,D422)</x:f>
      </x:c>
      <x:c r="I422" t="n">
        <x:f>IF(F422="","",F422-(E422-1))</x:f>
        <x:v>-25</x:v>
      </x:c>
      <x:c r="J422" t="n">
        <x:f>IF(I422&gt;0,1,0)</x:f>
        <x:v>0</x:v>
      </x:c>
      <x:c r="K422" t="str">
        <x:f>IF(OR(J422=0,G422="",G422=0),"",I422/G422)</x:f>
      </x:c>
      <x:c r="L422" t="str">
        <x:f>IF(OR(J422=0,I422=0,G422=""),"",G422/I422)</x:f>
      </x:c>
      <x:c r="M422" t="str">
        <x:f>IF(OR(J422=0,G422="",H422="",G422=0,H422=0),"",I422/(G422*H422))</x:f>
      </x:c>
      <x:c r="N422" t="str">
        <x:f>IF(K422="","",K422/_xlfn.MAXIFS($K:$K,$E:$E,E422))</x:f>
      </x:c>
      <x:c r="O422" t="str">
        <x:f>IF(M422="","",M422/_xlfn.MAXIFS($M:$M,$E:$E,E422))</x:f>
      </x:c>
      <x:c r="P422" t="str">
        <x:f>IF(OR(N422="",O422=""),"",SQRT(N422*O422))</x:f>
      </x:c>
      <x:c r="Q422" t="str">
        <x:f>IF(OR(N422="",O422=""),"",N422^0.7*O422^0.3)</x:f>
      </x:c>
      <x:c r="R422" t="str">
        <x:f>IF(OR(N422="",O422=""),"",N422^0.3*O422^0.7)</x:f>
      </x:c>
    </x:row>
    <x:row r="423">
      <x:c r="A423" t="inlineStr">
        <x:is>
          <x:t xml:space="preserve">anthropic|claude-opus-4.5|non-reasoning|nonreasoning|fallback-na|aa-v4.3.2|snapshot-2026-09-28</x:t>
        </x:is>
      </x:c>
      <x:c r="B423" t="inlineStr">
        <x:is>
          <x:t xml:space="preserve">anthropic|claude-opus-4.5|non-reasoning|nonreasoning|fallback-na</x:t>
        </x:is>
      </x:c>
      <x:c r="C423" t="inlineStr">
        <x:is>
          <x:t xml:space="preserve">AA|v4.3.2</x:t>
        </x:is>
      </x:c>
      <x:c r="D423" t="n">
        <x:v>54</x:v>
      </x:c>
      <x:c r="E423" t="n">
        <x:v>52</x:v>
      </x:c>
      <x:c r="F423" t="n">
        <x:f>INDEX(Run_Metrics!$F:$F,D423)</x:f>
        <x:v>24</x:v>
      </x:c>
      <x:c r="G423" t="str">
        <x:f>INDEX(Run_Metrics!$G:$G,D423)</x:f>
      </x:c>
      <x:c r="H423" t="str">
        <x:f>INDEX(Run_Metrics!$I:$I,D423)</x:f>
      </x:c>
      <x:c r="I423" t="n">
        <x:f>IF(F423="","",F423-(E423-1))</x:f>
        <x:v>-27</x:v>
      </x:c>
      <x:c r="J423" t="n">
        <x:f>IF(I423&gt;0,1,0)</x:f>
        <x:v>0</x:v>
      </x:c>
      <x:c r="K423" t="str">
        <x:f>IF(OR(J423=0,G423="",G423=0),"",I423/G423)</x:f>
      </x:c>
      <x:c r="L423" t="str">
        <x:f>IF(OR(J423=0,I423=0,G423=""),"",G423/I423)</x:f>
      </x:c>
      <x:c r="M423" t="str">
        <x:f>IF(OR(J423=0,G423="",H423="",G423=0,H423=0),"",I423/(G423*H423))</x:f>
      </x:c>
      <x:c r="N423" t="str">
        <x:f>IF(K423="","",K423/_xlfn.MAXIFS($K:$K,$E:$E,E423))</x:f>
      </x:c>
      <x:c r="O423" t="str">
        <x:f>IF(M423="","",M423/_xlfn.MAXIFS($M:$M,$E:$E,E423))</x:f>
      </x:c>
      <x:c r="P423" t="str">
        <x:f>IF(OR(N423="",O423=""),"",SQRT(N423*O423))</x:f>
      </x:c>
      <x:c r="Q423" t="str">
        <x:f>IF(OR(N423="",O423=""),"",N423^0.7*O423^0.3)</x:f>
      </x:c>
      <x:c r="R423" t="str">
        <x:f>IF(OR(N423="",O423=""),"",N423^0.3*O423^0.7)</x:f>
      </x:c>
    </x:row>
    <x:row r="424">
      <x:c r="A424" t="inlineStr">
        <x:is>
          <x:t xml:space="preserve">anthropic|claude-opus-4.5|non-reasoning|nonreasoning|fallback-na|aa-v4.3.2|snapshot-2026-09-28</x:t>
        </x:is>
      </x:c>
      <x:c r="B424" t="inlineStr">
        <x:is>
          <x:t xml:space="preserve">anthropic|claude-opus-4.5|non-reasoning|nonreasoning|fallback-na</x:t>
        </x:is>
      </x:c>
      <x:c r="C424" t="inlineStr">
        <x:is>
          <x:t xml:space="preserve">AA|v4.3.2</x:t>
        </x:is>
      </x:c>
      <x:c r="D424" t="n">
        <x:v>54</x:v>
      </x:c>
      <x:c r="E424" t="n">
        <x:v>65</x:v>
      </x:c>
      <x:c r="F424" t="n">
        <x:f>INDEX(Run_Metrics!$F:$F,D424)</x:f>
        <x:v>24</x:v>
      </x:c>
      <x:c r="G424" t="str">
        <x:f>INDEX(Run_Metrics!$G:$G,D424)</x:f>
      </x:c>
      <x:c r="H424" t="str">
        <x:f>INDEX(Run_Metrics!$I:$I,D424)</x:f>
      </x:c>
      <x:c r="I424" t="n">
        <x:f>IF(F424="","",F424-(E424-1))</x:f>
        <x:v>-40</x:v>
      </x:c>
      <x:c r="J424" t="n">
        <x:f>IF(I424&gt;0,1,0)</x:f>
        <x:v>0</x:v>
      </x:c>
      <x:c r="K424" t="str">
        <x:f>IF(OR(J424=0,G424="",G424=0),"",I424/G424)</x:f>
      </x:c>
      <x:c r="L424" t="str">
        <x:f>IF(OR(J424=0,I424=0,G424=""),"",G424/I424)</x:f>
      </x:c>
      <x:c r="M424" t="str">
        <x:f>IF(OR(J424=0,G424="",H424="",G424=0,H424=0),"",I424/(G424*H424))</x:f>
      </x:c>
      <x:c r="N424" t="str">
        <x:f>IF(K424="","",K424/_xlfn.MAXIFS($K:$K,$E:$E,E424))</x:f>
      </x:c>
      <x:c r="O424" t="str">
        <x:f>IF(M424="","",M424/_xlfn.MAXIFS($M:$M,$E:$E,E424))</x:f>
      </x:c>
      <x:c r="P424" t="str">
        <x:f>IF(OR(N424="",O424=""),"",SQRT(N424*O424))</x:f>
      </x:c>
      <x:c r="Q424" t="str">
        <x:f>IF(OR(N424="",O424=""),"",N424^0.7*O424^0.3)</x:f>
      </x:c>
      <x:c r="R424" t="str">
        <x:f>IF(OR(N424="",O424=""),"",N424^0.3*O424^0.7)</x:f>
      </x:c>
    </x:row>
    <x:row r="425">
      <x:c r="A425" t="inlineStr">
        <x:is>
          <x:t xml:space="preserve">anthropic|claude-opus-4.5|non-reasoning|nonreasoning|fallback-na|aa-v4.3.2|snapshot-2026-09-28</x:t>
        </x:is>
      </x:c>
      <x:c r="B425" t="inlineStr">
        <x:is>
          <x:t xml:space="preserve">anthropic|claude-opus-4.5|non-reasoning|nonreasoning|fallback-na</x:t>
        </x:is>
      </x:c>
      <x:c r="C425" t="inlineStr">
        <x:is>
          <x:t xml:space="preserve">AA|v4.3.2</x:t>
        </x:is>
      </x:c>
      <x:c r="D425" t="n">
        <x:v>54</x:v>
      </x:c>
      <x:c r="E425" t="n">
        <x:v>80</x:v>
      </x:c>
      <x:c r="F425" t="n">
        <x:f>INDEX(Run_Metrics!$F:$F,D425)</x:f>
        <x:v>24</x:v>
      </x:c>
      <x:c r="G425" t="str">
        <x:f>INDEX(Run_Metrics!$G:$G,D425)</x:f>
      </x:c>
      <x:c r="H425" t="str">
        <x:f>INDEX(Run_Metrics!$I:$I,D425)</x:f>
      </x:c>
      <x:c r="I425" t="n">
        <x:f>IF(F425="","",F425-(E425-1))</x:f>
        <x:v>-55</x:v>
      </x:c>
      <x:c r="J425" t="n">
        <x:f>IF(I425&gt;0,1,0)</x:f>
        <x:v>0</x:v>
      </x:c>
      <x:c r="K425" t="str">
        <x:f>IF(OR(J425=0,G425="",G425=0),"",I425/G425)</x:f>
      </x:c>
      <x:c r="L425" t="str">
        <x:f>IF(OR(J425=0,I425=0,G425=""),"",G425/I425)</x:f>
      </x:c>
      <x:c r="M425" t="str">
        <x:f>IF(OR(J425=0,G425="",H425="",G425=0,H425=0),"",I425/(G425*H425))</x:f>
      </x:c>
      <x:c r="N425" t="str">
        <x:f>IF(K425="","",K425/_xlfn.MAXIFS($K:$K,$E:$E,E425))</x:f>
      </x:c>
      <x:c r="O425" t="str">
        <x:f>IF(M425="","",M425/_xlfn.MAXIFS($M:$M,$E:$E,E425))</x:f>
      </x:c>
      <x:c r="P425" t="str">
        <x:f>IF(OR(N425="",O425=""),"",SQRT(N425*O425))</x:f>
      </x:c>
      <x:c r="Q425" t="str">
        <x:f>IF(OR(N425="",O425=""),"",N425^0.7*O425^0.3)</x:f>
      </x:c>
      <x:c r="R425" t="str">
        <x:f>IF(OR(N425="",O425=""),"",N425^0.3*O425^0.7)</x:f>
      </x:c>
    </x:row>
    <x:row r="426">
      <x:c r="A426" t="inlineStr">
        <x:is>
          <x:t xml:space="preserve">anthropic|claude-opus-4.5|reasoning|reasoning|fallback-na|aa-v4.3.2|snapshot-2026-09-28</x:t>
        </x:is>
      </x:c>
      <x:c r="B426" t="inlineStr">
        <x:is>
          <x:t xml:space="preserve">anthropic|claude-opus-4.5|reasoning|reasoning|fallback-na</x:t>
        </x:is>
      </x:c>
      <x:c r="C426" t="inlineStr">
        <x:is>
          <x:t xml:space="preserve">AA|v4.3.2</x:t>
        </x:is>
      </x:c>
      <x:c r="D426" t="n">
        <x:v>55</x:v>
      </x:c>
      <x:c r="E426" t="n">
        <x:v>20</x:v>
      </x:c>
      <x:c r="F426" t="n">
        <x:f>INDEX(Run_Metrics!$F:$F,D426)</x:f>
        <x:v>29</x:v>
      </x:c>
      <x:c r="G426" t="str">
        <x:f>INDEX(Run_Metrics!$G:$G,D426)</x:f>
      </x:c>
      <x:c r="H426" t="str">
        <x:f>INDEX(Run_Metrics!$I:$I,D426)</x:f>
      </x:c>
      <x:c r="I426" t="n">
        <x:f>IF(F426="","",F426-(E426-1))</x:f>
        <x:v>10</x:v>
      </x:c>
      <x:c r="J426" t="n">
        <x:f>IF(I426&gt;0,1,0)</x:f>
        <x:v>1</x:v>
      </x:c>
      <x:c r="K426" t="str">
        <x:f>IF(OR(J426=0,G426="",G426=0),"",I426/G426)</x:f>
      </x:c>
      <x:c r="L426" t="str">
        <x:f>IF(OR(J426=0,I426=0,G426=""),"",G426/I426)</x:f>
      </x:c>
      <x:c r="M426" t="str">
        <x:f>IF(OR(J426=0,G426="",H426="",G426=0,H426=0),"",I426/(G426*H426))</x:f>
      </x:c>
      <x:c r="N426" t="str">
        <x:f>IF(K426="","",K426/_xlfn.MAXIFS($K:$K,$E:$E,E426))</x:f>
      </x:c>
      <x:c r="O426" t="str">
        <x:f>IF(M426="","",M426/_xlfn.MAXIFS($M:$M,$E:$E,E426))</x:f>
      </x:c>
      <x:c r="P426" t="str">
        <x:f>IF(OR(N426="",O426=""),"",SQRT(N426*O426))</x:f>
      </x:c>
      <x:c r="Q426" t="str">
        <x:f>IF(OR(N426="",O426=""),"",N426^0.7*O426^0.3)</x:f>
      </x:c>
      <x:c r="R426" t="str">
        <x:f>IF(OR(N426="",O426=""),"",N426^0.3*O426^0.7)</x:f>
      </x:c>
    </x:row>
    <x:row r="427">
      <x:c r="A427" t="inlineStr">
        <x:is>
          <x:t xml:space="preserve">anthropic|claude-opus-4.5|reasoning|reasoning|fallback-na|aa-v4.3.2|snapshot-2026-09-28</x:t>
        </x:is>
      </x:c>
      <x:c r="B427" t="inlineStr">
        <x:is>
          <x:t xml:space="preserve">anthropic|claude-opus-4.5|reasoning|reasoning|fallback-na</x:t>
        </x:is>
      </x:c>
      <x:c r="C427" t="inlineStr">
        <x:is>
          <x:t xml:space="preserve">AA|v4.3.2</x:t>
        </x:is>
      </x:c>
      <x:c r="D427" t="n">
        <x:v>55</x:v>
      </x:c>
      <x:c r="E427" t="n">
        <x:v>30</x:v>
      </x:c>
      <x:c r="F427" t="n">
        <x:f>INDEX(Run_Metrics!$F:$F,D427)</x:f>
        <x:v>29</x:v>
      </x:c>
      <x:c r="G427" t="str">
        <x:f>INDEX(Run_Metrics!$G:$G,D427)</x:f>
      </x:c>
      <x:c r="H427" t="str">
        <x:f>INDEX(Run_Metrics!$I:$I,D427)</x:f>
      </x:c>
      <x:c r="I427" t="n">
        <x:f>IF(F427="","",F427-(E427-1))</x:f>
        <x:v>0</x:v>
      </x:c>
      <x:c r="J427" t="n">
        <x:f>IF(I427&gt;0,1,0)</x:f>
        <x:v>0</x:v>
      </x:c>
      <x:c r="K427" t="str">
        <x:f>IF(OR(J427=0,G427="",G427=0),"",I427/G427)</x:f>
      </x:c>
      <x:c r="L427" t="str">
        <x:f>IF(OR(J427=0,I427=0,G427=""),"",G427/I427)</x:f>
      </x:c>
      <x:c r="M427" t="str">
        <x:f>IF(OR(J427=0,G427="",H427="",G427=0,H427=0),"",I427/(G427*H427))</x:f>
      </x:c>
      <x:c r="N427" t="str">
        <x:f>IF(K427="","",K427/_xlfn.MAXIFS($K:$K,$E:$E,E427))</x:f>
      </x:c>
      <x:c r="O427" t="str">
        <x:f>IF(M427="","",M427/_xlfn.MAXIFS($M:$M,$E:$E,E427))</x:f>
      </x:c>
      <x:c r="P427" t="str">
        <x:f>IF(OR(N427="",O427=""),"",SQRT(N427*O427))</x:f>
      </x:c>
      <x:c r="Q427" t="str">
        <x:f>IF(OR(N427="",O427=""),"",N427^0.7*O427^0.3)</x:f>
      </x:c>
      <x:c r="R427" t="str">
        <x:f>IF(OR(N427="",O427=""),"",N427^0.3*O427^0.7)</x:f>
      </x:c>
    </x:row>
    <x:row r="428">
      <x:c r="A428" t="inlineStr">
        <x:is>
          <x:t xml:space="preserve">anthropic|claude-opus-4.5|reasoning|reasoning|fallback-na|aa-v4.3.2|snapshot-2026-09-28</x:t>
        </x:is>
      </x:c>
      <x:c r="B428" t="inlineStr">
        <x:is>
          <x:t xml:space="preserve">anthropic|claude-opus-4.5|reasoning|reasoning|fallback-na</x:t>
        </x:is>
      </x:c>
      <x:c r="C428" t="inlineStr">
        <x:is>
          <x:t xml:space="preserve">AA|v4.3.2</x:t>
        </x:is>
      </x:c>
      <x:c r="D428" t="n">
        <x:v>55</x:v>
      </x:c>
      <x:c r="E428" t="n">
        <x:v>40</x:v>
      </x:c>
      <x:c r="F428" t="n">
        <x:f>INDEX(Run_Metrics!$F:$F,D428)</x:f>
        <x:v>29</x:v>
      </x:c>
      <x:c r="G428" t="str">
        <x:f>INDEX(Run_Metrics!$G:$G,D428)</x:f>
      </x:c>
      <x:c r="H428" t="str">
        <x:f>INDEX(Run_Metrics!$I:$I,D428)</x:f>
      </x:c>
      <x:c r="I428" t="n">
        <x:f>IF(F428="","",F428-(E428-1))</x:f>
        <x:v>-10</x:v>
      </x:c>
      <x:c r="J428" t="n">
        <x:f>IF(I428&gt;0,1,0)</x:f>
        <x:v>0</x:v>
      </x:c>
      <x:c r="K428" t="str">
        <x:f>IF(OR(J428=0,G428="",G428=0),"",I428/G428)</x:f>
      </x:c>
      <x:c r="L428" t="str">
        <x:f>IF(OR(J428=0,I428=0,G428=""),"",G428/I428)</x:f>
      </x:c>
      <x:c r="M428" t="str">
        <x:f>IF(OR(J428=0,G428="",H428="",G428=0,H428=0),"",I428/(G428*H428))</x:f>
      </x:c>
      <x:c r="N428" t="str">
        <x:f>IF(K428="","",K428/_xlfn.MAXIFS($K:$K,$E:$E,E428))</x:f>
      </x:c>
      <x:c r="O428" t="str">
        <x:f>IF(M428="","",M428/_xlfn.MAXIFS($M:$M,$E:$E,E428))</x:f>
      </x:c>
      <x:c r="P428" t="str">
        <x:f>IF(OR(N428="",O428=""),"",SQRT(N428*O428))</x:f>
      </x:c>
      <x:c r="Q428" t="str">
        <x:f>IF(OR(N428="",O428=""),"",N428^0.7*O428^0.3)</x:f>
      </x:c>
      <x:c r="R428" t="str">
        <x:f>IF(OR(N428="",O428=""),"",N428^0.3*O428^0.7)</x:f>
      </x:c>
    </x:row>
    <x:row r="429">
      <x:c r="A429" t="inlineStr">
        <x:is>
          <x:t xml:space="preserve">anthropic|claude-opus-4.5|reasoning|reasoning|fallback-na|aa-v4.3.2|snapshot-2026-09-28</x:t>
        </x:is>
      </x:c>
      <x:c r="B429" t="inlineStr">
        <x:is>
          <x:t xml:space="preserve">anthropic|claude-opus-4.5|reasoning|reasoning|fallback-na</x:t>
        </x:is>
      </x:c>
      <x:c r="C429" t="inlineStr">
        <x:is>
          <x:t xml:space="preserve">AA|v4.3.2</x:t>
        </x:is>
      </x:c>
      <x:c r="D429" t="n">
        <x:v>55</x:v>
      </x:c>
      <x:c r="E429" t="n">
        <x:v>45</x:v>
      </x:c>
      <x:c r="F429" t="n">
        <x:f>INDEX(Run_Metrics!$F:$F,D429)</x:f>
        <x:v>29</x:v>
      </x:c>
      <x:c r="G429" t="str">
        <x:f>INDEX(Run_Metrics!$G:$G,D429)</x:f>
      </x:c>
      <x:c r="H429" t="str">
        <x:f>INDEX(Run_Metrics!$I:$I,D429)</x:f>
      </x:c>
      <x:c r="I429" t="n">
        <x:f>IF(F429="","",F429-(E429-1))</x:f>
        <x:v>-15</x:v>
      </x:c>
      <x:c r="J429" t="n">
        <x:f>IF(I429&gt;0,1,0)</x:f>
        <x:v>0</x:v>
      </x:c>
      <x:c r="K429" t="str">
        <x:f>IF(OR(J429=0,G429="",G429=0),"",I429/G429)</x:f>
      </x:c>
      <x:c r="L429" t="str">
        <x:f>IF(OR(J429=0,I429=0,G429=""),"",G429/I429)</x:f>
      </x:c>
      <x:c r="M429" t="str">
        <x:f>IF(OR(J429=0,G429="",H429="",G429=0,H429=0),"",I429/(G429*H429))</x:f>
      </x:c>
      <x:c r="N429" t="str">
        <x:f>IF(K429="","",K429/_xlfn.MAXIFS($K:$K,$E:$E,E429))</x:f>
      </x:c>
      <x:c r="O429" t="str">
        <x:f>IF(M429="","",M429/_xlfn.MAXIFS($M:$M,$E:$E,E429))</x:f>
      </x:c>
      <x:c r="P429" t="str">
        <x:f>IF(OR(N429="",O429=""),"",SQRT(N429*O429))</x:f>
      </x:c>
      <x:c r="Q429" t="str">
        <x:f>IF(OR(N429="",O429=""),"",N429^0.7*O429^0.3)</x:f>
      </x:c>
      <x:c r="R429" t="str">
        <x:f>IF(OR(N429="",O429=""),"",N429^0.3*O429^0.7)</x:f>
      </x:c>
    </x:row>
    <x:row r="430">
      <x:c r="A430" t="inlineStr">
        <x:is>
          <x:t xml:space="preserve">anthropic|claude-opus-4.5|reasoning|reasoning|fallback-na|aa-v4.3.2|snapshot-2026-09-28</x:t>
        </x:is>
      </x:c>
      <x:c r="B430" t="inlineStr">
        <x:is>
          <x:t xml:space="preserve">anthropic|claude-opus-4.5|reasoning|reasoning|fallback-na</x:t>
        </x:is>
      </x:c>
      <x:c r="C430" t="inlineStr">
        <x:is>
          <x:t xml:space="preserve">AA|v4.3.2</x:t>
        </x:is>
      </x:c>
      <x:c r="D430" t="n">
        <x:v>55</x:v>
      </x:c>
      <x:c r="E430" t="n">
        <x:v>50</x:v>
      </x:c>
      <x:c r="F430" t="n">
        <x:f>INDEX(Run_Metrics!$F:$F,D430)</x:f>
        <x:v>29</x:v>
      </x:c>
      <x:c r="G430" t="str">
        <x:f>INDEX(Run_Metrics!$G:$G,D430)</x:f>
      </x:c>
      <x:c r="H430" t="str">
        <x:f>INDEX(Run_Metrics!$I:$I,D430)</x:f>
      </x:c>
      <x:c r="I430" t="n">
        <x:f>IF(F430="","",F430-(E430-1))</x:f>
        <x:v>-20</x:v>
      </x:c>
      <x:c r="J430" t="n">
        <x:f>IF(I430&gt;0,1,0)</x:f>
        <x:v>0</x:v>
      </x:c>
      <x:c r="K430" t="str">
        <x:f>IF(OR(J430=0,G430="",G430=0),"",I430/G430)</x:f>
      </x:c>
      <x:c r="L430" t="str">
        <x:f>IF(OR(J430=0,I430=0,G430=""),"",G430/I430)</x:f>
      </x:c>
      <x:c r="M430" t="str">
        <x:f>IF(OR(J430=0,G430="",H430="",G430=0,H430=0),"",I430/(G430*H430))</x:f>
      </x:c>
      <x:c r="N430" t="str">
        <x:f>IF(K430="","",K430/_xlfn.MAXIFS($K:$K,$E:$E,E430))</x:f>
      </x:c>
      <x:c r="O430" t="str">
        <x:f>IF(M430="","",M430/_xlfn.MAXIFS($M:$M,$E:$E,E430))</x:f>
      </x:c>
      <x:c r="P430" t="str">
        <x:f>IF(OR(N430="",O430=""),"",SQRT(N430*O430))</x:f>
      </x:c>
      <x:c r="Q430" t="str">
        <x:f>IF(OR(N430="",O430=""),"",N430^0.7*O430^0.3)</x:f>
      </x:c>
      <x:c r="R430" t="str">
        <x:f>IF(OR(N430="",O430=""),"",N430^0.3*O430^0.7)</x:f>
      </x:c>
    </x:row>
    <x:row r="431">
      <x:c r="A431" t="inlineStr">
        <x:is>
          <x:t xml:space="preserve">anthropic|claude-opus-4.5|reasoning|reasoning|fallback-na|aa-v4.3.2|snapshot-2026-09-28</x:t>
        </x:is>
      </x:c>
      <x:c r="B431" t="inlineStr">
        <x:is>
          <x:t xml:space="preserve">anthropic|claude-opus-4.5|reasoning|reasoning|fallback-na</x:t>
        </x:is>
      </x:c>
      <x:c r="C431" t="inlineStr">
        <x:is>
          <x:t xml:space="preserve">AA|v4.3.2</x:t>
        </x:is>
      </x:c>
      <x:c r="D431" t="n">
        <x:v>55</x:v>
      </x:c>
      <x:c r="E431" t="n">
        <x:v>52</x:v>
      </x:c>
      <x:c r="F431" t="n">
        <x:f>INDEX(Run_Metrics!$F:$F,D431)</x:f>
        <x:v>29</x:v>
      </x:c>
      <x:c r="G431" t="str">
        <x:f>INDEX(Run_Metrics!$G:$G,D431)</x:f>
      </x:c>
      <x:c r="H431" t="str">
        <x:f>INDEX(Run_Metrics!$I:$I,D431)</x:f>
      </x:c>
      <x:c r="I431" t="n">
        <x:f>IF(F431="","",F431-(E431-1))</x:f>
        <x:v>-22</x:v>
      </x:c>
      <x:c r="J431" t="n">
        <x:f>IF(I431&gt;0,1,0)</x:f>
        <x:v>0</x:v>
      </x:c>
      <x:c r="K431" t="str">
        <x:f>IF(OR(J431=0,G431="",G431=0),"",I431/G431)</x:f>
      </x:c>
      <x:c r="L431" t="str">
        <x:f>IF(OR(J431=0,I431=0,G431=""),"",G431/I431)</x:f>
      </x:c>
      <x:c r="M431" t="str">
        <x:f>IF(OR(J431=0,G431="",H431="",G431=0,H431=0),"",I431/(G431*H431))</x:f>
      </x:c>
      <x:c r="N431" t="str">
        <x:f>IF(K431="","",K431/_xlfn.MAXIFS($K:$K,$E:$E,E431))</x:f>
      </x:c>
      <x:c r="O431" t="str">
        <x:f>IF(M431="","",M431/_xlfn.MAXIFS($M:$M,$E:$E,E431))</x:f>
      </x:c>
      <x:c r="P431" t="str">
        <x:f>IF(OR(N431="",O431=""),"",SQRT(N431*O431))</x:f>
      </x:c>
      <x:c r="Q431" t="str">
        <x:f>IF(OR(N431="",O431=""),"",N431^0.7*O431^0.3)</x:f>
      </x:c>
      <x:c r="R431" t="str">
        <x:f>IF(OR(N431="",O431=""),"",N431^0.3*O431^0.7)</x:f>
      </x:c>
    </x:row>
    <x:row r="432">
      <x:c r="A432" t="inlineStr">
        <x:is>
          <x:t xml:space="preserve">anthropic|claude-opus-4.5|reasoning|reasoning|fallback-na|aa-v4.3.2|snapshot-2026-09-28</x:t>
        </x:is>
      </x:c>
      <x:c r="B432" t="inlineStr">
        <x:is>
          <x:t xml:space="preserve">anthropic|claude-opus-4.5|reasoning|reasoning|fallback-na</x:t>
        </x:is>
      </x:c>
      <x:c r="C432" t="inlineStr">
        <x:is>
          <x:t xml:space="preserve">AA|v4.3.2</x:t>
        </x:is>
      </x:c>
      <x:c r="D432" t="n">
        <x:v>55</x:v>
      </x:c>
      <x:c r="E432" t="n">
        <x:v>65</x:v>
      </x:c>
      <x:c r="F432" t="n">
        <x:f>INDEX(Run_Metrics!$F:$F,D432)</x:f>
        <x:v>29</x:v>
      </x:c>
      <x:c r="G432" t="str">
        <x:f>INDEX(Run_Metrics!$G:$G,D432)</x:f>
      </x:c>
      <x:c r="H432" t="str">
        <x:f>INDEX(Run_Metrics!$I:$I,D432)</x:f>
      </x:c>
      <x:c r="I432" t="n">
        <x:f>IF(F432="","",F432-(E432-1))</x:f>
        <x:v>-35</x:v>
      </x:c>
      <x:c r="J432" t="n">
        <x:f>IF(I432&gt;0,1,0)</x:f>
        <x:v>0</x:v>
      </x:c>
      <x:c r="K432" t="str">
        <x:f>IF(OR(J432=0,G432="",G432=0),"",I432/G432)</x:f>
      </x:c>
      <x:c r="L432" t="str">
        <x:f>IF(OR(J432=0,I432=0,G432=""),"",G432/I432)</x:f>
      </x:c>
      <x:c r="M432" t="str">
        <x:f>IF(OR(J432=0,G432="",H432="",G432=0,H432=0),"",I432/(G432*H432))</x:f>
      </x:c>
      <x:c r="N432" t="str">
        <x:f>IF(K432="","",K432/_xlfn.MAXIFS($K:$K,$E:$E,E432))</x:f>
      </x:c>
      <x:c r="O432" t="str">
        <x:f>IF(M432="","",M432/_xlfn.MAXIFS($M:$M,$E:$E,E432))</x:f>
      </x:c>
      <x:c r="P432" t="str">
        <x:f>IF(OR(N432="",O432=""),"",SQRT(N432*O432))</x:f>
      </x:c>
      <x:c r="Q432" t="str">
        <x:f>IF(OR(N432="",O432=""),"",N432^0.7*O432^0.3)</x:f>
      </x:c>
      <x:c r="R432" t="str">
        <x:f>IF(OR(N432="",O432=""),"",N432^0.3*O432^0.7)</x:f>
      </x:c>
    </x:row>
    <x:row r="433">
      <x:c r="A433" t="inlineStr">
        <x:is>
          <x:t xml:space="preserve">anthropic|claude-opus-4.5|reasoning|reasoning|fallback-na|aa-v4.3.2|snapshot-2026-09-28</x:t>
        </x:is>
      </x:c>
      <x:c r="B433" t="inlineStr">
        <x:is>
          <x:t xml:space="preserve">anthropic|claude-opus-4.5|reasoning|reasoning|fallback-na</x:t>
        </x:is>
      </x:c>
      <x:c r="C433" t="inlineStr">
        <x:is>
          <x:t xml:space="preserve">AA|v4.3.2</x:t>
        </x:is>
      </x:c>
      <x:c r="D433" t="n">
        <x:v>55</x:v>
      </x:c>
      <x:c r="E433" t="n">
        <x:v>80</x:v>
      </x:c>
      <x:c r="F433" t="n">
        <x:f>INDEX(Run_Metrics!$F:$F,D433)</x:f>
        <x:v>29</x:v>
      </x:c>
      <x:c r="G433" t="str">
        <x:f>INDEX(Run_Metrics!$G:$G,D433)</x:f>
      </x:c>
      <x:c r="H433" t="str">
        <x:f>INDEX(Run_Metrics!$I:$I,D433)</x:f>
      </x:c>
      <x:c r="I433" t="n">
        <x:f>IF(F433="","",F433-(E433-1))</x:f>
        <x:v>-50</x:v>
      </x:c>
      <x:c r="J433" t="n">
        <x:f>IF(I433&gt;0,1,0)</x:f>
        <x:v>0</x:v>
      </x:c>
      <x:c r="K433" t="str">
        <x:f>IF(OR(J433=0,G433="",G433=0),"",I433/G433)</x:f>
      </x:c>
      <x:c r="L433" t="str">
        <x:f>IF(OR(J433=0,I433=0,G433=""),"",G433/I433)</x:f>
      </x:c>
      <x:c r="M433" t="str">
        <x:f>IF(OR(J433=0,G433="",H433="",G433=0,H433=0),"",I433/(G433*H433))</x:f>
      </x:c>
      <x:c r="N433" t="str">
        <x:f>IF(K433="","",K433/_xlfn.MAXIFS($K:$K,$E:$E,E433))</x:f>
      </x:c>
      <x:c r="O433" t="str">
        <x:f>IF(M433="","",M433/_xlfn.MAXIFS($M:$M,$E:$E,E433))</x:f>
      </x:c>
      <x:c r="P433" t="str">
        <x:f>IF(OR(N433="",O433=""),"",SQRT(N433*O433))</x:f>
      </x:c>
      <x:c r="Q433" t="str">
        <x:f>IF(OR(N433="",O433=""),"",N433^0.7*O433^0.3)</x:f>
      </x:c>
      <x:c r="R433" t="str">
        <x:f>IF(OR(N433="",O433=""),"",N433^0.3*O433^0.7)</x:f>
      </x:c>
    </x:row>
    <x:row r="434">
      <x:c r="A434" t="inlineStr">
        <x:is>
          <x:t xml:space="preserve">z-ai|glm-5.3-flash|reasoning|reasoning|fallback-na|aa-v4.3.2|snapshot-2026-09-28</x:t>
        </x:is>
      </x:c>
      <x:c r="B434" t="inlineStr">
        <x:is>
          <x:t xml:space="preserve">z-ai|glm-5.3-flash|reasoning|reasoning|fallback-na</x:t>
        </x:is>
      </x:c>
      <x:c r="C434" t="inlineStr">
        <x:is>
          <x:t xml:space="preserve">AA|v4.3.2</x:t>
        </x:is>
      </x:c>
      <x:c r="D434" t="n">
        <x:v>56</x:v>
      </x:c>
      <x:c r="E434" t="n">
        <x:v>20</x:v>
      </x:c>
      <x:c r="F434" t="n">
        <x:f>INDEX(Run_Metrics!$F:$F,D434)</x:f>
        <x:v>42</x:v>
      </x:c>
      <x:c r="G434" t="n">
        <x:f>INDEX(Run_Metrics!$G:$G,D434)</x:f>
        <x:v>0.25</x:v>
      </x:c>
      <x:c r="H434" t="n">
        <x:f>INDEX(Run_Metrics!$I:$I,D434)</x:f>
        <x:v>16.402333333333335</x:v>
      </x:c>
      <x:c r="I434" t="n">
        <x:f>IF(F434="","",F434-(E434-1))</x:f>
        <x:v>23</x:v>
      </x:c>
      <x:c r="J434" t="n">
        <x:f>IF(I434&gt;0,1,0)</x:f>
        <x:v>1</x:v>
      </x:c>
      <x:c r="K434" t="n">
        <x:f>IF(OR(J434=0,G434="",G434=0),"",I434/G434)</x:f>
        <x:v>92</x:v>
      </x:c>
      <x:c r="L434" t="n">
        <x:f>IF(OR(J434=0,I434=0,G434=""),"",G434/I434)</x:f>
        <x:v>0.010869565217391304</x:v>
      </x:c>
      <x:c r="M434" t="n">
        <x:f>IF(OR(J434=0,G434="",H434="",G434=0,H434=0),"",I434/(G434*H434))</x:f>
        <x:v>5.608958075070619</x:v>
      </x:c>
      <x:c r="N434" t="n">
        <x:f>IF(K434="","",K434/_xlfn.MAXIFS($K:$K,$E:$E,E434))</x:f>
        <x:v>0.13799999999999998</x:v>
      </x:c>
      <x:c r="O434" t="n">
        <x:f>IF(M434="","",M434/_xlfn.MAXIFS($M:$M,$E:$E,E434))</x:f>
        <x:v>0.0029720466600280443</x:v>
      </x:c>
      <x:c r="P434" t="n">
        <x:f>IF(OR(N434="",O434=""),"",SQRT(N434*O434))</x:f>
        <x:v>0.020251973708354208</x:v>
      </x:c>
      <x:c r="Q434" t="n">
        <x:f>IF(OR(N434="",O434=""),"",N434^0.7*O434^0.3)</x:f>
        <x:v>0.04363470533283216</x:v>
      </x:c>
      <x:c r="R434" t="n">
        <x:f>IF(OR(N434="",O434=""),"",N434^0.3*O434^0.7)</x:f>
        <x:v>0.009399454767837422</x:v>
      </x:c>
    </x:row>
    <x:row r="435">
      <x:c r="A435" t="inlineStr">
        <x:is>
          <x:t xml:space="preserve">z-ai|glm-5.3-flash|reasoning|reasoning|fallback-na|aa-v4.3.2|snapshot-2026-09-28</x:t>
        </x:is>
      </x:c>
      <x:c r="B435" t="inlineStr">
        <x:is>
          <x:t xml:space="preserve">z-ai|glm-5.3-flash|reasoning|reasoning|fallback-na</x:t>
        </x:is>
      </x:c>
      <x:c r="C435" t="inlineStr">
        <x:is>
          <x:t xml:space="preserve">AA|v4.3.2</x:t>
        </x:is>
      </x:c>
      <x:c r="D435" t="n">
        <x:v>56</x:v>
      </x:c>
      <x:c r="E435" t="n">
        <x:v>30</x:v>
      </x:c>
      <x:c r="F435" t="n">
        <x:f>INDEX(Run_Metrics!$F:$F,D435)</x:f>
        <x:v>42</x:v>
      </x:c>
      <x:c r="G435" t="n">
        <x:f>INDEX(Run_Metrics!$G:$G,D435)</x:f>
        <x:v>0.25</x:v>
      </x:c>
      <x:c r="H435" t="n">
        <x:f>INDEX(Run_Metrics!$I:$I,D435)</x:f>
        <x:v>16.402333333333335</x:v>
      </x:c>
      <x:c r="I435" t="n">
        <x:f>IF(F435="","",F435-(E435-1))</x:f>
        <x:v>13</x:v>
      </x:c>
      <x:c r="J435" t="n">
        <x:f>IF(I435&gt;0,1,0)</x:f>
        <x:v>1</x:v>
      </x:c>
      <x:c r="K435" t="n">
        <x:f>IF(OR(J435=0,G435="",G435=0),"",I435/G435)</x:f>
        <x:v>52</x:v>
      </x:c>
      <x:c r="L435" t="n">
        <x:f>IF(OR(J435=0,I435=0,G435=""),"",G435/I435)</x:f>
        <x:v>0.019230769230769232</x:v>
      </x:c>
      <x:c r="M435" t="n">
        <x:f>IF(OR(J435=0,G435="",H435="",G435=0,H435=0),"",I435/(G435*H435))</x:f>
        <x:v>3.170280651126872</x:v>
      </x:c>
      <x:c r="N435" t="n">
        <x:f>IF(K435="","",K435/_xlfn.MAXIFS($K:$K,$E:$E,E435))</x:f>
        <x:v>0.3466666666666667</x:v>
      </x:c>
      <x:c r="O435" t="n">
        <x:f>IF(M435="","",M435/_xlfn.MAXIFS($M:$M,$E:$E,E435))</x:f>
        <x:v>0.05642148474810495</x:v>
      </x:c>
      <x:c r="P435" t="n">
        <x:f>IF(OR(N435="",O435=""),"",SQRT(N435*O435))</x:f>
        <x:v>0.13985509660362655</x:v>
      </x:c>
      <x:c r="Q435" t="n">
        <x:f>IF(OR(N435="",O435=""),"",N435^0.7*O435^0.3)</x:f>
        <x:v>0.20108135929890927</x:v>
      </x:c>
      <x:c r="R435" t="n">
        <x:f>IF(OR(N435="",O435=""),"",N435^0.3*O435^0.7)</x:f>
        <x:v>0.09727131403032949</x:v>
      </x:c>
    </x:row>
    <x:row r="436">
      <x:c r="A436" t="inlineStr">
        <x:is>
          <x:t xml:space="preserve">z-ai|glm-5.3-flash|reasoning|reasoning|fallback-na|aa-v4.3.2|snapshot-2026-09-28</x:t>
        </x:is>
      </x:c>
      <x:c r="B436" t="inlineStr">
        <x:is>
          <x:t xml:space="preserve">z-ai|glm-5.3-flash|reasoning|reasoning|fallback-na</x:t>
        </x:is>
      </x:c>
      <x:c r="C436" t="inlineStr">
        <x:is>
          <x:t xml:space="preserve">AA|v4.3.2</x:t>
        </x:is>
      </x:c>
      <x:c r="D436" t="n">
        <x:v>56</x:v>
      </x:c>
      <x:c r="E436" t="n">
        <x:v>40</x:v>
      </x:c>
      <x:c r="F436" t="n">
        <x:f>INDEX(Run_Metrics!$F:$F,D436)</x:f>
        <x:v>42</x:v>
      </x:c>
      <x:c r="G436" t="n">
        <x:f>INDEX(Run_Metrics!$G:$G,D436)</x:f>
        <x:v>0.25</x:v>
      </x:c>
      <x:c r="H436" t="n">
        <x:f>INDEX(Run_Metrics!$I:$I,D436)</x:f>
        <x:v>16.402333333333335</x:v>
      </x:c>
      <x:c r="I436" t="n">
        <x:f>IF(F436="","",F436-(E436-1))</x:f>
        <x:v>3</x:v>
      </x:c>
      <x:c r="J436" t="n">
        <x:f>IF(I436&gt;0,1,0)</x:f>
        <x:v>1</x:v>
      </x:c>
      <x:c r="K436" t="n">
        <x:f>IF(OR(J436=0,G436="",G436=0),"",I436/G436)</x:f>
        <x:v>12</x:v>
      </x:c>
      <x:c r="L436" t="n">
        <x:f>IF(OR(J436=0,I436=0,G436=""),"",G436/I436)</x:f>
        <x:v>0.08333333333333333</x:v>
      </x:c>
      <x:c r="M436" t="n">
        <x:f>IF(OR(J436=0,G436="",H436="",G436=0,H436=0),"",I436/(G436*H436))</x:f>
        <x:v>0.7316032271831243</x:v>
      </x:c>
      <x:c r="N436" t="n">
        <x:f>IF(K436="","",K436/_xlfn.MAXIFS($K:$K,$E:$E,E436))</x:f>
        <x:v>0.22285714285714286</x:v>
      </x:c>
      <x:c r="O436" t="n">
        <x:f>IF(M436="","",M436/_xlfn.MAXIFS($M:$M,$E:$E,E436))</x:f>
        <x:v>0.1213970137814306</x:v>
      </x:c>
      <x:c r="P436" t="n">
        <x:f>IF(OR(N436="",O436=""),"",SQRT(N436*O436))</x:f>
        <x:v>0.16448158450938763</x:v>
      </x:c>
      <x:c r="Q436" t="n">
        <x:f>IF(OR(N436="",O436=""),"",N436^0.7*O436^0.3)</x:f>
        <x:v>0.185729543787613</x:v>
      </x:c>
      <x:c r="R436" t="n">
        <x:f>IF(OR(N436="",O436=""),"",N436^0.3*O436^0.7)</x:f>
        <x:v>0.14566444891317912</x:v>
      </x:c>
    </x:row>
    <x:row r="437">
      <x:c r="A437" t="inlineStr">
        <x:is>
          <x:t xml:space="preserve">z-ai|glm-5.3-flash|reasoning|reasoning|fallback-na|aa-v4.3.2|snapshot-2026-09-28</x:t>
        </x:is>
      </x:c>
      <x:c r="B437" t="inlineStr">
        <x:is>
          <x:t xml:space="preserve">z-ai|glm-5.3-flash|reasoning|reasoning|fallback-na</x:t>
        </x:is>
      </x:c>
      <x:c r="C437" t="inlineStr">
        <x:is>
          <x:t xml:space="preserve">AA|v4.3.2</x:t>
        </x:is>
      </x:c>
      <x:c r="D437" t="n">
        <x:v>56</x:v>
      </x:c>
      <x:c r="E437" t="n">
        <x:v>45</x:v>
      </x:c>
      <x:c r="F437" t="n">
        <x:f>INDEX(Run_Metrics!$F:$F,D437)</x:f>
        <x:v>42</x:v>
      </x:c>
      <x:c r="G437" t="n">
        <x:f>INDEX(Run_Metrics!$G:$G,D437)</x:f>
        <x:v>0.25</x:v>
      </x:c>
      <x:c r="H437" t="n">
        <x:f>INDEX(Run_Metrics!$I:$I,D437)</x:f>
        <x:v>16.402333333333335</x:v>
      </x:c>
      <x:c r="I437" t="n">
        <x:f>IF(F437="","",F437-(E437-1))</x:f>
        <x:v>-2</x:v>
      </x:c>
      <x:c r="J437" t="n">
        <x:f>IF(I437&gt;0,1,0)</x:f>
        <x:v>0</x:v>
      </x:c>
      <x:c r="K437" t="str">
        <x:f>IF(OR(J437=0,G437="",G437=0),"",I437/G437)</x:f>
      </x:c>
      <x:c r="L437" t="str">
        <x:f>IF(OR(J437=0,I437=0,G437=""),"",G437/I437)</x:f>
      </x:c>
      <x:c r="M437" t="str">
        <x:f>IF(OR(J437=0,G437="",H437="",G437=0,H437=0),"",I437/(G437*H437))</x:f>
      </x:c>
      <x:c r="N437" t="str">
        <x:f>IF(K437="","",K437/_xlfn.MAXIFS($K:$K,$E:$E,E437))</x:f>
      </x:c>
      <x:c r="O437" t="str">
        <x:f>IF(M437="","",M437/_xlfn.MAXIFS($M:$M,$E:$E,E437))</x:f>
      </x:c>
      <x:c r="P437" t="str">
        <x:f>IF(OR(N437="",O437=""),"",SQRT(N437*O437))</x:f>
      </x:c>
      <x:c r="Q437" t="str">
        <x:f>IF(OR(N437="",O437=""),"",N437^0.7*O437^0.3)</x:f>
      </x:c>
      <x:c r="R437" t="str">
        <x:f>IF(OR(N437="",O437=""),"",N437^0.3*O437^0.7)</x:f>
      </x:c>
    </x:row>
    <x:row r="438">
      <x:c r="A438" t="inlineStr">
        <x:is>
          <x:t xml:space="preserve">z-ai|glm-5.3-flash|reasoning|reasoning|fallback-na|aa-v4.3.2|snapshot-2026-09-28</x:t>
        </x:is>
      </x:c>
      <x:c r="B438" t="inlineStr">
        <x:is>
          <x:t xml:space="preserve">z-ai|glm-5.3-flash|reasoning|reasoning|fallback-na</x:t>
        </x:is>
      </x:c>
      <x:c r="C438" t="inlineStr">
        <x:is>
          <x:t xml:space="preserve">AA|v4.3.2</x:t>
        </x:is>
      </x:c>
      <x:c r="D438" t="n">
        <x:v>56</x:v>
      </x:c>
      <x:c r="E438" t="n">
        <x:v>50</x:v>
      </x:c>
      <x:c r="F438" t="n">
        <x:f>INDEX(Run_Metrics!$F:$F,D438)</x:f>
        <x:v>42</x:v>
      </x:c>
      <x:c r="G438" t="n">
        <x:f>INDEX(Run_Metrics!$G:$G,D438)</x:f>
        <x:v>0.25</x:v>
      </x:c>
      <x:c r="H438" t="n">
        <x:f>INDEX(Run_Metrics!$I:$I,D438)</x:f>
        <x:v>16.402333333333335</x:v>
      </x:c>
      <x:c r="I438" t="n">
        <x:f>IF(F438="","",F438-(E438-1))</x:f>
        <x:v>-7</x:v>
      </x:c>
      <x:c r="J438" t="n">
        <x:f>IF(I438&gt;0,1,0)</x:f>
        <x:v>0</x:v>
      </x:c>
      <x:c r="K438" t="str">
        <x:f>IF(OR(J438=0,G438="",G438=0),"",I438/G438)</x:f>
      </x:c>
      <x:c r="L438" t="str">
        <x:f>IF(OR(J438=0,I438=0,G438=""),"",G438/I438)</x:f>
      </x:c>
      <x:c r="M438" t="str">
        <x:f>IF(OR(J438=0,G438="",H438="",G438=0,H438=0),"",I438/(G438*H438))</x:f>
      </x:c>
      <x:c r="N438" t="str">
        <x:f>IF(K438="","",K438/_xlfn.MAXIFS($K:$K,$E:$E,E438))</x:f>
      </x:c>
      <x:c r="O438" t="str">
        <x:f>IF(M438="","",M438/_xlfn.MAXIFS($M:$M,$E:$E,E438))</x:f>
      </x:c>
      <x:c r="P438" t="str">
        <x:f>IF(OR(N438="",O438=""),"",SQRT(N438*O438))</x:f>
      </x:c>
      <x:c r="Q438" t="str">
        <x:f>IF(OR(N438="",O438=""),"",N438^0.7*O438^0.3)</x:f>
      </x:c>
      <x:c r="R438" t="str">
        <x:f>IF(OR(N438="",O438=""),"",N438^0.3*O438^0.7)</x:f>
      </x:c>
    </x:row>
    <x:row r="439">
      <x:c r="A439" t="inlineStr">
        <x:is>
          <x:t xml:space="preserve">z-ai|glm-5.3-flash|reasoning|reasoning|fallback-na|aa-v4.3.2|snapshot-2026-09-28</x:t>
        </x:is>
      </x:c>
      <x:c r="B439" t="inlineStr">
        <x:is>
          <x:t xml:space="preserve">z-ai|glm-5.3-flash|reasoning|reasoning|fallback-na</x:t>
        </x:is>
      </x:c>
      <x:c r="C439" t="inlineStr">
        <x:is>
          <x:t xml:space="preserve">AA|v4.3.2</x:t>
        </x:is>
      </x:c>
      <x:c r="D439" t="n">
        <x:v>56</x:v>
      </x:c>
      <x:c r="E439" t="n">
        <x:v>52</x:v>
      </x:c>
      <x:c r="F439" t="n">
        <x:f>INDEX(Run_Metrics!$F:$F,D439)</x:f>
        <x:v>42</x:v>
      </x:c>
      <x:c r="G439" t="n">
        <x:f>INDEX(Run_Metrics!$G:$G,D439)</x:f>
        <x:v>0.25</x:v>
      </x:c>
      <x:c r="H439" t="n">
        <x:f>INDEX(Run_Metrics!$I:$I,D439)</x:f>
        <x:v>16.402333333333335</x:v>
      </x:c>
      <x:c r="I439" t="n">
        <x:f>IF(F439="","",F439-(E439-1))</x:f>
        <x:v>-9</x:v>
      </x:c>
      <x:c r="J439" t="n">
        <x:f>IF(I439&gt;0,1,0)</x:f>
        <x:v>0</x:v>
      </x:c>
      <x:c r="K439" t="str">
        <x:f>IF(OR(J439=0,G439="",G439=0),"",I439/G439)</x:f>
      </x:c>
      <x:c r="L439" t="str">
        <x:f>IF(OR(J439=0,I439=0,G439=""),"",G439/I439)</x:f>
      </x:c>
      <x:c r="M439" t="str">
        <x:f>IF(OR(J439=0,G439="",H439="",G439=0,H439=0),"",I439/(G439*H439))</x:f>
      </x:c>
      <x:c r="N439" t="str">
        <x:f>IF(K439="","",K439/_xlfn.MAXIFS($K:$K,$E:$E,E439))</x:f>
      </x:c>
      <x:c r="O439" t="str">
        <x:f>IF(M439="","",M439/_xlfn.MAXIFS($M:$M,$E:$E,E439))</x:f>
      </x:c>
      <x:c r="P439" t="str">
        <x:f>IF(OR(N439="",O439=""),"",SQRT(N439*O439))</x:f>
      </x:c>
      <x:c r="Q439" t="str">
        <x:f>IF(OR(N439="",O439=""),"",N439^0.7*O439^0.3)</x:f>
      </x:c>
      <x:c r="R439" t="str">
        <x:f>IF(OR(N439="",O439=""),"",N439^0.3*O439^0.7)</x:f>
      </x:c>
    </x:row>
    <x:row r="440">
      <x:c r="A440" t="inlineStr">
        <x:is>
          <x:t xml:space="preserve">z-ai|glm-5.3-flash|reasoning|reasoning|fallback-na|aa-v4.3.2|snapshot-2026-09-28</x:t>
        </x:is>
      </x:c>
      <x:c r="B440" t="inlineStr">
        <x:is>
          <x:t xml:space="preserve">z-ai|glm-5.3-flash|reasoning|reasoning|fallback-na</x:t>
        </x:is>
      </x:c>
      <x:c r="C440" t="inlineStr">
        <x:is>
          <x:t xml:space="preserve">AA|v4.3.2</x:t>
        </x:is>
      </x:c>
      <x:c r="D440" t="n">
        <x:v>56</x:v>
      </x:c>
      <x:c r="E440" t="n">
        <x:v>65</x:v>
      </x:c>
      <x:c r="F440" t="n">
        <x:f>INDEX(Run_Metrics!$F:$F,D440)</x:f>
        <x:v>42</x:v>
      </x:c>
      <x:c r="G440" t="n">
        <x:f>INDEX(Run_Metrics!$G:$G,D440)</x:f>
        <x:v>0.25</x:v>
      </x:c>
      <x:c r="H440" t="n">
        <x:f>INDEX(Run_Metrics!$I:$I,D440)</x:f>
        <x:v>16.402333333333335</x:v>
      </x:c>
      <x:c r="I440" t="n">
        <x:f>IF(F440="","",F440-(E440-1))</x:f>
        <x:v>-22</x:v>
      </x:c>
      <x:c r="J440" t="n">
        <x:f>IF(I440&gt;0,1,0)</x:f>
        <x:v>0</x:v>
      </x:c>
      <x:c r="K440" t="str">
        <x:f>IF(OR(J440=0,G440="",G440=0),"",I440/G440)</x:f>
      </x:c>
      <x:c r="L440" t="str">
        <x:f>IF(OR(J440=0,I440=0,G440=""),"",G440/I440)</x:f>
      </x:c>
      <x:c r="M440" t="str">
        <x:f>IF(OR(J440=0,G440="",H440="",G440=0,H440=0),"",I440/(G440*H440))</x:f>
      </x:c>
      <x:c r="N440" t="str">
        <x:f>IF(K440="","",K440/_xlfn.MAXIFS($K:$K,$E:$E,E440))</x:f>
      </x:c>
      <x:c r="O440" t="str">
        <x:f>IF(M440="","",M440/_xlfn.MAXIFS($M:$M,$E:$E,E440))</x:f>
      </x:c>
      <x:c r="P440" t="str">
        <x:f>IF(OR(N440="",O440=""),"",SQRT(N440*O440))</x:f>
      </x:c>
      <x:c r="Q440" t="str">
        <x:f>IF(OR(N440="",O440=""),"",N440^0.7*O440^0.3)</x:f>
      </x:c>
      <x:c r="R440" t="str">
        <x:f>IF(OR(N440="",O440=""),"",N440^0.3*O440^0.7)</x:f>
      </x:c>
    </x:row>
    <x:row r="441">
      <x:c r="A441" t="inlineStr">
        <x:is>
          <x:t xml:space="preserve">z-ai|glm-5.3-flash|reasoning|reasoning|fallback-na|aa-v4.3.2|snapshot-2026-09-28</x:t>
        </x:is>
      </x:c>
      <x:c r="B441" t="inlineStr">
        <x:is>
          <x:t xml:space="preserve">z-ai|glm-5.3-flash|reasoning|reasoning|fallback-na</x:t>
        </x:is>
      </x:c>
      <x:c r="C441" t="inlineStr">
        <x:is>
          <x:t xml:space="preserve">AA|v4.3.2</x:t>
        </x:is>
      </x:c>
      <x:c r="D441" t="n">
        <x:v>56</x:v>
      </x:c>
      <x:c r="E441" t="n">
        <x:v>80</x:v>
      </x:c>
      <x:c r="F441" t="n">
        <x:f>INDEX(Run_Metrics!$F:$F,D441)</x:f>
        <x:v>42</x:v>
      </x:c>
      <x:c r="G441" t="n">
        <x:f>INDEX(Run_Metrics!$G:$G,D441)</x:f>
        <x:v>0.25</x:v>
      </x:c>
      <x:c r="H441" t="n">
        <x:f>INDEX(Run_Metrics!$I:$I,D441)</x:f>
        <x:v>16.402333333333335</x:v>
      </x:c>
      <x:c r="I441" t="n">
        <x:f>IF(F441="","",F441-(E441-1))</x:f>
        <x:v>-37</x:v>
      </x:c>
      <x:c r="J441" t="n">
        <x:f>IF(I441&gt;0,1,0)</x:f>
        <x:v>0</x:v>
      </x:c>
      <x:c r="K441" t="str">
        <x:f>IF(OR(J441=0,G441="",G441=0),"",I441/G441)</x:f>
      </x:c>
      <x:c r="L441" t="str">
        <x:f>IF(OR(J441=0,I441=0,G441=""),"",G441/I441)</x:f>
      </x:c>
      <x:c r="M441" t="str">
        <x:f>IF(OR(J441=0,G441="",H441="",G441=0,H441=0),"",I441/(G441*H441))</x:f>
      </x:c>
      <x:c r="N441" t="str">
        <x:f>IF(K441="","",K441/_xlfn.MAXIFS($K:$K,$E:$E,E441))</x:f>
      </x:c>
      <x:c r="O441" t="str">
        <x:f>IF(M441="","",M441/_xlfn.MAXIFS($M:$M,$E:$E,E441))</x:f>
      </x:c>
      <x:c r="P441" t="str">
        <x:f>IF(OR(N441="",O441=""),"",SQRT(N441*O441))</x:f>
      </x:c>
      <x:c r="Q441" t="str">
        <x:f>IF(OR(N441="",O441=""),"",N441^0.7*O441^0.3)</x:f>
      </x:c>
      <x:c r="R441" t="str">
        <x:f>IF(OR(N441="",O441=""),"",N441^0.3*O441^0.7)</x:f>
      </x:c>
    </x:row>
    <x:row r="442">
      <x:c r="A442" t="inlineStr">
        <x:is>
          <x:t xml:space="preserve">alibaba|qwen3.8-flash-next|reasoning|reasoning|fallback-na|aa-v4.3.2|snapshot-2026-09-28</x:t>
        </x:is>
      </x:c>
      <x:c r="B442" t="inlineStr">
        <x:is>
          <x:t xml:space="preserve">alibaba|qwen3.8-flash-next|reasoning|reasoning|fallback-na</x:t>
        </x:is>
      </x:c>
      <x:c r="C442" t="inlineStr">
        <x:is>
          <x:t xml:space="preserve">AA|v4.3.2</x:t>
        </x:is>
      </x:c>
      <x:c r="D442" t="n">
        <x:v>57</x:v>
      </x:c>
      <x:c r="E442" t="n">
        <x:v>20</x:v>
      </x:c>
      <x:c r="F442" t="n">
        <x:f>INDEX(Run_Metrics!$F:$F,D442)</x:f>
        <x:v>40</x:v>
      </x:c>
      <x:c r="G442" t="n">
        <x:f>INDEX(Run_Metrics!$G:$G,D442)</x:f>
        <x:v>0.37</x:v>
      </x:c>
      <x:c r="H442" t="n">
        <x:f>INDEX(Run_Metrics!$I:$I,D442)</x:f>
        <x:v>27.701</x:v>
      </x:c>
      <x:c r="I442" t="n">
        <x:f>IF(F442="","",F442-(E442-1))</x:f>
        <x:v>21</x:v>
      </x:c>
      <x:c r="J442" t="n">
        <x:f>IF(I442&gt;0,1,0)</x:f>
        <x:v>1</x:v>
      </x:c>
      <x:c r="K442" t="n">
        <x:f>IF(OR(J442=0,G442="",G442=0),"",I442/G442)</x:f>
        <x:v>56.75675675675676</x:v>
      </x:c>
      <x:c r="L442" t="n">
        <x:f>IF(OR(J442=0,I442=0,G442=""),"",G442/I442)</x:f>
        <x:v>0.017619047619047618</x:v>
      </x:c>
      <x:c r="M442" t="n">
        <x:f>IF(OR(J442=0,G442="",H442="",G442=0,H442=0),"",I442/(G442*H442))</x:f>
        <x:v>2.0489064205897534</x:v>
      </x:c>
      <x:c r="N442" t="n">
        <x:f>IF(K442="","",K442/_xlfn.MAXIFS($K:$K,$E:$E,E442))</x:f>
        <x:v>0.08513513513513513</x:v>
      </x:c>
      <x:c r="O442" t="n">
        <x:f>IF(M442="","",M442/_xlfn.MAXIFS($M:$M,$E:$E,E442))</x:f>
        <x:v>0.0010856642896099953</x:v>
      </x:c>
      <x:c r="P442" t="n">
        <x:f>IF(OR(N442="",O442=""),"",SQRT(N442*O442))</x:f>
        <x:v>0.009613957354145972</x:v>
      </x:c>
      <x:c r="Q442" t="n">
        <x:f>IF(OR(N442="",O442=""),"",N442^0.7*O442^0.3)</x:f>
        <x:v>0.02300301945265421</x:v>
      </x:c>
      <x:c r="R442" t="n">
        <x:f>IF(OR(N442="",O442=""),"",N442^0.3*O442^0.7)</x:f>
        <x:v>0.004018088851230035</x:v>
      </x:c>
    </x:row>
    <x:row r="443">
      <x:c r="A443" t="inlineStr">
        <x:is>
          <x:t xml:space="preserve">alibaba|qwen3.8-flash-next|reasoning|reasoning|fallback-na|aa-v4.3.2|snapshot-2026-09-28</x:t>
        </x:is>
      </x:c>
      <x:c r="B443" t="inlineStr">
        <x:is>
          <x:t xml:space="preserve">alibaba|qwen3.8-flash-next|reasoning|reasoning|fallback-na</x:t>
        </x:is>
      </x:c>
      <x:c r="C443" t="inlineStr">
        <x:is>
          <x:t xml:space="preserve">AA|v4.3.2</x:t>
        </x:is>
      </x:c>
      <x:c r="D443" t="n">
        <x:v>57</x:v>
      </x:c>
      <x:c r="E443" t="n">
        <x:v>30</x:v>
      </x:c>
      <x:c r="F443" t="n">
        <x:f>INDEX(Run_Metrics!$F:$F,D443)</x:f>
        <x:v>40</x:v>
      </x:c>
      <x:c r="G443" t="n">
        <x:f>INDEX(Run_Metrics!$G:$G,D443)</x:f>
        <x:v>0.37</x:v>
      </x:c>
      <x:c r="H443" t="n">
        <x:f>INDEX(Run_Metrics!$I:$I,D443)</x:f>
        <x:v>27.701</x:v>
      </x:c>
      <x:c r="I443" t="n">
        <x:f>IF(F443="","",F443-(E443-1))</x:f>
        <x:v>11</x:v>
      </x:c>
      <x:c r="J443" t="n">
        <x:f>IF(I443&gt;0,1,0)</x:f>
        <x:v>1</x:v>
      </x:c>
      <x:c r="K443" t="n">
        <x:f>IF(OR(J443=0,G443="",G443=0),"",I443/G443)</x:f>
        <x:v>29.72972972972973</x:v>
      </x:c>
      <x:c r="L443" t="n">
        <x:f>IF(OR(J443=0,I443=0,G443=""),"",G443/I443)</x:f>
        <x:v>0.03363636363636364</x:v>
      </x:c>
      <x:c r="M443" t="n">
        <x:f>IF(OR(J443=0,G443="",H443="",G443=0,H443=0),"",I443/(G443*H443))</x:f>
        <x:v>1.0732366964993945</x:v>
      </x:c>
      <x:c r="N443" t="n">
        <x:f>IF(K443="","",K443/_xlfn.MAXIFS($K:$K,$E:$E,E443))</x:f>
        <x:v>0.1981981981981982</x:v>
      </x:c>
      <x:c r="O443" t="n">
        <x:f>IF(M443="","",M443/_xlfn.MAXIFS($M:$M,$E:$E,E443))</x:f>
        <x:v>0.019100393487599725</x:v>
      </x:c>
      <x:c r="P443" t="n">
        <x:f>IF(OR(N443="",O443=""),"",SQRT(N443*O443))</x:f>
        <x:v>0.06152774637607707</x:v>
      </x:c>
      <x:c r="Q443" t="n">
        <x:f>IF(OR(N443="",O443=""),"",N443^0.7*O443^0.3)</x:f>
        <x:v>0.09823867261037111</x:v>
      </x:c>
      <x:c r="R443" t="n">
        <x:f>IF(OR(N443="",O443=""),"",N443^0.3*O443^0.7)</x:f>
        <x:v>0.038535369763528456</x:v>
      </x:c>
    </x:row>
    <x:row r="444">
      <x:c r="A444" t="inlineStr">
        <x:is>
          <x:t xml:space="preserve">alibaba|qwen3.8-flash-next|reasoning|reasoning|fallback-na|aa-v4.3.2|snapshot-2026-09-28</x:t>
        </x:is>
      </x:c>
      <x:c r="B444" t="inlineStr">
        <x:is>
          <x:t xml:space="preserve">alibaba|qwen3.8-flash-next|reasoning|reasoning|fallback-na</x:t>
        </x:is>
      </x:c>
      <x:c r="C444" t="inlineStr">
        <x:is>
          <x:t xml:space="preserve">AA|v4.3.2</x:t>
        </x:is>
      </x:c>
      <x:c r="D444" t="n">
        <x:v>57</x:v>
      </x:c>
      <x:c r="E444" t="n">
        <x:v>40</x:v>
      </x:c>
      <x:c r="F444" t="n">
        <x:f>INDEX(Run_Metrics!$F:$F,D444)</x:f>
        <x:v>40</x:v>
      </x:c>
      <x:c r="G444" t="n">
        <x:f>INDEX(Run_Metrics!$G:$G,D444)</x:f>
        <x:v>0.37</x:v>
      </x:c>
      <x:c r="H444" t="n">
        <x:f>INDEX(Run_Metrics!$I:$I,D444)</x:f>
        <x:v>27.701</x:v>
      </x:c>
      <x:c r="I444" t="n">
        <x:f>IF(F444="","",F444-(E444-1))</x:f>
        <x:v>1</x:v>
      </x:c>
      <x:c r="J444" t="n">
        <x:f>IF(I444&gt;0,1,0)</x:f>
        <x:v>1</x:v>
      </x:c>
      <x:c r="K444" t="n">
        <x:f>IF(OR(J444=0,G444="",G444=0),"",I444/G444)</x:f>
        <x:v>2.7027027027027026</x:v>
      </x:c>
      <x:c r="L444" t="n">
        <x:f>IF(OR(J444=0,I444=0,G444=""),"",G444/I444)</x:f>
        <x:v>0.37</x:v>
      </x:c>
      <x:c r="M444" t="n">
        <x:f>IF(OR(J444=0,G444="",H444="",G444=0,H444=0),"",I444/(G444*H444))</x:f>
        <x:v>0.09756697240903586</x:v>
      </x:c>
      <x:c r="N444" t="n">
        <x:f>IF(K444="","",K444/_xlfn.MAXIFS($K:$K,$E:$E,E444))</x:f>
        <x:v>0.05019305019305019</x:v>
      </x:c>
      <x:c r="O444" t="n">
        <x:f>IF(M444="","",M444/_xlfn.MAXIFS($M:$M,$E:$E,E444))</x:f>
        <x:v>0.01618956649460963</x:v>
      </x:c>
      <x:c r="P444" t="n">
        <x:f>IF(OR(N444="",O444=""),"",SQRT(N444*O444))</x:f>
        <x:v>0.02850620500290533</x:v>
      </x:c>
      <x:c r="Q444" t="n">
        <x:f>IF(OR(N444="",O444=""),"",N444^0.7*O444^0.3)</x:f>
        <x:v>0.03574547542829231</x:v>
      </x:c>
      <x:c r="R444" t="n">
        <x:f>IF(OR(N444="",O444=""),"",N444^0.3*O444^0.7)</x:f>
        <x:v>0.022733051216448346</x:v>
      </x:c>
    </x:row>
    <x:row r="445">
      <x:c r="A445" t="inlineStr">
        <x:is>
          <x:t xml:space="preserve">alibaba|qwen3.8-flash-next|reasoning|reasoning|fallback-na|aa-v4.3.2|snapshot-2026-09-28</x:t>
        </x:is>
      </x:c>
      <x:c r="B445" t="inlineStr">
        <x:is>
          <x:t xml:space="preserve">alibaba|qwen3.8-flash-next|reasoning|reasoning|fallback-na</x:t>
        </x:is>
      </x:c>
      <x:c r="C445" t="inlineStr">
        <x:is>
          <x:t xml:space="preserve">AA|v4.3.2</x:t>
        </x:is>
      </x:c>
      <x:c r="D445" t="n">
        <x:v>57</x:v>
      </x:c>
      <x:c r="E445" t="n">
        <x:v>45</x:v>
      </x:c>
      <x:c r="F445" t="n">
        <x:f>INDEX(Run_Metrics!$F:$F,D445)</x:f>
        <x:v>40</x:v>
      </x:c>
      <x:c r="G445" t="n">
        <x:f>INDEX(Run_Metrics!$G:$G,D445)</x:f>
        <x:v>0.37</x:v>
      </x:c>
      <x:c r="H445" t="n">
        <x:f>INDEX(Run_Metrics!$I:$I,D445)</x:f>
        <x:v>27.701</x:v>
      </x:c>
      <x:c r="I445" t="n">
        <x:f>IF(F445="","",F445-(E445-1))</x:f>
        <x:v>-4</x:v>
      </x:c>
      <x:c r="J445" t="n">
        <x:f>IF(I445&gt;0,1,0)</x:f>
        <x:v>0</x:v>
      </x:c>
      <x:c r="K445" t="str">
        <x:f>IF(OR(J445=0,G445="",G445=0),"",I445/G445)</x:f>
      </x:c>
      <x:c r="L445" t="str">
        <x:f>IF(OR(J445=0,I445=0,G445=""),"",G445/I445)</x:f>
      </x:c>
      <x:c r="M445" t="str">
        <x:f>IF(OR(J445=0,G445="",H445="",G445=0,H445=0),"",I445/(G445*H445))</x:f>
      </x:c>
      <x:c r="N445" t="str">
        <x:f>IF(K445="","",K445/_xlfn.MAXIFS($K:$K,$E:$E,E445))</x:f>
      </x:c>
      <x:c r="O445" t="str">
        <x:f>IF(M445="","",M445/_xlfn.MAXIFS($M:$M,$E:$E,E445))</x:f>
      </x:c>
      <x:c r="P445" t="str">
        <x:f>IF(OR(N445="",O445=""),"",SQRT(N445*O445))</x:f>
      </x:c>
      <x:c r="Q445" t="str">
        <x:f>IF(OR(N445="",O445=""),"",N445^0.7*O445^0.3)</x:f>
      </x:c>
      <x:c r="R445" t="str">
        <x:f>IF(OR(N445="",O445=""),"",N445^0.3*O445^0.7)</x:f>
      </x:c>
    </x:row>
    <x:row r="446">
      <x:c r="A446" t="inlineStr">
        <x:is>
          <x:t xml:space="preserve">alibaba|qwen3.8-flash-next|reasoning|reasoning|fallback-na|aa-v4.3.2|snapshot-2026-09-28</x:t>
        </x:is>
      </x:c>
      <x:c r="B446" t="inlineStr">
        <x:is>
          <x:t xml:space="preserve">alibaba|qwen3.8-flash-next|reasoning|reasoning|fallback-na</x:t>
        </x:is>
      </x:c>
      <x:c r="C446" t="inlineStr">
        <x:is>
          <x:t xml:space="preserve">AA|v4.3.2</x:t>
        </x:is>
      </x:c>
      <x:c r="D446" t="n">
        <x:v>57</x:v>
      </x:c>
      <x:c r="E446" t="n">
        <x:v>50</x:v>
      </x:c>
      <x:c r="F446" t="n">
        <x:f>INDEX(Run_Metrics!$F:$F,D446)</x:f>
        <x:v>40</x:v>
      </x:c>
      <x:c r="G446" t="n">
        <x:f>INDEX(Run_Metrics!$G:$G,D446)</x:f>
        <x:v>0.37</x:v>
      </x:c>
      <x:c r="H446" t="n">
        <x:f>INDEX(Run_Metrics!$I:$I,D446)</x:f>
        <x:v>27.701</x:v>
      </x:c>
      <x:c r="I446" t="n">
        <x:f>IF(F446="","",F446-(E446-1))</x:f>
        <x:v>-9</x:v>
      </x:c>
      <x:c r="J446" t="n">
        <x:f>IF(I446&gt;0,1,0)</x:f>
        <x:v>0</x:v>
      </x:c>
      <x:c r="K446" t="str">
        <x:f>IF(OR(J446=0,G446="",G446=0),"",I446/G446)</x:f>
      </x:c>
      <x:c r="L446" t="str">
        <x:f>IF(OR(J446=0,I446=0,G446=""),"",G446/I446)</x:f>
      </x:c>
      <x:c r="M446" t="str">
        <x:f>IF(OR(J446=0,G446="",H446="",G446=0,H446=0),"",I446/(G446*H446))</x:f>
      </x:c>
      <x:c r="N446" t="str">
        <x:f>IF(K446="","",K446/_xlfn.MAXIFS($K:$K,$E:$E,E446))</x:f>
      </x:c>
      <x:c r="O446" t="str">
        <x:f>IF(M446="","",M446/_xlfn.MAXIFS($M:$M,$E:$E,E446))</x:f>
      </x:c>
      <x:c r="P446" t="str">
        <x:f>IF(OR(N446="",O446=""),"",SQRT(N446*O446))</x:f>
      </x:c>
      <x:c r="Q446" t="str">
        <x:f>IF(OR(N446="",O446=""),"",N446^0.7*O446^0.3)</x:f>
      </x:c>
      <x:c r="R446" t="str">
        <x:f>IF(OR(N446="",O446=""),"",N446^0.3*O446^0.7)</x:f>
      </x:c>
    </x:row>
    <x:row r="447">
      <x:c r="A447" t="inlineStr">
        <x:is>
          <x:t xml:space="preserve">alibaba|qwen3.8-flash-next|reasoning|reasoning|fallback-na|aa-v4.3.2|snapshot-2026-09-28</x:t>
        </x:is>
      </x:c>
      <x:c r="B447" t="inlineStr">
        <x:is>
          <x:t xml:space="preserve">alibaba|qwen3.8-flash-next|reasoning|reasoning|fallback-na</x:t>
        </x:is>
      </x:c>
      <x:c r="C447" t="inlineStr">
        <x:is>
          <x:t xml:space="preserve">AA|v4.3.2</x:t>
        </x:is>
      </x:c>
      <x:c r="D447" t="n">
        <x:v>57</x:v>
      </x:c>
      <x:c r="E447" t="n">
        <x:v>52</x:v>
      </x:c>
      <x:c r="F447" t="n">
        <x:f>INDEX(Run_Metrics!$F:$F,D447)</x:f>
        <x:v>40</x:v>
      </x:c>
      <x:c r="G447" t="n">
        <x:f>INDEX(Run_Metrics!$G:$G,D447)</x:f>
        <x:v>0.37</x:v>
      </x:c>
      <x:c r="H447" t="n">
        <x:f>INDEX(Run_Metrics!$I:$I,D447)</x:f>
        <x:v>27.701</x:v>
      </x:c>
      <x:c r="I447" t="n">
        <x:f>IF(F447="","",F447-(E447-1))</x:f>
        <x:v>-11</x:v>
      </x:c>
      <x:c r="J447" t="n">
        <x:f>IF(I447&gt;0,1,0)</x:f>
        <x:v>0</x:v>
      </x:c>
      <x:c r="K447" t="str">
        <x:f>IF(OR(J447=0,G447="",G447=0),"",I447/G447)</x:f>
      </x:c>
      <x:c r="L447" t="str">
        <x:f>IF(OR(J447=0,I447=0,G447=""),"",G447/I447)</x:f>
      </x:c>
      <x:c r="M447" t="str">
        <x:f>IF(OR(J447=0,G447="",H447="",G447=0,H447=0),"",I447/(G447*H447))</x:f>
      </x:c>
      <x:c r="N447" t="str">
        <x:f>IF(K447="","",K447/_xlfn.MAXIFS($K:$K,$E:$E,E447))</x:f>
      </x:c>
      <x:c r="O447" t="str">
        <x:f>IF(M447="","",M447/_xlfn.MAXIFS($M:$M,$E:$E,E447))</x:f>
      </x:c>
      <x:c r="P447" t="str">
        <x:f>IF(OR(N447="",O447=""),"",SQRT(N447*O447))</x:f>
      </x:c>
      <x:c r="Q447" t="str">
        <x:f>IF(OR(N447="",O447=""),"",N447^0.7*O447^0.3)</x:f>
      </x:c>
      <x:c r="R447" t="str">
        <x:f>IF(OR(N447="",O447=""),"",N447^0.3*O447^0.7)</x:f>
      </x:c>
    </x:row>
    <x:row r="448">
      <x:c r="A448" t="inlineStr">
        <x:is>
          <x:t xml:space="preserve">alibaba|qwen3.8-flash-next|reasoning|reasoning|fallback-na|aa-v4.3.2|snapshot-2026-09-28</x:t>
        </x:is>
      </x:c>
      <x:c r="B448" t="inlineStr">
        <x:is>
          <x:t xml:space="preserve">alibaba|qwen3.8-flash-next|reasoning|reasoning|fallback-na</x:t>
        </x:is>
      </x:c>
      <x:c r="C448" t="inlineStr">
        <x:is>
          <x:t xml:space="preserve">AA|v4.3.2</x:t>
        </x:is>
      </x:c>
      <x:c r="D448" t="n">
        <x:v>57</x:v>
      </x:c>
      <x:c r="E448" t="n">
        <x:v>65</x:v>
      </x:c>
      <x:c r="F448" t="n">
        <x:f>INDEX(Run_Metrics!$F:$F,D448)</x:f>
        <x:v>40</x:v>
      </x:c>
      <x:c r="G448" t="n">
        <x:f>INDEX(Run_Metrics!$G:$G,D448)</x:f>
        <x:v>0.37</x:v>
      </x:c>
      <x:c r="H448" t="n">
        <x:f>INDEX(Run_Metrics!$I:$I,D448)</x:f>
        <x:v>27.701</x:v>
      </x:c>
      <x:c r="I448" t="n">
        <x:f>IF(F448="","",F448-(E448-1))</x:f>
        <x:v>-24</x:v>
      </x:c>
      <x:c r="J448" t="n">
        <x:f>IF(I448&gt;0,1,0)</x:f>
        <x:v>0</x:v>
      </x:c>
      <x:c r="K448" t="str">
        <x:f>IF(OR(J448=0,G448="",G448=0),"",I448/G448)</x:f>
      </x:c>
      <x:c r="L448" t="str">
        <x:f>IF(OR(J448=0,I448=0,G448=""),"",G448/I448)</x:f>
      </x:c>
      <x:c r="M448" t="str">
        <x:f>IF(OR(J448=0,G448="",H448="",G448=0,H448=0),"",I448/(G448*H448))</x:f>
      </x:c>
      <x:c r="N448" t="str">
        <x:f>IF(K448="","",K448/_xlfn.MAXIFS($K:$K,$E:$E,E448))</x:f>
      </x:c>
      <x:c r="O448" t="str">
        <x:f>IF(M448="","",M448/_xlfn.MAXIFS($M:$M,$E:$E,E448))</x:f>
      </x:c>
      <x:c r="P448" t="str">
        <x:f>IF(OR(N448="",O448=""),"",SQRT(N448*O448))</x:f>
      </x:c>
      <x:c r="Q448" t="str">
        <x:f>IF(OR(N448="",O448=""),"",N448^0.7*O448^0.3)</x:f>
      </x:c>
      <x:c r="R448" t="str">
        <x:f>IF(OR(N448="",O448=""),"",N448^0.3*O448^0.7)</x:f>
      </x:c>
    </x:row>
    <x:row r="449">
      <x:c r="A449" t="inlineStr">
        <x:is>
          <x:t xml:space="preserve">alibaba|qwen3.8-flash-next|reasoning|reasoning|fallback-na|aa-v4.3.2|snapshot-2026-09-28</x:t>
        </x:is>
      </x:c>
      <x:c r="B449" t="inlineStr">
        <x:is>
          <x:t xml:space="preserve">alibaba|qwen3.8-flash-next|reasoning|reasoning|fallback-na</x:t>
        </x:is>
      </x:c>
      <x:c r="C449" t="inlineStr">
        <x:is>
          <x:t xml:space="preserve">AA|v4.3.2</x:t>
        </x:is>
      </x:c>
      <x:c r="D449" t="n">
        <x:v>57</x:v>
      </x:c>
      <x:c r="E449" t="n">
        <x:v>80</x:v>
      </x:c>
      <x:c r="F449" t="n">
        <x:f>INDEX(Run_Metrics!$F:$F,D449)</x:f>
        <x:v>40</x:v>
      </x:c>
      <x:c r="G449" t="n">
        <x:f>INDEX(Run_Metrics!$G:$G,D449)</x:f>
        <x:v>0.37</x:v>
      </x:c>
      <x:c r="H449" t="n">
        <x:f>INDEX(Run_Metrics!$I:$I,D449)</x:f>
        <x:v>27.701</x:v>
      </x:c>
      <x:c r="I449" t="n">
        <x:f>IF(F449="","",F449-(E449-1))</x:f>
        <x:v>-39</x:v>
      </x:c>
      <x:c r="J449" t="n">
        <x:f>IF(I449&gt;0,1,0)</x:f>
        <x:v>0</x:v>
      </x:c>
      <x:c r="K449" t="str">
        <x:f>IF(OR(J449=0,G449="",G449=0),"",I449/G449)</x:f>
      </x:c>
      <x:c r="L449" t="str">
        <x:f>IF(OR(J449=0,I449=0,G449=""),"",G449/I449)</x:f>
      </x:c>
      <x:c r="M449" t="str">
        <x:f>IF(OR(J449=0,G449="",H449="",G449=0,H449=0),"",I449/(G449*H449))</x:f>
      </x:c>
      <x:c r="N449" t="str">
        <x:f>IF(K449="","",K449/_xlfn.MAXIFS($K:$K,$E:$E,E449))</x:f>
      </x:c>
      <x:c r="O449" t="str">
        <x:f>IF(M449="","",M449/_xlfn.MAXIFS($M:$M,$E:$E,E449))</x:f>
      </x:c>
      <x:c r="P449" t="str">
        <x:f>IF(OR(N449="",O449=""),"",SQRT(N449*O449))</x:f>
      </x:c>
      <x:c r="Q449" t="str">
        <x:f>IF(OR(N449="",O449=""),"",N449^0.7*O449^0.3)</x:f>
      </x:c>
      <x:c r="R449" t="str">
        <x:f>IF(OR(N449="",O449=""),"",N449^0.3*O449^0.7)</x:f>
      </x:c>
    </x:row>
    <x:row r="450">
      <x:c r="A450" t="inlineStr">
        <x:is>
          <x:t xml:space="preserve">xiaomi|mimo-v2.6-flash|reasoning|reasoning|fallback-na|aa-v4.3.2|snapshot-2026-09-28</x:t>
        </x:is>
      </x:c>
      <x:c r="B450" t="inlineStr">
        <x:is>
          <x:t xml:space="preserve">xiaomi|mimo-v2.6-flash|reasoning|reasoning|fallback-na</x:t>
        </x:is>
      </x:c>
      <x:c r="C450" t="inlineStr">
        <x:is>
          <x:t xml:space="preserve">AA|v4.3.2</x:t>
        </x:is>
      </x:c>
      <x:c r="D450" t="n">
        <x:v>58</x:v>
      </x:c>
      <x:c r="E450" t="n">
        <x:v>20</x:v>
      </x:c>
      <x:c r="F450" t="n">
        <x:f>INDEX(Run_Metrics!$F:$F,D450)</x:f>
        <x:v>38</x:v>
      </x:c>
      <x:c r="G450" t="n">
        <x:f>INDEX(Run_Metrics!$G:$G,D450)</x:f>
        <x:v>0.06</x:v>
      </x:c>
      <x:c r="H450" t="n">
        <x:f>INDEX(Run_Metrics!$I:$I,D450)</x:f>
        <x:v>20.88566666666667</x:v>
      </x:c>
      <x:c r="I450" t="n">
        <x:f>IF(F450="","",F450-(E450-1))</x:f>
        <x:v>19</x:v>
      </x:c>
      <x:c r="J450" t="n">
        <x:f>IF(I450&gt;0,1,0)</x:f>
        <x:v>1</x:v>
      </x:c>
      <x:c r="K450" t="n">
        <x:f>IF(OR(J450=0,G450="",G450=0),"",I450/G450)</x:f>
        <x:v>316.6666666666667</x:v>
      </x:c>
      <x:c r="L450" t="n">
        <x:f>IF(OR(J450=0,I450=0,G450=""),"",G450/I450)</x:f>
        <x:v>0.003157894736842105</x:v>
      </x:c>
      <x:c r="M450" t="n">
        <x:f>IF(OR(J450=0,G450="",H450="",G450=0,H450=0),"",I450/(G450*H450))</x:f>
        <x:v>15.161913273856072</x:v>
      </x:c>
      <x:c r="N450" t="n">
        <x:f>IF(K450="","",K450/_xlfn.MAXIFS($K:$K,$E:$E,E450))</x:f>
        <x:v>0.475</x:v>
      </x:c>
      <x:c r="O450" t="n">
        <x:f>IF(M450="","",M450/_xlfn.MAXIFS($M:$M,$E:$E,E450))</x:f>
        <x:v>0.008033918795984486</x:v>
      </x:c>
      <x:c r="P450" t="n">
        <x:f>IF(OR(N450="",O450=""),"",SQRT(N450*O450))</x:f>
        <x:v>0.061774682743763486</x:v>
      </x:c>
      <x:c r="Q450" t="n">
        <x:f>IF(OR(N450="",O450=""),"",N450^0.7*O450^0.3)</x:f>
        <x:v>0.13968949845612655</x:v>
      </x:c>
      <x:c r="R450" t="n">
        <x:f>IF(OR(N450="",O450=""),"",N450^0.3*O450^0.7)</x:f>
        <x:v>0.02731852766506417</x:v>
      </x:c>
    </x:row>
    <x:row r="451">
      <x:c r="A451" t="inlineStr">
        <x:is>
          <x:t xml:space="preserve">xiaomi|mimo-v2.6-flash|reasoning|reasoning|fallback-na|aa-v4.3.2|snapshot-2026-09-28</x:t>
        </x:is>
      </x:c>
      <x:c r="B451" t="inlineStr">
        <x:is>
          <x:t xml:space="preserve">xiaomi|mimo-v2.6-flash|reasoning|reasoning|fallback-na</x:t>
        </x:is>
      </x:c>
      <x:c r="C451" t="inlineStr">
        <x:is>
          <x:t xml:space="preserve">AA|v4.3.2</x:t>
        </x:is>
      </x:c>
      <x:c r="D451" t="n">
        <x:v>58</x:v>
      </x:c>
      <x:c r="E451" t="n">
        <x:v>30</x:v>
      </x:c>
      <x:c r="F451" t="n">
        <x:f>INDEX(Run_Metrics!$F:$F,D451)</x:f>
        <x:v>38</x:v>
      </x:c>
      <x:c r="G451" t="n">
        <x:f>INDEX(Run_Metrics!$G:$G,D451)</x:f>
        <x:v>0.06</x:v>
      </x:c>
      <x:c r="H451" t="n">
        <x:f>INDEX(Run_Metrics!$I:$I,D451)</x:f>
        <x:v>20.88566666666667</x:v>
      </x:c>
      <x:c r="I451" t="n">
        <x:f>IF(F451="","",F451-(E451-1))</x:f>
        <x:v>9</x:v>
      </x:c>
      <x:c r="J451" t="n">
        <x:f>IF(I451&gt;0,1,0)</x:f>
        <x:v>1</x:v>
      </x:c>
      <x:c r="K451" t="n">
        <x:f>IF(OR(J451=0,G451="",G451=0),"",I451/G451)</x:f>
        <x:v>150</x:v>
      </x:c>
      <x:c r="L451" t="n">
        <x:f>IF(OR(J451=0,I451=0,G451=""),"",G451/I451)</x:f>
        <x:v>0.006666666666666666</x:v>
      </x:c>
      <x:c r="M451" t="n">
        <x:f>IF(OR(J451=0,G451="",H451="",G451=0,H451=0),"",I451/(G451*H451))</x:f>
        <x:v>7.181958919194981</x:v>
      </x:c>
      <x:c r="N451" t="n">
        <x:f>IF(K451="","",K451/_xlfn.MAXIFS($K:$K,$E:$E,E451))</x:f>
        <x:v>1</x:v>
      </x:c>
      <x:c r="O451" t="n">
        <x:f>IF(M451="","",M451/_xlfn.MAXIFS($M:$M,$E:$E,E451))</x:f>
        <x:v>0.1278173228849131</x:v>
      </x:c>
      <x:c r="P451" t="n">
        <x:f>IF(OR(N451="",O451=""),"",SQRT(N451*O451))</x:f>
        <x:v>0.3575154862169094</x:v>
      </x:c>
      <x:c r="Q451" t="n">
        <x:f>IF(OR(N451="",O451=""),"",N451^0.7*O451^0.3)</x:f>
        <x:v>0.5394819456463656</x:v>
      </x:c>
      <x:c r="R451" t="n">
        <x:f>IF(OR(N451="",O451=""),"",N451^0.3*O451^0.7)</x:f>
        <x:v>0.2369260434318562</x:v>
      </x:c>
    </x:row>
    <x:row r="452">
      <x:c r="A452" t="inlineStr">
        <x:is>
          <x:t xml:space="preserve">xiaomi|mimo-v2.6-flash|reasoning|reasoning|fallback-na|aa-v4.3.2|snapshot-2026-09-28</x:t>
        </x:is>
      </x:c>
      <x:c r="B452" t="inlineStr">
        <x:is>
          <x:t xml:space="preserve">xiaomi|mimo-v2.6-flash|reasoning|reasoning|fallback-na</x:t>
        </x:is>
      </x:c>
      <x:c r="C452" t="inlineStr">
        <x:is>
          <x:t xml:space="preserve">AA|v4.3.2</x:t>
        </x:is>
      </x:c>
      <x:c r="D452" t="n">
        <x:v>58</x:v>
      </x:c>
      <x:c r="E452" t="n">
        <x:v>40</x:v>
      </x:c>
      <x:c r="F452" t="n">
        <x:f>INDEX(Run_Metrics!$F:$F,D452)</x:f>
        <x:v>38</x:v>
      </x:c>
      <x:c r="G452" t="n">
        <x:f>INDEX(Run_Metrics!$G:$G,D452)</x:f>
        <x:v>0.06</x:v>
      </x:c>
      <x:c r="H452" t="n">
        <x:f>INDEX(Run_Metrics!$I:$I,D452)</x:f>
        <x:v>20.88566666666667</x:v>
      </x:c>
      <x:c r="I452" t="n">
        <x:f>IF(F452="","",F452-(E452-1))</x:f>
        <x:v>-1</x:v>
      </x:c>
      <x:c r="J452" t="n">
        <x:f>IF(I452&gt;0,1,0)</x:f>
        <x:v>0</x:v>
      </x:c>
      <x:c r="K452" t="str">
        <x:f>IF(OR(J452=0,G452="",G452=0),"",I452/G452)</x:f>
      </x:c>
      <x:c r="L452" t="str">
        <x:f>IF(OR(J452=0,I452=0,G452=""),"",G452/I452)</x:f>
      </x:c>
      <x:c r="M452" t="str">
        <x:f>IF(OR(J452=0,G452="",H452="",G452=0,H452=0),"",I452/(G452*H452))</x:f>
      </x:c>
      <x:c r="N452" t="str">
        <x:f>IF(K452="","",K452/_xlfn.MAXIFS($K:$K,$E:$E,E452))</x:f>
      </x:c>
      <x:c r="O452" t="str">
        <x:f>IF(M452="","",M452/_xlfn.MAXIFS($M:$M,$E:$E,E452))</x:f>
      </x:c>
      <x:c r="P452" t="str">
        <x:f>IF(OR(N452="",O452=""),"",SQRT(N452*O452))</x:f>
      </x:c>
      <x:c r="Q452" t="str">
        <x:f>IF(OR(N452="",O452=""),"",N452^0.7*O452^0.3)</x:f>
      </x:c>
      <x:c r="R452" t="str">
        <x:f>IF(OR(N452="",O452=""),"",N452^0.3*O452^0.7)</x:f>
      </x:c>
    </x:row>
    <x:row r="453">
      <x:c r="A453" t="inlineStr">
        <x:is>
          <x:t xml:space="preserve">xiaomi|mimo-v2.6-flash|reasoning|reasoning|fallback-na|aa-v4.3.2|snapshot-2026-09-28</x:t>
        </x:is>
      </x:c>
      <x:c r="B453" t="inlineStr">
        <x:is>
          <x:t xml:space="preserve">xiaomi|mimo-v2.6-flash|reasoning|reasoning|fallback-na</x:t>
        </x:is>
      </x:c>
      <x:c r="C453" t="inlineStr">
        <x:is>
          <x:t xml:space="preserve">AA|v4.3.2</x:t>
        </x:is>
      </x:c>
      <x:c r="D453" t="n">
        <x:v>58</x:v>
      </x:c>
      <x:c r="E453" t="n">
        <x:v>45</x:v>
      </x:c>
      <x:c r="F453" t="n">
        <x:f>INDEX(Run_Metrics!$F:$F,D453)</x:f>
        <x:v>38</x:v>
      </x:c>
      <x:c r="G453" t="n">
        <x:f>INDEX(Run_Metrics!$G:$G,D453)</x:f>
        <x:v>0.06</x:v>
      </x:c>
      <x:c r="H453" t="n">
        <x:f>INDEX(Run_Metrics!$I:$I,D453)</x:f>
        <x:v>20.88566666666667</x:v>
      </x:c>
      <x:c r="I453" t="n">
        <x:f>IF(F453="","",F453-(E453-1))</x:f>
        <x:v>-6</x:v>
      </x:c>
      <x:c r="J453" t="n">
        <x:f>IF(I453&gt;0,1,0)</x:f>
        <x:v>0</x:v>
      </x:c>
      <x:c r="K453" t="str">
        <x:f>IF(OR(J453=0,G453="",G453=0),"",I453/G453)</x:f>
      </x:c>
      <x:c r="L453" t="str">
        <x:f>IF(OR(J453=0,I453=0,G453=""),"",G453/I453)</x:f>
      </x:c>
      <x:c r="M453" t="str">
        <x:f>IF(OR(J453=0,G453="",H453="",G453=0,H453=0),"",I453/(G453*H453))</x:f>
      </x:c>
      <x:c r="N453" t="str">
        <x:f>IF(K453="","",K453/_xlfn.MAXIFS($K:$K,$E:$E,E453))</x:f>
      </x:c>
      <x:c r="O453" t="str">
        <x:f>IF(M453="","",M453/_xlfn.MAXIFS($M:$M,$E:$E,E453))</x:f>
      </x:c>
      <x:c r="P453" t="str">
        <x:f>IF(OR(N453="",O453=""),"",SQRT(N453*O453))</x:f>
      </x:c>
      <x:c r="Q453" t="str">
        <x:f>IF(OR(N453="",O453=""),"",N453^0.7*O453^0.3)</x:f>
      </x:c>
      <x:c r="R453" t="str">
        <x:f>IF(OR(N453="",O453=""),"",N453^0.3*O453^0.7)</x:f>
      </x:c>
    </x:row>
    <x:row r="454">
      <x:c r="A454" t="inlineStr">
        <x:is>
          <x:t xml:space="preserve">xiaomi|mimo-v2.6-flash|reasoning|reasoning|fallback-na|aa-v4.3.2|snapshot-2026-09-28</x:t>
        </x:is>
      </x:c>
      <x:c r="B454" t="inlineStr">
        <x:is>
          <x:t xml:space="preserve">xiaomi|mimo-v2.6-flash|reasoning|reasoning|fallback-na</x:t>
        </x:is>
      </x:c>
      <x:c r="C454" t="inlineStr">
        <x:is>
          <x:t xml:space="preserve">AA|v4.3.2</x:t>
        </x:is>
      </x:c>
      <x:c r="D454" t="n">
        <x:v>58</x:v>
      </x:c>
      <x:c r="E454" t="n">
        <x:v>50</x:v>
      </x:c>
      <x:c r="F454" t="n">
        <x:f>INDEX(Run_Metrics!$F:$F,D454)</x:f>
        <x:v>38</x:v>
      </x:c>
      <x:c r="G454" t="n">
        <x:f>INDEX(Run_Metrics!$G:$G,D454)</x:f>
        <x:v>0.06</x:v>
      </x:c>
      <x:c r="H454" t="n">
        <x:f>INDEX(Run_Metrics!$I:$I,D454)</x:f>
        <x:v>20.88566666666667</x:v>
      </x:c>
      <x:c r="I454" t="n">
        <x:f>IF(F454="","",F454-(E454-1))</x:f>
        <x:v>-11</x:v>
      </x:c>
      <x:c r="J454" t="n">
        <x:f>IF(I454&gt;0,1,0)</x:f>
        <x:v>0</x:v>
      </x:c>
      <x:c r="K454" t="str">
        <x:f>IF(OR(J454=0,G454="",G454=0),"",I454/G454)</x:f>
      </x:c>
      <x:c r="L454" t="str">
        <x:f>IF(OR(J454=0,I454=0,G454=""),"",G454/I454)</x:f>
      </x:c>
      <x:c r="M454" t="str">
        <x:f>IF(OR(J454=0,G454="",H454="",G454=0,H454=0),"",I454/(G454*H454))</x:f>
      </x:c>
      <x:c r="N454" t="str">
        <x:f>IF(K454="","",K454/_xlfn.MAXIFS($K:$K,$E:$E,E454))</x:f>
      </x:c>
      <x:c r="O454" t="str">
        <x:f>IF(M454="","",M454/_xlfn.MAXIFS($M:$M,$E:$E,E454))</x:f>
      </x:c>
      <x:c r="P454" t="str">
        <x:f>IF(OR(N454="",O454=""),"",SQRT(N454*O454))</x:f>
      </x:c>
      <x:c r="Q454" t="str">
        <x:f>IF(OR(N454="",O454=""),"",N454^0.7*O454^0.3)</x:f>
      </x:c>
      <x:c r="R454" t="str">
        <x:f>IF(OR(N454="",O454=""),"",N454^0.3*O454^0.7)</x:f>
      </x:c>
    </x:row>
    <x:row r="455">
      <x:c r="A455" t="inlineStr">
        <x:is>
          <x:t xml:space="preserve">xiaomi|mimo-v2.6-flash|reasoning|reasoning|fallback-na|aa-v4.3.2|snapshot-2026-09-28</x:t>
        </x:is>
      </x:c>
      <x:c r="B455" t="inlineStr">
        <x:is>
          <x:t xml:space="preserve">xiaomi|mimo-v2.6-flash|reasoning|reasoning|fallback-na</x:t>
        </x:is>
      </x:c>
      <x:c r="C455" t="inlineStr">
        <x:is>
          <x:t xml:space="preserve">AA|v4.3.2</x:t>
        </x:is>
      </x:c>
      <x:c r="D455" t="n">
        <x:v>58</x:v>
      </x:c>
      <x:c r="E455" t="n">
        <x:v>52</x:v>
      </x:c>
      <x:c r="F455" t="n">
        <x:f>INDEX(Run_Metrics!$F:$F,D455)</x:f>
        <x:v>38</x:v>
      </x:c>
      <x:c r="G455" t="n">
        <x:f>INDEX(Run_Metrics!$G:$G,D455)</x:f>
        <x:v>0.06</x:v>
      </x:c>
      <x:c r="H455" t="n">
        <x:f>INDEX(Run_Metrics!$I:$I,D455)</x:f>
        <x:v>20.88566666666667</x:v>
      </x:c>
      <x:c r="I455" t="n">
        <x:f>IF(F455="","",F455-(E455-1))</x:f>
        <x:v>-13</x:v>
      </x:c>
      <x:c r="J455" t="n">
        <x:f>IF(I455&gt;0,1,0)</x:f>
        <x:v>0</x:v>
      </x:c>
      <x:c r="K455" t="str">
        <x:f>IF(OR(J455=0,G455="",G455=0),"",I455/G455)</x:f>
      </x:c>
      <x:c r="L455" t="str">
        <x:f>IF(OR(J455=0,I455=0,G455=""),"",G455/I455)</x:f>
      </x:c>
      <x:c r="M455" t="str">
        <x:f>IF(OR(J455=0,G455="",H455="",G455=0,H455=0),"",I455/(G455*H455))</x:f>
      </x:c>
      <x:c r="N455" t="str">
        <x:f>IF(K455="","",K455/_xlfn.MAXIFS($K:$K,$E:$E,E455))</x:f>
      </x:c>
      <x:c r="O455" t="str">
        <x:f>IF(M455="","",M455/_xlfn.MAXIFS($M:$M,$E:$E,E455))</x:f>
      </x:c>
      <x:c r="P455" t="str">
        <x:f>IF(OR(N455="",O455=""),"",SQRT(N455*O455))</x:f>
      </x:c>
      <x:c r="Q455" t="str">
        <x:f>IF(OR(N455="",O455=""),"",N455^0.7*O455^0.3)</x:f>
      </x:c>
      <x:c r="R455" t="str">
        <x:f>IF(OR(N455="",O455=""),"",N455^0.3*O455^0.7)</x:f>
      </x:c>
    </x:row>
    <x:row r="456">
      <x:c r="A456" t="inlineStr">
        <x:is>
          <x:t xml:space="preserve">xiaomi|mimo-v2.6-flash|reasoning|reasoning|fallback-na|aa-v4.3.2|snapshot-2026-09-28</x:t>
        </x:is>
      </x:c>
      <x:c r="B456" t="inlineStr">
        <x:is>
          <x:t xml:space="preserve">xiaomi|mimo-v2.6-flash|reasoning|reasoning|fallback-na</x:t>
        </x:is>
      </x:c>
      <x:c r="C456" t="inlineStr">
        <x:is>
          <x:t xml:space="preserve">AA|v4.3.2</x:t>
        </x:is>
      </x:c>
      <x:c r="D456" t="n">
        <x:v>58</x:v>
      </x:c>
      <x:c r="E456" t="n">
        <x:v>65</x:v>
      </x:c>
      <x:c r="F456" t="n">
        <x:f>INDEX(Run_Metrics!$F:$F,D456)</x:f>
        <x:v>38</x:v>
      </x:c>
      <x:c r="G456" t="n">
        <x:f>INDEX(Run_Metrics!$G:$G,D456)</x:f>
        <x:v>0.06</x:v>
      </x:c>
      <x:c r="H456" t="n">
        <x:f>INDEX(Run_Metrics!$I:$I,D456)</x:f>
        <x:v>20.88566666666667</x:v>
      </x:c>
      <x:c r="I456" t="n">
        <x:f>IF(F456="","",F456-(E456-1))</x:f>
        <x:v>-26</x:v>
      </x:c>
      <x:c r="J456" t="n">
        <x:f>IF(I456&gt;0,1,0)</x:f>
        <x:v>0</x:v>
      </x:c>
      <x:c r="K456" t="str">
        <x:f>IF(OR(J456=0,G456="",G456=0),"",I456/G456)</x:f>
      </x:c>
      <x:c r="L456" t="str">
        <x:f>IF(OR(J456=0,I456=0,G456=""),"",G456/I456)</x:f>
      </x:c>
      <x:c r="M456" t="str">
        <x:f>IF(OR(J456=0,G456="",H456="",G456=0,H456=0),"",I456/(G456*H456))</x:f>
      </x:c>
      <x:c r="N456" t="str">
        <x:f>IF(K456="","",K456/_xlfn.MAXIFS($K:$K,$E:$E,E456))</x:f>
      </x:c>
      <x:c r="O456" t="str">
        <x:f>IF(M456="","",M456/_xlfn.MAXIFS($M:$M,$E:$E,E456))</x:f>
      </x:c>
      <x:c r="P456" t="str">
        <x:f>IF(OR(N456="",O456=""),"",SQRT(N456*O456))</x:f>
      </x:c>
      <x:c r="Q456" t="str">
        <x:f>IF(OR(N456="",O456=""),"",N456^0.7*O456^0.3)</x:f>
      </x:c>
      <x:c r="R456" t="str">
        <x:f>IF(OR(N456="",O456=""),"",N456^0.3*O456^0.7)</x:f>
      </x:c>
    </x:row>
    <x:row r="457">
      <x:c r="A457" t="inlineStr">
        <x:is>
          <x:t xml:space="preserve">xiaomi|mimo-v2.6-flash|reasoning|reasoning|fallback-na|aa-v4.3.2|snapshot-2026-09-28</x:t>
        </x:is>
      </x:c>
      <x:c r="B457" t="inlineStr">
        <x:is>
          <x:t xml:space="preserve">xiaomi|mimo-v2.6-flash|reasoning|reasoning|fallback-na</x:t>
        </x:is>
      </x:c>
      <x:c r="C457" t="inlineStr">
        <x:is>
          <x:t xml:space="preserve">AA|v4.3.2</x:t>
        </x:is>
      </x:c>
      <x:c r="D457" t="n">
        <x:v>58</x:v>
      </x:c>
      <x:c r="E457" t="n">
        <x:v>80</x:v>
      </x:c>
      <x:c r="F457" t="n">
        <x:f>INDEX(Run_Metrics!$F:$F,D457)</x:f>
        <x:v>38</x:v>
      </x:c>
      <x:c r="G457" t="n">
        <x:f>INDEX(Run_Metrics!$G:$G,D457)</x:f>
        <x:v>0.06</x:v>
      </x:c>
      <x:c r="H457" t="n">
        <x:f>INDEX(Run_Metrics!$I:$I,D457)</x:f>
        <x:v>20.88566666666667</x:v>
      </x:c>
      <x:c r="I457" t="n">
        <x:f>IF(F457="","",F457-(E457-1))</x:f>
        <x:v>-41</x:v>
      </x:c>
      <x:c r="J457" t="n">
        <x:f>IF(I457&gt;0,1,0)</x:f>
        <x:v>0</x:v>
      </x:c>
      <x:c r="K457" t="str">
        <x:f>IF(OR(J457=0,G457="",G457=0),"",I457/G457)</x:f>
      </x:c>
      <x:c r="L457" t="str">
        <x:f>IF(OR(J457=0,I457=0,G457=""),"",G457/I457)</x:f>
      </x:c>
      <x:c r="M457" t="str">
        <x:f>IF(OR(J457=0,G457="",H457="",G457=0,H457=0),"",I457/(G457*H457))</x:f>
      </x:c>
      <x:c r="N457" t="str">
        <x:f>IF(K457="","",K457/_xlfn.MAXIFS($K:$K,$E:$E,E457))</x:f>
      </x:c>
      <x:c r="O457" t="str">
        <x:f>IF(M457="","",M457/_xlfn.MAXIFS($M:$M,$E:$E,E457))</x:f>
      </x:c>
      <x:c r="P457" t="str">
        <x:f>IF(OR(N457="",O457=""),"",SQRT(N457*O457))</x:f>
      </x:c>
      <x:c r="Q457" t="str">
        <x:f>IF(OR(N457="",O457=""),"",N457^0.7*O457^0.3)</x:f>
      </x:c>
      <x:c r="R457" t="str">
        <x:f>IF(OR(N457="",O457=""),"",N457^0.3*O457^0.7)</x:f>
      </x:c>
    </x:row>
    <x:row r="458">
      <x:c r="A458" t="inlineStr">
        <x:is>
          <x:t xml:space="preserve">minimax|minimax-m3|reasoning|reasoning|fallback-na|aa-v4.3.2|snapshot-2026-09-28</x:t>
        </x:is>
      </x:c>
      <x:c r="B458" t="inlineStr">
        <x:is>
          <x:t xml:space="preserve">minimax|minimax-m3|reasoning|reasoning|fallback-na</x:t>
        </x:is>
      </x:c>
      <x:c r="C458" t="inlineStr">
        <x:is>
          <x:t xml:space="preserve">AA|v4.3.2</x:t>
        </x:is>
      </x:c>
      <x:c r="D458" t="n">
        <x:v>59</x:v>
      </x:c>
      <x:c r="E458" t="n">
        <x:v>20</x:v>
      </x:c>
      <x:c r="F458" t="n">
        <x:f>INDEX(Run_Metrics!$F:$F,D458)</x:f>
        <x:v>29</x:v>
      </x:c>
      <x:c r="G458" t="n">
        <x:f>INDEX(Run_Metrics!$G:$G,D458)</x:f>
        <x:v>0.51</x:v>
      </x:c>
      <x:c r="H458" t="n">
        <x:f>INDEX(Run_Metrics!$I:$I,D458)</x:f>
        <x:v>4.923333333333333</x:v>
      </x:c>
      <x:c r="I458" t="n">
        <x:f>IF(F458="","",F458-(E458-1))</x:f>
        <x:v>10</x:v>
      </x:c>
      <x:c r="J458" t="n">
        <x:f>IF(I458&gt;0,1,0)</x:f>
        <x:v>1</x:v>
      </x:c>
      <x:c r="K458" t="n">
        <x:f>IF(OR(J458=0,G458="",G458=0),"",I458/G458)</x:f>
        <x:v>19.607843137254903</x:v>
      </x:c>
      <x:c r="L458" t="n">
        <x:f>IF(OR(J458=0,I458=0,G458=""),"",G458/I458)</x:f>
        <x:v>0.051000000000000004</x:v>
      </x:c>
      <x:c r="M458" t="n">
        <x:f>IF(OR(J458=0,G458="",H458="",G458=0,H458=0),"",I458/(G458*H458))</x:f>
        <x:v>3.982635708311761</x:v>
      </x:c>
      <x:c r="N458" t="n">
        <x:f>IF(K458="","",K458/_xlfn.MAXIFS($K:$K,$E:$E,E458))</x:f>
        <x:v>0.029411764705882353</x:v>
      </x:c>
      <x:c r="O458" t="n">
        <x:f>IF(M458="","",M458/_xlfn.MAXIFS($M:$M,$E:$E,E458))</x:f>
        <x:v>0.002110299095941694</x:v>
      </x:c>
      <x:c r="P458" t="n">
        <x:f>IF(OR(N458="",O458=""),"",SQRT(N458*O458))</x:f>
        <x:v>0.007878300607927661</x:v>
      </x:c>
      <x:c r="Q458" t="n">
        <x:f>IF(OR(N458="",O458=""),"",N458^0.7*O458^0.3)</x:f>
        <x:v>0.013343444756526962</x:v>
      </x:c>
      <x:c r="R458" t="n">
        <x:f>IF(OR(N458="",O458=""),"",N458^0.3*O458^0.7)</x:f>
        <x:v>0.00465154400541981</x:v>
      </x:c>
    </x:row>
    <x:row r="459">
      <x:c r="A459" t="inlineStr">
        <x:is>
          <x:t xml:space="preserve">minimax|minimax-m3|reasoning|reasoning|fallback-na|aa-v4.3.2|snapshot-2026-09-28</x:t>
        </x:is>
      </x:c>
      <x:c r="B459" t="inlineStr">
        <x:is>
          <x:t xml:space="preserve">minimax|minimax-m3|reasoning|reasoning|fallback-na</x:t>
        </x:is>
      </x:c>
      <x:c r="C459" t="inlineStr">
        <x:is>
          <x:t xml:space="preserve">AA|v4.3.2</x:t>
        </x:is>
      </x:c>
      <x:c r="D459" t="n">
        <x:v>59</x:v>
      </x:c>
      <x:c r="E459" t="n">
        <x:v>30</x:v>
      </x:c>
      <x:c r="F459" t="n">
        <x:f>INDEX(Run_Metrics!$F:$F,D459)</x:f>
        <x:v>29</x:v>
      </x:c>
      <x:c r="G459" t="n">
        <x:f>INDEX(Run_Metrics!$G:$G,D459)</x:f>
        <x:v>0.51</x:v>
      </x:c>
      <x:c r="H459" t="n">
        <x:f>INDEX(Run_Metrics!$I:$I,D459)</x:f>
        <x:v>4.923333333333333</x:v>
      </x:c>
      <x:c r="I459" t="n">
        <x:f>IF(F459="","",F459-(E459-1))</x:f>
        <x:v>0</x:v>
      </x:c>
      <x:c r="J459" t="n">
        <x:f>IF(I459&gt;0,1,0)</x:f>
        <x:v>0</x:v>
      </x:c>
      <x:c r="K459" t="str">
        <x:f>IF(OR(J459=0,G459="",G459=0),"",I459/G459)</x:f>
      </x:c>
      <x:c r="L459" t="str">
        <x:f>IF(OR(J459=0,I459=0,G459=""),"",G459/I459)</x:f>
      </x:c>
      <x:c r="M459" t="str">
        <x:f>IF(OR(J459=0,G459="",H459="",G459=0,H459=0),"",I459/(G459*H459))</x:f>
      </x:c>
      <x:c r="N459" t="str">
        <x:f>IF(K459="","",K459/_xlfn.MAXIFS($K:$K,$E:$E,E459))</x:f>
      </x:c>
      <x:c r="O459" t="str">
        <x:f>IF(M459="","",M459/_xlfn.MAXIFS($M:$M,$E:$E,E459))</x:f>
      </x:c>
      <x:c r="P459" t="str">
        <x:f>IF(OR(N459="",O459=""),"",SQRT(N459*O459))</x:f>
      </x:c>
      <x:c r="Q459" t="str">
        <x:f>IF(OR(N459="",O459=""),"",N459^0.7*O459^0.3)</x:f>
      </x:c>
      <x:c r="R459" t="str">
        <x:f>IF(OR(N459="",O459=""),"",N459^0.3*O459^0.7)</x:f>
      </x:c>
    </x:row>
    <x:row r="460">
      <x:c r="A460" t="inlineStr">
        <x:is>
          <x:t xml:space="preserve">minimax|minimax-m3|reasoning|reasoning|fallback-na|aa-v4.3.2|snapshot-2026-09-28</x:t>
        </x:is>
      </x:c>
      <x:c r="B460" t="inlineStr">
        <x:is>
          <x:t xml:space="preserve">minimax|minimax-m3|reasoning|reasoning|fallback-na</x:t>
        </x:is>
      </x:c>
      <x:c r="C460" t="inlineStr">
        <x:is>
          <x:t xml:space="preserve">AA|v4.3.2</x:t>
        </x:is>
      </x:c>
      <x:c r="D460" t="n">
        <x:v>59</x:v>
      </x:c>
      <x:c r="E460" t="n">
        <x:v>40</x:v>
      </x:c>
      <x:c r="F460" t="n">
        <x:f>INDEX(Run_Metrics!$F:$F,D460)</x:f>
        <x:v>29</x:v>
      </x:c>
      <x:c r="G460" t="n">
        <x:f>INDEX(Run_Metrics!$G:$G,D460)</x:f>
        <x:v>0.51</x:v>
      </x:c>
      <x:c r="H460" t="n">
        <x:f>INDEX(Run_Metrics!$I:$I,D460)</x:f>
        <x:v>4.923333333333333</x:v>
      </x:c>
      <x:c r="I460" t="n">
        <x:f>IF(F460="","",F460-(E460-1))</x:f>
        <x:v>-10</x:v>
      </x:c>
      <x:c r="J460" t="n">
        <x:f>IF(I460&gt;0,1,0)</x:f>
        <x:v>0</x:v>
      </x:c>
      <x:c r="K460" t="str">
        <x:f>IF(OR(J460=0,G460="",G460=0),"",I460/G460)</x:f>
      </x:c>
      <x:c r="L460" t="str">
        <x:f>IF(OR(J460=0,I460=0,G460=""),"",G460/I460)</x:f>
      </x:c>
      <x:c r="M460" t="str">
        <x:f>IF(OR(J460=0,G460="",H460="",G460=0,H460=0),"",I460/(G460*H460))</x:f>
      </x:c>
      <x:c r="N460" t="str">
        <x:f>IF(K460="","",K460/_xlfn.MAXIFS($K:$K,$E:$E,E460))</x:f>
      </x:c>
      <x:c r="O460" t="str">
        <x:f>IF(M460="","",M460/_xlfn.MAXIFS($M:$M,$E:$E,E460))</x:f>
      </x:c>
      <x:c r="P460" t="str">
        <x:f>IF(OR(N460="",O460=""),"",SQRT(N460*O460))</x:f>
      </x:c>
      <x:c r="Q460" t="str">
        <x:f>IF(OR(N460="",O460=""),"",N460^0.7*O460^0.3)</x:f>
      </x:c>
      <x:c r="R460" t="str">
        <x:f>IF(OR(N460="",O460=""),"",N460^0.3*O460^0.7)</x:f>
      </x:c>
    </x:row>
    <x:row r="461">
      <x:c r="A461" t="inlineStr">
        <x:is>
          <x:t xml:space="preserve">minimax|minimax-m3|reasoning|reasoning|fallback-na|aa-v4.3.2|snapshot-2026-09-28</x:t>
        </x:is>
      </x:c>
      <x:c r="B461" t="inlineStr">
        <x:is>
          <x:t xml:space="preserve">minimax|minimax-m3|reasoning|reasoning|fallback-na</x:t>
        </x:is>
      </x:c>
      <x:c r="C461" t="inlineStr">
        <x:is>
          <x:t xml:space="preserve">AA|v4.3.2</x:t>
        </x:is>
      </x:c>
      <x:c r="D461" t="n">
        <x:v>59</x:v>
      </x:c>
      <x:c r="E461" t="n">
        <x:v>45</x:v>
      </x:c>
      <x:c r="F461" t="n">
        <x:f>INDEX(Run_Metrics!$F:$F,D461)</x:f>
        <x:v>29</x:v>
      </x:c>
      <x:c r="G461" t="n">
        <x:f>INDEX(Run_Metrics!$G:$G,D461)</x:f>
        <x:v>0.51</x:v>
      </x:c>
      <x:c r="H461" t="n">
        <x:f>INDEX(Run_Metrics!$I:$I,D461)</x:f>
        <x:v>4.923333333333333</x:v>
      </x:c>
      <x:c r="I461" t="n">
        <x:f>IF(F461="","",F461-(E461-1))</x:f>
        <x:v>-15</x:v>
      </x:c>
      <x:c r="J461" t="n">
        <x:f>IF(I461&gt;0,1,0)</x:f>
        <x:v>0</x:v>
      </x:c>
      <x:c r="K461" t="str">
        <x:f>IF(OR(J461=0,G461="",G461=0),"",I461/G461)</x:f>
      </x:c>
      <x:c r="L461" t="str">
        <x:f>IF(OR(J461=0,I461=0,G461=""),"",G461/I461)</x:f>
      </x:c>
      <x:c r="M461" t="str">
        <x:f>IF(OR(J461=0,G461="",H461="",G461=0,H461=0),"",I461/(G461*H461))</x:f>
      </x:c>
      <x:c r="N461" t="str">
        <x:f>IF(K461="","",K461/_xlfn.MAXIFS($K:$K,$E:$E,E461))</x:f>
      </x:c>
      <x:c r="O461" t="str">
        <x:f>IF(M461="","",M461/_xlfn.MAXIFS($M:$M,$E:$E,E461))</x:f>
      </x:c>
      <x:c r="P461" t="str">
        <x:f>IF(OR(N461="",O461=""),"",SQRT(N461*O461))</x:f>
      </x:c>
      <x:c r="Q461" t="str">
        <x:f>IF(OR(N461="",O461=""),"",N461^0.7*O461^0.3)</x:f>
      </x:c>
      <x:c r="R461" t="str">
        <x:f>IF(OR(N461="",O461=""),"",N461^0.3*O461^0.7)</x:f>
      </x:c>
    </x:row>
    <x:row r="462">
      <x:c r="A462" t="inlineStr">
        <x:is>
          <x:t xml:space="preserve">minimax|minimax-m3|reasoning|reasoning|fallback-na|aa-v4.3.2|snapshot-2026-09-28</x:t>
        </x:is>
      </x:c>
      <x:c r="B462" t="inlineStr">
        <x:is>
          <x:t xml:space="preserve">minimax|minimax-m3|reasoning|reasoning|fallback-na</x:t>
        </x:is>
      </x:c>
      <x:c r="C462" t="inlineStr">
        <x:is>
          <x:t xml:space="preserve">AA|v4.3.2</x:t>
        </x:is>
      </x:c>
      <x:c r="D462" t="n">
        <x:v>59</x:v>
      </x:c>
      <x:c r="E462" t="n">
        <x:v>50</x:v>
      </x:c>
      <x:c r="F462" t="n">
        <x:f>INDEX(Run_Metrics!$F:$F,D462)</x:f>
        <x:v>29</x:v>
      </x:c>
      <x:c r="G462" t="n">
        <x:f>INDEX(Run_Metrics!$G:$G,D462)</x:f>
        <x:v>0.51</x:v>
      </x:c>
      <x:c r="H462" t="n">
        <x:f>INDEX(Run_Metrics!$I:$I,D462)</x:f>
        <x:v>4.923333333333333</x:v>
      </x:c>
      <x:c r="I462" t="n">
        <x:f>IF(F462="","",F462-(E462-1))</x:f>
        <x:v>-20</x:v>
      </x:c>
      <x:c r="J462" t="n">
        <x:f>IF(I462&gt;0,1,0)</x:f>
        <x:v>0</x:v>
      </x:c>
      <x:c r="K462" t="str">
        <x:f>IF(OR(J462=0,G462="",G462=0),"",I462/G462)</x:f>
      </x:c>
      <x:c r="L462" t="str">
        <x:f>IF(OR(J462=0,I462=0,G462=""),"",G462/I462)</x:f>
      </x:c>
      <x:c r="M462" t="str">
        <x:f>IF(OR(J462=0,G462="",H462="",G462=0,H462=0),"",I462/(G462*H462))</x:f>
      </x:c>
      <x:c r="N462" t="str">
        <x:f>IF(K462="","",K462/_xlfn.MAXIFS($K:$K,$E:$E,E462))</x:f>
      </x:c>
      <x:c r="O462" t="str">
        <x:f>IF(M462="","",M462/_xlfn.MAXIFS($M:$M,$E:$E,E462))</x:f>
      </x:c>
      <x:c r="P462" t="str">
        <x:f>IF(OR(N462="",O462=""),"",SQRT(N462*O462))</x:f>
      </x:c>
      <x:c r="Q462" t="str">
        <x:f>IF(OR(N462="",O462=""),"",N462^0.7*O462^0.3)</x:f>
      </x:c>
      <x:c r="R462" t="str">
        <x:f>IF(OR(N462="",O462=""),"",N462^0.3*O462^0.7)</x:f>
      </x:c>
    </x:row>
    <x:row r="463">
      <x:c r="A463" t="inlineStr">
        <x:is>
          <x:t xml:space="preserve">minimax|minimax-m3|reasoning|reasoning|fallback-na|aa-v4.3.2|snapshot-2026-09-28</x:t>
        </x:is>
      </x:c>
      <x:c r="B463" t="inlineStr">
        <x:is>
          <x:t xml:space="preserve">minimax|minimax-m3|reasoning|reasoning|fallback-na</x:t>
        </x:is>
      </x:c>
      <x:c r="C463" t="inlineStr">
        <x:is>
          <x:t xml:space="preserve">AA|v4.3.2</x:t>
        </x:is>
      </x:c>
      <x:c r="D463" t="n">
        <x:v>59</x:v>
      </x:c>
      <x:c r="E463" t="n">
        <x:v>52</x:v>
      </x:c>
      <x:c r="F463" t="n">
        <x:f>INDEX(Run_Metrics!$F:$F,D463)</x:f>
        <x:v>29</x:v>
      </x:c>
      <x:c r="G463" t="n">
        <x:f>INDEX(Run_Metrics!$G:$G,D463)</x:f>
        <x:v>0.51</x:v>
      </x:c>
      <x:c r="H463" t="n">
        <x:f>INDEX(Run_Metrics!$I:$I,D463)</x:f>
        <x:v>4.923333333333333</x:v>
      </x:c>
      <x:c r="I463" t="n">
        <x:f>IF(F463="","",F463-(E463-1))</x:f>
        <x:v>-22</x:v>
      </x:c>
      <x:c r="J463" t="n">
        <x:f>IF(I463&gt;0,1,0)</x:f>
        <x:v>0</x:v>
      </x:c>
      <x:c r="K463" t="str">
        <x:f>IF(OR(J463=0,G463="",G463=0),"",I463/G463)</x:f>
      </x:c>
      <x:c r="L463" t="str">
        <x:f>IF(OR(J463=0,I463=0,G463=""),"",G463/I463)</x:f>
      </x:c>
      <x:c r="M463" t="str">
        <x:f>IF(OR(J463=0,G463="",H463="",G463=0,H463=0),"",I463/(G463*H463))</x:f>
      </x:c>
      <x:c r="N463" t="str">
        <x:f>IF(K463="","",K463/_xlfn.MAXIFS($K:$K,$E:$E,E463))</x:f>
      </x:c>
      <x:c r="O463" t="str">
        <x:f>IF(M463="","",M463/_xlfn.MAXIFS($M:$M,$E:$E,E463))</x:f>
      </x:c>
      <x:c r="P463" t="str">
        <x:f>IF(OR(N463="",O463=""),"",SQRT(N463*O463))</x:f>
      </x:c>
      <x:c r="Q463" t="str">
        <x:f>IF(OR(N463="",O463=""),"",N463^0.7*O463^0.3)</x:f>
      </x:c>
      <x:c r="R463" t="str">
        <x:f>IF(OR(N463="",O463=""),"",N463^0.3*O463^0.7)</x:f>
      </x:c>
    </x:row>
    <x:row r="464">
      <x:c r="A464" t="inlineStr">
        <x:is>
          <x:t xml:space="preserve">minimax|minimax-m3|reasoning|reasoning|fallback-na|aa-v4.3.2|snapshot-2026-09-28</x:t>
        </x:is>
      </x:c>
      <x:c r="B464" t="inlineStr">
        <x:is>
          <x:t xml:space="preserve">minimax|minimax-m3|reasoning|reasoning|fallback-na</x:t>
        </x:is>
      </x:c>
      <x:c r="C464" t="inlineStr">
        <x:is>
          <x:t xml:space="preserve">AA|v4.3.2</x:t>
        </x:is>
      </x:c>
      <x:c r="D464" t="n">
        <x:v>59</x:v>
      </x:c>
      <x:c r="E464" t="n">
        <x:v>65</x:v>
      </x:c>
      <x:c r="F464" t="n">
        <x:f>INDEX(Run_Metrics!$F:$F,D464)</x:f>
        <x:v>29</x:v>
      </x:c>
      <x:c r="G464" t="n">
        <x:f>INDEX(Run_Metrics!$G:$G,D464)</x:f>
        <x:v>0.51</x:v>
      </x:c>
      <x:c r="H464" t="n">
        <x:f>INDEX(Run_Metrics!$I:$I,D464)</x:f>
        <x:v>4.923333333333333</x:v>
      </x:c>
      <x:c r="I464" t="n">
        <x:f>IF(F464="","",F464-(E464-1))</x:f>
        <x:v>-35</x:v>
      </x:c>
      <x:c r="J464" t="n">
        <x:f>IF(I464&gt;0,1,0)</x:f>
        <x:v>0</x:v>
      </x:c>
      <x:c r="K464" t="str">
        <x:f>IF(OR(J464=0,G464="",G464=0),"",I464/G464)</x:f>
      </x:c>
      <x:c r="L464" t="str">
        <x:f>IF(OR(J464=0,I464=0,G464=""),"",G464/I464)</x:f>
      </x:c>
      <x:c r="M464" t="str">
        <x:f>IF(OR(J464=0,G464="",H464="",G464=0,H464=0),"",I464/(G464*H464))</x:f>
      </x:c>
      <x:c r="N464" t="str">
        <x:f>IF(K464="","",K464/_xlfn.MAXIFS($K:$K,$E:$E,E464))</x:f>
      </x:c>
      <x:c r="O464" t="str">
        <x:f>IF(M464="","",M464/_xlfn.MAXIFS($M:$M,$E:$E,E464))</x:f>
      </x:c>
      <x:c r="P464" t="str">
        <x:f>IF(OR(N464="",O464=""),"",SQRT(N464*O464))</x:f>
      </x:c>
      <x:c r="Q464" t="str">
        <x:f>IF(OR(N464="",O464=""),"",N464^0.7*O464^0.3)</x:f>
      </x:c>
      <x:c r="R464" t="str">
        <x:f>IF(OR(N464="",O464=""),"",N464^0.3*O464^0.7)</x:f>
      </x:c>
    </x:row>
    <x:row r="465">
      <x:c r="A465" t="inlineStr">
        <x:is>
          <x:t xml:space="preserve">minimax|minimax-m3|reasoning|reasoning|fallback-na|aa-v4.3.2|snapshot-2026-09-28</x:t>
        </x:is>
      </x:c>
      <x:c r="B465" t="inlineStr">
        <x:is>
          <x:t xml:space="preserve">minimax|minimax-m3|reasoning|reasoning|fallback-na</x:t>
        </x:is>
      </x:c>
      <x:c r="C465" t="inlineStr">
        <x:is>
          <x:t xml:space="preserve">AA|v4.3.2</x:t>
        </x:is>
      </x:c>
      <x:c r="D465" t="n">
        <x:v>59</x:v>
      </x:c>
      <x:c r="E465" t="n">
        <x:v>80</x:v>
      </x:c>
      <x:c r="F465" t="n">
        <x:f>INDEX(Run_Metrics!$F:$F,D465)</x:f>
        <x:v>29</x:v>
      </x:c>
      <x:c r="G465" t="n">
        <x:f>INDEX(Run_Metrics!$G:$G,D465)</x:f>
        <x:v>0.51</x:v>
      </x:c>
      <x:c r="H465" t="n">
        <x:f>INDEX(Run_Metrics!$I:$I,D465)</x:f>
        <x:v>4.923333333333333</x:v>
      </x:c>
      <x:c r="I465" t="n">
        <x:f>IF(F465="","",F465-(E465-1))</x:f>
        <x:v>-50</x:v>
      </x:c>
      <x:c r="J465" t="n">
        <x:f>IF(I465&gt;0,1,0)</x:f>
        <x:v>0</x:v>
      </x:c>
      <x:c r="K465" t="str">
        <x:f>IF(OR(J465=0,G465="",G465=0),"",I465/G465)</x:f>
      </x:c>
      <x:c r="L465" t="str">
        <x:f>IF(OR(J465=0,I465=0,G465=""),"",G465/I465)</x:f>
      </x:c>
      <x:c r="M465" t="str">
        <x:f>IF(OR(J465=0,G465="",H465="",G465=0,H465=0),"",I465/(G465*H465))</x:f>
      </x:c>
      <x:c r="N465" t="str">
        <x:f>IF(K465="","",K465/_xlfn.MAXIFS($K:$K,$E:$E,E465))</x:f>
      </x:c>
      <x:c r="O465" t="str">
        <x:f>IF(M465="","",M465/_xlfn.MAXIFS($M:$M,$E:$E,E465))</x:f>
      </x:c>
      <x:c r="P465" t="str">
        <x:f>IF(OR(N465="",O465=""),"",SQRT(N465*O465))</x:f>
      </x:c>
      <x:c r="Q465" t="str">
        <x:f>IF(OR(N465="",O465=""),"",N465^0.7*O465^0.3)</x:f>
      </x:c>
      <x:c r="R465" t="str">
        <x:f>IF(OR(N465="",O465=""),"",N465^0.3*O465^0.7)</x:f>
      </x:c>
    </x:row>
    <x:row r="466">
      <x:c r="A466" t="inlineStr">
        <x:is>
          <x:t xml:space="preserve">meta|muse-spark-1.3|xhigh|reasoning|fallback-na|aa-v4.3.2|snapshot-2026-09-28</x:t>
        </x:is>
      </x:c>
      <x:c r="B466" t="inlineStr">
        <x:is>
          <x:t xml:space="preserve">meta|muse-spark-1.3|xhigh|reasoning|fallback-na</x:t>
        </x:is>
      </x:c>
      <x:c r="C466" t="inlineStr">
        <x:is>
          <x:t xml:space="preserve">AA|v4.3.2</x:t>
        </x:is>
      </x:c>
      <x:c r="D466" t="n">
        <x:v>60</x:v>
      </x:c>
      <x:c r="E466" t="n">
        <x:v>20</x:v>
      </x:c>
      <x:c r="F466" t="n">
        <x:f>INDEX(Run_Metrics!$F:$F,D466)</x:f>
        <x:v>45</x:v>
      </x:c>
      <x:c r="G466" t="n">
        <x:f>INDEX(Run_Metrics!$G:$G,D466)</x:f>
        <x:v>1.37</x:v>
      </x:c>
      <x:c r="H466" t="str">
        <x:f>INDEX(Run_Metrics!$I:$I,D466)</x:f>
      </x:c>
      <x:c r="I466" t="n">
        <x:f>IF(F466="","",F466-(E466-1))</x:f>
        <x:v>26</x:v>
      </x:c>
      <x:c r="J466" t="n">
        <x:f>IF(I466&gt;0,1,0)</x:f>
        <x:v>1</x:v>
      </x:c>
      <x:c r="K466" t="n">
        <x:f>IF(OR(J466=0,G466="",G466=0),"",I466/G466)</x:f>
        <x:v>18.97810218978102</x:v>
      </x:c>
      <x:c r="L466" t="n">
        <x:f>IF(OR(J466=0,I466=0,G466=""),"",G466/I466)</x:f>
        <x:v>0.0526923076923077</x:v>
      </x:c>
      <x:c r="M466" t="str">
        <x:f>IF(OR(J466=0,G466="",H466="",G466=0,H466=0),"",I466/(G466*H466))</x:f>
      </x:c>
      <x:c r="N466" t="n">
        <x:f>IF(K466="","",K466/_xlfn.MAXIFS($K:$K,$E:$E,E466))</x:f>
        <x:v>0.028467153284671524</x:v>
      </x:c>
      <x:c r="O466" t="str">
        <x:f>IF(M466="","",M466/_xlfn.MAXIFS($M:$M,$E:$E,E466))</x:f>
      </x:c>
      <x:c r="P466" t="str">
        <x:f>IF(OR(N466="",O466=""),"",SQRT(N466*O466))</x:f>
      </x:c>
      <x:c r="Q466" t="str">
        <x:f>IF(OR(N466="",O466=""),"",N466^0.7*O466^0.3)</x:f>
      </x:c>
      <x:c r="R466" t="str">
        <x:f>IF(OR(N466="",O466=""),"",N466^0.3*O466^0.7)</x:f>
      </x:c>
    </x:row>
    <x:row r="467">
      <x:c r="A467" t="inlineStr">
        <x:is>
          <x:t xml:space="preserve">meta|muse-spark-1.3|xhigh|reasoning|fallback-na|aa-v4.3.2|snapshot-2026-09-28</x:t>
        </x:is>
      </x:c>
      <x:c r="B467" t="inlineStr">
        <x:is>
          <x:t xml:space="preserve">meta|muse-spark-1.3|xhigh|reasoning|fallback-na</x:t>
        </x:is>
      </x:c>
      <x:c r="C467" t="inlineStr">
        <x:is>
          <x:t xml:space="preserve">AA|v4.3.2</x:t>
        </x:is>
      </x:c>
      <x:c r="D467" t="n">
        <x:v>60</x:v>
      </x:c>
      <x:c r="E467" t="n">
        <x:v>30</x:v>
      </x:c>
      <x:c r="F467" t="n">
        <x:f>INDEX(Run_Metrics!$F:$F,D467)</x:f>
        <x:v>45</x:v>
      </x:c>
      <x:c r="G467" t="n">
        <x:f>INDEX(Run_Metrics!$G:$G,D467)</x:f>
        <x:v>1.37</x:v>
      </x:c>
      <x:c r="H467" t="str">
        <x:f>INDEX(Run_Metrics!$I:$I,D467)</x:f>
      </x:c>
      <x:c r="I467" t="n">
        <x:f>IF(F467="","",F467-(E467-1))</x:f>
        <x:v>16</x:v>
      </x:c>
      <x:c r="J467" t="n">
        <x:f>IF(I467&gt;0,1,0)</x:f>
        <x:v>1</x:v>
      </x:c>
      <x:c r="K467" t="n">
        <x:f>IF(OR(J467=0,G467="",G467=0),"",I467/G467)</x:f>
        <x:v>11.678832116788321</x:v>
      </x:c>
      <x:c r="L467" t="n">
        <x:f>IF(OR(J467=0,I467=0,G467=""),"",G467/I467)</x:f>
        <x:v>0.085625</x:v>
      </x:c>
      <x:c r="M467" t="str">
        <x:f>IF(OR(J467=0,G467="",H467="",G467=0,H467=0),"",I467/(G467*H467))</x:f>
      </x:c>
      <x:c r="N467" t="n">
        <x:f>IF(K467="","",K467/_xlfn.MAXIFS($K:$K,$E:$E,E467))</x:f>
        <x:v>0.07785888077858881</x:v>
      </x:c>
      <x:c r="O467" t="str">
        <x:f>IF(M467="","",M467/_xlfn.MAXIFS($M:$M,$E:$E,E467))</x:f>
      </x:c>
      <x:c r="P467" t="str">
        <x:f>IF(OR(N467="",O467=""),"",SQRT(N467*O467))</x:f>
      </x:c>
      <x:c r="Q467" t="str">
        <x:f>IF(OR(N467="",O467=""),"",N467^0.7*O467^0.3)</x:f>
      </x:c>
      <x:c r="R467" t="str">
        <x:f>IF(OR(N467="",O467=""),"",N467^0.3*O467^0.7)</x:f>
      </x:c>
    </x:row>
    <x:row r="468">
      <x:c r="A468" t="inlineStr">
        <x:is>
          <x:t xml:space="preserve">meta|muse-spark-1.3|xhigh|reasoning|fallback-na|aa-v4.3.2|snapshot-2026-09-28</x:t>
        </x:is>
      </x:c>
      <x:c r="B468" t="inlineStr">
        <x:is>
          <x:t xml:space="preserve">meta|muse-spark-1.3|xhigh|reasoning|fallback-na</x:t>
        </x:is>
      </x:c>
      <x:c r="C468" t="inlineStr">
        <x:is>
          <x:t xml:space="preserve">AA|v4.3.2</x:t>
        </x:is>
      </x:c>
      <x:c r="D468" t="n">
        <x:v>60</x:v>
      </x:c>
      <x:c r="E468" t="n">
        <x:v>40</x:v>
      </x:c>
      <x:c r="F468" t="n">
        <x:f>INDEX(Run_Metrics!$F:$F,D468)</x:f>
        <x:v>45</x:v>
      </x:c>
      <x:c r="G468" t="n">
        <x:f>INDEX(Run_Metrics!$G:$G,D468)</x:f>
        <x:v>1.37</x:v>
      </x:c>
      <x:c r="H468" t="str">
        <x:f>INDEX(Run_Metrics!$I:$I,D468)</x:f>
      </x:c>
      <x:c r="I468" t="n">
        <x:f>IF(F468="","",F468-(E468-1))</x:f>
        <x:v>6</x:v>
      </x:c>
      <x:c r="J468" t="n">
        <x:f>IF(I468&gt;0,1,0)</x:f>
        <x:v>1</x:v>
      </x:c>
      <x:c r="K468" t="n">
        <x:f>IF(OR(J468=0,G468="",G468=0),"",I468/G468)</x:f>
        <x:v>4.37956204379562</x:v>
      </x:c>
      <x:c r="L468" t="n">
        <x:f>IF(OR(J468=0,I468=0,G468=""),"",G468/I468)</x:f>
        <x:v>0.22833333333333336</x:v>
      </x:c>
      <x:c r="M468" t="str">
        <x:f>IF(OR(J468=0,G468="",H468="",G468=0,H468=0),"",I468/(G468*H468))</x:f>
      </x:c>
      <x:c r="N468" t="n">
        <x:f>IF(K468="","",K468/_xlfn.MAXIFS($K:$K,$E:$E,E468))</x:f>
        <x:v>0.08133472367049009</x:v>
      </x:c>
      <x:c r="O468" t="str">
        <x:f>IF(M468="","",M468/_xlfn.MAXIFS($M:$M,$E:$E,E468))</x:f>
      </x:c>
      <x:c r="P468" t="str">
        <x:f>IF(OR(N468="",O468=""),"",SQRT(N468*O468))</x:f>
      </x:c>
      <x:c r="Q468" t="str">
        <x:f>IF(OR(N468="",O468=""),"",N468^0.7*O468^0.3)</x:f>
      </x:c>
      <x:c r="R468" t="str">
        <x:f>IF(OR(N468="",O468=""),"",N468^0.3*O468^0.7)</x:f>
      </x:c>
    </x:row>
    <x:row r="469">
      <x:c r="A469" t="inlineStr">
        <x:is>
          <x:t xml:space="preserve">meta|muse-spark-1.3|xhigh|reasoning|fallback-na|aa-v4.3.2|snapshot-2026-09-28</x:t>
        </x:is>
      </x:c>
      <x:c r="B469" t="inlineStr">
        <x:is>
          <x:t xml:space="preserve">meta|muse-spark-1.3|xhigh|reasoning|fallback-na</x:t>
        </x:is>
      </x:c>
      <x:c r="C469" t="inlineStr">
        <x:is>
          <x:t xml:space="preserve">AA|v4.3.2</x:t>
        </x:is>
      </x:c>
      <x:c r="D469" t="n">
        <x:v>60</x:v>
      </x:c>
      <x:c r="E469" t="n">
        <x:v>45</x:v>
      </x:c>
      <x:c r="F469" t="n">
        <x:f>INDEX(Run_Metrics!$F:$F,D469)</x:f>
        <x:v>45</x:v>
      </x:c>
      <x:c r="G469" t="n">
        <x:f>INDEX(Run_Metrics!$G:$G,D469)</x:f>
        <x:v>1.37</x:v>
      </x:c>
      <x:c r="H469" t="str">
        <x:f>INDEX(Run_Metrics!$I:$I,D469)</x:f>
      </x:c>
      <x:c r="I469" t="n">
        <x:f>IF(F469="","",F469-(E469-1))</x:f>
        <x:v>1</x:v>
      </x:c>
      <x:c r="J469" t="n">
        <x:f>IF(I469&gt;0,1,0)</x:f>
        <x:v>1</x:v>
      </x:c>
      <x:c r="K469" t="n">
        <x:f>IF(OR(J469=0,G469="",G469=0),"",I469/G469)</x:f>
        <x:v>0.7299270072992701</x:v>
      </x:c>
      <x:c r="L469" t="n">
        <x:f>IF(OR(J469=0,I469=0,G469=""),"",G469/I469)</x:f>
        <x:v>1.37</x:v>
      </x:c>
      <x:c r="M469" t="str">
        <x:f>IF(OR(J469=0,G469="",H469="",G469=0,H469=0),"",I469/(G469*H469))</x:f>
      </x:c>
      <x:c r="N469" t="n">
        <x:f>IF(K469="","",K469/_xlfn.MAXIFS($K:$K,$E:$E,E469))</x:f>
        <x:v>0.03832116788321168</x:v>
      </x:c>
      <x:c r="O469" t="str">
        <x:f>IF(M469="","",M469/_xlfn.MAXIFS($M:$M,$E:$E,E469))</x:f>
      </x:c>
      <x:c r="P469" t="str">
        <x:f>IF(OR(N469="",O469=""),"",SQRT(N469*O469))</x:f>
      </x:c>
      <x:c r="Q469" t="str">
        <x:f>IF(OR(N469="",O469=""),"",N469^0.7*O469^0.3)</x:f>
      </x:c>
      <x:c r="R469" t="str">
        <x:f>IF(OR(N469="",O469=""),"",N469^0.3*O469^0.7)</x:f>
      </x:c>
    </x:row>
    <x:row r="470">
      <x:c r="A470" t="inlineStr">
        <x:is>
          <x:t xml:space="preserve">meta|muse-spark-1.3|xhigh|reasoning|fallback-na|aa-v4.3.2|snapshot-2026-09-28</x:t>
        </x:is>
      </x:c>
      <x:c r="B470" t="inlineStr">
        <x:is>
          <x:t xml:space="preserve">meta|muse-spark-1.3|xhigh|reasoning|fallback-na</x:t>
        </x:is>
      </x:c>
      <x:c r="C470" t="inlineStr">
        <x:is>
          <x:t xml:space="preserve">AA|v4.3.2</x:t>
        </x:is>
      </x:c>
      <x:c r="D470" t="n">
        <x:v>60</x:v>
      </x:c>
      <x:c r="E470" t="n">
        <x:v>50</x:v>
      </x:c>
      <x:c r="F470" t="n">
        <x:f>INDEX(Run_Metrics!$F:$F,D470)</x:f>
        <x:v>45</x:v>
      </x:c>
      <x:c r="G470" t="n">
        <x:f>INDEX(Run_Metrics!$G:$G,D470)</x:f>
        <x:v>1.37</x:v>
      </x:c>
      <x:c r="H470" t="str">
        <x:f>INDEX(Run_Metrics!$I:$I,D470)</x:f>
      </x:c>
      <x:c r="I470" t="n">
        <x:f>IF(F470="","",F470-(E470-1))</x:f>
        <x:v>-4</x:v>
      </x:c>
      <x:c r="J470" t="n">
        <x:f>IF(I470&gt;0,1,0)</x:f>
        <x:v>0</x:v>
      </x:c>
      <x:c r="K470" t="str">
        <x:f>IF(OR(J470=0,G470="",G470=0),"",I470/G470)</x:f>
      </x:c>
      <x:c r="L470" t="str">
        <x:f>IF(OR(J470=0,I470=0,G470=""),"",G470/I470)</x:f>
      </x:c>
      <x:c r="M470" t="str">
        <x:f>IF(OR(J470=0,G470="",H470="",G470=0,H470=0),"",I470/(G470*H470))</x:f>
      </x:c>
      <x:c r="N470" t="str">
        <x:f>IF(K470="","",K470/_xlfn.MAXIFS($K:$K,$E:$E,E470))</x:f>
      </x:c>
      <x:c r="O470" t="str">
        <x:f>IF(M470="","",M470/_xlfn.MAXIFS($M:$M,$E:$E,E470))</x:f>
      </x:c>
      <x:c r="P470" t="str">
        <x:f>IF(OR(N470="",O470=""),"",SQRT(N470*O470))</x:f>
      </x:c>
      <x:c r="Q470" t="str">
        <x:f>IF(OR(N470="",O470=""),"",N470^0.7*O470^0.3)</x:f>
      </x:c>
      <x:c r="R470" t="str">
        <x:f>IF(OR(N470="",O470=""),"",N470^0.3*O470^0.7)</x:f>
      </x:c>
    </x:row>
    <x:row r="471">
      <x:c r="A471" t="inlineStr">
        <x:is>
          <x:t xml:space="preserve">meta|muse-spark-1.3|xhigh|reasoning|fallback-na|aa-v4.3.2|snapshot-2026-09-28</x:t>
        </x:is>
      </x:c>
      <x:c r="B471" t="inlineStr">
        <x:is>
          <x:t xml:space="preserve">meta|muse-spark-1.3|xhigh|reasoning|fallback-na</x:t>
        </x:is>
      </x:c>
      <x:c r="C471" t="inlineStr">
        <x:is>
          <x:t xml:space="preserve">AA|v4.3.2</x:t>
        </x:is>
      </x:c>
      <x:c r="D471" t="n">
        <x:v>60</x:v>
      </x:c>
      <x:c r="E471" t="n">
        <x:v>52</x:v>
      </x:c>
      <x:c r="F471" t="n">
        <x:f>INDEX(Run_Metrics!$F:$F,D471)</x:f>
        <x:v>45</x:v>
      </x:c>
      <x:c r="G471" t="n">
        <x:f>INDEX(Run_Metrics!$G:$G,D471)</x:f>
        <x:v>1.37</x:v>
      </x:c>
      <x:c r="H471" t="str">
        <x:f>INDEX(Run_Metrics!$I:$I,D471)</x:f>
      </x:c>
      <x:c r="I471" t="n">
        <x:f>IF(F471="","",F471-(E471-1))</x:f>
        <x:v>-6</x:v>
      </x:c>
      <x:c r="J471" t="n">
        <x:f>IF(I471&gt;0,1,0)</x:f>
        <x:v>0</x:v>
      </x:c>
      <x:c r="K471" t="str">
        <x:f>IF(OR(J471=0,G471="",G471=0),"",I471/G471)</x:f>
      </x:c>
      <x:c r="L471" t="str">
        <x:f>IF(OR(J471=0,I471=0,G471=""),"",G471/I471)</x:f>
      </x:c>
      <x:c r="M471" t="str">
        <x:f>IF(OR(J471=0,G471="",H471="",G471=0,H471=0),"",I471/(G471*H471))</x:f>
      </x:c>
      <x:c r="N471" t="str">
        <x:f>IF(K471="","",K471/_xlfn.MAXIFS($K:$K,$E:$E,E471))</x:f>
      </x:c>
      <x:c r="O471" t="str">
        <x:f>IF(M471="","",M471/_xlfn.MAXIFS($M:$M,$E:$E,E471))</x:f>
      </x:c>
      <x:c r="P471" t="str">
        <x:f>IF(OR(N471="",O471=""),"",SQRT(N471*O471))</x:f>
      </x:c>
      <x:c r="Q471" t="str">
        <x:f>IF(OR(N471="",O471=""),"",N471^0.7*O471^0.3)</x:f>
      </x:c>
      <x:c r="R471" t="str">
        <x:f>IF(OR(N471="",O471=""),"",N471^0.3*O471^0.7)</x:f>
      </x:c>
    </x:row>
    <x:row r="472">
      <x:c r="A472" t="inlineStr">
        <x:is>
          <x:t xml:space="preserve">meta|muse-spark-1.3|xhigh|reasoning|fallback-na|aa-v4.3.2|snapshot-2026-09-28</x:t>
        </x:is>
      </x:c>
      <x:c r="B472" t="inlineStr">
        <x:is>
          <x:t xml:space="preserve">meta|muse-spark-1.3|xhigh|reasoning|fallback-na</x:t>
        </x:is>
      </x:c>
      <x:c r="C472" t="inlineStr">
        <x:is>
          <x:t xml:space="preserve">AA|v4.3.2</x:t>
        </x:is>
      </x:c>
      <x:c r="D472" t="n">
        <x:v>60</x:v>
      </x:c>
      <x:c r="E472" t="n">
        <x:v>65</x:v>
      </x:c>
      <x:c r="F472" t="n">
        <x:f>INDEX(Run_Metrics!$F:$F,D472)</x:f>
        <x:v>45</x:v>
      </x:c>
      <x:c r="G472" t="n">
        <x:f>INDEX(Run_Metrics!$G:$G,D472)</x:f>
        <x:v>1.37</x:v>
      </x:c>
      <x:c r="H472" t="str">
        <x:f>INDEX(Run_Metrics!$I:$I,D472)</x:f>
      </x:c>
      <x:c r="I472" t="n">
        <x:f>IF(F472="","",F472-(E472-1))</x:f>
        <x:v>-19</x:v>
      </x:c>
      <x:c r="J472" t="n">
        <x:f>IF(I472&gt;0,1,0)</x:f>
        <x:v>0</x:v>
      </x:c>
      <x:c r="K472" t="str">
        <x:f>IF(OR(J472=0,G472="",G472=0),"",I472/G472)</x:f>
      </x:c>
      <x:c r="L472" t="str">
        <x:f>IF(OR(J472=0,I472=0,G472=""),"",G472/I472)</x:f>
      </x:c>
      <x:c r="M472" t="str">
        <x:f>IF(OR(J472=0,G472="",H472="",G472=0,H472=0),"",I472/(G472*H472))</x:f>
      </x:c>
      <x:c r="N472" t="str">
        <x:f>IF(K472="","",K472/_xlfn.MAXIFS($K:$K,$E:$E,E472))</x:f>
      </x:c>
      <x:c r="O472" t="str">
        <x:f>IF(M472="","",M472/_xlfn.MAXIFS($M:$M,$E:$E,E472))</x:f>
      </x:c>
      <x:c r="P472" t="str">
        <x:f>IF(OR(N472="",O472=""),"",SQRT(N472*O472))</x:f>
      </x:c>
      <x:c r="Q472" t="str">
        <x:f>IF(OR(N472="",O472=""),"",N472^0.7*O472^0.3)</x:f>
      </x:c>
      <x:c r="R472" t="str">
        <x:f>IF(OR(N472="",O472=""),"",N472^0.3*O472^0.7)</x:f>
      </x:c>
    </x:row>
    <x:row r="473">
      <x:c r="A473" t="inlineStr">
        <x:is>
          <x:t xml:space="preserve">meta|muse-spark-1.3|xhigh|reasoning|fallback-na|aa-v4.3.2|snapshot-2026-09-28</x:t>
        </x:is>
      </x:c>
      <x:c r="B473" t="inlineStr">
        <x:is>
          <x:t xml:space="preserve">meta|muse-spark-1.3|xhigh|reasoning|fallback-na</x:t>
        </x:is>
      </x:c>
      <x:c r="C473" t="inlineStr">
        <x:is>
          <x:t xml:space="preserve">AA|v4.3.2</x:t>
        </x:is>
      </x:c>
      <x:c r="D473" t="n">
        <x:v>60</x:v>
      </x:c>
      <x:c r="E473" t="n">
        <x:v>80</x:v>
      </x:c>
      <x:c r="F473" t="n">
        <x:f>INDEX(Run_Metrics!$F:$F,D473)</x:f>
        <x:v>45</x:v>
      </x:c>
      <x:c r="G473" t="n">
        <x:f>INDEX(Run_Metrics!$G:$G,D473)</x:f>
        <x:v>1.37</x:v>
      </x:c>
      <x:c r="H473" t="str">
        <x:f>INDEX(Run_Metrics!$I:$I,D473)</x:f>
      </x:c>
      <x:c r="I473" t="n">
        <x:f>IF(F473="","",F473-(E473-1))</x:f>
        <x:v>-34</x:v>
      </x:c>
      <x:c r="J473" t="n">
        <x:f>IF(I473&gt;0,1,0)</x:f>
        <x:v>0</x:v>
      </x:c>
      <x:c r="K473" t="str">
        <x:f>IF(OR(J473=0,G473="",G473=0),"",I473/G473)</x:f>
      </x:c>
      <x:c r="L473" t="str">
        <x:f>IF(OR(J473=0,I473=0,G473=""),"",G473/I473)</x:f>
      </x:c>
      <x:c r="M473" t="str">
        <x:f>IF(OR(J473=0,G473="",H473="",G473=0,H473=0),"",I473/(G473*H473))</x:f>
      </x:c>
      <x:c r="N473" t="str">
        <x:f>IF(K473="","",K473/_xlfn.MAXIFS($K:$K,$E:$E,E473))</x:f>
      </x:c>
      <x:c r="O473" t="str">
        <x:f>IF(M473="","",M473/_xlfn.MAXIFS($M:$M,$E:$E,E473))</x:f>
      </x:c>
      <x:c r="P473" t="str">
        <x:f>IF(OR(N473="",O473=""),"",SQRT(N473*O473))</x:f>
      </x:c>
      <x:c r="Q473" t="str">
        <x:f>IF(OR(N473="",O473=""),"",N473^0.7*O473^0.3)</x:f>
      </x:c>
      <x:c r="R473" t="str">
        <x:f>IF(OR(N473="",O473=""),"",N473^0.3*O473^0.7)</x:f>
      </x:c>
    </x:row>
    <x:row r="474">
      <x:c r="A474" t="inlineStr">
        <x:is>
          <x:t xml:space="preserve">meta|muse-spark-1.3|max|reasoning|fallback-na|aa-v4.3.2|snapshot-2026-09-28</x:t>
        </x:is>
      </x:c>
      <x:c r="B474" t="inlineStr">
        <x:is>
          <x:t xml:space="preserve">meta|muse-spark-1.3|max|reasoning|fallback-na</x:t>
        </x:is>
      </x:c>
      <x:c r="C474" t="inlineStr">
        <x:is>
          <x:t xml:space="preserve">AA|v4.3.2</x:t>
        </x:is>
      </x:c>
      <x:c r="D474" t="n">
        <x:v>61</x:v>
      </x:c>
      <x:c r="E474" t="n">
        <x:v>20</x:v>
      </x:c>
      <x:c r="F474" t="n">
        <x:f>INDEX(Run_Metrics!$F:$F,D474)</x:f>
        <x:v>48</x:v>
      </x:c>
      <x:c r="G474" t="n">
        <x:f>INDEX(Run_Metrics!$G:$G,D474)</x:f>
        <x:v>1.6</x:v>
      </x:c>
      <x:c r="H474" t="n">
        <x:f>INDEX(Run_Metrics!$I:$I,D474)</x:f>
        <x:v>5.212833333333333</x:v>
      </x:c>
      <x:c r="I474" t="n">
        <x:f>IF(F474="","",F474-(E474-1))</x:f>
        <x:v>29</x:v>
      </x:c>
      <x:c r="J474" t="n">
        <x:f>IF(I474&gt;0,1,0)</x:f>
        <x:v>1</x:v>
      </x:c>
      <x:c r="K474" t="n">
        <x:f>IF(OR(J474=0,G474="",G474=0),"",I474/G474)</x:f>
        <x:v>18.125</x:v>
      </x:c>
      <x:c r="L474" t="n">
        <x:f>IF(OR(J474=0,I474=0,G474=""),"",G474/I474)</x:f>
        <x:v>0.055172413793103454</x:v>
      </x:c>
      <x:c r="M474" t="n">
        <x:f>IF(OR(J474=0,G474="",H474="",G474=0,H474=0),"",I474/(G474*H474))</x:f>
        <x:v>3.4769958755635133</x:v>
      </x:c>
      <x:c r="N474" t="n">
        <x:f>IF(K474="","",K474/_xlfn.MAXIFS($K:$K,$E:$E,E474))</x:f>
        <x:v>0.027187499999999996</x:v>
      </x:c>
      <x:c r="O474" t="n">
        <x:f>IF(M474="","",M474/_xlfn.MAXIFS($M:$M,$E:$E,E474))</x:f>
        <x:v>0.0018423731895642163</x:v>
      </x:c>
      <x:c r="P474" t="n">
        <x:f>IF(OR(N474="",O474=""),"",SQRT(N474*O474))</x:f>
        <x:v>0.007077395078083258</x:v>
      </x:c>
      <x:c r="Q474" t="n">
        <x:f>IF(OR(N474="",O474=""),"",N474^0.7*O474^0.3)</x:f>
        <x:v>0.012124721548010284</x:v>
      </x:c>
      <x:c r="R474" t="n">
        <x:f>IF(OR(N474="",O474=""),"",N474^0.3*O474^0.7)</x:f>
        <x:v>0.0041311893962213955</x:v>
      </x:c>
    </x:row>
    <x:row r="475">
      <x:c r="A475" t="inlineStr">
        <x:is>
          <x:t xml:space="preserve">meta|muse-spark-1.3|max|reasoning|fallback-na|aa-v4.3.2|snapshot-2026-09-28</x:t>
        </x:is>
      </x:c>
      <x:c r="B475" t="inlineStr">
        <x:is>
          <x:t xml:space="preserve">meta|muse-spark-1.3|max|reasoning|fallback-na</x:t>
        </x:is>
      </x:c>
      <x:c r="C475" t="inlineStr">
        <x:is>
          <x:t xml:space="preserve">AA|v4.3.2</x:t>
        </x:is>
      </x:c>
      <x:c r="D475" t="n">
        <x:v>61</x:v>
      </x:c>
      <x:c r="E475" t="n">
        <x:v>30</x:v>
      </x:c>
      <x:c r="F475" t="n">
        <x:f>INDEX(Run_Metrics!$F:$F,D475)</x:f>
        <x:v>48</x:v>
      </x:c>
      <x:c r="G475" t="n">
        <x:f>INDEX(Run_Metrics!$G:$G,D475)</x:f>
        <x:v>1.6</x:v>
      </x:c>
      <x:c r="H475" t="n">
        <x:f>INDEX(Run_Metrics!$I:$I,D475)</x:f>
        <x:v>5.212833333333333</x:v>
      </x:c>
      <x:c r="I475" t="n">
        <x:f>IF(F475="","",F475-(E475-1))</x:f>
        <x:v>19</x:v>
      </x:c>
      <x:c r="J475" t="n">
        <x:f>IF(I475&gt;0,1,0)</x:f>
        <x:v>1</x:v>
      </x:c>
      <x:c r="K475" t="n">
        <x:f>IF(OR(J475=0,G475="",G475=0),"",I475/G475)</x:f>
        <x:v>11.875</x:v>
      </x:c>
      <x:c r="L475" t="n">
        <x:f>IF(OR(J475=0,I475=0,G475=""),"",G475/I475)</x:f>
        <x:v>0.08421052631578947</x:v>
      </x:c>
      <x:c r="M475" t="n">
        <x:f>IF(OR(J475=0,G475="",H475="",G475=0,H475=0),"",I475/(G475*H475))</x:f>
        <x:v>2.278031780541612</x:v>
      </x:c>
      <x:c r="N475" t="n">
        <x:f>IF(K475="","",K475/_xlfn.MAXIFS($K:$K,$E:$E,E475))</x:f>
        <x:v>0.07916666666666666</x:v>
      </x:c>
      <x:c r="O475" t="n">
        <x:f>IF(M475="","",M475/_xlfn.MAXIFS($M:$M,$E:$E,E475))</x:f>
        <x:v>0.04054213159829907</x:v>
      </x:c>
      <x:c r="P475" t="n">
        <x:f>IF(OR(N475="",O475=""),"",SQRT(N475*O475))</x:f>
        <x:v>0.05665320307095333</x:v>
      </x:c>
      <x:c r="Q475" t="n">
        <x:f>IF(OR(N475="",O475=""),"",N475^0.7*O475^0.3)</x:f>
        <x:v>0.06476667849173529</x:v>
      </x:c>
      <x:c r="R475" t="n">
        <x:f>IF(OR(N475="",O475=""),"",N475^0.3*O475^0.7)</x:f>
        <x:v>0.049556121958735995</x:v>
      </x:c>
    </x:row>
    <x:row r="476">
      <x:c r="A476" t="inlineStr">
        <x:is>
          <x:t xml:space="preserve">meta|muse-spark-1.3|max|reasoning|fallback-na|aa-v4.3.2|snapshot-2026-09-28</x:t>
        </x:is>
      </x:c>
      <x:c r="B476" t="inlineStr">
        <x:is>
          <x:t xml:space="preserve">meta|muse-spark-1.3|max|reasoning|fallback-na</x:t>
        </x:is>
      </x:c>
      <x:c r="C476" t="inlineStr">
        <x:is>
          <x:t xml:space="preserve">AA|v4.3.2</x:t>
        </x:is>
      </x:c>
      <x:c r="D476" t="n">
        <x:v>61</x:v>
      </x:c>
      <x:c r="E476" t="n">
        <x:v>40</x:v>
      </x:c>
      <x:c r="F476" t="n">
        <x:f>INDEX(Run_Metrics!$F:$F,D476)</x:f>
        <x:v>48</x:v>
      </x:c>
      <x:c r="G476" t="n">
        <x:f>INDEX(Run_Metrics!$G:$G,D476)</x:f>
        <x:v>1.6</x:v>
      </x:c>
      <x:c r="H476" t="n">
        <x:f>INDEX(Run_Metrics!$I:$I,D476)</x:f>
        <x:v>5.212833333333333</x:v>
      </x:c>
      <x:c r="I476" t="n">
        <x:f>IF(F476="","",F476-(E476-1))</x:f>
        <x:v>9</x:v>
      </x:c>
      <x:c r="J476" t="n">
        <x:f>IF(I476&gt;0,1,0)</x:f>
        <x:v>1</x:v>
      </x:c>
      <x:c r="K476" t="n">
        <x:f>IF(OR(J476=0,G476="",G476=0),"",I476/G476)</x:f>
        <x:v>5.625</x:v>
      </x:c>
      <x:c r="L476" t="n">
        <x:f>IF(OR(J476=0,I476=0,G476=""),"",G476/I476)</x:f>
        <x:v>0.17777777777777778</x:v>
      </x:c>
      <x:c r="M476" t="n">
        <x:f>IF(OR(J476=0,G476="",H476="",G476=0,H476=0),"",I476/(G476*H476))</x:f>
        <x:v>1.079067685519711</x:v>
      </x:c>
      <x:c r="N476" t="n">
        <x:f>IF(K476="","",K476/_xlfn.MAXIFS($K:$K,$E:$E,E476))</x:f>
        <x:v>0.10446428571428572</x:v>
      </x:c>
      <x:c r="O476" t="n">
        <x:f>IF(M476="","",M476/_xlfn.MAXIFS($M:$M,$E:$E,E476))</x:f>
        <x:v>0.17905278410881567</x:v>
      </x:c>
      <x:c r="P476" t="n">
        <x:f>IF(OR(N476="",O476=""),"",SQRT(N476*O476))</x:f>
        <x:v>0.13676483903796924</x:v>
      </x:c>
      <x:c r="Q476" t="n">
        <x:f>IF(OR(N476="",O476=""),"",N476^0.7*O476^0.3)</x:f>
        <x:v>0.12279249133237362</x:v>
      </x:c>
      <x:c r="R476" t="n">
        <x:f>IF(OR(N476="",O476=""),"",N476^0.3*O476^0.7)</x:f>
        <x:v>0.15232707630674372</x:v>
      </x:c>
    </x:row>
    <x:row r="477">
      <x:c r="A477" t="inlineStr">
        <x:is>
          <x:t xml:space="preserve">meta|muse-spark-1.3|max|reasoning|fallback-na|aa-v4.3.2|snapshot-2026-09-28</x:t>
        </x:is>
      </x:c>
      <x:c r="B477" t="inlineStr">
        <x:is>
          <x:t xml:space="preserve">meta|muse-spark-1.3|max|reasoning|fallback-na</x:t>
        </x:is>
      </x:c>
      <x:c r="C477" t="inlineStr">
        <x:is>
          <x:t xml:space="preserve">AA|v4.3.2</x:t>
        </x:is>
      </x:c>
      <x:c r="D477" t="n">
        <x:v>61</x:v>
      </x:c>
      <x:c r="E477" t="n">
        <x:v>45</x:v>
      </x:c>
      <x:c r="F477" t="n">
        <x:f>INDEX(Run_Metrics!$F:$F,D477)</x:f>
        <x:v>48</x:v>
      </x:c>
      <x:c r="G477" t="n">
        <x:f>INDEX(Run_Metrics!$G:$G,D477)</x:f>
        <x:v>1.6</x:v>
      </x:c>
      <x:c r="H477" t="n">
        <x:f>INDEX(Run_Metrics!$I:$I,D477)</x:f>
        <x:v>5.212833333333333</x:v>
      </x:c>
      <x:c r="I477" t="n">
        <x:f>IF(F477="","",F477-(E477-1))</x:f>
        <x:v>4</x:v>
      </x:c>
      <x:c r="J477" t="n">
        <x:f>IF(I477&gt;0,1,0)</x:f>
        <x:v>1</x:v>
      </x:c>
      <x:c r="K477" t="n">
        <x:f>IF(OR(J477=0,G477="",G477=0),"",I477/G477)</x:f>
        <x:v>2.5</x:v>
      </x:c>
      <x:c r="L477" t="n">
        <x:f>IF(OR(J477=0,I477=0,G477=""),"",G477/I477)</x:f>
        <x:v>0.4</x:v>
      </x:c>
      <x:c r="M477" t="n">
        <x:f>IF(OR(J477=0,G477="",H477="",G477=0,H477=0),"",I477/(G477*H477))</x:f>
        <x:v>0.4795856380087604</x:v>
      </x:c>
      <x:c r="N477" t="n">
        <x:f>IF(K477="","",K477/_xlfn.MAXIFS($K:$K,$E:$E,E477))</x:f>
        <x:v>0.13125</x:v>
      </x:c>
      <x:c r="O477" t="n">
        <x:f>IF(M477="","",M477/_xlfn.MAXIFS($M:$M,$E:$E,E477))</x:f>
        <x:v>0.2785265530581577</x:v>
      </x:c>
      <x:c r="P477" t="n">
        <x:f>IF(OR(N477="",O477=""),"",SQRT(N477*O477))</x:f>
        <x:v>0.19119782971802585</x:v>
      </x:c>
      <x:c r="Q477" t="n">
        <x:f>IF(OR(N477="",O477=""),"",N477^0.7*O477^0.3)</x:f>
        <x:v>0.1644862122218558</x:v>
      </x:c>
      <x:c r="R477" t="n">
        <x:f>IF(OR(N477="",O477=""),"",N477^0.3*O477^0.7)</x:f>
        <x:v>0.22224726069791412</x:v>
      </x:c>
    </x:row>
    <x:row r="478">
      <x:c r="A478" t="inlineStr">
        <x:is>
          <x:t xml:space="preserve">meta|muse-spark-1.3|max|reasoning|fallback-na|aa-v4.3.2|snapshot-2026-09-28</x:t>
        </x:is>
      </x:c>
      <x:c r="B478" t="inlineStr">
        <x:is>
          <x:t xml:space="preserve">meta|muse-spark-1.3|max|reasoning|fallback-na</x:t>
        </x:is>
      </x:c>
      <x:c r="C478" t="inlineStr">
        <x:is>
          <x:t xml:space="preserve">AA|v4.3.2</x:t>
        </x:is>
      </x:c>
      <x:c r="D478" t="n">
        <x:v>61</x:v>
      </x:c>
      <x:c r="E478" t="n">
        <x:v>50</x:v>
      </x:c>
      <x:c r="F478" t="n">
        <x:f>INDEX(Run_Metrics!$F:$F,D478)</x:f>
        <x:v>48</x:v>
      </x:c>
      <x:c r="G478" t="n">
        <x:f>INDEX(Run_Metrics!$G:$G,D478)</x:f>
        <x:v>1.6</x:v>
      </x:c>
      <x:c r="H478" t="n">
        <x:f>INDEX(Run_Metrics!$I:$I,D478)</x:f>
        <x:v>5.212833333333333</x:v>
      </x:c>
      <x:c r="I478" t="n">
        <x:f>IF(F478="","",F478-(E478-1))</x:f>
        <x:v>-1</x:v>
      </x:c>
      <x:c r="J478" t="n">
        <x:f>IF(I478&gt;0,1,0)</x:f>
        <x:v>0</x:v>
      </x:c>
      <x:c r="K478" t="str">
        <x:f>IF(OR(J478=0,G478="",G478=0),"",I478/G478)</x:f>
      </x:c>
      <x:c r="L478" t="str">
        <x:f>IF(OR(J478=0,I478=0,G478=""),"",G478/I478)</x:f>
      </x:c>
      <x:c r="M478" t="str">
        <x:f>IF(OR(J478=0,G478="",H478="",G478=0,H478=0),"",I478/(G478*H478))</x:f>
      </x:c>
      <x:c r="N478" t="str">
        <x:f>IF(K478="","",K478/_xlfn.MAXIFS($K:$K,$E:$E,E478))</x:f>
      </x:c>
      <x:c r="O478" t="str">
        <x:f>IF(M478="","",M478/_xlfn.MAXIFS($M:$M,$E:$E,E478))</x:f>
      </x:c>
      <x:c r="P478" t="str">
        <x:f>IF(OR(N478="",O478=""),"",SQRT(N478*O478))</x:f>
      </x:c>
      <x:c r="Q478" t="str">
        <x:f>IF(OR(N478="",O478=""),"",N478^0.7*O478^0.3)</x:f>
      </x:c>
      <x:c r="R478" t="str">
        <x:f>IF(OR(N478="",O478=""),"",N478^0.3*O478^0.7)</x:f>
      </x:c>
    </x:row>
    <x:row r="479">
      <x:c r="A479" t="inlineStr">
        <x:is>
          <x:t xml:space="preserve">meta|muse-spark-1.3|max|reasoning|fallback-na|aa-v4.3.2|snapshot-2026-09-28</x:t>
        </x:is>
      </x:c>
      <x:c r="B479" t="inlineStr">
        <x:is>
          <x:t xml:space="preserve">meta|muse-spark-1.3|max|reasoning|fallback-na</x:t>
        </x:is>
      </x:c>
      <x:c r="C479" t="inlineStr">
        <x:is>
          <x:t xml:space="preserve">AA|v4.3.2</x:t>
        </x:is>
      </x:c>
      <x:c r="D479" t="n">
        <x:v>61</x:v>
      </x:c>
      <x:c r="E479" t="n">
        <x:v>52</x:v>
      </x:c>
      <x:c r="F479" t="n">
        <x:f>INDEX(Run_Metrics!$F:$F,D479)</x:f>
        <x:v>48</x:v>
      </x:c>
      <x:c r="G479" t="n">
        <x:f>INDEX(Run_Metrics!$G:$G,D479)</x:f>
        <x:v>1.6</x:v>
      </x:c>
      <x:c r="H479" t="n">
        <x:f>INDEX(Run_Metrics!$I:$I,D479)</x:f>
        <x:v>5.212833333333333</x:v>
      </x:c>
      <x:c r="I479" t="n">
        <x:f>IF(F479="","",F479-(E479-1))</x:f>
        <x:v>-3</x:v>
      </x:c>
      <x:c r="J479" t="n">
        <x:f>IF(I479&gt;0,1,0)</x:f>
        <x:v>0</x:v>
      </x:c>
      <x:c r="K479" t="str">
        <x:f>IF(OR(J479=0,G479="",G479=0),"",I479/G479)</x:f>
      </x:c>
      <x:c r="L479" t="str">
        <x:f>IF(OR(J479=0,I479=0,G479=""),"",G479/I479)</x:f>
      </x:c>
      <x:c r="M479" t="str">
        <x:f>IF(OR(J479=0,G479="",H479="",G479=0,H479=0),"",I479/(G479*H479))</x:f>
      </x:c>
      <x:c r="N479" t="str">
        <x:f>IF(K479="","",K479/_xlfn.MAXIFS($K:$K,$E:$E,E479))</x:f>
      </x:c>
      <x:c r="O479" t="str">
        <x:f>IF(M479="","",M479/_xlfn.MAXIFS($M:$M,$E:$E,E479))</x:f>
      </x:c>
      <x:c r="P479" t="str">
        <x:f>IF(OR(N479="",O479=""),"",SQRT(N479*O479))</x:f>
      </x:c>
      <x:c r="Q479" t="str">
        <x:f>IF(OR(N479="",O479=""),"",N479^0.7*O479^0.3)</x:f>
      </x:c>
      <x:c r="R479" t="str">
        <x:f>IF(OR(N479="",O479=""),"",N479^0.3*O479^0.7)</x:f>
      </x:c>
    </x:row>
    <x:row r="480">
      <x:c r="A480" t="inlineStr">
        <x:is>
          <x:t xml:space="preserve">meta|muse-spark-1.3|max|reasoning|fallback-na|aa-v4.3.2|snapshot-2026-09-28</x:t>
        </x:is>
      </x:c>
      <x:c r="B480" t="inlineStr">
        <x:is>
          <x:t xml:space="preserve">meta|muse-spark-1.3|max|reasoning|fallback-na</x:t>
        </x:is>
      </x:c>
      <x:c r="C480" t="inlineStr">
        <x:is>
          <x:t xml:space="preserve">AA|v4.3.2</x:t>
        </x:is>
      </x:c>
      <x:c r="D480" t="n">
        <x:v>61</x:v>
      </x:c>
      <x:c r="E480" t="n">
        <x:v>65</x:v>
      </x:c>
      <x:c r="F480" t="n">
        <x:f>INDEX(Run_Metrics!$F:$F,D480)</x:f>
        <x:v>48</x:v>
      </x:c>
      <x:c r="G480" t="n">
        <x:f>INDEX(Run_Metrics!$G:$G,D480)</x:f>
        <x:v>1.6</x:v>
      </x:c>
      <x:c r="H480" t="n">
        <x:f>INDEX(Run_Metrics!$I:$I,D480)</x:f>
        <x:v>5.212833333333333</x:v>
      </x:c>
      <x:c r="I480" t="n">
        <x:f>IF(F480="","",F480-(E480-1))</x:f>
        <x:v>-16</x:v>
      </x:c>
      <x:c r="J480" t="n">
        <x:f>IF(I480&gt;0,1,0)</x:f>
        <x:v>0</x:v>
      </x:c>
      <x:c r="K480" t="str">
        <x:f>IF(OR(J480=0,G480="",G480=0),"",I480/G480)</x:f>
      </x:c>
      <x:c r="L480" t="str">
        <x:f>IF(OR(J480=0,I480=0,G480=""),"",G480/I480)</x:f>
      </x:c>
      <x:c r="M480" t="str">
        <x:f>IF(OR(J480=0,G480="",H480="",G480=0,H480=0),"",I480/(G480*H480))</x:f>
      </x:c>
      <x:c r="N480" t="str">
        <x:f>IF(K480="","",K480/_xlfn.MAXIFS($K:$K,$E:$E,E480))</x:f>
      </x:c>
      <x:c r="O480" t="str">
        <x:f>IF(M480="","",M480/_xlfn.MAXIFS($M:$M,$E:$E,E480))</x:f>
      </x:c>
      <x:c r="P480" t="str">
        <x:f>IF(OR(N480="",O480=""),"",SQRT(N480*O480))</x:f>
      </x:c>
      <x:c r="Q480" t="str">
        <x:f>IF(OR(N480="",O480=""),"",N480^0.7*O480^0.3)</x:f>
      </x:c>
      <x:c r="R480" t="str">
        <x:f>IF(OR(N480="",O480=""),"",N480^0.3*O480^0.7)</x:f>
      </x:c>
    </x:row>
    <x:row r="481">
      <x:c r="A481" t="inlineStr">
        <x:is>
          <x:t xml:space="preserve">meta|muse-spark-1.3|max|reasoning|fallback-na|aa-v4.3.2|snapshot-2026-09-28</x:t>
        </x:is>
      </x:c>
      <x:c r="B481" t="inlineStr">
        <x:is>
          <x:t xml:space="preserve">meta|muse-spark-1.3|max|reasoning|fallback-na</x:t>
        </x:is>
      </x:c>
      <x:c r="C481" t="inlineStr">
        <x:is>
          <x:t xml:space="preserve">AA|v4.3.2</x:t>
        </x:is>
      </x:c>
      <x:c r="D481" t="n">
        <x:v>61</x:v>
      </x:c>
      <x:c r="E481" t="n">
        <x:v>80</x:v>
      </x:c>
      <x:c r="F481" t="n">
        <x:f>INDEX(Run_Metrics!$F:$F,D481)</x:f>
        <x:v>48</x:v>
      </x:c>
      <x:c r="G481" t="n">
        <x:f>INDEX(Run_Metrics!$G:$G,D481)</x:f>
        <x:v>1.6</x:v>
      </x:c>
      <x:c r="H481" t="n">
        <x:f>INDEX(Run_Metrics!$I:$I,D481)</x:f>
        <x:v>5.212833333333333</x:v>
      </x:c>
      <x:c r="I481" t="n">
        <x:f>IF(F481="","",F481-(E481-1))</x:f>
        <x:v>-31</x:v>
      </x:c>
      <x:c r="J481" t="n">
        <x:f>IF(I481&gt;0,1,0)</x:f>
        <x:v>0</x:v>
      </x:c>
      <x:c r="K481" t="str">
        <x:f>IF(OR(J481=0,G481="",G481=0),"",I481/G481)</x:f>
      </x:c>
      <x:c r="L481" t="str">
        <x:f>IF(OR(J481=0,I481=0,G481=""),"",G481/I481)</x:f>
      </x:c>
      <x:c r="M481" t="str">
        <x:f>IF(OR(J481=0,G481="",H481="",G481=0,H481=0),"",I481/(G481*H481))</x:f>
      </x:c>
      <x:c r="N481" t="str">
        <x:f>IF(K481="","",K481/_xlfn.MAXIFS($K:$K,$E:$E,E481))</x:f>
      </x:c>
      <x:c r="O481" t="str">
        <x:f>IF(M481="","",M481/_xlfn.MAXIFS($M:$M,$E:$E,E481))</x:f>
      </x:c>
      <x:c r="P481" t="str">
        <x:f>IF(OR(N481="",O481=""),"",SQRT(N481*O481))</x:f>
      </x:c>
      <x:c r="Q481" t="str">
        <x:f>IF(OR(N481="",O481=""),"",N481^0.7*O481^0.3)</x:f>
      </x:c>
      <x:c r="R481" t="str">
        <x:f>IF(OR(N481="",O481=""),"",N481^0.3*O481^0.7)</x:f>
      </x:c>
    </x:row>
    <x:row r="482">
      <x:c r="A482" t="inlineStr">
        <x:is>
          <x:t xml:space="preserve">google|gemini-3.8-flash|low|reasoning|fallback-na|aa-v4.3.2|snapshot-2026-09-28</x:t>
        </x:is>
      </x:c>
      <x:c r="B482" t="inlineStr">
        <x:is>
          <x:t xml:space="preserve">google|gemini-3.8-flash|low|reasoning|fallback-na</x:t>
        </x:is>
      </x:c>
      <x:c r="C482" t="inlineStr">
        <x:is>
          <x:t xml:space="preserve">AA|v4.3.2</x:t>
        </x:is>
      </x:c>
      <x:c r="D482" t="n">
        <x:v>62</x:v>
      </x:c>
      <x:c r="E482" t="n">
        <x:v>20</x:v>
      </x:c>
      <x:c r="F482" t="n">
        <x:f>INDEX(Run_Metrics!$F:$F,D482)</x:f>
        <x:v>33</x:v>
      </x:c>
      <x:c r="G482" t="str">
        <x:f>INDEX(Run_Metrics!$G:$G,D482)</x:f>
      </x:c>
      <x:c r="H482" t="str">
        <x:f>INDEX(Run_Metrics!$I:$I,D482)</x:f>
      </x:c>
      <x:c r="I482" t="n">
        <x:f>IF(F482="","",F482-(E482-1))</x:f>
        <x:v>14</x:v>
      </x:c>
      <x:c r="J482" t="n">
        <x:f>IF(I482&gt;0,1,0)</x:f>
        <x:v>1</x:v>
      </x:c>
      <x:c r="K482" t="str">
        <x:f>IF(OR(J482=0,G482="",G482=0),"",I482/G482)</x:f>
      </x:c>
      <x:c r="L482" t="str">
        <x:f>IF(OR(J482=0,I482=0,G482=""),"",G482/I482)</x:f>
      </x:c>
      <x:c r="M482" t="str">
        <x:f>IF(OR(J482=0,G482="",H482="",G482=0,H482=0),"",I482/(G482*H482))</x:f>
      </x:c>
      <x:c r="N482" t="str">
        <x:f>IF(K482="","",K482/_xlfn.MAXIFS($K:$K,$E:$E,E482))</x:f>
      </x:c>
      <x:c r="O482" t="str">
        <x:f>IF(M482="","",M482/_xlfn.MAXIFS($M:$M,$E:$E,E482))</x:f>
      </x:c>
      <x:c r="P482" t="str">
        <x:f>IF(OR(N482="",O482=""),"",SQRT(N482*O482))</x:f>
      </x:c>
      <x:c r="Q482" t="str">
        <x:f>IF(OR(N482="",O482=""),"",N482^0.7*O482^0.3)</x:f>
      </x:c>
      <x:c r="R482" t="str">
        <x:f>IF(OR(N482="",O482=""),"",N482^0.3*O482^0.7)</x:f>
      </x:c>
    </x:row>
    <x:row r="483">
      <x:c r="A483" t="inlineStr">
        <x:is>
          <x:t xml:space="preserve">google|gemini-3.8-flash|low|reasoning|fallback-na|aa-v4.3.2|snapshot-2026-09-28</x:t>
        </x:is>
      </x:c>
      <x:c r="B483" t="inlineStr">
        <x:is>
          <x:t xml:space="preserve">google|gemini-3.8-flash|low|reasoning|fallback-na</x:t>
        </x:is>
      </x:c>
      <x:c r="C483" t="inlineStr">
        <x:is>
          <x:t xml:space="preserve">AA|v4.3.2</x:t>
        </x:is>
      </x:c>
      <x:c r="D483" t="n">
        <x:v>62</x:v>
      </x:c>
      <x:c r="E483" t="n">
        <x:v>30</x:v>
      </x:c>
      <x:c r="F483" t="n">
        <x:f>INDEX(Run_Metrics!$F:$F,D483)</x:f>
        <x:v>33</x:v>
      </x:c>
      <x:c r="G483" t="str">
        <x:f>INDEX(Run_Metrics!$G:$G,D483)</x:f>
      </x:c>
      <x:c r="H483" t="str">
        <x:f>INDEX(Run_Metrics!$I:$I,D483)</x:f>
      </x:c>
      <x:c r="I483" t="n">
        <x:f>IF(F483="","",F483-(E483-1))</x:f>
        <x:v>4</x:v>
      </x:c>
      <x:c r="J483" t="n">
        <x:f>IF(I483&gt;0,1,0)</x:f>
        <x:v>1</x:v>
      </x:c>
      <x:c r="K483" t="str">
        <x:f>IF(OR(J483=0,G483="",G483=0),"",I483/G483)</x:f>
      </x:c>
      <x:c r="L483" t="str">
        <x:f>IF(OR(J483=0,I483=0,G483=""),"",G483/I483)</x:f>
      </x:c>
      <x:c r="M483" t="str">
        <x:f>IF(OR(J483=0,G483="",H483="",G483=0,H483=0),"",I483/(G483*H483))</x:f>
      </x:c>
      <x:c r="N483" t="str">
        <x:f>IF(K483="","",K483/_xlfn.MAXIFS($K:$K,$E:$E,E483))</x:f>
      </x:c>
      <x:c r="O483" t="str">
        <x:f>IF(M483="","",M483/_xlfn.MAXIFS($M:$M,$E:$E,E483))</x:f>
      </x:c>
      <x:c r="P483" t="str">
        <x:f>IF(OR(N483="",O483=""),"",SQRT(N483*O483))</x:f>
      </x:c>
      <x:c r="Q483" t="str">
        <x:f>IF(OR(N483="",O483=""),"",N483^0.7*O483^0.3)</x:f>
      </x:c>
      <x:c r="R483" t="str">
        <x:f>IF(OR(N483="",O483=""),"",N483^0.3*O483^0.7)</x:f>
      </x:c>
    </x:row>
    <x:row r="484">
      <x:c r="A484" t="inlineStr">
        <x:is>
          <x:t xml:space="preserve">google|gemini-3.8-flash|low|reasoning|fallback-na|aa-v4.3.2|snapshot-2026-09-28</x:t>
        </x:is>
      </x:c>
      <x:c r="B484" t="inlineStr">
        <x:is>
          <x:t xml:space="preserve">google|gemini-3.8-flash|low|reasoning|fallback-na</x:t>
        </x:is>
      </x:c>
      <x:c r="C484" t="inlineStr">
        <x:is>
          <x:t xml:space="preserve">AA|v4.3.2</x:t>
        </x:is>
      </x:c>
      <x:c r="D484" t="n">
        <x:v>62</x:v>
      </x:c>
      <x:c r="E484" t="n">
        <x:v>40</x:v>
      </x:c>
      <x:c r="F484" t="n">
        <x:f>INDEX(Run_Metrics!$F:$F,D484)</x:f>
        <x:v>33</x:v>
      </x:c>
      <x:c r="G484" t="str">
        <x:f>INDEX(Run_Metrics!$G:$G,D484)</x:f>
      </x:c>
      <x:c r="H484" t="str">
        <x:f>INDEX(Run_Metrics!$I:$I,D484)</x:f>
      </x:c>
      <x:c r="I484" t="n">
        <x:f>IF(F484="","",F484-(E484-1))</x:f>
        <x:v>-6</x:v>
      </x:c>
      <x:c r="J484" t="n">
        <x:f>IF(I484&gt;0,1,0)</x:f>
        <x:v>0</x:v>
      </x:c>
      <x:c r="K484" t="str">
        <x:f>IF(OR(J484=0,G484="",G484=0),"",I484/G484)</x:f>
      </x:c>
      <x:c r="L484" t="str">
        <x:f>IF(OR(J484=0,I484=0,G484=""),"",G484/I484)</x:f>
      </x:c>
      <x:c r="M484" t="str">
        <x:f>IF(OR(J484=0,G484="",H484="",G484=0,H484=0),"",I484/(G484*H484))</x:f>
      </x:c>
      <x:c r="N484" t="str">
        <x:f>IF(K484="","",K484/_xlfn.MAXIFS($K:$K,$E:$E,E484))</x:f>
      </x:c>
      <x:c r="O484" t="str">
        <x:f>IF(M484="","",M484/_xlfn.MAXIFS($M:$M,$E:$E,E484))</x:f>
      </x:c>
      <x:c r="P484" t="str">
        <x:f>IF(OR(N484="",O484=""),"",SQRT(N484*O484))</x:f>
      </x:c>
      <x:c r="Q484" t="str">
        <x:f>IF(OR(N484="",O484=""),"",N484^0.7*O484^0.3)</x:f>
      </x:c>
      <x:c r="R484" t="str">
        <x:f>IF(OR(N484="",O484=""),"",N484^0.3*O484^0.7)</x:f>
      </x:c>
    </x:row>
    <x:row r="485">
      <x:c r="A485" t="inlineStr">
        <x:is>
          <x:t xml:space="preserve">google|gemini-3.8-flash|low|reasoning|fallback-na|aa-v4.3.2|snapshot-2026-09-28</x:t>
        </x:is>
      </x:c>
      <x:c r="B485" t="inlineStr">
        <x:is>
          <x:t xml:space="preserve">google|gemini-3.8-flash|low|reasoning|fallback-na</x:t>
        </x:is>
      </x:c>
      <x:c r="C485" t="inlineStr">
        <x:is>
          <x:t xml:space="preserve">AA|v4.3.2</x:t>
        </x:is>
      </x:c>
      <x:c r="D485" t="n">
        <x:v>62</x:v>
      </x:c>
      <x:c r="E485" t="n">
        <x:v>45</x:v>
      </x:c>
      <x:c r="F485" t="n">
        <x:f>INDEX(Run_Metrics!$F:$F,D485)</x:f>
        <x:v>33</x:v>
      </x:c>
      <x:c r="G485" t="str">
        <x:f>INDEX(Run_Metrics!$G:$G,D485)</x:f>
      </x:c>
      <x:c r="H485" t="str">
        <x:f>INDEX(Run_Metrics!$I:$I,D485)</x:f>
      </x:c>
      <x:c r="I485" t="n">
        <x:f>IF(F485="","",F485-(E485-1))</x:f>
        <x:v>-11</x:v>
      </x:c>
      <x:c r="J485" t="n">
        <x:f>IF(I485&gt;0,1,0)</x:f>
        <x:v>0</x:v>
      </x:c>
      <x:c r="K485" t="str">
        <x:f>IF(OR(J485=0,G485="",G485=0),"",I485/G485)</x:f>
      </x:c>
      <x:c r="L485" t="str">
        <x:f>IF(OR(J485=0,I485=0,G485=""),"",G485/I485)</x:f>
      </x:c>
      <x:c r="M485" t="str">
        <x:f>IF(OR(J485=0,G485="",H485="",G485=0,H485=0),"",I485/(G485*H485))</x:f>
      </x:c>
      <x:c r="N485" t="str">
        <x:f>IF(K485="","",K485/_xlfn.MAXIFS($K:$K,$E:$E,E485))</x:f>
      </x:c>
      <x:c r="O485" t="str">
        <x:f>IF(M485="","",M485/_xlfn.MAXIFS($M:$M,$E:$E,E485))</x:f>
      </x:c>
      <x:c r="P485" t="str">
        <x:f>IF(OR(N485="",O485=""),"",SQRT(N485*O485))</x:f>
      </x:c>
      <x:c r="Q485" t="str">
        <x:f>IF(OR(N485="",O485=""),"",N485^0.7*O485^0.3)</x:f>
      </x:c>
      <x:c r="R485" t="str">
        <x:f>IF(OR(N485="",O485=""),"",N485^0.3*O485^0.7)</x:f>
      </x:c>
    </x:row>
    <x:row r="486">
      <x:c r="A486" t="inlineStr">
        <x:is>
          <x:t xml:space="preserve">google|gemini-3.8-flash|low|reasoning|fallback-na|aa-v4.3.2|snapshot-2026-09-28</x:t>
        </x:is>
      </x:c>
      <x:c r="B486" t="inlineStr">
        <x:is>
          <x:t xml:space="preserve">google|gemini-3.8-flash|low|reasoning|fallback-na</x:t>
        </x:is>
      </x:c>
      <x:c r="C486" t="inlineStr">
        <x:is>
          <x:t xml:space="preserve">AA|v4.3.2</x:t>
        </x:is>
      </x:c>
      <x:c r="D486" t="n">
        <x:v>62</x:v>
      </x:c>
      <x:c r="E486" t="n">
        <x:v>50</x:v>
      </x:c>
      <x:c r="F486" t="n">
        <x:f>INDEX(Run_Metrics!$F:$F,D486)</x:f>
        <x:v>33</x:v>
      </x:c>
      <x:c r="G486" t="str">
        <x:f>INDEX(Run_Metrics!$G:$G,D486)</x:f>
      </x:c>
      <x:c r="H486" t="str">
        <x:f>INDEX(Run_Metrics!$I:$I,D486)</x:f>
      </x:c>
      <x:c r="I486" t="n">
        <x:f>IF(F486="","",F486-(E486-1))</x:f>
        <x:v>-16</x:v>
      </x:c>
      <x:c r="J486" t="n">
        <x:f>IF(I486&gt;0,1,0)</x:f>
        <x:v>0</x:v>
      </x:c>
      <x:c r="K486" t="str">
        <x:f>IF(OR(J486=0,G486="",G486=0),"",I486/G486)</x:f>
      </x:c>
      <x:c r="L486" t="str">
        <x:f>IF(OR(J486=0,I486=0,G486=""),"",G486/I486)</x:f>
      </x:c>
      <x:c r="M486" t="str">
        <x:f>IF(OR(J486=0,G486="",H486="",G486=0,H486=0),"",I486/(G486*H486))</x:f>
      </x:c>
      <x:c r="N486" t="str">
        <x:f>IF(K486="","",K486/_xlfn.MAXIFS($K:$K,$E:$E,E486))</x:f>
      </x:c>
      <x:c r="O486" t="str">
        <x:f>IF(M486="","",M486/_xlfn.MAXIFS($M:$M,$E:$E,E486))</x:f>
      </x:c>
      <x:c r="P486" t="str">
        <x:f>IF(OR(N486="",O486=""),"",SQRT(N486*O486))</x:f>
      </x:c>
      <x:c r="Q486" t="str">
        <x:f>IF(OR(N486="",O486=""),"",N486^0.7*O486^0.3)</x:f>
      </x:c>
      <x:c r="R486" t="str">
        <x:f>IF(OR(N486="",O486=""),"",N486^0.3*O486^0.7)</x:f>
      </x:c>
    </x:row>
    <x:row r="487">
      <x:c r="A487" t="inlineStr">
        <x:is>
          <x:t xml:space="preserve">google|gemini-3.8-flash|low|reasoning|fallback-na|aa-v4.3.2|snapshot-2026-09-28</x:t>
        </x:is>
      </x:c>
      <x:c r="B487" t="inlineStr">
        <x:is>
          <x:t xml:space="preserve">google|gemini-3.8-flash|low|reasoning|fallback-na</x:t>
        </x:is>
      </x:c>
      <x:c r="C487" t="inlineStr">
        <x:is>
          <x:t xml:space="preserve">AA|v4.3.2</x:t>
        </x:is>
      </x:c>
      <x:c r="D487" t="n">
        <x:v>62</x:v>
      </x:c>
      <x:c r="E487" t="n">
        <x:v>52</x:v>
      </x:c>
      <x:c r="F487" t="n">
        <x:f>INDEX(Run_Metrics!$F:$F,D487)</x:f>
        <x:v>33</x:v>
      </x:c>
      <x:c r="G487" t="str">
        <x:f>INDEX(Run_Metrics!$G:$G,D487)</x:f>
      </x:c>
      <x:c r="H487" t="str">
        <x:f>INDEX(Run_Metrics!$I:$I,D487)</x:f>
      </x:c>
      <x:c r="I487" t="n">
        <x:f>IF(F487="","",F487-(E487-1))</x:f>
        <x:v>-18</x:v>
      </x:c>
      <x:c r="J487" t="n">
        <x:f>IF(I487&gt;0,1,0)</x:f>
        <x:v>0</x:v>
      </x:c>
      <x:c r="K487" t="str">
        <x:f>IF(OR(J487=0,G487="",G487=0),"",I487/G487)</x:f>
      </x:c>
      <x:c r="L487" t="str">
        <x:f>IF(OR(J487=0,I487=0,G487=""),"",G487/I487)</x:f>
      </x:c>
      <x:c r="M487" t="str">
        <x:f>IF(OR(J487=0,G487="",H487="",G487=0,H487=0),"",I487/(G487*H487))</x:f>
      </x:c>
      <x:c r="N487" t="str">
        <x:f>IF(K487="","",K487/_xlfn.MAXIFS($K:$K,$E:$E,E487))</x:f>
      </x:c>
      <x:c r="O487" t="str">
        <x:f>IF(M487="","",M487/_xlfn.MAXIFS($M:$M,$E:$E,E487))</x:f>
      </x:c>
      <x:c r="P487" t="str">
        <x:f>IF(OR(N487="",O487=""),"",SQRT(N487*O487))</x:f>
      </x:c>
      <x:c r="Q487" t="str">
        <x:f>IF(OR(N487="",O487=""),"",N487^0.7*O487^0.3)</x:f>
      </x:c>
      <x:c r="R487" t="str">
        <x:f>IF(OR(N487="",O487=""),"",N487^0.3*O487^0.7)</x:f>
      </x:c>
    </x:row>
    <x:row r="488">
      <x:c r="A488" t="inlineStr">
        <x:is>
          <x:t xml:space="preserve">google|gemini-3.8-flash|low|reasoning|fallback-na|aa-v4.3.2|snapshot-2026-09-28</x:t>
        </x:is>
      </x:c>
      <x:c r="B488" t="inlineStr">
        <x:is>
          <x:t xml:space="preserve">google|gemini-3.8-flash|low|reasoning|fallback-na</x:t>
        </x:is>
      </x:c>
      <x:c r="C488" t="inlineStr">
        <x:is>
          <x:t xml:space="preserve">AA|v4.3.2</x:t>
        </x:is>
      </x:c>
      <x:c r="D488" t="n">
        <x:v>62</x:v>
      </x:c>
      <x:c r="E488" t="n">
        <x:v>65</x:v>
      </x:c>
      <x:c r="F488" t="n">
        <x:f>INDEX(Run_Metrics!$F:$F,D488)</x:f>
        <x:v>33</x:v>
      </x:c>
      <x:c r="G488" t="str">
        <x:f>INDEX(Run_Metrics!$G:$G,D488)</x:f>
      </x:c>
      <x:c r="H488" t="str">
        <x:f>INDEX(Run_Metrics!$I:$I,D488)</x:f>
      </x:c>
      <x:c r="I488" t="n">
        <x:f>IF(F488="","",F488-(E488-1))</x:f>
        <x:v>-31</x:v>
      </x:c>
      <x:c r="J488" t="n">
        <x:f>IF(I488&gt;0,1,0)</x:f>
        <x:v>0</x:v>
      </x:c>
      <x:c r="K488" t="str">
        <x:f>IF(OR(J488=0,G488="",G488=0),"",I488/G488)</x:f>
      </x:c>
      <x:c r="L488" t="str">
        <x:f>IF(OR(J488=0,I488=0,G488=""),"",G488/I488)</x:f>
      </x:c>
      <x:c r="M488" t="str">
        <x:f>IF(OR(J488=0,G488="",H488="",G488=0,H488=0),"",I488/(G488*H488))</x:f>
      </x:c>
      <x:c r="N488" t="str">
        <x:f>IF(K488="","",K488/_xlfn.MAXIFS($K:$K,$E:$E,E488))</x:f>
      </x:c>
      <x:c r="O488" t="str">
        <x:f>IF(M488="","",M488/_xlfn.MAXIFS($M:$M,$E:$E,E488))</x:f>
      </x:c>
      <x:c r="P488" t="str">
        <x:f>IF(OR(N488="",O488=""),"",SQRT(N488*O488))</x:f>
      </x:c>
      <x:c r="Q488" t="str">
        <x:f>IF(OR(N488="",O488=""),"",N488^0.7*O488^0.3)</x:f>
      </x:c>
      <x:c r="R488" t="str">
        <x:f>IF(OR(N488="",O488=""),"",N488^0.3*O488^0.7)</x:f>
      </x:c>
    </x:row>
    <x:row r="489">
      <x:c r="A489" t="inlineStr">
        <x:is>
          <x:t xml:space="preserve">google|gemini-3.8-flash|low|reasoning|fallback-na|aa-v4.3.2|snapshot-2026-09-28</x:t>
        </x:is>
      </x:c>
      <x:c r="B489" t="inlineStr">
        <x:is>
          <x:t xml:space="preserve">google|gemini-3.8-flash|low|reasoning|fallback-na</x:t>
        </x:is>
      </x:c>
      <x:c r="C489" t="inlineStr">
        <x:is>
          <x:t xml:space="preserve">AA|v4.3.2</x:t>
        </x:is>
      </x:c>
      <x:c r="D489" t="n">
        <x:v>62</x:v>
      </x:c>
      <x:c r="E489" t="n">
        <x:v>80</x:v>
      </x:c>
      <x:c r="F489" t="n">
        <x:f>INDEX(Run_Metrics!$F:$F,D489)</x:f>
        <x:v>33</x:v>
      </x:c>
      <x:c r="G489" t="str">
        <x:f>INDEX(Run_Metrics!$G:$G,D489)</x:f>
      </x:c>
      <x:c r="H489" t="str">
        <x:f>INDEX(Run_Metrics!$I:$I,D489)</x:f>
      </x:c>
      <x:c r="I489" t="n">
        <x:f>IF(F489="","",F489-(E489-1))</x:f>
        <x:v>-46</x:v>
      </x:c>
      <x:c r="J489" t="n">
        <x:f>IF(I489&gt;0,1,0)</x:f>
        <x:v>0</x:v>
      </x:c>
      <x:c r="K489" t="str">
        <x:f>IF(OR(J489=0,G489="",G489=0),"",I489/G489)</x:f>
      </x:c>
      <x:c r="L489" t="str">
        <x:f>IF(OR(J489=0,I489=0,G489=""),"",G489/I489)</x:f>
      </x:c>
      <x:c r="M489" t="str">
        <x:f>IF(OR(J489=0,G489="",H489="",G489=0,H489=0),"",I489/(G489*H489))</x:f>
      </x:c>
      <x:c r="N489" t="str">
        <x:f>IF(K489="","",K489/_xlfn.MAXIFS($K:$K,$E:$E,E489))</x:f>
      </x:c>
      <x:c r="O489" t="str">
        <x:f>IF(M489="","",M489/_xlfn.MAXIFS($M:$M,$E:$E,E489))</x:f>
      </x:c>
      <x:c r="P489" t="str">
        <x:f>IF(OR(N489="",O489=""),"",SQRT(N489*O489))</x:f>
      </x:c>
      <x:c r="Q489" t="str">
        <x:f>IF(OR(N489="",O489=""),"",N489^0.7*O489^0.3)</x:f>
      </x:c>
      <x:c r="R489" t="str">
        <x:f>IF(OR(N489="",O489=""),"",N489^0.3*O489^0.7)</x:f>
      </x:c>
    </x:row>
    <x:row r="490">
      <x:c r="A490" t="inlineStr">
        <x:is>
          <x:t xml:space="preserve">google|gemini-3.8-flash|medium|reasoning|fallback-na|aa-v4.3.2|snapshot-2026-09-28</x:t>
        </x:is>
      </x:c>
      <x:c r="B490" t="inlineStr">
        <x:is>
          <x:t xml:space="preserve">google|gemini-3.8-flash|medium|reasoning|fallback-na</x:t>
        </x:is>
      </x:c>
      <x:c r="C490" t="inlineStr">
        <x:is>
          <x:t xml:space="preserve">AA|v4.3.2</x:t>
        </x:is>
      </x:c>
      <x:c r="D490" t="n">
        <x:v>63</x:v>
      </x:c>
      <x:c r="E490" t="n">
        <x:v>20</x:v>
      </x:c>
      <x:c r="F490" t="n">
        <x:f>INDEX(Run_Metrics!$F:$F,D490)</x:f>
        <x:v>40</x:v>
      </x:c>
      <x:c r="G490" t="n">
        <x:f>INDEX(Run_Metrics!$G:$G,D490)</x:f>
        <x:v>0.93</x:v>
      </x:c>
      <x:c r="H490" t="str">
        <x:f>INDEX(Run_Metrics!$I:$I,D490)</x:f>
      </x:c>
      <x:c r="I490" t="n">
        <x:f>IF(F490="","",F490-(E490-1))</x:f>
        <x:v>21</x:v>
      </x:c>
      <x:c r="J490" t="n">
        <x:f>IF(I490&gt;0,1,0)</x:f>
        <x:v>1</x:v>
      </x:c>
      <x:c r="K490" t="n">
        <x:f>IF(OR(J490=0,G490="",G490=0),"",I490/G490)</x:f>
        <x:v>22.58064516129032</x:v>
      </x:c>
      <x:c r="L490" t="n">
        <x:f>IF(OR(J490=0,I490=0,G490=""),"",G490/I490)</x:f>
        <x:v>0.04428571428571429</x:v>
      </x:c>
      <x:c r="M490" t="str">
        <x:f>IF(OR(J490=0,G490="",H490="",G490=0,H490=0),"",I490/(G490*H490))</x:f>
      </x:c>
      <x:c r="N490" t="n">
        <x:f>IF(K490="","",K490/_xlfn.MAXIFS($K:$K,$E:$E,E490))</x:f>
        <x:v>0.03387096774193547</x:v>
      </x:c>
      <x:c r="O490" t="str">
        <x:f>IF(M490="","",M490/_xlfn.MAXIFS($M:$M,$E:$E,E490))</x:f>
      </x:c>
      <x:c r="P490" t="str">
        <x:f>IF(OR(N490="",O490=""),"",SQRT(N490*O490))</x:f>
      </x:c>
      <x:c r="Q490" t="str">
        <x:f>IF(OR(N490="",O490=""),"",N490^0.7*O490^0.3)</x:f>
      </x:c>
      <x:c r="R490" t="str">
        <x:f>IF(OR(N490="",O490=""),"",N490^0.3*O490^0.7)</x:f>
      </x:c>
    </x:row>
    <x:row r="491">
      <x:c r="A491" t="inlineStr">
        <x:is>
          <x:t xml:space="preserve">google|gemini-3.8-flash|medium|reasoning|fallback-na|aa-v4.3.2|snapshot-2026-09-28</x:t>
        </x:is>
      </x:c>
      <x:c r="B491" t="inlineStr">
        <x:is>
          <x:t xml:space="preserve">google|gemini-3.8-flash|medium|reasoning|fallback-na</x:t>
        </x:is>
      </x:c>
      <x:c r="C491" t="inlineStr">
        <x:is>
          <x:t xml:space="preserve">AA|v4.3.2</x:t>
        </x:is>
      </x:c>
      <x:c r="D491" t="n">
        <x:v>63</x:v>
      </x:c>
      <x:c r="E491" t="n">
        <x:v>30</x:v>
      </x:c>
      <x:c r="F491" t="n">
        <x:f>INDEX(Run_Metrics!$F:$F,D491)</x:f>
        <x:v>40</x:v>
      </x:c>
      <x:c r="G491" t="n">
        <x:f>INDEX(Run_Metrics!$G:$G,D491)</x:f>
        <x:v>0.93</x:v>
      </x:c>
      <x:c r="H491" t="str">
        <x:f>INDEX(Run_Metrics!$I:$I,D491)</x:f>
      </x:c>
      <x:c r="I491" t="n">
        <x:f>IF(F491="","",F491-(E491-1))</x:f>
        <x:v>11</x:v>
      </x:c>
      <x:c r="J491" t="n">
        <x:f>IF(I491&gt;0,1,0)</x:f>
        <x:v>1</x:v>
      </x:c>
      <x:c r="K491" t="n">
        <x:f>IF(OR(J491=0,G491="",G491=0),"",I491/G491)</x:f>
        <x:v>11.827956989247312</x:v>
      </x:c>
      <x:c r="L491" t="n">
        <x:f>IF(OR(J491=0,I491=0,G491=""),"",G491/I491)</x:f>
        <x:v>0.08454545454545455</x:v>
      </x:c>
      <x:c r="M491" t="str">
        <x:f>IF(OR(J491=0,G491="",H491="",G491=0,H491=0),"",I491/(G491*H491))</x:f>
      </x:c>
      <x:c r="N491" t="n">
        <x:f>IF(K491="","",K491/_xlfn.MAXIFS($K:$K,$E:$E,E491))</x:f>
        <x:v>0.07885304659498207</x:v>
      </x:c>
      <x:c r="O491" t="str">
        <x:f>IF(M491="","",M491/_xlfn.MAXIFS($M:$M,$E:$E,E491))</x:f>
      </x:c>
      <x:c r="P491" t="str">
        <x:f>IF(OR(N491="",O491=""),"",SQRT(N491*O491))</x:f>
      </x:c>
      <x:c r="Q491" t="str">
        <x:f>IF(OR(N491="",O491=""),"",N491^0.7*O491^0.3)</x:f>
      </x:c>
      <x:c r="R491" t="str">
        <x:f>IF(OR(N491="",O491=""),"",N491^0.3*O491^0.7)</x:f>
      </x:c>
    </x:row>
    <x:row r="492">
      <x:c r="A492" t="inlineStr">
        <x:is>
          <x:t xml:space="preserve">google|gemini-3.8-flash|medium|reasoning|fallback-na|aa-v4.3.2|snapshot-2026-09-28</x:t>
        </x:is>
      </x:c>
      <x:c r="B492" t="inlineStr">
        <x:is>
          <x:t xml:space="preserve">google|gemini-3.8-flash|medium|reasoning|fallback-na</x:t>
        </x:is>
      </x:c>
      <x:c r="C492" t="inlineStr">
        <x:is>
          <x:t xml:space="preserve">AA|v4.3.2</x:t>
        </x:is>
      </x:c>
      <x:c r="D492" t="n">
        <x:v>63</x:v>
      </x:c>
      <x:c r="E492" t="n">
        <x:v>40</x:v>
      </x:c>
      <x:c r="F492" t="n">
        <x:f>INDEX(Run_Metrics!$F:$F,D492)</x:f>
        <x:v>40</x:v>
      </x:c>
      <x:c r="G492" t="n">
        <x:f>INDEX(Run_Metrics!$G:$G,D492)</x:f>
        <x:v>0.93</x:v>
      </x:c>
      <x:c r="H492" t="str">
        <x:f>INDEX(Run_Metrics!$I:$I,D492)</x:f>
      </x:c>
      <x:c r="I492" t="n">
        <x:f>IF(F492="","",F492-(E492-1))</x:f>
        <x:v>1</x:v>
      </x:c>
      <x:c r="J492" t="n">
        <x:f>IF(I492&gt;0,1,0)</x:f>
        <x:v>1</x:v>
      </x:c>
      <x:c r="K492" t="n">
        <x:f>IF(OR(J492=0,G492="",G492=0),"",I492/G492)</x:f>
        <x:v>1.075268817204301</x:v>
      </x:c>
      <x:c r="L492" t="n">
        <x:f>IF(OR(J492=0,I492=0,G492=""),"",G492/I492)</x:f>
        <x:v>0.93</x:v>
      </x:c>
      <x:c r="M492" t="str">
        <x:f>IF(OR(J492=0,G492="",H492="",G492=0,H492=0),"",I492/(G492*H492))</x:f>
      </x:c>
      <x:c r="N492" t="n">
        <x:f>IF(K492="","",K492/_xlfn.MAXIFS($K:$K,$E:$E,E492))</x:f>
        <x:v>0.019969278033794162</x:v>
      </x:c>
      <x:c r="O492" t="str">
        <x:f>IF(M492="","",M492/_xlfn.MAXIFS($M:$M,$E:$E,E492))</x:f>
      </x:c>
      <x:c r="P492" t="str">
        <x:f>IF(OR(N492="",O492=""),"",SQRT(N492*O492))</x:f>
      </x:c>
      <x:c r="Q492" t="str">
        <x:f>IF(OR(N492="",O492=""),"",N492^0.7*O492^0.3)</x:f>
      </x:c>
      <x:c r="R492" t="str">
        <x:f>IF(OR(N492="",O492=""),"",N492^0.3*O492^0.7)</x:f>
      </x:c>
    </x:row>
    <x:row r="493">
      <x:c r="A493" t="inlineStr">
        <x:is>
          <x:t xml:space="preserve">google|gemini-3.8-flash|medium|reasoning|fallback-na|aa-v4.3.2|snapshot-2026-09-28</x:t>
        </x:is>
      </x:c>
      <x:c r="B493" t="inlineStr">
        <x:is>
          <x:t xml:space="preserve">google|gemini-3.8-flash|medium|reasoning|fallback-na</x:t>
        </x:is>
      </x:c>
      <x:c r="C493" t="inlineStr">
        <x:is>
          <x:t xml:space="preserve">AA|v4.3.2</x:t>
        </x:is>
      </x:c>
      <x:c r="D493" t="n">
        <x:v>63</x:v>
      </x:c>
      <x:c r="E493" t="n">
        <x:v>45</x:v>
      </x:c>
      <x:c r="F493" t="n">
        <x:f>INDEX(Run_Metrics!$F:$F,D493)</x:f>
        <x:v>40</x:v>
      </x:c>
      <x:c r="G493" t="n">
        <x:f>INDEX(Run_Metrics!$G:$G,D493)</x:f>
        <x:v>0.93</x:v>
      </x:c>
      <x:c r="H493" t="str">
        <x:f>INDEX(Run_Metrics!$I:$I,D493)</x:f>
      </x:c>
      <x:c r="I493" t="n">
        <x:f>IF(F493="","",F493-(E493-1))</x:f>
        <x:v>-4</x:v>
      </x:c>
      <x:c r="J493" t="n">
        <x:f>IF(I493&gt;0,1,0)</x:f>
        <x:v>0</x:v>
      </x:c>
      <x:c r="K493" t="str">
        <x:f>IF(OR(J493=0,G493="",G493=0),"",I493/G493)</x:f>
      </x:c>
      <x:c r="L493" t="str">
        <x:f>IF(OR(J493=0,I493=0,G493=""),"",G493/I493)</x:f>
      </x:c>
      <x:c r="M493" t="str">
        <x:f>IF(OR(J493=0,G493="",H493="",G493=0,H493=0),"",I493/(G493*H493))</x:f>
      </x:c>
      <x:c r="N493" t="str">
        <x:f>IF(K493="","",K493/_xlfn.MAXIFS($K:$K,$E:$E,E493))</x:f>
      </x:c>
      <x:c r="O493" t="str">
        <x:f>IF(M493="","",M493/_xlfn.MAXIFS($M:$M,$E:$E,E493))</x:f>
      </x:c>
      <x:c r="P493" t="str">
        <x:f>IF(OR(N493="",O493=""),"",SQRT(N493*O493))</x:f>
      </x:c>
      <x:c r="Q493" t="str">
        <x:f>IF(OR(N493="",O493=""),"",N493^0.7*O493^0.3)</x:f>
      </x:c>
      <x:c r="R493" t="str">
        <x:f>IF(OR(N493="",O493=""),"",N493^0.3*O493^0.7)</x:f>
      </x:c>
    </x:row>
    <x:row r="494">
      <x:c r="A494" t="inlineStr">
        <x:is>
          <x:t xml:space="preserve">google|gemini-3.8-flash|medium|reasoning|fallback-na|aa-v4.3.2|snapshot-2026-09-28</x:t>
        </x:is>
      </x:c>
      <x:c r="B494" t="inlineStr">
        <x:is>
          <x:t xml:space="preserve">google|gemini-3.8-flash|medium|reasoning|fallback-na</x:t>
        </x:is>
      </x:c>
      <x:c r="C494" t="inlineStr">
        <x:is>
          <x:t xml:space="preserve">AA|v4.3.2</x:t>
        </x:is>
      </x:c>
      <x:c r="D494" t="n">
        <x:v>63</x:v>
      </x:c>
      <x:c r="E494" t="n">
        <x:v>50</x:v>
      </x:c>
      <x:c r="F494" t="n">
        <x:f>INDEX(Run_Metrics!$F:$F,D494)</x:f>
        <x:v>40</x:v>
      </x:c>
      <x:c r="G494" t="n">
        <x:f>INDEX(Run_Metrics!$G:$G,D494)</x:f>
        <x:v>0.93</x:v>
      </x:c>
      <x:c r="H494" t="str">
        <x:f>INDEX(Run_Metrics!$I:$I,D494)</x:f>
      </x:c>
      <x:c r="I494" t="n">
        <x:f>IF(F494="","",F494-(E494-1))</x:f>
        <x:v>-9</x:v>
      </x:c>
      <x:c r="J494" t="n">
        <x:f>IF(I494&gt;0,1,0)</x:f>
        <x:v>0</x:v>
      </x:c>
      <x:c r="K494" t="str">
        <x:f>IF(OR(J494=0,G494="",G494=0),"",I494/G494)</x:f>
      </x:c>
      <x:c r="L494" t="str">
        <x:f>IF(OR(J494=0,I494=0,G494=""),"",G494/I494)</x:f>
      </x:c>
      <x:c r="M494" t="str">
        <x:f>IF(OR(J494=0,G494="",H494="",G494=0,H494=0),"",I494/(G494*H494))</x:f>
      </x:c>
      <x:c r="N494" t="str">
        <x:f>IF(K494="","",K494/_xlfn.MAXIFS($K:$K,$E:$E,E494))</x:f>
      </x:c>
      <x:c r="O494" t="str">
        <x:f>IF(M494="","",M494/_xlfn.MAXIFS($M:$M,$E:$E,E494))</x:f>
      </x:c>
      <x:c r="P494" t="str">
        <x:f>IF(OR(N494="",O494=""),"",SQRT(N494*O494))</x:f>
      </x:c>
      <x:c r="Q494" t="str">
        <x:f>IF(OR(N494="",O494=""),"",N494^0.7*O494^0.3)</x:f>
      </x:c>
      <x:c r="R494" t="str">
        <x:f>IF(OR(N494="",O494=""),"",N494^0.3*O494^0.7)</x:f>
      </x:c>
    </x:row>
    <x:row r="495">
      <x:c r="A495" t="inlineStr">
        <x:is>
          <x:t xml:space="preserve">google|gemini-3.8-flash|medium|reasoning|fallback-na|aa-v4.3.2|snapshot-2026-09-28</x:t>
        </x:is>
      </x:c>
      <x:c r="B495" t="inlineStr">
        <x:is>
          <x:t xml:space="preserve">google|gemini-3.8-flash|medium|reasoning|fallback-na</x:t>
        </x:is>
      </x:c>
      <x:c r="C495" t="inlineStr">
        <x:is>
          <x:t xml:space="preserve">AA|v4.3.2</x:t>
        </x:is>
      </x:c>
      <x:c r="D495" t="n">
        <x:v>63</x:v>
      </x:c>
      <x:c r="E495" t="n">
        <x:v>52</x:v>
      </x:c>
      <x:c r="F495" t="n">
        <x:f>INDEX(Run_Metrics!$F:$F,D495)</x:f>
        <x:v>40</x:v>
      </x:c>
      <x:c r="G495" t="n">
        <x:f>INDEX(Run_Metrics!$G:$G,D495)</x:f>
        <x:v>0.93</x:v>
      </x:c>
      <x:c r="H495" t="str">
        <x:f>INDEX(Run_Metrics!$I:$I,D495)</x:f>
      </x:c>
      <x:c r="I495" t="n">
        <x:f>IF(F495="","",F495-(E495-1))</x:f>
        <x:v>-11</x:v>
      </x:c>
      <x:c r="J495" t="n">
        <x:f>IF(I495&gt;0,1,0)</x:f>
        <x:v>0</x:v>
      </x:c>
      <x:c r="K495" t="str">
        <x:f>IF(OR(J495=0,G495="",G495=0),"",I495/G495)</x:f>
      </x:c>
      <x:c r="L495" t="str">
        <x:f>IF(OR(J495=0,I495=0,G495=""),"",G495/I495)</x:f>
      </x:c>
      <x:c r="M495" t="str">
        <x:f>IF(OR(J495=0,G495="",H495="",G495=0,H495=0),"",I495/(G495*H495))</x:f>
      </x:c>
      <x:c r="N495" t="str">
        <x:f>IF(K495="","",K495/_xlfn.MAXIFS($K:$K,$E:$E,E495))</x:f>
      </x:c>
      <x:c r="O495" t="str">
        <x:f>IF(M495="","",M495/_xlfn.MAXIFS($M:$M,$E:$E,E495))</x:f>
      </x:c>
      <x:c r="P495" t="str">
        <x:f>IF(OR(N495="",O495=""),"",SQRT(N495*O495))</x:f>
      </x:c>
      <x:c r="Q495" t="str">
        <x:f>IF(OR(N495="",O495=""),"",N495^0.7*O495^0.3)</x:f>
      </x:c>
      <x:c r="R495" t="str">
        <x:f>IF(OR(N495="",O495=""),"",N495^0.3*O495^0.7)</x:f>
      </x:c>
    </x:row>
    <x:row r="496">
      <x:c r="A496" t="inlineStr">
        <x:is>
          <x:t xml:space="preserve">google|gemini-3.8-flash|medium|reasoning|fallback-na|aa-v4.3.2|snapshot-2026-09-28</x:t>
        </x:is>
      </x:c>
      <x:c r="B496" t="inlineStr">
        <x:is>
          <x:t xml:space="preserve">google|gemini-3.8-flash|medium|reasoning|fallback-na</x:t>
        </x:is>
      </x:c>
      <x:c r="C496" t="inlineStr">
        <x:is>
          <x:t xml:space="preserve">AA|v4.3.2</x:t>
        </x:is>
      </x:c>
      <x:c r="D496" t="n">
        <x:v>63</x:v>
      </x:c>
      <x:c r="E496" t="n">
        <x:v>65</x:v>
      </x:c>
      <x:c r="F496" t="n">
        <x:f>INDEX(Run_Metrics!$F:$F,D496)</x:f>
        <x:v>40</x:v>
      </x:c>
      <x:c r="G496" t="n">
        <x:f>INDEX(Run_Metrics!$G:$G,D496)</x:f>
        <x:v>0.93</x:v>
      </x:c>
      <x:c r="H496" t="str">
        <x:f>INDEX(Run_Metrics!$I:$I,D496)</x:f>
      </x:c>
      <x:c r="I496" t="n">
        <x:f>IF(F496="","",F496-(E496-1))</x:f>
        <x:v>-24</x:v>
      </x:c>
      <x:c r="J496" t="n">
        <x:f>IF(I496&gt;0,1,0)</x:f>
        <x:v>0</x:v>
      </x:c>
      <x:c r="K496" t="str">
        <x:f>IF(OR(J496=0,G496="",G496=0),"",I496/G496)</x:f>
      </x:c>
      <x:c r="L496" t="str">
        <x:f>IF(OR(J496=0,I496=0,G496=""),"",G496/I496)</x:f>
      </x:c>
      <x:c r="M496" t="str">
        <x:f>IF(OR(J496=0,G496="",H496="",G496=0,H496=0),"",I496/(G496*H496))</x:f>
      </x:c>
      <x:c r="N496" t="str">
        <x:f>IF(K496="","",K496/_xlfn.MAXIFS($K:$K,$E:$E,E496))</x:f>
      </x:c>
      <x:c r="O496" t="str">
        <x:f>IF(M496="","",M496/_xlfn.MAXIFS($M:$M,$E:$E,E496))</x:f>
      </x:c>
      <x:c r="P496" t="str">
        <x:f>IF(OR(N496="",O496=""),"",SQRT(N496*O496))</x:f>
      </x:c>
      <x:c r="Q496" t="str">
        <x:f>IF(OR(N496="",O496=""),"",N496^0.7*O496^0.3)</x:f>
      </x:c>
      <x:c r="R496" t="str">
        <x:f>IF(OR(N496="",O496=""),"",N496^0.3*O496^0.7)</x:f>
      </x:c>
    </x:row>
    <x:row r="497">
      <x:c r="A497" t="inlineStr">
        <x:is>
          <x:t xml:space="preserve">google|gemini-3.8-flash|medium|reasoning|fallback-na|aa-v4.3.2|snapshot-2026-09-28</x:t>
        </x:is>
      </x:c>
      <x:c r="B497" t="inlineStr">
        <x:is>
          <x:t xml:space="preserve">google|gemini-3.8-flash|medium|reasoning|fallback-na</x:t>
        </x:is>
      </x:c>
      <x:c r="C497" t="inlineStr">
        <x:is>
          <x:t xml:space="preserve">AA|v4.3.2</x:t>
        </x:is>
      </x:c>
      <x:c r="D497" t="n">
        <x:v>63</x:v>
      </x:c>
      <x:c r="E497" t="n">
        <x:v>80</x:v>
      </x:c>
      <x:c r="F497" t="n">
        <x:f>INDEX(Run_Metrics!$F:$F,D497)</x:f>
        <x:v>40</x:v>
      </x:c>
      <x:c r="G497" t="n">
        <x:f>INDEX(Run_Metrics!$G:$G,D497)</x:f>
        <x:v>0.93</x:v>
      </x:c>
      <x:c r="H497" t="str">
        <x:f>INDEX(Run_Metrics!$I:$I,D497)</x:f>
      </x:c>
      <x:c r="I497" t="n">
        <x:f>IF(F497="","",F497-(E497-1))</x:f>
        <x:v>-39</x:v>
      </x:c>
      <x:c r="J497" t="n">
        <x:f>IF(I497&gt;0,1,0)</x:f>
        <x:v>0</x:v>
      </x:c>
      <x:c r="K497" t="str">
        <x:f>IF(OR(J497=0,G497="",G497=0),"",I497/G497)</x:f>
      </x:c>
      <x:c r="L497" t="str">
        <x:f>IF(OR(J497=0,I497=0,G497=""),"",G497/I497)</x:f>
      </x:c>
      <x:c r="M497" t="str">
        <x:f>IF(OR(J497=0,G497="",H497="",G497=0,H497=0),"",I497/(G497*H497))</x:f>
      </x:c>
      <x:c r="N497" t="str">
        <x:f>IF(K497="","",K497/_xlfn.MAXIFS($K:$K,$E:$E,E497))</x:f>
      </x:c>
      <x:c r="O497" t="str">
        <x:f>IF(M497="","",M497/_xlfn.MAXIFS($M:$M,$E:$E,E497))</x:f>
      </x:c>
      <x:c r="P497" t="str">
        <x:f>IF(OR(N497="",O497=""),"",SQRT(N497*O497))</x:f>
      </x:c>
      <x:c r="Q497" t="str">
        <x:f>IF(OR(N497="",O497=""),"",N497^0.7*O497^0.3)</x:f>
      </x:c>
      <x:c r="R497" t="str">
        <x:f>IF(OR(N497="",O497=""),"",N497^0.3*O497^0.7)</x:f>
      </x:c>
    </x:row>
    <x:row r="498">
      <x:c r="A498" t="inlineStr">
        <x:is>
          <x:t xml:space="preserve">google|gemini-3.8-flash|high|reasoning|fallback-na|aa-v4.3.2|snapshot-2026-09-28</x:t>
        </x:is>
      </x:c>
      <x:c r="B498" t="inlineStr">
        <x:is>
          <x:t xml:space="preserve">google|gemini-3.8-flash|high|reasoning|fallback-na</x:t>
        </x:is>
      </x:c>
      <x:c r="C498" t="inlineStr">
        <x:is>
          <x:t xml:space="preserve">AA|v4.3.2</x:t>
        </x:is>
      </x:c>
      <x:c r="D498" t="n">
        <x:v>64</x:v>
      </x:c>
      <x:c r="E498" t="n">
        <x:v>20</x:v>
      </x:c>
      <x:c r="F498" t="n">
        <x:f>INDEX(Run_Metrics!$F:$F,D498)</x:f>
        <x:v>41</x:v>
      </x:c>
      <x:c r="G498" t="n">
        <x:f>INDEX(Run_Metrics!$G:$G,D498)</x:f>
        <x:v>1.24</x:v>
      </x:c>
      <x:c r="H498" t="n">
        <x:f>INDEX(Run_Metrics!$I:$I,D498)</x:f>
        <x:v>3.854833333333333</x:v>
      </x:c>
      <x:c r="I498" t="n">
        <x:f>IF(F498="","",F498-(E498-1))</x:f>
        <x:v>22</x:v>
      </x:c>
      <x:c r="J498" t="n">
        <x:f>IF(I498&gt;0,1,0)</x:f>
        <x:v>1</x:v>
      </x:c>
      <x:c r="K498" t="n">
        <x:f>IF(OR(J498=0,G498="",G498=0),"",I498/G498)</x:f>
        <x:v>17.741935483870968</x:v>
      </x:c>
      <x:c r="L498" t="n">
        <x:f>IF(OR(J498=0,I498=0,G498=""),"",G498/I498)</x:f>
        <x:v>0.056363636363636366</x:v>
      </x:c>
      <x:c r="M498" t="n">
        <x:f>IF(OR(J498=0,G498="",H498="",G498=0,H498=0),"",I498/(G498*H498))</x:f>
        <x:v>4.60251687938198</x:v>
      </x:c>
      <x:c r="N498" t="n">
        <x:f>IF(K498="","",K498/_xlfn.MAXIFS($K:$K,$E:$E,E498))</x:f>
        <x:v>0.02661290322580645</x:v>
      </x:c>
      <x:c r="O498" t="n">
        <x:f>IF(M498="","",M498/_xlfn.MAXIFS($M:$M,$E:$E,E498))</x:f>
        <x:v>0.0024387586314625264</x:v>
      </x:c>
      <x:c r="P498" t="n">
        <x:f>IF(OR(N498="",O498=""),"",SQRT(N498*O498))</x:f>
        <x:v>0.008056205524327963</x:v>
      </x:c>
      <x:c r="Q498" t="n">
        <x:f>IF(OR(N498="",O498=""),"",N498^0.7*O498^0.3)</x:f>
        <x:v>0.012993173094783726</x:v>
      </x:c>
      <x:c r="R498" t="n">
        <x:f>IF(OR(N498="",O498=""),"",N498^0.3*O498^0.7)</x:f>
        <x:v>0.0049951191273106595</x:v>
      </x:c>
    </x:row>
    <x:row r="499">
      <x:c r="A499" t="inlineStr">
        <x:is>
          <x:t xml:space="preserve">google|gemini-3.8-flash|high|reasoning|fallback-na|aa-v4.3.2|snapshot-2026-09-28</x:t>
        </x:is>
      </x:c>
      <x:c r="B499" t="inlineStr">
        <x:is>
          <x:t xml:space="preserve">google|gemini-3.8-flash|high|reasoning|fallback-na</x:t>
        </x:is>
      </x:c>
      <x:c r="C499" t="inlineStr">
        <x:is>
          <x:t xml:space="preserve">AA|v4.3.2</x:t>
        </x:is>
      </x:c>
      <x:c r="D499" t="n">
        <x:v>64</x:v>
      </x:c>
      <x:c r="E499" t="n">
        <x:v>30</x:v>
      </x:c>
      <x:c r="F499" t="n">
        <x:f>INDEX(Run_Metrics!$F:$F,D499)</x:f>
        <x:v>41</x:v>
      </x:c>
      <x:c r="G499" t="n">
        <x:f>INDEX(Run_Metrics!$G:$G,D499)</x:f>
        <x:v>1.24</x:v>
      </x:c>
      <x:c r="H499" t="n">
        <x:f>INDEX(Run_Metrics!$I:$I,D499)</x:f>
        <x:v>3.854833333333333</x:v>
      </x:c>
      <x:c r="I499" t="n">
        <x:f>IF(F499="","",F499-(E499-1))</x:f>
        <x:v>12</x:v>
      </x:c>
      <x:c r="J499" t="n">
        <x:f>IF(I499&gt;0,1,0)</x:f>
        <x:v>1</x:v>
      </x:c>
      <x:c r="K499" t="n">
        <x:f>IF(OR(J499=0,G499="",G499=0),"",I499/G499)</x:f>
        <x:v>9.67741935483871</x:v>
      </x:c>
      <x:c r="L499" t="n">
        <x:f>IF(OR(J499=0,I499=0,G499=""),"",G499/I499)</x:f>
        <x:v>0.10333333333333333</x:v>
      </x:c>
      <x:c r="M499" t="n">
        <x:f>IF(OR(J499=0,G499="",H499="",G499=0,H499=0),"",I499/(G499*H499))</x:f>
        <x:v>2.510463752390171</x:v>
      </x:c>
      <x:c r="N499" t="n">
        <x:f>IF(K499="","",K499/_xlfn.MAXIFS($K:$K,$E:$E,E499))</x:f>
        <x:v>0.06451612903225806</x:v>
      </x:c>
      <x:c r="O499" t="n">
        <x:f>IF(M499="","",M499/_xlfn.MAXIFS($M:$M,$E:$E,E499))</x:f>
        <x:v>0.04467872340128788</x:v>
      </x:c>
      <x:c r="P499" t="n">
        <x:f>IF(OR(N499="",O499=""),"",SQRT(N499*O499))</x:f>
        <x:v>0.05368890280080286</x:v>
      </x:c>
      <x:c r="Q499" t="n">
        <x:f>IF(OR(N499="",O499=""),"",N499^0.7*O499^0.3)</x:f>
        <x:v>0.05778272751310319</x:v>
      </x:c>
      <x:c r="R499" t="n">
        <x:f>IF(OR(N499="",O499=""),"",N499^0.3*O499^0.7)</x:f>
        <x:v>0.04988511979294164</x:v>
      </x:c>
    </x:row>
    <x:row r="500">
      <x:c r="A500" t="inlineStr">
        <x:is>
          <x:t xml:space="preserve">google|gemini-3.8-flash|high|reasoning|fallback-na|aa-v4.3.2|snapshot-2026-09-28</x:t>
        </x:is>
      </x:c>
      <x:c r="B500" t="inlineStr">
        <x:is>
          <x:t xml:space="preserve">google|gemini-3.8-flash|high|reasoning|fallback-na</x:t>
        </x:is>
      </x:c>
      <x:c r="C500" t="inlineStr">
        <x:is>
          <x:t xml:space="preserve">AA|v4.3.2</x:t>
        </x:is>
      </x:c>
      <x:c r="D500" t="n">
        <x:v>64</x:v>
      </x:c>
      <x:c r="E500" t="n">
        <x:v>40</x:v>
      </x:c>
      <x:c r="F500" t="n">
        <x:f>INDEX(Run_Metrics!$F:$F,D500)</x:f>
        <x:v>41</x:v>
      </x:c>
      <x:c r="G500" t="n">
        <x:f>INDEX(Run_Metrics!$G:$G,D500)</x:f>
        <x:v>1.24</x:v>
      </x:c>
      <x:c r="H500" t="n">
        <x:f>INDEX(Run_Metrics!$I:$I,D500)</x:f>
        <x:v>3.854833333333333</x:v>
      </x:c>
      <x:c r="I500" t="n">
        <x:f>IF(F500="","",F500-(E500-1))</x:f>
        <x:v>2</x:v>
      </x:c>
      <x:c r="J500" t="n">
        <x:f>IF(I500&gt;0,1,0)</x:f>
        <x:v>1</x:v>
      </x:c>
      <x:c r="K500" t="n">
        <x:f>IF(OR(J500=0,G500="",G500=0),"",I500/G500)</x:f>
        <x:v>1.6129032258064517</x:v>
      </x:c>
      <x:c r="L500" t="n">
        <x:f>IF(OR(J500=0,I500=0,G500=""),"",G500/I500)</x:f>
        <x:v>0.62</x:v>
      </x:c>
      <x:c r="M500" t="n">
        <x:f>IF(OR(J500=0,G500="",H500="",G500=0,H500=0),"",I500/(G500*H500))</x:f>
        <x:v>0.4184106253983618</x:v>
      </x:c>
      <x:c r="N500" t="n">
        <x:f>IF(K500="","",K500/_xlfn.MAXIFS($K:$K,$E:$E,E500))</x:f>
        <x:v>0.029953917050691246</x:v>
      </x:c>
      <x:c r="O500" t="n">
        <x:f>IF(M500="","",M500/_xlfn.MAXIFS($M:$M,$E:$E,E500))</x:f>
        <x:v>0.06942807053127988</x:v>
      </x:c>
      <x:c r="P500" t="n">
        <x:f>IF(OR(N500="",O500=""),"",SQRT(N500*O500))</x:f>
        <x:v>0.04560309929909916</x:v>
      </x:c>
      <x:c r="Q500" t="n">
        <x:f>IF(OR(N500="",O500=""),"",N500^0.7*O500^0.3)</x:f>
        <x:v>0.038545888850385665</x:v>
      </x:c>
      <x:c r="R500" t="n">
        <x:f>IF(OR(N500="",O500=""),"",N500^0.3*O500^0.7)</x:f>
        <x:v>0.05395238578504571</x:v>
      </x:c>
    </x:row>
    <x:row r="501">
      <x:c r="A501" t="inlineStr">
        <x:is>
          <x:t xml:space="preserve">google|gemini-3.8-flash|high|reasoning|fallback-na|aa-v4.3.2|snapshot-2026-09-28</x:t>
        </x:is>
      </x:c>
      <x:c r="B501" t="inlineStr">
        <x:is>
          <x:t xml:space="preserve">google|gemini-3.8-flash|high|reasoning|fallback-na</x:t>
        </x:is>
      </x:c>
      <x:c r="C501" t="inlineStr">
        <x:is>
          <x:t xml:space="preserve">AA|v4.3.2</x:t>
        </x:is>
      </x:c>
      <x:c r="D501" t="n">
        <x:v>64</x:v>
      </x:c>
      <x:c r="E501" t="n">
        <x:v>45</x:v>
      </x:c>
      <x:c r="F501" t="n">
        <x:f>INDEX(Run_Metrics!$F:$F,D501)</x:f>
        <x:v>41</x:v>
      </x:c>
      <x:c r="G501" t="n">
        <x:f>INDEX(Run_Metrics!$G:$G,D501)</x:f>
        <x:v>1.24</x:v>
      </x:c>
      <x:c r="H501" t="n">
        <x:f>INDEX(Run_Metrics!$I:$I,D501)</x:f>
        <x:v>3.854833333333333</x:v>
      </x:c>
      <x:c r="I501" t="n">
        <x:f>IF(F501="","",F501-(E501-1))</x:f>
        <x:v>-3</x:v>
      </x:c>
      <x:c r="J501" t="n">
        <x:f>IF(I501&gt;0,1,0)</x:f>
        <x:v>0</x:v>
      </x:c>
      <x:c r="K501" t="str">
        <x:f>IF(OR(J501=0,G501="",G501=0),"",I501/G501)</x:f>
      </x:c>
      <x:c r="L501" t="str">
        <x:f>IF(OR(J501=0,I501=0,G501=""),"",G501/I501)</x:f>
      </x:c>
      <x:c r="M501" t="str">
        <x:f>IF(OR(J501=0,G501="",H501="",G501=0,H501=0),"",I501/(G501*H501))</x:f>
      </x:c>
      <x:c r="N501" t="str">
        <x:f>IF(K501="","",K501/_xlfn.MAXIFS($K:$K,$E:$E,E501))</x:f>
      </x:c>
      <x:c r="O501" t="str">
        <x:f>IF(M501="","",M501/_xlfn.MAXIFS($M:$M,$E:$E,E501))</x:f>
      </x:c>
      <x:c r="P501" t="str">
        <x:f>IF(OR(N501="",O501=""),"",SQRT(N501*O501))</x:f>
      </x:c>
      <x:c r="Q501" t="str">
        <x:f>IF(OR(N501="",O501=""),"",N501^0.7*O501^0.3)</x:f>
      </x:c>
      <x:c r="R501" t="str">
        <x:f>IF(OR(N501="",O501=""),"",N501^0.3*O501^0.7)</x:f>
      </x:c>
    </x:row>
    <x:row r="502">
      <x:c r="A502" t="inlineStr">
        <x:is>
          <x:t xml:space="preserve">google|gemini-3.8-flash|high|reasoning|fallback-na|aa-v4.3.2|snapshot-2026-09-28</x:t>
        </x:is>
      </x:c>
      <x:c r="B502" t="inlineStr">
        <x:is>
          <x:t xml:space="preserve">google|gemini-3.8-flash|high|reasoning|fallback-na</x:t>
        </x:is>
      </x:c>
      <x:c r="C502" t="inlineStr">
        <x:is>
          <x:t xml:space="preserve">AA|v4.3.2</x:t>
        </x:is>
      </x:c>
      <x:c r="D502" t="n">
        <x:v>64</x:v>
      </x:c>
      <x:c r="E502" t="n">
        <x:v>50</x:v>
      </x:c>
      <x:c r="F502" t="n">
        <x:f>INDEX(Run_Metrics!$F:$F,D502)</x:f>
        <x:v>41</x:v>
      </x:c>
      <x:c r="G502" t="n">
        <x:f>INDEX(Run_Metrics!$G:$G,D502)</x:f>
        <x:v>1.24</x:v>
      </x:c>
      <x:c r="H502" t="n">
        <x:f>INDEX(Run_Metrics!$I:$I,D502)</x:f>
        <x:v>3.854833333333333</x:v>
      </x:c>
      <x:c r="I502" t="n">
        <x:f>IF(F502="","",F502-(E502-1))</x:f>
        <x:v>-8</x:v>
      </x:c>
      <x:c r="J502" t="n">
        <x:f>IF(I502&gt;0,1,0)</x:f>
        <x:v>0</x:v>
      </x:c>
      <x:c r="K502" t="str">
        <x:f>IF(OR(J502=0,G502="",G502=0),"",I502/G502)</x:f>
      </x:c>
      <x:c r="L502" t="str">
        <x:f>IF(OR(J502=0,I502=0,G502=""),"",G502/I502)</x:f>
      </x:c>
      <x:c r="M502" t="str">
        <x:f>IF(OR(J502=0,G502="",H502="",G502=0,H502=0),"",I502/(G502*H502))</x:f>
      </x:c>
      <x:c r="N502" t="str">
        <x:f>IF(K502="","",K502/_xlfn.MAXIFS($K:$K,$E:$E,E502))</x:f>
      </x:c>
      <x:c r="O502" t="str">
        <x:f>IF(M502="","",M502/_xlfn.MAXIFS($M:$M,$E:$E,E502))</x:f>
      </x:c>
      <x:c r="P502" t="str">
        <x:f>IF(OR(N502="",O502=""),"",SQRT(N502*O502))</x:f>
      </x:c>
      <x:c r="Q502" t="str">
        <x:f>IF(OR(N502="",O502=""),"",N502^0.7*O502^0.3)</x:f>
      </x:c>
      <x:c r="R502" t="str">
        <x:f>IF(OR(N502="",O502=""),"",N502^0.3*O502^0.7)</x:f>
      </x:c>
    </x:row>
    <x:row r="503">
      <x:c r="A503" t="inlineStr">
        <x:is>
          <x:t xml:space="preserve">google|gemini-3.8-flash|high|reasoning|fallback-na|aa-v4.3.2|snapshot-2026-09-28</x:t>
        </x:is>
      </x:c>
      <x:c r="B503" t="inlineStr">
        <x:is>
          <x:t xml:space="preserve">google|gemini-3.8-flash|high|reasoning|fallback-na</x:t>
        </x:is>
      </x:c>
      <x:c r="C503" t="inlineStr">
        <x:is>
          <x:t xml:space="preserve">AA|v4.3.2</x:t>
        </x:is>
      </x:c>
      <x:c r="D503" t="n">
        <x:v>64</x:v>
      </x:c>
      <x:c r="E503" t="n">
        <x:v>52</x:v>
      </x:c>
      <x:c r="F503" t="n">
        <x:f>INDEX(Run_Metrics!$F:$F,D503)</x:f>
        <x:v>41</x:v>
      </x:c>
      <x:c r="G503" t="n">
        <x:f>INDEX(Run_Metrics!$G:$G,D503)</x:f>
        <x:v>1.24</x:v>
      </x:c>
      <x:c r="H503" t="n">
        <x:f>INDEX(Run_Metrics!$I:$I,D503)</x:f>
        <x:v>3.854833333333333</x:v>
      </x:c>
      <x:c r="I503" t="n">
        <x:f>IF(F503="","",F503-(E503-1))</x:f>
        <x:v>-10</x:v>
      </x:c>
      <x:c r="J503" t="n">
        <x:f>IF(I503&gt;0,1,0)</x:f>
        <x:v>0</x:v>
      </x:c>
      <x:c r="K503" t="str">
        <x:f>IF(OR(J503=0,G503="",G503=0),"",I503/G503)</x:f>
      </x:c>
      <x:c r="L503" t="str">
        <x:f>IF(OR(J503=0,I503=0,G503=""),"",G503/I503)</x:f>
      </x:c>
      <x:c r="M503" t="str">
        <x:f>IF(OR(J503=0,G503="",H503="",G503=0,H503=0),"",I503/(G503*H503))</x:f>
      </x:c>
      <x:c r="N503" t="str">
        <x:f>IF(K503="","",K503/_xlfn.MAXIFS($K:$K,$E:$E,E503))</x:f>
      </x:c>
      <x:c r="O503" t="str">
        <x:f>IF(M503="","",M503/_xlfn.MAXIFS($M:$M,$E:$E,E503))</x:f>
      </x:c>
      <x:c r="P503" t="str">
        <x:f>IF(OR(N503="",O503=""),"",SQRT(N503*O503))</x:f>
      </x:c>
      <x:c r="Q503" t="str">
        <x:f>IF(OR(N503="",O503=""),"",N503^0.7*O503^0.3)</x:f>
      </x:c>
      <x:c r="R503" t="str">
        <x:f>IF(OR(N503="",O503=""),"",N503^0.3*O503^0.7)</x:f>
      </x:c>
    </x:row>
    <x:row r="504">
      <x:c r="A504" t="inlineStr">
        <x:is>
          <x:t xml:space="preserve">google|gemini-3.8-flash|high|reasoning|fallback-na|aa-v4.3.2|snapshot-2026-09-28</x:t>
        </x:is>
      </x:c>
      <x:c r="B504" t="inlineStr">
        <x:is>
          <x:t xml:space="preserve">google|gemini-3.8-flash|high|reasoning|fallback-na</x:t>
        </x:is>
      </x:c>
      <x:c r="C504" t="inlineStr">
        <x:is>
          <x:t xml:space="preserve">AA|v4.3.2</x:t>
        </x:is>
      </x:c>
      <x:c r="D504" t="n">
        <x:v>64</x:v>
      </x:c>
      <x:c r="E504" t="n">
        <x:v>65</x:v>
      </x:c>
      <x:c r="F504" t="n">
        <x:f>INDEX(Run_Metrics!$F:$F,D504)</x:f>
        <x:v>41</x:v>
      </x:c>
      <x:c r="G504" t="n">
        <x:f>INDEX(Run_Metrics!$G:$G,D504)</x:f>
        <x:v>1.24</x:v>
      </x:c>
      <x:c r="H504" t="n">
        <x:f>INDEX(Run_Metrics!$I:$I,D504)</x:f>
        <x:v>3.854833333333333</x:v>
      </x:c>
      <x:c r="I504" t="n">
        <x:f>IF(F504="","",F504-(E504-1))</x:f>
        <x:v>-23</x:v>
      </x:c>
      <x:c r="J504" t="n">
        <x:f>IF(I504&gt;0,1,0)</x:f>
        <x:v>0</x:v>
      </x:c>
      <x:c r="K504" t="str">
        <x:f>IF(OR(J504=0,G504="",G504=0),"",I504/G504)</x:f>
      </x:c>
      <x:c r="L504" t="str">
        <x:f>IF(OR(J504=0,I504=0,G504=""),"",G504/I504)</x:f>
      </x:c>
      <x:c r="M504" t="str">
        <x:f>IF(OR(J504=0,G504="",H504="",G504=0,H504=0),"",I504/(G504*H504))</x:f>
      </x:c>
      <x:c r="N504" t="str">
        <x:f>IF(K504="","",K504/_xlfn.MAXIFS($K:$K,$E:$E,E504))</x:f>
      </x:c>
      <x:c r="O504" t="str">
        <x:f>IF(M504="","",M504/_xlfn.MAXIFS($M:$M,$E:$E,E504))</x:f>
      </x:c>
      <x:c r="P504" t="str">
        <x:f>IF(OR(N504="",O504=""),"",SQRT(N504*O504))</x:f>
      </x:c>
      <x:c r="Q504" t="str">
        <x:f>IF(OR(N504="",O504=""),"",N504^0.7*O504^0.3)</x:f>
      </x:c>
      <x:c r="R504" t="str">
        <x:f>IF(OR(N504="",O504=""),"",N504^0.3*O504^0.7)</x:f>
      </x:c>
    </x:row>
    <x:row r="505">
      <x:c r="A505" t="inlineStr">
        <x:is>
          <x:t xml:space="preserve">google|gemini-3.8-flash|high|reasoning|fallback-na|aa-v4.3.2|snapshot-2026-09-28</x:t>
        </x:is>
      </x:c>
      <x:c r="B505" t="inlineStr">
        <x:is>
          <x:t xml:space="preserve">google|gemini-3.8-flash|high|reasoning|fallback-na</x:t>
        </x:is>
      </x:c>
      <x:c r="C505" t="inlineStr">
        <x:is>
          <x:t xml:space="preserve">AA|v4.3.2</x:t>
        </x:is>
      </x:c>
      <x:c r="D505" t="n">
        <x:v>64</x:v>
      </x:c>
      <x:c r="E505" t="n">
        <x:v>80</x:v>
      </x:c>
      <x:c r="F505" t="n">
        <x:f>INDEX(Run_Metrics!$F:$F,D505)</x:f>
        <x:v>41</x:v>
      </x:c>
      <x:c r="G505" t="n">
        <x:f>INDEX(Run_Metrics!$G:$G,D505)</x:f>
        <x:v>1.24</x:v>
      </x:c>
      <x:c r="H505" t="n">
        <x:f>INDEX(Run_Metrics!$I:$I,D505)</x:f>
        <x:v>3.854833333333333</x:v>
      </x:c>
      <x:c r="I505" t="n">
        <x:f>IF(F505="","",F505-(E505-1))</x:f>
        <x:v>-38</x:v>
      </x:c>
      <x:c r="J505" t="n">
        <x:f>IF(I505&gt;0,1,0)</x:f>
        <x:v>0</x:v>
      </x:c>
      <x:c r="K505" t="str">
        <x:f>IF(OR(J505=0,G505="",G505=0),"",I505/G505)</x:f>
      </x:c>
      <x:c r="L505" t="str">
        <x:f>IF(OR(J505=0,I505=0,G505=""),"",G505/I505)</x:f>
      </x:c>
      <x:c r="M505" t="str">
        <x:f>IF(OR(J505=0,G505="",H505="",G505=0,H505=0),"",I505/(G505*H505))</x:f>
      </x:c>
      <x:c r="N505" t="str">
        <x:f>IF(K505="","",K505/_xlfn.MAXIFS($K:$K,$E:$E,E505))</x:f>
      </x:c>
      <x:c r="O505" t="str">
        <x:f>IF(M505="","",M505/_xlfn.MAXIFS($M:$M,$E:$E,E505))</x:f>
      </x:c>
      <x:c r="P505" t="str">
        <x:f>IF(OR(N505="",O505=""),"",SQRT(N505*O505))</x:f>
      </x:c>
      <x:c r="Q505" t="str">
        <x:f>IF(OR(N505="",O505=""),"",N505^0.7*O505^0.3)</x:f>
      </x:c>
      <x:c r="R505" t="str">
        <x:f>IF(OR(N505="",O505=""),"",N505^0.3*O505^0.7)</x:f>
      </x:c>
    </x:row>
    <x:row r="506">
      <x:c r="A506" t="inlineStr">
        <x:is>
          <x:t xml:space="preserve">deepseek|deepseek-v4.1-flash|non-reasoning|nonreasoning|fallback-na|aa-v4.3.2|snapshot-2026-09-28</x:t>
        </x:is>
      </x:c>
      <x:c r="B506" t="inlineStr">
        <x:is>
          <x:t xml:space="preserve">deepseek|deepseek-v4.1-flash|non-reasoning|nonreasoning|fallback-na</x:t>
        </x:is>
      </x:c>
      <x:c r="C506" t="inlineStr">
        <x:is>
          <x:t xml:space="preserve">AA|v4.3.2</x:t>
        </x:is>
      </x:c>
      <x:c r="D506" t="n">
        <x:v>65</x:v>
      </x:c>
      <x:c r="E506" t="n">
        <x:v>20</x:v>
      </x:c>
      <x:c r="F506" t="n">
        <x:f>INDEX(Run_Metrics!$F:$F,D506)</x:f>
        <x:v>25</x:v>
      </x:c>
      <x:c r="G506" t="n">
        <x:f>INDEX(Run_Metrics!$G:$G,D506)</x:f>
        <x:v>0.15</x:v>
      </x:c>
      <x:c r="H506" t="str">
        <x:f>INDEX(Run_Metrics!$I:$I,D506)</x:f>
      </x:c>
      <x:c r="I506" t="n">
        <x:f>IF(F506="","",F506-(E506-1))</x:f>
        <x:v>6</x:v>
      </x:c>
      <x:c r="J506" t="n">
        <x:f>IF(I506&gt;0,1,0)</x:f>
        <x:v>1</x:v>
      </x:c>
      <x:c r="K506" t="n">
        <x:f>IF(OR(J506=0,G506="",G506=0),"",I506/G506)</x:f>
        <x:v>40</x:v>
      </x:c>
      <x:c r="L506" t="n">
        <x:f>IF(OR(J506=0,I506=0,G506=""),"",G506/I506)</x:f>
        <x:v>0.024999999999999998</x:v>
      </x:c>
      <x:c r="M506" t="str">
        <x:f>IF(OR(J506=0,G506="",H506="",G506=0,H506=0),"",I506/(G506*H506))</x:f>
      </x:c>
      <x:c r="N506" t="n">
        <x:f>IF(K506="","",K506/_xlfn.MAXIFS($K:$K,$E:$E,E506))</x:f>
        <x:v>0.05999999999999999</x:v>
      </x:c>
      <x:c r="O506" t="str">
        <x:f>IF(M506="","",M506/_xlfn.MAXIFS($M:$M,$E:$E,E506))</x:f>
      </x:c>
      <x:c r="P506" t="str">
        <x:f>IF(OR(N506="",O506=""),"",SQRT(N506*O506))</x:f>
      </x:c>
      <x:c r="Q506" t="str">
        <x:f>IF(OR(N506="",O506=""),"",N506^0.7*O506^0.3)</x:f>
      </x:c>
      <x:c r="R506" t="str">
        <x:f>IF(OR(N506="",O506=""),"",N506^0.3*O506^0.7)</x:f>
      </x:c>
    </x:row>
    <x:row r="507">
      <x:c r="A507" t="inlineStr">
        <x:is>
          <x:t xml:space="preserve">deepseek|deepseek-v4.1-flash|non-reasoning|nonreasoning|fallback-na|aa-v4.3.2|snapshot-2026-09-28</x:t>
        </x:is>
      </x:c>
      <x:c r="B507" t="inlineStr">
        <x:is>
          <x:t xml:space="preserve">deepseek|deepseek-v4.1-flash|non-reasoning|nonreasoning|fallback-na</x:t>
        </x:is>
      </x:c>
      <x:c r="C507" t="inlineStr">
        <x:is>
          <x:t xml:space="preserve">AA|v4.3.2</x:t>
        </x:is>
      </x:c>
      <x:c r="D507" t="n">
        <x:v>65</x:v>
      </x:c>
      <x:c r="E507" t="n">
        <x:v>30</x:v>
      </x:c>
      <x:c r="F507" t="n">
        <x:f>INDEX(Run_Metrics!$F:$F,D507)</x:f>
        <x:v>25</x:v>
      </x:c>
      <x:c r="G507" t="n">
        <x:f>INDEX(Run_Metrics!$G:$G,D507)</x:f>
        <x:v>0.15</x:v>
      </x:c>
      <x:c r="H507" t="str">
        <x:f>INDEX(Run_Metrics!$I:$I,D507)</x:f>
      </x:c>
      <x:c r="I507" t="n">
        <x:f>IF(F507="","",F507-(E507-1))</x:f>
        <x:v>-4</x:v>
      </x:c>
      <x:c r="J507" t="n">
        <x:f>IF(I507&gt;0,1,0)</x:f>
        <x:v>0</x:v>
      </x:c>
      <x:c r="K507" t="str">
        <x:f>IF(OR(J507=0,G507="",G507=0),"",I507/G507)</x:f>
      </x:c>
      <x:c r="L507" t="str">
        <x:f>IF(OR(J507=0,I507=0,G507=""),"",G507/I507)</x:f>
      </x:c>
      <x:c r="M507" t="str">
        <x:f>IF(OR(J507=0,G507="",H507="",G507=0,H507=0),"",I507/(G507*H507))</x:f>
      </x:c>
      <x:c r="N507" t="str">
        <x:f>IF(K507="","",K507/_xlfn.MAXIFS($K:$K,$E:$E,E507))</x:f>
      </x:c>
      <x:c r="O507" t="str">
        <x:f>IF(M507="","",M507/_xlfn.MAXIFS($M:$M,$E:$E,E507))</x:f>
      </x:c>
      <x:c r="P507" t="str">
        <x:f>IF(OR(N507="",O507=""),"",SQRT(N507*O507))</x:f>
      </x:c>
      <x:c r="Q507" t="str">
        <x:f>IF(OR(N507="",O507=""),"",N507^0.7*O507^0.3)</x:f>
      </x:c>
      <x:c r="R507" t="str">
        <x:f>IF(OR(N507="",O507=""),"",N507^0.3*O507^0.7)</x:f>
      </x:c>
    </x:row>
    <x:row r="508">
      <x:c r="A508" t="inlineStr">
        <x:is>
          <x:t xml:space="preserve">deepseek|deepseek-v4.1-flash|non-reasoning|nonreasoning|fallback-na|aa-v4.3.2|snapshot-2026-09-28</x:t>
        </x:is>
      </x:c>
      <x:c r="B508" t="inlineStr">
        <x:is>
          <x:t xml:space="preserve">deepseek|deepseek-v4.1-flash|non-reasoning|nonreasoning|fallback-na</x:t>
        </x:is>
      </x:c>
      <x:c r="C508" t="inlineStr">
        <x:is>
          <x:t xml:space="preserve">AA|v4.3.2</x:t>
        </x:is>
      </x:c>
      <x:c r="D508" t="n">
        <x:v>65</x:v>
      </x:c>
      <x:c r="E508" t="n">
        <x:v>40</x:v>
      </x:c>
      <x:c r="F508" t="n">
        <x:f>INDEX(Run_Metrics!$F:$F,D508)</x:f>
        <x:v>25</x:v>
      </x:c>
      <x:c r="G508" t="n">
        <x:f>INDEX(Run_Metrics!$G:$G,D508)</x:f>
        <x:v>0.15</x:v>
      </x:c>
      <x:c r="H508" t="str">
        <x:f>INDEX(Run_Metrics!$I:$I,D508)</x:f>
      </x:c>
      <x:c r="I508" t="n">
        <x:f>IF(F508="","",F508-(E508-1))</x:f>
        <x:v>-14</x:v>
      </x:c>
      <x:c r="J508" t="n">
        <x:f>IF(I508&gt;0,1,0)</x:f>
        <x:v>0</x:v>
      </x:c>
      <x:c r="K508" t="str">
        <x:f>IF(OR(J508=0,G508="",G508=0),"",I508/G508)</x:f>
      </x:c>
      <x:c r="L508" t="str">
        <x:f>IF(OR(J508=0,I508=0,G508=""),"",G508/I508)</x:f>
      </x:c>
      <x:c r="M508" t="str">
        <x:f>IF(OR(J508=0,G508="",H508="",G508=0,H508=0),"",I508/(G508*H508))</x:f>
      </x:c>
      <x:c r="N508" t="str">
        <x:f>IF(K508="","",K508/_xlfn.MAXIFS($K:$K,$E:$E,E508))</x:f>
      </x:c>
      <x:c r="O508" t="str">
        <x:f>IF(M508="","",M508/_xlfn.MAXIFS($M:$M,$E:$E,E508))</x:f>
      </x:c>
      <x:c r="P508" t="str">
        <x:f>IF(OR(N508="",O508=""),"",SQRT(N508*O508))</x:f>
      </x:c>
      <x:c r="Q508" t="str">
        <x:f>IF(OR(N508="",O508=""),"",N508^0.7*O508^0.3)</x:f>
      </x:c>
      <x:c r="R508" t="str">
        <x:f>IF(OR(N508="",O508=""),"",N508^0.3*O508^0.7)</x:f>
      </x:c>
    </x:row>
    <x:row r="509">
      <x:c r="A509" t="inlineStr">
        <x:is>
          <x:t xml:space="preserve">deepseek|deepseek-v4.1-flash|non-reasoning|nonreasoning|fallback-na|aa-v4.3.2|snapshot-2026-09-28</x:t>
        </x:is>
      </x:c>
      <x:c r="B509" t="inlineStr">
        <x:is>
          <x:t xml:space="preserve">deepseek|deepseek-v4.1-flash|non-reasoning|nonreasoning|fallback-na</x:t>
        </x:is>
      </x:c>
      <x:c r="C509" t="inlineStr">
        <x:is>
          <x:t xml:space="preserve">AA|v4.3.2</x:t>
        </x:is>
      </x:c>
      <x:c r="D509" t="n">
        <x:v>65</x:v>
      </x:c>
      <x:c r="E509" t="n">
        <x:v>45</x:v>
      </x:c>
      <x:c r="F509" t="n">
        <x:f>INDEX(Run_Metrics!$F:$F,D509)</x:f>
        <x:v>25</x:v>
      </x:c>
      <x:c r="G509" t="n">
        <x:f>INDEX(Run_Metrics!$G:$G,D509)</x:f>
        <x:v>0.15</x:v>
      </x:c>
      <x:c r="H509" t="str">
        <x:f>INDEX(Run_Metrics!$I:$I,D509)</x:f>
      </x:c>
      <x:c r="I509" t="n">
        <x:f>IF(F509="","",F509-(E509-1))</x:f>
        <x:v>-19</x:v>
      </x:c>
      <x:c r="J509" t="n">
        <x:f>IF(I509&gt;0,1,0)</x:f>
        <x:v>0</x:v>
      </x:c>
      <x:c r="K509" t="str">
        <x:f>IF(OR(J509=0,G509="",G509=0),"",I509/G509)</x:f>
      </x:c>
      <x:c r="L509" t="str">
        <x:f>IF(OR(J509=0,I509=0,G509=""),"",G509/I509)</x:f>
      </x:c>
      <x:c r="M509" t="str">
        <x:f>IF(OR(J509=0,G509="",H509="",G509=0,H509=0),"",I509/(G509*H509))</x:f>
      </x:c>
      <x:c r="N509" t="str">
        <x:f>IF(K509="","",K509/_xlfn.MAXIFS($K:$K,$E:$E,E509))</x:f>
      </x:c>
      <x:c r="O509" t="str">
        <x:f>IF(M509="","",M509/_xlfn.MAXIFS($M:$M,$E:$E,E509))</x:f>
      </x:c>
      <x:c r="P509" t="str">
        <x:f>IF(OR(N509="",O509=""),"",SQRT(N509*O509))</x:f>
      </x:c>
      <x:c r="Q509" t="str">
        <x:f>IF(OR(N509="",O509=""),"",N509^0.7*O509^0.3)</x:f>
      </x:c>
      <x:c r="R509" t="str">
        <x:f>IF(OR(N509="",O509=""),"",N509^0.3*O509^0.7)</x:f>
      </x:c>
    </x:row>
    <x:row r="510">
      <x:c r="A510" t="inlineStr">
        <x:is>
          <x:t xml:space="preserve">deepseek|deepseek-v4.1-flash|non-reasoning|nonreasoning|fallback-na|aa-v4.3.2|snapshot-2026-09-28</x:t>
        </x:is>
      </x:c>
      <x:c r="B510" t="inlineStr">
        <x:is>
          <x:t xml:space="preserve">deepseek|deepseek-v4.1-flash|non-reasoning|nonreasoning|fallback-na</x:t>
        </x:is>
      </x:c>
      <x:c r="C510" t="inlineStr">
        <x:is>
          <x:t xml:space="preserve">AA|v4.3.2</x:t>
        </x:is>
      </x:c>
      <x:c r="D510" t="n">
        <x:v>65</x:v>
      </x:c>
      <x:c r="E510" t="n">
        <x:v>50</x:v>
      </x:c>
      <x:c r="F510" t="n">
        <x:f>INDEX(Run_Metrics!$F:$F,D510)</x:f>
        <x:v>25</x:v>
      </x:c>
      <x:c r="G510" t="n">
        <x:f>INDEX(Run_Metrics!$G:$G,D510)</x:f>
        <x:v>0.15</x:v>
      </x:c>
      <x:c r="H510" t="str">
        <x:f>INDEX(Run_Metrics!$I:$I,D510)</x:f>
      </x:c>
      <x:c r="I510" t="n">
        <x:f>IF(F510="","",F510-(E510-1))</x:f>
        <x:v>-24</x:v>
      </x:c>
      <x:c r="J510" t="n">
        <x:f>IF(I510&gt;0,1,0)</x:f>
        <x:v>0</x:v>
      </x:c>
      <x:c r="K510" t="str">
        <x:f>IF(OR(J510=0,G510="",G510=0),"",I510/G510)</x:f>
      </x:c>
      <x:c r="L510" t="str">
        <x:f>IF(OR(J510=0,I510=0,G510=""),"",G510/I510)</x:f>
      </x:c>
      <x:c r="M510" t="str">
        <x:f>IF(OR(J510=0,G510="",H510="",G510=0,H510=0),"",I510/(G510*H510))</x:f>
      </x:c>
      <x:c r="N510" t="str">
        <x:f>IF(K510="","",K510/_xlfn.MAXIFS($K:$K,$E:$E,E510))</x:f>
      </x:c>
      <x:c r="O510" t="str">
        <x:f>IF(M510="","",M510/_xlfn.MAXIFS($M:$M,$E:$E,E510))</x:f>
      </x:c>
      <x:c r="P510" t="str">
        <x:f>IF(OR(N510="",O510=""),"",SQRT(N510*O510))</x:f>
      </x:c>
      <x:c r="Q510" t="str">
        <x:f>IF(OR(N510="",O510=""),"",N510^0.7*O510^0.3)</x:f>
      </x:c>
      <x:c r="R510" t="str">
        <x:f>IF(OR(N510="",O510=""),"",N510^0.3*O510^0.7)</x:f>
      </x:c>
    </x:row>
    <x:row r="511">
      <x:c r="A511" t="inlineStr">
        <x:is>
          <x:t xml:space="preserve">deepseek|deepseek-v4.1-flash|non-reasoning|nonreasoning|fallback-na|aa-v4.3.2|snapshot-2026-09-28</x:t>
        </x:is>
      </x:c>
      <x:c r="B511" t="inlineStr">
        <x:is>
          <x:t xml:space="preserve">deepseek|deepseek-v4.1-flash|non-reasoning|nonreasoning|fallback-na</x:t>
        </x:is>
      </x:c>
      <x:c r="C511" t="inlineStr">
        <x:is>
          <x:t xml:space="preserve">AA|v4.3.2</x:t>
        </x:is>
      </x:c>
      <x:c r="D511" t="n">
        <x:v>65</x:v>
      </x:c>
      <x:c r="E511" t="n">
        <x:v>52</x:v>
      </x:c>
      <x:c r="F511" t="n">
        <x:f>INDEX(Run_Metrics!$F:$F,D511)</x:f>
        <x:v>25</x:v>
      </x:c>
      <x:c r="G511" t="n">
        <x:f>INDEX(Run_Metrics!$G:$G,D511)</x:f>
        <x:v>0.15</x:v>
      </x:c>
      <x:c r="H511" t="str">
        <x:f>INDEX(Run_Metrics!$I:$I,D511)</x:f>
      </x:c>
      <x:c r="I511" t="n">
        <x:f>IF(F511="","",F511-(E511-1))</x:f>
        <x:v>-26</x:v>
      </x:c>
      <x:c r="J511" t="n">
        <x:f>IF(I511&gt;0,1,0)</x:f>
        <x:v>0</x:v>
      </x:c>
      <x:c r="K511" t="str">
        <x:f>IF(OR(J511=0,G511="",G511=0),"",I511/G511)</x:f>
      </x:c>
      <x:c r="L511" t="str">
        <x:f>IF(OR(J511=0,I511=0,G511=""),"",G511/I511)</x:f>
      </x:c>
      <x:c r="M511" t="str">
        <x:f>IF(OR(J511=0,G511="",H511="",G511=0,H511=0),"",I511/(G511*H511))</x:f>
      </x:c>
      <x:c r="N511" t="str">
        <x:f>IF(K511="","",K511/_xlfn.MAXIFS($K:$K,$E:$E,E511))</x:f>
      </x:c>
      <x:c r="O511" t="str">
        <x:f>IF(M511="","",M511/_xlfn.MAXIFS($M:$M,$E:$E,E511))</x:f>
      </x:c>
      <x:c r="P511" t="str">
        <x:f>IF(OR(N511="",O511=""),"",SQRT(N511*O511))</x:f>
      </x:c>
      <x:c r="Q511" t="str">
        <x:f>IF(OR(N511="",O511=""),"",N511^0.7*O511^0.3)</x:f>
      </x:c>
      <x:c r="R511" t="str">
        <x:f>IF(OR(N511="",O511=""),"",N511^0.3*O511^0.7)</x:f>
      </x:c>
    </x:row>
    <x:row r="512">
      <x:c r="A512" t="inlineStr">
        <x:is>
          <x:t xml:space="preserve">deepseek|deepseek-v4.1-flash|non-reasoning|nonreasoning|fallback-na|aa-v4.3.2|snapshot-2026-09-28</x:t>
        </x:is>
      </x:c>
      <x:c r="B512" t="inlineStr">
        <x:is>
          <x:t xml:space="preserve">deepseek|deepseek-v4.1-flash|non-reasoning|nonreasoning|fallback-na</x:t>
        </x:is>
      </x:c>
      <x:c r="C512" t="inlineStr">
        <x:is>
          <x:t xml:space="preserve">AA|v4.3.2</x:t>
        </x:is>
      </x:c>
      <x:c r="D512" t="n">
        <x:v>65</x:v>
      </x:c>
      <x:c r="E512" t="n">
        <x:v>65</x:v>
      </x:c>
      <x:c r="F512" t="n">
        <x:f>INDEX(Run_Metrics!$F:$F,D512)</x:f>
        <x:v>25</x:v>
      </x:c>
      <x:c r="G512" t="n">
        <x:f>INDEX(Run_Metrics!$G:$G,D512)</x:f>
        <x:v>0.15</x:v>
      </x:c>
      <x:c r="H512" t="str">
        <x:f>INDEX(Run_Metrics!$I:$I,D512)</x:f>
      </x:c>
      <x:c r="I512" t="n">
        <x:f>IF(F512="","",F512-(E512-1))</x:f>
        <x:v>-39</x:v>
      </x:c>
      <x:c r="J512" t="n">
        <x:f>IF(I512&gt;0,1,0)</x:f>
        <x:v>0</x:v>
      </x:c>
      <x:c r="K512" t="str">
        <x:f>IF(OR(J512=0,G512="",G512=0),"",I512/G512)</x:f>
      </x:c>
      <x:c r="L512" t="str">
        <x:f>IF(OR(J512=0,I512=0,G512=""),"",G512/I512)</x:f>
      </x:c>
      <x:c r="M512" t="str">
        <x:f>IF(OR(J512=0,G512="",H512="",G512=0,H512=0),"",I512/(G512*H512))</x:f>
      </x:c>
      <x:c r="N512" t="str">
        <x:f>IF(K512="","",K512/_xlfn.MAXIFS($K:$K,$E:$E,E512))</x:f>
      </x:c>
      <x:c r="O512" t="str">
        <x:f>IF(M512="","",M512/_xlfn.MAXIFS($M:$M,$E:$E,E512))</x:f>
      </x:c>
      <x:c r="P512" t="str">
        <x:f>IF(OR(N512="",O512=""),"",SQRT(N512*O512))</x:f>
      </x:c>
      <x:c r="Q512" t="str">
        <x:f>IF(OR(N512="",O512=""),"",N512^0.7*O512^0.3)</x:f>
      </x:c>
      <x:c r="R512" t="str">
        <x:f>IF(OR(N512="",O512=""),"",N512^0.3*O512^0.7)</x:f>
      </x:c>
    </x:row>
    <x:row r="513">
      <x:c r="A513" t="inlineStr">
        <x:is>
          <x:t xml:space="preserve">deepseek|deepseek-v4.1-flash|non-reasoning|nonreasoning|fallback-na|aa-v4.3.2|snapshot-2026-09-28</x:t>
        </x:is>
      </x:c>
      <x:c r="B513" t="inlineStr">
        <x:is>
          <x:t xml:space="preserve">deepseek|deepseek-v4.1-flash|non-reasoning|nonreasoning|fallback-na</x:t>
        </x:is>
      </x:c>
      <x:c r="C513" t="inlineStr">
        <x:is>
          <x:t xml:space="preserve">AA|v4.3.2</x:t>
        </x:is>
      </x:c>
      <x:c r="D513" t="n">
        <x:v>65</x:v>
      </x:c>
      <x:c r="E513" t="n">
        <x:v>80</x:v>
      </x:c>
      <x:c r="F513" t="n">
        <x:f>INDEX(Run_Metrics!$F:$F,D513)</x:f>
        <x:v>25</x:v>
      </x:c>
      <x:c r="G513" t="n">
        <x:f>INDEX(Run_Metrics!$G:$G,D513)</x:f>
        <x:v>0.15</x:v>
      </x:c>
      <x:c r="H513" t="str">
        <x:f>INDEX(Run_Metrics!$I:$I,D513)</x:f>
      </x:c>
      <x:c r="I513" t="n">
        <x:f>IF(F513="","",F513-(E513-1))</x:f>
        <x:v>-54</x:v>
      </x:c>
      <x:c r="J513" t="n">
        <x:f>IF(I513&gt;0,1,0)</x:f>
        <x:v>0</x:v>
      </x:c>
      <x:c r="K513" t="str">
        <x:f>IF(OR(J513=0,G513="",G513=0),"",I513/G513)</x:f>
      </x:c>
      <x:c r="L513" t="str">
        <x:f>IF(OR(J513=0,I513=0,G513=""),"",G513/I513)</x:f>
      </x:c>
      <x:c r="M513" t="str">
        <x:f>IF(OR(J513=0,G513="",H513="",G513=0,H513=0),"",I513/(G513*H513))</x:f>
      </x:c>
      <x:c r="N513" t="str">
        <x:f>IF(K513="","",K513/_xlfn.MAXIFS($K:$K,$E:$E,E513))</x:f>
      </x:c>
      <x:c r="O513" t="str">
        <x:f>IF(M513="","",M513/_xlfn.MAXIFS($M:$M,$E:$E,E513))</x:f>
      </x:c>
      <x:c r="P513" t="str">
        <x:f>IF(OR(N513="",O513=""),"",SQRT(N513*O513))</x:f>
      </x:c>
      <x:c r="Q513" t="str">
        <x:f>IF(OR(N513="",O513=""),"",N513^0.7*O513^0.3)</x:f>
      </x:c>
      <x:c r="R513" t="str">
        <x:f>IF(OR(N513="",O513=""),"",N513^0.3*O513^0.7)</x:f>
      </x:c>
    </x:row>
    <x:row r="514">
      <x:c r="A514" t="inlineStr">
        <x:is>
          <x:t xml:space="preserve">deepseek|deepseek-v4.1-flash|max|reasoning|fallback-na|aa-v4.3.2|snapshot-2026-09-28</x:t>
        </x:is>
      </x:c>
      <x:c r="B514" t="inlineStr">
        <x:is>
          <x:t xml:space="preserve">deepseek|deepseek-v4.1-flash|max|reasoning|fallback-na</x:t>
        </x:is>
      </x:c>
      <x:c r="C514" t="inlineStr">
        <x:is>
          <x:t xml:space="preserve">AA|v4.3.2</x:t>
        </x:is>
      </x:c>
      <x:c r="D514" t="n">
        <x:v>66</x:v>
      </x:c>
      <x:c r="E514" t="n">
        <x:v>20</x:v>
      </x:c>
      <x:c r="F514" t="n">
        <x:f>INDEX(Run_Metrics!$F:$F,D514)</x:f>
        <x:v>39</x:v>
      </x:c>
      <x:c r="G514" t="n">
        <x:f>INDEX(Run_Metrics!$G:$G,D514)</x:f>
        <x:v>0.27</x:v>
      </x:c>
      <x:c r="H514" t="str">
        <x:f>INDEX(Run_Metrics!$I:$I,D514)</x:f>
      </x:c>
      <x:c r="I514" t="n">
        <x:f>IF(F514="","",F514-(E514-1))</x:f>
        <x:v>20</x:v>
      </x:c>
      <x:c r="J514" t="n">
        <x:f>IF(I514&gt;0,1,0)</x:f>
        <x:v>1</x:v>
      </x:c>
      <x:c r="K514" t="n">
        <x:f>IF(OR(J514=0,G514="",G514=0),"",I514/G514)</x:f>
        <x:v>74.07407407407408</x:v>
      </x:c>
      <x:c r="L514" t="n">
        <x:f>IF(OR(J514=0,I514=0,G514=""),"",G514/I514)</x:f>
        <x:v>0.013500000000000002</x:v>
      </x:c>
      <x:c r="M514" t="str">
        <x:f>IF(OR(J514=0,G514="",H514="",G514=0,H514=0),"",I514/(G514*H514))</x:f>
      </x:c>
      <x:c r="N514" t="n">
        <x:f>IF(K514="","",K514/_xlfn.MAXIFS($K:$K,$E:$E,E514))</x:f>
        <x:v>0.1111111111111111</x:v>
      </x:c>
      <x:c r="O514" t="str">
        <x:f>IF(M514="","",M514/_xlfn.MAXIFS($M:$M,$E:$E,E514))</x:f>
      </x:c>
      <x:c r="P514" t="str">
        <x:f>IF(OR(N514="",O514=""),"",SQRT(N514*O514))</x:f>
      </x:c>
      <x:c r="Q514" t="str">
        <x:f>IF(OR(N514="",O514=""),"",N514^0.7*O514^0.3)</x:f>
      </x:c>
      <x:c r="R514" t="str">
        <x:f>IF(OR(N514="",O514=""),"",N514^0.3*O514^0.7)</x:f>
      </x:c>
    </x:row>
    <x:row r="515">
      <x:c r="A515" t="inlineStr">
        <x:is>
          <x:t xml:space="preserve">deepseek|deepseek-v4.1-flash|max|reasoning|fallback-na|aa-v4.3.2|snapshot-2026-09-28</x:t>
        </x:is>
      </x:c>
      <x:c r="B515" t="inlineStr">
        <x:is>
          <x:t xml:space="preserve">deepseek|deepseek-v4.1-flash|max|reasoning|fallback-na</x:t>
        </x:is>
      </x:c>
      <x:c r="C515" t="inlineStr">
        <x:is>
          <x:t xml:space="preserve">AA|v4.3.2</x:t>
        </x:is>
      </x:c>
      <x:c r="D515" t="n">
        <x:v>66</x:v>
      </x:c>
      <x:c r="E515" t="n">
        <x:v>30</x:v>
      </x:c>
      <x:c r="F515" t="n">
        <x:f>INDEX(Run_Metrics!$F:$F,D515)</x:f>
        <x:v>39</x:v>
      </x:c>
      <x:c r="G515" t="n">
        <x:f>INDEX(Run_Metrics!$G:$G,D515)</x:f>
        <x:v>0.27</x:v>
      </x:c>
      <x:c r="H515" t="str">
        <x:f>INDEX(Run_Metrics!$I:$I,D515)</x:f>
      </x:c>
      <x:c r="I515" t="n">
        <x:f>IF(F515="","",F515-(E515-1))</x:f>
        <x:v>10</x:v>
      </x:c>
      <x:c r="J515" t="n">
        <x:f>IF(I515&gt;0,1,0)</x:f>
        <x:v>1</x:v>
      </x:c>
      <x:c r="K515" t="n">
        <x:f>IF(OR(J515=0,G515="",G515=0),"",I515/G515)</x:f>
        <x:v>37.03703703703704</x:v>
      </x:c>
      <x:c r="L515" t="n">
        <x:f>IF(OR(J515=0,I515=0,G515=""),"",G515/I515)</x:f>
        <x:v>0.027000000000000003</x:v>
      </x:c>
      <x:c r="M515" t="str">
        <x:f>IF(OR(J515=0,G515="",H515="",G515=0,H515=0),"",I515/(G515*H515))</x:f>
      </x:c>
      <x:c r="N515" t="n">
        <x:f>IF(K515="","",K515/_xlfn.MAXIFS($K:$K,$E:$E,E515))</x:f>
        <x:v>0.2469135802469136</x:v>
      </x:c>
      <x:c r="O515" t="str">
        <x:f>IF(M515="","",M515/_xlfn.MAXIFS($M:$M,$E:$E,E515))</x:f>
      </x:c>
      <x:c r="P515" t="str">
        <x:f>IF(OR(N515="",O515=""),"",SQRT(N515*O515))</x:f>
      </x:c>
      <x:c r="Q515" t="str">
        <x:f>IF(OR(N515="",O515=""),"",N515^0.7*O515^0.3)</x:f>
      </x:c>
      <x:c r="R515" t="str">
        <x:f>IF(OR(N515="",O515=""),"",N515^0.3*O515^0.7)</x:f>
      </x:c>
    </x:row>
    <x:row r="516">
      <x:c r="A516" t="inlineStr">
        <x:is>
          <x:t xml:space="preserve">deepseek|deepseek-v4.1-flash|max|reasoning|fallback-na|aa-v4.3.2|snapshot-2026-09-28</x:t>
        </x:is>
      </x:c>
      <x:c r="B516" t="inlineStr">
        <x:is>
          <x:t xml:space="preserve">deepseek|deepseek-v4.1-flash|max|reasoning|fallback-na</x:t>
        </x:is>
      </x:c>
      <x:c r="C516" t="inlineStr">
        <x:is>
          <x:t xml:space="preserve">AA|v4.3.2</x:t>
        </x:is>
      </x:c>
      <x:c r="D516" t="n">
        <x:v>66</x:v>
      </x:c>
      <x:c r="E516" t="n">
        <x:v>40</x:v>
      </x:c>
      <x:c r="F516" t="n">
        <x:f>INDEX(Run_Metrics!$F:$F,D516)</x:f>
        <x:v>39</x:v>
      </x:c>
      <x:c r="G516" t="n">
        <x:f>INDEX(Run_Metrics!$G:$G,D516)</x:f>
        <x:v>0.27</x:v>
      </x:c>
      <x:c r="H516" t="str">
        <x:f>INDEX(Run_Metrics!$I:$I,D516)</x:f>
      </x:c>
      <x:c r="I516" t="n">
        <x:f>IF(F516="","",F516-(E516-1))</x:f>
        <x:v>0</x:v>
      </x:c>
      <x:c r="J516" t="n">
        <x:f>IF(I516&gt;0,1,0)</x:f>
        <x:v>0</x:v>
      </x:c>
      <x:c r="K516" t="str">
        <x:f>IF(OR(J516=0,G516="",G516=0),"",I516/G516)</x:f>
      </x:c>
      <x:c r="L516" t="str">
        <x:f>IF(OR(J516=0,I516=0,G516=""),"",G516/I516)</x:f>
      </x:c>
      <x:c r="M516" t="str">
        <x:f>IF(OR(J516=0,G516="",H516="",G516=0,H516=0),"",I516/(G516*H516))</x:f>
      </x:c>
      <x:c r="N516" t="str">
        <x:f>IF(K516="","",K516/_xlfn.MAXIFS($K:$K,$E:$E,E516))</x:f>
      </x:c>
      <x:c r="O516" t="str">
        <x:f>IF(M516="","",M516/_xlfn.MAXIFS($M:$M,$E:$E,E516))</x:f>
      </x:c>
      <x:c r="P516" t="str">
        <x:f>IF(OR(N516="",O516=""),"",SQRT(N516*O516))</x:f>
      </x:c>
      <x:c r="Q516" t="str">
        <x:f>IF(OR(N516="",O516=""),"",N516^0.7*O516^0.3)</x:f>
      </x:c>
      <x:c r="R516" t="str">
        <x:f>IF(OR(N516="",O516=""),"",N516^0.3*O516^0.7)</x:f>
      </x:c>
    </x:row>
    <x:row r="517">
      <x:c r="A517" t="inlineStr">
        <x:is>
          <x:t xml:space="preserve">deepseek|deepseek-v4.1-flash|max|reasoning|fallback-na|aa-v4.3.2|snapshot-2026-09-28</x:t>
        </x:is>
      </x:c>
      <x:c r="B517" t="inlineStr">
        <x:is>
          <x:t xml:space="preserve">deepseek|deepseek-v4.1-flash|max|reasoning|fallback-na</x:t>
        </x:is>
      </x:c>
      <x:c r="C517" t="inlineStr">
        <x:is>
          <x:t xml:space="preserve">AA|v4.3.2</x:t>
        </x:is>
      </x:c>
      <x:c r="D517" t="n">
        <x:v>66</x:v>
      </x:c>
      <x:c r="E517" t="n">
        <x:v>45</x:v>
      </x:c>
      <x:c r="F517" t="n">
        <x:f>INDEX(Run_Metrics!$F:$F,D517)</x:f>
        <x:v>39</x:v>
      </x:c>
      <x:c r="G517" t="n">
        <x:f>INDEX(Run_Metrics!$G:$G,D517)</x:f>
        <x:v>0.27</x:v>
      </x:c>
      <x:c r="H517" t="str">
        <x:f>INDEX(Run_Metrics!$I:$I,D517)</x:f>
      </x:c>
      <x:c r="I517" t="n">
        <x:f>IF(F517="","",F517-(E517-1))</x:f>
        <x:v>-5</x:v>
      </x:c>
      <x:c r="J517" t="n">
        <x:f>IF(I517&gt;0,1,0)</x:f>
        <x:v>0</x:v>
      </x:c>
      <x:c r="K517" t="str">
        <x:f>IF(OR(J517=0,G517="",G517=0),"",I517/G517)</x:f>
      </x:c>
      <x:c r="L517" t="str">
        <x:f>IF(OR(J517=0,I517=0,G517=""),"",G517/I517)</x:f>
      </x:c>
      <x:c r="M517" t="str">
        <x:f>IF(OR(J517=0,G517="",H517="",G517=0,H517=0),"",I517/(G517*H517))</x:f>
      </x:c>
      <x:c r="N517" t="str">
        <x:f>IF(K517="","",K517/_xlfn.MAXIFS($K:$K,$E:$E,E517))</x:f>
      </x:c>
      <x:c r="O517" t="str">
        <x:f>IF(M517="","",M517/_xlfn.MAXIFS($M:$M,$E:$E,E517))</x:f>
      </x:c>
      <x:c r="P517" t="str">
        <x:f>IF(OR(N517="",O517=""),"",SQRT(N517*O517))</x:f>
      </x:c>
      <x:c r="Q517" t="str">
        <x:f>IF(OR(N517="",O517=""),"",N517^0.7*O517^0.3)</x:f>
      </x:c>
      <x:c r="R517" t="str">
        <x:f>IF(OR(N517="",O517=""),"",N517^0.3*O517^0.7)</x:f>
      </x:c>
    </x:row>
    <x:row r="518">
      <x:c r="A518" t="inlineStr">
        <x:is>
          <x:t xml:space="preserve">deepseek|deepseek-v4.1-flash|max|reasoning|fallback-na|aa-v4.3.2|snapshot-2026-09-28</x:t>
        </x:is>
      </x:c>
      <x:c r="B518" t="inlineStr">
        <x:is>
          <x:t xml:space="preserve">deepseek|deepseek-v4.1-flash|max|reasoning|fallback-na</x:t>
        </x:is>
      </x:c>
      <x:c r="C518" t="inlineStr">
        <x:is>
          <x:t xml:space="preserve">AA|v4.3.2</x:t>
        </x:is>
      </x:c>
      <x:c r="D518" t="n">
        <x:v>66</x:v>
      </x:c>
      <x:c r="E518" t="n">
        <x:v>50</x:v>
      </x:c>
      <x:c r="F518" t="n">
        <x:f>INDEX(Run_Metrics!$F:$F,D518)</x:f>
        <x:v>39</x:v>
      </x:c>
      <x:c r="G518" t="n">
        <x:f>INDEX(Run_Metrics!$G:$G,D518)</x:f>
        <x:v>0.27</x:v>
      </x:c>
      <x:c r="H518" t="str">
        <x:f>INDEX(Run_Metrics!$I:$I,D518)</x:f>
      </x:c>
      <x:c r="I518" t="n">
        <x:f>IF(F518="","",F518-(E518-1))</x:f>
        <x:v>-10</x:v>
      </x:c>
      <x:c r="J518" t="n">
        <x:f>IF(I518&gt;0,1,0)</x:f>
        <x:v>0</x:v>
      </x:c>
      <x:c r="K518" t="str">
        <x:f>IF(OR(J518=0,G518="",G518=0),"",I518/G518)</x:f>
      </x:c>
      <x:c r="L518" t="str">
        <x:f>IF(OR(J518=0,I518=0,G518=""),"",G518/I518)</x:f>
      </x:c>
      <x:c r="M518" t="str">
        <x:f>IF(OR(J518=0,G518="",H518="",G518=0,H518=0),"",I518/(G518*H518))</x:f>
      </x:c>
      <x:c r="N518" t="str">
        <x:f>IF(K518="","",K518/_xlfn.MAXIFS($K:$K,$E:$E,E518))</x:f>
      </x:c>
      <x:c r="O518" t="str">
        <x:f>IF(M518="","",M518/_xlfn.MAXIFS($M:$M,$E:$E,E518))</x:f>
      </x:c>
      <x:c r="P518" t="str">
        <x:f>IF(OR(N518="",O518=""),"",SQRT(N518*O518))</x:f>
      </x:c>
      <x:c r="Q518" t="str">
        <x:f>IF(OR(N518="",O518=""),"",N518^0.7*O518^0.3)</x:f>
      </x:c>
      <x:c r="R518" t="str">
        <x:f>IF(OR(N518="",O518=""),"",N518^0.3*O518^0.7)</x:f>
      </x:c>
    </x:row>
    <x:row r="519">
      <x:c r="A519" t="inlineStr">
        <x:is>
          <x:t xml:space="preserve">deepseek|deepseek-v4.1-flash|max|reasoning|fallback-na|aa-v4.3.2|snapshot-2026-09-28</x:t>
        </x:is>
      </x:c>
      <x:c r="B519" t="inlineStr">
        <x:is>
          <x:t xml:space="preserve">deepseek|deepseek-v4.1-flash|max|reasoning|fallback-na</x:t>
        </x:is>
      </x:c>
      <x:c r="C519" t="inlineStr">
        <x:is>
          <x:t xml:space="preserve">AA|v4.3.2</x:t>
        </x:is>
      </x:c>
      <x:c r="D519" t="n">
        <x:v>66</x:v>
      </x:c>
      <x:c r="E519" t="n">
        <x:v>52</x:v>
      </x:c>
      <x:c r="F519" t="n">
        <x:f>INDEX(Run_Metrics!$F:$F,D519)</x:f>
        <x:v>39</x:v>
      </x:c>
      <x:c r="G519" t="n">
        <x:f>INDEX(Run_Metrics!$G:$G,D519)</x:f>
        <x:v>0.27</x:v>
      </x:c>
      <x:c r="H519" t="str">
        <x:f>INDEX(Run_Metrics!$I:$I,D519)</x:f>
      </x:c>
      <x:c r="I519" t="n">
        <x:f>IF(F519="","",F519-(E519-1))</x:f>
        <x:v>-12</x:v>
      </x:c>
      <x:c r="J519" t="n">
        <x:f>IF(I519&gt;0,1,0)</x:f>
        <x:v>0</x:v>
      </x:c>
      <x:c r="K519" t="str">
        <x:f>IF(OR(J519=0,G519="",G519=0),"",I519/G519)</x:f>
      </x:c>
      <x:c r="L519" t="str">
        <x:f>IF(OR(J519=0,I519=0,G519=""),"",G519/I519)</x:f>
      </x:c>
      <x:c r="M519" t="str">
        <x:f>IF(OR(J519=0,G519="",H519="",G519=0,H519=0),"",I519/(G519*H519))</x:f>
      </x:c>
      <x:c r="N519" t="str">
        <x:f>IF(K519="","",K519/_xlfn.MAXIFS($K:$K,$E:$E,E519))</x:f>
      </x:c>
      <x:c r="O519" t="str">
        <x:f>IF(M519="","",M519/_xlfn.MAXIFS($M:$M,$E:$E,E519))</x:f>
      </x:c>
      <x:c r="P519" t="str">
        <x:f>IF(OR(N519="",O519=""),"",SQRT(N519*O519))</x:f>
      </x:c>
      <x:c r="Q519" t="str">
        <x:f>IF(OR(N519="",O519=""),"",N519^0.7*O519^0.3)</x:f>
      </x:c>
      <x:c r="R519" t="str">
        <x:f>IF(OR(N519="",O519=""),"",N519^0.3*O519^0.7)</x:f>
      </x:c>
    </x:row>
    <x:row r="520">
      <x:c r="A520" t="inlineStr">
        <x:is>
          <x:t xml:space="preserve">deepseek|deepseek-v4.1-flash|max|reasoning|fallback-na|aa-v4.3.2|snapshot-2026-09-28</x:t>
        </x:is>
      </x:c>
      <x:c r="B520" t="inlineStr">
        <x:is>
          <x:t xml:space="preserve">deepseek|deepseek-v4.1-flash|max|reasoning|fallback-na</x:t>
        </x:is>
      </x:c>
      <x:c r="C520" t="inlineStr">
        <x:is>
          <x:t xml:space="preserve">AA|v4.3.2</x:t>
        </x:is>
      </x:c>
      <x:c r="D520" t="n">
        <x:v>66</x:v>
      </x:c>
      <x:c r="E520" t="n">
        <x:v>65</x:v>
      </x:c>
      <x:c r="F520" t="n">
        <x:f>INDEX(Run_Metrics!$F:$F,D520)</x:f>
        <x:v>39</x:v>
      </x:c>
      <x:c r="G520" t="n">
        <x:f>INDEX(Run_Metrics!$G:$G,D520)</x:f>
        <x:v>0.27</x:v>
      </x:c>
      <x:c r="H520" t="str">
        <x:f>INDEX(Run_Metrics!$I:$I,D520)</x:f>
      </x:c>
      <x:c r="I520" t="n">
        <x:f>IF(F520="","",F520-(E520-1))</x:f>
        <x:v>-25</x:v>
      </x:c>
      <x:c r="J520" t="n">
        <x:f>IF(I520&gt;0,1,0)</x:f>
        <x:v>0</x:v>
      </x:c>
      <x:c r="K520" t="str">
        <x:f>IF(OR(J520=0,G520="",G520=0),"",I520/G520)</x:f>
      </x:c>
      <x:c r="L520" t="str">
        <x:f>IF(OR(J520=0,I520=0,G520=""),"",G520/I520)</x:f>
      </x:c>
      <x:c r="M520" t="str">
        <x:f>IF(OR(J520=0,G520="",H520="",G520=0,H520=0),"",I520/(G520*H520))</x:f>
      </x:c>
      <x:c r="N520" t="str">
        <x:f>IF(K520="","",K520/_xlfn.MAXIFS($K:$K,$E:$E,E520))</x:f>
      </x:c>
      <x:c r="O520" t="str">
        <x:f>IF(M520="","",M520/_xlfn.MAXIFS($M:$M,$E:$E,E520))</x:f>
      </x:c>
      <x:c r="P520" t="str">
        <x:f>IF(OR(N520="",O520=""),"",SQRT(N520*O520))</x:f>
      </x:c>
      <x:c r="Q520" t="str">
        <x:f>IF(OR(N520="",O520=""),"",N520^0.7*O520^0.3)</x:f>
      </x:c>
      <x:c r="R520" t="str">
        <x:f>IF(OR(N520="",O520=""),"",N520^0.3*O520^0.7)</x:f>
      </x:c>
    </x:row>
    <x:row r="521">
      <x:c r="A521" t="inlineStr">
        <x:is>
          <x:t xml:space="preserve">deepseek|deepseek-v4.1-flash|max|reasoning|fallback-na|aa-v4.3.2|snapshot-2026-09-28</x:t>
        </x:is>
      </x:c>
      <x:c r="B521" t="inlineStr">
        <x:is>
          <x:t xml:space="preserve">deepseek|deepseek-v4.1-flash|max|reasoning|fallback-na</x:t>
        </x:is>
      </x:c>
      <x:c r="C521" t="inlineStr">
        <x:is>
          <x:t xml:space="preserve">AA|v4.3.2</x:t>
        </x:is>
      </x:c>
      <x:c r="D521" t="n">
        <x:v>66</x:v>
      </x:c>
      <x:c r="E521" t="n">
        <x:v>80</x:v>
      </x:c>
      <x:c r="F521" t="n">
        <x:f>INDEX(Run_Metrics!$F:$F,D521)</x:f>
        <x:v>39</x:v>
      </x:c>
      <x:c r="G521" t="n">
        <x:f>INDEX(Run_Metrics!$G:$G,D521)</x:f>
        <x:v>0.27</x:v>
      </x:c>
      <x:c r="H521" t="str">
        <x:f>INDEX(Run_Metrics!$I:$I,D521)</x:f>
      </x:c>
      <x:c r="I521" t="n">
        <x:f>IF(F521="","",F521-(E521-1))</x:f>
        <x:v>-40</x:v>
      </x:c>
      <x:c r="J521" t="n">
        <x:f>IF(I521&gt;0,1,0)</x:f>
        <x:v>0</x:v>
      </x:c>
      <x:c r="K521" t="str">
        <x:f>IF(OR(J521=0,G521="",G521=0),"",I521/G521)</x:f>
      </x:c>
      <x:c r="L521" t="str">
        <x:f>IF(OR(J521=0,I521=0,G521=""),"",G521/I521)</x:f>
      </x:c>
      <x:c r="M521" t="str">
        <x:f>IF(OR(J521=0,G521="",H521="",G521=0,H521=0),"",I521/(G521*H521))</x:f>
      </x:c>
      <x:c r="N521" t="str">
        <x:f>IF(K521="","",K521/_xlfn.MAXIFS($K:$K,$E:$E,E521))</x:f>
      </x:c>
      <x:c r="O521" t="str">
        <x:f>IF(M521="","",M521/_xlfn.MAXIFS($M:$M,$E:$E,E521))</x:f>
      </x:c>
      <x:c r="P521" t="str">
        <x:f>IF(OR(N521="",O521=""),"",SQRT(N521*O521))</x:f>
      </x:c>
      <x:c r="Q521" t="str">
        <x:f>IF(OR(N521="",O521=""),"",N521^0.7*O521^0.3)</x:f>
      </x:c>
      <x:c r="R521" t="str">
        <x:f>IF(OR(N521="",O521=""),"",N521^0.3*O521^0.7)</x:f>
      </x:c>
    </x:row>
    <x:row r="522">
      <x:c r="A522" t="inlineStr">
        <x:is>
          <x:t xml:space="preserve">z-ai|glm-5.3|low|reasoning|fallback-na|aa-v4.3.2|snapshot-2026-09-28</x:t>
        </x:is>
      </x:c>
      <x:c r="B522" t="inlineStr">
        <x:is>
          <x:t xml:space="preserve">z-ai|glm-5.3|low|reasoning|fallback-na</x:t>
        </x:is>
      </x:c>
      <x:c r="C522" t="inlineStr">
        <x:is>
          <x:t xml:space="preserve">AA|v4.3.2</x:t>
        </x:is>
      </x:c>
      <x:c r="D522" t="n">
        <x:v>67</x:v>
      </x:c>
      <x:c r="E522" t="n">
        <x:v>20</x:v>
      </x:c>
      <x:c r="F522" t="n">
        <x:f>INDEX(Run_Metrics!$F:$F,D522)</x:f>
        <x:v>34</x:v>
      </x:c>
      <x:c r="G522" t="n">
        <x:f>INDEX(Run_Metrics!$G:$G,D522)</x:f>
        <x:v>0.85</x:v>
      </x:c>
      <x:c r="H522" t="str">
        <x:f>INDEX(Run_Metrics!$I:$I,D522)</x:f>
      </x:c>
      <x:c r="I522" t="n">
        <x:f>IF(F522="","",F522-(E522-1))</x:f>
        <x:v>15</x:v>
      </x:c>
      <x:c r="J522" t="n">
        <x:f>IF(I522&gt;0,1,0)</x:f>
        <x:v>1</x:v>
      </x:c>
      <x:c r="K522" t="n">
        <x:f>IF(OR(J522=0,G522="",G522=0),"",I522/G522)</x:f>
        <x:v>17.647058823529413</x:v>
      </x:c>
      <x:c r="L522" t="n">
        <x:f>IF(OR(J522=0,I522=0,G522=""),"",G522/I522)</x:f>
        <x:v>0.056666666666666664</x:v>
      </x:c>
      <x:c r="M522" t="str">
        <x:f>IF(OR(J522=0,G522="",H522="",G522=0,H522=0),"",I522/(G522*H522))</x:f>
      </x:c>
      <x:c r="N522" t="n">
        <x:f>IF(K522="","",K522/_xlfn.MAXIFS($K:$K,$E:$E,E522))</x:f>
        <x:v>0.026470588235294117</x:v>
      </x:c>
      <x:c r="O522" t="str">
        <x:f>IF(M522="","",M522/_xlfn.MAXIFS($M:$M,$E:$E,E522))</x:f>
      </x:c>
      <x:c r="P522" t="str">
        <x:f>IF(OR(N522="",O522=""),"",SQRT(N522*O522))</x:f>
      </x:c>
      <x:c r="Q522" t="str">
        <x:f>IF(OR(N522="",O522=""),"",N522^0.7*O522^0.3)</x:f>
      </x:c>
      <x:c r="R522" t="str">
        <x:f>IF(OR(N522="",O522=""),"",N522^0.3*O522^0.7)</x:f>
      </x:c>
    </x:row>
    <x:row r="523">
      <x:c r="A523" t="inlineStr">
        <x:is>
          <x:t xml:space="preserve">z-ai|glm-5.3|low|reasoning|fallback-na|aa-v4.3.2|snapshot-2026-09-28</x:t>
        </x:is>
      </x:c>
      <x:c r="B523" t="inlineStr">
        <x:is>
          <x:t xml:space="preserve">z-ai|glm-5.3|low|reasoning|fallback-na</x:t>
        </x:is>
      </x:c>
      <x:c r="C523" t="inlineStr">
        <x:is>
          <x:t xml:space="preserve">AA|v4.3.2</x:t>
        </x:is>
      </x:c>
      <x:c r="D523" t="n">
        <x:v>67</x:v>
      </x:c>
      <x:c r="E523" t="n">
        <x:v>30</x:v>
      </x:c>
      <x:c r="F523" t="n">
        <x:f>INDEX(Run_Metrics!$F:$F,D523)</x:f>
        <x:v>34</x:v>
      </x:c>
      <x:c r="G523" t="n">
        <x:f>INDEX(Run_Metrics!$G:$G,D523)</x:f>
        <x:v>0.85</x:v>
      </x:c>
      <x:c r="H523" t="str">
        <x:f>INDEX(Run_Metrics!$I:$I,D523)</x:f>
      </x:c>
      <x:c r="I523" t="n">
        <x:f>IF(F523="","",F523-(E523-1))</x:f>
        <x:v>5</x:v>
      </x:c>
      <x:c r="J523" t="n">
        <x:f>IF(I523&gt;0,1,0)</x:f>
        <x:v>1</x:v>
      </x:c>
      <x:c r="K523" t="n">
        <x:f>IF(OR(J523=0,G523="",G523=0),"",I523/G523)</x:f>
        <x:v>5.882352941176471</x:v>
      </x:c>
      <x:c r="L523" t="n">
        <x:f>IF(OR(J523=0,I523=0,G523=""),"",G523/I523)</x:f>
        <x:v>0.16999999999999998</x:v>
      </x:c>
      <x:c r="M523" t="str">
        <x:f>IF(OR(J523=0,G523="",H523="",G523=0,H523=0),"",I523/(G523*H523))</x:f>
      </x:c>
      <x:c r="N523" t="n">
        <x:f>IF(K523="","",K523/_xlfn.MAXIFS($K:$K,$E:$E,E523))</x:f>
        <x:v>0.0392156862745098</x:v>
      </x:c>
      <x:c r="O523" t="str">
        <x:f>IF(M523="","",M523/_xlfn.MAXIFS($M:$M,$E:$E,E523))</x:f>
      </x:c>
      <x:c r="P523" t="str">
        <x:f>IF(OR(N523="",O523=""),"",SQRT(N523*O523))</x:f>
      </x:c>
      <x:c r="Q523" t="str">
        <x:f>IF(OR(N523="",O523=""),"",N523^0.7*O523^0.3)</x:f>
      </x:c>
      <x:c r="R523" t="str">
        <x:f>IF(OR(N523="",O523=""),"",N523^0.3*O523^0.7)</x:f>
      </x:c>
    </x:row>
    <x:row r="524">
      <x:c r="A524" t="inlineStr">
        <x:is>
          <x:t xml:space="preserve">z-ai|glm-5.3|low|reasoning|fallback-na|aa-v4.3.2|snapshot-2026-09-28</x:t>
        </x:is>
      </x:c>
      <x:c r="B524" t="inlineStr">
        <x:is>
          <x:t xml:space="preserve">z-ai|glm-5.3|low|reasoning|fallback-na</x:t>
        </x:is>
      </x:c>
      <x:c r="C524" t="inlineStr">
        <x:is>
          <x:t xml:space="preserve">AA|v4.3.2</x:t>
        </x:is>
      </x:c>
      <x:c r="D524" t="n">
        <x:v>67</x:v>
      </x:c>
      <x:c r="E524" t="n">
        <x:v>40</x:v>
      </x:c>
      <x:c r="F524" t="n">
        <x:f>INDEX(Run_Metrics!$F:$F,D524)</x:f>
        <x:v>34</x:v>
      </x:c>
      <x:c r="G524" t="n">
        <x:f>INDEX(Run_Metrics!$G:$G,D524)</x:f>
        <x:v>0.85</x:v>
      </x:c>
      <x:c r="H524" t="str">
        <x:f>INDEX(Run_Metrics!$I:$I,D524)</x:f>
      </x:c>
      <x:c r="I524" t="n">
        <x:f>IF(F524="","",F524-(E524-1))</x:f>
        <x:v>-5</x:v>
      </x:c>
      <x:c r="J524" t="n">
        <x:f>IF(I524&gt;0,1,0)</x:f>
        <x:v>0</x:v>
      </x:c>
      <x:c r="K524" t="str">
        <x:f>IF(OR(J524=0,G524="",G524=0),"",I524/G524)</x:f>
      </x:c>
      <x:c r="L524" t="str">
        <x:f>IF(OR(J524=0,I524=0,G524=""),"",G524/I524)</x:f>
      </x:c>
      <x:c r="M524" t="str">
        <x:f>IF(OR(J524=0,G524="",H524="",G524=0,H524=0),"",I524/(G524*H524))</x:f>
      </x:c>
      <x:c r="N524" t="str">
        <x:f>IF(K524="","",K524/_xlfn.MAXIFS($K:$K,$E:$E,E524))</x:f>
      </x:c>
      <x:c r="O524" t="str">
        <x:f>IF(M524="","",M524/_xlfn.MAXIFS($M:$M,$E:$E,E524))</x:f>
      </x:c>
      <x:c r="P524" t="str">
        <x:f>IF(OR(N524="",O524=""),"",SQRT(N524*O524))</x:f>
      </x:c>
      <x:c r="Q524" t="str">
        <x:f>IF(OR(N524="",O524=""),"",N524^0.7*O524^0.3)</x:f>
      </x:c>
      <x:c r="R524" t="str">
        <x:f>IF(OR(N524="",O524=""),"",N524^0.3*O524^0.7)</x:f>
      </x:c>
    </x:row>
    <x:row r="525">
      <x:c r="A525" t="inlineStr">
        <x:is>
          <x:t xml:space="preserve">z-ai|glm-5.3|low|reasoning|fallback-na|aa-v4.3.2|snapshot-2026-09-28</x:t>
        </x:is>
      </x:c>
      <x:c r="B525" t="inlineStr">
        <x:is>
          <x:t xml:space="preserve">z-ai|glm-5.3|low|reasoning|fallback-na</x:t>
        </x:is>
      </x:c>
      <x:c r="C525" t="inlineStr">
        <x:is>
          <x:t xml:space="preserve">AA|v4.3.2</x:t>
        </x:is>
      </x:c>
      <x:c r="D525" t="n">
        <x:v>67</x:v>
      </x:c>
      <x:c r="E525" t="n">
        <x:v>45</x:v>
      </x:c>
      <x:c r="F525" t="n">
        <x:f>INDEX(Run_Metrics!$F:$F,D525)</x:f>
        <x:v>34</x:v>
      </x:c>
      <x:c r="G525" t="n">
        <x:f>INDEX(Run_Metrics!$G:$G,D525)</x:f>
        <x:v>0.85</x:v>
      </x:c>
      <x:c r="H525" t="str">
        <x:f>INDEX(Run_Metrics!$I:$I,D525)</x:f>
      </x:c>
      <x:c r="I525" t="n">
        <x:f>IF(F525="","",F525-(E525-1))</x:f>
        <x:v>-10</x:v>
      </x:c>
      <x:c r="J525" t="n">
        <x:f>IF(I525&gt;0,1,0)</x:f>
        <x:v>0</x:v>
      </x:c>
      <x:c r="K525" t="str">
        <x:f>IF(OR(J525=0,G525="",G525=0),"",I525/G525)</x:f>
      </x:c>
      <x:c r="L525" t="str">
        <x:f>IF(OR(J525=0,I525=0,G525=""),"",G525/I525)</x:f>
      </x:c>
      <x:c r="M525" t="str">
        <x:f>IF(OR(J525=0,G525="",H525="",G525=0,H525=0),"",I525/(G525*H525))</x:f>
      </x:c>
      <x:c r="N525" t="str">
        <x:f>IF(K525="","",K525/_xlfn.MAXIFS($K:$K,$E:$E,E525))</x:f>
      </x:c>
      <x:c r="O525" t="str">
        <x:f>IF(M525="","",M525/_xlfn.MAXIFS($M:$M,$E:$E,E525))</x:f>
      </x:c>
      <x:c r="P525" t="str">
        <x:f>IF(OR(N525="",O525=""),"",SQRT(N525*O525))</x:f>
      </x:c>
      <x:c r="Q525" t="str">
        <x:f>IF(OR(N525="",O525=""),"",N525^0.7*O525^0.3)</x:f>
      </x:c>
      <x:c r="R525" t="str">
        <x:f>IF(OR(N525="",O525=""),"",N525^0.3*O525^0.7)</x:f>
      </x:c>
    </x:row>
    <x:row r="526">
      <x:c r="A526" t="inlineStr">
        <x:is>
          <x:t xml:space="preserve">z-ai|glm-5.3|low|reasoning|fallback-na|aa-v4.3.2|snapshot-2026-09-28</x:t>
        </x:is>
      </x:c>
      <x:c r="B526" t="inlineStr">
        <x:is>
          <x:t xml:space="preserve">z-ai|glm-5.3|low|reasoning|fallback-na</x:t>
        </x:is>
      </x:c>
      <x:c r="C526" t="inlineStr">
        <x:is>
          <x:t xml:space="preserve">AA|v4.3.2</x:t>
        </x:is>
      </x:c>
      <x:c r="D526" t="n">
        <x:v>67</x:v>
      </x:c>
      <x:c r="E526" t="n">
        <x:v>50</x:v>
      </x:c>
      <x:c r="F526" t="n">
        <x:f>INDEX(Run_Metrics!$F:$F,D526)</x:f>
        <x:v>34</x:v>
      </x:c>
      <x:c r="G526" t="n">
        <x:f>INDEX(Run_Metrics!$G:$G,D526)</x:f>
        <x:v>0.85</x:v>
      </x:c>
      <x:c r="H526" t="str">
        <x:f>INDEX(Run_Metrics!$I:$I,D526)</x:f>
      </x:c>
      <x:c r="I526" t="n">
        <x:f>IF(F526="","",F526-(E526-1))</x:f>
        <x:v>-15</x:v>
      </x:c>
      <x:c r="J526" t="n">
        <x:f>IF(I526&gt;0,1,0)</x:f>
        <x:v>0</x:v>
      </x:c>
      <x:c r="K526" t="str">
        <x:f>IF(OR(J526=0,G526="",G526=0),"",I526/G526)</x:f>
      </x:c>
      <x:c r="L526" t="str">
        <x:f>IF(OR(J526=0,I526=0,G526=""),"",G526/I526)</x:f>
      </x:c>
      <x:c r="M526" t="str">
        <x:f>IF(OR(J526=0,G526="",H526="",G526=0,H526=0),"",I526/(G526*H526))</x:f>
      </x:c>
      <x:c r="N526" t="str">
        <x:f>IF(K526="","",K526/_xlfn.MAXIFS($K:$K,$E:$E,E526))</x:f>
      </x:c>
      <x:c r="O526" t="str">
        <x:f>IF(M526="","",M526/_xlfn.MAXIFS($M:$M,$E:$E,E526))</x:f>
      </x:c>
      <x:c r="P526" t="str">
        <x:f>IF(OR(N526="",O526=""),"",SQRT(N526*O526))</x:f>
      </x:c>
      <x:c r="Q526" t="str">
        <x:f>IF(OR(N526="",O526=""),"",N526^0.7*O526^0.3)</x:f>
      </x:c>
      <x:c r="R526" t="str">
        <x:f>IF(OR(N526="",O526=""),"",N526^0.3*O526^0.7)</x:f>
      </x:c>
    </x:row>
    <x:row r="527">
      <x:c r="A527" t="inlineStr">
        <x:is>
          <x:t xml:space="preserve">z-ai|glm-5.3|low|reasoning|fallback-na|aa-v4.3.2|snapshot-2026-09-28</x:t>
        </x:is>
      </x:c>
      <x:c r="B527" t="inlineStr">
        <x:is>
          <x:t xml:space="preserve">z-ai|glm-5.3|low|reasoning|fallback-na</x:t>
        </x:is>
      </x:c>
      <x:c r="C527" t="inlineStr">
        <x:is>
          <x:t xml:space="preserve">AA|v4.3.2</x:t>
        </x:is>
      </x:c>
      <x:c r="D527" t="n">
        <x:v>67</x:v>
      </x:c>
      <x:c r="E527" t="n">
        <x:v>52</x:v>
      </x:c>
      <x:c r="F527" t="n">
        <x:f>INDEX(Run_Metrics!$F:$F,D527)</x:f>
        <x:v>34</x:v>
      </x:c>
      <x:c r="G527" t="n">
        <x:f>INDEX(Run_Metrics!$G:$G,D527)</x:f>
        <x:v>0.85</x:v>
      </x:c>
      <x:c r="H527" t="str">
        <x:f>INDEX(Run_Metrics!$I:$I,D527)</x:f>
      </x:c>
      <x:c r="I527" t="n">
        <x:f>IF(F527="","",F527-(E527-1))</x:f>
        <x:v>-17</x:v>
      </x:c>
      <x:c r="J527" t="n">
        <x:f>IF(I527&gt;0,1,0)</x:f>
        <x:v>0</x:v>
      </x:c>
      <x:c r="K527" t="str">
        <x:f>IF(OR(J527=0,G527="",G527=0),"",I527/G527)</x:f>
      </x:c>
      <x:c r="L527" t="str">
        <x:f>IF(OR(J527=0,I527=0,G527=""),"",G527/I527)</x:f>
      </x:c>
      <x:c r="M527" t="str">
        <x:f>IF(OR(J527=0,G527="",H527="",G527=0,H527=0),"",I527/(G527*H527))</x:f>
      </x:c>
      <x:c r="N527" t="str">
        <x:f>IF(K527="","",K527/_xlfn.MAXIFS($K:$K,$E:$E,E527))</x:f>
      </x:c>
      <x:c r="O527" t="str">
        <x:f>IF(M527="","",M527/_xlfn.MAXIFS($M:$M,$E:$E,E527))</x:f>
      </x:c>
      <x:c r="P527" t="str">
        <x:f>IF(OR(N527="",O527=""),"",SQRT(N527*O527))</x:f>
      </x:c>
      <x:c r="Q527" t="str">
        <x:f>IF(OR(N527="",O527=""),"",N527^0.7*O527^0.3)</x:f>
      </x:c>
      <x:c r="R527" t="str">
        <x:f>IF(OR(N527="",O527=""),"",N527^0.3*O527^0.7)</x:f>
      </x:c>
    </x:row>
    <x:row r="528">
      <x:c r="A528" t="inlineStr">
        <x:is>
          <x:t xml:space="preserve">z-ai|glm-5.3|low|reasoning|fallback-na|aa-v4.3.2|snapshot-2026-09-28</x:t>
        </x:is>
      </x:c>
      <x:c r="B528" t="inlineStr">
        <x:is>
          <x:t xml:space="preserve">z-ai|glm-5.3|low|reasoning|fallback-na</x:t>
        </x:is>
      </x:c>
      <x:c r="C528" t="inlineStr">
        <x:is>
          <x:t xml:space="preserve">AA|v4.3.2</x:t>
        </x:is>
      </x:c>
      <x:c r="D528" t="n">
        <x:v>67</x:v>
      </x:c>
      <x:c r="E528" t="n">
        <x:v>65</x:v>
      </x:c>
      <x:c r="F528" t="n">
        <x:f>INDEX(Run_Metrics!$F:$F,D528)</x:f>
        <x:v>34</x:v>
      </x:c>
      <x:c r="G528" t="n">
        <x:f>INDEX(Run_Metrics!$G:$G,D528)</x:f>
        <x:v>0.85</x:v>
      </x:c>
      <x:c r="H528" t="str">
        <x:f>INDEX(Run_Metrics!$I:$I,D528)</x:f>
      </x:c>
      <x:c r="I528" t="n">
        <x:f>IF(F528="","",F528-(E528-1))</x:f>
        <x:v>-30</x:v>
      </x:c>
      <x:c r="J528" t="n">
        <x:f>IF(I528&gt;0,1,0)</x:f>
        <x:v>0</x:v>
      </x:c>
      <x:c r="K528" t="str">
        <x:f>IF(OR(J528=0,G528="",G528=0),"",I528/G528)</x:f>
      </x:c>
      <x:c r="L528" t="str">
        <x:f>IF(OR(J528=0,I528=0,G528=""),"",G528/I528)</x:f>
      </x:c>
      <x:c r="M528" t="str">
        <x:f>IF(OR(J528=0,G528="",H528="",G528=0,H528=0),"",I528/(G528*H528))</x:f>
      </x:c>
      <x:c r="N528" t="str">
        <x:f>IF(K528="","",K528/_xlfn.MAXIFS($K:$K,$E:$E,E528))</x:f>
      </x:c>
      <x:c r="O528" t="str">
        <x:f>IF(M528="","",M528/_xlfn.MAXIFS($M:$M,$E:$E,E528))</x:f>
      </x:c>
      <x:c r="P528" t="str">
        <x:f>IF(OR(N528="",O528=""),"",SQRT(N528*O528))</x:f>
      </x:c>
      <x:c r="Q528" t="str">
        <x:f>IF(OR(N528="",O528=""),"",N528^0.7*O528^0.3)</x:f>
      </x:c>
      <x:c r="R528" t="str">
        <x:f>IF(OR(N528="",O528=""),"",N528^0.3*O528^0.7)</x:f>
      </x:c>
    </x:row>
    <x:row r="529">
      <x:c r="A529" t="inlineStr">
        <x:is>
          <x:t xml:space="preserve">z-ai|glm-5.3|low|reasoning|fallback-na|aa-v4.3.2|snapshot-2026-09-28</x:t>
        </x:is>
      </x:c>
      <x:c r="B529" t="inlineStr">
        <x:is>
          <x:t xml:space="preserve">z-ai|glm-5.3|low|reasoning|fallback-na</x:t>
        </x:is>
      </x:c>
      <x:c r="C529" t="inlineStr">
        <x:is>
          <x:t xml:space="preserve">AA|v4.3.2</x:t>
        </x:is>
      </x:c>
      <x:c r="D529" t="n">
        <x:v>67</x:v>
      </x:c>
      <x:c r="E529" t="n">
        <x:v>80</x:v>
      </x:c>
      <x:c r="F529" t="n">
        <x:f>INDEX(Run_Metrics!$F:$F,D529)</x:f>
        <x:v>34</x:v>
      </x:c>
      <x:c r="G529" t="n">
        <x:f>INDEX(Run_Metrics!$G:$G,D529)</x:f>
        <x:v>0.85</x:v>
      </x:c>
      <x:c r="H529" t="str">
        <x:f>INDEX(Run_Metrics!$I:$I,D529)</x:f>
      </x:c>
      <x:c r="I529" t="n">
        <x:f>IF(F529="","",F529-(E529-1))</x:f>
        <x:v>-45</x:v>
      </x:c>
      <x:c r="J529" t="n">
        <x:f>IF(I529&gt;0,1,0)</x:f>
        <x:v>0</x:v>
      </x:c>
      <x:c r="K529" t="str">
        <x:f>IF(OR(J529=0,G529="",G529=0),"",I529/G529)</x:f>
      </x:c>
      <x:c r="L529" t="str">
        <x:f>IF(OR(J529=0,I529=0,G529=""),"",G529/I529)</x:f>
      </x:c>
      <x:c r="M529" t="str">
        <x:f>IF(OR(J529=0,G529="",H529="",G529=0,H529=0),"",I529/(G529*H529))</x:f>
      </x:c>
      <x:c r="N529" t="str">
        <x:f>IF(K529="","",K529/_xlfn.MAXIFS($K:$K,$E:$E,E529))</x:f>
      </x:c>
      <x:c r="O529" t="str">
        <x:f>IF(M529="","",M529/_xlfn.MAXIFS($M:$M,$E:$E,E529))</x:f>
      </x:c>
      <x:c r="P529" t="str">
        <x:f>IF(OR(N529="",O529=""),"",SQRT(N529*O529))</x:f>
      </x:c>
      <x:c r="Q529" t="str">
        <x:f>IF(OR(N529="",O529=""),"",N529^0.7*O529^0.3)</x:f>
      </x:c>
      <x:c r="R529" t="str">
        <x:f>IF(OR(N529="",O529=""),"",N529^0.3*O529^0.7)</x:f>
      </x:c>
    </x:row>
    <x:row r="530">
      <x:c r="A530" t="inlineStr">
        <x:is>
          <x:t xml:space="preserve">z-ai|glm-5.3|max|reasoning|fallback-na|aa-v4.3.2|snapshot-2026-09-28</x:t>
        </x:is>
      </x:c>
      <x:c r="B530" t="inlineStr">
        <x:is>
          <x:t xml:space="preserve">z-ai|glm-5.3|max|reasoning|fallback-na</x:t>
        </x:is>
      </x:c>
      <x:c r="C530" t="inlineStr">
        <x:is>
          <x:t xml:space="preserve">AA|v4.3.2</x:t>
        </x:is>
      </x:c>
      <x:c r="D530" t="n">
        <x:v>68</x:v>
      </x:c>
      <x:c r="E530" t="n">
        <x:v>20</x:v>
      </x:c>
      <x:c r="F530" t="n">
        <x:f>INDEX(Run_Metrics!$F:$F,D530)</x:f>
        <x:v>45</x:v>
      </x:c>
      <x:c r="G530" t="n">
        <x:f>INDEX(Run_Metrics!$G:$G,D530)</x:f>
        <x:v>2.01</x:v>
      </x:c>
      <x:c r="H530" t="str">
        <x:f>INDEX(Run_Metrics!$I:$I,D530)</x:f>
      </x:c>
      <x:c r="I530" t="n">
        <x:f>IF(F530="","",F530-(E530-1))</x:f>
        <x:v>26</x:v>
      </x:c>
      <x:c r="J530" t="n">
        <x:f>IF(I530&gt;0,1,0)</x:f>
        <x:v>1</x:v>
      </x:c>
      <x:c r="K530" t="n">
        <x:f>IF(OR(J530=0,G530="",G530=0),"",I530/G530)</x:f>
        <x:v>12.935323383084578</x:v>
      </x:c>
      <x:c r="L530" t="n">
        <x:f>IF(OR(J530=0,I530=0,G530=""),"",G530/I530)</x:f>
        <x:v>0.0773076923076923</x:v>
      </x:c>
      <x:c r="M530" t="str">
        <x:f>IF(OR(J530=0,G530="",H530="",G530=0,H530=0),"",I530/(G530*H530))</x:f>
      </x:c>
      <x:c r="N530" t="n">
        <x:f>IF(K530="","",K530/_xlfn.MAXIFS($K:$K,$E:$E,E530))</x:f>
        <x:v>0.019402985074626865</x:v>
      </x:c>
      <x:c r="O530" t="str">
        <x:f>IF(M530="","",M530/_xlfn.MAXIFS($M:$M,$E:$E,E530))</x:f>
      </x:c>
      <x:c r="P530" t="str">
        <x:f>IF(OR(N530="",O530=""),"",SQRT(N530*O530))</x:f>
      </x:c>
      <x:c r="Q530" t="str">
        <x:f>IF(OR(N530="",O530=""),"",N530^0.7*O530^0.3)</x:f>
      </x:c>
      <x:c r="R530" t="str">
        <x:f>IF(OR(N530="",O530=""),"",N530^0.3*O530^0.7)</x:f>
      </x:c>
    </x:row>
    <x:row r="531">
      <x:c r="A531" t="inlineStr">
        <x:is>
          <x:t xml:space="preserve">z-ai|glm-5.3|max|reasoning|fallback-na|aa-v4.3.2|snapshot-2026-09-28</x:t>
        </x:is>
      </x:c>
      <x:c r="B531" t="inlineStr">
        <x:is>
          <x:t xml:space="preserve">z-ai|glm-5.3|max|reasoning|fallback-na</x:t>
        </x:is>
      </x:c>
      <x:c r="C531" t="inlineStr">
        <x:is>
          <x:t xml:space="preserve">AA|v4.3.2</x:t>
        </x:is>
      </x:c>
      <x:c r="D531" t="n">
        <x:v>68</x:v>
      </x:c>
      <x:c r="E531" t="n">
        <x:v>30</x:v>
      </x:c>
      <x:c r="F531" t="n">
        <x:f>INDEX(Run_Metrics!$F:$F,D531)</x:f>
        <x:v>45</x:v>
      </x:c>
      <x:c r="G531" t="n">
        <x:f>INDEX(Run_Metrics!$G:$G,D531)</x:f>
        <x:v>2.01</x:v>
      </x:c>
      <x:c r="H531" t="str">
        <x:f>INDEX(Run_Metrics!$I:$I,D531)</x:f>
      </x:c>
      <x:c r="I531" t="n">
        <x:f>IF(F531="","",F531-(E531-1))</x:f>
        <x:v>16</x:v>
      </x:c>
      <x:c r="J531" t="n">
        <x:f>IF(I531&gt;0,1,0)</x:f>
        <x:v>1</x:v>
      </x:c>
      <x:c r="K531" t="n">
        <x:f>IF(OR(J531=0,G531="",G531=0),"",I531/G531)</x:f>
        <x:v>7.9601990049751254</x:v>
      </x:c>
      <x:c r="L531" t="n">
        <x:f>IF(OR(J531=0,I531=0,G531=""),"",G531/I531)</x:f>
        <x:v>0.125625</x:v>
      </x:c>
      <x:c r="M531" t="str">
        <x:f>IF(OR(J531=0,G531="",H531="",G531=0,H531=0),"",I531/(G531*H531))</x:f>
      </x:c>
      <x:c r="N531" t="n">
        <x:f>IF(K531="","",K531/_xlfn.MAXIFS($K:$K,$E:$E,E531))</x:f>
        <x:v>0.05306799336650084</x:v>
      </x:c>
      <x:c r="O531" t="str">
        <x:f>IF(M531="","",M531/_xlfn.MAXIFS($M:$M,$E:$E,E531))</x:f>
      </x:c>
      <x:c r="P531" t="str">
        <x:f>IF(OR(N531="",O531=""),"",SQRT(N531*O531))</x:f>
      </x:c>
      <x:c r="Q531" t="str">
        <x:f>IF(OR(N531="",O531=""),"",N531^0.7*O531^0.3)</x:f>
      </x:c>
      <x:c r="R531" t="str">
        <x:f>IF(OR(N531="",O531=""),"",N531^0.3*O531^0.7)</x:f>
      </x:c>
    </x:row>
    <x:row r="532">
      <x:c r="A532" t="inlineStr">
        <x:is>
          <x:t xml:space="preserve">z-ai|glm-5.3|max|reasoning|fallback-na|aa-v4.3.2|snapshot-2026-09-28</x:t>
        </x:is>
      </x:c>
      <x:c r="B532" t="inlineStr">
        <x:is>
          <x:t xml:space="preserve">z-ai|glm-5.3|max|reasoning|fallback-na</x:t>
        </x:is>
      </x:c>
      <x:c r="C532" t="inlineStr">
        <x:is>
          <x:t xml:space="preserve">AA|v4.3.2</x:t>
        </x:is>
      </x:c>
      <x:c r="D532" t="n">
        <x:v>68</x:v>
      </x:c>
      <x:c r="E532" t="n">
        <x:v>40</x:v>
      </x:c>
      <x:c r="F532" t="n">
        <x:f>INDEX(Run_Metrics!$F:$F,D532)</x:f>
        <x:v>45</x:v>
      </x:c>
      <x:c r="G532" t="n">
        <x:f>INDEX(Run_Metrics!$G:$G,D532)</x:f>
        <x:v>2.01</x:v>
      </x:c>
      <x:c r="H532" t="str">
        <x:f>INDEX(Run_Metrics!$I:$I,D532)</x:f>
      </x:c>
      <x:c r="I532" t="n">
        <x:f>IF(F532="","",F532-(E532-1))</x:f>
        <x:v>6</x:v>
      </x:c>
      <x:c r="J532" t="n">
        <x:f>IF(I532&gt;0,1,0)</x:f>
        <x:v>1</x:v>
      </x:c>
      <x:c r="K532" t="n">
        <x:f>IF(OR(J532=0,G532="",G532=0),"",I532/G532)</x:f>
        <x:v>2.985074626865672</x:v>
      </x:c>
      <x:c r="L532" t="n">
        <x:f>IF(OR(J532=0,I532=0,G532=""),"",G532/I532)</x:f>
        <x:v>0.33499999999999996</x:v>
      </x:c>
      <x:c r="M532" t="str">
        <x:f>IF(OR(J532=0,G532="",H532="",G532=0,H532=0),"",I532/(G532*H532))</x:f>
      </x:c>
      <x:c r="N532" t="n">
        <x:f>IF(K532="","",K532/_xlfn.MAXIFS($K:$K,$E:$E,E532))</x:f>
        <x:v>0.05543710021321962</x:v>
      </x:c>
      <x:c r="O532" t="str">
        <x:f>IF(M532="","",M532/_xlfn.MAXIFS($M:$M,$E:$E,E532))</x:f>
      </x:c>
      <x:c r="P532" t="str">
        <x:f>IF(OR(N532="",O532=""),"",SQRT(N532*O532))</x:f>
      </x:c>
      <x:c r="Q532" t="str">
        <x:f>IF(OR(N532="",O532=""),"",N532^0.7*O532^0.3)</x:f>
      </x:c>
      <x:c r="R532" t="str">
        <x:f>IF(OR(N532="",O532=""),"",N532^0.3*O532^0.7)</x:f>
      </x:c>
    </x:row>
    <x:row r="533">
      <x:c r="A533" t="inlineStr">
        <x:is>
          <x:t xml:space="preserve">z-ai|glm-5.3|max|reasoning|fallback-na|aa-v4.3.2|snapshot-2026-09-28</x:t>
        </x:is>
      </x:c>
      <x:c r="B533" t="inlineStr">
        <x:is>
          <x:t xml:space="preserve">z-ai|glm-5.3|max|reasoning|fallback-na</x:t>
        </x:is>
      </x:c>
      <x:c r="C533" t="inlineStr">
        <x:is>
          <x:t xml:space="preserve">AA|v4.3.2</x:t>
        </x:is>
      </x:c>
      <x:c r="D533" t="n">
        <x:v>68</x:v>
      </x:c>
      <x:c r="E533" t="n">
        <x:v>45</x:v>
      </x:c>
      <x:c r="F533" t="n">
        <x:f>INDEX(Run_Metrics!$F:$F,D533)</x:f>
        <x:v>45</x:v>
      </x:c>
      <x:c r="G533" t="n">
        <x:f>INDEX(Run_Metrics!$G:$G,D533)</x:f>
        <x:v>2.01</x:v>
      </x:c>
      <x:c r="H533" t="str">
        <x:f>INDEX(Run_Metrics!$I:$I,D533)</x:f>
      </x:c>
      <x:c r="I533" t="n">
        <x:f>IF(F533="","",F533-(E533-1))</x:f>
        <x:v>1</x:v>
      </x:c>
      <x:c r="J533" t="n">
        <x:f>IF(I533&gt;0,1,0)</x:f>
        <x:v>1</x:v>
      </x:c>
      <x:c r="K533" t="n">
        <x:f>IF(OR(J533=0,G533="",G533=0),"",I533/G533)</x:f>
        <x:v>0.49751243781094534</x:v>
      </x:c>
      <x:c r="L533" t="n">
        <x:f>IF(OR(J533=0,I533=0,G533=""),"",G533/I533)</x:f>
        <x:v>2.01</x:v>
      </x:c>
      <x:c r="M533" t="str">
        <x:f>IF(OR(J533=0,G533="",H533="",G533=0,H533=0),"",I533/(G533*H533))</x:f>
      </x:c>
      <x:c r="N533" t="n">
        <x:f>IF(K533="","",K533/_xlfn.MAXIFS($K:$K,$E:$E,E533))</x:f>
        <x:v>0.02611940298507463</x:v>
      </x:c>
      <x:c r="O533" t="str">
        <x:f>IF(M533="","",M533/_xlfn.MAXIFS($M:$M,$E:$E,E533))</x:f>
      </x:c>
      <x:c r="P533" t="str">
        <x:f>IF(OR(N533="",O533=""),"",SQRT(N533*O533))</x:f>
      </x:c>
      <x:c r="Q533" t="str">
        <x:f>IF(OR(N533="",O533=""),"",N533^0.7*O533^0.3)</x:f>
      </x:c>
      <x:c r="R533" t="str">
        <x:f>IF(OR(N533="",O533=""),"",N533^0.3*O533^0.7)</x:f>
      </x:c>
    </x:row>
    <x:row r="534">
      <x:c r="A534" t="inlineStr">
        <x:is>
          <x:t xml:space="preserve">z-ai|glm-5.3|max|reasoning|fallback-na|aa-v4.3.2|snapshot-2026-09-28</x:t>
        </x:is>
      </x:c>
      <x:c r="B534" t="inlineStr">
        <x:is>
          <x:t xml:space="preserve">z-ai|glm-5.3|max|reasoning|fallback-na</x:t>
        </x:is>
      </x:c>
      <x:c r="C534" t="inlineStr">
        <x:is>
          <x:t xml:space="preserve">AA|v4.3.2</x:t>
        </x:is>
      </x:c>
      <x:c r="D534" t="n">
        <x:v>68</x:v>
      </x:c>
      <x:c r="E534" t="n">
        <x:v>50</x:v>
      </x:c>
      <x:c r="F534" t="n">
        <x:f>INDEX(Run_Metrics!$F:$F,D534)</x:f>
        <x:v>45</x:v>
      </x:c>
      <x:c r="G534" t="n">
        <x:f>INDEX(Run_Metrics!$G:$G,D534)</x:f>
        <x:v>2.01</x:v>
      </x:c>
      <x:c r="H534" t="str">
        <x:f>INDEX(Run_Metrics!$I:$I,D534)</x:f>
      </x:c>
      <x:c r="I534" t="n">
        <x:f>IF(F534="","",F534-(E534-1))</x:f>
        <x:v>-4</x:v>
      </x:c>
      <x:c r="J534" t="n">
        <x:f>IF(I534&gt;0,1,0)</x:f>
        <x:v>0</x:v>
      </x:c>
      <x:c r="K534" t="str">
        <x:f>IF(OR(J534=0,G534="",G534=0),"",I534/G534)</x:f>
      </x:c>
      <x:c r="L534" t="str">
        <x:f>IF(OR(J534=0,I534=0,G534=""),"",G534/I534)</x:f>
      </x:c>
      <x:c r="M534" t="str">
        <x:f>IF(OR(J534=0,G534="",H534="",G534=0,H534=0),"",I534/(G534*H534))</x:f>
      </x:c>
      <x:c r="N534" t="str">
        <x:f>IF(K534="","",K534/_xlfn.MAXIFS($K:$K,$E:$E,E534))</x:f>
      </x:c>
      <x:c r="O534" t="str">
        <x:f>IF(M534="","",M534/_xlfn.MAXIFS($M:$M,$E:$E,E534))</x:f>
      </x:c>
      <x:c r="P534" t="str">
        <x:f>IF(OR(N534="",O534=""),"",SQRT(N534*O534))</x:f>
      </x:c>
      <x:c r="Q534" t="str">
        <x:f>IF(OR(N534="",O534=""),"",N534^0.7*O534^0.3)</x:f>
      </x:c>
      <x:c r="R534" t="str">
        <x:f>IF(OR(N534="",O534=""),"",N534^0.3*O534^0.7)</x:f>
      </x:c>
    </x:row>
    <x:row r="535">
      <x:c r="A535" t="inlineStr">
        <x:is>
          <x:t xml:space="preserve">z-ai|glm-5.3|max|reasoning|fallback-na|aa-v4.3.2|snapshot-2026-09-28</x:t>
        </x:is>
      </x:c>
      <x:c r="B535" t="inlineStr">
        <x:is>
          <x:t xml:space="preserve">z-ai|glm-5.3|max|reasoning|fallback-na</x:t>
        </x:is>
      </x:c>
      <x:c r="C535" t="inlineStr">
        <x:is>
          <x:t xml:space="preserve">AA|v4.3.2</x:t>
        </x:is>
      </x:c>
      <x:c r="D535" t="n">
        <x:v>68</x:v>
      </x:c>
      <x:c r="E535" t="n">
        <x:v>52</x:v>
      </x:c>
      <x:c r="F535" t="n">
        <x:f>INDEX(Run_Metrics!$F:$F,D535)</x:f>
        <x:v>45</x:v>
      </x:c>
      <x:c r="G535" t="n">
        <x:f>INDEX(Run_Metrics!$G:$G,D535)</x:f>
        <x:v>2.01</x:v>
      </x:c>
      <x:c r="H535" t="str">
        <x:f>INDEX(Run_Metrics!$I:$I,D535)</x:f>
      </x:c>
      <x:c r="I535" t="n">
        <x:f>IF(F535="","",F535-(E535-1))</x:f>
        <x:v>-6</x:v>
      </x:c>
      <x:c r="J535" t="n">
        <x:f>IF(I535&gt;0,1,0)</x:f>
        <x:v>0</x:v>
      </x:c>
      <x:c r="K535" t="str">
        <x:f>IF(OR(J535=0,G535="",G535=0),"",I535/G535)</x:f>
      </x:c>
      <x:c r="L535" t="str">
        <x:f>IF(OR(J535=0,I535=0,G535=""),"",G535/I535)</x:f>
      </x:c>
      <x:c r="M535" t="str">
        <x:f>IF(OR(J535=0,G535="",H535="",G535=0,H535=0),"",I535/(G535*H535))</x:f>
      </x:c>
      <x:c r="N535" t="str">
        <x:f>IF(K535="","",K535/_xlfn.MAXIFS($K:$K,$E:$E,E535))</x:f>
      </x:c>
      <x:c r="O535" t="str">
        <x:f>IF(M535="","",M535/_xlfn.MAXIFS($M:$M,$E:$E,E535))</x:f>
      </x:c>
      <x:c r="P535" t="str">
        <x:f>IF(OR(N535="",O535=""),"",SQRT(N535*O535))</x:f>
      </x:c>
      <x:c r="Q535" t="str">
        <x:f>IF(OR(N535="",O535=""),"",N535^0.7*O535^0.3)</x:f>
      </x:c>
      <x:c r="R535" t="str">
        <x:f>IF(OR(N535="",O535=""),"",N535^0.3*O535^0.7)</x:f>
      </x:c>
    </x:row>
    <x:row r="536">
      <x:c r="A536" t="inlineStr">
        <x:is>
          <x:t xml:space="preserve">z-ai|glm-5.3|max|reasoning|fallback-na|aa-v4.3.2|snapshot-2026-09-28</x:t>
        </x:is>
      </x:c>
      <x:c r="B536" t="inlineStr">
        <x:is>
          <x:t xml:space="preserve">z-ai|glm-5.3|max|reasoning|fallback-na</x:t>
        </x:is>
      </x:c>
      <x:c r="C536" t="inlineStr">
        <x:is>
          <x:t xml:space="preserve">AA|v4.3.2</x:t>
        </x:is>
      </x:c>
      <x:c r="D536" t="n">
        <x:v>68</x:v>
      </x:c>
      <x:c r="E536" t="n">
        <x:v>65</x:v>
      </x:c>
      <x:c r="F536" t="n">
        <x:f>INDEX(Run_Metrics!$F:$F,D536)</x:f>
        <x:v>45</x:v>
      </x:c>
      <x:c r="G536" t="n">
        <x:f>INDEX(Run_Metrics!$G:$G,D536)</x:f>
        <x:v>2.01</x:v>
      </x:c>
      <x:c r="H536" t="str">
        <x:f>INDEX(Run_Metrics!$I:$I,D536)</x:f>
      </x:c>
      <x:c r="I536" t="n">
        <x:f>IF(F536="","",F536-(E536-1))</x:f>
        <x:v>-19</x:v>
      </x:c>
      <x:c r="J536" t="n">
        <x:f>IF(I536&gt;0,1,0)</x:f>
        <x:v>0</x:v>
      </x:c>
      <x:c r="K536" t="str">
        <x:f>IF(OR(J536=0,G536="",G536=0),"",I536/G536)</x:f>
      </x:c>
      <x:c r="L536" t="str">
        <x:f>IF(OR(J536=0,I536=0,G536=""),"",G536/I536)</x:f>
      </x:c>
      <x:c r="M536" t="str">
        <x:f>IF(OR(J536=0,G536="",H536="",G536=0,H536=0),"",I536/(G536*H536))</x:f>
      </x:c>
      <x:c r="N536" t="str">
        <x:f>IF(K536="","",K536/_xlfn.MAXIFS($K:$K,$E:$E,E536))</x:f>
      </x:c>
      <x:c r="O536" t="str">
        <x:f>IF(M536="","",M536/_xlfn.MAXIFS($M:$M,$E:$E,E536))</x:f>
      </x:c>
      <x:c r="P536" t="str">
        <x:f>IF(OR(N536="",O536=""),"",SQRT(N536*O536))</x:f>
      </x:c>
      <x:c r="Q536" t="str">
        <x:f>IF(OR(N536="",O536=""),"",N536^0.7*O536^0.3)</x:f>
      </x:c>
      <x:c r="R536" t="str">
        <x:f>IF(OR(N536="",O536=""),"",N536^0.3*O536^0.7)</x:f>
      </x:c>
    </x:row>
    <x:row r="537">
      <x:c r="A537" t="inlineStr">
        <x:is>
          <x:t xml:space="preserve">z-ai|glm-5.3|max|reasoning|fallback-na|aa-v4.3.2|snapshot-2026-09-28</x:t>
        </x:is>
      </x:c>
      <x:c r="B537" t="inlineStr">
        <x:is>
          <x:t xml:space="preserve">z-ai|glm-5.3|max|reasoning|fallback-na</x:t>
        </x:is>
      </x:c>
      <x:c r="C537" t="inlineStr">
        <x:is>
          <x:t xml:space="preserve">AA|v4.3.2</x:t>
        </x:is>
      </x:c>
      <x:c r="D537" t="n">
        <x:v>68</x:v>
      </x:c>
      <x:c r="E537" t="n">
        <x:v>80</x:v>
      </x:c>
      <x:c r="F537" t="n">
        <x:f>INDEX(Run_Metrics!$F:$F,D537)</x:f>
        <x:v>45</x:v>
      </x:c>
      <x:c r="G537" t="n">
        <x:f>INDEX(Run_Metrics!$G:$G,D537)</x:f>
        <x:v>2.01</x:v>
      </x:c>
      <x:c r="H537" t="str">
        <x:f>INDEX(Run_Metrics!$I:$I,D537)</x:f>
      </x:c>
      <x:c r="I537" t="n">
        <x:f>IF(F537="","",F537-(E537-1))</x:f>
        <x:v>-34</x:v>
      </x:c>
      <x:c r="J537" t="n">
        <x:f>IF(I537&gt;0,1,0)</x:f>
        <x:v>0</x:v>
      </x:c>
      <x:c r="K537" t="str">
        <x:f>IF(OR(J537=0,G537="",G537=0),"",I537/G537)</x:f>
      </x:c>
      <x:c r="L537" t="str">
        <x:f>IF(OR(J537=0,I537=0,G537=""),"",G537/I537)</x:f>
      </x:c>
      <x:c r="M537" t="str">
        <x:f>IF(OR(J537=0,G537="",H537="",G537=0,H537=0),"",I537/(G537*H537))</x:f>
      </x:c>
      <x:c r="N537" t="str">
        <x:f>IF(K537="","",K537/_xlfn.MAXIFS($K:$K,$E:$E,E537))</x:f>
      </x:c>
      <x:c r="O537" t="str">
        <x:f>IF(M537="","",M537/_xlfn.MAXIFS($M:$M,$E:$E,E537))</x:f>
      </x:c>
      <x:c r="P537" t="str">
        <x:f>IF(OR(N537="",O537=""),"",SQRT(N537*O537))</x:f>
      </x:c>
      <x:c r="Q537" t="str">
        <x:f>IF(OR(N537="",O537=""),"",N537^0.7*O537^0.3)</x:f>
      </x:c>
      <x:c r="R537" t="str">
        <x:f>IF(OR(N537="",O537=""),"",N537^0.3*O537^0.7)</x:f>
      </x:c>
    </x:row>
    <x:row r="538">
      <x:c r="A538" t="inlineStr">
        <x:is>
          <x:t xml:space="preserve">alibaba|qwen3.8-max-0902|reasoning|reasoning|fallback-na|aa-v4.3.2|snapshot-2026-09-28</x:t>
        </x:is>
      </x:c>
      <x:c r="B538" t="inlineStr">
        <x:is>
          <x:t xml:space="preserve">alibaba|qwen3.8-max-0902|reasoning|reasoning|fallback-na</x:t>
        </x:is>
      </x:c>
      <x:c r="C538" t="inlineStr">
        <x:is>
          <x:t xml:space="preserve">AA|v4.3.2</x:t>
        </x:is>
      </x:c>
      <x:c r="D538" t="n">
        <x:v>69</x:v>
      </x:c>
      <x:c r="E538" t="n">
        <x:v>20</x:v>
      </x:c>
      <x:c r="F538" t="n">
        <x:f>INDEX(Run_Metrics!$F:$F,D538)</x:f>
        <x:v>45</x:v>
      </x:c>
      <x:c r="G538" t="str">
        <x:f>INDEX(Run_Metrics!$G:$G,D538)</x:f>
      </x:c>
      <x:c r="H538" t="str">
        <x:f>INDEX(Run_Metrics!$I:$I,D538)</x:f>
      </x:c>
      <x:c r="I538" t="n">
        <x:f>IF(F538="","",F538-(E538-1))</x:f>
        <x:v>26</x:v>
      </x:c>
      <x:c r="J538" t="n">
        <x:f>IF(I538&gt;0,1,0)</x:f>
        <x:v>1</x:v>
      </x:c>
      <x:c r="K538" t="str">
        <x:f>IF(OR(J538=0,G538="",G538=0),"",I538/G538)</x:f>
      </x:c>
      <x:c r="L538" t="str">
        <x:f>IF(OR(J538=0,I538=0,G538=""),"",G538/I538)</x:f>
      </x:c>
      <x:c r="M538" t="str">
        <x:f>IF(OR(J538=0,G538="",H538="",G538=0,H538=0),"",I538/(G538*H538))</x:f>
      </x:c>
      <x:c r="N538" t="str">
        <x:f>IF(K538="","",K538/_xlfn.MAXIFS($K:$K,$E:$E,E538))</x:f>
      </x:c>
      <x:c r="O538" t="str">
        <x:f>IF(M538="","",M538/_xlfn.MAXIFS($M:$M,$E:$E,E538))</x:f>
      </x:c>
      <x:c r="P538" t="str">
        <x:f>IF(OR(N538="",O538=""),"",SQRT(N538*O538))</x:f>
      </x:c>
      <x:c r="Q538" t="str">
        <x:f>IF(OR(N538="",O538=""),"",N538^0.7*O538^0.3)</x:f>
      </x:c>
      <x:c r="R538" t="str">
        <x:f>IF(OR(N538="",O538=""),"",N538^0.3*O538^0.7)</x:f>
      </x:c>
    </x:row>
    <x:row r="539">
      <x:c r="A539" t="inlineStr">
        <x:is>
          <x:t xml:space="preserve">alibaba|qwen3.8-max-0902|reasoning|reasoning|fallback-na|aa-v4.3.2|snapshot-2026-09-28</x:t>
        </x:is>
      </x:c>
      <x:c r="B539" t="inlineStr">
        <x:is>
          <x:t xml:space="preserve">alibaba|qwen3.8-max-0902|reasoning|reasoning|fallback-na</x:t>
        </x:is>
      </x:c>
      <x:c r="C539" t="inlineStr">
        <x:is>
          <x:t xml:space="preserve">AA|v4.3.2</x:t>
        </x:is>
      </x:c>
      <x:c r="D539" t="n">
        <x:v>69</x:v>
      </x:c>
      <x:c r="E539" t="n">
        <x:v>30</x:v>
      </x:c>
      <x:c r="F539" t="n">
        <x:f>INDEX(Run_Metrics!$F:$F,D539)</x:f>
        <x:v>45</x:v>
      </x:c>
      <x:c r="G539" t="str">
        <x:f>INDEX(Run_Metrics!$G:$G,D539)</x:f>
      </x:c>
      <x:c r="H539" t="str">
        <x:f>INDEX(Run_Metrics!$I:$I,D539)</x:f>
      </x:c>
      <x:c r="I539" t="n">
        <x:f>IF(F539="","",F539-(E539-1))</x:f>
        <x:v>16</x:v>
      </x:c>
      <x:c r="J539" t="n">
        <x:f>IF(I539&gt;0,1,0)</x:f>
        <x:v>1</x:v>
      </x:c>
      <x:c r="K539" t="str">
        <x:f>IF(OR(J539=0,G539="",G539=0),"",I539/G539)</x:f>
      </x:c>
      <x:c r="L539" t="str">
        <x:f>IF(OR(J539=0,I539=0,G539=""),"",G539/I539)</x:f>
      </x:c>
      <x:c r="M539" t="str">
        <x:f>IF(OR(J539=0,G539="",H539="",G539=0,H539=0),"",I539/(G539*H539))</x:f>
      </x:c>
      <x:c r="N539" t="str">
        <x:f>IF(K539="","",K539/_xlfn.MAXIFS($K:$K,$E:$E,E539))</x:f>
      </x:c>
      <x:c r="O539" t="str">
        <x:f>IF(M539="","",M539/_xlfn.MAXIFS($M:$M,$E:$E,E539))</x:f>
      </x:c>
      <x:c r="P539" t="str">
        <x:f>IF(OR(N539="",O539=""),"",SQRT(N539*O539))</x:f>
      </x:c>
      <x:c r="Q539" t="str">
        <x:f>IF(OR(N539="",O539=""),"",N539^0.7*O539^0.3)</x:f>
      </x:c>
      <x:c r="R539" t="str">
        <x:f>IF(OR(N539="",O539=""),"",N539^0.3*O539^0.7)</x:f>
      </x:c>
    </x:row>
    <x:row r="540">
      <x:c r="A540" t="inlineStr">
        <x:is>
          <x:t xml:space="preserve">alibaba|qwen3.8-max-0902|reasoning|reasoning|fallback-na|aa-v4.3.2|snapshot-2026-09-28</x:t>
        </x:is>
      </x:c>
      <x:c r="B540" t="inlineStr">
        <x:is>
          <x:t xml:space="preserve">alibaba|qwen3.8-max-0902|reasoning|reasoning|fallback-na</x:t>
        </x:is>
      </x:c>
      <x:c r="C540" t="inlineStr">
        <x:is>
          <x:t xml:space="preserve">AA|v4.3.2</x:t>
        </x:is>
      </x:c>
      <x:c r="D540" t="n">
        <x:v>69</x:v>
      </x:c>
      <x:c r="E540" t="n">
        <x:v>40</x:v>
      </x:c>
      <x:c r="F540" t="n">
        <x:f>INDEX(Run_Metrics!$F:$F,D540)</x:f>
        <x:v>45</x:v>
      </x:c>
      <x:c r="G540" t="str">
        <x:f>INDEX(Run_Metrics!$G:$G,D540)</x:f>
      </x:c>
      <x:c r="H540" t="str">
        <x:f>INDEX(Run_Metrics!$I:$I,D540)</x:f>
      </x:c>
      <x:c r="I540" t="n">
        <x:f>IF(F540="","",F540-(E540-1))</x:f>
        <x:v>6</x:v>
      </x:c>
      <x:c r="J540" t="n">
        <x:f>IF(I540&gt;0,1,0)</x:f>
        <x:v>1</x:v>
      </x:c>
      <x:c r="K540" t="str">
        <x:f>IF(OR(J540=0,G540="",G540=0),"",I540/G540)</x:f>
      </x:c>
      <x:c r="L540" t="str">
        <x:f>IF(OR(J540=0,I540=0,G540=""),"",G540/I540)</x:f>
      </x:c>
      <x:c r="M540" t="str">
        <x:f>IF(OR(J540=0,G540="",H540="",G540=0,H540=0),"",I540/(G540*H540))</x:f>
      </x:c>
      <x:c r="N540" t="str">
        <x:f>IF(K540="","",K540/_xlfn.MAXIFS($K:$K,$E:$E,E540))</x:f>
      </x:c>
      <x:c r="O540" t="str">
        <x:f>IF(M540="","",M540/_xlfn.MAXIFS($M:$M,$E:$E,E540))</x:f>
      </x:c>
      <x:c r="P540" t="str">
        <x:f>IF(OR(N540="",O540=""),"",SQRT(N540*O540))</x:f>
      </x:c>
      <x:c r="Q540" t="str">
        <x:f>IF(OR(N540="",O540=""),"",N540^0.7*O540^0.3)</x:f>
      </x:c>
      <x:c r="R540" t="str">
        <x:f>IF(OR(N540="",O540=""),"",N540^0.3*O540^0.7)</x:f>
      </x:c>
    </x:row>
    <x:row r="541">
      <x:c r="A541" t="inlineStr">
        <x:is>
          <x:t xml:space="preserve">alibaba|qwen3.8-max-0902|reasoning|reasoning|fallback-na|aa-v4.3.2|snapshot-2026-09-28</x:t>
        </x:is>
      </x:c>
      <x:c r="B541" t="inlineStr">
        <x:is>
          <x:t xml:space="preserve">alibaba|qwen3.8-max-0902|reasoning|reasoning|fallback-na</x:t>
        </x:is>
      </x:c>
      <x:c r="C541" t="inlineStr">
        <x:is>
          <x:t xml:space="preserve">AA|v4.3.2</x:t>
        </x:is>
      </x:c>
      <x:c r="D541" t="n">
        <x:v>69</x:v>
      </x:c>
      <x:c r="E541" t="n">
        <x:v>45</x:v>
      </x:c>
      <x:c r="F541" t="n">
        <x:f>INDEX(Run_Metrics!$F:$F,D541)</x:f>
        <x:v>45</x:v>
      </x:c>
      <x:c r="G541" t="str">
        <x:f>INDEX(Run_Metrics!$G:$G,D541)</x:f>
      </x:c>
      <x:c r="H541" t="str">
        <x:f>INDEX(Run_Metrics!$I:$I,D541)</x:f>
      </x:c>
      <x:c r="I541" t="n">
        <x:f>IF(F541="","",F541-(E541-1))</x:f>
        <x:v>1</x:v>
      </x:c>
      <x:c r="J541" t="n">
        <x:f>IF(I541&gt;0,1,0)</x:f>
        <x:v>1</x:v>
      </x:c>
      <x:c r="K541" t="str">
        <x:f>IF(OR(J541=0,G541="",G541=0),"",I541/G541)</x:f>
      </x:c>
      <x:c r="L541" t="str">
        <x:f>IF(OR(J541=0,I541=0,G541=""),"",G541/I541)</x:f>
      </x:c>
      <x:c r="M541" t="str">
        <x:f>IF(OR(J541=0,G541="",H541="",G541=0,H541=0),"",I541/(G541*H541))</x:f>
      </x:c>
      <x:c r="N541" t="str">
        <x:f>IF(K541="","",K541/_xlfn.MAXIFS($K:$K,$E:$E,E541))</x:f>
      </x:c>
      <x:c r="O541" t="str">
        <x:f>IF(M541="","",M541/_xlfn.MAXIFS($M:$M,$E:$E,E541))</x:f>
      </x:c>
      <x:c r="P541" t="str">
        <x:f>IF(OR(N541="",O541=""),"",SQRT(N541*O541))</x:f>
      </x:c>
      <x:c r="Q541" t="str">
        <x:f>IF(OR(N541="",O541=""),"",N541^0.7*O541^0.3)</x:f>
      </x:c>
      <x:c r="R541" t="str">
        <x:f>IF(OR(N541="",O541=""),"",N541^0.3*O541^0.7)</x:f>
      </x:c>
    </x:row>
    <x:row r="542">
      <x:c r="A542" t="inlineStr">
        <x:is>
          <x:t xml:space="preserve">alibaba|qwen3.8-max-0902|reasoning|reasoning|fallback-na|aa-v4.3.2|snapshot-2026-09-28</x:t>
        </x:is>
      </x:c>
      <x:c r="B542" t="inlineStr">
        <x:is>
          <x:t xml:space="preserve">alibaba|qwen3.8-max-0902|reasoning|reasoning|fallback-na</x:t>
        </x:is>
      </x:c>
      <x:c r="C542" t="inlineStr">
        <x:is>
          <x:t xml:space="preserve">AA|v4.3.2</x:t>
        </x:is>
      </x:c>
      <x:c r="D542" t="n">
        <x:v>69</x:v>
      </x:c>
      <x:c r="E542" t="n">
        <x:v>50</x:v>
      </x:c>
      <x:c r="F542" t="n">
        <x:f>INDEX(Run_Metrics!$F:$F,D542)</x:f>
        <x:v>45</x:v>
      </x:c>
      <x:c r="G542" t="str">
        <x:f>INDEX(Run_Metrics!$G:$G,D542)</x:f>
      </x:c>
      <x:c r="H542" t="str">
        <x:f>INDEX(Run_Metrics!$I:$I,D542)</x:f>
      </x:c>
      <x:c r="I542" t="n">
        <x:f>IF(F542="","",F542-(E542-1))</x:f>
        <x:v>-4</x:v>
      </x:c>
      <x:c r="J542" t="n">
        <x:f>IF(I542&gt;0,1,0)</x:f>
        <x:v>0</x:v>
      </x:c>
      <x:c r="K542" t="str">
        <x:f>IF(OR(J542=0,G542="",G542=0),"",I542/G542)</x:f>
      </x:c>
      <x:c r="L542" t="str">
        <x:f>IF(OR(J542=0,I542=0,G542=""),"",G542/I542)</x:f>
      </x:c>
      <x:c r="M542" t="str">
        <x:f>IF(OR(J542=0,G542="",H542="",G542=0,H542=0),"",I542/(G542*H542))</x:f>
      </x:c>
      <x:c r="N542" t="str">
        <x:f>IF(K542="","",K542/_xlfn.MAXIFS($K:$K,$E:$E,E542))</x:f>
      </x:c>
      <x:c r="O542" t="str">
        <x:f>IF(M542="","",M542/_xlfn.MAXIFS($M:$M,$E:$E,E542))</x:f>
      </x:c>
      <x:c r="P542" t="str">
        <x:f>IF(OR(N542="",O542=""),"",SQRT(N542*O542))</x:f>
      </x:c>
      <x:c r="Q542" t="str">
        <x:f>IF(OR(N542="",O542=""),"",N542^0.7*O542^0.3)</x:f>
      </x:c>
      <x:c r="R542" t="str">
        <x:f>IF(OR(N542="",O542=""),"",N542^0.3*O542^0.7)</x:f>
      </x:c>
    </x:row>
    <x:row r="543">
      <x:c r="A543" t="inlineStr">
        <x:is>
          <x:t xml:space="preserve">alibaba|qwen3.8-max-0902|reasoning|reasoning|fallback-na|aa-v4.3.2|snapshot-2026-09-28</x:t>
        </x:is>
      </x:c>
      <x:c r="B543" t="inlineStr">
        <x:is>
          <x:t xml:space="preserve">alibaba|qwen3.8-max-0902|reasoning|reasoning|fallback-na</x:t>
        </x:is>
      </x:c>
      <x:c r="C543" t="inlineStr">
        <x:is>
          <x:t xml:space="preserve">AA|v4.3.2</x:t>
        </x:is>
      </x:c>
      <x:c r="D543" t="n">
        <x:v>69</x:v>
      </x:c>
      <x:c r="E543" t="n">
        <x:v>52</x:v>
      </x:c>
      <x:c r="F543" t="n">
        <x:f>INDEX(Run_Metrics!$F:$F,D543)</x:f>
        <x:v>45</x:v>
      </x:c>
      <x:c r="G543" t="str">
        <x:f>INDEX(Run_Metrics!$G:$G,D543)</x:f>
      </x:c>
      <x:c r="H543" t="str">
        <x:f>INDEX(Run_Metrics!$I:$I,D543)</x:f>
      </x:c>
      <x:c r="I543" t="n">
        <x:f>IF(F543="","",F543-(E543-1))</x:f>
        <x:v>-6</x:v>
      </x:c>
      <x:c r="J543" t="n">
        <x:f>IF(I543&gt;0,1,0)</x:f>
        <x:v>0</x:v>
      </x:c>
      <x:c r="K543" t="str">
        <x:f>IF(OR(J543=0,G543="",G543=0),"",I543/G543)</x:f>
      </x:c>
      <x:c r="L543" t="str">
        <x:f>IF(OR(J543=0,I543=0,G543=""),"",G543/I543)</x:f>
      </x:c>
      <x:c r="M543" t="str">
        <x:f>IF(OR(J543=0,G543="",H543="",G543=0,H543=0),"",I543/(G543*H543))</x:f>
      </x:c>
      <x:c r="N543" t="str">
        <x:f>IF(K543="","",K543/_xlfn.MAXIFS($K:$K,$E:$E,E543))</x:f>
      </x:c>
      <x:c r="O543" t="str">
        <x:f>IF(M543="","",M543/_xlfn.MAXIFS($M:$M,$E:$E,E543))</x:f>
      </x:c>
      <x:c r="P543" t="str">
        <x:f>IF(OR(N543="",O543=""),"",SQRT(N543*O543))</x:f>
      </x:c>
      <x:c r="Q543" t="str">
        <x:f>IF(OR(N543="",O543=""),"",N543^0.7*O543^0.3)</x:f>
      </x:c>
      <x:c r="R543" t="str">
        <x:f>IF(OR(N543="",O543=""),"",N543^0.3*O543^0.7)</x:f>
      </x:c>
    </x:row>
    <x:row r="544">
      <x:c r="A544" t="inlineStr">
        <x:is>
          <x:t xml:space="preserve">alibaba|qwen3.8-max-0902|reasoning|reasoning|fallback-na|aa-v4.3.2|snapshot-2026-09-28</x:t>
        </x:is>
      </x:c>
      <x:c r="B544" t="inlineStr">
        <x:is>
          <x:t xml:space="preserve">alibaba|qwen3.8-max-0902|reasoning|reasoning|fallback-na</x:t>
        </x:is>
      </x:c>
      <x:c r="C544" t="inlineStr">
        <x:is>
          <x:t xml:space="preserve">AA|v4.3.2</x:t>
        </x:is>
      </x:c>
      <x:c r="D544" t="n">
        <x:v>69</x:v>
      </x:c>
      <x:c r="E544" t="n">
        <x:v>65</x:v>
      </x:c>
      <x:c r="F544" t="n">
        <x:f>INDEX(Run_Metrics!$F:$F,D544)</x:f>
        <x:v>45</x:v>
      </x:c>
      <x:c r="G544" t="str">
        <x:f>INDEX(Run_Metrics!$G:$G,D544)</x:f>
      </x:c>
      <x:c r="H544" t="str">
        <x:f>INDEX(Run_Metrics!$I:$I,D544)</x:f>
      </x:c>
      <x:c r="I544" t="n">
        <x:f>IF(F544="","",F544-(E544-1))</x:f>
        <x:v>-19</x:v>
      </x:c>
      <x:c r="J544" t="n">
        <x:f>IF(I544&gt;0,1,0)</x:f>
        <x:v>0</x:v>
      </x:c>
      <x:c r="K544" t="str">
        <x:f>IF(OR(J544=0,G544="",G544=0),"",I544/G544)</x:f>
      </x:c>
      <x:c r="L544" t="str">
        <x:f>IF(OR(J544=0,I544=0,G544=""),"",G544/I544)</x:f>
      </x:c>
      <x:c r="M544" t="str">
        <x:f>IF(OR(J544=0,G544="",H544="",G544=0,H544=0),"",I544/(G544*H544))</x:f>
      </x:c>
      <x:c r="N544" t="str">
        <x:f>IF(K544="","",K544/_xlfn.MAXIFS($K:$K,$E:$E,E544))</x:f>
      </x:c>
      <x:c r="O544" t="str">
        <x:f>IF(M544="","",M544/_xlfn.MAXIFS($M:$M,$E:$E,E544))</x:f>
      </x:c>
      <x:c r="P544" t="str">
        <x:f>IF(OR(N544="",O544=""),"",SQRT(N544*O544))</x:f>
      </x:c>
      <x:c r="Q544" t="str">
        <x:f>IF(OR(N544="",O544=""),"",N544^0.7*O544^0.3)</x:f>
      </x:c>
      <x:c r="R544" t="str">
        <x:f>IF(OR(N544="",O544=""),"",N544^0.3*O544^0.7)</x:f>
      </x:c>
    </x:row>
    <x:row r="545">
      <x:c r="A545" t="inlineStr">
        <x:is>
          <x:t xml:space="preserve">alibaba|qwen3.8-max-0902|reasoning|reasoning|fallback-na|aa-v4.3.2|snapshot-2026-09-28</x:t>
        </x:is>
      </x:c>
      <x:c r="B545" t="inlineStr">
        <x:is>
          <x:t xml:space="preserve">alibaba|qwen3.8-max-0902|reasoning|reasoning|fallback-na</x:t>
        </x:is>
      </x:c>
      <x:c r="C545" t="inlineStr">
        <x:is>
          <x:t xml:space="preserve">AA|v4.3.2</x:t>
        </x:is>
      </x:c>
      <x:c r="D545" t="n">
        <x:v>69</x:v>
      </x:c>
      <x:c r="E545" t="n">
        <x:v>80</x:v>
      </x:c>
      <x:c r="F545" t="n">
        <x:f>INDEX(Run_Metrics!$F:$F,D545)</x:f>
        <x:v>45</x:v>
      </x:c>
      <x:c r="G545" t="str">
        <x:f>INDEX(Run_Metrics!$G:$G,D545)</x:f>
      </x:c>
      <x:c r="H545" t="str">
        <x:f>INDEX(Run_Metrics!$I:$I,D545)</x:f>
      </x:c>
      <x:c r="I545" t="n">
        <x:f>IF(F545="","",F545-(E545-1))</x:f>
        <x:v>-34</x:v>
      </x:c>
      <x:c r="J545" t="n">
        <x:f>IF(I545&gt;0,1,0)</x:f>
        <x:v>0</x:v>
      </x:c>
      <x:c r="K545" t="str">
        <x:f>IF(OR(J545=0,G545="",G545=0),"",I545/G545)</x:f>
      </x:c>
      <x:c r="L545" t="str">
        <x:f>IF(OR(J545=0,I545=0,G545=""),"",G545/I545)</x:f>
      </x:c>
      <x:c r="M545" t="str">
        <x:f>IF(OR(J545=0,G545="",H545="",G545=0,H545=0),"",I545/(G545*H545))</x:f>
      </x:c>
      <x:c r="N545" t="str">
        <x:f>IF(K545="","",K545/_xlfn.MAXIFS($K:$K,$E:$E,E545))</x:f>
      </x:c>
      <x:c r="O545" t="str">
        <x:f>IF(M545="","",M545/_xlfn.MAXIFS($M:$M,$E:$E,E545))</x:f>
      </x:c>
      <x:c r="P545" t="str">
        <x:f>IF(OR(N545="",O545=""),"",SQRT(N545*O545))</x:f>
      </x:c>
      <x:c r="Q545" t="str">
        <x:f>IF(OR(N545="",O545=""),"",N545^0.7*O545^0.3)</x:f>
      </x:c>
      <x:c r="R545" t="str">
        <x:f>IF(OR(N545="",O545=""),"",N545^0.3*O545^0.7)</x:f>
      </x:c>
    </x:row>
    <x:row r="546">
      <x:c r="A546" t="inlineStr">
        <x:is>
          <x:t xml:space="preserve">alibaba|qwen3.8-27b|medium|reasoning|fallback-na|aa-v4.3.2|snapshot-2026-09-28</x:t>
        </x:is>
      </x:c>
      <x:c r="B546" t="inlineStr">
        <x:is>
          <x:t xml:space="preserve">alibaba|qwen3.8-27b|medium|reasoning|fallback-na</x:t>
        </x:is>
      </x:c>
      <x:c r="C546" t="inlineStr">
        <x:is>
          <x:t xml:space="preserve">AA|v4.3.2</x:t>
        </x:is>
      </x:c>
      <x:c r="D546" t="n">
        <x:v>70</x:v>
      </x:c>
      <x:c r="E546" t="n">
        <x:v>20</x:v>
      </x:c>
      <x:c r="F546" t="n">
        <x:f>INDEX(Run_Metrics!$F:$F,D546)</x:f>
        <x:v>28</x:v>
      </x:c>
      <x:c r="G546" t="str">
        <x:f>INDEX(Run_Metrics!$G:$G,D546)</x:f>
      </x:c>
      <x:c r="H546" t="str">
        <x:f>INDEX(Run_Metrics!$I:$I,D546)</x:f>
      </x:c>
      <x:c r="I546" t="n">
        <x:f>IF(F546="","",F546-(E546-1))</x:f>
        <x:v>9</x:v>
      </x:c>
      <x:c r="J546" t="n">
        <x:f>IF(I546&gt;0,1,0)</x:f>
        <x:v>1</x:v>
      </x:c>
      <x:c r="K546" t="str">
        <x:f>IF(OR(J546=0,G546="",G546=0),"",I546/G546)</x:f>
      </x:c>
      <x:c r="L546" t="str">
        <x:f>IF(OR(J546=0,I546=0,G546=""),"",G546/I546)</x:f>
      </x:c>
      <x:c r="M546" t="str">
        <x:f>IF(OR(J546=0,G546="",H546="",G546=0,H546=0),"",I546/(G546*H546))</x:f>
      </x:c>
      <x:c r="N546" t="str">
        <x:f>IF(K546="","",K546/_xlfn.MAXIFS($K:$K,$E:$E,E546))</x:f>
      </x:c>
      <x:c r="O546" t="str">
        <x:f>IF(M546="","",M546/_xlfn.MAXIFS($M:$M,$E:$E,E546))</x:f>
      </x:c>
      <x:c r="P546" t="str">
        <x:f>IF(OR(N546="",O546=""),"",SQRT(N546*O546))</x:f>
      </x:c>
      <x:c r="Q546" t="str">
        <x:f>IF(OR(N546="",O546=""),"",N546^0.7*O546^0.3)</x:f>
      </x:c>
      <x:c r="R546" t="str">
        <x:f>IF(OR(N546="",O546=""),"",N546^0.3*O546^0.7)</x:f>
      </x:c>
    </x:row>
    <x:row r="547">
      <x:c r="A547" t="inlineStr">
        <x:is>
          <x:t xml:space="preserve">alibaba|qwen3.8-27b|medium|reasoning|fallback-na|aa-v4.3.2|snapshot-2026-09-28</x:t>
        </x:is>
      </x:c>
      <x:c r="B547" t="inlineStr">
        <x:is>
          <x:t xml:space="preserve">alibaba|qwen3.8-27b|medium|reasoning|fallback-na</x:t>
        </x:is>
      </x:c>
      <x:c r="C547" t="inlineStr">
        <x:is>
          <x:t xml:space="preserve">AA|v4.3.2</x:t>
        </x:is>
      </x:c>
      <x:c r="D547" t="n">
        <x:v>70</x:v>
      </x:c>
      <x:c r="E547" t="n">
        <x:v>30</x:v>
      </x:c>
      <x:c r="F547" t="n">
        <x:f>INDEX(Run_Metrics!$F:$F,D547)</x:f>
        <x:v>28</x:v>
      </x:c>
      <x:c r="G547" t="str">
        <x:f>INDEX(Run_Metrics!$G:$G,D547)</x:f>
      </x:c>
      <x:c r="H547" t="str">
        <x:f>INDEX(Run_Metrics!$I:$I,D547)</x:f>
      </x:c>
      <x:c r="I547" t="n">
        <x:f>IF(F547="","",F547-(E547-1))</x:f>
        <x:v>-1</x:v>
      </x:c>
      <x:c r="J547" t="n">
        <x:f>IF(I547&gt;0,1,0)</x:f>
        <x:v>0</x:v>
      </x:c>
      <x:c r="K547" t="str">
        <x:f>IF(OR(J547=0,G547="",G547=0),"",I547/G547)</x:f>
      </x:c>
      <x:c r="L547" t="str">
        <x:f>IF(OR(J547=0,I547=0,G547=""),"",G547/I547)</x:f>
      </x:c>
      <x:c r="M547" t="str">
        <x:f>IF(OR(J547=0,G547="",H547="",G547=0,H547=0),"",I547/(G547*H547))</x:f>
      </x:c>
      <x:c r="N547" t="str">
        <x:f>IF(K547="","",K547/_xlfn.MAXIFS($K:$K,$E:$E,E547))</x:f>
      </x:c>
      <x:c r="O547" t="str">
        <x:f>IF(M547="","",M547/_xlfn.MAXIFS($M:$M,$E:$E,E547))</x:f>
      </x:c>
      <x:c r="P547" t="str">
        <x:f>IF(OR(N547="",O547=""),"",SQRT(N547*O547))</x:f>
      </x:c>
      <x:c r="Q547" t="str">
        <x:f>IF(OR(N547="",O547=""),"",N547^0.7*O547^0.3)</x:f>
      </x:c>
      <x:c r="R547" t="str">
        <x:f>IF(OR(N547="",O547=""),"",N547^0.3*O547^0.7)</x:f>
      </x:c>
    </x:row>
    <x:row r="548">
      <x:c r="A548" t="inlineStr">
        <x:is>
          <x:t xml:space="preserve">alibaba|qwen3.8-27b|medium|reasoning|fallback-na|aa-v4.3.2|snapshot-2026-09-28</x:t>
        </x:is>
      </x:c>
      <x:c r="B548" t="inlineStr">
        <x:is>
          <x:t xml:space="preserve">alibaba|qwen3.8-27b|medium|reasoning|fallback-na</x:t>
        </x:is>
      </x:c>
      <x:c r="C548" t="inlineStr">
        <x:is>
          <x:t xml:space="preserve">AA|v4.3.2</x:t>
        </x:is>
      </x:c>
      <x:c r="D548" t="n">
        <x:v>70</x:v>
      </x:c>
      <x:c r="E548" t="n">
        <x:v>40</x:v>
      </x:c>
      <x:c r="F548" t="n">
        <x:f>INDEX(Run_Metrics!$F:$F,D548)</x:f>
        <x:v>28</x:v>
      </x:c>
      <x:c r="G548" t="str">
        <x:f>INDEX(Run_Metrics!$G:$G,D548)</x:f>
      </x:c>
      <x:c r="H548" t="str">
        <x:f>INDEX(Run_Metrics!$I:$I,D548)</x:f>
      </x:c>
      <x:c r="I548" t="n">
        <x:f>IF(F548="","",F548-(E548-1))</x:f>
        <x:v>-11</x:v>
      </x:c>
      <x:c r="J548" t="n">
        <x:f>IF(I548&gt;0,1,0)</x:f>
        <x:v>0</x:v>
      </x:c>
      <x:c r="K548" t="str">
        <x:f>IF(OR(J548=0,G548="",G548=0),"",I548/G548)</x:f>
      </x:c>
      <x:c r="L548" t="str">
        <x:f>IF(OR(J548=0,I548=0,G548=""),"",G548/I548)</x:f>
      </x:c>
      <x:c r="M548" t="str">
        <x:f>IF(OR(J548=0,G548="",H548="",G548=0,H548=0),"",I548/(G548*H548))</x:f>
      </x:c>
      <x:c r="N548" t="str">
        <x:f>IF(K548="","",K548/_xlfn.MAXIFS($K:$K,$E:$E,E548))</x:f>
      </x:c>
      <x:c r="O548" t="str">
        <x:f>IF(M548="","",M548/_xlfn.MAXIFS($M:$M,$E:$E,E548))</x:f>
      </x:c>
      <x:c r="P548" t="str">
        <x:f>IF(OR(N548="",O548=""),"",SQRT(N548*O548))</x:f>
      </x:c>
      <x:c r="Q548" t="str">
        <x:f>IF(OR(N548="",O548=""),"",N548^0.7*O548^0.3)</x:f>
      </x:c>
      <x:c r="R548" t="str">
        <x:f>IF(OR(N548="",O548=""),"",N548^0.3*O548^0.7)</x:f>
      </x:c>
    </x:row>
    <x:row r="549">
      <x:c r="A549" t="inlineStr">
        <x:is>
          <x:t xml:space="preserve">alibaba|qwen3.8-27b|medium|reasoning|fallback-na|aa-v4.3.2|snapshot-2026-09-28</x:t>
        </x:is>
      </x:c>
      <x:c r="B549" t="inlineStr">
        <x:is>
          <x:t xml:space="preserve">alibaba|qwen3.8-27b|medium|reasoning|fallback-na</x:t>
        </x:is>
      </x:c>
      <x:c r="C549" t="inlineStr">
        <x:is>
          <x:t xml:space="preserve">AA|v4.3.2</x:t>
        </x:is>
      </x:c>
      <x:c r="D549" t="n">
        <x:v>70</x:v>
      </x:c>
      <x:c r="E549" t="n">
        <x:v>45</x:v>
      </x:c>
      <x:c r="F549" t="n">
        <x:f>INDEX(Run_Metrics!$F:$F,D549)</x:f>
        <x:v>28</x:v>
      </x:c>
      <x:c r="G549" t="str">
        <x:f>INDEX(Run_Metrics!$G:$G,D549)</x:f>
      </x:c>
      <x:c r="H549" t="str">
        <x:f>INDEX(Run_Metrics!$I:$I,D549)</x:f>
      </x:c>
      <x:c r="I549" t="n">
        <x:f>IF(F549="","",F549-(E549-1))</x:f>
        <x:v>-16</x:v>
      </x:c>
      <x:c r="J549" t="n">
        <x:f>IF(I549&gt;0,1,0)</x:f>
        <x:v>0</x:v>
      </x:c>
      <x:c r="K549" t="str">
        <x:f>IF(OR(J549=0,G549="",G549=0),"",I549/G549)</x:f>
      </x:c>
      <x:c r="L549" t="str">
        <x:f>IF(OR(J549=0,I549=0,G549=""),"",G549/I549)</x:f>
      </x:c>
      <x:c r="M549" t="str">
        <x:f>IF(OR(J549=0,G549="",H549="",G549=0,H549=0),"",I549/(G549*H549))</x:f>
      </x:c>
      <x:c r="N549" t="str">
        <x:f>IF(K549="","",K549/_xlfn.MAXIFS($K:$K,$E:$E,E549))</x:f>
      </x:c>
      <x:c r="O549" t="str">
        <x:f>IF(M549="","",M549/_xlfn.MAXIFS($M:$M,$E:$E,E549))</x:f>
      </x:c>
      <x:c r="P549" t="str">
        <x:f>IF(OR(N549="",O549=""),"",SQRT(N549*O549))</x:f>
      </x:c>
      <x:c r="Q549" t="str">
        <x:f>IF(OR(N549="",O549=""),"",N549^0.7*O549^0.3)</x:f>
      </x:c>
      <x:c r="R549" t="str">
        <x:f>IF(OR(N549="",O549=""),"",N549^0.3*O549^0.7)</x:f>
      </x:c>
    </x:row>
    <x:row r="550">
      <x:c r="A550" t="inlineStr">
        <x:is>
          <x:t xml:space="preserve">alibaba|qwen3.8-27b|medium|reasoning|fallback-na|aa-v4.3.2|snapshot-2026-09-28</x:t>
        </x:is>
      </x:c>
      <x:c r="B550" t="inlineStr">
        <x:is>
          <x:t xml:space="preserve">alibaba|qwen3.8-27b|medium|reasoning|fallback-na</x:t>
        </x:is>
      </x:c>
      <x:c r="C550" t="inlineStr">
        <x:is>
          <x:t xml:space="preserve">AA|v4.3.2</x:t>
        </x:is>
      </x:c>
      <x:c r="D550" t="n">
        <x:v>70</x:v>
      </x:c>
      <x:c r="E550" t="n">
        <x:v>50</x:v>
      </x:c>
      <x:c r="F550" t="n">
        <x:f>INDEX(Run_Metrics!$F:$F,D550)</x:f>
        <x:v>28</x:v>
      </x:c>
      <x:c r="G550" t="str">
        <x:f>INDEX(Run_Metrics!$G:$G,D550)</x:f>
      </x:c>
      <x:c r="H550" t="str">
        <x:f>INDEX(Run_Metrics!$I:$I,D550)</x:f>
      </x:c>
      <x:c r="I550" t="n">
        <x:f>IF(F550="","",F550-(E550-1))</x:f>
        <x:v>-21</x:v>
      </x:c>
      <x:c r="J550" t="n">
        <x:f>IF(I550&gt;0,1,0)</x:f>
        <x:v>0</x:v>
      </x:c>
      <x:c r="K550" t="str">
        <x:f>IF(OR(J550=0,G550="",G550=0),"",I550/G550)</x:f>
      </x:c>
      <x:c r="L550" t="str">
        <x:f>IF(OR(J550=0,I550=0,G550=""),"",G550/I550)</x:f>
      </x:c>
      <x:c r="M550" t="str">
        <x:f>IF(OR(J550=0,G550="",H550="",G550=0,H550=0),"",I550/(G550*H550))</x:f>
      </x:c>
      <x:c r="N550" t="str">
        <x:f>IF(K550="","",K550/_xlfn.MAXIFS($K:$K,$E:$E,E550))</x:f>
      </x:c>
      <x:c r="O550" t="str">
        <x:f>IF(M550="","",M550/_xlfn.MAXIFS($M:$M,$E:$E,E550))</x:f>
      </x:c>
      <x:c r="P550" t="str">
        <x:f>IF(OR(N550="",O550=""),"",SQRT(N550*O550))</x:f>
      </x:c>
      <x:c r="Q550" t="str">
        <x:f>IF(OR(N550="",O550=""),"",N550^0.7*O550^0.3)</x:f>
      </x:c>
      <x:c r="R550" t="str">
        <x:f>IF(OR(N550="",O550=""),"",N550^0.3*O550^0.7)</x:f>
      </x:c>
    </x:row>
    <x:row r="551">
      <x:c r="A551" t="inlineStr">
        <x:is>
          <x:t xml:space="preserve">alibaba|qwen3.8-27b|medium|reasoning|fallback-na|aa-v4.3.2|snapshot-2026-09-28</x:t>
        </x:is>
      </x:c>
      <x:c r="B551" t="inlineStr">
        <x:is>
          <x:t xml:space="preserve">alibaba|qwen3.8-27b|medium|reasoning|fallback-na</x:t>
        </x:is>
      </x:c>
      <x:c r="C551" t="inlineStr">
        <x:is>
          <x:t xml:space="preserve">AA|v4.3.2</x:t>
        </x:is>
      </x:c>
      <x:c r="D551" t="n">
        <x:v>70</x:v>
      </x:c>
      <x:c r="E551" t="n">
        <x:v>52</x:v>
      </x:c>
      <x:c r="F551" t="n">
        <x:f>INDEX(Run_Metrics!$F:$F,D551)</x:f>
        <x:v>28</x:v>
      </x:c>
      <x:c r="G551" t="str">
        <x:f>INDEX(Run_Metrics!$G:$G,D551)</x:f>
      </x:c>
      <x:c r="H551" t="str">
        <x:f>INDEX(Run_Metrics!$I:$I,D551)</x:f>
      </x:c>
      <x:c r="I551" t="n">
        <x:f>IF(F551="","",F551-(E551-1))</x:f>
        <x:v>-23</x:v>
      </x:c>
      <x:c r="J551" t="n">
        <x:f>IF(I551&gt;0,1,0)</x:f>
        <x:v>0</x:v>
      </x:c>
      <x:c r="K551" t="str">
        <x:f>IF(OR(J551=0,G551="",G551=0),"",I551/G551)</x:f>
      </x:c>
      <x:c r="L551" t="str">
        <x:f>IF(OR(J551=0,I551=0,G551=""),"",G551/I551)</x:f>
      </x:c>
      <x:c r="M551" t="str">
        <x:f>IF(OR(J551=0,G551="",H551="",G551=0,H551=0),"",I551/(G551*H551))</x:f>
      </x:c>
      <x:c r="N551" t="str">
        <x:f>IF(K551="","",K551/_xlfn.MAXIFS($K:$K,$E:$E,E551))</x:f>
      </x:c>
      <x:c r="O551" t="str">
        <x:f>IF(M551="","",M551/_xlfn.MAXIFS($M:$M,$E:$E,E551))</x:f>
      </x:c>
      <x:c r="P551" t="str">
        <x:f>IF(OR(N551="",O551=""),"",SQRT(N551*O551))</x:f>
      </x:c>
      <x:c r="Q551" t="str">
        <x:f>IF(OR(N551="",O551=""),"",N551^0.7*O551^0.3)</x:f>
      </x:c>
      <x:c r="R551" t="str">
        <x:f>IF(OR(N551="",O551=""),"",N551^0.3*O551^0.7)</x:f>
      </x:c>
    </x:row>
    <x:row r="552">
      <x:c r="A552" t="inlineStr">
        <x:is>
          <x:t xml:space="preserve">alibaba|qwen3.8-27b|medium|reasoning|fallback-na|aa-v4.3.2|snapshot-2026-09-28</x:t>
        </x:is>
      </x:c>
      <x:c r="B552" t="inlineStr">
        <x:is>
          <x:t xml:space="preserve">alibaba|qwen3.8-27b|medium|reasoning|fallback-na</x:t>
        </x:is>
      </x:c>
      <x:c r="C552" t="inlineStr">
        <x:is>
          <x:t xml:space="preserve">AA|v4.3.2</x:t>
        </x:is>
      </x:c>
      <x:c r="D552" t="n">
        <x:v>70</x:v>
      </x:c>
      <x:c r="E552" t="n">
        <x:v>65</x:v>
      </x:c>
      <x:c r="F552" t="n">
        <x:f>INDEX(Run_Metrics!$F:$F,D552)</x:f>
        <x:v>28</x:v>
      </x:c>
      <x:c r="G552" t="str">
        <x:f>INDEX(Run_Metrics!$G:$G,D552)</x:f>
      </x:c>
      <x:c r="H552" t="str">
        <x:f>INDEX(Run_Metrics!$I:$I,D552)</x:f>
      </x:c>
      <x:c r="I552" t="n">
        <x:f>IF(F552="","",F552-(E552-1))</x:f>
        <x:v>-36</x:v>
      </x:c>
      <x:c r="J552" t="n">
        <x:f>IF(I552&gt;0,1,0)</x:f>
        <x:v>0</x:v>
      </x:c>
      <x:c r="K552" t="str">
        <x:f>IF(OR(J552=0,G552="",G552=0),"",I552/G552)</x:f>
      </x:c>
      <x:c r="L552" t="str">
        <x:f>IF(OR(J552=0,I552=0,G552=""),"",G552/I552)</x:f>
      </x:c>
      <x:c r="M552" t="str">
        <x:f>IF(OR(J552=0,G552="",H552="",G552=0,H552=0),"",I552/(G552*H552))</x:f>
      </x:c>
      <x:c r="N552" t="str">
        <x:f>IF(K552="","",K552/_xlfn.MAXIFS($K:$K,$E:$E,E552))</x:f>
      </x:c>
      <x:c r="O552" t="str">
        <x:f>IF(M552="","",M552/_xlfn.MAXIFS($M:$M,$E:$E,E552))</x:f>
      </x:c>
      <x:c r="P552" t="str">
        <x:f>IF(OR(N552="",O552=""),"",SQRT(N552*O552))</x:f>
      </x:c>
      <x:c r="Q552" t="str">
        <x:f>IF(OR(N552="",O552=""),"",N552^0.7*O552^0.3)</x:f>
      </x:c>
      <x:c r="R552" t="str">
        <x:f>IF(OR(N552="",O552=""),"",N552^0.3*O552^0.7)</x:f>
      </x:c>
    </x:row>
    <x:row r="553">
      <x:c r="A553" t="inlineStr">
        <x:is>
          <x:t xml:space="preserve">alibaba|qwen3.8-27b|medium|reasoning|fallback-na|aa-v4.3.2|snapshot-2026-09-28</x:t>
        </x:is>
      </x:c>
      <x:c r="B553" t="inlineStr">
        <x:is>
          <x:t xml:space="preserve">alibaba|qwen3.8-27b|medium|reasoning|fallback-na</x:t>
        </x:is>
      </x:c>
      <x:c r="C553" t="inlineStr">
        <x:is>
          <x:t xml:space="preserve">AA|v4.3.2</x:t>
        </x:is>
      </x:c>
      <x:c r="D553" t="n">
        <x:v>70</x:v>
      </x:c>
      <x:c r="E553" t="n">
        <x:v>80</x:v>
      </x:c>
      <x:c r="F553" t="n">
        <x:f>INDEX(Run_Metrics!$F:$F,D553)</x:f>
        <x:v>28</x:v>
      </x:c>
      <x:c r="G553" t="str">
        <x:f>INDEX(Run_Metrics!$G:$G,D553)</x:f>
      </x:c>
      <x:c r="H553" t="str">
        <x:f>INDEX(Run_Metrics!$I:$I,D553)</x:f>
      </x:c>
      <x:c r="I553" t="n">
        <x:f>IF(F553="","",F553-(E553-1))</x:f>
        <x:v>-51</x:v>
      </x:c>
      <x:c r="J553" t="n">
        <x:f>IF(I553&gt;0,1,0)</x:f>
        <x:v>0</x:v>
      </x:c>
      <x:c r="K553" t="str">
        <x:f>IF(OR(J553=0,G553="",G553=0),"",I553/G553)</x:f>
      </x:c>
      <x:c r="L553" t="str">
        <x:f>IF(OR(J553=0,I553=0,G553=""),"",G553/I553)</x:f>
      </x:c>
      <x:c r="M553" t="str">
        <x:f>IF(OR(J553=0,G553="",H553="",G553=0,H553=0),"",I553/(G553*H553))</x:f>
      </x:c>
      <x:c r="N553" t="str">
        <x:f>IF(K553="","",K553/_xlfn.MAXIFS($K:$K,$E:$E,E553))</x:f>
      </x:c>
      <x:c r="O553" t="str">
        <x:f>IF(M553="","",M553/_xlfn.MAXIFS($M:$M,$E:$E,E553))</x:f>
      </x:c>
      <x:c r="P553" t="str">
        <x:f>IF(OR(N553="",O553=""),"",SQRT(N553*O553))</x:f>
      </x:c>
      <x:c r="Q553" t="str">
        <x:f>IF(OR(N553="",O553=""),"",N553^0.7*O553^0.3)</x:f>
      </x:c>
      <x:c r="R553" t="str">
        <x:f>IF(OR(N553="",O553=""),"",N553^0.3*O553^0.7)</x:f>
      </x:c>
    </x:row>
    <x:row r="554">
      <x:c r="A554" t="inlineStr">
        <x:is>
          <x:t xml:space="preserve">alibaba|qwen3.8-27b|xhigh|reasoning|fallback-na|aa-v4.3.2|snapshot-2026-09-28</x:t>
        </x:is>
      </x:c>
      <x:c r="B554" t="inlineStr">
        <x:is>
          <x:t xml:space="preserve">alibaba|qwen3.8-27b|xhigh|reasoning|fallback-na</x:t>
        </x:is>
      </x:c>
      <x:c r="C554" t="inlineStr">
        <x:is>
          <x:t xml:space="preserve">AA|v4.3.2</x:t>
        </x:is>
      </x:c>
      <x:c r="D554" t="n">
        <x:v>71</x:v>
      </x:c>
      <x:c r="E554" t="n">
        <x:v>20</x:v>
      </x:c>
      <x:c r="F554" t="n">
        <x:f>INDEX(Run_Metrics!$F:$F,D554)</x:f>
        <x:v>34</x:v>
      </x:c>
      <x:c r="G554" t="str">
        <x:f>INDEX(Run_Metrics!$G:$G,D554)</x:f>
      </x:c>
      <x:c r="H554" t="str">
        <x:f>INDEX(Run_Metrics!$I:$I,D554)</x:f>
      </x:c>
      <x:c r="I554" t="n">
        <x:f>IF(F554="","",F554-(E554-1))</x:f>
        <x:v>15</x:v>
      </x:c>
      <x:c r="J554" t="n">
        <x:f>IF(I554&gt;0,1,0)</x:f>
        <x:v>1</x:v>
      </x:c>
      <x:c r="K554" t="str">
        <x:f>IF(OR(J554=0,G554="",G554=0),"",I554/G554)</x:f>
      </x:c>
      <x:c r="L554" t="str">
        <x:f>IF(OR(J554=0,I554=0,G554=""),"",G554/I554)</x:f>
      </x:c>
      <x:c r="M554" t="str">
        <x:f>IF(OR(J554=0,G554="",H554="",G554=0,H554=0),"",I554/(G554*H554))</x:f>
      </x:c>
      <x:c r="N554" t="str">
        <x:f>IF(K554="","",K554/_xlfn.MAXIFS($K:$K,$E:$E,E554))</x:f>
      </x:c>
      <x:c r="O554" t="str">
        <x:f>IF(M554="","",M554/_xlfn.MAXIFS($M:$M,$E:$E,E554))</x:f>
      </x:c>
      <x:c r="P554" t="str">
        <x:f>IF(OR(N554="",O554=""),"",SQRT(N554*O554))</x:f>
      </x:c>
      <x:c r="Q554" t="str">
        <x:f>IF(OR(N554="",O554=""),"",N554^0.7*O554^0.3)</x:f>
      </x:c>
      <x:c r="R554" t="str">
        <x:f>IF(OR(N554="",O554=""),"",N554^0.3*O554^0.7)</x:f>
      </x:c>
    </x:row>
    <x:row r="555">
      <x:c r="A555" t="inlineStr">
        <x:is>
          <x:t xml:space="preserve">alibaba|qwen3.8-27b|xhigh|reasoning|fallback-na|aa-v4.3.2|snapshot-2026-09-28</x:t>
        </x:is>
      </x:c>
      <x:c r="B555" t="inlineStr">
        <x:is>
          <x:t xml:space="preserve">alibaba|qwen3.8-27b|xhigh|reasoning|fallback-na</x:t>
        </x:is>
      </x:c>
      <x:c r="C555" t="inlineStr">
        <x:is>
          <x:t xml:space="preserve">AA|v4.3.2</x:t>
        </x:is>
      </x:c>
      <x:c r="D555" t="n">
        <x:v>71</x:v>
      </x:c>
      <x:c r="E555" t="n">
        <x:v>30</x:v>
      </x:c>
      <x:c r="F555" t="n">
        <x:f>INDEX(Run_Metrics!$F:$F,D555)</x:f>
        <x:v>34</x:v>
      </x:c>
      <x:c r="G555" t="str">
        <x:f>INDEX(Run_Metrics!$G:$G,D555)</x:f>
      </x:c>
      <x:c r="H555" t="str">
        <x:f>INDEX(Run_Metrics!$I:$I,D555)</x:f>
      </x:c>
      <x:c r="I555" t="n">
        <x:f>IF(F555="","",F555-(E555-1))</x:f>
        <x:v>5</x:v>
      </x:c>
      <x:c r="J555" t="n">
        <x:f>IF(I555&gt;0,1,0)</x:f>
        <x:v>1</x:v>
      </x:c>
      <x:c r="K555" t="str">
        <x:f>IF(OR(J555=0,G555="",G555=0),"",I555/G555)</x:f>
      </x:c>
      <x:c r="L555" t="str">
        <x:f>IF(OR(J555=0,I555=0,G555=""),"",G555/I555)</x:f>
      </x:c>
      <x:c r="M555" t="str">
        <x:f>IF(OR(J555=0,G555="",H555="",G555=0,H555=0),"",I555/(G555*H555))</x:f>
      </x:c>
      <x:c r="N555" t="str">
        <x:f>IF(K555="","",K555/_xlfn.MAXIFS($K:$K,$E:$E,E555))</x:f>
      </x:c>
      <x:c r="O555" t="str">
        <x:f>IF(M555="","",M555/_xlfn.MAXIFS($M:$M,$E:$E,E555))</x:f>
      </x:c>
      <x:c r="P555" t="str">
        <x:f>IF(OR(N555="",O555=""),"",SQRT(N555*O555))</x:f>
      </x:c>
      <x:c r="Q555" t="str">
        <x:f>IF(OR(N555="",O555=""),"",N555^0.7*O555^0.3)</x:f>
      </x:c>
      <x:c r="R555" t="str">
        <x:f>IF(OR(N555="",O555=""),"",N555^0.3*O555^0.7)</x:f>
      </x:c>
    </x:row>
    <x:row r="556">
      <x:c r="A556" t="inlineStr">
        <x:is>
          <x:t xml:space="preserve">alibaba|qwen3.8-27b|xhigh|reasoning|fallback-na|aa-v4.3.2|snapshot-2026-09-28</x:t>
        </x:is>
      </x:c>
      <x:c r="B556" t="inlineStr">
        <x:is>
          <x:t xml:space="preserve">alibaba|qwen3.8-27b|xhigh|reasoning|fallback-na</x:t>
        </x:is>
      </x:c>
      <x:c r="C556" t="inlineStr">
        <x:is>
          <x:t xml:space="preserve">AA|v4.3.2</x:t>
        </x:is>
      </x:c>
      <x:c r="D556" t="n">
        <x:v>71</x:v>
      </x:c>
      <x:c r="E556" t="n">
        <x:v>40</x:v>
      </x:c>
      <x:c r="F556" t="n">
        <x:f>INDEX(Run_Metrics!$F:$F,D556)</x:f>
        <x:v>34</x:v>
      </x:c>
      <x:c r="G556" t="str">
        <x:f>INDEX(Run_Metrics!$G:$G,D556)</x:f>
      </x:c>
      <x:c r="H556" t="str">
        <x:f>INDEX(Run_Metrics!$I:$I,D556)</x:f>
      </x:c>
      <x:c r="I556" t="n">
        <x:f>IF(F556="","",F556-(E556-1))</x:f>
        <x:v>-5</x:v>
      </x:c>
      <x:c r="J556" t="n">
        <x:f>IF(I556&gt;0,1,0)</x:f>
        <x:v>0</x:v>
      </x:c>
      <x:c r="K556" t="str">
        <x:f>IF(OR(J556=0,G556="",G556=0),"",I556/G556)</x:f>
      </x:c>
      <x:c r="L556" t="str">
        <x:f>IF(OR(J556=0,I556=0,G556=""),"",G556/I556)</x:f>
      </x:c>
      <x:c r="M556" t="str">
        <x:f>IF(OR(J556=0,G556="",H556="",G556=0,H556=0),"",I556/(G556*H556))</x:f>
      </x:c>
      <x:c r="N556" t="str">
        <x:f>IF(K556="","",K556/_xlfn.MAXIFS($K:$K,$E:$E,E556))</x:f>
      </x:c>
      <x:c r="O556" t="str">
        <x:f>IF(M556="","",M556/_xlfn.MAXIFS($M:$M,$E:$E,E556))</x:f>
      </x:c>
      <x:c r="P556" t="str">
        <x:f>IF(OR(N556="",O556=""),"",SQRT(N556*O556))</x:f>
      </x:c>
      <x:c r="Q556" t="str">
        <x:f>IF(OR(N556="",O556=""),"",N556^0.7*O556^0.3)</x:f>
      </x:c>
      <x:c r="R556" t="str">
        <x:f>IF(OR(N556="",O556=""),"",N556^0.3*O556^0.7)</x:f>
      </x:c>
    </x:row>
    <x:row r="557">
      <x:c r="A557" t="inlineStr">
        <x:is>
          <x:t xml:space="preserve">alibaba|qwen3.8-27b|xhigh|reasoning|fallback-na|aa-v4.3.2|snapshot-2026-09-28</x:t>
        </x:is>
      </x:c>
      <x:c r="B557" t="inlineStr">
        <x:is>
          <x:t xml:space="preserve">alibaba|qwen3.8-27b|xhigh|reasoning|fallback-na</x:t>
        </x:is>
      </x:c>
      <x:c r="C557" t="inlineStr">
        <x:is>
          <x:t xml:space="preserve">AA|v4.3.2</x:t>
        </x:is>
      </x:c>
      <x:c r="D557" t="n">
        <x:v>71</x:v>
      </x:c>
      <x:c r="E557" t="n">
        <x:v>45</x:v>
      </x:c>
      <x:c r="F557" t="n">
        <x:f>INDEX(Run_Metrics!$F:$F,D557)</x:f>
        <x:v>34</x:v>
      </x:c>
      <x:c r="G557" t="str">
        <x:f>INDEX(Run_Metrics!$G:$G,D557)</x:f>
      </x:c>
      <x:c r="H557" t="str">
        <x:f>INDEX(Run_Metrics!$I:$I,D557)</x:f>
      </x:c>
      <x:c r="I557" t="n">
        <x:f>IF(F557="","",F557-(E557-1))</x:f>
        <x:v>-10</x:v>
      </x:c>
      <x:c r="J557" t="n">
        <x:f>IF(I557&gt;0,1,0)</x:f>
        <x:v>0</x:v>
      </x:c>
      <x:c r="K557" t="str">
        <x:f>IF(OR(J557=0,G557="",G557=0),"",I557/G557)</x:f>
      </x:c>
      <x:c r="L557" t="str">
        <x:f>IF(OR(J557=0,I557=0,G557=""),"",G557/I557)</x:f>
      </x:c>
      <x:c r="M557" t="str">
        <x:f>IF(OR(J557=0,G557="",H557="",G557=0,H557=0),"",I557/(G557*H557))</x:f>
      </x:c>
      <x:c r="N557" t="str">
        <x:f>IF(K557="","",K557/_xlfn.MAXIFS($K:$K,$E:$E,E557))</x:f>
      </x:c>
      <x:c r="O557" t="str">
        <x:f>IF(M557="","",M557/_xlfn.MAXIFS($M:$M,$E:$E,E557))</x:f>
      </x:c>
      <x:c r="P557" t="str">
        <x:f>IF(OR(N557="",O557=""),"",SQRT(N557*O557))</x:f>
      </x:c>
      <x:c r="Q557" t="str">
        <x:f>IF(OR(N557="",O557=""),"",N557^0.7*O557^0.3)</x:f>
      </x:c>
      <x:c r="R557" t="str">
        <x:f>IF(OR(N557="",O557=""),"",N557^0.3*O557^0.7)</x:f>
      </x:c>
    </x:row>
    <x:row r="558">
      <x:c r="A558" t="inlineStr">
        <x:is>
          <x:t xml:space="preserve">alibaba|qwen3.8-27b|xhigh|reasoning|fallback-na|aa-v4.3.2|snapshot-2026-09-28</x:t>
        </x:is>
      </x:c>
      <x:c r="B558" t="inlineStr">
        <x:is>
          <x:t xml:space="preserve">alibaba|qwen3.8-27b|xhigh|reasoning|fallback-na</x:t>
        </x:is>
      </x:c>
      <x:c r="C558" t="inlineStr">
        <x:is>
          <x:t xml:space="preserve">AA|v4.3.2</x:t>
        </x:is>
      </x:c>
      <x:c r="D558" t="n">
        <x:v>71</x:v>
      </x:c>
      <x:c r="E558" t="n">
        <x:v>50</x:v>
      </x:c>
      <x:c r="F558" t="n">
        <x:f>INDEX(Run_Metrics!$F:$F,D558)</x:f>
        <x:v>34</x:v>
      </x:c>
      <x:c r="G558" t="str">
        <x:f>INDEX(Run_Metrics!$G:$G,D558)</x:f>
      </x:c>
      <x:c r="H558" t="str">
        <x:f>INDEX(Run_Metrics!$I:$I,D558)</x:f>
      </x:c>
      <x:c r="I558" t="n">
        <x:f>IF(F558="","",F558-(E558-1))</x:f>
        <x:v>-15</x:v>
      </x:c>
      <x:c r="J558" t="n">
        <x:f>IF(I558&gt;0,1,0)</x:f>
        <x:v>0</x:v>
      </x:c>
      <x:c r="K558" t="str">
        <x:f>IF(OR(J558=0,G558="",G558=0),"",I558/G558)</x:f>
      </x:c>
      <x:c r="L558" t="str">
        <x:f>IF(OR(J558=0,I558=0,G558=""),"",G558/I558)</x:f>
      </x:c>
      <x:c r="M558" t="str">
        <x:f>IF(OR(J558=0,G558="",H558="",G558=0,H558=0),"",I558/(G558*H558))</x:f>
      </x:c>
      <x:c r="N558" t="str">
        <x:f>IF(K558="","",K558/_xlfn.MAXIFS($K:$K,$E:$E,E558))</x:f>
      </x:c>
      <x:c r="O558" t="str">
        <x:f>IF(M558="","",M558/_xlfn.MAXIFS($M:$M,$E:$E,E558))</x:f>
      </x:c>
      <x:c r="P558" t="str">
        <x:f>IF(OR(N558="",O558=""),"",SQRT(N558*O558))</x:f>
      </x:c>
      <x:c r="Q558" t="str">
        <x:f>IF(OR(N558="",O558=""),"",N558^0.7*O558^0.3)</x:f>
      </x:c>
      <x:c r="R558" t="str">
        <x:f>IF(OR(N558="",O558=""),"",N558^0.3*O558^0.7)</x:f>
      </x:c>
    </x:row>
    <x:row r="559">
      <x:c r="A559" t="inlineStr">
        <x:is>
          <x:t xml:space="preserve">alibaba|qwen3.8-27b|xhigh|reasoning|fallback-na|aa-v4.3.2|snapshot-2026-09-28</x:t>
        </x:is>
      </x:c>
      <x:c r="B559" t="inlineStr">
        <x:is>
          <x:t xml:space="preserve">alibaba|qwen3.8-27b|xhigh|reasoning|fallback-na</x:t>
        </x:is>
      </x:c>
      <x:c r="C559" t="inlineStr">
        <x:is>
          <x:t xml:space="preserve">AA|v4.3.2</x:t>
        </x:is>
      </x:c>
      <x:c r="D559" t="n">
        <x:v>71</x:v>
      </x:c>
      <x:c r="E559" t="n">
        <x:v>52</x:v>
      </x:c>
      <x:c r="F559" t="n">
        <x:f>INDEX(Run_Metrics!$F:$F,D559)</x:f>
        <x:v>34</x:v>
      </x:c>
      <x:c r="G559" t="str">
        <x:f>INDEX(Run_Metrics!$G:$G,D559)</x:f>
      </x:c>
      <x:c r="H559" t="str">
        <x:f>INDEX(Run_Metrics!$I:$I,D559)</x:f>
      </x:c>
      <x:c r="I559" t="n">
        <x:f>IF(F559="","",F559-(E559-1))</x:f>
        <x:v>-17</x:v>
      </x:c>
      <x:c r="J559" t="n">
        <x:f>IF(I559&gt;0,1,0)</x:f>
        <x:v>0</x:v>
      </x:c>
      <x:c r="K559" t="str">
        <x:f>IF(OR(J559=0,G559="",G559=0),"",I559/G559)</x:f>
      </x:c>
      <x:c r="L559" t="str">
        <x:f>IF(OR(J559=0,I559=0,G559=""),"",G559/I559)</x:f>
      </x:c>
      <x:c r="M559" t="str">
        <x:f>IF(OR(J559=0,G559="",H559="",G559=0,H559=0),"",I559/(G559*H559))</x:f>
      </x:c>
      <x:c r="N559" t="str">
        <x:f>IF(K559="","",K559/_xlfn.MAXIFS($K:$K,$E:$E,E559))</x:f>
      </x:c>
      <x:c r="O559" t="str">
        <x:f>IF(M559="","",M559/_xlfn.MAXIFS($M:$M,$E:$E,E559))</x:f>
      </x:c>
      <x:c r="P559" t="str">
        <x:f>IF(OR(N559="",O559=""),"",SQRT(N559*O559))</x:f>
      </x:c>
      <x:c r="Q559" t="str">
        <x:f>IF(OR(N559="",O559=""),"",N559^0.7*O559^0.3)</x:f>
      </x:c>
      <x:c r="R559" t="str">
        <x:f>IF(OR(N559="",O559=""),"",N559^0.3*O559^0.7)</x:f>
      </x:c>
    </x:row>
    <x:row r="560">
      <x:c r="A560" t="inlineStr">
        <x:is>
          <x:t xml:space="preserve">alibaba|qwen3.8-27b|xhigh|reasoning|fallback-na|aa-v4.3.2|snapshot-2026-09-28</x:t>
        </x:is>
      </x:c>
      <x:c r="B560" t="inlineStr">
        <x:is>
          <x:t xml:space="preserve">alibaba|qwen3.8-27b|xhigh|reasoning|fallback-na</x:t>
        </x:is>
      </x:c>
      <x:c r="C560" t="inlineStr">
        <x:is>
          <x:t xml:space="preserve">AA|v4.3.2</x:t>
        </x:is>
      </x:c>
      <x:c r="D560" t="n">
        <x:v>71</x:v>
      </x:c>
      <x:c r="E560" t="n">
        <x:v>65</x:v>
      </x:c>
      <x:c r="F560" t="n">
        <x:f>INDEX(Run_Metrics!$F:$F,D560)</x:f>
        <x:v>34</x:v>
      </x:c>
      <x:c r="G560" t="str">
        <x:f>INDEX(Run_Metrics!$G:$G,D560)</x:f>
      </x:c>
      <x:c r="H560" t="str">
        <x:f>INDEX(Run_Metrics!$I:$I,D560)</x:f>
      </x:c>
      <x:c r="I560" t="n">
        <x:f>IF(F560="","",F560-(E560-1))</x:f>
        <x:v>-30</x:v>
      </x:c>
      <x:c r="J560" t="n">
        <x:f>IF(I560&gt;0,1,0)</x:f>
        <x:v>0</x:v>
      </x:c>
      <x:c r="K560" t="str">
        <x:f>IF(OR(J560=0,G560="",G560=0),"",I560/G560)</x:f>
      </x:c>
      <x:c r="L560" t="str">
        <x:f>IF(OR(J560=0,I560=0,G560=""),"",G560/I560)</x:f>
      </x:c>
      <x:c r="M560" t="str">
        <x:f>IF(OR(J560=0,G560="",H560="",G560=0,H560=0),"",I560/(G560*H560))</x:f>
      </x:c>
      <x:c r="N560" t="str">
        <x:f>IF(K560="","",K560/_xlfn.MAXIFS($K:$K,$E:$E,E560))</x:f>
      </x:c>
      <x:c r="O560" t="str">
        <x:f>IF(M560="","",M560/_xlfn.MAXIFS($M:$M,$E:$E,E560))</x:f>
      </x:c>
      <x:c r="P560" t="str">
        <x:f>IF(OR(N560="",O560=""),"",SQRT(N560*O560))</x:f>
      </x:c>
      <x:c r="Q560" t="str">
        <x:f>IF(OR(N560="",O560=""),"",N560^0.7*O560^0.3)</x:f>
      </x:c>
      <x:c r="R560" t="str">
        <x:f>IF(OR(N560="",O560=""),"",N560^0.3*O560^0.7)</x:f>
      </x:c>
    </x:row>
    <x:row r="561">
      <x:c r="A561" t="inlineStr">
        <x:is>
          <x:t xml:space="preserve">alibaba|qwen3.8-27b|xhigh|reasoning|fallback-na|aa-v4.3.2|snapshot-2026-09-28</x:t>
        </x:is>
      </x:c>
      <x:c r="B561" t="inlineStr">
        <x:is>
          <x:t xml:space="preserve">alibaba|qwen3.8-27b|xhigh|reasoning|fallback-na</x:t>
        </x:is>
      </x:c>
      <x:c r="C561" t="inlineStr">
        <x:is>
          <x:t xml:space="preserve">AA|v4.3.2</x:t>
        </x:is>
      </x:c>
      <x:c r="D561" t="n">
        <x:v>71</x:v>
      </x:c>
      <x:c r="E561" t="n">
        <x:v>80</x:v>
      </x:c>
      <x:c r="F561" t="n">
        <x:f>INDEX(Run_Metrics!$F:$F,D561)</x:f>
        <x:v>34</x:v>
      </x:c>
      <x:c r="G561" t="str">
        <x:f>INDEX(Run_Metrics!$G:$G,D561)</x:f>
      </x:c>
      <x:c r="H561" t="str">
        <x:f>INDEX(Run_Metrics!$I:$I,D561)</x:f>
      </x:c>
      <x:c r="I561" t="n">
        <x:f>IF(F561="","",F561-(E561-1))</x:f>
        <x:v>-45</x:v>
      </x:c>
      <x:c r="J561" t="n">
        <x:f>IF(I561&gt;0,1,0)</x:f>
        <x:v>0</x:v>
      </x:c>
      <x:c r="K561" t="str">
        <x:f>IF(OR(J561=0,G561="",G561=0),"",I561/G561)</x:f>
      </x:c>
      <x:c r="L561" t="str">
        <x:f>IF(OR(J561=0,I561=0,G561=""),"",G561/I561)</x:f>
      </x:c>
      <x:c r="M561" t="str">
        <x:f>IF(OR(J561=0,G561="",H561="",G561=0,H561=0),"",I561/(G561*H561))</x:f>
      </x:c>
      <x:c r="N561" t="str">
        <x:f>IF(K561="","",K561/_xlfn.MAXIFS($K:$K,$E:$E,E561))</x:f>
      </x:c>
      <x:c r="O561" t="str">
        <x:f>IF(M561="","",M561/_xlfn.MAXIFS($M:$M,$E:$E,E561))</x:f>
      </x:c>
      <x:c r="P561" t="str">
        <x:f>IF(OR(N561="",O561=""),"",SQRT(N561*O561))</x:f>
      </x:c>
      <x:c r="Q561" t="str">
        <x:f>IF(OR(N561="",O561=""),"",N561^0.7*O561^0.3)</x:f>
      </x:c>
      <x:c r="R561" t="str">
        <x:f>IF(OR(N561="",O561=""),"",N561^0.3*O561^0.7)</x:f>
      </x:c>
    </x:row>
    <x:row r="562">
      <x:c r="A562" t="inlineStr">
        <x:is>
          <x:t xml:space="preserve">kimi|kimi-k3|max|reasoning|fallback-na|aa-v4.3.2|snapshot-2026-09-28</x:t>
        </x:is>
      </x:c>
      <x:c r="B562" t="inlineStr">
        <x:is>
          <x:t xml:space="preserve">kimi|kimi-k3|max|reasoning|fallback-na</x:t>
        </x:is>
      </x:c>
      <x:c r="C562" t="inlineStr">
        <x:is>
          <x:t xml:space="preserve">AA|v4.3.2</x:t>
        </x:is>
      </x:c>
      <x:c r="D562" t="n">
        <x:v>72</x:v>
      </x:c>
      <x:c r="E562" t="n">
        <x:v>20</x:v>
      </x:c>
      <x:c r="F562" t="n">
        <x:f>INDEX(Run_Metrics!$F:$F,D562)</x:f>
        <x:v>44</x:v>
      </x:c>
      <x:c r="G562" t="n">
        <x:f>INDEX(Run_Metrics!$G:$G,D562)</x:f>
        <x:v>2</x:v>
      </x:c>
      <x:c r="H562" t="str">
        <x:f>INDEX(Run_Metrics!$I:$I,D562)</x:f>
      </x:c>
      <x:c r="I562" t="n">
        <x:f>IF(F562="","",F562-(E562-1))</x:f>
        <x:v>25</x:v>
      </x:c>
      <x:c r="J562" t="n">
        <x:f>IF(I562&gt;0,1,0)</x:f>
        <x:v>1</x:v>
      </x:c>
      <x:c r="K562" t="n">
        <x:f>IF(OR(J562=0,G562="",G562=0),"",I562/G562)</x:f>
        <x:v>12.5</x:v>
      </x:c>
      <x:c r="L562" t="n">
        <x:f>IF(OR(J562=0,I562=0,G562=""),"",G562/I562)</x:f>
        <x:v>0.08</x:v>
      </x:c>
      <x:c r="M562" t="str">
        <x:f>IF(OR(J562=0,G562="",H562="",G562=0,H562=0),"",I562/(G562*H562))</x:f>
      </x:c>
      <x:c r="N562" t="n">
        <x:f>IF(K562="","",K562/_xlfn.MAXIFS($K:$K,$E:$E,E562))</x:f>
        <x:v>0.01875</x:v>
      </x:c>
      <x:c r="O562" t="str">
        <x:f>IF(M562="","",M562/_xlfn.MAXIFS($M:$M,$E:$E,E562))</x:f>
      </x:c>
      <x:c r="P562" t="str">
        <x:f>IF(OR(N562="",O562=""),"",SQRT(N562*O562))</x:f>
      </x:c>
      <x:c r="Q562" t="str">
        <x:f>IF(OR(N562="",O562=""),"",N562^0.7*O562^0.3)</x:f>
      </x:c>
      <x:c r="R562" t="str">
        <x:f>IF(OR(N562="",O562=""),"",N562^0.3*O562^0.7)</x:f>
      </x:c>
    </x:row>
    <x:row r="563">
      <x:c r="A563" t="inlineStr">
        <x:is>
          <x:t xml:space="preserve">kimi|kimi-k3|max|reasoning|fallback-na|aa-v4.3.2|snapshot-2026-09-28</x:t>
        </x:is>
      </x:c>
      <x:c r="B563" t="inlineStr">
        <x:is>
          <x:t xml:space="preserve">kimi|kimi-k3|max|reasoning|fallback-na</x:t>
        </x:is>
      </x:c>
      <x:c r="C563" t="inlineStr">
        <x:is>
          <x:t xml:space="preserve">AA|v4.3.2</x:t>
        </x:is>
      </x:c>
      <x:c r="D563" t="n">
        <x:v>72</x:v>
      </x:c>
      <x:c r="E563" t="n">
        <x:v>30</x:v>
      </x:c>
      <x:c r="F563" t="n">
        <x:f>INDEX(Run_Metrics!$F:$F,D563)</x:f>
        <x:v>44</x:v>
      </x:c>
      <x:c r="G563" t="n">
        <x:f>INDEX(Run_Metrics!$G:$G,D563)</x:f>
        <x:v>2</x:v>
      </x:c>
      <x:c r="H563" t="str">
        <x:f>INDEX(Run_Metrics!$I:$I,D563)</x:f>
      </x:c>
      <x:c r="I563" t="n">
        <x:f>IF(F563="","",F563-(E563-1))</x:f>
        <x:v>15</x:v>
      </x:c>
      <x:c r="J563" t="n">
        <x:f>IF(I563&gt;0,1,0)</x:f>
        <x:v>1</x:v>
      </x:c>
      <x:c r="K563" t="n">
        <x:f>IF(OR(J563=0,G563="",G563=0),"",I563/G563)</x:f>
        <x:v>7.5</x:v>
      </x:c>
      <x:c r="L563" t="n">
        <x:f>IF(OR(J563=0,I563=0,G563=""),"",G563/I563)</x:f>
        <x:v>0.13333333333333333</x:v>
      </x:c>
      <x:c r="M563" t="str">
        <x:f>IF(OR(J563=0,G563="",H563="",G563=0,H563=0),"",I563/(G563*H563))</x:f>
      </x:c>
      <x:c r="N563" t="n">
        <x:f>IF(K563="","",K563/_xlfn.MAXIFS($K:$K,$E:$E,E563))</x:f>
        <x:v>0.05</x:v>
      </x:c>
      <x:c r="O563" t="str">
        <x:f>IF(M563="","",M563/_xlfn.MAXIFS($M:$M,$E:$E,E563))</x:f>
      </x:c>
      <x:c r="P563" t="str">
        <x:f>IF(OR(N563="",O563=""),"",SQRT(N563*O563))</x:f>
      </x:c>
      <x:c r="Q563" t="str">
        <x:f>IF(OR(N563="",O563=""),"",N563^0.7*O563^0.3)</x:f>
      </x:c>
      <x:c r="R563" t="str">
        <x:f>IF(OR(N563="",O563=""),"",N563^0.3*O563^0.7)</x:f>
      </x:c>
    </x:row>
    <x:row r="564">
      <x:c r="A564" t="inlineStr">
        <x:is>
          <x:t xml:space="preserve">kimi|kimi-k3|max|reasoning|fallback-na|aa-v4.3.2|snapshot-2026-09-28</x:t>
        </x:is>
      </x:c>
      <x:c r="B564" t="inlineStr">
        <x:is>
          <x:t xml:space="preserve">kimi|kimi-k3|max|reasoning|fallback-na</x:t>
        </x:is>
      </x:c>
      <x:c r="C564" t="inlineStr">
        <x:is>
          <x:t xml:space="preserve">AA|v4.3.2</x:t>
        </x:is>
      </x:c>
      <x:c r="D564" t="n">
        <x:v>72</x:v>
      </x:c>
      <x:c r="E564" t="n">
        <x:v>40</x:v>
      </x:c>
      <x:c r="F564" t="n">
        <x:f>INDEX(Run_Metrics!$F:$F,D564)</x:f>
        <x:v>44</x:v>
      </x:c>
      <x:c r="G564" t="n">
        <x:f>INDEX(Run_Metrics!$G:$G,D564)</x:f>
        <x:v>2</x:v>
      </x:c>
      <x:c r="H564" t="str">
        <x:f>INDEX(Run_Metrics!$I:$I,D564)</x:f>
      </x:c>
      <x:c r="I564" t="n">
        <x:f>IF(F564="","",F564-(E564-1))</x:f>
        <x:v>5</x:v>
      </x:c>
      <x:c r="J564" t="n">
        <x:f>IF(I564&gt;0,1,0)</x:f>
        <x:v>1</x:v>
      </x:c>
      <x:c r="K564" t="n">
        <x:f>IF(OR(J564=0,G564="",G564=0),"",I564/G564)</x:f>
        <x:v>2.5</x:v>
      </x:c>
      <x:c r="L564" t="n">
        <x:f>IF(OR(J564=0,I564=0,G564=""),"",G564/I564)</x:f>
        <x:v>0.4</x:v>
      </x:c>
      <x:c r="M564" t="str">
        <x:f>IF(OR(J564=0,G564="",H564="",G564=0,H564=0),"",I564/(G564*H564))</x:f>
      </x:c>
      <x:c r="N564" t="n">
        <x:f>IF(K564="","",K564/_xlfn.MAXIFS($K:$K,$E:$E,E564))</x:f>
        <x:v>0.04642857142857143</x:v>
      </x:c>
      <x:c r="O564" t="str">
        <x:f>IF(M564="","",M564/_xlfn.MAXIFS($M:$M,$E:$E,E564))</x:f>
      </x:c>
      <x:c r="P564" t="str">
        <x:f>IF(OR(N564="",O564=""),"",SQRT(N564*O564))</x:f>
      </x:c>
      <x:c r="Q564" t="str">
        <x:f>IF(OR(N564="",O564=""),"",N564^0.7*O564^0.3)</x:f>
      </x:c>
      <x:c r="R564" t="str">
        <x:f>IF(OR(N564="",O564=""),"",N564^0.3*O564^0.7)</x:f>
      </x:c>
    </x:row>
    <x:row r="565">
      <x:c r="A565" t="inlineStr">
        <x:is>
          <x:t xml:space="preserve">kimi|kimi-k3|max|reasoning|fallback-na|aa-v4.3.2|snapshot-2026-09-28</x:t>
        </x:is>
      </x:c>
      <x:c r="B565" t="inlineStr">
        <x:is>
          <x:t xml:space="preserve">kimi|kimi-k3|max|reasoning|fallback-na</x:t>
        </x:is>
      </x:c>
      <x:c r="C565" t="inlineStr">
        <x:is>
          <x:t xml:space="preserve">AA|v4.3.2</x:t>
        </x:is>
      </x:c>
      <x:c r="D565" t="n">
        <x:v>72</x:v>
      </x:c>
      <x:c r="E565" t="n">
        <x:v>45</x:v>
      </x:c>
      <x:c r="F565" t="n">
        <x:f>INDEX(Run_Metrics!$F:$F,D565)</x:f>
        <x:v>44</x:v>
      </x:c>
      <x:c r="G565" t="n">
        <x:f>INDEX(Run_Metrics!$G:$G,D565)</x:f>
        <x:v>2</x:v>
      </x:c>
      <x:c r="H565" t="str">
        <x:f>INDEX(Run_Metrics!$I:$I,D565)</x:f>
      </x:c>
      <x:c r="I565" t="n">
        <x:f>IF(F565="","",F565-(E565-1))</x:f>
        <x:v>0</x:v>
      </x:c>
      <x:c r="J565" t="n">
        <x:f>IF(I565&gt;0,1,0)</x:f>
        <x:v>0</x:v>
      </x:c>
      <x:c r="K565" t="str">
        <x:f>IF(OR(J565=0,G565="",G565=0),"",I565/G565)</x:f>
      </x:c>
      <x:c r="L565" t="str">
        <x:f>IF(OR(J565=0,I565=0,G565=""),"",G565/I565)</x:f>
      </x:c>
      <x:c r="M565" t="str">
        <x:f>IF(OR(J565=0,G565="",H565="",G565=0,H565=0),"",I565/(G565*H565))</x:f>
      </x:c>
      <x:c r="N565" t="str">
        <x:f>IF(K565="","",K565/_xlfn.MAXIFS($K:$K,$E:$E,E565))</x:f>
      </x:c>
      <x:c r="O565" t="str">
        <x:f>IF(M565="","",M565/_xlfn.MAXIFS($M:$M,$E:$E,E565))</x:f>
      </x:c>
      <x:c r="P565" t="str">
        <x:f>IF(OR(N565="",O565=""),"",SQRT(N565*O565))</x:f>
      </x:c>
      <x:c r="Q565" t="str">
        <x:f>IF(OR(N565="",O565=""),"",N565^0.7*O565^0.3)</x:f>
      </x:c>
      <x:c r="R565" t="str">
        <x:f>IF(OR(N565="",O565=""),"",N565^0.3*O565^0.7)</x:f>
      </x:c>
    </x:row>
    <x:row r="566">
      <x:c r="A566" t="inlineStr">
        <x:is>
          <x:t xml:space="preserve">kimi|kimi-k3|max|reasoning|fallback-na|aa-v4.3.2|snapshot-2026-09-28</x:t>
        </x:is>
      </x:c>
      <x:c r="B566" t="inlineStr">
        <x:is>
          <x:t xml:space="preserve">kimi|kimi-k3|max|reasoning|fallback-na</x:t>
        </x:is>
      </x:c>
      <x:c r="C566" t="inlineStr">
        <x:is>
          <x:t xml:space="preserve">AA|v4.3.2</x:t>
        </x:is>
      </x:c>
      <x:c r="D566" t="n">
        <x:v>72</x:v>
      </x:c>
      <x:c r="E566" t="n">
        <x:v>50</x:v>
      </x:c>
      <x:c r="F566" t="n">
        <x:f>INDEX(Run_Metrics!$F:$F,D566)</x:f>
        <x:v>44</x:v>
      </x:c>
      <x:c r="G566" t="n">
        <x:f>INDEX(Run_Metrics!$G:$G,D566)</x:f>
        <x:v>2</x:v>
      </x:c>
      <x:c r="H566" t="str">
        <x:f>INDEX(Run_Metrics!$I:$I,D566)</x:f>
      </x:c>
      <x:c r="I566" t="n">
        <x:f>IF(F566="","",F566-(E566-1))</x:f>
        <x:v>-5</x:v>
      </x:c>
      <x:c r="J566" t="n">
        <x:f>IF(I566&gt;0,1,0)</x:f>
        <x:v>0</x:v>
      </x:c>
      <x:c r="K566" t="str">
        <x:f>IF(OR(J566=0,G566="",G566=0),"",I566/G566)</x:f>
      </x:c>
      <x:c r="L566" t="str">
        <x:f>IF(OR(J566=0,I566=0,G566=""),"",G566/I566)</x:f>
      </x:c>
      <x:c r="M566" t="str">
        <x:f>IF(OR(J566=0,G566="",H566="",G566=0,H566=0),"",I566/(G566*H566))</x:f>
      </x:c>
      <x:c r="N566" t="str">
        <x:f>IF(K566="","",K566/_xlfn.MAXIFS($K:$K,$E:$E,E566))</x:f>
      </x:c>
      <x:c r="O566" t="str">
        <x:f>IF(M566="","",M566/_xlfn.MAXIFS($M:$M,$E:$E,E566))</x:f>
      </x:c>
      <x:c r="P566" t="str">
        <x:f>IF(OR(N566="",O566=""),"",SQRT(N566*O566))</x:f>
      </x:c>
      <x:c r="Q566" t="str">
        <x:f>IF(OR(N566="",O566=""),"",N566^0.7*O566^0.3)</x:f>
      </x:c>
      <x:c r="R566" t="str">
        <x:f>IF(OR(N566="",O566=""),"",N566^0.3*O566^0.7)</x:f>
      </x:c>
    </x:row>
    <x:row r="567">
      <x:c r="A567" t="inlineStr">
        <x:is>
          <x:t xml:space="preserve">kimi|kimi-k3|max|reasoning|fallback-na|aa-v4.3.2|snapshot-2026-09-28</x:t>
        </x:is>
      </x:c>
      <x:c r="B567" t="inlineStr">
        <x:is>
          <x:t xml:space="preserve">kimi|kimi-k3|max|reasoning|fallback-na</x:t>
        </x:is>
      </x:c>
      <x:c r="C567" t="inlineStr">
        <x:is>
          <x:t xml:space="preserve">AA|v4.3.2</x:t>
        </x:is>
      </x:c>
      <x:c r="D567" t="n">
        <x:v>72</x:v>
      </x:c>
      <x:c r="E567" t="n">
        <x:v>52</x:v>
      </x:c>
      <x:c r="F567" t="n">
        <x:f>INDEX(Run_Metrics!$F:$F,D567)</x:f>
        <x:v>44</x:v>
      </x:c>
      <x:c r="G567" t="n">
        <x:f>INDEX(Run_Metrics!$G:$G,D567)</x:f>
        <x:v>2</x:v>
      </x:c>
      <x:c r="H567" t="str">
        <x:f>INDEX(Run_Metrics!$I:$I,D567)</x:f>
      </x:c>
      <x:c r="I567" t="n">
        <x:f>IF(F567="","",F567-(E567-1))</x:f>
        <x:v>-7</x:v>
      </x:c>
      <x:c r="J567" t="n">
        <x:f>IF(I567&gt;0,1,0)</x:f>
        <x:v>0</x:v>
      </x:c>
      <x:c r="K567" t="str">
        <x:f>IF(OR(J567=0,G567="",G567=0),"",I567/G567)</x:f>
      </x:c>
      <x:c r="L567" t="str">
        <x:f>IF(OR(J567=0,I567=0,G567=""),"",G567/I567)</x:f>
      </x:c>
      <x:c r="M567" t="str">
        <x:f>IF(OR(J567=0,G567="",H567="",G567=0,H567=0),"",I567/(G567*H567))</x:f>
      </x:c>
      <x:c r="N567" t="str">
        <x:f>IF(K567="","",K567/_xlfn.MAXIFS($K:$K,$E:$E,E567))</x:f>
      </x:c>
      <x:c r="O567" t="str">
        <x:f>IF(M567="","",M567/_xlfn.MAXIFS($M:$M,$E:$E,E567))</x:f>
      </x:c>
      <x:c r="P567" t="str">
        <x:f>IF(OR(N567="",O567=""),"",SQRT(N567*O567))</x:f>
      </x:c>
      <x:c r="Q567" t="str">
        <x:f>IF(OR(N567="",O567=""),"",N567^0.7*O567^0.3)</x:f>
      </x:c>
      <x:c r="R567" t="str">
        <x:f>IF(OR(N567="",O567=""),"",N567^0.3*O567^0.7)</x:f>
      </x:c>
    </x:row>
    <x:row r="568">
      <x:c r="A568" t="inlineStr">
        <x:is>
          <x:t xml:space="preserve">kimi|kimi-k3|max|reasoning|fallback-na|aa-v4.3.2|snapshot-2026-09-28</x:t>
        </x:is>
      </x:c>
      <x:c r="B568" t="inlineStr">
        <x:is>
          <x:t xml:space="preserve">kimi|kimi-k3|max|reasoning|fallback-na</x:t>
        </x:is>
      </x:c>
      <x:c r="C568" t="inlineStr">
        <x:is>
          <x:t xml:space="preserve">AA|v4.3.2</x:t>
        </x:is>
      </x:c>
      <x:c r="D568" t="n">
        <x:v>72</x:v>
      </x:c>
      <x:c r="E568" t="n">
        <x:v>65</x:v>
      </x:c>
      <x:c r="F568" t="n">
        <x:f>INDEX(Run_Metrics!$F:$F,D568)</x:f>
        <x:v>44</x:v>
      </x:c>
      <x:c r="G568" t="n">
        <x:f>INDEX(Run_Metrics!$G:$G,D568)</x:f>
        <x:v>2</x:v>
      </x:c>
      <x:c r="H568" t="str">
        <x:f>INDEX(Run_Metrics!$I:$I,D568)</x:f>
      </x:c>
      <x:c r="I568" t="n">
        <x:f>IF(F568="","",F568-(E568-1))</x:f>
        <x:v>-20</x:v>
      </x:c>
      <x:c r="J568" t="n">
        <x:f>IF(I568&gt;0,1,0)</x:f>
        <x:v>0</x:v>
      </x:c>
      <x:c r="K568" t="str">
        <x:f>IF(OR(J568=0,G568="",G568=0),"",I568/G568)</x:f>
      </x:c>
      <x:c r="L568" t="str">
        <x:f>IF(OR(J568=0,I568=0,G568=""),"",G568/I568)</x:f>
      </x:c>
      <x:c r="M568" t="str">
        <x:f>IF(OR(J568=0,G568="",H568="",G568=0,H568=0),"",I568/(G568*H568))</x:f>
      </x:c>
      <x:c r="N568" t="str">
        <x:f>IF(K568="","",K568/_xlfn.MAXIFS($K:$K,$E:$E,E568))</x:f>
      </x:c>
      <x:c r="O568" t="str">
        <x:f>IF(M568="","",M568/_xlfn.MAXIFS($M:$M,$E:$E,E568))</x:f>
      </x:c>
      <x:c r="P568" t="str">
        <x:f>IF(OR(N568="",O568=""),"",SQRT(N568*O568))</x:f>
      </x:c>
      <x:c r="Q568" t="str">
        <x:f>IF(OR(N568="",O568=""),"",N568^0.7*O568^0.3)</x:f>
      </x:c>
      <x:c r="R568" t="str">
        <x:f>IF(OR(N568="",O568=""),"",N568^0.3*O568^0.7)</x:f>
      </x:c>
    </x:row>
    <x:row r="569">
      <x:c r="A569" t="inlineStr">
        <x:is>
          <x:t xml:space="preserve">kimi|kimi-k3|max|reasoning|fallback-na|aa-v4.3.2|snapshot-2026-09-28</x:t>
        </x:is>
      </x:c>
      <x:c r="B569" t="inlineStr">
        <x:is>
          <x:t xml:space="preserve">kimi|kimi-k3|max|reasoning|fallback-na</x:t>
        </x:is>
      </x:c>
      <x:c r="C569" t="inlineStr">
        <x:is>
          <x:t xml:space="preserve">AA|v4.3.2</x:t>
        </x:is>
      </x:c>
      <x:c r="D569" t="n">
        <x:v>72</x:v>
      </x:c>
      <x:c r="E569" t="n">
        <x:v>80</x:v>
      </x:c>
      <x:c r="F569" t="n">
        <x:f>INDEX(Run_Metrics!$F:$F,D569)</x:f>
        <x:v>44</x:v>
      </x:c>
      <x:c r="G569" t="n">
        <x:f>INDEX(Run_Metrics!$G:$G,D569)</x:f>
        <x:v>2</x:v>
      </x:c>
      <x:c r="H569" t="str">
        <x:f>INDEX(Run_Metrics!$I:$I,D569)</x:f>
      </x:c>
      <x:c r="I569" t="n">
        <x:f>IF(F569="","",F569-(E569-1))</x:f>
        <x:v>-35</x:v>
      </x:c>
      <x:c r="J569" t="n">
        <x:f>IF(I569&gt;0,1,0)</x:f>
        <x:v>0</x:v>
      </x:c>
      <x:c r="K569" t="str">
        <x:f>IF(OR(J569=0,G569="",G569=0),"",I569/G569)</x:f>
      </x:c>
      <x:c r="L569" t="str">
        <x:f>IF(OR(J569=0,I569=0,G569=""),"",G569/I569)</x:f>
      </x:c>
      <x:c r="M569" t="str">
        <x:f>IF(OR(J569=0,G569="",H569="",G569=0,H569=0),"",I569/(G569*H569))</x:f>
      </x:c>
      <x:c r="N569" t="str">
        <x:f>IF(K569="","",K569/_xlfn.MAXIFS($K:$K,$E:$E,E569))</x:f>
      </x:c>
      <x:c r="O569" t="str">
        <x:f>IF(M569="","",M569/_xlfn.MAXIFS($M:$M,$E:$E,E569))</x:f>
      </x:c>
      <x:c r="P569" t="str">
        <x:f>IF(OR(N569="",O569=""),"",SQRT(N569*O569))</x:f>
      </x:c>
      <x:c r="Q569" t="str">
        <x:f>IF(OR(N569="",O569=""),"",N569^0.7*O569^0.3)</x:f>
      </x:c>
      <x:c r="R569" t="str">
        <x:f>IF(OR(N569="",O569=""),"",N569^0.3*O569^0.7)</x:f>
      </x:c>
    </x:row>
    <x:row r="570">
      <x:c r="A570" t="inlineStr">
        <x:is>
          <x:t xml:space="preserve">google|gemini-4-argon|high|reasoning|fallback-na|aa-v4.3.2|snapshot-2026-10-04</x:t>
        </x:is>
      </x:c>
      <x:c r="B570" t="inlineStr">
        <x:is>
          <x:t xml:space="preserve">google|gemini-4-argon|high|reasoning|fallback-na</x:t>
        </x:is>
      </x:c>
      <x:c r="C570" t="inlineStr">
        <x:is>
          <x:t xml:space="preserve">AA|v4.3.2</x:t>
        </x:is>
      </x:c>
      <x:c r="D570" t="n">
        <x:v>73</x:v>
      </x:c>
      <x:c r="E570" t="n">
        <x:v>20</x:v>
      </x:c>
      <x:c r="F570" t="n">
        <x:f>INDEX(Run_Metrics!$F:$F,D570)</x:f>
        <x:v>53</x:v>
      </x:c>
      <x:c r="G570" t="n">
        <x:f>INDEX(Run_Metrics!$G:$G,D570)</x:f>
        <x:v>1.99</x:v>
      </x:c>
      <x:c r="H570" t="str">
        <x:f>INDEX(Run_Metrics!$I:$I,D570)</x:f>
      </x:c>
      <x:c r="I570" t="n">
        <x:f>IF(F570="","",F570-(E570-1))</x:f>
        <x:v>34</x:v>
      </x:c>
      <x:c r="J570" t="n">
        <x:f>IF(I570&gt;0,1,0)</x:f>
        <x:v>1</x:v>
      </x:c>
      <x:c r="K570" t="n">
        <x:f>IF(OR(J570=0,G570="",G570=0),"",I570/G570)</x:f>
        <x:v>17.08542713567839</x:v>
      </x:c>
      <x:c r="L570" t="n">
        <x:f>IF(OR(J570=0,I570=0,G570=""),"",G570/I570)</x:f>
        <x:v>0.058529411764705885</x:v>
      </x:c>
      <x:c r="M570" t="str">
        <x:f>IF(OR(J570=0,G570="",H570="",G570=0,H570=0),"",I570/(G570*H570))</x:f>
      </x:c>
      <x:c r="N570" t="n">
        <x:f>IF(K570="","",K570/_xlfn.MAXIFS($K:$K,$E:$E,E570))</x:f>
        <x:v>0.02562814070351758</x:v>
      </x:c>
      <x:c r="O570" t="str">
        <x:f>IF(M570="","",M570/_xlfn.MAXIFS($M:$M,$E:$E,E570))</x:f>
      </x:c>
      <x:c r="P570" t="str">
        <x:f>IF(OR(N570="",O570=""),"",SQRT(N570*O570))</x:f>
      </x:c>
      <x:c r="Q570" t="str">
        <x:f>IF(OR(N570="",O570=""),"",N570^0.7*O570^0.3)</x:f>
      </x:c>
      <x:c r="R570" t="str">
        <x:f>IF(OR(N570="",O570=""),"",N570^0.3*O570^0.7)</x:f>
      </x:c>
    </x:row>
    <x:row r="571">
      <x:c r="A571" t="inlineStr">
        <x:is>
          <x:t xml:space="preserve">google|gemini-4-argon|high|reasoning|fallback-na|aa-v4.3.2|snapshot-2026-10-04</x:t>
        </x:is>
      </x:c>
      <x:c r="B571" t="inlineStr">
        <x:is>
          <x:t xml:space="preserve">google|gemini-4-argon|high|reasoning|fallback-na</x:t>
        </x:is>
      </x:c>
      <x:c r="C571" t="inlineStr">
        <x:is>
          <x:t xml:space="preserve">AA|v4.3.2</x:t>
        </x:is>
      </x:c>
      <x:c r="D571" t="n">
        <x:v>73</x:v>
      </x:c>
      <x:c r="E571" t="n">
        <x:v>30</x:v>
      </x:c>
      <x:c r="F571" t="n">
        <x:f>INDEX(Run_Metrics!$F:$F,D571)</x:f>
        <x:v>53</x:v>
      </x:c>
      <x:c r="G571" t="n">
        <x:f>INDEX(Run_Metrics!$G:$G,D571)</x:f>
        <x:v>1.99</x:v>
      </x:c>
      <x:c r="H571" t="str">
        <x:f>INDEX(Run_Metrics!$I:$I,D571)</x:f>
      </x:c>
      <x:c r="I571" t="n">
        <x:f>IF(F571="","",F571-(E571-1))</x:f>
        <x:v>24</x:v>
      </x:c>
      <x:c r="J571" t="n">
        <x:f>IF(I571&gt;0,1,0)</x:f>
        <x:v>1</x:v>
      </x:c>
      <x:c r="K571" t="n">
        <x:f>IF(OR(J571=0,G571="",G571=0),"",I571/G571)</x:f>
        <x:v>12.06030150753769</x:v>
      </x:c>
      <x:c r="L571" t="n">
        <x:f>IF(OR(J571=0,I571=0,G571=""),"",G571/I571)</x:f>
        <x:v>0.08291666666666667</x:v>
      </x:c>
      <x:c r="M571" t="str">
        <x:f>IF(OR(J571=0,G571="",H571="",G571=0,H571=0),"",I571/(G571*H571))</x:f>
      </x:c>
      <x:c r="N571" t="n">
        <x:f>IF(K571="","",K571/_xlfn.MAXIFS($K:$K,$E:$E,E571))</x:f>
        <x:v>0.08040201005025126</x:v>
      </x:c>
      <x:c r="O571" t="str">
        <x:f>IF(M571="","",M571/_xlfn.MAXIFS($M:$M,$E:$E,E571))</x:f>
      </x:c>
      <x:c r="P571" t="str">
        <x:f>IF(OR(N571="",O571=""),"",SQRT(N571*O571))</x:f>
      </x:c>
      <x:c r="Q571" t="str">
        <x:f>IF(OR(N571="",O571=""),"",N571^0.7*O571^0.3)</x:f>
      </x:c>
      <x:c r="R571" t="str">
        <x:f>IF(OR(N571="",O571=""),"",N571^0.3*O571^0.7)</x:f>
      </x:c>
    </x:row>
    <x:row r="572">
      <x:c r="A572" t="inlineStr">
        <x:is>
          <x:t xml:space="preserve">google|gemini-4-argon|high|reasoning|fallback-na|aa-v4.3.2|snapshot-2026-10-04</x:t>
        </x:is>
      </x:c>
      <x:c r="B572" t="inlineStr">
        <x:is>
          <x:t xml:space="preserve">google|gemini-4-argon|high|reasoning|fallback-na</x:t>
        </x:is>
      </x:c>
      <x:c r="C572" t="inlineStr">
        <x:is>
          <x:t xml:space="preserve">AA|v4.3.2</x:t>
        </x:is>
      </x:c>
      <x:c r="D572" t="n">
        <x:v>73</x:v>
      </x:c>
      <x:c r="E572" t="n">
        <x:v>40</x:v>
      </x:c>
      <x:c r="F572" t="n">
        <x:f>INDEX(Run_Metrics!$F:$F,D572)</x:f>
        <x:v>53</x:v>
      </x:c>
      <x:c r="G572" t="n">
        <x:f>INDEX(Run_Metrics!$G:$G,D572)</x:f>
        <x:v>1.99</x:v>
      </x:c>
      <x:c r="H572" t="str">
        <x:f>INDEX(Run_Metrics!$I:$I,D572)</x:f>
      </x:c>
      <x:c r="I572" t="n">
        <x:f>IF(F572="","",F572-(E572-1))</x:f>
        <x:v>14</x:v>
      </x:c>
      <x:c r="J572" t="n">
        <x:f>IF(I572&gt;0,1,0)</x:f>
        <x:v>1</x:v>
      </x:c>
      <x:c r="K572" t="n">
        <x:f>IF(OR(J572=0,G572="",G572=0),"",I572/G572)</x:f>
        <x:v>7.035175879396985</x:v>
      </x:c>
      <x:c r="L572" t="n">
        <x:f>IF(OR(J572=0,I572=0,G572=""),"",G572/I572)</x:f>
        <x:v>0.14214285714285715</x:v>
      </x:c>
      <x:c r="M572" t="str">
        <x:f>IF(OR(J572=0,G572="",H572="",G572=0,H572=0),"",I572/(G572*H572))</x:f>
      </x:c>
      <x:c r="N572" t="n">
        <x:f>IF(K572="","",K572/_xlfn.MAXIFS($K:$K,$E:$E,E572))</x:f>
        <x:v>0.1306532663316583</x:v>
      </x:c>
      <x:c r="O572" t="str">
        <x:f>IF(M572="","",M572/_xlfn.MAXIFS($M:$M,$E:$E,E572))</x:f>
      </x:c>
      <x:c r="P572" t="str">
        <x:f>IF(OR(N572="",O572=""),"",SQRT(N572*O572))</x:f>
      </x:c>
      <x:c r="Q572" t="str">
        <x:f>IF(OR(N572="",O572=""),"",N572^0.7*O572^0.3)</x:f>
      </x:c>
      <x:c r="R572" t="str">
        <x:f>IF(OR(N572="",O572=""),"",N572^0.3*O572^0.7)</x:f>
      </x:c>
    </x:row>
    <x:row r="573">
      <x:c r="A573" t="inlineStr">
        <x:is>
          <x:t xml:space="preserve">google|gemini-4-argon|high|reasoning|fallback-na|aa-v4.3.2|snapshot-2026-10-04</x:t>
        </x:is>
      </x:c>
      <x:c r="B573" t="inlineStr">
        <x:is>
          <x:t xml:space="preserve">google|gemini-4-argon|high|reasoning|fallback-na</x:t>
        </x:is>
      </x:c>
      <x:c r="C573" t="inlineStr">
        <x:is>
          <x:t xml:space="preserve">AA|v4.3.2</x:t>
        </x:is>
      </x:c>
      <x:c r="D573" t="n">
        <x:v>73</x:v>
      </x:c>
      <x:c r="E573" t="n">
        <x:v>45</x:v>
      </x:c>
      <x:c r="F573" t="n">
        <x:f>INDEX(Run_Metrics!$F:$F,D573)</x:f>
        <x:v>53</x:v>
      </x:c>
      <x:c r="G573" t="n">
        <x:f>INDEX(Run_Metrics!$G:$G,D573)</x:f>
        <x:v>1.99</x:v>
      </x:c>
      <x:c r="H573" t="str">
        <x:f>INDEX(Run_Metrics!$I:$I,D573)</x:f>
      </x:c>
      <x:c r="I573" t="n">
        <x:f>IF(F573="","",F573-(E573-1))</x:f>
        <x:v>9</x:v>
      </x:c>
      <x:c r="J573" t="n">
        <x:f>IF(I573&gt;0,1,0)</x:f>
        <x:v>1</x:v>
      </x:c>
      <x:c r="K573" t="n">
        <x:f>IF(OR(J573=0,G573="",G573=0),"",I573/G573)</x:f>
        <x:v>4.522613065326633</x:v>
      </x:c>
      <x:c r="L573" t="n">
        <x:f>IF(OR(J573=0,I573=0,G573=""),"",G573/I573)</x:f>
        <x:v>0.22111111111111112</x:v>
      </x:c>
      <x:c r="M573" t="str">
        <x:f>IF(OR(J573=0,G573="",H573="",G573=0,H573=0),"",I573/(G573*H573))</x:f>
      </x:c>
      <x:c r="N573" t="n">
        <x:f>IF(K573="","",K573/_xlfn.MAXIFS($K:$K,$E:$E,E573))</x:f>
        <x:v>0.23743718592964821</x:v>
      </x:c>
      <x:c r="O573" t="str">
        <x:f>IF(M573="","",M573/_xlfn.MAXIFS($M:$M,$E:$E,E573))</x:f>
      </x:c>
      <x:c r="P573" t="str">
        <x:f>IF(OR(N573="",O573=""),"",SQRT(N573*O573))</x:f>
      </x:c>
      <x:c r="Q573" t="str">
        <x:f>IF(OR(N573="",O573=""),"",N573^0.7*O573^0.3)</x:f>
      </x:c>
      <x:c r="R573" t="str">
        <x:f>IF(OR(N573="",O573=""),"",N573^0.3*O573^0.7)</x:f>
      </x:c>
    </x:row>
    <x:row r="574">
      <x:c r="A574" t="inlineStr">
        <x:is>
          <x:t xml:space="preserve">google|gemini-4-argon|high|reasoning|fallback-na|aa-v4.3.2|snapshot-2026-10-04</x:t>
        </x:is>
      </x:c>
      <x:c r="B574" t="inlineStr">
        <x:is>
          <x:t xml:space="preserve">google|gemini-4-argon|high|reasoning|fallback-na</x:t>
        </x:is>
      </x:c>
      <x:c r="C574" t="inlineStr">
        <x:is>
          <x:t xml:space="preserve">AA|v4.3.2</x:t>
        </x:is>
      </x:c>
      <x:c r="D574" t="n">
        <x:v>73</x:v>
      </x:c>
      <x:c r="E574" t="n">
        <x:v>50</x:v>
      </x:c>
      <x:c r="F574" t="n">
        <x:f>INDEX(Run_Metrics!$F:$F,D574)</x:f>
        <x:v>53</x:v>
      </x:c>
      <x:c r="G574" t="n">
        <x:f>INDEX(Run_Metrics!$G:$G,D574)</x:f>
        <x:v>1.99</x:v>
      </x:c>
      <x:c r="H574" t="str">
        <x:f>INDEX(Run_Metrics!$I:$I,D574)</x:f>
      </x:c>
      <x:c r="I574" t="n">
        <x:f>IF(F574="","",F574-(E574-1))</x:f>
        <x:v>4</x:v>
      </x:c>
      <x:c r="J574" t="n">
        <x:f>IF(I574&gt;0,1,0)</x:f>
        <x:v>1</x:v>
      </x:c>
      <x:c r="K574" t="n">
        <x:f>IF(OR(J574=0,G574="",G574=0),"",I574/G574)</x:f>
        <x:v>2.0100502512562812</x:v>
      </x:c>
      <x:c r="L574" t="n">
        <x:f>IF(OR(J574=0,I574=0,G574=""),"",G574/I574)</x:f>
        <x:v>0.4975</x:v>
      </x:c>
      <x:c r="M574" t="str">
        <x:f>IF(OR(J574=0,G574="",H574="",G574=0,H574=0),"",I574/(G574*H574))</x:f>
      </x:c>
      <x:c r="N574" t="n">
        <x:f>IF(K574="","",K574/_xlfn.MAXIFS($K:$K,$E:$E,E574))</x:f>
        <x:v>0.39195979899497485</x:v>
      </x:c>
      <x:c r="O574" t="str">
        <x:f>IF(M574="","",M574/_xlfn.MAXIFS($M:$M,$E:$E,E574))</x:f>
      </x:c>
      <x:c r="P574" t="str">
        <x:f>IF(OR(N574="",O574=""),"",SQRT(N574*O574))</x:f>
      </x:c>
      <x:c r="Q574" t="str">
        <x:f>IF(OR(N574="",O574=""),"",N574^0.7*O574^0.3)</x:f>
      </x:c>
      <x:c r="R574" t="str">
        <x:f>IF(OR(N574="",O574=""),"",N574^0.3*O574^0.7)</x:f>
      </x:c>
    </x:row>
    <x:row r="575">
      <x:c r="A575" t="inlineStr">
        <x:is>
          <x:t xml:space="preserve">google|gemini-4-argon|high|reasoning|fallback-na|aa-v4.3.2|snapshot-2026-10-04</x:t>
        </x:is>
      </x:c>
      <x:c r="B575" t="inlineStr">
        <x:is>
          <x:t xml:space="preserve">google|gemini-4-argon|high|reasoning|fallback-na</x:t>
        </x:is>
      </x:c>
      <x:c r="C575" t="inlineStr">
        <x:is>
          <x:t xml:space="preserve">AA|v4.3.2</x:t>
        </x:is>
      </x:c>
      <x:c r="D575" t="n">
        <x:v>73</x:v>
      </x:c>
      <x:c r="E575" t="n">
        <x:v>52</x:v>
      </x:c>
      <x:c r="F575" t="n">
        <x:f>INDEX(Run_Metrics!$F:$F,D575)</x:f>
        <x:v>53</x:v>
      </x:c>
      <x:c r="G575" t="n">
        <x:f>INDEX(Run_Metrics!$G:$G,D575)</x:f>
        <x:v>1.99</x:v>
      </x:c>
      <x:c r="H575" t="str">
        <x:f>INDEX(Run_Metrics!$I:$I,D575)</x:f>
      </x:c>
      <x:c r="I575" t="n">
        <x:f>IF(F575="","",F575-(E575-1))</x:f>
        <x:v>2</x:v>
      </x:c>
      <x:c r="J575" t="n">
        <x:f>IF(I575&gt;0,1,0)</x:f>
        <x:v>1</x:v>
      </x:c>
      <x:c r="K575" t="n">
        <x:f>IF(OR(J575=0,G575="",G575=0),"",I575/G575)</x:f>
        <x:v>1.0050251256281406</x:v>
      </x:c>
      <x:c r="L575" t="n">
        <x:f>IF(OR(J575=0,I575=0,G575=""),"",G575/I575)</x:f>
        <x:v>0.995</x:v>
      </x:c>
      <x:c r="M575" t="str">
        <x:f>IF(OR(J575=0,G575="",H575="",G575=0,H575=0),"",I575/(G575*H575))</x:f>
      </x:c>
      <x:c r="N575" t="n">
        <x:f>IF(K575="","",K575/_xlfn.MAXIFS($K:$K,$E:$E,E575))</x:f>
        <x:v>0.609715242881072</x:v>
      </x:c>
      <x:c r="O575" t="str">
        <x:f>IF(M575="","",M575/_xlfn.MAXIFS($M:$M,$E:$E,E575))</x:f>
      </x:c>
      <x:c r="P575" t="str">
        <x:f>IF(OR(N575="",O575=""),"",SQRT(N575*O575))</x:f>
      </x:c>
      <x:c r="Q575" t="str">
        <x:f>IF(OR(N575="",O575=""),"",N575^0.7*O575^0.3)</x:f>
      </x:c>
      <x:c r="R575" t="str">
        <x:f>IF(OR(N575="",O575=""),"",N575^0.3*O575^0.7)</x:f>
      </x:c>
    </x:row>
    <x:row r="576">
      <x:c r="A576" t="inlineStr">
        <x:is>
          <x:t xml:space="preserve">google|gemini-4-argon|high|reasoning|fallback-na|aa-v4.3.2|snapshot-2026-10-04</x:t>
        </x:is>
      </x:c>
      <x:c r="B576" t="inlineStr">
        <x:is>
          <x:t xml:space="preserve">google|gemini-4-argon|high|reasoning|fallback-na</x:t>
        </x:is>
      </x:c>
      <x:c r="C576" t="inlineStr">
        <x:is>
          <x:t xml:space="preserve">AA|v4.3.2</x:t>
        </x:is>
      </x:c>
      <x:c r="D576" t="n">
        <x:v>73</x:v>
      </x:c>
      <x:c r="E576" t="n">
        <x:v>65</x:v>
      </x:c>
      <x:c r="F576" t="n">
        <x:f>INDEX(Run_Metrics!$F:$F,D576)</x:f>
        <x:v>53</x:v>
      </x:c>
      <x:c r="G576" t="n">
        <x:f>INDEX(Run_Metrics!$G:$G,D576)</x:f>
        <x:v>1.99</x:v>
      </x:c>
      <x:c r="H576" t="str">
        <x:f>INDEX(Run_Metrics!$I:$I,D576)</x:f>
      </x:c>
      <x:c r="I576" t="n">
        <x:f>IF(F576="","",F576-(E576-1))</x:f>
        <x:v>-11</x:v>
      </x:c>
      <x:c r="J576" t="n">
        <x:f>IF(I576&gt;0,1,0)</x:f>
        <x:v>0</x:v>
      </x:c>
      <x:c r="K576" t="str">
        <x:f>IF(OR(J576=0,G576="",G576=0),"",I576/G576)</x:f>
      </x:c>
      <x:c r="L576" t="str">
        <x:f>IF(OR(J576=0,I576=0,G576=""),"",G576/I576)</x:f>
      </x:c>
      <x:c r="M576" t="str">
        <x:f>IF(OR(J576=0,G576="",H576="",G576=0,H576=0),"",I576/(G576*H576))</x:f>
      </x:c>
      <x:c r="N576" t="str">
        <x:f>IF(K576="","",K576/_xlfn.MAXIFS($K:$K,$E:$E,E576))</x:f>
      </x:c>
      <x:c r="O576" t="str">
        <x:f>IF(M576="","",M576/_xlfn.MAXIFS($M:$M,$E:$E,E576))</x:f>
      </x:c>
      <x:c r="P576" t="str">
        <x:f>IF(OR(N576="",O576=""),"",SQRT(N576*O576))</x:f>
      </x:c>
      <x:c r="Q576" t="str">
        <x:f>IF(OR(N576="",O576=""),"",N576^0.7*O576^0.3)</x:f>
      </x:c>
      <x:c r="R576" t="str">
        <x:f>IF(OR(N576="",O576=""),"",N576^0.3*O576^0.7)</x:f>
      </x:c>
    </x:row>
    <x:row r="577">
      <x:c r="A577" t="inlineStr">
        <x:is>
          <x:t xml:space="preserve">google|gemini-4-argon|high|reasoning|fallback-na|aa-v4.3.2|snapshot-2026-10-04</x:t>
        </x:is>
      </x:c>
      <x:c r="B577" t="inlineStr">
        <x:is>
          <x:t xml:space="preserve">google|gemini-4-argon|high|reasoning|fallback-na</x:t>
        </x:is>
      </x:c>
      <x:c r="C577" t="inlineStr">
        <x:is>
          <x:t xml:space="preserve">AA|v4.3.2</x:t>
        </x:is>
      </x:c>
      <x:c r="D577" t="n">
        <x:v>73</x:v>
      </x:c>
      <x:c r="E577" t="n">
        <x:v>80</x:v>
      </x:c>
      <x:c r="F577" t="n">
        <x:f>INDEX(Run_Metrics!$F:$F,D577)</x:f>
        <x:v>53</x:v>
      </x:c>
      <x:c r="G577" t="n">
        <x:f>INDEX(Run_Metrics!$G:$G,D577)</x:f>
        <x:v>1.99</x:v>
      </x:c>
      <x:c r="H577" t="str">
        <x:f>INDEX(Run_Metrics!$I:$I,D577)</x:f>
      </x:c>
      <x:c r="I577" t="n">
        <x:f>IF(F577="","",F577-(E577-1))</x:f>
        <x:v>-26</x:v>
      </x:c>
      <x:c r="J577" t="n">
        <x:f>IF(I577&gt;0,1,0)</x:f>
        <x:v>0</x:v>
      </x:c>
      <x:c r="K577" t="str">
        <x:f>IF(OR(J577=0,G577="",G577=0),"",I577/G577)</x:f>
      </x:c>
      <x:c r="L577" t="str">
        <x:f>IF(OR(J577=0,I577=0,G577=""),"",G577/I577)</x:f>
      </x:c>
      <x:c r="M577" t="str">
        <x:f>IF(OR(J577=0,G577="",H577="",G577=0,H577=0),"",I577/(G577*H577))</x:f>
      </x:c>
      <x:c r="N577" t="str">
        <x:f>IF(K577="","",K577/_xlfn.MAXIFS($K:$K,$E:$E,E577))</x:f>
      </x:c>
      <x:c r="O577" t="str">
        <x:f>IF(M577="","",M577/_xlfn.MAXIFS($M:$M,$E:$E,E577))</x:f>
      </x:c>
      <x:c r="P577" t="str">
        <x:f>IF(OR(N577="",O577=""),"",SQRT(N577*O577))</x:f>
      </x:c>
      <x:c r="Q577" t="str">
        <x:f>IF(OR(N577="",O577=""),"",N577^0.7*O577^0.3)</x:f>
      </x:c>
      <x:c r="R577" t="str">
        <x:f>IF(OR(N577="",O577=""),"",N577^0.3*O577^0.7)</x:f>
      </x:c>
    </x:row>
    <x:row r="578">
      <x:c r="A578" t="inlineStr">
        <x:is>
          <x:t xml:space="preserve">openai|gpt-6-1-sol|low|reasoning|fallback-na|aa-v4.3.2|snapshot-2026-10-11</x:t>
        </x:is>
      </x:c>
      <x:c r="B578" t="inlineStr">
        <x:is>
          <x:t xml:space="preserve">openai|gpt-6-1-sol|low|reasoning|fallback-na</x:t>
        </x:is>
      </x:c>
      <x:c r="C578" t="inlineStr">
        <x:is>
          <x:t xml:space="preserve">AA|v4.3.2</x:t>
        </x:is>
      </x:c>
      <x:c r="D578" t="n">
        <x:v>74</x:v>
      </x:c>
      <x:c r="E578" t="n">
        <x:v>20</x:v>
      </x:c>
      <x:c r="F578" t="n">
        <x:f>INDEX(Run_Metrics!$F:$F,D578)</x:f>
        <x:v>42</x:v>
      </x:c>
      <x:c r="G578" t="n">
        <x:f>INDEX(Run_Metrics!$G:$G,D578)</x:f>
        <x:v>1.99</x:v>
      </x:c>
      <x:c r="H578" t="str">
        <x:f>INDEX(Run_Metrics!$I:$I,D578)</x:f>
      </x:c>
      <x:c r="I578" t="n">
        <x:f>IF(F578="","",F578-(E578-1))</x:f>
        <x:v>23</x:v>
      </x:c>
      <x:c r="J578" t="n">
        <x:f>IF(I578&gt;0,1,0)</x:f>
        <x:v>1</x:v>
      </x:c>
      <x:c r="K578" t="n">
        <x:f>IF(OR(J578=0,G578="",G578=0),"",I578/G578)</x:f>
        <x:v>11.557788944723619</x:v>
      </x:c>
      <x:c r="L578" t="n">
        <x:f>IF(OR(J578=0,I578=0,G578=""),"",G578/I578)</x:f>
        <x:v>0.08652173913043479</x:v>
      </x:c>
      <x:c r="M578" t="str">
        <x:f>IF(OR(J578=0,G578="",H578="",G578=0,H578=0),"",I578/(G578*H578))</x:f>
      </x:c>
      <x:c r="N578" t="n">
        <x:f>IF(K578="","",K578/_xlfn.MAXIFS($K:$K,$E:$E,E578))</x:f>
        <x:v>0.017336683417085427</x:v>
      </x:c>
      <x:c r="O578" t="str">
        <x:f>IF(M578="","",M578/_xlfn.MAXIFS($M:$M,$E:$E,E578))</x:f>
      </x:c>
      <x:c r="P578" t="str">
        <x:f>IF(OR(N578="",O578=""),"",SQRT(N578*O578))</x:f>
      </x:c>
      <x:c r="Q578" t="str">
        <x:f>IF(OR(N578="",O578=""),"",N578^0.7*O578^0.3)</x:f>
      </x:c>
      <x:c r="R578" t="str">
        <x:f>IF(OR(N578="",O578=""),"",N578^0.3*O578^0.7)</x:f>
      </x:c>
    </x:row>
    <x:row r="579">
      <x:c r="A579" t="inlineStr">
        <x:is>
          <x:t xml:space="preserve">openai|gpt-6-1-sol|low|reasoning|fallback-na|aa-v4.3.2|snapshot-2026-10-11</x:t>
        </x:is>
      </x:c>
      <x:c r="B579" t="inlineStr">
        <x:is>
          <x:t xml:space="preserve">openai|gpt-6-1-sol|low|reasoning|fallback-na</x:t>
        </x:is>
      </x:c>
      <x:c r="C579" t="inlineStr">
        <x:is>
          <x:t xml:space="preserve">AA|v4.3.2</x:t>
        </x:is>
      </x:c>
      <x:c r="D579" t="n">
        <x:v>74</x:v>
      </x:c>
      <x:c r="E579" t="n">
        <x:v>30</x:v>
      </x:c>
      <x:c r="F579" t="n">
        <x:f>INDEX(Run_Metrics!$F:$F,D579)</x:f>
        <x:v>42</x:v>
      </x:c>
      <x:c r="G579" t="n">
        <x:f>INDEX(Run_Metrics!$G:$G,D579)</x:f>
        <x:v>1.99</x:v>
      </x:c>
      <x:c r="H579" t="str">
        <x:f>INDEX(Run_Metrics!$I:$I,D579)</x:f>
      </x:c>
      <x:c r="I579" t="n">
        <x:f>IF(F579="","",F579-(E579-1))</x:f>
        <x:v>13</x:v>
      </x:c>
      <x:c r="J579" t="n">
        <x:f>IF(I579&gt;0,1,0)</x:f>
        <x:v>1</x:v>
      </x:c>
      <x:c r="K579" t="n">
        <x:f>IF(OR(J579=0,G579="",G579=0),"",I579/G579)</x:f>
        <x:v>6.532663316582915</x:v>
      </x:c>
      <x:c r="L579" t="n">
        <x:f>IF(OR(J579=0,I579=0,G579=""),"",G579/I579)</x:f>
        <x:v>0.15307692307692308</x:v>
      </x:c>
      <x:c r="M579" t="str">
        <x:f>IF(OR(J579=0,G579="",H579="",G579=0,H579=0),"",I579/(G579*H579))</x:f>
      </x:c>
      <x:c r="N579" t="n">
        <x:f>IF(K579="","",K579/_xlfn.MAXIFS($K:$K,$E:$E,E579))</x:f>
        <x:v>0.04355108877721943</x:v>
      </x:c>
      <x:c r="O579" t="str">
        <x:f>IF(M579="","",M579/_xlfn.MAXIFS($M:$M,$E:$E,E579))</x:f>
      </x:c>
      <x:c r="P579" t="str">
        <x:f>IF(OR(N579="",O579=""),"",SQRT(N579*O579))</x:f>
      </x:c>
      <x:c r="Q579" t="str">
        <x:f>IF(OR(N579="",O579=""),"",N579^0.7*O579^0.3)</x:f>
      </x:c>
      <x:c r="R579" t="str">
        <x:f>IF(OR(N579="",O579=""),"",N579^0.3*O579^0.7)</x:f>
      </x:c>
    </x:row>
    <x:row r="580">
      <x:c r="A580" t="inlineStr">
        <x:is>
          <x:t xml:space="preserve">openai|gpt-6-1-sol|low|reasoning|fallback-na|aa-v4.3.2|snapshot-2026-10-11</x:t>
        </x:is>
      </x:c>
      <x:c r="B580" t="inlineStr">
        <x:is>
          <x:t xml:space="preserve">openai|gpt-6-1-sol|low|reasoning|fallback-na</x:t>
        </x:is>
      </x:c>
      <x:c r="C580" t="inlineStr">
        <x:is>
          <x:t xml:space="preserve">AA|v4.3.2</x:t>
        </x:is>
      </x:c>
      <x:c r="D580" t="n">
        <x:v>74</x:v>
      </x:c>
      <x:c r="E580" t="n">
        <x:v>40</x:v>
      </x:c>
      <x:c r="F580" t="n">
        <x:f>INDEX(Run_Metrics!$F:$F,D580)</x:f>
        <x:v>42</x:v>
      </x:c>
      <x:c r="G580" t="n">
        <x:f>INDEX(Run_Metrics!$G:$G,D580)</x:f>
        <x:v>1.99</x:v>
      </x:c>
      <x:c r="H580" t="str">
        <x:f>INDEX(Run_Metrics!$I:$I,D580)</x:f>
      </x:c>
      <x:c r="I580" t="n">
        <x:f>IF(F580="","",F580-(E580-1))</x:f>
        <x:v>3</x:v>
      </x:c>
      <x:c r="J580" t="n">
        <x:f>IF(I580&gt;0,1,0)</x:f>
        <x:v>1</x:v>
      </x:c>
      <x:c r="K580" t="n">
        <x:f>IF(OR(J580=0,G580="",G580=0),"",I580/G580)</x:f>
        <x:v>1.5075376884422111</x:v>
      </x:c>
      <x:c r="L580" t="n">
        <x:f>IF(OR(J580=0,I580=0,G580=""),"",G580/I580)</x:f>
        <x:v>0.6633333333333333</x:v>
      </x:c>
      <x:c r="M580" t="str">
        <x:f>IF(OR(J580=0,G580="",H580="",G580=0,H580=0),"",I580/(G580*H580))</x:f>
      </x:c>
      <x:c r="N580" t="n">
        <x:f>IF(K580="","",K580/_xlfn.MAXIFS($K:$K,$E:$E,E580))</x:f>
        <x:v>0.027997128499641064</x:v>
      </x:c>
      <x:c r="O580" t="str">
        <x:f>IF(M580="","",M580/_xlfn.MAXIFS($M:$M,$E:$E,E580))</x:f>
      </x:c>
      <x:c r="P580" t="str">
        <x:f>IF(OR(N580="",O580=""),"",SQRT(N580*O580))</x:f>
      </x:c>
      <x:c r="Q580" t="str">
        <x:f>IF(OR(N580="",O580=""),"",N580^0.7*O580^0.3)</x:f>
      </x:c>
      <x:c r="R580" t="str">
        <x:f>IF(OR(N580="",O580=""),"",N580^0.3*O580^0.7)</x:f>
      </x:c>
    </x:row>
    <x:row r="581">
      <x:c r="A581" t="inlineStr">
        <x:is>
          <x:t xml:space="preserve">openai|gpt-6-1-sol|low|reasoning|fallback-na|aa-v4.3.2|snapshot-2026-10-11</x:t>
        </x:is>
      </x:c>
      <x:c r="B581" t="inlineStr">
        <x:is>
          <x:t xml:space="preserve">openai|gpt-6-1-sol|low|reasoning|fallback-na</x:t>
        </x:is>
      </x:c>
      <x:c r="C581" t="inlineStr">
        <x:is>
          <x:t xml:space="preserve">AA|v4.3.2</x:t>
        </x:is>
      </x:c>
      <x:c r="D581" t="n">
        <x:v>74</x:v>
      </x:c>
      <x:c r="E581" t="n">
        <x:v>45</x:v>
      </x:c>
      <x:c r="F581" t="n">
        <x:f>INDEX(Run_Metrics!$F:$F,D581)</x:f>
        <x:v>42</x:v>
      </x:c>
      <x:c r="G581" t="n">
        <x:f>INDEX(Run_Metrics!$G:$G,D581)</x:f>
        <x:v>1.99</x:v>
      </x:c>
      <x:c r="H581" t="str">
        <x:f>INDEX(Run_Metrics!$I:$I,D581)</x:f>
      </x:c>
      <x:c r="I581" t="n">
        <x:f>IF(F581="","",F581-(E581-1))</x:f>
        <x:v>-2</x:v>
      </x:c>
      <x:c r="J581" t="n">
        <x:f>IF(I581&gt;0,1,0)</x:f>
        <x:v>0</x:v>
      </x:c>
      <x:c r="K581" t="str">
        <x:f>IF(OR(J581=0,G581="",G581=0),"",I581/G581)</x:f>
      </x:c>
      <x:c r="L581" t="str">
        <x:f>IF(OR(J581=0,I581=0,G581=""),"",G581/I581)</x:f>
      </x:c>
      <x:c r="M581" t="str">
        <x:f>IF(OR(J581=0,G581="",H581="",G581=0,H581=0),"",I581/(G581*H581))</x:f>
      </x:c>
      <x:c r="N581" t="str">
        <x:f>IF(K581="","",K581/_xlfn.MAXIFS($K:$K,$E:$E,E581))</x:f>
      </x:c>
      <x:c r="O581" t="str">
        <x:f>IF(M581="","",M581/_xlfn.MAXIFS($M:$M,$E:$E,E581))</x:f>
      </x:c>
      <x:c r="P581" t="str">
        <x:f>IF(OR(N581="",O581=""),"",SQRT(N581*O581))</x:f>
      </x:c>
      <x:c r="Q581" t="str">
        <x:f>IF(OR(N581="",O581=""),"",N581^0.7*O581^0.3)</x:f>
      </x:c>
      <x:c r="R581" t="str">
        <x:f>IF(OR(N581="",O581=""),"",N581^0.3*O581^0.7)</x:f>
      </x:c>
    </x:row>
    <x:row r="582">
      <x:c r="A582" t="inlineStr">
        <x:is>
          <x:t xml:space="preserve">openai|gpt-6-1-sol|low|reasoning|fallback-na|aa-v4.3.2|snapshot-2026-10-11</x:t>
        </x:is>
      </x:c>
      <x:c r="B582" t="inlineStr">
        <x:is>
          <x:t xml:space="preserve">openai|gpt-6-1-sol|low|reasoning|fallback-na</x:t>
        </x:is>
      </x:c>
      <x:c r="C582" t="inlineStr">
        <x:is>
          <x:t xml:space="preserve">AA|v4.3.2</x:t>
        </x:is>
      </x:c>
      <x:c r="D582" t="n">
        <x:v>74</x:v>
      </x:c>
      <x:c r="E582" t="n">
        <x:v>50</x:v>
      </x:c>
      <x:c r="F582" t="n">
        <x:f>INDEX(Run_Metrics!$F:$F,D582)</x:f>
        <x:v>42</x:v>
      </x:c>
      <x:c r="G582" t="n">
        <x:f>INDEX(Run_Metrics!$G:$G,D582)</x:f>
        <x:v>1.99</x:v>
      </x:c>
      <x:c r="H582" t="str">
        <x:f>INDEX(Run_Metrics!$I:$I,D582)</x:f>
      </x:c>
      <x:c r="I582" t="n">
        <x:f>IF(F582="","",F582-(E582-1))</x:f>
        <x:v>-7</x:v>
      </x:c>
      <x:c r="J582" t="n">
        <x:f>IF(I582&gt;0,1,0)</x:f>
        <x:v>0</x:v>
      </x:c>
      <x:c r="K582" t="str">
        <x:f>IF(OR(J582=0,G582="",G582=0),"",I582/G582)</x:f>
      </x:c>
      <x:c r="L582" t="str">
        <x:f>IF(OR(J582=0,I582=0,G582=""),"",G582/I582)</x:f>
      </x:c>
      <x:c r="M582" t="str">
        <x:f>IF(OR(J582=0,G582="",H582="",G582=0,H582=0),"",I582/(G582*H582))</x:f>
      </x:c>
      <x:c r="N582" t="str">
        <x:f>IF(K582="","",K582/_xlfn.MAXIFS($K:$K,$E:$E,E582))</x:f>
      </x:c>
      <x:c r="O582" t="str">
        <x:f>IF(M582="","",M582/_xlfn.MAXIFS($M:$M,$E:$E,E582))</x:f>
      </x:c>
      <x:c r="P582" t="str">
        <x:f>IF(OR(N582="",O582=""),"",SQRT(N582*O582))</x:f>
      </x:c>
      <x:c r="Q582" t="str">
        <x:f>IF(OR(N582="",O582=""),"",N582^0.7*O582^0.3)</x:f>
      </x:c>
      <x:c r="R582" t="str">
        <x:f>IF(OR(N582="",O582=""),"",N582^0.3*O582^0.7)</x:f>
      </x:c>
    </x:row>
    <x:row r="583">
      <x:c r="A583" t="inlineStr">
        <x:is>
          <x:t xml:space="preserve">openai|gpt-6-1-sol|low|reasoning|fallback-na|aa-v4.3.2|snapshot-2026-10-11</x:t>
        </x:is>
      </x:c>
      <x:c r="B583" t="inlineStr">
        <x:is>
          <x:t xml:space="preserve">openai|gpt-6-1-sol|low|reasoning|fallback-na</x:t>
        </x:is>
      </x:c>
      <x:c r="C583" t="inlineStr">
        <x:is>
          <x:t xml:space="preserve">AA|v4.3.2</x:t>
        </x:is>
      </x:c>
      <x:c r="D583" t="n">
        <x:v>74</x:v>
      </x:c>
      <x:c r="E583" t="n">
        <x:v>52</x:v>
      </x:c>
      <x:c r="F583" t="n">
        <x:f>INDEX(Run_Metrics!$F:$F,D583)</x:f>
        <x:v>42</x:v>
      </x:c>
      <x:c r="G583" t="n">
        <x:f>INDEX(Run_Metrics!$G:$G,D583)</x:f>
        <x:v>1.99</x:v>
      </x:c>
      <x:c r="H583" t="str">
        <x:f>INDEX(Run_Metrics!$I:$I,D583)</x:f>
      </x:c>
      <x:c r="I583" t="n">
        <x:f>IF(F583="","",F583-(E583-1))</x:f>
        <x:v>-9</x:v>
      </x:c>
      <x:c r="J583" t="n">
        <x:f>IF(I583&gt;0,1,0)</x:f>
        <x:v>0</x:v>
      </x:c>
      <x:c r="K583" t="str">
        <x:f>IF(OR(J583=0,G583="",G583=0),"",I583/G583)</x:f>
      </x:c>
      <x:c r="L583" t="str">
        <x:f>IF(OR(J583=0,I583=0,G583=""),"",G583/I583)</x:f>
      </x:c>
      <x:c r="M583" t="str">
        <x:f>IF(OR(J583=0,G583="",H583="",G583=0,H583=0),"",I583/(G583*H583))</x:f>
      </x:c>
      <x:c r="N583" t="str">
        <x:f>IF(K583="","",K583/_xlfn.MAXIFS($K:$K,$E:$E,E583))</x:f>
      </x:c>
      <x:c r="O583" t="str">
        <x:f>IF(M583="","",M583/_xlfn.MAXIFS($M:$M,$E:$E,E583))</x:f>
      </x:c>
      <x:c r="P583" t="str">
        <x:f>IF(OR(N583="",O583=""),"",SQRT(N583*O583))</x:f>
      </x:c>
      <x:c r="Q583" t="str">
        <x:f>IF(OR(N583="",O583=""),"",N583^0.7*O583^0.3)</x:f>
      </x:c>
      <x:c r="R583" t="str">
        <x:f>IF(OR(N583="",O583=""),"",N583^0.3*O583^0.7)</x:f>
      </x:c>
    </x:row>
    <x:row r="584">
      <x:c r="A584" t="inlineStr">
        <x:is>
          <x:t xml:space="preserve">openai|gpt-6-1-sol|low|reasoning|fallback-na|aa-v4.3.2|snapshot-2026-10-11</x:t>
        </x:is>
      </x:c>
      <x:c r="B584" t="inlineStr">
        <x:is>
          <x:t xml:space="preserve">openai|gpt-6-1-sol|low|reasoning|fallback-na</x:t>
        </x:is>
      </x:c>
      <x:c r="C584" t="inlineStr">
        <x:is>
          <x:t xml:space="preserve">AA|v4.3.2</x:t>
        </x:is>
      </x:c>
      <x:c r="D584" t="n">
        <x:v>74</x:v>
      </x:c>
      <x:c r="E584" t="n">
        <x:v>65</x:v>
      </x:c>
      <x:c r="F584" t="n">
        <x:f>INDEX(Run_Metrics!$F:$F,D584)</x:f>
        <x:v>42</x:v>
      </x:c>
      <x:c r="G584" t="n">
        <x:f>INDEX(Run_Metrics!$G:$G,D584)</x:f>
        <x:v>1.99</x:v>
      </x:c>
      <x:c r="H584" t="str">
        <x:f>INDEX(Run_Metrics!$I:$I,D584)</x:f>
      </x:c>
      <x:c r="I584" t="n">
        <x:f>IF(F584="","",F584-(E584-1))</x:f>
        <x:v>-22</x:v>
      </x:c>
      <x:c r="J584" t="n">
        <x:f>IF(I584&gt;0,1,0)</x:f>
        <x:v>0</x:v>
      </x:c>
      <x:c r="K584" t="str">
        <x:f>IF(OR(J584=0,G584="",G584=0),"",I584/G584)</x:f>
      </x:c>
      <x:c r="L584" t="str">
        <x:f>IF(OR(J584=0,I584=0,G584=""),"",G584/I584)</x:f>
      </x:c>
      <x:c r="M584" t="str">
        <x:f>IF(OR(J584=0,G584="",H584="",G584=0,H584=0),"",I584/(G584*H584))</x:f>
      </x:c>
      <x:c r="N584" t="str">
        <x:f>IF(K584="","",K584/_xlfn.MAXIFS($K:$K,$E:$E,E584))</x:f>
      </x:c>
      <x:c r="O584" t="str">
        <x:f>IF(M584="","",M584/_xlfn.MAXIFS($M:$M,$E:$E,E584))</x:f>
      </x:c>
      <x:c r="P584" t="str">
        <x:f>IF(OR(N584="",O584=""),"",SQRT(N584*O584))</x:f>
      </x:c>
      <x:c r="Q584" t="str">
        <x:f>IF(OR(N584="",O584=""),"",N584^0.7*O584^0.3)</x:f>
      </x:c>
      <x:c r="R584" t="str">
        <x:f>IF(OR(N584="",O584=""),"",N584^0.3*O584^0.7)</x:f>
      </x:c>
    </x:row>
    <x:row r="585">
      <x:c r="A585" t="inlineStr">
        <x:is>
          <x:t xml:space="preserve">openai|gpt-6-1-sol|low|reasoning|fallback-na|aa-v4.3.2|snapshot-2026-10-11</x:t>
        </x:is>
      </x:c>
      <x:c r="B585" t="inlineStr">
        <x:is>
          <x:t xml:space="preserve">openai|gpt-6-1-sol|low|reasoning|fallback-na</x:t>
        </x:is>
      </x:c>
      <x:c r="C585" t="inlineStr">
        <x:is>
          <x:t xml:space="preserve">AA|v4.3.2</x:t>
        </x:is>
      </x:c>
      <x:c r="D585" t="n">
        <x:v>74</x:v>
      </x:c>
      <x:c r="E585" t="n">
        <x:v>80</x:v>
      </x:c>
      <x:c r="F585" t="n">
        <x:f>INDEX(Run_Metrics!$F:$F,D585)</x:f>
        <x:v>42</x:v>
      </x:c>
      <x:c r="G585" t="n">
        <x:f>INDEX(Run_Metrics!$G:$G,D585)</x:f>
        <x:v>1.99</x:v>
      </x:c>
      <x:c r="H585" t="str">
        <x:f>INDEX(Run_Metrics!$I:$I,D585)</x:f>
      </x:c>
      <x:c r="I585" t="n">
        <x:f>IF(F585="","",F585-(E585-1))</x:f>
        <x:v>-37</x:v>
      </x:c>
      <x:c r="J585" t="n">
        <x:f>IF(I585&gt;0,1,0)</x:f>
        <x:v>0</x:v>
      </x:c>
      <x:c r="K585" t="str">
        <x:f>IF(OR(J585=0,G585="",G585=0),"",I585/G585)</x:f>
      </x:c>
      <x:c r="L585" t="str">
        <x:f>IF(OR(J585=0,I585=0,G585=""),"",G585/I585)</x:f>
      </x:c>
      <x:c r="M585" t="str">
        <x:f>IF(OR(J585=0,G585="",H585="",G585=0,H585=0),"",I585/(G585*H585))</x:f>
      </x:c>
      <x:c r="N585" t="str">
        <x:f>IF(K585="","",K585/_xlfn.MAXIFS($K:$K,$E:$E,E585))</x:f>
      </x:c>
      <x:c r="O585" t="str">
        <x:f>IF(M585="","",M585/_xlfn.MAXIFS($M:$M,$E:$E,E585))</x:f>
      </x:c>
      <x:c r="P585" t="str">
        <x:f>IF(OR(N585="",O585=""),"",SQRT(N585*O585))</x:f>
      </x:c>
      <x:c r="Q585" t="str">
        <x:f>IF(OR(N585="",O585=""),"",N585^0.7*O585^0.3)</x:f>
      </x:c>
      <x:c r="R585" t="str">
        <x:f>IF(OR(N585="",O585=""),"",N585^0.3*O585^0.7)</x:f>
      </x:c>
    </x:row>
    <x:row r="586">
      <x:c r="A586" t="inlineStr">
        <x:is>
          <x:t xml:space="preserve">openai|gpt-6-1-sol|medium|reasoning|fallback-na|aa-v4.3.2|snapshot-2026-10-11</x:t>
        </x:is>
      </x:c>
      <x:c r="B586" t="inlineStr">
        <x:is>
          <x:t xml:space="preserve">openai|gpt-6-1-sol|medium|reasoning|fallback-na</x:t>
        </x:is>
      </x:c>
      <x:c r="C586" t="inlineStr">
        <x:is>
          <x:t xml:space="preserve">AA|v4.3.2</x:t>
        </x:is>
      </x:c>
      <x:c r="D586" t="n">
        <x:v>75</x:v>
      </x:c>
      <x:c r="E586" t="n">
        <x:v>20</x:v>
      </x:c>
      <x:c r="F586" t="n">
        <x:f>INDEX(Run_Metrics!$F:$F,D586)</x:f>
        <x:v>48</x:v>
      </x:c>
      <x:c r="G586" t="n">
        <x:f>INDEX(Run_Metrics!$G:$G,D586)</x:f>
        <x:v>1.99</x:v>
      </x:c>
      <x:c r="H586" t="str">
        <x:f>INDEX(Run_Metrics!$I:$I,D586)</x:f>
      </x:c>
      <x:c r="I586" t="n">
        <x:f>IF(F586="","",F586-(E586-1))</x:f>
        <x:v>29</x:v>
      </x:c>
      <x:c r="J586" t="n">
        <x:f>IF(I586&gt;0,1,0)</x:f>
        <x:v>1</x:v>
      </x:c>
      <x:c r="K586" t="n">
        <x:f>IF(OR(J586=0,G586="",G586=0),"",I586/G586)</x:f>
        <x:v>14.57286432160804</x:v>
      </x:c>
      <x:c r="L586" t="n">
        <x:f>IF(OR(J586=0,I586=0,G586=""),"",G586/I586)</x:f>
        <x:v>0.06862068965517241</x:v>
      </x:c>
      <x:c r="M586" t="str">
        <x:f>IF(OR(J586=0,G586="",H586="",G586=0,H586=0),"",I586/(G586*H586))</x:f>
      </x:c>
      <x:c r="N586" t="n">
        <x:f>IF(K586="","",K586/_xlfn.MAXIFS($K:$K,$E:$E,E586))</x:f>
        <x:v>0.02185929648241206</x:v>
      </x:c>
      <x:c r="O586" t="str">
        <x:f>IF(M586="","",M586/_xlfn.MAXIFS($M:$M,$E:$E,E586))</x:f>
      </x:c>
      <x:c r="P586" t="str">
        <x:f>IF(OR(N586="",O586=""),"",SQRT(N586*O586))</x:f>
      </x:c>
      <x:c r="Q586" t="str">
        <x:f>IF(OR(N586="",O586=""),"",N586^0.7*O586^0.3)</x:f>
      </x:c>
      <x:c r="R586" t="str">
        <x:f>IF(OR(N586="",O586=""),"",N586^0.3*O586^0.7)</x:f>
      </x:c>
    </x:row>
    <x:row r="587">
      <x:c r="A587" t="inlineStr">
        <x:is>
          <x:t xml:space="preserve">openai|gpt-6-1-sol|medium|reasoning|fallback-na|aa-v4.3.2|snapshot-2026-10-11</x:t>
        </x:is>
      </x:c>
      <x:c r="B587" t="inlineStr">
        <x:is>
          <x:t xml:space="preserve">openai|gpt-6-1-sol|medium|reasoning|fallback-na</x:t>
        </x:is>
      </x:c>
      <x:c r="C587" t="inlineStr">
        <x:is>
          <x:t xml:space="preserve">AA|v4.3.2</x:t>
        </x:is>
      </x:c>
      <x:c r="D587" t="n">
        <x:v>75</x:v>
      </x:c>
      <x:c r="E587" t="n">
        <x:v>30</x:v>
      </x:c>
      <x:c r="F587" t="n">
        <x:f>INDEX(Run_Metrics!$F:$F,D587)</x:f>
        <x:v>48</x:v>
      </x:c>
      <x:c r="G587" t="n">
        <x:f>INDEX(Run_Metrics!$G:$G,D587)</x:f>
        <x:v>1.99</x:v>
      </x:c>
      <x:c r="H587" t="str">
        <x:f>INDEX(Run_Metrics!$I:$I,D587)</x:f>
      </x:c>
      <x:c r="I587" t="n">
        <x:f>IF(F587="","",F587-(E587-1))</x:f>
        <x:v>19</x:v>
      </x:c>
      <x:c r="J587" t="n">
        <x:f>IF(I587&gt;0,1,0)</x:f>
        <x:v>1</x:v>
      </x:c>
      <x:c r="K587" t="n">
        <x:f>IF(OR(J587=0,G587="",G587=0),"",I587/G587)</x:f>
        <x:v>9.547738693467338</x:v>
      </x:c>
      <x:c r="L587" t="n">
        <x:f>IF(OR(J587=0,I587=0,G587=""),"",G587/I587)</x:f>
        <x:v>0.10473684210526316</x:v>
      </x:c>
      <x:c r="M587" t="str">
        <x:f>IF(OR(J587=0,G587="",H587="",G587=0,H587=0),"",I587/(G587*H587))</x:f>
      </x:c>
      <x:c r="N587" t="n">
        <x:f>IF(K587="","",K587/_xlfn.MAXIFS($K:$K,$E:$E,E587))</x:f>
        <x:v>0.06365159128978225</x:v>
      </x:c>
      <x:c r="O587" t="str">
        <x:f>IF(M587="","",M587/_xlfn.MAXIFS($M:$M,$E:$E,E587))</x:f>
      </x:c>
      <x:c r="P587" t="str">
        <x:f>IF(OR(N587="",O587=""),"",SQRT(N587*O587))</x:f>
      </x:c>
      <x:c r="Q587" t="str">
        <x:f>IF(OR(N587="",O587=""),"",N587^0.7*O587^0.3)</x:f>
      </x:c>
      <x:c r="R587" t="str">
        <x:f>IF(OR(N587="",O587=""),"",N587^0.3*O587^0.7)</x:f>
      </x:c>
    </x:row>
    <x:row r="588">
      <x:c r="A588" t="inlineStr">
        <x:is>
          <x:t xml:space="preserve">openai|gpt-6-1-sol|medium|reasoning|fallback-na|aa-v4.3.2|snapshot-2026-10-11</x:t>
        </x:is>
      </x:c>
      <x:c r="B588" t="inlineStr">
        <x:is>
          <x:t xml:space="preserve">openai|gpt-6-1-sol|medium|reasoning|fallback-na</x:t>
        </x:is>
      </x:c>
      <x:c r="C588" t="inlineStr">
        <x:is>
          <x:t xml:space="preserve">AA|v4.3.2</x:t>
        </x:is>
      </x:c>
      <x:c r="D588" t="n">
        <x:v>75</x:v>
      </x:c>
      <x:c r="E588" t="n">
        <x:v>40</x:v>
      </x:c>
      <x:c r="F588" t="n">
        <x:f>INDEX(Run_Metrics!$F:$F,D588)</x:f>
        <x:v>48</x:v>
      </x:c>
      <x:c r="G588" t="n">
        <x:f>INDEX(Run_Metrics!$G:$G,D588)</x:f>
        <x:v>1.99</x:v>
      </x:c>
      <x:c r="H588" t="str">
        <x:f>INDEX(Run_Metrics!$I:$I,D588)</x:f>
      </x:c>
      <x:c r="I588" t="n">
        <x:f>IF(F588="","",F588-(E588-1))</x:f>
        <x:v>9</x:v>
      </x:c>
      <x:c r="J588" t="n">
        <x:f>IF(I588&gt;0,1,0)</x:f>
        <x:v>1</x:v>
      </x:c>
      <x:c r="K588" t="n">
        <x:f>IF(OR(J588=0,G588="",G588=0),"",I588/G588)</x:f>
        <x:v>4.522613065326633</x:v>
      </x:c>
      <x:c r="L588" t="n">
        <x:f>IF(OR(J588=0,I588=0,G588=""),"",G588/I588)</x:f>
        <x:v>0.22111111111111112</x:v>
      </x:c>
      <x:c r="M588" t="str">
        <x:f>IF(OR(J588=0,G588="",H588="",G588=0,H588=0),"",I588/(G588*H588))</x:f>
      </x:c>
      <x:c r="N588" t="n">
        <x:f>IF(K588="","",K588/_xlfn.MAXIFS($K:$K,$E:$E,E588))</x:f>
        <x:v>0.08399138549892318</x:v>
      </x:c>
      <x:c r="O588" t="str">
        <x:f>IF(M588="","",M588/_xlfn.MAXIFS($M:$M,$E:$E,E588))</x:f>
      </x:c>
      <x:c r="P588" t="str">
        <x:f>IF(OR(N588="",O588=""),"",SQRT(N588*O588))</x:f>
      </x:c>
      <x:c r="Q588" t="str">
        <x:f>IF(OR(N588="",O588=""),"",N588^0.7*O588^0.3)</x:f>
      </x:c>
      <x:c r="R588" t="str">
        <x:f>IF(OR(N588="",O588=""),"",N588^0.3*O588^0.7)</x:f>
      </x:c>
    </x:row>
    <x:row r="589">
      <x:c r="A589" t="inlineStr">
        <x:is>
          <x:t xml:space="preserve">openai|gpt-6-1-sol|medium|reasoning|fallback-na|aa-v4.3.2|snapshot-2026-10-11</x:t>
        </x:is>
      </x:c>
      <x:c r="B589" t="inlineStr">
        <x:is>
          <x:t xml:space="preserve">openai|gpt-6-1-sol|medium|reasoning|fallback-na</x:t>
        </x:is>
      </x:c>
      <x:c r="C589" t="inlineStr">
        <x:is>
          <x:t xml:space="preserve">AA|v4.3.2</x:t>
        </x:is>
      </x:c>
      <x:c r="D589" t="n">
        <x:v>75</x:v>
      </x:c>
      <x:c r="E589" t="n">
        <x:v>45</x:v>
      </x:c>
      <x:c r="F589" t="n">
        <x:f>INDEX(Run_Metrics!$F:$F,D589)</x:f>
        <x:v>48</x:v>
      </x:c>
      <x:c r="G589" t="n">
        <x:f>INDEX(Run_Metrics!$G:$G,D589)</x:f>
        <x:v>1.99</x:v>
      </x:c>
      <x:c r="H589" t="str">
        <x:f>INDEX(Run_Metrics!$I:$I,D589)</x:f>
      </x:c>
      <x:c r="I589" t="n">
        <x:f>IF(F589="","",F589-(E589-1))</x:f>
        <x:v>4</x:v>
      </x:c>
      <x:c r="J589" t="n">
        <x:f>IF(I589&gt;0,1,0)</x:f>
        <x:v>1</x:v>
      </x:c>
      <x:c r="K589" t="n">
        <x:f>IF(OR(J589=0,G589="",G589=0),"",I589/G589)</x:f>
        <x:v>2.0100502512562812</x:v>
      </x:c>
      <x:c r="L589" t="n">
        <x:f>IF(OR(J589=0,I589=0,G589=""),"",G589/I589)</x:f>
        <x:v>0.4975</x:v>
      </x:c>
      <x:c r="M589" t="str">
        <x:f>IF(OR(J589=0,G589="",H589="",G589=0,H589=0),"",I589/(G589*H589))</x:f>
      </x:c>
      <x:c r="N589" t="n">
        <x:f>IF(K589="","",K589/_xlfn.MAXIFS($K:$K,$E:$E,E589))</x:f>
        <x:v>0.10552763819095476</x:v>
      </x:c>
      <x:c r="O589" t="str">
        <x:f>IF(M589="","",M589/_xlfn.MAXIFS($M:$M,$E:$E,E589))</x:f>
      </x:c>
      <x:c r="P589" t="str">
        <x:f>IF(OR(N589="",O589=""),"",SQRT(N589*O589))</x:f>
      </x:c>
      <x:c r="Q589" t="str">
        <x:f>IF(OR(N589="",O589=""),"",N589^0.7*O589^0.3)</x:f>
      </x:c>
      <x:c r="R589" t="str">
        <x:f>IF(OR(N589="",O589=""),"",N589^0.3*O589^0.7)</x:f>
      </x:c>
    </x:row>
    <x:row r="590">
      <x:c r="A590" t="inlineStr">
        <x:is>
          <x:t xml:space="preserve">openai|gpt-6-1-sol|medium|reasoning|fallback-na|aa-v4.3.2|snapshot-2026-10-11</x:t>
        </x:is>
      </x:c>
      <x:c r="B590" t="inlineStr">
        <x:is>
          <x:t xml:space="preserve">openai|gpt-6-1-sol|medium|reasoning|fallback-na</x:t>
        </x:is>
      </x:c>
      <x:c r="C590" t="inlineStr">
        <x:is>
          <x:t xml:space="preserve">AA|v4.3.2</x:t>
        </x:is>
      </x:c>
      <x:c r="D590" t="n">
        <x:v>75</x:v>
      </x:c>
      <x:c r="E590" t="n">
        <x:v>50</x:v>
      </x:c>
      <x:c r="F590" t="n">
        <x:f>INDEX(Run_Metrics!$F:$F,D590)</x:f>
        <x:v>48</x:v>
      </x:c>
      <x:c r="G590" t="n">
        <x:f>INDEX(Run_Metrics!$G:$G,D590)</x:f>
        <x:v>1.99</x:v>
      </x:c>
      <x:c r="H590" t="str">
        <x:f>INDEX(Run_Metrics!$I:$I,D590)</x:f>
      </x:c>
      <x:c r="I590" t="n">
        <x:f>IF(F590="","",F590-(E590-1))</x:f>
        <x:v>-1</x:v>
      </x:c>
      <x:c r="J590" t="n">
        <x:f>IF(I590&gt;0,1,0)</x:f>
        <x:v>0</x:v>
      </x:c>
      <x:c r="K590" t="str">
        <x:f>IF(OR(J590=0,G590="",G590=0),"",I590/G590)</x:f>
      </x:c>
      <x:c r="L590" t="str">
        <x:f>IF(OR(J590=0,I590=0,G590=""),"",G590/I590)</x:f>
      </x:c>
      <x:c r="M590" t="str">
        <x:f>IF(OR(J590=0,G590="",H590="",G590=0,H590=0),"",I590/(G590*H590))</x:f>
      </x:c>
      <x:c r="N590" t="str">
        <x:f>IF(K590="","",K590/_xlfn.MAXIFS($K:$K,$E:$E,E590))</x:f>
      </x:c>
      <x:c r="O590" t="str">
        <x:f>IF(M590="","",M590/_xlfn.MAXIFS($M:$M,$E:$E,E590))</x:f>
      </x:c>
      <x:c r="P590" t="str">
        <x:f>IF(OR(N590="",O590=""),"",SQRT(N590*O590))</x:f>
      </x:c>
      <x:c r="Q590" t="str">
        <x:f>IF(OR(N590="",O590=""),"",N590^0.7*O590^0.3)</x:f>
      </x:c>
      <x:c r="R590" t="str">
        <x:f>IF(OR(N590="",O590=""),"",N590^0.3*O590^0.7)</x:f>
      </x:c>
    </x:row>
    <x:row r="591">
      <x:c r="A591" t="inlineStr">
        <x:is>
          <x:t xml:space="preserve">openai|gpt-6-1-sol|medium|reasoning|fallback-na|aa-v4.3.2|snapshot-2026-10-11</x:t>
        </x:is>
      </x:c>
      <x:c r="B591" t="inlineStr">
        <x:is>
          <x:t xml:space="preserve">openai|gpt-6-1-sol|medium|reasoning|fallback-na</x:t>
        </x:is>
      </x:c>
      <x:c r="C591" t="inlineStr">
        <x:is>
          <x:t xml:space="preserve">AA|v4.3.2</x:t>
        </x:is>
      </x:c>
      <x:c r="D591" t="n">
        <x:v>75</x:v>
      </x:c>
      <x:c r="E591" t="n">
        <x:v>52</x:v>
      </x:c>
      <x:c r="F591" t="n">
        <x:f>INDEX(Run_Metrics!$F:$F,D591)</x:f>
        <x:v>48</x:v>
      </x:c>
      <x:c r="G591" t="n">
        <x:f>INDEX(Run_Metrics!$G:$G,D591)</x:f>
        <x:v>1.99</x:v>
      </x:c>
      <x:c r="H591" t="str">
        <x:f>INDEX(Run_Metrics!$I:$I,D591)</x:f>
      </x:c>
      <x:c r="I591" t="n">
        <x:f>IF(F591="","",F591-(E591-1))</x:f>
        <x:v>-3</x:v>
      </x:c>
      <x:c r="J591" t="n">
        <x:f>IF(I591&gt;0,1,0)</x:f>
        <x:v>0</x:v>
      </x:c>
      <x:c r="K591" t="str">
        <x:f>IF(OR(J591=0,G591="",G591=0),"",I591/G591)</x:f>
      </x:c>
      <x:c r="L591" t="str">
        <x:f>IF(OR(J591=0,I591=0,G591=""),"",G591/I591)</x:f>
      </x:c>
      <x:c r="M591" t="str">
        <x:f>IF(OR(J591=0,G591="",H591="",G591=0,H591=0),"",I591/(G591*H591))</x:f>
      </x:c>
      <x:c r="N591" t="str">
        <x:f>IF(K591="","",K591/_xlfn.MAXIFS($K:$K,$E:$E,E591))</x:f>
      </x:c>
      <x:c r="O591" t="str">
        <x:f>IF(M591="","",M591/_xlfn.MAXIFS($M:$M,$E:$E,E591))</x:f>
      </x:c>
      <x:c r="P591" t="str">
        <x:f>IF(OR(N591="",O591=""),"",SQRT(N591*O591))</x:f>
      </x:c>
      <x:c r="Q591" t="str">
        <x:f>IF(OR(N591="",O591=""),"",N591^0.7*O591^0.3)</x:f>
      </x:c>
      <x:c r="R591" t="str">
        <x:f>IF(OR(N591="",O591=""),"",N591^0.3*O591^0.7)</x:f>
      </x:c>
    </x:row>
    <x:row r="592">
      <x:c r="A592" t="inlineStr">
        <x:is>
          <x:t xml:space="preserve">openai|gpt-6-1-sol|medium|reasoning|fallback-na|aa-v4.3.2|snapshot-2026-10-11</x:t>
        </x:is>
      </x:c>
      <x:c r="B592" t="inlineStr">
        <x:is>
          <x:t xml:space="preserve">openai|gpt-6-1-sol|medium|reasoning|fallback-na</x:t>
        </x:is>
      </x:c>
      <x:c r="C592" t="inlineStr">
        <x:is>
          <x:t xml:space="preserve">AA|v4.3.2</x:t>
        </x:is>
      </x:c>
      <x:c r="D592" t="n">
        <x:v>75</x:v>
      </x:c>
      <x:c r="E592" t="n">
        <x:v>65</x:v>
      </x:c>
      <x:c r="F592" t="n">
        <x:f>INDEX(Run_Metrics!$F:$F,D592)</x:f>
        <x:v>48</x:v>
      </x:c>
      <x:c r="G592" t="n">
        <x:f>INDEX(Run_Metrics!$G:$G,D592)</x:f>
        <x:v>1.99</x:v>
      </x:c>
      <x:c r="H592" t="str">
        <x:f>INDEX(Run_Metrics!$I:$I,D592)</x:f>
      </x:c>
      <x:c r="I592" t="n">
        <x:f>IF(F592="","",F592-(E592-1))</x:f>
        <x:v>-16</x:v>
      </x:c>
      <x:c r="J592" t="n">
        <x:f>IF(I592&gt;0,1,0)</x:f>
        <x:v>0</x:v>
      </x:c>
      <x:c r="K592" t="str">
        <x:f>IF(OR(J592=0,G592="",G592=0),"",I592/G592)</x:f>
      </x:c>
      <x:c r="L592" t="str">
        <x:f>IF(OR(J592=0,I592=0,G592=""),"",G592/I592)</x:f>
      </x:c>
      <x:c r="M592" t="str">
        <x:f>IF(OR(J592=0,G592="",H592="",G592=0,H592=0),"",I592/(G592*H592))</x:f>
      </x:c>
      <x:c r="N592" t="str">
        <x:f>IF(K592="","",K592/_xlfn.MAXIFS($K:$K,$E:$E,E592))</x:f>
      </x:c>
      <x:c r="O592" t="str">
        <x:f>IF(M592="","",M592/_xlfn.MAXIFS($M:$M,$E:$E,E592))</x:f>
      </x:c>
      <x:c r="P592" t="str">
        <x:f>IF(OR(N592="",O592=""),"",SQRT(N592*O592))</x:f>
      </x:c>
      <x:c r="Q592" t="str">
        <x:f>IF(OR(N592="",O592=""),"",N592^0.7*O592^0.3)</x:f>
      </x:c>
      <x:c r="R592" t="str">
        <x:f>IF(OR(N592="",O592=""),"",N592^0.3*O592^0.7)</x:f>
      </x:c>
    </x:row>
    <x:row r="593">
      <x:c r="A593" t="inlineStr">
        <x:is>
          <x:t xml:space="preserve">openai|gpt-6-1-sol|medium|reasoning|fallback-na|aa-v4.3.2|snapshot-2026-10-11</x:t>
        </x:is>
      </x:c>
      <x:c r="B593" t="inlineStr">
        <x:is>
          <x:t xml:space="preserve">openai|gpt-6-1-sol|medium|reasoning|fallback-na</x:t>
        </x:is>
      </x:c>
      <x:c r="C593" t="inlineStr">
        <x:is>
          <x:t xml:space="preserve">AA|v4.3.2</x:t>
        </x:is>
      </x:c>
      <x:c r="D593" t="n">
        <x:v>75</x:v>
      </x:c>
      <x:c r="E593" t="n">
        <x:v>80</x:v>
      </x:c>
      <x:c r="F593" t="n">
        <x:f>INDEX(Run_Metrics!$F:$F,D593)</x:f>
        <x:v>48</x:v>
      </x:c>
      <x:c r="G593" t="n">
        <x:f>INDEX(Run_Metrics!$G:$G,D593)</x:f>
        <x:v>1.99</x:v>
      </x:c>
      <x:c r="H593" t="str">
        <x:f>INDEX(Run_Metrics!$I:$I,D593)</x:f>
      </x:c>
      <x:c r="I593" t="n">
        <x:f>IF(F593="","",F593-(E593-1))</x:f>
        <x:v>-31</x:v>
      </x:c>
      <x:c r="J593" t="n">
        <x:f>IF(I593&gt;0,1,0)</x:f>
        <x:v>0</x:v>
      </x:c>
      <x:c r="K593" t="str">
        <x:f>IF(OR(J593=0,G593="",G593=0),"",I593/G593)</x:f>
      </x:c>
      <x:c r="L593" t="str">
        <x:f>IF(OR(J593=0,I593=0,G593=""),"",G593/I593)</x:f>
      </x:c>
      <x:c r="M593" t="str">
        <x:f>IF(OR(J593=0,G593="",H593="",G593=0,H593=0),"",I593/(G593*H593))</x:f>
      </x:c>
      <x:c r="N593" t="str">
        <x:f>IF(K593="","",K593/_xlfn.MAXIFS($K:$K,$E:$E,E593))</x:f>
      </x:c>
      <x:c r="O593" t="str">
        <x:f>IF(M593="","",M593/_xlfn.MAXIFS($M:$M,$E:$E,E593))</x:f>
      </x:c>
      <x:c r="P593" t="str">
        <x:f>IF(OR(N593="",O593=""),"",SQRT(N593*O593))</x:f>
      </x:c>
      <x:c r="Q593" t="str">
        <x:f>IF(OR(N593="",O593=""),"",N593^0.7*O593^0.3)</x:f>
      </x:c>
      <x:c r="R593" t="str">
        <x:f>IF(OR(N593="",O593=""),"",N593^0.3*O593^0.7)</x:f>
      </x:c>
    </x:row>
    <x:row r="594">
      <x:c r="A594" t="inlineStr">
        <x:is>
          <x:t xml:space="preserve">openai|gpt-6-1-sol|high|reasoning|fallback-na|aa-v4.3.2|snapshot-2026-10-11</x:t>
        </x:is>
      </x:c>
      <x:c r="B594" t="inlineStr">
        <x:is>
          <x:t xml:space="preserve">openai|gpt-6-1-sol|high|reasoning|fallback-na</x:t>
        </x:is>
      </x:c>
      <x:c r="C594" t="inlineStr">
        <x:is>
          <x:t xml:space="preserve">AA|v4.3.2</x:t>
        </x:is>
      </x:c>
      <x:c r="D594" t="n">
        <x:v>76</x:v>
      </x:c>
      <x:c r="E594" t="n">
        <x:v>20</x:v>
      </x:c>
      <x:c r="F594" t="n">
        <x:f>INDEX(Run_Metrics!$F:$F,D594)</x:f>
        <x:v>50</x:v>
      </x:c>
      <x:c r="G594" t="n">
        <x:f>INDEX(Run_Metrics!$G:$G,D594)</x:f>
        <x:v>1.99</x:v>
      </x:c>
      <x:c r="H594" t="str">
        <x:f>INDEX(Run_Metrics!$I:$I,D594)</x:f>
      </x:c>
      <x:c r="I594" t="n">
        <x:f>IF(F594="","",F594-(E594-1))</x:f>
        <x:v>31</x:v>
      </x:c>
      <x:c r="J594" t="n">
        <x:f>IF(I594&gt;0,1,0)</x:f>
        <x:v>1</x:v>
      </x:c>
      <x:c r="K594" t="n">
        <x:f>IF(OR(J594=0,G594="",G594=0),"",I594/G594)</x:f>
        <x:v>15.577889447236181</x:v>
      </x:c>
      <x:c r="L594" t="n">
        <x:f>IF(OR(J594=0,I594=0,G594=""),"",G594/I594)</x:f>
        <x:v>0.06419354838709677</x:v>
      </x:c>
      <x:c r="M594" t="str">
        <x:f>IF(OR(J594=0,G594="",H594="",G594=0,H594=0),"",I594/(G594*H594))</x:f>
      </x:c>
      <x:c r="N594" t="n">
        <x:f>IF(K594="","",K594/_xlfn.MAXIFS($K:$K,$E:$E,E594))</x:f>
        <x:v>0.023366834170854268</x:v>
      </x:c>
      <x:c r="O594" t="str">
        <x:f>IF(M594="","",M594/_xlfn.MAXIFS($M:$M,$E:$E,E594))</x:f>
      </x:c>
      <x:c r="P594" t="str">
        <x:f>IF(OR(N594="",O594=""),"",SQRT(N594*O594))</x:f>
      </x:c>
      <x:c r="Q594" t="str">
        <x:f>IF(OR(N594="",O594=""),"",N594^0.7*O594^0.3)</x:f>
      </x:c>
      <x:c r="R594" t="str">
        <x:f>IF(OR(N594="",O594=""),"",N594^0.3*O594^0.7)</x:f>
      </x:c>
    </x:row>
    <x:row r="595">
      <x:c r="A595" t="inlineStr">
        <x:is>
          <x:t xml:space="preserve">openai|gpt-6-1-sol|high|reasoning|fallback-na|aa-v4.3.2|snapshot-2026-10-11</x:t>
        </x:is>
      </x:c>
      <x:c r="B595" t="inlineStr">
        <x:is>
          <x:t xml:space="preserve">openai|gpt-6-1-sol|high|reasoning|fallback-na</x:t>
        </x:is>
      </x:c>
      <x:c r="C595" t="inlineStr">
        <x:is>
          <x:t xml:space="preserve">AA|v4.3.2</x:t>
        </x:is>
      </x:c>
      <x:c r="D595" t="n">
        <x:v>76</x:v>
      </x:c>
      <x:c r="E595" t="n">
        <x:v>30</x:v>
      </x:c>
      <x:c r="F595" t="n">
        <x:f>INDEX(Run_Metrics!$F:$F,D595)</x:f>
        <x:v>50</x:v>
      </x:c>
      <x:c r="G595" t="n">
        <x:f>INDEX(Run_Metrics!$G:$G,D595)</x:f>
        <x:v>1.99</x:v>
      </x:c>
      <x:c r="H595" t="str">
        <x:f>INDEX(Run_Metrics!$I:$I,D595)</x:f>
      </x:c>
      <x:c r="I595" t="n">
        <x:f>IF(F595="","",F595-(E595-1))</x:f>
        <x:v>21</x:v>
      </x:c>
      <x:c r="J595" t="n">
        <x:f>IF(I595&gt;0,1,0)</x:f>
        <x:v>1</x:v>
      </x:c>
      <x:c r="K595" t="n">
        <x:f>IF(OR(J595=0,G595="",G595=0),"",I595/G595)</x:f>
        <x:v>10.552763819095478</x:v>
      </x:c>
      <x:c r="L595" t="n">
        <x:f>IF(OR(J595=0,I595=0,G595=""),"",G595/I595)</x:f>
        <x:v>0.09476190476190476</x:v>
      </x:c>
      <x:c r="M595" t="str">
        <x:f>IF(OR(J595=0,G595="",H595="",G595=0,H595=0),"",I595/(G595*H595))</x:f>
      </x:c>
      <x:c r="N595" t="n">
        <x:f>IF(K595="","",K595/_xlfn.MAXIFS($K:$K,$E:$E,E595))</x:f>
        <x:v>0.07035175879396985</x:v>
      </x:c>
      <x:c r="O595" t="str">
        <x:f>IF(M595="","",M595/_xlfn.MAXIFS($M:$M,$E:$E,E595))</x:f>
      </x:c>
      <x:c r="P595" t="str">
        <x:f>IF(OR(N595="",O595=""),"",SQRT(N595*O595))</x:f>
      </x:c>
      <x:c r="Q595" t="str">
        <x:f>IF(OR(N595="",O595=""),"",N595^0.7*O595^0.3)</x:f>
      </x:c>
      <x:c r="R595" t="str">
        <x:f>IF(OR(N595="",O595=""),"",N595^0.3*O595^0.7)</x:f>
      </x:c>
    </x:row>
    <x:row r="596">
      <x:c r="A596" t="inlineStr">
        <x:is>
          <x:t xml:space="preserve">openai|gpt-6-1-sol|high|reasoning|fallback-na|aa-v4.3.2|snapshot-2026-10-11</x:t>
        </x:is>
      </x:c>
      <x:c r="B596" t="inlineStr">
        <x:is>
          <x:t xml:space="preserve">openai|gpt-6-1-sol|high|reasoning|fallback-na</x:t>
        </x:is>
      </x:c>
      <x:c r="C596" t="inlineStr">
        <x:is>
          <x:t xml:space="preserve">AA|v4.3.2</x:t>
        </x:is>
      </x:c>
      <x:c r="D596" t="n">
        <x:v>76</x:v>
      </x:c>
      <x:c r="E596" t="n">
        <x:v>40</x:v>
      </x:c>
      <x:c r="F596" t="n">
        <x:f>INDEX(Run_Metrics!$F:$F,D596)</x:f>
        <x:v>50</x:v>
      </x:c>
      <x:c r="G596" t="n">
        <x:f>INDEX(Run_Metrics!$G:$G,D596)</x:f>
        <x:v>1.99</x:v>
      </x:c>
      <x:c r="H596" t="str">
        <x:f>INDEX(Run_Metrics!$I:$I,D596)</x:f>
      </x:c>
      <x:c r="I596" t="n">
        <x:f>IF(F596="","",F596-(E596-1))</x:f>
        <x:v>11</x:v>
      </x:c>
      <x:c r="J596" t="n">
        <x:f>IF(I596&gt;0,1,0)</x:f>
        <x:v>1</x:v>
      </x:c>
      <x:c r="K596" t="n">
        <x:f>IF(OR(J596=0,G596="",G596=0),"",I596/G596)</x:f>
        <x:v>5.527638190954774</x:v>
      </x:c>
      <x:c r="L596" t="n">
        <x:f>IF(OR(J596=0,I596=0,G596=""),"",G596/I596)</x:f>
        <x:v>0.1809090909090909</x:v>
      </x:c>
      <x:c r="M596" t="str">
        <x:f>IF(OR(J596=0,G596="",H596="",G596=0,H596=0),"",I596/(G596*H596))</x:f>
      </x:c>
      <x:c r="N596" t="n">
        <x:f>IF(K596="","",K596/_xlfn.MAXIFS($K:$K,$E:$E,E596))</x:f>
        <x:v>0.10265613783201724</x:v>
      </x:c>
      <x:c r="O596" t="str">
        <x:f>IF(M596="","",M596/_xlfn.MAXIFS($M:$M,$E:$E,E596))</x:f>
      </x:c>
      <x:c r="P596" t="str">
        <x:f>IF(OR(N596="",O596=""),"",SQRT(N596*O596))</x:f>
      </x:c>
      <x:c r="Q596" t="str">
        <x:f>IF(OR(N596="",O596=""),"",N596^0.7*O596^0.3)</x:f>
      </x:c>
      <x:c r="R596" t="str">
        <x:f>IF(OR(N596="",O596=""),"",N596^0.3*O596^0.7)</x:f>
      </x:c>
    </x:row>
    <x:row r="597">
      <x:c r="A597" t="inlineStr">
        <x:is>
          <x:t xml:space="preserve">openai|gpt-6-1-sol|high|reasoning|fallback-na|aa-v4.3.2|snapshot-2026-10-11</x:t>
        </x:is>
      </x:c>
      <x:c r="B597" t="inlineStr">
        <x:is>
          <x:t xml:space="preserve">openai|gpt-6-1-sol|high|reasoning|fallback-na</x:t>
        </x:is>
      </x:c>
      <x:c r="C597" t="inlineStr">
        <x:is>
          <x:t xml:space="preserve">AA|v4.3.2</x:t>
        </x:is>
      </x:c>
      <x:c r="D597" t="n">
        <x:v>76</x:v>
      </x:c>
      <x:c r="E597" t="n">
        <x:v>45</x:v>
      </x:c>
      <x:c r="F597" t="n">
        <x:f>INDEX(Run_Metrics!$F:$F,D597)</x:f>
        <x:v>50</x:v>
      </x:c>
      <x:c r="G597" t="n">
        <x:f>INDEX(Run_Metrics!$G:$G,D597)</x:f>
        <x:v>1.99</x:v>
      </x:c>
      <x:c r="H597" t="str">
        <x:f>INDEX(Run_Metrics!$I:$I,D597)</x:f>
      </x:c>
      <x:c r="I597" t="n">
        <x:f>IF(F597="","",F597-(E597-1))</x:f>
        <x:v>6</x:v>
      </x:c>
      <x:c r="J597" t="n">
        <x:f>IF(I597&gt;0,1,0)</x:f>
        <x:v>1</x:v>
      </x:c>
      <x:c r="K597" t="n">
        <x:f>IF(OR(J597=0,G597="",G597=0),"",I597/G597)</x:f>
        <x:v>3.0150753768844223</x:v>
      </x:c>
      <x:c r="L597" t="n">
        <x:f>IF(OR(J597=0,I597=0,G597=""),"",G597/I597)</x:f>
        <x:v>0.33166666666666667</x:v>
      </x:c>
      <x:c r="M597" t="str">
        <x:f>IF(OR(J597=0,G597="",H597="",G597=0,H597=0),"",I597/(G597*H597))</x:f>
      </x:c>
      <x:c r="N597" t="n">
        <x:f>IF(K597="","",K597/_xlfn.MAXIFS($K:$K,$E:$E,E597))</x:f>
        <x:v>0.15829145728643218</x:v>
      </x:c>
      <x:c r="O597" t="str">
        <x:f>IF(M597="","",M597/_xlfn.MAXIFS($M:$M,$E:$E,E597))</x:f>
      </x:c>
      <x:c r="P597" t="str">
        <x:f>IF(OR(N597="",O597=""),"",SQRT(N597*O597))</x:f>
      </x:c>
      <x:c r="Q597" t="str">
        <x:f>IF(OR(N597="",O597=""),"",N597^0.7*O597^0.3)</x:f>
      </x:c>
      <x:c r="R597" t="str">
        <x:f>IF(OR(N597="",O597=""),"",N597^0.3*O597^0.7)</x:f>
      </x:c>
    </x:row>
    <x:row r="598">
      <x:c r="A598" t="inlineStr">
        <x:is>
          <x:t xml:space="preserve">openai|gpt-6-1-sol|high|reasoning|fallback-na|aa-v4.3.2|snapshot-2026-10-11</x:t>
        </x:is>
      </x:c>
      <x:c r="B598" t="inlineStr">
        <x:is>
          <x:t xml:space="preserve">openai|gpt-6-1-sol|high|reasoning|fallback-na</x:t>
        </x:is>
      </x:c>
      <x:c r="C598" t="inlineStr">
        <x:is>
          <x:t xml:space="preserve">AA|v4.3.2</x:t>
        </x:is>
      </x:c>
      <x:c r="D598" t="n">
        <x:v>76</x:v>
      </x:c>
      <x:c r="E598" t="n">
        <x:v>50</x:v>
      </x:c>
      <x:c r="F598" t="n">
        <x:f>INDEX(Run_Metrics!$F:$F,D598)</x:f>
        <x:v>50</x:v>
      </x:c>
      <x:c r="G598" t="n">
        <x:f>INDEX(Run_Metrics!$G:$G,D598)</x:f>
        <x:v>1.99</x:v>
      </x:c>
      <x:c r="H598" t="str">
        <x:f>INDEX(Run_Metrics!$I:$I,D598)</x:f>
      </x:c>
      <x:c r="I598" t="n">
        <x:f>IF(F598="","",F598-(E598-1))</x:f>
        <x:v>1</x:v>
      </x:c>
      <x:c r="J598" t="n">
        <x:f>IF(I598&gt;0,1,0)</x:f>
        <x:v>1</x:v>
      </x:c>
      <x:c r="K598" t="n">
        <x:f>IF(OR(J598=0,G598="",G598=0),"",I598/G598)</x:f>
        <x:v>0.5025125628140703</x:v>
      </x:c>
      <x:c r="L598" t="n">
        <x:f>IF(OR(J598=0,I598=0,G598=""),"",G598/I598)</x:f>
        <x:v>1.99</x:v>
      </x:c>
      <x:c r="M598" t="str">
        <x:f>IF(OR(J598=0,G598="",H598="",G598=0,H598=0),"",I598/(G598*H598))</x:f>
      </x:c>
      <x:c r="N598" t="n">
        <x:f>IF(K598="","",K598/_xlfn.MAXIFS($K:$K,$E:$E,E598))</x:f>
        <x:v>0.09798994974874371</x:v>
      </x:c>
      <x:c r="O598" t="str">
        <x:f>IF(M598="","",M598/_xlfn.MAXIFS($M:$M,$E:$E,E598))</x:f>
      </x:c>
      <x:c r="P598" t="str">
        <x:f>IF(OR(N598="",O598=""),"",SQRT(N598*O598))</x:f>
      </x:c>
      <x:c r="Q598" t="str">
        <x:f>IF(OR(N598="",O598=""),"",N598^0.7*O598^0.3)</x:f>
      </x:c>
      <x:c r="R598" t="str">
        <x:f>IF(OR(N598="",O598=""),"",N598^0.3*O598^0.7)</x:f>
      </x:c>
    </x:row>
    <x:row r="599">
      <x:c r="A599" t="inlineStr">
        <x:is>
          <x:t xml:space="preserve">openai|gpt-6-1-sol|high|reasoning|fallback-na|aa-v4.3.2|snapshot-2026-10-11</x:t>
        </x:is>
      </x:c>
      <x:c r="B599" t="inlineStr">
        <x:is>
          <x:t xml:space="preserve">openai|gpt-6-1-sol|high|reasoning|fallback-na</x:t>
        </x:is>
      </x:c>
      <x:c r="C599" t="inlineStr">
        <x:is>
          <x:t xml:space="preserve">AA|v4.3.2</x:t>
        </x:is>
      </x:c>
      <x:c r="D599" t="n">
        <x:v>76</x:v>
      </x:c>
      <x:c r="E599" t="n">
        <x:v>52</x:v>
      </x:c>
      <x:c r="F599" t="n">
        <x:f>INDEX(Run_Metrics!$F:$F,D599)</x:f>
        <x:v>50</x:v>
      </x:c>
      <x:c r="G599" t="n">
        <x:f>INDEX(Run_Metrics!$G:$G,D599)</x:f>
        <x:v>1.99</x:v>
      </x:c>
      <x:c r="H599" t="str">
        <x:f>INDEX(Run_Metrics!$I:$I,D599)</x:f>
      </x:c>
      <x:c r="I599" t="n">
        <x:f>IF(F599="","",F599-(E599-1))</x:f>
        <x:v>-1</x:v>
      </x:c>
      <x:c r="J599" t="n">
        <x:f>IF(I599&gt;0,1,0)</x:f>
        <x:v>0</x:v>
      </x:c>
      <x:c r="K599" t="str">
        <x:f>IF(OR(J599=0,G599="",G599=0),"",I599/G599)</x:f>
      </x:c>
      <x:c r="L599" t="str">
        <x:f>IF(OR(J599=0,I599=0,G599=""),"",G599/I599)</x:f>
      </x:c>
      <x:c r="M599" t="str">
        <x:f>IF(OR(J599=0,G599="",H599="",G599=0,H599=0),"",I599/(G599*H599))</x:f>
      </x:c>
      <x:c r="N599" t="str">
        <x:f>IF(K599="","",K599/_xlfn.MAXIFS($K:$K,$E:$E,E599))</x:f>
      </x:c>
      <x:c r="O599" t="str">
        <x:f>IF(M599="","",M599/_xlfn.MAXIFS($M:$M,$E:$E,E599))</x:f>
      </x:c>
      <x:c r="P599" t="str">
        <x:f>IF(OR(N599="",O599=""),"",SQRT(N599*O599))</x:f>
      </x:c>
      <x:c r="Q599" t="str">
        <x:f>IF(OR(N599="",O599=""),"",N599^0.7*O599^0.3)</x:f>
      </x:c>
      <x:c r="R599" t="str">
        <x:f>IF(OR(N599="",O599=""),"",N599^0.3*O599^0.7)</x:f>
      </x:c>
    </x:row>
    <x:row r="600">
      <x:c r="A600" t="inlineStr">
        <x:is>
          <x:t xml:space="preserve">openai|gpt-6-1-sol|high|reasoning|fallback-na|aa-v4.3.2|snapshot-2026-10-11</x:t>
        </x:is>
      </x:c>
      <x:c r="B600" t="inlineStr">
        <x:is>
          <x:t xml:space="preserve">openai|gpt-6-1-sol|high|reasoning|fallback-na</x:t>
        </x:is>
      </x:c>
      <x:c r="C600" t="inlineStr">
        <x:is>
          <x:t xml:space="preserve">AA|v4.3.2</x:t>
        </x:is>
      </x:c>
      <x:c r="D600" t="n">
        <x:v>76</x:v>
      </x:c>
      <x:c r="E600" t="n">
        <x:v>65</x:v>
      </x:c>
      <x:c r="F600" t="n">
        <x:f>INDEX(Run_Metrics!$F:$F,D600)</x:f>
        <x:v>50</x:v>
      </x:c>
      <x:c r="G600" t="n">
        <x:f>INDEX(Run_Metrics!$G:$G,D600)</x:f>
        <x:v>1.99</x:v>
      </x:c>
      <x:c r="H600" t="str">
        <x:f>INDEX(Run_Metrics!$I:$I,D600)</x:f>
      </x:c>
      <x:c r="I600" t="n">
        <x:f>IF(F600="","",F600-(E600-1))</x:f>
        <x:v>-14</x:v>
      </x:c>
      <x:c r="J600" t="n">
        <x:f>IF(I600&gt;0,1,0)</x:f>
        <x:v>0</x:v>
      </x:c>
      <x:c r="K600" t="str">
        <x:f>IF(OR(J600=0,G600="",G600=0),"",I600/G600)</x:f>
      </x:c>
      <x:c r="L600" t="str">
        <x:f>IF(OR(J600=0,I600=0,G600=""),"",G600/I600)</x:f>
      </x:c>
      <x:c r="M600" t="str">
        <x:f>IF(OR(J600=0,G600="",H600="",G600=0,H600=0),"",I600/(G600*H600))</x:f>
      </x:c>
      <x:c r="N600" t="str">
        <x:f>IF(K600="","",K600/_xlfn.MAXIFS($K:$K,$E:$E,E600))</x:f>
      </x:c>
      <x:c r="O600" t="str">
        <x:f>IF(M600="","",M600/_xlfn.MAXIFS($M:$M,$E:$E,E600))</x:f>
      </x:c>
      <x:c r="P600" t="str">
        <x:f>IF(OR(N600="",O600=""),"",SQRT(N600*O600))</x:f>
      </x:c>
      <x:c r="Q600" t="str">
        <x:f>IF(OR(N600="",O600=""),"",N600^0.7*O600^0.3)</x:f>
      </x:c>
      <x:c r="R600" t="str">
        <x:f>IF(OR(N600="",O600=""),"",N600^0.3*O600^0.7)</x:f>
      </x:c>
    </x:row>
    <x:row r="601">
      <x:c r="A601" t="inlineStr">
        <x:is>
          <x:t xml:space="preserve">openai|gpt-6-1-sol|high|reasoning|fallback-na|aa-v4.3.2|snapshot-2026-10-11</x:t>
        </x:is>
      </x:c>
      <x:c r="B601" t="inlineStr">
        <x:is>
          <x:t xml:space="preserve">openai|gpt-6-1-sol|high|reasoning|fallback-na</x:t>
        </x:is>
      </x:c>
      <x:c r="C601" t="inlineStr">
        <x:is>
          <x:t xml:space="preserve">AA|v4.3.2</x:t>
        </x:is>
      </x:c>
      <x:c r="D601" t="n">
        <x:v>76</x:v>
      </x:c>
      <x:c r="E601" t="n">
        <x:v>80</x:v>
      </x:c>
      <x:c r="F601" t="n">
        <x:f>INDEX(Run_Metrics!$F:$F,D601)</x:f>
        <x:v>50</x:v>
      </x:c>
      <x:c r="G601" t="n">
        <x:f>INDEX(Run_Metrics!$G:$G,D601)</x:f>
        <x:v>1.99</x:v>
      </x:c>
      <x:c r="H601" t="str">
        <x:f>INDEX(Run_Metrics!$I:$I,D601)</x:f>
      </x:c>
      <x:c r="I601" t="n">
        <x:f>IF(F601="","",F601-(E601-1))</x:f>
        <x:v>-29</x:v>
      </x:c>
      <x:c r="J601" t="n">
        <x:f>IF(I601&gt;0,1,0)</x:f>
        <x:v>0</x:v>
      </x:c>
      <x:c r="K601" t="str">
        <x:f>IF(OR(J601=0,G601="",G601=0),"",I601/G601)</x:f>
      </x:c>
      <x:c r="L601" t="str">
        <x:f>IF(OR(J601=0,I601=0,G601=""),"",G601/I601)</x:f>
      </x:c>
      <x:c r="M601" t="str">
        <x:f>IF(OR(J601=0,G601="",H601="",G601=0,H601=0),"",I601/(G601*H601))</x:f>
      </x:c>
      <x:c r="N601" t="str">
        <x:f>IF(K601="","",K601/_xlfn.MAXIFS($K:$K,$E:$E,E601))</x:f>
      </x:c>
      <x:c r="O601" t="str">
        <x:f>IF(M601="","",M601/_xlfn.MAXIFS($M:$M,$E:$E,E601))</x:f>
      </x:c>
      <x:c r="P601" t="str">
        <x:f>IF(OR(N601="",O601=""),"",SQRT(N601*O601))</x:f>
      </x:c>
      <x:c r="Q601" t="str">
        <x:f>IF(OR(N601="",O601=""),"",N601^0.7*O601^0.3)</x:f>
      </x:c>
      <x:c r="R601" t="str">
        <x:f>IF(OR(N601="",O601=""),"",N601^0.3*O601^0.7)</x:f>
      </x:c>
    </x:row>
    <x:row r="602">
      <x:c r="A602" t="inlineStr">
        <x:is>
          <x:t xml:space="preserve">openai|gpt-6-1-sol|xhigh|reasoning|fallback-na|aa-v4.3.2|snapshot-2026-10-11</x:t>
        </x:is>
      </x:c>
      <x:c r="B602" t="inlineStr">
        <x:is>
          <x:t xml:space="preserve">openai|gpt-6-1-sol|xhigh|reasoning|fallback-na</x:t>
        </x:is>
      </x:c>
      <x:c r="C602" t="inlineStr">
        <x:is>
          <x:t xml:space="preserve">AA|v4.3.2</x:t>
        </x:is>
      </x:c>
      <x:c r="D602" t="n">
        <x:v>77</x:v>
      </x:c>
      <x:c r="E602" t="n">
        <x:v>20</x:v>
      </x:c>
      <x:c r="F602" t="n">
        <x:f>INDEX(Run_Metrics!$F:$F,D602)</x:f>
        <x:v>51</x:v>
      </x:c>
      <x:c r="G602" t="n">
        <x:f>INDEX(Run_Metrics!$G:$G,D602)</x:f>
        <x:v>1.99</x:v>
      </x:c>
      <x:c r="H602" t="str">
        <x:f>INDEX(Run_Metrics!$I:$I,D602)</x:f>
      </x:c>
      <x:c r="I602" t="n">
        <x:f>IF(F602="","",F602-(E602-1))</x:f>
        <x:v>32</x:v>
      </x:c>
      <x:c r="J602" t="n">
        <x:f>IF(I602&gt;0,1,0)</x:f>
        <x:v>1</x:v>
      </x:c>
      <x:c r="K602" t="n">
        <x:f>IF(OR(J602=0,G602="",G602=0),"",I602/G602)</x:f>
        <x:v>16.08040201005025</x:v>
      </x:c>
      <x:c r="L602" t="n">
        <x:f>IF(OR(J602=0,I602=0,G602=""),"",G602/I602)</x:f>
        <x:v>0.0621875</x:v>
      </x:c>
      <x:c r="M602" t="str">
        <x:f>IF(OR(J602=0,G602="",H602="",G602=0,H602=0),"",I602/(G602*H602))</x:f>
      </x:c>
      <x:c r="N602" t="n">
        <x:f>IF(K602="","",K602/_xlfn.MAXIFS($K:$K,$E:$E,E602))</x:f>
        <x:v>0.024120603015075372</x:v>
      </x:c>
      <x:c r="O602" t="str">
        <x:f>IF(M602="","",M602/_xlfn.MAXIFS($M:$M,$E:$E,E602))</x:f>
      </x:c>
      <x:c r="P602" t="str">
        <x:f>IF(OR(N602="",O602=""),"",SQRT(N602*O602))</x:f>
      </x:c>
      <x:c r="Q602" t="str">
        <x:f>IF(OR(N602="",O602=""),"",N602^0.7*O602^0.3)</x:f>
      </x:c>
      <x:c r="R602" t="str">
        <x:f>IF(OR(N602="",O602=""),"",N602^0.3*O602^0.7)</x:f>
      </x:c>
    </x:row>
    <x:row r="603">
      <x:c r="A603" t="inlineStr">
        <x:is>
          <x:t xml:space="preserve">openai|gpt-6-1-sol|xhigh|reasoning|fallback-na|aa-v4.3.2|snapshot-2026-10-11</x:t>
        </x:is>
      </x:c>
      <x:c r="B603" t="inlineStr">
        <x:is>
          <x:t xml:space="preserve">openai|gpt-6-1-sol|xhigh|reasoning|fallback-na</x:t>
        </x:is>
      </x:c>
      <x:c r="C603" t="inlineStr">
        <x:is>
          <x:t xml:space="preserve">AA|v4.3.2</x:t>
        </x:is>
      </x:c>
      <x:c r="D603" t="n">
        <x:v>77</x:v>
      </x:c>
      <x:c r="E603" t="n">
        <x:v>30</x:v>
      </x:c>
      <x:c r="F603" t="n">
        <x:f>INDEX(Run_Metrics!$F:$F,D603)</x:f>
        <x:v>51</x:v>
      </x:c>
      <x:c r="G603" t="n">
        <x:f>INDEX(Run_Metrics!$G:$G,D603)</x:f>
        <x:v>1.99</x:v>
      </x:c>
      <x:c r="H603" t="str">
        <x:f>INDEX(Run_Metrics!$I:$I,D603)</x:f>
      </x:c>
      <x:c r="I603" t="n">
        <x:f>IF(F603="","",F603-(E603-1))</x:f>
        <x:v>22</x:v>
      </x:c>
      <x:c r="J603" t="n">
        <x:f>IF(I603&gt;0,1,0)</x:f>
        <x:v>1</x:v>
      </x:c>
      <x:c r="K603" t="n">
        <x:f>IF(OR(J603=0,G603="",G603=0),"",I603/G603)</x:f>
        <x:v>11.055276381909549</x:v>
      </x:c>
      <x:c r="L603" t="n">
        <x:f>IF(OR(J603=0,I603=0,G603=""),"",G603/I603)</x:f>
        <x:v>0.09045454545454545</x:v>
      </x:c>
      <x:c r="M603" t="str">
        <x:f>IF(OR(J603=0,G603="",H603="",G603=0,H603=0),"",I603/(G603*H603))</x:f>
      </x:c>
      <x:c r="N603" t="n">
        <x:f>IF(K603="","",K603/_xlfn.MAXIFS($K:$K,$E:$E,E603))</x:f>
        <x:v>0.07370184254606366</x:v>
      </x:c>
      <x:c r="O603" t="str">
        <x:f>IF(M603="","",M603/_xlfn.MAXIFS($M:$M,$E:$E,E603))</x:f>
      </x:c>
      <x:c r="P603" t="str">
        <x:f>IF(OR(N603="",O603=""),"",SQRT(N603*O603))</x:f>
      </x:c>
      <x:c r="Q603" t="str">
        <x:f>IF(OR(N603="",O603=""),"",N603^0.7*O603^0.3)</x:f>
      </x:c>
      <x:c r="R603" t="str">
        <x:f>IF(OR(N603="",O603=""),"",N603^0.3*O603^0.7)</x:f>
      </x:c>
    </x:row>
    <x:row r="604">
      <x:c r="A604" t="inlineStr">
        <x:is>
          <x:t xml:space="preserve">openai|gpt-6-1-sol|xhigh|reasoning|fallback-na|aa-v4.3.2|snapshot-2026-10-11</x:t>
        </x:is>
      </x:c>
      <x:c r="B604" t="inlineStr">
        <x:is>
          <x:t xml:space="preserve">openai|gpt-6-1-sol|xhigh|reasoning|fallback-na</x:t>
        </x:is>
      </x:c>
      <x:c r="C604" t="inlineStr">
        <x:is>
          <x:t xml:space="preserve">AA|v4.3.2</x:t>
        </x:is>
      </x:c>
      <x:c r="D604" t="n">
        <x:v>77</x:v>
      </x:c>
      <x:c r="E604" t="n">
        <x:v>40</x:v>
      </x:c>
      <x:c r="F604" t="n">
        <x:f>INDEX(Run_Metrics!$F:$F,D604)</x:f>
        <x:v>51</x:v>
      </x:c>
      <x:c r="G604" t="n">
        <x:f>INDEX(Run_Metrics!$G:$G,D604)</x:f>
        <x:v>1.99</x:v>
      </x:c>
      <x:c r="H604" t="str">
        <x:f>INDEX(Run_Metrics!$I:$I,D604)</x:f>
      </x:c>
      <x:c r="I604" t="n">
        <x:f>IF(F604="","",F604-(E604-1))</x:f>
        <x:v>12</x:v>
      </x:c>
      <x:c r="J604" t="n">
        <x:f>IF(I604&gt;0,1,0)</x:f>
        <x:v>1</x:v>
      </x:c>
      <x:c r="K604" t="n">
        <x:f>IF(OR(J604=0,G604="",G604=0),"",I604/G604)</x:f>
        <x:v>6.030150753768845</x:v>
      </x:c>
      <x:c r="L604" t="n">
        <x:f>IF(OR(J604=0,I604=0,G604=""),"",G604/I604)</x:f>
        <x:v>0.16583333333333333</x:v>
      </x:c>
      <x:c r="M604" t="str">
        <x:f>IF(OR(J604=0,G604="",H604="",G604=0,H604=0),"",I604/(G604*H604))</x:f>
      </x:c>
      <x:c r="N604" t="n">
        <x:f>IF(K604="","",K604/_xlfn.MAXIFS($K:$K,$E:$E,E604))</x:f>
        <x:v>0.11198851399856426</x:v>
      </x:c>
      <x:c r="O604" t="str">
        <x:f>IF(M604="","",M604/_xlfn.MAXIFS($M:$M,$E:$E,E604))</x:f>
      </x:c>
      <x:c r="P604" t="str">
        <x:f>IF(OR(N604="",O604=""),"",SQRT(N604*O604))</x:f>
      </x:c>
      <x:c r="Q604" t="str">
        <x:f>IF(OR(N604="",O604=""),"",N604^0.7*O604^0.3)</x:f>
      </x:c>
      <x:c r="R604" t="str">
        <x:f>IF(OR(N604="",O604=""),"",N604^0.3*O604^0.7)</x:f>
      </x:c>
    </x:row>
    <x:row r="605">
      <x:c r="A605" t="inlineStr">
        <x:is>
          <x:t xml:space="preserve">openai|gpt-6-1-sol|xhigh|reasoning|fallback-na|aa-v4.3.2|snapshot-2026-10-11</x:t>
        </x:is>
      </x:c>
      <x:c r="B605" t="inlineStr">
        <x:is>
          <x:t xml:space="preserve">openai|gpt-6-1-sol|xhigh|reasoning|fallback-na</x:t>
        </x:is>
      </x:c>
      <x:c r="C605" t="inlineStr">
        <x:is>
          <x:t xml:space="preserve">AA|v4.3.2</x:t>
        </x:is>
      </x:c>
      <x:c r="D605" t="n">
        <x:v>77</x:v>
      </x:c>
      <x:c r="E605" t="n">
        <x:v>45</x:v>
      </x:c>
      <x:c r="F605" t="n">
        <x:f>INDEX(Run_Metrics!$F:$F,D605)</x:f>
        <x:v>51</x:v>
      </x:c>
      <x:c r="G605" t="n">
        <x:f>INDEX(Run_Metrics!$G:$G,D605)</x:f>
        <x:v>1.99</x:v>
      </x:c>
      <x:c r="H605" t="str">
        <x:f>INDEX(Run_Metrics!$I:$I,D605)</x:f>
      </x:c>
      <x:c r="I605" t="n">
        <x:f>IF(F605="","",F605-(E605-1))</x:f>
        <x:v>7</x:v>
      </x:c>
      <x:c r="J605" t="n">
        <x:f>IF(I605&gt;0,1,0)</x:f>
        <x:v>1</x:v>
      </x:c>
      <x:c r="K605" t="n">
        <x:f>IF(OR(J605=0,G605="",G605=0),"",I605/G605)</x:f>
        <x:v>3.5175879396984926</x:v>
      </x:c>
      <x:c r="L605" t="n">
        <x:f>IF(OR(J605=0,I605=0,G605=""),"",G605/I605)</x:f>
        <x:v>0.2842857142857143</x:v>
      </x:c>
      <x:c r="M605" t="str">
        <x:f>IF(OR(J605=0,G605="",H605="",G605=0,H605=0),"",I605/(G605*H605))</x:f>
      </x:c>
      <x:c r="N605" t="n">
        <x:f>IF(K605="","",K605/_xlfn.MAXIFS($K:$K,$E:$E,E605))</x:f>
        <x:v>0.18467336683417085</x:v>
      </x:c>
      <x:c r="O605" t="str">
        <x:f>IF(M605="","",M605/_xlfn.MAXIFS($M:$M,$E:$E,E605))</x:f>
      </x:c>
      <x:c r="P605" t="str">
        <x:f>IF(OR(N605="",O605=""),"",SQRT(N605*O605))</x:f>
      </x:c>
      <x:c r="Q605" t="str">
        <x:f>IF(OR(N605="",O605=""),"",N605^0.7*O605^0.3)</x:f>
      </x:c>
      <x:c r="R605" t="str">
        <x:f>IF(OR(N605="",O605=""),"",N605^0.3*O605^0.7)</x:f>
      </x:c>
    </x:row>
    <x:row r="606">
      <x:c r="A606" t="inlineStr">
        <x:is>
          <x:t xml:space="preserve">openai|gpt-6-1-sol|xhigh|reasoning|fallback-na|aa-v4.3.2|snapshot-2026-10-11</x:t>
        </x:is>
      </x:c>
      <x:c r="B606" t="inlineStr">
        <x:is>
          <x:t xml:space="preserve">openai|gpt-6-1-sol|xhigh|reasoning|fallback-na</x:t>
        </x:is>
      </x:c>
      <x:c r="C606" t="inlineStr">
        <x:is>
          <x:t xml:space="preserve">AA|v4.3.2</x:t>
        </x:is>
      </x:c>
      <x:c r="D606" t="n">
        <x:v>77</x:v>
      </x:c>
      <x:c r="E606" t="n">
        <x:v>50</x:v>
      </x:c>
      <x:c r="F606" t="n">
        <x:f>INDEX(Run_Metrics!$F:$F,D606)</x:f>
        <x:v>51</x:v>
      </x:c>
      <x:c r="G606" t="n">
        <x:f>INDEX(Run_Metrics!$G:$G,D606)</x:f>
        <x:v>1.99</x:v>
      </x:c>
      <x:c r="H606" t="str">
        <x:f>INDEX(Run_Metrics!$I:$I,D606)</x:f>
      </x:c>
      <x:c r="I606" t="n">
        <x:f>IF(F606="","",F606-(E606-1))</x:f>
        <x:v>2</x:v>
      </x:c>
      <x:c r="J606" t="n">
        <x:f>IF(I606&gt;0,1,0)</x:f>
        <x:v>1</x:v>
      </x:c>
      <x:c r="K606" t="n">
        <x:f>IF(OR(J606=0,G606="",G606=0),"",I606/G606)</x:f>
        <x:v>1.0050251256281406</x:v>
      </x:c>
      <x:c r="L606" t="n">
        <x:f>IF(OR(J606=0,I606=0,G606=""),"",G606/I606)</x:f>
        <x:v>0.995</x:v>
      </x:c>
      <x:c r="M606" t="str">
        <x:f>IF(OR(J606=0,G606="",H606="",G606=0,H606=0),"",I606/(G606*H606))</x:f>
      </x:c>
      <x:c r="N606" t="n">
        <x:f>IF(K606="","",K606/_xlfn.MAXIFS($K:$K,$E:$E,E606))</x:f>
        <x:v>0.19597989949748743</x:v>
      </x:c>
      <x:c r="O606" t="str">
        <x:f>IF(M606="","",M606/_xlfn.MAXIFS($M:$M,$E:$E,E606))</x:f>
      </x:c>
      <x:c r="P606" t="str">
        <x:f>IF(OR(N606="",O606=""),"",SQRT(N606*O606))</x:f>
      </x:c>
      <x:c r="Q606" t="str">
        <x:f>IF(OR(N606="",O606=""),"",N606^0.7*O606^0.3)</x:f>
      </x:c>
      <x:c r="R606" t="str">
        <x:f>IF(OR(N606="",O606=""),"",N606^0.3*O606^0.7)</x:f>
      </x:c>
    </x:row>
    <x:row r="607">
      <x:c r="A607" t="inlineStr">
        <x:is>
          <x:t xml:space="preserve">openai|gpt-6-1-sol|xhigh|reasoning|fallback-na|aa-v4.3.2|snapshot-2026-10-11</x:t>
        </x:is>
      </x:c>
      <x:c r="B607" t="inlineStr">
        <x:is>
          <x:t xml:space="preserve">openai|gpt-6-1-sol|xhigh|reasoning|fallback-na</x:t>
        </x:is>
      </x:c>
      <x:c r="C607" t="inlineStr">
        <x:is>
          <x:t xml:space="preserve">AA|v4.3.2</x:t>
        </x:is>
      </x:c>
      <x:c r="D607" t="n">
        <x:v>77</x:v>
      </x:c>
      <x:c r="E607" t="n">
        <x:v>52</x:v>
      </x:c>
      <x:c r="F607" t="n">
        <x:f>INDEX(Run_Metrics!$F:$F,D607)</x:f>
        <x:v>51</x:v>
      </x:c>
      <x:c r="G607" t="n">
        <x:f>INDEX(Run_Metrics!$G:$G,D607)</x:f>
        <x:v>1.99</x:v>
      </x:c>
      <x:c r="H607" t="str">
        <x:f>INDEX(Run_Metrics!$I:$I,D607)</x:f>
      </x:c>
      <x:c r="I607" t="n">
        <x:f>IF(F607="","",F607-(E607-1))</x:f>
        <x:v>0</x:v>
      </x:c>
      <x:c r="J607" t="n">
        <x:f>IF(I607&gt;0,1,0)</x:f>
        <x:v>0</x:v>
      </x:c>
      <x:c r="K607" t="str">
        <x:f>IF(OR(J607=0,G607="",G607=0),"",I607/G607)</x:f>
      </x:c>
      <x:c r="L607" t="str">
        <x:f>IF(OR(J607=0,I607=0,G607=""),"",G607/I607)</x:f>
      </x:c>
      <x:c r="M607" t="str">
        <x:f>IF(OR(J607=0,G607="",H607="",G607=0,H607=0),"",I607/(G607*H607))</x:f>
      </x:c>
      <x:c r="N607" t="str">
        <x:f>IF(K607="","",K607/_xlfn.MAXIFS($K:$K,$E:$E,E607))</x:f>
      </x:c>
      <x:c r="O607" t="str">
        <x:f>IF(M607="","",M607/_xlfn.MAXIFS($M:$M,$E:$E,E607))</x:f>
      </x:c>
      <x:c r="P607" t="str">
        <x:f>IF(OR(N607="",O607=""),"",SQRT(N607*O607))</x:f>
      </x:c>
      <x:c r="Q607" t="str">
        <x:f>IF(OR(N607="",O607=""),"",N607^0.7*O607^0.3)</x:f>
      </x:c>
      <x:c r="R607" t="str">
        <x:f>IF(OR(N607="",O607=""),"",N607^0.3*O607^0.7)</x:f>
      </x:c>
    </x:row>
    <x:row r="608">
      <x:c r="A608" t="inlineStr">
        <x:is>
          <x:t xml:space="preserve">openai|gpt-6-1-sol|xhigh|reasoning|fallback-na|aa-v4.3.2|snapshot-2026-10-11</x:t>
        </x:is>
      </x:c>
      <x:c r="B608" t="inlineStr">
        <x:is>
          <x:t xml:space="preserve">openai|gpt-6-1-sol|xhigh|reasoning|fallback-na</x:t>
        </x:is>
      </x:c>
      <x:c r="C608" t="inlineStr">
        <x:is>
          <x:t xml:space="preserve">AA|v4.3.2</x:t>
        </x:is>
      </x:c>
      <x:c r="D608" t="n">
        <x:v>77</x:v>
      </x:c>
      <x:c r="E608" t="n">
        <x:v>65</x:v>
      </x:c>
      <x:c r="F608" t="n">
        <x:f>INDEX(Run_Metrics!$F:$F,D608)</x:f>
        <x:v>51</x:v>
      </x:c>
      <x:c r="G608" t="n">
        <x:f>INDEX(Run_Metrics!$G:$G,D608)</x:f>
        <x:v>1.99</x:v>
      </x:c>
      <x:c r="H608" t="str">
        <x:f>INDEX(Run_Metrics!$I:$I,D608)</x:f>
      </x:c>
      <x:c r="I608" t="n">
        <x:f>IF(F608="","",F608-(E608-1))</x:f>
        <x:v>-13</x:v>
      </x:c>
      <x:c r="J608" t="n">
        <x:f>IF(I608&gt;0,1,0)</x:f>
        <x:v>0</x:v>
      </x:c>
      <x:c r="K608" t="str">
        <x:f>IF(OR(J608=0,G608="",G608=0),"",I608/G608)</x:f>
      </x:c>
      <x:c r="L608" t="str">
        <x:f>IF(OR(J608=0,I608=0,G608=""),"",G608/I608)</x:f>
      </x:c>
      <x:c r="M608" t="str">
        <x:f>IF(OR(J608=0,G608="",H608="",G608=0,H608=0),"",I608/(G608*H608))</x:f>
      </x:c>
      <x:c r="N608" t="str">
        <x:f>IF(K608="","",K608/_xlfn.MAXIFS($K:$K,$E:$E,E608))</x:f>
      </x:c>
      <x:c r="O608" t="str">
        <x:f>IF(M608="","",M608/_xlfn.MAXIFS($M:$M,$E:$E,E608))</x:f>
      </x:c>
      <x:c r="P608" t="str">
        <x:f>IF(OR(N608="",O608=""),"",SQRT(N608*O608))</x:f>
      </x:c>
      <x:c r="Q608" t="str">
        <x:f>IF(OR(N608="",O608=""),"",N608^0.7*O608^0.3)</x:f>
      </x:c>
      <x:c r="R608" t="str">
        <x:f>IF(OR(N608="",O608=""),"",N608^0.3*O608^0.7)</x:f>
      </x:c>
    </x:row>
    <x:row r="609">
      <x:c r="A609" t="inlineStr">
        <x:is>
          <x:t xml:space="preserve">openai|gpt-6-1-sol|xhigh|reasoning|fallback-na|aa-v4.3.2|snapshot-2026-10-11</x:t>
        </x:is>
      </x:c>
      <x:c r="B609" t="inlineStr">
        <x:is>
          <x:t xml:space="preserve">openai|gpt-6-1-sol|xhigh|reasoning|fallback-na</x:t>
        </x:is>
      </x:c>
      <x:c r="C609" t="inlineStr">
        <x:is>
          <x:t xml:space="preserve">AA|v4.3.2</x:t>
        </x:is>
      </x:c>
      <x:c r="D609" t="n">
        <x:v>77</x:v>
      </x:c>
      <x:c r="E609" t="n">
        <x:v>80</x:v>
      </x:c>
      <x:c r="F609" t="n">
        <x:f>INDEX(Run_Metrics!$F:$F,D609)</x:f>
        <x:v>51</x:v>
      </x:c>
      <x:c r="G609" t="n">
        <x:f>INDEX(Run_Metrics!$G:$G,D609)</x:f>
        <x:v>1.99</x:v>
      </x:c>
      <x:c r="H609" t="str">
        <x:f>INDEX(Run_Metrics!$I:$I,D609)</x:f>
      </x:c>
      <x:c r="I609" t="n">
        <x:f>IF(F609="","",F609-(E609-1))</x:f>
        <x:v>-28</x:v>
      </x:c>
      <x:c r="J609" t="n">
        <x:f>IF(I609&gt;0,1,0)</x:f>
        <x:v>0</x:v>
      </x:c>
      <x:c r="K609" t="str">
        <x:f>IF(OR(J609=0,G609="",G609=0),"",I609/G609)</x:f>
      </x:c>
      <x:c r="L609" t="str">
        <x:f>IF(OR(J609=0,I609=0,G609=""),"",G609/I609)</x:f>
      </x:c>
      <x:c r="M609" t="str">
        <x:f>IF(OR(J609=0,G609="",H609="",G609=0,H609=0),"",I609/(G609*H609))</x:f>
      </x:c>
      <x:c r="N609" t="str">
        <x:f>IF(K609="","",K609/_xlfn.MAXIFS($K:$K,$E:$E,E609))</x:f>
      </x:c>
      <x:c r="O609" t="str">
        <x:f>IF(M609="","",M609/_xlfn.MAXIFS($M:$M,$E:$E,E609))</x:f>
      </x:c>
      <x:c r="P609" t="str">
        <x:f>IF(OR(N609="",O609=""),"",SQRT(N609*O609))</x:f>
      </x:c>
      <x:c r="Q609" t="str">
        <x:f>IF(OR(N609="",O609=""),"",N609^0.7*O609^0.3)</x:f>
      </x:c>
      <x:c r="R609" t="str">
        <x:f>IF(OR(N609="",O609=""),"",N609^0.3*O609^0.7)</x:f>
      </x:c>
    </x:row>
    <x:row r="610">
      <x:c r="A610" t="inlineStr">
        <x:is>
          <x:t xml:space="preserve">openai|gpt-6-1-sol|max|reasoning|fallback-na|aa-v4.3.2|snapshot-2026-10-11</x:t>
        </x:is>
      </x:c>
      <x:c r="B610" t="inlineStr">
        <x:is>
          <x:t xml:space="preserve">openai|gpt-6-1-sol|max|reasoning|fallback-na</x:t>
        </x:is>
      </x:c>
      <x:c r="C610" t="inlineStr">
        <x:is>
          <x:t xml:space="preserve">AA|v4.3.2</x:t>
        </x:is>
      </x:c>
      <x:c r="D610" t="n">
        <x:v>78</x:v>
      </x:c>
      <x:c r="E610" t="n">
        <x:v>20</x:v>
      </x:c>
      <x:c r="F610" t="n">
        <x:f>INDEX(Run_Metrics!$F:$F,D610)</x:f>
        <x:v>52</x:v>
      </x:c>
      <x:c r="G610" t="n">
        <x:f>INDEX(Run_Metrics!$G:$G,D610)</x:f>
        <x:v>1.99</x:v>
      </x:c>
      <x:c r="H610" t="str">
        <x:f>INDEX(Run_Metrics!$I:$I,D610)</x:f>
      </x:c>
      <x:c r="I610" t="n">
        <x:f>IF(F610="","",F610-(E610-1))</x:f>
        <x:v>33</x:v>
      </x:c>
      <x:c r="J610" t="n">
        <x:f>IF(I610&gt;0,1,0)</x:f>
        <x:v>1</x:v>
      </x:c>
      <x:c r="K610" t="n">
        <x:f>IF(OR(J610=0,G610="",G610=0),"",I610/G610)</x:f>
        <x:v>16.582914572864322</x:v>
      </x:c>
      <x:c r="L610" t="n">
        <x:f>IF(OR(J610=0,I610=0,G610=""),"",G610/I610)</x:f>
        <x:v>0.0603030303030303</x:v>
      </x:c>
      <x:c r="M610" t="str">
        <x:f>IF(OR(J610=0,G610="",H610="",G610=0,H610=0),"",I610/(G610*H610))</x:f>
      </x:c>
      <x:c r="N610" t="n">
        <x:f>IF(K610="","",K610/_xlfn.MAXIFS($K:$K,$E:$E,E610))</x:f>
        <x:v>0.02487437185929648</x:v>
      </x:c>
      <x:c r="O610" t="str">
        <x:f>IF(M610="","",M610/_xlfn.MAXIFS($M:$M,$E:$E,E610))</x:f>
      </x:c>
      <x:c r="P610" t="str">
        <x:f>IF(OR(N610="",O610=""),"",SQRT(N610*O610))</x:f>
      </x:c>
      <x:c r="Q610" t="str">
        <x:f>IF(OR(N610="",O610=""),"",N610^0.7*O610^0.3)</x:f>
      </x:c>
      <x:c r="R610" t="str">
        <x:f>IF(OR(N610="",O610=""),"",N610^0.3*O610^0.7)</x:f>
      </x:c>
    </x:row>
    <x:row r="611">
      <x:c r="A611" t="inlineStr">
        <x:is>
          <x:t xml:space="preserve">openai|gpt-6-1-sol|max|reasoning|fallback-na|aa-v4.3.2|snapshot-2026-10-11</x:t>
        </x:is>
      </x:c>
      <x:c r="B611" t="inlineStr">
        <x:is>
          <x:t xml:space="preserve">openai|gpt-6-1-sol|max|reasoning|fallback-na</x:t>
        </x:is>
      </x:c>
      <x:c r="C611" t="inlineStr">
        <x:is>
          <x:t xml:space="preserve">AA|v4.3.2</x:t>
        </x:is>
      </x:c>
      <x:c r="D611" t="n">
        <x:v>78</x:v>
      </x:c>
      <x:c r="E611" t="n">
        <x:v>30</x:v>
      </x:c>
      <x:c r="F611" t="n">
        <x:f>INDEX(Run_Metrics!$F:$F,D611)</x:f>
        <x:v>52</x:v>
      </x:c>
      <x:c r="G611" t="n">
        <x:f>INDEX(Run_Metrics!$G:$G,D611)</x:f>
        <x:v>1.99</x:v>
      </x:c>
      <x:c r="H611" t="str">
        <x:f>INDEX(Run_Metrics!$I:$I,D611)</x:f>
      </x:c>
      <x:c r="I611" t="n">
        <x:f>IF(F611="","",F611-(E611-1))</x:f>
        <x:v>23</x:v>
      </x:c>
      <x:c r="J611" t="n">
        <x:f>IF(I611&gt;0,1,0)</x:f>
        <x:v>1</x:v>
      </x:c>
      <x:c r="K611" t="n">
        <x:f>IF(OR(J611=0,G611="",G611=0),"",I611/G611)</x:f>
        <x:v>11.557788944723619</x:v>
      </x:c>
      <x:c r="L611" t="n">
        <x:f>IF(OR(J611=0,I611=0,G611=""),"",G611/I611)</x:f>
        <x:v>0.08652173913043479</x:v>
      </x:c>
      <x:c r="M611" t="str">
        <x:f>IF(OR(J611=0,G611="",H611="",G611=0,H611=0),"",I611/(G611*H611))</x:f>
      </x:c>
      <x:c r="N611" t="n">
        <x:f>IF(K611="","",K611/_xlfn.MAXIFS($K:$K,$E:$E,E611))</x:f>
        <x:v>0.07705192629815746</x:v>
      </x:c>
      <x:c r="O611" t="str">
        <x:f>IF(M611="","",M611/_xlfn.MAXIFS($M:$M,$E:$E,E611))</x:f>
      </x:c>
      <x:c r="P611" t="str">
        <x:f>IF(OR(N611="",O611=""),"",SQRT(N611*O611))</x:f>
      </x:c>
      <x:c r="Q611" t="str">
        <x:f>IF(OR(N611="",O611=""),"",N611^0.7*O611^0.3)</x:f>
      </x:c>
      <x:c r="R611" t="str">
        <x:f>IF(OR(N611="",O611=""),"",N611^0.3*O611^0.7)</x:f>
      </x:c>
    </x:row>
    <x:row r="612">
      <x:c r="A612" t="inlineStr">
        <x:is>
          <x:t xml:space="preserve">openai|gpt-6-1-sol|max|reasoning|fallback-na|aa-v4.3.2|snapshot-2026-10-11</x:t>
        </x:is>
      </x:c>
      <x:c r="B612" t="inlineStr">
        <x:is>
          <x:t xml:space="preserve">openai|gpt-6-1-sol|max|reasoning|fallback-na</x:t>
        </x:is>
      </x:c>
      <x:c r="C612" t="inlineStr">
        <x:is>
          <x:t xml:space="preserve">AA|v4.3.2</x:t>
        </x:is>
      </x:c>
      <x:c r="D612" t="n">
        <x:v>78</x:v>
      </x:c>
      <x:c r="E612" t="n">
        <x:v>40</x:v>
      </x:c>
      <x:c r="F612" t="n">
        <x:f>INDEX(Run_Metrics!$F:$F,D612)</x:f>
        <x:v>52</x:v>
      </x:c>
      <x:c r="G612" t="n">
        <x:f>INDEX(Run_Metrics!$G:$G,D612)</x:f>
        <x:v>1.99</x:v>
      </x:c>
      <x:c r="H612" t="str">
        <x:f>INDEX(Run_Metrics!$I:$I,D612)</x:f>
      </x:c>
      <x:c r="I612" t="n">
        <x:f>IF(F612="","",F612-(E612-1))</x:f>
        <x:v>13</x:v>
      </x:c>
      <x:c r="J612" t="n">
        <x:f>IF(I612&gt;0,1,0)</x:f>
        <x:v>1</x:v>
      </x:c>
      <x:c r="K612" t="n">
        <x:f>IF(OR(J612=0,G612="",G612=0),"",I612/G612)</x:f>
        <x:v>6.532663316582915</x:v>
      </x:c>
      <x:c r="L612" t="n">
        <x:f>IF(OR(J612=0,I612=0,G612=""),"",G612/I612)</x:f>
        <x:v>0.15307692307692308</x:v>
      </x:c>
      <x:c r="M612" t="str">
        <x:f>IF(OR(J612=0,G612="",H612="",G612=0,H612=0),"",I612/(G612*H612))</x:f>
      </x:c>
      <x:c r="N612" t="n">
        <x:f>IF(K612="","",K612/_xlfn.MAXIFS($K:$K,$E:$E,E612))</x:f>
        <x:v>0.12132089016511127</x:v>
      </x:c>
      <x:c r="O612" t="str">
        <x:f>IF(M612="","",M612/_xlfn.MAXIFS($M:$M,$E:$E,E612))</x:f>
      </x:c>
      <x:c r="P612" t="str">
        <x:f>IF(OR(N612="",O612=""),"",SQRT(N612*O612))</x:f>
      </x:c>
      <x:c r="Q612" t="str">
        <x:f>IF(OR(N612="",O612=""),"",N612^0.7*O612^0.3)</x:f>
      </x:c>
      <x:c r="R612" t="str">
        <x:f>IF(OR(N612="",O612=""),"",N612^0.3*O612^0.7)</x:f>
      </x:c>
    </x:row>
    <x:row r="613">
      <x:c r="A613" t="inlineStr">
        <x:is>
          <x:t xml:space="preserve">openai|gpt-6-1-sol|max|reasoning|fallback-na|aa-v4.3.2|snapshot-2026-10-11</x:t>
        </x:is>
      </x:c>
      <x:c r="B613" t="inlineStr">
        <x:is>
          <x:t xml:space="preserve">openai|gpt-6-1-sol|max|reasoning|fallback-na</x:t>
        </x:is>
      </x:c>
      <x:c r="C613" t="inlineStr">
        <x:is>
          <x:t xml:space="preserve">AA|v4.3.2</x:t>
        </x:is>
      </x:c>
      <x:c r="D613" t="n">
        <x:v>78</x:v>
      </x:c>
      <x:c r="E613" t="n">
        <x:v>45</x:v>
      </x:c>
      <x:c r="F613" t="n">
        <x:f>INDEX(Run_Metrics!$F:$F,D613)</x:f>
        <x:v>52</x:v>
      </x:c>
      <x:c r="G613" t="n">
        <x:f>INDEX(Run_Metrics!$G:$G,D613)</x:f>
        <x:v>1.99</x:v>
      </x:c>
      <x:c r="H613" t="str">
        <x:f>INDEX(Run_Metrics!$I:$I,D613)</x:f>
      </x:c>
      <x:c r="I613" t="n">
        <x:f>IF(F613="","",F613-(E613-1))</x:f>
        <x:v>8</x:v>
      </x:c>
      <x:c r="J613" t="n">
        <x:f>IF(I613&gt;0,1,0)</x:f>
        <x:v>1</x:v>
      </x:c>
      <x:c r="K613" t="n">
        <x:f>IF(OR(J613=0,G613="",G613=0),"",I613/G613)</x:f>
        <x:v>4.0201005025125625</x:v>
      </x:c>
      <x:c r="L613" t="n">
        <x:f>IF(OR(J613=0,I613=0,G613=""),"",G613/I613)</x:f>
        <x:v>0.24875</x:v>
      </x:c>
      <x:c r="M613" t="str">
        <x:f>IF(OR(J613=0,G613="",H613="",G613=0,H613=0),"",I613/(G613*H613))</x:f>
      </x:c>
      <x:c r="N613" t="n">
        <x:f>IF(K613="","",K613/_xlfn.MAXIFS($K:$K,$E:$E,E613))</x:f>
        <x:v>0.21105527638190952</x:v>
      </x:c>
      <x:c r="O613" t="str">
        <x:f>IF(M613="","",M613/_xlfn.MAXIFS($M:$M,$E:$E,E613))</x:f>
      </x:c>
      <x:c r="P613" t="str">
        <x:f>IF(OR(N613="",O613=""),"",SQRT(N613*O613))</x:f>
      </x:c>
      <x:c r="Q613" t="str">
        <x:f>IF(OR(N613="",O613=""),"",N613^0.7*O613^0.3)</x:f>
      </x:c>
      <x:c r="R613" t="str">
        <x:f>IF(OR(N613="",O613=""),"",N613^0.3*O613^0.7)</x:f>
      </x:c>
    </x:row>
    <x:row r="614">
      <x:c r="A614" t="inlineStr">
        <x:is>
          <x:t xml:space="preserve">openai|gpt-6-1-sol|max|reasoning|fallback-na|aa-v4.3.2|snapshot-2026-10-11</x:t>
        </x:is>
      </x:c>
      <x:c r="B614" t="inlineStr">
        <x:is>
          <x:t xml:space="preserve">openai|gpt-6-1-sol|max|reasoning|fallback-na</x:t>
        </x:is>
      </x:c>
      <x:c r="C614" t="inlineStr">
        <x:is>
          <x:t xml:space="preserve">AA|v4.3.2</x:t>
        </x:is>
      </x:c>
      <x:c r="D614" t="n">
        <x:v>78</x:v>
      </x:c>
      <x:c r="E614" t="n">
        <x:v>50</x:v>
      </x:c>
      <x:c r="F614" t="n">
        <x:f>INDEX(Run_Metrics!$F:$F,D614)</x:f>
        <x:v>52</x:v>
      </x:c>
      <x:c r="G614" t="n">
        <x:f>INDEX(Run_Metrics!$G:$G,D614)</x:f>
        <x:v>1.99</x:v>
      </x:c>
      <x:c r="H614" t="str">
        <x:f>INDEX(Run_Metrics!$I:$I,D614)</x:f>
      </x:c>
      <x:c r="I614" t="n">
        <x:f>IF(F614="","",F614-(E614-1))</x:f>
        <x:v>3</x:v>
      </x:c>
      <x:c r="J614" t="n">
        <x:f>IF(I614&gt;0,1,0)</x:f>
        <x:v>1</x:v>
      </x:c>
      <x:c r="K614" t="n">
        <x:f>IF(OR(J614=0,G614="",G614=0),"",I614/G614)</x:f>
        <x:v>1.5075376884422111</x:v>
      </x:c>
      <x:c r="L614" t="n">
        <x:f>IF(OR(J614=0,I614=0,G614=""),"",G614/I614)</x:f>
        <x:v>0.6633333333333333</x:v>
      </x:c>
      <x:c r="M614" t="str">
        <x:f>IF(OR(J614=0,G614="",H614="",G614=0,H614=0),"",I614/(G614*H614))</x:f>
      </x:c>
      <x:c r="N614" t="n">
        <x:f>IF(K614="","",K614/_xlfn.MAXIFS($K:$K,$E:$E,E614))</x:f>
        <x:v>0.2939698492462312</x:v>
      </x:c>
      <x:c r="O614" t="str">
        <x:f>IF(M614="","",M614/_xlfn.MAXIFS($M:$M,$E:$E,E614))</x:f>
      </x:c>
      <x:c r="P614" t="str">
        <x:f>IF(OR(N614="",O614=""),"",SQRT(N614*O614))</x:f>
      </x:c>
      <x:c r="Q614" t="str">
        <x:f>IF(OR(N614="",O614=""),"",N614^0.7*O614^0.3)</x:f>
      </x:c>
      <x:c r="R614" t="str">
        <x:f>IF(OR(N614="",O614=""),"",N614^0.3*O614^0.7)</x:f>
      </x:c>
    </x:row>
    <x:row r="615">
      <x:c r="A615" t="inlineStr">
        <x:is>
          <x:t xml:space="preserve">openai|gpt-6-1-sol|max|reasoning|fallback-na|aa-v4.3.2|snapshot-2026-10-11</x:t>
        </x:is>
      </x:c>
      <x:c r="B615" t="inlineStr">
        <x:is>
          <x:t xml:space="preserve">openai|gpt-6-1-sol|max|reasoning|fallback-na</x:t>
        </x:is>
      </x:c>
      <x:c r="C615" t="inlineStr">
        <x:is>
          <x:t xml:space="preserve">AA|v4.3.2</x:t>
        </x:is>
      </x:c>
      <x:c r="D615" t="n">
        <x:v>78</x:v>
      </x:c>
      <x:c r="E615" t="n">
        <x:v>52</x:v>
      </x:c>
      <x:c r="F615" t="n">
        <x:f>INDEX(Run_Metrics!$F:$F,D615)</x:f>
        <x:v>52</x:v>
      </x:c>
      <x:c r="G615" t="n">
        <x:f>INDEX(Run_Metrics!$G:$G,D615)</x:f>
        <x:v>1.99</x:v>
      </x:c>
      <x:c r="H615" t="str">
        <x:f>INDEX(Run_Metrics!$I:$I,D615)</x:f>
      </x:c>
      <x:c r="I615" t="n">
        <x:f>IF(F615="","",F615-(E615-1))</x:f>
        <x:v>1</x:v>
      </x:c>
      <x:c r="J615" t="n">
        <x:f>IF(I615&gt;0,1,0)</x:f>
        <x:v>1</x:v>
      </x:c>
      <x:c r="K615" t="n">
        <x:f>IF(OR(J615=0,G615="",G615=0),"",I615/G615)</x:f>
        <x:v>0.5025125628140703</x:v>
      </x:c>
      <x:c r="L615" t="n">
        <x:f>IF(OR(J615=0,I615=0,G615=""),"",G615/I615)</x:f>
        <x:v>1.99</x:v>
      </x:c>
      <x:c r="M615" t="str">
        <x:f>IF(OR(J615=0,G615="",H615="",G615=0,H615=0),"",I615/(G615*H615))</x:f>
      </x:c>
      <x:c r="N615" t="n">
        <x:f>IF(K615="","",K615/_xlfn.MAXIFS($K:$K,$E:$E,E615))</x:f>
        <x:v>0.304857621440536</x:v>
      </x:c>
      <x:c r="O615" t="str">
        <x:f>IF(M615="","",M615/_xlfn.MAXIFS($M:$M,$E:$E,E615))</x:f>
      </x:c>
      <x:c r="P615" t="str">
        <x:f>IF(OR(N615="",O615=""),"",SQRT(N615*O615))</x:f>
      </x:c>
      <x:c r="Q615" t="str">
        <x:f>IF(OR(N615="",O615=""),"",N615^0.7*O615^0.3)</x:f>
      </x:c>
      <x:c r="R615" t="str">
        <x:f>IF(OR(N615="",O615=""),"",N615^0.3*O615^0.7)</x:f>
      </x:c>
    </x:row>
    <x:row r="616">
      <x:c r="A616" t="inlineStr">
        <x:is>
          <x:t xml:space="preserve">openai|gpt-6-1-sol|max|reasoning|fallback-na|aa-v4.3.2|snapshot-2026-10-11</x:t>
        </x:is>
      </x:c>
      <x:c r="B616" t="inlineStr">
        <x:is>
          <x:t xml:space="preserve">openai|gpt-6-1-sol|max|reasoning|fallback-na</x:t>
        </x:is>
      </x:c>
      <x:c r="C616" t="inlineStr">
        <x:is>
          <x:t xml:space="preserve">AA|v4.3.2</x:t>
        </x:is>
      </x:c>
      <x:c r="D616" t="n">
        <x:v>78</x:v>
      </x:c>
      <x:c r="E616" t="n">
        <x:v>65</x:v>
      </x:c>
      <x:c r="F616" t="n">
        <x:f>INDEX(Run_Metrics!$F:$F,D616)</x:f>
        <x:v>52</x:v>
      </x:c>
      <x:c r="G616" t="n">
        <x:f>INDEX(Run_Metrics!$G:$G,D616)</x:f>
        <x:v>1.99</x:v>
      </x:c>
      <x:c r="H616" t="str">
        <x:f>INDEX(Run_Metrics!$I:$I,D616)</x:f>
      </x:c>
      <x:c r="I616" t="n">
        <x:f>IF(F616="","",F616-(E616-1))</x:f>
        <x:v>-12</x:v>
      </x:c>
      <x:c r="J616" t="n">
        <x:f>IF(I616&gt;0,1,0)</x:f>
        <x:v>0</x:v>
      </x:c>
      <x:c r="K616" t="str">
        <x:f>IF(OR(J616=0,G616="",G616=0),"",I616/G616)</x:f>
      </x:c>
      <x:c r="L616" t="str">
        <x:f>IF(OR(J616=0,I616=0,G616=""),"",G616/I616)</x:f>
      </x:c>
      <x:c r="M616" t="str">
        <x:f>IF(OR(J616=0,G616="",H616="",G616=0,H616=0),"",I616/(G616*H616))</x:f>
      </x:c>
      <x:c r="N616" t="str">
        <x:f>IF(K616="","",K616/_xlfn.MAXIFS($K:$K,$E:$E,E616))</x:f>
      </x:c>
      <x:c r="O616" t="str">
        <x:f>IF(M616="","",M616/_xlfn.MAXIFS($M:$M,$E:$E,E616))</x:f>
      </x:c>
      <x:c r="P616" t="str">
        <x:f>IF(OR(N616="",O616=""),"",SQRT(N616*O616))</x:f>
      </x:c>
      <x:c r="Q616" t="str">
        <x:f>IF(OR(N616="",O616=""),"",N616^0.7*O616^0.3)</x:f>
      </x:c>
      <x:c r="R616" t="str">
        <x:f>IF(OR(N616="",O616=""),"",N616^0.3*O616^0.7)</x:f>
      </x:c>
    </x:row>
    <x:row r="617">
      <x:c r="A617" t="inlineStr">
        <x:is>
          <x:t xml:space="preserve">openai|gpt-6-1-sol|max|reasoning|fallback-na|aa-v4.3.2|snapshot-2026-10-11</x:t>
        </x:is>
      </x:c>
      <x:c r="B617" t="inlineStr">
        <x:is>
          <x:t xml:space="preserve">openai|gpt-6-1-sol|max|reasoning|fallback-na</x:t>
        </x:is>
      </x:c>
      <x:c r="C617" t="inlineStr">
        <x:is>
          <x:t xml:space="preserve">AA|v4.3.2</x:t>
        </x:is>
      </x:c>
      <x:c r="D617" t="n">
        <x:v>78</x:v>
      </x:c>
      <x:c r="E617" t="n">
        <x:v>80</x:v>
      </x:c>
      <x:c r="F617" t="n">
        <x:f>INDEX(Run_Metrics!$F:$F,D617)</x:f>
        <x:v>52</x:v>
      </x:c>
      <x:c r="G617" t="n">
        <x:f>INDEX(Run_Metrics!$G:$G,D617)</x:f>
        <x:v>1.99</x:v>
      </x:c>
      <x:c r="H617" t="str">
        <x:f>INDEX(Run_Metrics!$I:$I,D617)</x:f>
      </x:c>
      <x:c r="I617" t="n">
        <x:f>IF(F617="","",F617-(E617-1))</x:f>
        <x:v>-27</x:v>
      </x:c>
      <x:c r="J617" t="n">
        <x:f>IF(I617&gt;0,1,0)</x:f>
        <x:v>0</x:v>
      </x:c>
      <x:c r="K617" t="str">
        <x:f>IF(OR(J617=0,G617="",G617=0),"",I617/G617)</x:f>
      </x:c>
      <x:c r="L617" t="str">
        <x:f>IF(OR(J617=0,I617=0,G617=""),"",G617/I617)</x:f>
      </x:c>
      <x:c r="M617" t="str">
        <x:f>IF(OR(J617=0,G617="",H617="",G617=0,H617=0),"",I617/(G617*H617))</x:f>
      </x:c>
      <x:c r="N617" t="str">
        <x:f>IF(K617="","",K617/_xlfn.MAXIFS($K:$K,$E:$E,E617))</x:f>
      </x:c>
      <x:c r="O617" t="str">
        <x:f>IF(M617="","",M617/_xlfn.MAXIFS($M:$M,$E:$E,E617))</x:f>
      </x:c>
      <x:c r="P617" t="str">
        <x:f>IF(OR(N617="",O617=""),"",SQRT(N617*O617))</x:f>
      </x:c>
      <x:c r="Q617" t="str">
        <x:f>IF(OR(N617="",O617=""),"",N617^0.7*O617^0.3)</x:f>
      </x:c>
      <x:c r="R617" t="str">
        <x:f>IF(OR(N617="",O617=""),"",N617^0.3*O617^0.7)</x:f>
      </x:c>
    </x:row>
    <x:row r="618">
      <x:c r="A618" t="inlineStr">
        <x:is>
          <x:t xml:space="preserve">anthropic|claude-haiku-5-5|low|reasoning|fallback-na|aa-v4.3.2|snapshot-2026-10-11</x:t>
        </x:is>
      </x:c>
      <x:c r="B618" t="inlineStr">
        <x:is>
          <x:t xml:space="preserve">anthropic|claude-haiku-5-5|low|reasoning|fallback-na</x:t>
        </x:is>
      </x:c>
      <x:c r="C618" t="inlineStr">
        <x:is>
          <x:t xml:space="preserve">AA|v4.3.2</x:t>
        </x:is>
      </x:c>
      <x:c r="D618" t="n">
        <x:v>79</x:v>
      </x:c>
      <x:c r="E618" t="n">
        <x:v>20</x:v>
      </x:c>
      <x:c r="F618" t="n">
        <x:f>INDEX(Run_Metrics!$F:$F,D618)</x:f>
        <x:v>29</x:v>
      </x:c>
      <x:c r="G618" t="n">
        <x:f>INDEX(Run_Metrics!$G:$G,D618)</x:f>
        <x:v>1.99</x:v>
      </x:c>
      <x:c r="H618" t="str">
        <x:f>INDEX(Run_Metrics!$I:$I,D618)</x:f>
      </x:c>
      <x:c r="I618" t="n">
        <x:f>IF(F618="","",F618-(E618-1))</x:f>
        <x:v>10</x:v>
      </x:c>
      <x:c r="J618" t="n">
        <x:f>IF(I618&gt;0,1,0)</x:f>
        <x:v>1</x:v>
      </x:c>
      <x:c r="K618" t="n">
        <x:f>IF(OR(J618=0,G618="",G618=0),"",I618/G618)</x:f>
        <x:v>5.025125628140704</x:v>
      </x:c>
      <x:c r="L618" t="n">
        <x:f>IF(OR(J618=0,I618=0,G618=""),"",G618/I618)</x:f>
        <x:v>0.199</x:v>
      </x:c>
      <x:c r="M618" t="str">
        <x:f>IF(OR(J618=0,G618="",H618="",G618=0,H618=0),"",I618/(G618*H618))</x:f>
      </x:c>
      <x:c r="N618" t="n">
        <x:f>IF(K618="","",K618/_xlfn.MAXIFS($K:$K,$E:$E,E618))</x:f>
        <x:v>0.007537688442211055</x:v>
      </x:c>
      <x:c r="O618" t="str">
        <x:f>IF(M618="","",M618/_xlfn.MAXIFS($M:$M,$E:$E,E618))</x:f>
      </x:c>
      <x:c r="P618" t="str">
        <x:f>IF(OR(N618="",O618=""),"",SQRT(N618*O618))</x:f>
      </x:c>
      <x:c r="Q618" t="str">
        <x:f>IF(OR(N618="",O618=""),"",N618^0.7*O618^0.3)</x:f>
      </x:c>
      <x:c r="R618" t="str">
        <x:f>IF(OR(N618="",O618=""),"",N618^0.3*O618^0.7)</x:f>
      </x:c>
    </x:row>
    <x:row r="619">
      <x:c r="A619" t="inlineStr">
        <x:is>
          <x:t xml:space="preserve">anthropic|claude-haiku-5-5|low|reasoning|fallback-na|aa-v4.3.2|snapshot-2026-10-11</x:t>
        </x:is>
      </x:c>
      <x:c r="B619" t="inlineStr">
        <x:is>
          <x:t xml:space="preserve">anthropic|claude-haiku-5-5|low|reasoning|fallback-na</x:t>
        </x:is>
      </x:c>
      <x:c r="C619" t="inlineStr">
        <x:is>
          <x:t xml:space="preserve">AA|v4.3.2</x:t>
        </x:is>
      </x:c>
      <x:c r="D619" t="n">
        <x:v>79</x:v>
      </x:c>
      <x:c r="E619" t="n">
        <x:v>30</x:v>
      </x:c>
      <x:c r="F619" t="n">
        <x:f>INDEX(Run_Metrics!$F:$F,D619)</x:f>
        <x:v>29</x:v>
      </x:c>
      <x:c r="G619" t="n">
        <x:f>INDEX(Run_Metrics!$G:$G,D619)</x:f>
        <x:v>1.99</x:v>
      </x:c>
      <x:c r="H619" t="str">
        <x:f>INDEX(Run_Metrics!$I:$I,D619)</x:f>
      </x:c>
      <x:c r="I619" t="n">
        <x:f>IF(F619="","",F619-(E619-1))</x:f>
        <x:v>0</x:v>
      </x:c>
      <x:c r="J619" t="n">
        <x:f>IF(I619&gt;0,1,0)</x:f>
        <x:v>0</x:v>
      </x:c>
      <x:c r="K619" t="str">
        <x:f>IF(OR(J619=0,G619="",G619=0),"",I619/G619)</x:f>
      </x:c>
      <x:c r="L619" t="str">
        <x:f>IF(OR(J619=0,I619=0,G619=""),"",G619/I619)</x:f>
      </x:c>
      <x:c r="M619" t="str">
        <x:f>IF(OR(J619=0,G619="",H619="",G619=0,H619=0),"",I619/(G619*H619))</x:f>
      </x:c>
      <x:c r="N619" t="str">
        <x:f>IF(K619="","",K619/_xlfn.MAXIFS($K:$K,$E:$E,E619))</x:f>
      </x:c>
      <x:c r="O619" t="str">
        <x:f>IF(M619="","",M619/_xlfn.MAXIFS($M:$M,$E:$E,E619))</x:f>
      </x:c>
      <x:c r="P619" t="str">
        <x:f>IF(OR(N619="",O619=""),"",SQRT(N619*O619))</x:f>
      </x:c>
      <x:c r="Q619" t="str">
        <x:f>IF(OR(N619="",O619=""),"",N619^0.7*O619^0.3)</x:f>
      </x:c>
      <x:c r="R619" t="str">
        <x:f>IF(OR(N619="",O619=""),"",N619^0.3*O619^0.7)</x:f>
      </x:c>
    </x:row>
    <x:row r="620">
      <x:c r="A620" t="inlineStr">
        <x:is>
          <x:t xml:space="preserve">anthropic|claude-haiku-5-5|low|reasoning|fallback-na|aa-v4.3.2|snapshot-2026-10-11</x:t>
        </x:is>
      </x:c>
      <x:c r="B620" t="inlineStr">
        <x:is>
          <x:t xml:space="preserve">anthropic|claude-haiku-5-5|low|reasoning|fallback-na</x:t>
        </x:is>
      </x:c>
      <x:c r="C620" t="inlineStr">
        <x:is>
          <x:t xml:space="preserve">AA|v4.3.2</x:t>
        </x:is>
      </x:c>
      <x:c r="D620" t="n">
        <x:v>79</x:v>
      </x:c>
      <x:c r="E620" t="n">
        <x:v>40</x:v>
      </x:c>
      <x:c r="F620" t="n">
        <x:f>INDEX(Run_Metrics!$F:$F,D620)</x:f>
        <x:v>29</x:v>
      </x:c>
      <x:c r="G620" t="n">
        <x:f>INDEX(Run_Metrics!$G:$G,D620)</x:f>
        <x:v>1.99</x:v>
      </x:c>
      <x:c r="H620" t="str">
        <x:f>INDEX(Run_Metrics!$I:$I,D620)</x:f>
      </x:c>
      <x:c r="I620" t="n">
        <x:f>IF(F620="","",F620-(E620-1))</x:f>
        <x:v>-10</x:v>
      </x:c>
      <x:c r="J620" t="n">
        <x:f>IF(I620&gt;0,1,0)</x:f>
        <x:v>0</x:v>
      </x:c>
      <x:c r="K620" t="str">
        <x:f>IF(OR(J620=0,G620="",G620=0),"",I620/G620)</x:f>
      </x:c>
      <x:c r="L620" t="str">
        <x:f>IF(OR(J620=0,I620=0,G620=""),"",G620/I620)</x:f>
      </x:c>
      <x:c r="M620" t="str">
        <x:f>IF(OR(J620=0,G620="",H620="",G620=0,H620=0),"",I620/(G620*H620))</x:f>
      </x:c>
      <x:c r="N620" t="str">
        <x:f>IF(K620="","",K620/_xlfn.MAXIFS($K:$K,$E:$E,E620))</x:f>
      </x:c>
      <x:c r="O620" t="str">
        <x:f>IF(M620="","",M620/_xlfn.MAXIFS($M:$M,$E:$E,E620))</x:f>
      </x:c>
      <x:c r="P620" t="str">
        <x:f>IF(OR(N620="",O620=""),"",SQRT(N620*O620))</x:f>
      </x:c>
      <x:c r="Q620" t="str">
        <x:f>IF(OR(N620="",O620=""),"",N620^0.7*O620^0.3)</x:f>
      </x:c>
      <x:c r="R620" t="str">
        <x:f>IF(OR(N620="",O620=""),"",N620^0.3*O620^0.7)</x:f>
      </x:c>
    </x:row>
    <x:row r="621">
      <x:c r="A621" t="inlineStr">
        <x:is>
          <x:t xml:space="preserve">anthropic|claude-haiku-5-5|low|reasoning|fallback-na|aa-v4.3.2|snapshot-2026-10-11</x:t>
        </x:is>
      </x:c>
      <x:c r="B621" t="inlineStr">
        <x:is>
          <x:t xml:space="preserve">anthropic|claude-haiku-5-5|low|reasoning|fallback-na</x:t>
        </x:is>
      </x:c>
      <x:c r="C621" t="inlineStr">
        <x:is>
          <x:t xml:space="preserve">AA|v4.3.2</x:t>
        </x:is>
      </x:c>
      <x:c r="D621" t="n">
        <x:v>79</x:v>
      </x:c>
      <x:c r="E621" t="n">
        <x:v>45</x:v>
      </x:c>
      <x:c r="F621" t="n">
        <x:f>INDEX(Run_Metrics!$F:$F,D621)</x:f>
        <x:v>29</x:v>
      </x:c>
      <x:c r="G621" t="n">
        <x:f>INDEX(Run_Metrics!$G:$G,D621)</x:f>
        <x:v>1.99</x:v>
      </x:c>
      <x:c r="H621" t="str">
        <x:f>INDEX(Run_Metrics!$I:$I,D621)</x:f>
      </x:c>
      <x:c r="I621" t="n">
        <x:f>IF(F621="","",F621-(E621-1))</x:f>
        <x:v>-15</x:v>
      </x:c>
      <x:c r="J621" t="n">
        <x:f>IF(I621&gt;0,1,0)</x:f>
        <x:v>0</x:v>
      </x:c>
      <x:c r="K621" t="str">
        <x:f>IF(OR(J621=0,G621="",G621=0),"",I621/G621)</x:f>
      </x:c>
      <x:c r="L621" t="str">
        <x:f>IF(OR(J621=0,I621=0,G621=""),"",G621/I621)</x:f>
      </x:c>
      <x:c r="M621" t="str">
        <x:f>IF(OR(J621=0,G621="",H621="",G621=0,H621=0),"",I621/(G621*H621))</x:f>
      </x:c>
      <x:c r="N621" t="str">
        <x:f>IF(K621="","",K621/_xlfn.MAXIFS($K:$K,$E:$E,E621))</x:f>
      </x:c>
      <x:c r="O621" t="str">
        <x:f>IF(M621="","",M621/_xlfn.MAXIFS($M:$M,$E:$E,E621))</x:f>
      </x:c>
      <x:c r="P621" t="str">
        <x:f>IF(OR(N621="",O621=""),"",SQRT(N621*O621))</x:f>
      </x:c>
      <x:c r="Q621" t="str">
        <x:f>IF(OR(N621="",O621=""),"",N621^0.7*O621^0.3)</x:f>
      </x:c>
      <x:c r="R621" t="str">
        <x:f>IF(OR(N621="",O621=""),"",N621^0.3*O621^0.7)</x:f>
      </x:c>
    </x:row>
    <x:row r="622">
      <x:c r="A622" t="inlineStr">
        <x:is>
          <x:t xml:space="preserve">anthropic|claude-haiku-5-5|low|reasoning|fallback-na|aa-v4.3.2|snapshot-2026-10-11</x:t>
        </x:is>
      </x:c>
      <x:c r="B622" t="inlineStr">
        <x:is>
          <x:t xml:space="preserve">anthropic|claude-haiku-5-5|low|reasoning|fallback-na</x:t>
        </x:is>
      </x:c>
      <x:c r="C622" t="inlineStr">
        <x:is>
          <x:t xml:space="preserve">AA|v4.3.2</x:t>
        </x:is>
      </x:c>
      <x:c r="D622" t="n">
        <x:v>79</x:v>
      </x:c>
      <x:c r="E622" t="n">
        <x:v>50</x:v>
      </x:c>
      <x:c r="F622" t="n">
        <x:f>INDEX(Run_Metrics!$F:$F,D622)</x:f>
        <x:v>29</x:v>
      </x:c>
      <x:c r="G622" t="n">
        <x:f>INDEX(Run_Metrics!$G:$G,D622)</x:f>
        <x:v>1.99</x:v>
      </x:c>
      <x:c r="H622" t="str">
        <x:f>INDEX(Run_Metrics!$I:$I,D622)</x:f>
      </x:c>
      <x:c r="I622" t="n">
        <x:f>IF(F622="","",F622-(E622-1))</x:f>
        <x:v>-20</x:v>
      </x:c>
      <x:c r="J622" t="n">
        <x:f>IF(I622&gt;0,1,0)</x:f>
        <x:v>0</x:v>
      </x:c>
      <x:c r="K622" t="str">
        <x:f>IF(OR(J622=0,G622="",G622=0),"",I622/G622)</x:f>
      </x:c>
      <x:c r="L622" t="str">
        <x:f>IF(OR(J622=0,I622=0,G622=""),"",G622/I622)</x:f>
      </x:c>
      <x:c r="M622" t="str">
        <x:f>IF(OR(J622=0,G622="",H622="",G622=0,H622=0),"",I622/(G622*H622))</x:f>
      </x:c>
      <x:c r="N622" t="str">
        <x:f>IF(K622="","",K622/_xlfn.MAXIFS($K:$K,$E:$E,E622))</x:f>
      </x:c>
      <x:c r="O622" t="str">
        <x:f>IF(M622="","",M622/_xlfn.MAXIFS($M:$M,$E:$E,E622))</x:f>
      </x:c>
      <x:c r="P622" t="str">
        <x:f>IF(OR(N622="",O622=""),"",SQRT(N622*O622))</x:f>
      </x:c>
      <x:c r="Q622" t="str">
        <x:f>IF(OR(N622="",O622=""),"",N622^0.7*O622^0.3)</x:f>
      </x:c>
      <x:c r="R622" t="str">
        <x:f>IF(OR(N622="",O622=""),"",N622^0.3*O622^0.7)</x:f>
      </x:c>
    </x:row>
    <x:row r="623">
      <x:c r="A623" t="inlineStr">
        <x:is>
          <x:t xml:space="preserve">anthropic|claude-haiku-5-5|low|reasoning|fallback-na|aa-v4.3.2|snapshot-2026-10-11</x:t>
        </x:is>
      </x:c>
      <x:c r="B623" t="inlineStr">
        <x:is>
          <x:t xml:space="preserve">anthropic|claude-haiku-5-5|low|reasoning|fallback-na</x:t>
        </x:is>
      </x:c>
      <x:c r="C623" t="inlineStr">
        <x:is>
          <x:t xml:space="preserve">AA|v4.3.2</x:t>
        </x:is>
      </x:c>
      <x:c r="D623" t="n">
        <x:v>79</x:v>
      </x:c>
      <x:c r="E623" t="n">
        <x:v>52</x:v>
      </x:c>
      <x:c r="F623" t="n">
        <x:f>INDEX(Run_Metrics!$F:$F,D623)</x:f>
        <x:v>29</x:v>
      </x:c>
      <x:c r="G623" t="n">
        <x:f>INDEX(Run_Metrics!$G:$G,D623)</x:f>
        <x:v>1.99</x:v>
      </x:c>
      <x:c r="H623" t="str">
        <x:f>INDEX(Run_Metrics!$I:$I,D623)</x:f>
      </x:c>
      <x:c r="I623" t="n">
        <x:f>IF(F623="","",F623-(E623-1))</x:f>
        <x:v>-22</x:v>
      </x:c>
      <x:c r="J623" t="n">
        <x:f>IF(I623&gt;0,1,0)</x:f>
        <x:v>0</x:v>
      </x:c>
      <x:c r="K623" t="str">
        <x:f>IF(OR(J623=0,G623="",G623=0),"",I623/G623)</x:f>
      </x:c>
      <x:c r="L623" t="str">
        <x:f>IF(OR(J623=0,I623=0,G623=""),"",G623/I623)</x:f>
      </x:c>
      <x:c r="M623" t="str">
        <x:f>IF(OR(J623=0,G623="",H623="",G623=0,H623=0),"",I623/(G623*H623))</x:f>
      </x:c>
      <x:c r="N623" t="str">
        <x:f>IF(K623="","",K623/_xlfn.MAXIFS($K:$K,$E:$E,E623))</x:f>
      </x:c>
      <x:c r="O623" t="str">
        <x:f>IF(M623="","",M623/_xlfn.MAXIFS($M:$M,$E:$E,E623))</x:f>
      </x:c>
      <x:c r="P623" t="str">
        <x:f>IF(OR(N623="",O623=""),"",SQRT(N623*O623))</x:f>
      </x:c>
      <x:c r="Q623" t="str">
        <x:f>IF(OR(N623="",O623=""),"",N623^0.7*O623^0.3)</x:f>
      </x:c>
      <x:c r="R623" t="str">
        <x:f>IF(OR(N623="",O623=""),"",N623^0.3*O623^0.7)</x:f>
      </x:c>
    </x:row>
    <x:row r="624">
      <x:c r="A624" t="inlineStr">
        <x:is>
          <x:t xml:space="preserve">anthropic|claude-haiku-5-5|low|reasoning|fallback-na|aa-v4.3.2|snapshot-2026-10-11</x:t>
        </x:is>
      </x:c>
      <x:c r="B624" t="inlineStr">
        <x:is>
          <x:t xml:space="preserve">anthropic|claude-haiku-5-5|low|reasoning|fallback-na</x:t>
        </x:is>
      </x:c>
      <x:c r="C624" t="inlineStr">
        <x:is>
          <x:t xml:space="preserve">AA|v4.3.2</x:t>
        </x:is>
      </x:c>
      <x:c r="D624" t="n">
        <x:v>79</x:v>
      </x:c>
      <x:c r="E624" t="n">
        <x:v>65</x:v>
      </x:c>
      <x:c r="F624" t="n">
        <x:f>INDEX(Run_Metrics!$F:$F,D624)</x:f>
        <x:v>29</x:v>
      </x:c>
      <x:c r="G624" t="n">
        <x:f>INDEX(Run_Metrics!$G:$G,D624)</x:f>
        <x:v>1.99</x:v>
      </x:c>
      <x:c r="H624" t="str">
        <x:f>INDEX(Run_Metrics!$I:$I,D624)</x:f>
      </x:c>
      <x:c r="I624" t="n">
        <x:f>IF(F624="","",F624-(E624-1))</x:f>
        <x:v>-35</x:v>
      </x:c>
      <x:c r="J624" t="n">
        <x:f>IF(I624&gt;0,1,0)</x:f>
        <x:v>0</x:v>
      </x:c>
      <x:c r="K624" t="str">
        <x:f>IF(OR(J624=0,G624="",G624=0),"",I624/G624)</x:f>
      </x:c>
      <x:c r="L624" t="str">
        <x:f>IF(OR(J624=0,I624=0,G624=""),"",G624/I624)</x:f>
      </x:c>
      <x:c r="M624" t="str">
        <x:f>IF(OR(J624=0,G624="",H624="",G624=0,H624=0),"",I624/(G624*H624))</x:f>
      </x:c>
      <x:c r="N624" t="str">
        <x:f>IF(K624="","",K624/_xlfn.MAXIFS($K:$K,$E:$E,E624))</x:f>
      </x:c>
      <x:c r="O624" t="str">
        <x:f>IF(M624="","",M624/_xlfn.MAXIFS($M:$M,$E:$E,E624))</x:f>
      </x:c>
      <x:c r="P624" t="str">
        <x:f>IF(OR(N624="",O624=""),"",SQRT(N624*O624))</x:f>
      </x:c>
      <x:c r="Q624" t="str">
        <x:f>IF(OR(N624="",O624=""),"",N624^0.7*O624^0.3)</x:f>
      </x:c>
      <x:c r="R624" t="str">
        <x:f>IF(OR(N624="",O624=""),"",N624^0.3*O624^0.7)</x:f>
      </x:c>
    </x:row>
    <x:row r="625">
      <x:c r="A625" t="inlineStr">
        <x:is>
          <x:t xml:space="preserve">anthropic|claude-haiku-5-5|low|reasoning|fallback-na|aa-v4.3.2|snapshot-2026-10-11</x:t>
        </x:is>
      </x:c>
      <x:c r="B625" t="inlineStr">
        <x:is>
          <x:t xml:space="preserve">anthropic|claude-haiku-5-5|low|reasoning|fallback-na</x:t>
        </x:is>
      </x:c>
      <x:c r="C625" t="inlineStr">
        <x:is>
          <x:t xml:space="preserve">AA|v4.3.2</x:t>
        </x:is>
      </x:c>
      <x:c r="D625" t="n">
        <x:v>79</x:v>
      </x:c>
      <x:c r="E625" t="n">
        <x:v>80</x:v>
      </x:c>
      <x:c r="F625" t="n">
        <x:f>INDEX(Run_Metrics!$F:$F,D625)</x:f>
        <x:v>29</x:v>
      </x:c>
      <x:c r="G625" t="n">
        <x:f>INDEX(Run_Metrics!$G:$G,D625)</x:f>
        <x:v>1.99</x:v>
      </x:c>
      <x:c r="H625" t="str">
        <x:f>INDEX(Run_Metrics!$I:$I,D625)</x:f>
      </x:c>
      <x:c r="I625" t="n">
        <x:f>IF(F625="","",F625-(E625-1))</x:f>
        <x:v>-50</x:v>
      </x:c>
      <x:c r="J625" t="n">
        <x:f>IF(I625&gt;0,1,0)</x:f>
        <x:v>0</x:v>
      </x:c>
      <x:c r="K625" t="str">
        <x:f>IF(OR(J625=0,G625="",G625=0),"",I625/G625)</x:f>
      </x:c>
      <x:c r="L625" t="str">
        <x:f>IF(OR(J625=0,I625=0,G625=""),"",G625/I625)</x:f>
      </x:c>
      <x:c r="M625" t="str">
        <x:f>IF(OR(J625=0,G625="",H625="",G625=0,H625=0),"",I625/(G625*H625))</x:f>
      </x:c>
      <x:c r="N625" t="str">
        <x:f>IF(K625="","",K625/_xlfn.MAXIFS($K:$K,$E:$E,E625))</x:f>
      </x:c>
      <x:c r="O625" t="str">
        <x:f>IF(M625="","",M625/_xlfn.MAXIFS($M:$M,$E:$E,E625))</x:f>
      </x:c>
      <x:c r="P625" t="str">
        <x:f>IF(OR(N625="",O625=""),"",SQRT(N625*O625))</x:f>
      </x:c>
      <x:c r="Q625" t="str">
        <x:f>IF(OR(N625="",O625=""),"",N625^0.7*O625^0.3)</x:f>
      </x:c>
      <x:c r="R625" t="str">
        <x:f>IF(OR(N625="",O625=""),"",N625^0.3*O625^0.7)</x:f>
      </x:c>
    </x:row>
    <x:row r="626">
      <x:c r="A626" t="inlineStr">
        <x:is>
          <x:t xml:space="preserve">anthropic|claude-haiku-5-5|medium|reasoning|fallback-na|aa-v4.3.2|snapshot-2026-10-11</x:t>
        </x:is>
      </x:c>
      <x:c r="B626" t="inlineStr">
        <x:is>
          <x:t xml:space="preserve">anthropic|claude-haiku-5-5|medium|reasoning|fallback-na</x:t>
        </x:is>
      </x:c>
      <x:c r="C626" t="inlineStr">
        <x:is>
          <x:t xml:space="preserve">AA|v4.3.2</x:t>
        </x:is>
      </x:c>
      <x:c r="D626" t="n">
        <x:v>80</x:v>
      </x:c>
      <x:c r="E626" t="n">
        <x:v>20</x:v>
      </x:c>
      <x:c r="F626" t="n">
        <x:f>INDEX(Run_Metrics!$F:$F,D626)</x:f>
        <x:v>34</x:v>
      </x:c>
      <x:c r="G626" t="n">
        <x:f>INDEX(Run_Metrics!$G:$G,D626)</x:f>
        <x:v>1.99</x:v>
      </x:c>
      <x:c r="H626" t="str">
        <x:f>INDEX(Run_Metrics!$I:$I,D626)</x:f>
      </x:c>
      <x:c r="I626" t="n">
        <x:f>IF(F626="","",F626-(E626-1))</x:f>
        <x:v>15</x:v>
      </x:c>
      <x:c r="J626" t="n">
        <x:f>IF(I626&gt;0,1,0)</x:f>
        <x:v>1</x:v>
      </x:c>
      <x:c r="K626" t="n">
        <x:f>IF(OR(J626=0,G626="",G626=0),"",I626/G626)</x:f>
        <x:v>7.5376884422110555</x:v>
      </x:c>
      <x:c r="L626" t="n">
        <x:f>IF(OR(J626=0,I626=0,G626=""),"",G626/I626)</x:f>
        <x:v>0.13266666666666665</x:v>
      </x:c>
      <x:c r="M626" t="str">
        <x:f>IF(OR(J626=0,G626="",H626="",G626=0,H626=0),"",I626/(G626*H626))</x:f>
      </x:c>
      <x:c r="N626" t="n">
        <x:f>IF(K626="","",K626/_xlfn.MAXIFS($K:$K,$E:$E,E626))</x:f>
        <x:v>0.011306532663316582</x:v>
      </x:c>
      <x:c r="O626" t="str">
        <x:f>IF(M626="","",M626/_xlfn.MAXIFS($M:$M,$E:$E,E626))</x:f>
      </x:c>
      <x:c r="P626" t="str">
        <x:f>IF(OR(N626="",O626=""),"",SQRT(N626*O626))</x:f>
      </x:c>
      <x:c r="Q626" t="str">
        <x:f>IF(OR(N626="",O626=""),"",N626^0.7*O626^0.3)</x:f>
      </x:c>
      <x:c r="R626" t="str">
        <x:f>IF(OR(N626="",O626=""),"",N626^0.3*O626^0.7)</x:f>
      </x:c>
    </x:row>
    <x:row r="627">
      <x:c r="A627" t="inlineStr">
        <x:is>
          <x:t xml:space="preserve">anthropic|claude-haiku-5-5|medium|reasoning|fallback-na|aa-v4.3.2|snapshot-2026-10-11</x:t>
        </x:is>
      </x:c>
      <x:c r="B627" t="inlineStr">
        <x:is>
          <x:t xml:space="preserve">anthropic|claude-haiku-5-5|medium|reasoning|fallback-na</x:t>
        </x:is>
      </x:c>
      <x:c r="C627" t="inlineStr">
        <x:is>
          <x:t xml:space="preserve">AA|v4.3.2</x:t>
        </x:is>
      </x:c>
      <x:c r="D627" t="n">
        <x:v>80</x:v>
      </x:c>
      <x:c r="E627" t="n">
        <x:v>30</x:v>
      </x:c>
      <x:c r="F627" t="n">
        <x:f>INDEX(Run_Metrics!$F:$F,D627)</x:f>
        <x:v>34</x:v>
      </x:c>
      <x:c r="G627" t="n">
        <x:f>INDEX(Run_Metrics!$G:$G,D627)</x:f>
        <x:v>1.99</x:v>
      </x:c>
      <x:c r="H627" t="str">
        <x:f>INDEX(Run_Metrics!$I:$I,D627)</x:f>
      </x:c>
      <x:c r="I627" t="n">
        <x:f>IF(F627="","",F627-(E627-1))</x:f>
        <x:v>5</x:v>
      </x:c>
      <x:c r="J627" t="n">
        <x:f>IF(I627&gt;0,1,0)</x:f>
        <x:v>1</x:v>
      </x:c>
      <x:c r="K627" t="n">
        <x:f>IF(OR(J627=0,G627="",G627=0),"",I627/G627)</x:f>
        <x:v>2.512562814070352</x:v>
      </x:c>
      <x:c r="L627" t="n">
        <x:f>IF(OR(J627=0,I627=0,G627=""),"",G627/I627)</x:f>
        <x:v>0.398</x:v>
      </x:c>
      <x:c r="M627" t="str">
        <x:f>IF(OR(J627=0,G627="",H627="",G627=0,H627=0),"",I627/(G627*H627))</x:f>
      </x:c>
      <x:c r="N627" t="n">
        <x:f>IF(K627="","",K627/_xlfn.MAXIFS($K:$K,$E:$E,E627))</x:f>
        <x:v>0.016750418760469014</x:v>
      </x:c>
      <x:c r="O627" t="str">
        <x:f>IF(M627="","",M627/_xlfn.MAXIFS($M:$M,$E:$E,E627))</x:f>
      </x:c>
      <x:c r="P627" t="str">
        <x:f>IF(OR(N627="",O627=""),"",SQRT(N627*O627))</x:f>
      </x:c>
      <x:c r="Q627" t="str">
        <x:f>IF(OR(N627="",O627=""),"",N627^0.7*O627^0.3)</x:f>
      </x:c>
      <x:c r="R627" t="str">
        <x:f>IF(OR(N627="",O627=""),"",N627^0.3*O627^0.7)</x:f>
      </x:c>
    </x:row>
    <x:row r="628">
      <x:c r="A628" t="inlineStr">
        <x:is>
          <x:t xml:space="preserve">anthropic|claude-haiku-5-5|medium|reasoning|fallback-na|aa-v4.3.2|snapshot-2026-10-11</x:t>
        </x:is>
      </x:c>
      <x:c r="B628" t="inlineStr">
        <x:is>
          <x:t xml:space="preserve">anthropic|claude-haiku-5-5|medium|reasoning|fallback-na</x:t>
        </x:is>
      </x:c>
      <x:c r="C628" t="inlineStr">
        <x:is>
          <x:t xml:space="preserve">AA|v4.3.2</x:t>
        </x:is>
      </x:c>
      <x:c r="D628" t="n">
        <x:v>80</x:v>
      </x:c>
      <x:c r="E628" t="n">
        <x:v>40</x:v>
      </x:c>
      <x:c r="F628" t="n">
        <x:f>INDEX(Run_Metrics!$F:$F,D628)</x:f>
        <x:v>34</x:v>
      </x:c>
      <x:c r="G628" t="n">
        <x:f>INDEX(Run_Metrics!$G:$G,D628)</x:f>
        <x:v>1.99</x:v>
      </x:c>
      <x:c r="H628" t="str">
        <x:f>INDEX(Run_Metrics!$I:$I,D628)</x:f>
      </x:c>
      <x:c r="I628" t="n">
        <x:f>IF(F628="","",F628-(E628-1))</x:f>
        <x:v>-5</x:v>
      </x:c>
      <x:c r="J628" t="n">
        <x:f>IF(I628&gt;0,1,0)</x:f>
        <x:v>0</x:v>
      </x:c>
      <x:c r="K628" t="str">
        <x:f>IF(OR(J628=0,G628="",G628=0),"",I628/G628)</x:f>
      </x:c>
      <x:c r="L628" t="str">
        <x:f>IF(OR(J628=0,I628=0,G628=""),"",G628/I628)</x:f>
      </x:c>
      <x:c r="M628" t="str">
        <x:f>IF(OR(J628=0,G628="",H628="",G628=0,H628=0),"",I628/(G628*H628))</x:f>
      </x:c>
      <x:c r="N628" t="str">
        <x:f>IF(K628="","",K628/_xlfn.MAXIFS($K:$K,$E:$E,E628))</x:f>
      </x:c>
      <x:c r="O628" t="str">
        <x:f>IF(M628="","",M628/_xlfn.MAXIFS($M:$M,$E:$E,E628))</x:f>
      </x:c>
      <x:c r="P628" t="str">
        <x:f>IF(OR(N628="",O628=""),"",SQRT(N628*O628))</x:f>
      </x:c>
      <x:c r="Q628" t="str">
        <x:f>IF(OR(N628="",O628=""),"",N628^0.7*O628^0.3)</x:f>
      </x:c>
      <x:c r="R628" t="str">
        <x:f>IF(OR(N628="",O628=""),"",N628^0.3*O628^0.7)</x:f>
      </x:c>
    </x:row>
    <x:row r="629">
      <x:c r="A629" t="inlineStr">
        <x:is>
          <x:t xml:space="preserve">anthropic|claude-haiku-5-5|medium|reasoning|fallback-na|aa-v4.3.2|snapshot-2026-10-11</x:t>
        </x:is>
      </x:c>
      <x:c r="B629" t="inlineStr">
        <x:is>
          <x:t xml:space="preserve">anthropic|claude-haiku-5-5|medium|reasoning|fallback-na</x:t>
        </x:is>
      </x:c>
      <x:c r="C629" t="inlineStr">
        <x:is>
          <x:t xml:space="preserve">AA|v4.3.2</x:t>
        </x:is>
      </x:c>
      <x:c r="D629" t="n">
        <x:v>80</x:v>
      </x:c>
      <x:c r="E629" t="n">
        <x:v>45</x:v>
      </x:c>
      <x:c r="F629" t="n">
        <x:f>INDEX(Run_Metrics!$F:$F,D629)</x:f>
        <x:v>34</x:v>
      </x:c>
      <x:c r="G629" t="n">
        <x:f>INDEX(Run_Metrics!$G:$G,D629)</x:f>
        <x:v>1.99</x:v>
      </x:c>
      <x:c r="H629" t="str">
        <x:f>INDEX(Run_Metrics!$I:$I,D629)</x:f>
      </x:c>
      <x:c r="I629" t="n">
        <x:f>IF(F629="","",F629-(E629-1))</x:f>
        <x:v>-10</x:v>
      </x:c>
      <x:c r="J629" t="n">
        <x:f>IF(I629&gt;0,1,0)</x:f>
        <x:v>0</x:v>
      </x:c>
      <x:c r="K629" t="str">
        <x:f>IF(OR(J629=0,G629="",G629=0),"",I629/G629)</x:f>
      </x:c>
      <x:c r="L629" t="str">
        <x:f>IF(OR(J629=0,I629=0,G629=""),"",G629/I629)</x:f>
      </x:c>
      <x:c r="M629" t="str">
        <x:f>IF(OR(J629=0,G629="",H629="",G629=0,H629=0),"",I629/(G629*H629))</x:f>
      </x:c>
      <x:c r="N629" t="str">
        <x:f>IF(K629="","",K629/_xlfn.MAXIFS($K:$K,$E:$E,E629))</x:f>
      </x:c>
      <x:c r="O629" t="str">
        <x:f>IF(M629="","",M629/_xlfn.MAXIFS($M:$M,$E:$E,E629))</x:f>
      </x:c>
      <x:c r="P629" t="str">
        <x:f>IF(OR(N629="",O629=""),"",SQRT(N629*O629))</x:f>
      </x:c>
      <x:c r="Q629" t="str">
        <x:f>IF(OR(N629="",O629=""),"",N629^0.7*O629^0.3)</x:f>
      </x:c>
      <x:c r="R629" t="str">
        <x:f>IF(OR(N629="",O629=""),"",N629^0.3*O629^0.7)</x:f>
      </x:c>
    </x:row>
    <x:row r="630">
      <x:c r="A630" t="inlineStr">
        <x:is>
          <x:t xml:space="preserve">anthropic|claude-haiku-5-5|medium|reasoning|fallback-na|aa-v4.3.2|snapshot-2026-10-11</x:t>
        </x:is>
      </x:c>
      <x:c r="B630" t="inlineStr">
        <x:is>
          <x:t xml:space="preserve">anthropic|claude-haiku-5-5|medium|reasoning|fallback-na</x:t>
        </x:is>
      </x:c>
      <x:c r="C630" t="inlineStr">
        <x:is>
          <x:t xml:space="preserve">AA|v4.3.2</x:t>
        </x:is>
      </x:c>
      <x:c r="D630" t="n">
        <x:v>80</x:v>
      </x:c>
      <x:c r="E630" t="n">
        <x:v>50</x:v>
      </x:c>
      <x:c r="F630" t="n">
        <x:f>INDEX(Run_Metrics!$F:$F,D630)</x:f>
        <x:v>34</x:v>
      </x:c>
      <x:c r="G630" t="n">
        <x:f>INDEX(Run_Metrics!$G:$G,D630)</x:f>
        <x:v>1.99</x:v>
      </x:c>
      <x:c r="H630" t="str">
        <x:f>INDEX(Run_Metrics!$I:$I,D630)</x:f>
      </x:c>
      <x:c r="I630" t="n">
        <x:f>IF(F630="","",F630-(E630-1))</x:f>
        <x:v>-15</x:v>
      </x:c>
      <x:c r="J630" t="n">
        <x:f>IF(I630&gt;0,1,0)</x:f>
        <x:v>0</x:v>
      </x:c>
      <x:c r="K630" t="str">
        <x:f>IF(OR(J630=0,G630="",G630=0),"",I630/G630)</x:f>
      </x:c>
      <x:c r="L630" t="str">
        <x:f>IF(OR(J630=0,I630=0,G630=""),"",G630/I630)</x:f>
      </x:c>
      <x:c r="M630" t="str">
        <x:f>IF(OR(J630=0,G630="",H630="",G630=0,H630=0),"",I630/(G630*H630))</x:f>
      </x:c>
      <x:c r="N630" t="str">
        <x:f>IF(K630="","",K630/_xlfn.MAXIFS($K:$K,$E:$E,E630))</x:f>
      </x:c>
      <x:c r="O630" t="str">
        <x:f>IF(M630="","",M630/_xlfn.MAXIFS($M:$M,$E:$E,E630))</x:f>
      </x:c>
      <x:c r="P630" t="str">
        <x:f>IF(OR(N630="",O630=""),"",SQRT(N630*O630))</x:f>
      </x:c>
      <x:c r="Q630" t="str">
        <x:f>IF(OR(N630="",O630=""),"",N630^0.7*O630^0.3)</x:f>
      </x:c>
      <x:c r="R630" t="str">
        <x:f>IF(OR(N630="",O630=""),"",N630^0.3*O630^0.7)</x:f>
      </x:c>
    </x:row>
    <x:row r="631">
      <x:c r="A631" t="inlineStr">
        <x:is>
          <x:t xml:space="preserve">anthropic|claude-haiku-5-5|medium|reasoning|fallback-na|aa-v4.3.2|snapshot-2026-10-11</x:t>
        </x:is>
      </x:c>
      <x:c r="B631" t="inlineStr">
        <x:is>
          <x:t xml:space="preserve">anthropic|claude-haiku-5-5|medium|reasoning|fallback-na</x:t>
        </x:is>
      </x:c>
      <x:c r="C631" t="inlineStr">
        <x:is>
          <x:t xml:space="preserve">AA|v4.3.2</x:t>
        </x:is>
      </x:c>
      <x:c r="D631" t="n">
        <x:v>80</x:v>
      </x:c>
      <x:c r="E631" t="n">
        <x:v>52</x:v>
      </x:c>
      <x:c r="F631" t="n">
        <x:f>INDEX(Run_Metrics!$F:$F,D631)</x:f>
        <x:v>34</x:v>
      </x:c>
      <x:c r="G631" t="n">
        <x:f>INDEX(Run_Metrics!$G:$G,D631)</x:f>
        <x:v>1.99</x:v>
      </x:c>
      <x:c r="H631" t="str">
        <x:f>INDEX(Run_Metrics!$I:$I,D631)</x:f>
      </x:c>
      <x:c r="I631" t="n">
        <x:f>IF(F631="","",F631-(E631-1))</x:f>
        <x:v>-17</x:v>
      </x:c>
      <x:c r="J631" t="n">
        <x:f>IF(I631&gt;0,1,0)</x:f>
        <x:v>0</x:v>
      </x:c>
      <x:c r="K631" t="str">
        <x:f>IF(OR(J631=0,G631="",G631=0),"",I631/G631)</x:f>
      </x:c>
      <x:c r="L631" t="str">
        <x:f>IF(OR(J631=0,I631=0,G631=""),"",G631/I631)</x:f>
      </x:c>
      <x:c r="M631" t="str">
        <x:f>IF(OR(J631=0,G631="",H631="",G631=0,H631=0),"",I631/(G631*H631))</x:f>
      </x:c>
      <x:c r="N631" t="str">
        <x:f>IF(K631="","",K631/_xlfn.MAXIFS($K:$K,$E:$E,E631))</x:f>
      </x:c>
      <x:c r="O631" t="str">
        <x:f>IF(M631="","",M631/_xlfn.MAXIFS($M:$M,$E:$E,E631))</x:f>
      </x:c>
      <x:c r="P631" t="str">
        <x:f>IF(OR(N631="",O631=""),"",SQRT(N631*O631))</x:f>
      </x:c>
      <x:c r="Q631" t="str">
        <x:f>IF(OR(N631="",O631=""),"",N631^0.7*O631^0.3)</x:f>
      </x:c>
      <x:c r="R631" t="str">
        <x:f>IF(OR(N631="",O631=""),"",N631^0.3*O631^0.7)</x:f>
      </x:c>
    </x:row>
    <x:row r="632">
      <x:c r="A632" t="inlineStr">
        <x:is>
          <x:t xml:space="preserve">anthropic|claude-haiku-5-5|medium|reasoning|fallback-na|aa-v4.3.2|snapshot-2026-10-11</x:t>
        </x:is>
      </x:c>
      <x:c r="B632" t="inlineStr">
        <x:is>
          <x:t xml:space="preserve">anthropic|claude-haiku-5-5|medium|reasoning|fallback-na</x:t>
        </x:is>
      </x:c>
      <x:c r="C632" t="inlineStr">
        <x:is>
          <x:t xml:space="preserve">AA|v4.3.2</x:t>
        </x:is>
      </x:c>
      <x:c r="D632" t="n">
        <x:v>80</x:v>
      </x:c>
      <x:c r="E632" t="n">
        <x:v>65</x:v>
      </x:c>
      <x:c r="F632" t="n">
        <x:f>INDEX(Run_Metrics!$F:$F,D632)</x:f>
        <x:v>34</x:v>
      </x:c>
      <x:c r="G632" t="n">
        <x:f>INDEX(Run_Metrics!$G:$G,D632)</x:f>
        <x:v>1.99</x:v>
      </x:c>
      <x:c r="H632" t="str">
        <x:f>INDEX(Run_Metrics!$I:$I,D632)</x:f>
      </x:c>
      <x:c r="I632" t="n">
        <x:f>IF(F632="","",F632-(E632-1))</x:f>
        <x:v>-30</x:v>
      </x:c>
      <x:c r="J632" t="n">
        <x:f>IF(I632&gt;0,1,0)</x:f>
        <x:v>0</x:v>
      </x:c>
      <x:c r="K632" t="str">
        <x:f>IF(OR(J632=0,G632="",G632=0),"",I632/G632)</x:f>
      </x:c>
      <x:c r="L632" t="str">
        <x:f>IF(OR(J632=0,I632=0,G632=""),"",G632/I632)</x:f>
      </x:c>
      <x:c r="M632" t="str">
        <x:f>IF(OR(J632=0,G632="",H632="",G632=0,H632=0),"",I632/(G632*H632))</x:f>
      </x:c>
      <x:c r="N632" t="str">
        <x:f>IF(K632="","",K632/_xlfn.MAXIFS($K:$K,$E:$E,E632))</x:f>
      </x:c>
      <x:c r="O632" t="str">
        <x:f>IF(M632="","",M632/_xlfn.MAXIFS($M:$M,$E:$E,E632))</x:f>
      </x:c>
      <x:c r="P632" t="str">
        <x:f>IF(OR(N632="",O632=""),"",SQRT(N632*O632))</x:f>
      </x:c>
      <x:c r="Q632" t="str">
        <x:f>IF(OR(N632="",O632=""),"",N632^0.7*O632^0.3)</x:f>
      </x:c>
      <x:c r="R632" t="str">
        <x:f>IF(OR(N632="",O632=""),"",N632^0.3*O632^0.7)</x:f>
      </x:c>
    </x:row>
    <x:row r="633">
      <x:c r="A633" t="inlineStr">
        <x:is>
          <x:t xml:space="preserve">anthropic|claude-haiku-5-5|medium|reasoning|fallback-na|aa-v4.3.2|snapshot-2026-10-11</x:t>
        </x:is>
      </x:c>
      <x:c r="B633" t="inlineStr">
        <x:is>
          <x:t xml:space="preserve">anthropic|claude-haiku-5-5|medium|reasoning|fallback-na</x:t>
        </x:is>
      </x:c>
      <x:c r="C633" t="inlineStr">
        <x:is>
          <x:t xml:space="preserve">AA|v4.3.2</x:t>
        </x:is>
      </x:c>
      <x:c r="D633" t="n">
        <x:v>80</x:v>
      </x:c>
      <x:c r="E633" t="n">
        <x:v>80</x:v>
      </x:c>
      <x:c r="F633" t="n">
        <x:f>INDEX(Run_Metrics!$F:$F,D633)</x:f>
        <x:v>34</x:v>
      </x:c>
      <x:c r="G633" t="n">
        <x:f>INDEX(Run_Metrics!$G:$G,D633)</x:f>
        <x:v>1.99</x:v>
      </x:c>
      <x:c r="H633" t="str">
        <x:f>INDEX(Run_Metrics!$I:$I,D633)</x:f>
      </x:c>
      <x:c r="I633" t="n">
        <x:f>IF(F633="","",F633-(E633-1))</x:f>
        <x:v>-45</x:v>
      </x:c>
      <x:c r="J633" t="n">
        <x:f>IF(I633&gt;0,1,0)</x:f>
        <x:v>0</x:v>
      </x:c>
      <x:c r="K633" t="str">
        <x:f>IF(OR(J633=0,G633="",G633=0),"",I633/G633)</x:f>
      </x:c>
      <x:c r="L633" t="str">
        <x:f>IF(OR(J633=0,I633=0,G633=""),"",G633/I633)</x:f>
      </x:c>
      <x:c r="M633" t="str">
        <x:f>IF(OR(J633=0,G633="",H633="",G633=0,H633=0),"",I633/(G633*H633))</x:f>
      </x:c>
      <x:c r="N633" t="str">
        <x:f>IF(K633="","",K633/_xlfn.MAXIFS($K:$K,$E:$E,E633))</x:f>
      </x:c>
      <x:c r="O633" t="str">
        <x:f>IF(M633="","",M633/_xlfn.MAXIFS($M:$M,$E:$E,E633))</x:f>
      </x:c>
      <x:c r="P633" t="str">
        <x:f>IF(OR(N633="",O633=""),"",SQRT(N633*O633))</x:f>
      </x:c>
      <x:c r="Q633" t="str">
        <x:f>IF(OR(N633="",O633=""),"",N633^0.7*O633^0.3)</x:f>
      </x:c>
      <x:c r="R633" t="str">
        <x:f>IF(OR(N633="",O633=""),"",N633^0.3*O633^0.7)</x:f>
      </x:c>
    </x:row>
    <x:row r="634">
      <x:c r="A634" t="inlineStr">
        <x:is>
          <x:t xml:space="preserve">anthropic|claude-haiku-5-5|high|reasoning|fallback-na|aa-v4.3.2|snapshot-2026-10-11</x:t>
        </x:is>
      </x:c>
      <x:c r="B634" t="inlineStr">
        <x:is>
          <x:t xml:space="preserve">anthropic|claude-haiku-5-5|high|reasoning|fallback-na</x:t>
        </x:is>
      </x:c>
      <x:c r="C634" t="inlineStr">
        <x:is>
          <x:t xml:space="preserve">AA|v4.3.2</x:t>
        </x:is>
      </x:c>
      <x:c r="D634" t="n">
        <x:v>81</x:v>
      </x:c>
      <x:c r="E634" t="n">
        <x:v>20</x:v>
      </x:c>
      <x:c r="F634" t="n">
        <x:f>INDEX(Run_Metrics!$F:$F,D634)</x:f>
        <x:v>38</x:v>
      </x:c>
      <x:c r="G634" t="n">
        <x:f>INDEX(Run_Metrics!$G:$G,D634)</x:f>
        <x:v>1.99</x:v>
      </x:c>
      <x:c r="H634" t="str">
        <x:f>INDEX(Run_Metrics!$I:$I,D634)</x:f>
      </x:c>
      <x:c r="I634" t="n">
        <x:f>IF(F634="","",F634-(E634-1))</x:f>
        <x:v>19</x:v>
      </x:c>
      <x:c r="J634" t="n">
        <x:f>IF(I634&gt;0,1,0)</x:f>
        <x:v>1</x:v>
      </x:c>
      <x:c r="K634" t="n">
        <x:f>IF(OR(J634=0,G634="",G634=0),"",I634/G634)</x:f>
        <x:v>9.547738693467338</x:v>
      </x:c>
      <x:c r="L634" t="n">
        <x:f>IF(OR(J634=0,I634=0,G634=""),"",G634/I634)</x:f>
        <x:v>0.10473684210526316</x:v>
      </x:c>
      <x:c r="M634" t="str">
        <x:f>IF(OR(J634=0,G634="",H634="",G634=0,H634=0),"",I634/(G634*H634))</x:f>
      </x:c>
      <x:c r="N634" t="n">
        <x:f>IF(K634="","",K634/_xlfn.MAXIFS($K:$K,$E:$E,E634))</x:f>
        <x:v>0.014321608040201005</x:v>
      </x:c>
      <x:c r="O634" t="str">
        <x:f>IF(M634="","",M634/_xlfn.MAXIFS($M:$M,$E:$E,E634))</x:f>
      </x:c>
      <x:c r="P634" t="str">
        <x:f>IF(OR(N634="",O634=""),"",SQRT(N634*O634))</x:f>
      </x:c>
      <x:c r="Q634" t="str">
        <x:f>IF(OR(N634="",O634=""),"",N634^0.7*O634^0.3)</x:f>
      </x:c>
      <x:c r="R634" t="str">
        <x:f>IF(OR(N634="",O634=""),"",N634^0.3*O634^0.7)</x:f>
      </x:c>
    </x:row>
    <x:row r="635">
      <x:c r="A635" t="inlineStr">
        <x:is>
          <x:t xml:space="preserve">anthropic|claude-haiku-5-5|high|reasoning|fallback-na|aa-v4.3.2|snapshot-2026-10-11</x:t>
        </x:is>
      </x:c>
      <x:c r="B635" t="inlineStr">
        <x:is>
          <x:t xml:space="preserve">anthropic|claude-haiku-5-5|high|reasoning|fallback-na</x:t>
        </x:is>
      </x:c>
      <x:c r="C635" t="inlineStr">
        <x:is>
          <x:t xml:space="preserve">AA|v4.3.2</x:t>
        </x:is>
      </x:c>
      <x:c r="D635" t="n">
        <x:v>81</x:v>
      </x:c>
      <x:c r="E635" t="n">
        <x:v>30</x:v>
      </x:c>
      <x:c r="F635" t="n">
        <x:f>INDEX(Run_Metrics!$F:$F,D635)</x:f>
        <x:v>38</x:v>
      </x:c>
      <x:c r="G635" t="n">
        <x:f>INDEX(Run_Metrics!$G:$G,D635)</x:f>
        <x:v>1.99</x:v>
      </x:c>
      <x:c r="H635" t="str">
        <x:f>INDEX(Run_Metrics!$I:$I,D635)</x:f>
      </x:c>
      <x:c r="I635" t="n">
        <x:f>IF(F635="","",F635-(E635-1))</x:f>
        <x:v>9</x:v>
      </x:c>
      <x:c r="J635" t="n">
        <x:f>IF(I635&gt;0,1,0)</x:f>
        <x:v>1</x:v>
      </x:c>
      <x:c r="K635" t="n">
        <x:f>IF(OR(J635=0,G635="",G635=0),"",I635/G635)</x:f>
        <x:v>4.522613065326633</x:v>
      </x:c>
      <x:c r="L635" t="n">
        <x:f>IF(OR(J635=0,I635=0,G635=""),"",G635/I635)</x:f>
        <x:v>0.22111111111111112</x:v>
      </x:c>
      <x:c r="M635" t="str">
        <x:f>IF(OR(J635=0,G635="",H635="",G635=0,H635=0),"",I635/(G635*H635))</x:f>
      </x:c>
      <x:c r="N635" t="n">
        <x:f>IF(K635="","",K635/_xlfn.MAXIFS($K:$K,$E:$E,E635))</x:f>
        <x:v>0.03015075376884422</x:v>
      </x:c>
      <x:c r="O635" t="str">
        <x:f>IF(M635="","",M635/_xlfn.MAXIFS($M:$M,$E:$E,E635))</x:f>
      </x:c>
      <x:c r="P635" t="str">
        <x:f>IF(OR(N635="",O635=""),"",SQRT(N635*O635))</x:f>
      </x:c>
      <x:c r="Q635" t="str">
        <x:f>IF(OR(N635="",O635=""),"",N635^0.7*O635^0.3)</x:f>
      </x:c>
      <x:c r="R635" t="str">
        <x:f>IF(OR(N635="",O635=""),"",N635^0.3*O635^0.7)</x:f>
      </x:c>
    </x:row>
    <x:row r="636">
      <x:c r="A636" t="inlineStr">
        <x:is>
          <x:t xml:space="preserve">anthropic|claude-haiku-5-5|high|reasoning|fallback-na|aa-v4.3.2|snapshot-2026-10-11</x:t>
        </x:is>
      </x:c>
      <x:c r="B636" t="inlineStr">
        <x:is>
          <x:t xml:space="preserve">anthropic|claude-haiku-5-5|high|reasoning|fallback-na</x:t>
        </x:is>
      </x:c>
      <x:c r="C636" t="inlineStr">
        <x:is>
          <x:t xml:space="preserve">AA|v4.3.2</x:t>
        </x:is>
      </x:c>
      <x:c r="D636" t="n">
        <x:v>81</x:v>
      </x:c>
      <x:c r="E636" t="n">
        <x:v>40</x:v>
      </x:c>
      <x:c r="F636" t="n">
        <x:f>INDEX(Run_Metrics!$F:$F,D636)</x:f>
        <x:v>38</x:v>
      </x:c>
      <x:c r="G636" t="n">
        <x:f>INDEX(Run_Metrics!$G:$G,D636)</x:f>
        <x:v>1.99</x:v>
      </x:c>
      <x:c r="H636" t="str">
        <x:f>INDEX(Run_Metrics!$I:$I,D636)</x:f>
      </x:c>
      <x:c r="I636" t="n">
        <x:f>IF(F636="","",F636-(E636-1))</x:f>
        <x:v>-1</x:v>
      </x:c>
      <x:c r="J636" t="n">
        <x:f>IF(I636&gt;0,1,0)</x:f>
        <x:v>0</x:v>
      </x:c>
      <x:c r="K636" t="str">
        <x:f>IF(OR(J636=0,G636="",G636=0),"",I636/G636)</x:f>
      </x:c>
      <x:c r="L636" t="str">
        <x:f>IF(OR(J636=0,I636=0,G636=""),"",G636/I636)</x:f>
      </x:c>
      <x:c r="M636" t="str">
        <x:f>IF(OR(J636=0,G636="",H636="",G636=0,H636=0),"",I636/(G636*H636))</x:f>
      </x:c>
      <x:c r="N636" t="str">
        <x:f>IF(K636="","",K636/_xlfn.MAXIFS($K:$K,$E:$E,E636))</x:f>
      </x:c>
      <x:c r="O636" t="str">
        <x:f>IF(M636="","",M636/_xlfn.MAXIFS($M:$M,$E:$E,E636))</x:f>
      </x:c>
      <x:c r="P636" t="str">
        <x:f>IF(OR(N636="",O636=""),"",SQRT(N636*O636))</x:f>
      </x:c>
      <x:c r="Q636" t="str">
        <x:f>IF(OR(N636="",O636=""),"",N636^0.7*O636^0.3)</x:f>
      </x:c>
      <x:c r="R636" t="str">
        <x:f>IF(OR(N636="",O636=""),"",N636^0.3*O636^0.7)</x:f>
      </x:c>
    </x:row>
    <x:row r="637">
      <x:c r="A637" t="inlineStr">
        <x:is>
          <x:t xml:space="preserve">anthropic|claude-haiku-5-5|high|reasoning|fallback-na|aa-v4.3.2|snapshot-2026-10-11</x:t>
        </x:is>
      </x:c>
      <x:c r="B637" t="inlineStr">
        <x:is>
          <x:t xml:space="preserve">anthropic|claude-haiku-5-5|high|reasoning|fallback-na</x:t>
        </x:is>
      </x:c>
      <x:c r="C637" t="inlineStr">
        <x:is>
          <x:t xml:space="preserve">AA|v4.3.2</x:t>
        </x:is>
      </x:c>
      <x:c r="D637" t="n">
        <x:v>81</x:v>
      </x:c>
      <x:c r="E637" t="n">
        <x:v>45</x:v>
      </x:c>
      <x:c r="F637" t="n">
        <x:f>INDEX(Run_Metrics!$F:$F,D637)</x:f>
        <x:v>38</x:v>
      </x:c>
      <x:c r="G637" t="n">
        <x:f>INDEX(Run_Metrics!$G:$G,D637)</x:f>
        <x:v>1.99</x:v>
      </x:c>
      <x:c r="H637" t="str">
        <x:f>INDEX(Run_Metrics!$I:$I,D637)</x:f>
      </x:c>
      <x:c r="I637" t="n">
        <x:f>IF(F637="","",F637-(E637-1))</x:f>
        <x:v>-6</x:v>
      </x:c>
      <x:c r="J637" t="n">
        <x:f>IF(I637&gt;0,1,0)</x:f>
        <x:v>0</x:v>
      </x:c>
      <x:c r="K637" t="str">
        <x:f>IF(OR(J637=0,G637="",G637=0),"",I637/G637)</x:f>
      </x:c>
      <x:c r="L637" t="str">
        <x:f>IF(OR(J637=0,I637=0,G637=""),"",G637/I637)</x:f>
      </x:c>
      <x:c r="M637" t="str">
        <x:f>IF(OR(J637=0,G637="",H637="",G637=0,H637=0),"",I637/(G637*H637))</x:f>
      </x:c>
      <x:c r="N637" t="str">
        <x:f>IF(K637="","",K637/_xlfn.MAXIFS($K:$K,$E:$E,E637))</x:f>
      </x:c>
      <x:c r="O637" t="str">
        <x:f>IF(M637="","",M637/_xlfn.MAXIFS($M:$M,$E:$E,E637))</x:f>
      </x:c>
      <x:c r="P637" t="str">
        <x:f>IF(OR(N637="",O637=""),"",SQRT(N637*O637))</x:f>
      </x:c>
      <x:c r="Q637" t="str">
        <x:f>IF(OR(N637="",O637=""),"",N637^0.7*O637^0.3)</x:f>
      </x:c>
      <x:c r="R637" t="str">
        <x:f>IF(OR(N637="",O637=""),"",N637^0.3*O637^0.7)</x:f>
      </x:c>
    </x:row>
    <x:row r="638">
      <x:c r="A638" t="inlineStr">
        <x:is>
          <x:t xml:space="preserve">anthropic|claude-haiku-5-5|high|reasoning|fallback-na|aa-v4.3.2|snapshot-2026-10-11</x:t>
        </x:is>
      </x:c>
      <x:c r="B638" t="inlineStr">
        <x:is>
          <x:t xml:space="preserve">anthropic|claude-haiku-5-5|high|reasoning|fallback-na</x:t>
        </x:is>
      </x:c>
      <x:c r="C638" t="inlineStr">
        <x:is>
          <x:t xml:space="preserve">AA|v4.3.2</x:t>
        </x:is>
      </x:c>
      <x:c r="D638" t="n">
        <x:v>81</x:v>
      </x:c>
      <x:c r="E638" t="n">
        <x:v>50</x:v>
      </x:c>
      <x:c r="F638" t="n">
        <x:f>INDEX(Run_Metrics!$F:$F,D638)</x:f>
        <x:v>38</x:v>
      </x:c>
      <x:c r="G638" t="n">
        <x:f>INDEX(Run_Metrics!$G:$G,D638)</x:f>
        <x:v>1.99</x:v>
      </x:c>
      <x:c r="H638" t="str">
        <x:f>INDEX(Run_Metrics!$I:$I,D638)</x:f>
      </x:c>
      <x:c r="I638" t="n">
        <x:f>IF(F638="","",F638-(E638-1))</x:f>
        <x:v>-11</x:v>
      </x:c>
      <x:c r="J638" t="n">
        <x:f>IF(I638&gt;0,1,0)</x:f>
        <x:v>0</x:v>
      </x:c>
      <x:c r="K638" t="str">
        <x:f>IF(OR(J638=0,G638="",G638=0),"",I638/G638)</x:f>
      </x:c>
      <x:c r="L638" t="str">
        <x:f>IF(OR(J638=0,I638=0,G638=""),"",G638/I638)</x:f>
      </x:c>
      <x:c r="M638" t="str">
        <x:f>IF(OR(J638=0,G638="",H638="",G638=0,H638=0),"",I638/(G638*H638))</x:f>
      </x:c>
      <x:c r="N638" t="str">
        <x:f>IF(K638="","",K638/_xlfn.MAXIFS($K:$K,$E:$E,E638))</x:f>
      </x:c>
      <x:c r="O638" t="str">
        <x:f>IF(M638="","",M638/_xlfn.MAXIFS($M:$M,$E:$E,E638))</x:f>
      </x:c>
      <x:c r="P638" t="str">
        <x:f>IF(OR(N638="",O638=""),"",SQRT(N638*O638))</x:f>
      </x:c>
      <x:c r="Q638" t="str">
        <x:f>IF(OR(N638="",O638=""),"",N638^0.7*O638^0.3)</x:f>
      </x:c>
      <x:c r="R638" t="str">
        <x:f>IF(OR(N638="",O638=""),"",N638^0.3*O638^0.7)</x:f>
      </x:c>
    </x:row>
    <x:row r="639">
      <x:c r="A639" t="inlineStr">
        <x:is>
          <x:t xml:space="preserve">anthropic|claude-haiku-5-5|high|reasoning|fallback-na|aa-v4.3.2|snapshot-2026-10-11</x:t>
        </x:is>
      </x:c>
      <x:c r="B639" t="inlineStr">
        <x:is>
          <x:t xml:space="preserve">anthropic|claude-haiku-5-5|high|reasoning|fallback-na</x:t>
        </x:is>
      </x:c>
      <x:c r="C639" t="inlineStr">
        <x:is>
          <x:t xml:space="preserve">AA|v4.3.2</x:t>
        </x:is>
      </x:c>
      <x:c r="D639" t="n">
        <x:v>81</x:v>
      </x:c>
      <x:c r="E639" t="n">
        <x:v>52</x:v>
      </x:c>
      <x:c r="F639" t="n">
        <x:f>INDEX(Run_Metrics!$F:$F,D639)</x:f>
        <x:v>38</x:v>
      </x:c>
      <x:c r="G639" t="n">
        <x:f>INDEX(Run_Metrics!$G:$G,D639)</x:f>
        <x:v>1.99</x:v>
      </x:c>
      <x:c r="H639" t="str">
        <x:f>INDEX(Run_Metrics!$I:$I,D639)</x:f>
      </x:c>
      <x:c r="I639" t="n">
        <x:f>IF(F639="","",F639-(E639-1))</x:f>
        <x:v>-13</x:v>
      </x:c>
      <x:c r="J639" t="n">
        <x:f>IF(I639&gt;0,1,0)</x:f>
        <x:v>0</x:v>
      </x:c>
      <x:c r="K639" t="str">
        <x:f>IF(OR(J639=0,G639="",G639=0),"",I639/G639)</x:f>
      </x:c>
      <x:c r="L639" t="str">
        <x:f>IF(OR(J639=0,I639=0,G639=""),"",G639/I639)</x:f>
      </x:c>
      <x:c r="M639" t="str">
        <x:f>IF(OR(J639=0,G639="",H639="",G639=0,H639=0),"",I639/(G639*H639))</x:f>
      </x:c>
      <x:c r="N639" t="str">
        <x:f>IF(K639="","",K639/_xlfn.MAXIFS($K:$K,$E:$E,E639))</x:f>
      </x:c>
      <x:c r="O639" t="str">
        <x:f>IF(M639="","",M639/_xlfn.MAXIFS($M:$M,$E:$E,E639))</x:f>
      </x:c>
      <x:c r="P639" t="str">
        <x:f>IF(OR(N639="",O639=""),"",SQRT(N639*O639))</x:f>
      </x:c>
      <x:c r="Q639" t="str">
        <x:f>IF(OR(N639="",O639=""),"",N639^0.7*O639^0.3)</x:f>
      </x:c>
      <x:c r="R639" t="str">
        <x:f>IF(OR(N639="",O639=""),"",N639^0.3*O639^0.7)</x:f>
      </x:c>
    </x:row>
    <x:row r="640">
      <x:c r="A640" t="inlineStr">
        <x:is>
          <x:t xml:space="preserve">anthropic|claude-haiku-5-5|high|reasoning|fallback-na|aa-v4.3.2|snapshot-2026-10-11</x:t>
        </x:is>
      </x:c>
      <x:c r="B640" t="inlineStr">
        <x:is>
          <x:t xml:space="preserve">anthropic|claude-haiku-5-5|high|reasoning|fallback-na</x:t>
        </x:is>
      </x:c>
      <x:c r="C640" t="inlineStr">
        <x:is>
          <x:t xml:space="preserve">AA|v4.3.2</x:t>
        </x:is>
      </x:c>
      <x:c r="D640" t="n">
        <x:v>81</x:v>
      </x:c>
      <x:c r="E640" t="n">
        <x:v>65</x:v>
      </x:c>
      <x:c r="F640" t="n">
        <x:f>INDEX(Run_Metrics!$F:$F,D640)</x:f>
        <x:v>38</x:v>
      </x:c>
      <x:c r="G640" t="n">
        <x:f>INDEX(Run_Metrics!$G:$G,D640)</x:f>
        <x:v>1.99</x:v>
      </x:c>
      <x:c r="H640" t="str">
        <x:f>INDEX(Run_Metrics!$I:$I,D640)</x:f>
      </x:c>
      <x:c r="I640" t="n">
        <x:f>IF(F640="","",F640-(E640-1))</x:f>
        <x:v>-26</x:v>
      </x:c>
      <x:c r="J640" t="n">
        <x:f>IF(I640&gt;0,1,0)</x:f>
        <x:v>0</x:v>
      </x:c>
      <x:c r="K640" t="str">
        <x:f>IF(OR(J640=0,G640="",G640=0),"",I640/G640)</x:f>
      </x:c>
      <x:c r="L640" t="str">
        <x:f>IF(OR(J640=0,I640=0,G640=""),"",G640/I640)</x:f>
      </x:c>
      <x:c r="M640" t="str">
        <x:f>IF(OR(J640=0,G640="",H640="",G640=0,H640=0),"",I640/(G640*H640))</x:f>
      </x:c>
      <x:c r="N640" t="str">
        <x:f>IF(K640="","",K640/_xlfn.MAXIFS($K:$K,$E:$E,E640))</x:f>
      </x:c>
      <x:c r="O640" t="str">
        <x:f>IF(M640="","",M640/_xlfn.MAXIFS($M:$M,$E:$E,E640))</x:f>
      </x:c>
      <x:c r="P640" t="str">
        <x:f>IF(OR(N640="",O640=""),"",SQRT(N640*O640))</x:f>
      </x:c>
      <x:c r="Q640" t="str">
        <x:f>IF(OR(N640="",O640=""),"",N640^0.7*O640^0.3)</x:f>
      </x:c>
      <x:c r="R640" t="str">
        <x:f>IF(OR(N640="",O640=""),"",N640^0.3*O640^0.7)</x:f>
      </x:c>
    </x:row>
    <x:row r="641">
      <x:c r="A641" t="inlineStr">
        <x:is>
          <x:t xml:space="preserve">anthropic|claude-haiku-5-5|high|reasoning|fallback-na|aa-v4.3.2|snapshot-2026-10-11</x:t>
        </x:is>
      </x:c>
      <x:c r="B641" t="inlineStr">
        <x:is>
          <x:t xml:space="preserve">anthropic|claude-haiku-5-5|high|reasoning|fallback-na</x:t>
        </x:is>
      </x:c>
      <x:c r="C641" t="inlineStr">
        <x:is>
          <x:t xml:space="preserve">AA|v4.3.2</x:t>
        </x:is>
      </x:c>
      <x:c r="D641" t="n">
        <x:v>81</x:v>
      </x:c>
      <x:c r="E641" t="n">
        <x:v>80</x:v>
      </x:c>
      <x:c r="F641" t="n">
        <x:f>INDEX(Run_Metrics!$F:$F,D641)</x:f>
        <x:v>38</x:v>
      </x:c>
      <x:c r="G641" t="n">
        <x:f>INDEX(Run_Metrics!$G:$G,D641)</x:f>
        <x:v>1.99</x:v>
      </x:c>
      <x:c r="H641" t="str">
        <x:f>INDEX(Run_Metrics!$I:$I,D641)</x:f>
      </x:c>
      <x:c r="I641" t="n">
        <x:f>IF(F641="","",F641-(E641-1))</x:f>
        <x:v>-41</x:v>
      </x:c>
      <x:c r="J641" t="n">
        <x:f>IF(I641&gt;0,1,0)</x:f>
        <x:v>0</x:v>
      </x:c>
      <x:c r="K641" t="str">
        <x:f>IF(OR(J641=0,G641="",G641=0),"",I641/G641)</x:f>
      </x:c>
      <x:c r="L641" t="str">
        <x:f>IF(OR(J641=0,I641=0,G641=""),"",G641/I641)</x:f>
      </x:c>
      <x:c r="M641" t="str">
        <x:f>IF(OR(J641=0,G641="",H641="",G641=0,H641=0),"",I641/(G641*H641))</x:f>
      </x:c>
      <x:c r="N641" t="str">
        <x:f>IF(K641="","",K641/_xlfn.MAXIFS($K:$K,$E:$E,E641))</x:f>
      </x:c>
      <x:c r="O641" t="str">
        <x:f>IF(M641="","",M641/_xlfn.MAXIFS($M:$M,$E:$E,E641))</x:f>
      </x:c>
      <x:c r="P641" t="str">
        <x:f>IF(OR(N641="",O641=""),"",SQRT(N641*O641))</x:f>
      </x:c>
      <x:c r="Q641" t="str">
        <x:f>IF(OR(N641="",O641=""),"",N641^0.7*O641^0.3)</x:f>
      </x:c>
      <x:c r="R641" t="str">
        <x:f>IF(OR(N641="",O641=""),"",N641^0.3*O641^0.7)</x:f>
      </x:c>
    </x:row>
    <x:row r="642">
      <x:c r="A642" t="inlineStr">
        <x:is>
          <x:t xml:space="preserve">anthropic|claude-haiku-5-5|xhigh|reasoning|fallback-na|aa-v4.3.2|snapshot-2026-10-11</x:t>
        </x:is>
      </x:c>
      <x:c r="B642" t="inlineStr">
        <x:is>
          <x:t xml:space="preserve">anthropic|claude-haiku-5-5|xhigh|reasoning|fallback-na</x:t>
        </x:is>
      </x:c>
      <x:c r="C642" t="inlineStr">
        <x:is>
          <x:t xml:space="preserve">AA|v4.3.2</x:t>
        </x:is>
      </x:c>
      <x:c r="D642" t="n">
        <x:v>82</x:v>
      </x:c>
      <x:c r="E642" t="n">
        <x:v>20</x:v>
      </x:c>
      <x:c r="F642" t="n">
        <x:f>INDEX(Run_Metrics!$F:$F,D642)</x:f>
        <x:v>41</x:v>
      </x:c>
      <x:c r="G642" t="n">
        <x:f>INDEX(Run_Metrics!$G:$G,D642)</x:f>
        <x:v>1.99</x:v>
      </x:c>
      <x:c r="H642" t="str">
        <x:f>INDEX(Run_Metrics!$I:$I,D642)</x:f>
      </x:c>
      <x:c r="I642" t="n">
        <x:f>IF(F642="","",F642-(E642-1))</x:f>
        <x:v>22</x:v>
      </x:c>
      <x:c r="J642" t="n">
        <x:f>IF(I642&gt;0,1,0)</x:f>
        <x:v>1</x:v>
      </x:c>
      <x:c r="K642" t="n">
        <x:f>IF(OR(J642=0,G642="",G642=0),"",I642/G642)</x:f>
        <x:v>11.055276381909549</x:v>
      </x:c>
      <x:c r="L642" t="n">
        <x:f>IF(OR(J642=0,I642=0,G642=""),"",G642/I642)</x:f>
        <x:v>0.09045454545454545</x:v>
      </x:c>
      <x:c r="M642" t="str">
        <x:f>IF(OR(J642=0,G642="",H642="",G642=0,H642=0),"",I642/(G642*H642))</x:f>
      </x:c>
      <x:c r="N642" t="n">
        <x:f>IF(K642="","",K642/_xlfn.MAXIFS($K:$K,$E:$E,E642))</x:f>
        <x:v>0.016582914572864323</x:v>
      </x:c>
      <x:c r="O642" t="str">
        <x:f>IF(M642="","",M642/_xlfn.MAXIFS($M:$M,$E:$E,E642))</x:f>
      </x:c>
      <x:c r="P642" t="str">
        <x:f>IF(OR(N642="",O642=""),"",SQRT(N642*O642))</x:f>
      </x:c>
      <x:c r="Q642" t="str">
        <x:f>IF(OR(N642="",O642=""),"",N642^0.7*O642^0.3)</x:f>
      </x:c>
      <x:c r="R642" t="str">
        <x:f>IF(OR(N642="",O642=""),"",N642^0.3*O642^0.7)</x:f>
      </x:c>
    </x:row>
    <x:row r="643">
      <x:c r="A643" t="inlineStr">
        <x:is>
          <x:t xml:space="preserve">anthropic|claude-haiku-5-5|xhigh|reasoning|fallback-na|aa-v4.3.2|snapshot-2026-10-11</x:t>
        </x:is>
      </x:c>
      <x:c r="B643" t="inlineStr">
        <x:is>
          <x:t xml:space="preserve">anthropic|claude-haiku-5-5|xhigh|reasoning|fallback-na</x:t>
        </x:is>
      </x:c>
      <x:c r="C643" t="inlineStr">
        <x:is>
          <x:t xml:space="preserve">AA|v4.3.2</x:t>
        </x:is>
      </x:c>
      <x:c r="D643" t="n">
        <x:v>82</x:v>
      </x:c>
      <x:c r="E643" t="n">
        <x:v>30</x:v>
      </x:c>
      <x:c r="F643" t="n">
        <x:f>INDEX(Run_Metrics!$F:$F,D643)</x:f>
        <x:v>41</x:v>
      </x:c>
      <x:c r="G643" t="n">
        <x:f>INDEX(Run_Metrics!$G:$G,D643)</x:f>
        <x:v>1.99</x:v>
      </x:c>
      <x:c r="H643" t="str">
        <x:f>INDEX(Run_Metrics!$I:$I,D643)</x:f>
      </x:c>
      <x:c r="I643" t="n">
        <x:f>IF(F643="","",F643-(E643-1))</x:f>
        <x:v>12</x:v>
      </x:c>
      <x:c r="J643" t="n">
        <x:f>IF(I643&gt;0,1,0)</x:f>
        <x:v>1</x:v>
      </x:c>
      <x:c r="K643" t="n">
        <x:f>IF(OR(J643=0,G643="",G643=0),"",I643/G643)</x:f>
        <x:v>6.030150753768845</x:v>
      </x:c>
      <x:c r="L643" t="n">
        <x:f>IF(OR(J643=0,I643=0,G643=""),"",G643/I643)</x:f>
        <x:v>0.16583333333333333</x:v>
      </x:c>
      <x:c r="M643" t="str">
        <x:f>IF(OR(J643=0,G643="",H643="",G643=0,H643=0),"",I643/(G643*H643))</x:f>
      </x:c>
      <x:c r="N643" t="n">
        <x:f>IF(K643="","",K643/_xlfn.MAXIFS($K:$K,$E:$E,E643))</x:f>
        <x:v>0.04020100502512563</x:v>
      </x:c>
      <x:c r="O643" t="str">
        <x:f>IF(M643="","",M643/_xlfn.MAXIFS($M:$M,$E:$E,E643))</x:f>
      </x:c>
      <x:c r="P643" t="str">
        <x:f>IF(OR(N643="",O643=""),"",SQRT(N643*O643))</x:f>
      </x:c>
      <x:c r="Q643" t="str">
        <x:f>IF(OR(N643="",O643=""),"",N643^0.7*O643^0.3)</x:f>
      </x:c>
      <x:c r="R643" t="str">
        <x:f>IF(OR(N643="",O643=""),"",N643^0.3*O643^0.7)</x:f>
      </x:c>
    </x:row>
    <x:row r="644">
      <x:c r="A644" t="inlineStr">
        <x:is>
          <x:t xml:space="preserve">anthropic|claude-haiku-5-5|xhigh|reasoning|fallback-na|aa-v4.3.2|snapshot-2026-10-11</x:t>
        </x:is>
      </x:c>
      <x:c r="B644" t="inlineStr">
        <x:is>
          <x:t xml:space="preserve">anthropic|claude-haiku-5-5|xhigh|reasoning|fallback-na</x:t>
        </x:is>
      </x:c>
      <x:c r="C644" t="inlineStr">
        <x:is>
          <x:t xml:space="preserve">AA|v4.3.2</x:t>
        </x:is>
      </x:c>
      <x:c r="D644" t="n">
        <x:v>82</x:v>
      </x:c>
      <x:c r="E644" t="n">
        <x:v>40</x:v>
      </x:c>
      <x:c r="F644" t="n">
        <x:f>INDEX(Run_Metrics!$F:$F,D644)</x:f>
        <x:v>41</x:v>
      </x:c>
      <x:c r="G644" t="n">
        <x:f>INDEX(Run_Metrics!$G:$G,D644)</x:f>
        <x:v>1.99</x:v>
      </x:c>
      <x:c r="H644" t="str">
        <x:f>INDEX(Run_Metrics!$I:$I,D644)</x:f>
      </x:c>
      <x:c r="I644" t="n">
        <x:f>IF(F644="","",F644-(E644-1))</x:f>
        <x:v>2</x:v>
      </x:c>
      <x:c r="J644" t="n">
        <x:f>IF(I644&gt;0,1,0)</x:f>
        <x:v>1</x:v>
      </x:c>
      <x:c r="K644" t="n">
        <x:f>IF(OR(J644=0,G644="",G644=0),"",I644/G644)</x:f>
        <x:v>1.0050251256281406</x:v>
      </x:c>
      <x:c r="L644" t="n">
        <x:f>IF(OR(J644=0,I644=0,G644=""),"",G644/I644)</x:f>
        <x:v>0.995</x:v>
      </x:c>
      <x:c r="M644" t="str">
        <x:f>IF(OR(J644=0,G644="",H644="",G644=0,H644=0),"",I644/(G644*H644))</x:f>
      </x:c>
      <x:c r="N644" t="n">
        <x:f>IF(K644="","",K644/_xlfn.MAXIFS($K:$K,$E:$E,E644))</x:f>
        <x:v>0.018664752333094038</x:v>
      </x:c>
      <x:c r="O644" t="str">
        <x:f>IF(M644="","",M644/_xlfn.MAXIFS($M:$M,$E:$E,E644))</x:f>
      </x:c>
      <x:c r="P644" t="str">
        <x:f>IF(OR(N644="",O644=""),"",SQRT(N644*O644))</x:f>
      </x:c>
      <x:c r="Q644" t="str">
        <x:f>IF(OR(N644="",O644=""),"",N644^0.7*O644^0.3)</x:f>
      </x:c>
      <x:c r="R644" t="str">
        <x:f>IF(OR(N644="",O644=""),"",N644^0.3*O644^0.7)</x:f>
      </x:c>
    </x:row>
    <x:row r="645">
      <x:c r="A645" t="inlineStr">
        <x:is>
          <x:t xml:space="preserve">anthropic|claude-haiku-5-5|xhigh|reasoning|fallback-na|aa-v4.3.2|snapshot-2026-10-11</x:t>
        </x:is>
      </x:c>
      <x:c r="B645" t="inlineStr">
        <x:is>
          <x:t xml:space="preserve">anthropic|claude-haiku-5-5|xhigh|reasoning|fallback-na</x:t>
        </x:is>
      </x:c>
      <x:c r="C645" t="inlineStr">
        <x:is>
          <x:t xml:space="preserve">AA|v4.3.2</x:t>
        </x:is>
      </x:c>
      <x:c r="D645" t="n">
        <x:v>82</x:v>
      </x:c>
      <x:c r="E645" t="n">
        <x:v>45</x:v>
      </x:c>
      <x:c r="F645" t="n">
        <x:f>INDEX(Run_Metrics!$F:$F,D645)</x:f>
        <x:v>41</x:v>
      </x:c>
      <x:c r="G645" t="n">
        <x:f>INDEX(Run_Metrics!$G:$G,D645)</x:f>
        <x:v>1.99</x:v>
      </x:c>
      <x:c r="H645" t="str">
        <x:f>INDEX(Run_Metrics!$I:$I,D645)</x:f>
      </x:c>
      <x:c r="I645" t="n">
        <x:f>IF(F645="","",F645-(E645-1))</x:f>
        <x:v>-3</x:v>
      </x:c>
      <x:c r="J645" t="n">
        <x:f>IF(I645&gt;0,1,0)</x:f>
        <x:v>0</x:v>
      </x:c>
      <x:c r="K645" t="str">
        <x:f>IF(OR(J645=0,G645="",G645=0),"",I645/G645)</x:f>
      </x:c>
      <x:c r="L645" t="str">
        <x:f>IF(OR(J645=0,I645=0,G645=""),"",G645/I645)</x:f>
      </x:c>
      <x:c r="M645" t="str">
        <x:f>IF(OR(J645=0,G645="",H645="",G645=0,H645=0),"",I645/(G645*H645))</x:f>
      </x:c>
      <x:c r="N645" t="str">
        <x:f>IF(K645="","",K645/_xlfn.MAXIFS($K:$K,$E:$E,E645))</x:f>
      </x:c>
      <x:c r="O645" t="str">
        <x:f>IF(M645="","",M645/_xlfn.MAXIFS($M:$M,$E:$E,E645))</x:f>
      </x:c>
      <x:c r="P645" t="str">
        <x:f>IF(OR(N645="",O645=""),"",SQRT(N645*O645))</x:f>
      </x:c>
      <x:c r="Q645" t="str">
        <x:f>IF(OR(N645="",O645=""),"",N645^0.7*O645^0.3)</x:f>
      </x:c>
      <x:c r="R645" t="str">
        <x:f>IF(OR(N645="",O645=""),"",N645^0.3*O645^0.7)</x:f>
      </x:c>
    </x:row>
    <x:row r="646">
      <x:c r="A646" t="inlineStr">
        <x:is>
          <x:t xml:space="preserve">anthropic|claude-haiku-5-5|xhigh|reasoning|fallback-na|aa-v4.3.2|snapshot-2026-10-11</x:t>
        </x:is>
      </x:c>
      <x:c r="B646" t="inlineStr">
        <x:is>
          <x:t xml:space="preserve">anthropic|claude-haiku-5-5|xhigh|reasoning|fallback-na</x:t>
        </x:is>
      </x:c>
      <x:c r="C646" t="inlineStr">
        <x:is>
          <x:t xml:space="preserve">AA|v4.3.2</x:t>
        </x:is>
      </x:c>
      <x:c r="D646" t="n">
        <x:v>82</x:v>
      </x:c>
      <x:c r="E646" t="n">
        <x:v>50</x:v>
      </x:c>
      <x:c r="F646" t="n">
        <x:f>INDEX(Run_Metrics!$F:$F,D646)</x:f>
        <x:v>41</x:v>
      </x:c>
      <x:c r="G646" t="n">
        <x:f>INDEX(Run_Metrics!$G:$G,D646)</x:f>
        <x:v>1.99</x:v>
      </x:c>
      <x:c r="H646" t="str">
        <x:f>INDEX(Run_Metrics!$I:$I,D646)</x:f>
      </x:c>
      <x:c r="I646" t="n">
        <x:f>IF(F646="","",F646-(E646-1))</x:f>
        <x:v>-8</x:v>
      </x:c>
      <x:c r="J646" t="n">
        <x:f>IF(I646&gt;0,1,0)</x:f>
        <x:v>0</x:v>
      </x:c>
      <x:c r="K646" t="str">
        <x:f>IF(OR(J646=0,G646="",G646=0),"",I646/G646)</x:f>
      </x:c>
      <x:c r="L646" t="str">
        <x:f>IF(OR(J646=0,I646=0,G646=""),"",G646/I646)</x:f>
      </x:c>
      <x:c r="M646" t="str">
        <x:f>IF(OR(J646=0,G646="",H646="",G646=0,H646=0),"",I646/(G646*H646))</x:f>
      </x:c>
      <x:c r="N646" t="str">
        <x:f>IF(K646="","",K646/_xlfn.MAXIFS($K:$K,$E:$E,E646))</x:f>
      </x:c>
      <x:c r="O646" t="str">
        <x:f>IF(M646="","",M646/_xlfn.MAXIFS($M:$M,$E:$E,E646))</x:f>
      </x:c>
      <x:c r="P646" t="str">
        <x:f>IF(OR(N646="",O646=""),"",SQRT(N646*O646))</x:f>
      </x:c>
      <x:c r="Q646" t="str">
        <x:f>IF(OR(N646="",O646=""),"",N646^0.7*O646^0.3)</x:f>
      </x:c>
      <x:c r="R646" t="str">
        <x:f>IF(OR(N646="",O646=""),"",N646^0.3*O646^0.7)</x:f>
      </x:c>
    </x:row>
    <x:row r="647">
      <x:c r="A647" t="inlineStr">
        <x:is>
          <x:t xml:space="preserve">anthropic|claude-haiku-5-5|xhigh|reasoning|fallback-na|aa-v4.3.2|snapshot-2026-10-11</x:t>
        </x:is>
      </x:c>
      <x:c r="B647" t="inlineStr">
        <x:is>
          <x:t xml:space="preserve">anthropic|claude-haiku-5-5|xhigh|reasoning|fallback-na</x:t>
        </x:is>
      </x:c>
      <x:c r="C647" t="inlineStr">
        <x:is>
          <x:t xml:space="preserve">AA|v4.3.2</x:t>
        </x:is>
      </x:c>
      <x:c r="D647" t="n">
        <x:v>82</x:v>
      </x:c>
      <x:c r="E647" t="n">
        <x:v>52</x:v>
      </x:c>
      <x:c r="F647" t="n">
        <x:f>INDEX(Run_Metrics!$F:$F,D647)</x:f>
        <x:v>41</x:v>
      </x:c>
      <x:c r="G647" t="n">
        <x:f>INDEX(Run_Metrics!$G:$G,D647)</x:f>
        <x:v>1.99</x:v>
      </x:c>
      <x:c r="H647" t="str">
        <x:f>INDEX(Run_Metrics!$I:$I,D647)</x:f>
      </x:c>
      <x:c r="I647" t="n">
        <x:f>IF(F647="","",F647-(E647-1))</x:f>
        <x:v>-10</x:v>
      </x:c>
      <x:c r="J647" t="n">
        <x:f>IF(I647&gt;0,1,0)</x:f>
        <x:v>0</x:v>
      </x:c>
      <x:c r="K647" t="str">
        <x:f>IF(OR(J647=0,G647="",G647=0),"",I647/G647)</x:f>
      </x:c>
      <x:c r="L647" t="str">
        <x:f>IF(OR(J647=0,I647=0,G647=""),"",G647/I647)</x:f>
      </x:c>
      <x:c r="M647" t="str">
        <x:f>IF(OR(J647=0,G647="",H647="",G647=0,H647=0),"",I647/(G647*H647))</x:f>
      </x:c>
      <x:c r="N647" t="str">
        <x:f>IF(K647="","",K647/_xlfn.MAXIFS($K:$K,$E:$E,E647))</x:f>
      </x:c>
      <x:c r="O647" t="str">
        <x:f>IF(M647="","",M647/_xlfn.MAXIFS($M:$M,$E:$E,E647))</x:f>
      </x:c>
      <x:c r="P647" t="str">
        <x:f>IF(OR(N647="",O647=""),"",SQRT(N647*O647))</x:f>
      </x:c>
      <x:c r="Q647" t="str">
        <x:f>IF(OR(N647="",O647=""),"",N647^0.7*O647^0.3)</x:f>
      </x:c>
      <x:c r="R647" t="str">
        <x:f>IF(OR(N647="",O647=""),"",N647^0.3*O647^0.7)</x:f>
      </x:c>
    </x:row>
    <x:row r="648">
      <x:c r="A648" t="inlineStr">
        <x:is>
          <x:t xml:space="preserve">anthropic|claude-haiku-5-5|xhigh|reasoning|fallback-na|aa-v4.3.2|snapshot-2026-10-11</x:t>
        </x:is>
      </x:c>
      <x:c r="B648" t="inlineStr">
        <x:is>
          <x:t xml:space="preserve">anthropic|claude-haiku-5-5|xhigh|reasoning|fallback-na</x:t>
        </x:is>
      </x:c>
      <x:c r="C648" t="inlineStr">
        <x:is>
          <x:t xml:space="preserve">AA|v4.3.2</x:t>
        </x:is>
      </x:c>
      <x:c r="D648" t="n">
        <x:v>82</x:v>
      </x:c>
      <x:c r="E648" t="n">
        <x:v>65</x:v>
      </x:c>
      <x:c r="F648" t="n">
        <x:f>INDEX(Run_Metrics!$F:$F,D648)</x:f>
        <x:v>41</x:v>
      </x:c>
      <x:c r="G648" t="n">
        <x:f>INDEX(Run_Metrics!$G:$G,D648)</x:f>
        <x:v>1.99</x:v>
      </x:c>
      <x:c r="H648" t="str">
        <x:f>INDEX(Run_Metrics!$I:$I,D648)</x:f>
      </x:c>
      <x:c r="I648" t="n">
        <x:f>IF(F648="","",F648-(E648-1))</x:f>
        <x:v>-23</x:v>
      </x:c>
      <x:c r="J648" t="n">
        <x:f>IF(I648&gt;0,1,0)</x:f>
        <x:v>0</x:v>
      </x:c>
      <x:c r="K648" t="str">
        <x:f>IF(OR(J648=0,G648="",G648=0),"",I648/G648)</x:f>
      </x:c>
      <x:c r="L648" t="str">
        <x:f>IF(OR(J648=0,I648=0,G648=""),"",G648/I648)</x:f>
      </x:c>
      <x:c r="M648" t="str">
        <x:f>IF(OR(J648=0,G648="",H648="",G648=0,H648=0),"",I648/(G648*H648))</x:f>
      </x:c>
      <x:c r="N648" t="str">
        <x:f>IF(K648="","",K648/_xlfn.MAXIFS($K:$K,$E:$E,E648))</x:f>
      </x:c>
      <x:c r="O648" t="str">
        <x:f>IF(M648="","",M648/_xlfn.MAXIFS($M:$M,$E:$E,E648))</x:f>
      </x:c>
      <x:c r="P648" t="str">
        <x:f>IF(OR(N648="",O648=""),"",SQRT(N648*O648))</x:f>
      </x:c>
      <x:c r="Q648" t="str">
        <x:f>IF(OR(N648="",O648=""),"",N648^0.7*O648^0.3)</x:f>
      </x:c>
      <x:c r="R648" t="str">
        <x:f>IF(OR(N648="",O648=""),"",N648^0.3*O648^0.7)</x:f>
      </x:c>
    </x:row>
    <x:row r="649">
      <x:c r="A649" t="inlineStr">
        <x:is>
          <x:t xml:space="preserve">anthropic|claude-haiku-5-5|xhigh|reasoning|fallback-na|aa-v4.3.2|snapshot-2026-10-11</x:t>
        </x:is>
      </x:c>
      <x:c r="B649" t="inlineStr">
        <x:is>
          <x:t xml:space="preserve">anthropic|claude-haiku-5-5|xhigh|reasoning|fallback-na</x:t>
        </x:is>
      </x:c>
      <x:c r="C649" t="inlineStr">
        <x:is>
          <x:t xml:space="preserve">AA|v4.3.2</x:t>
        </x:is>
      </x:c>
      <x:c r="D649" t="n">
        <x:v>82</x:v>
      </x:c>
      <x:c r="E649" t="n">
        <x:v>80</x:v>
      </x:c>
      <x:c r="F649" t="n">
        <x:f>INDEX(Run_Metrics!$F:$F,D649)</x:f>
        <x:v>41</x:v>
      </x:c>
      <x:c r="G649" t="n">
        <x:f>INDEX(Run_Metrics!$G:$G,D649)</x:f>
        <x:v>1.99</x:v>
      </x:c>
      <x:c r="H649" t="str">
        <x:f>INDEX(Run_Metrics!$I:$I,D649)</x:f>
      </x:c>
      <x:c r="I649" t="n">
        <x:f>IF(F649="","",F649-(E649-1))</x:f>
        <x:v>-38</x:v>
      </x:c>
      <x:c r="J649" t="n">
        <x:f>IF(I649&gt;0,1,0)</x:f>
        <x:v>0</x:v>
      </x:c>
      <x:c r="K649" t="str">
        <x:f>IF(OR(J649=0,G649="",G649=0),"",I649/G649)</x:f>
      </x:c>
      <x:c r="L649" t="str">
        <x:f>IF(OR(J649=0,I649=0,G649=""),"",G649/I649)</x:f>
      </x:c>
      <x:c r="M649" t="str">
        <x:f>IF(OR(J649=0,G649="",H649="",G649=0,H649=0),"",I649/(G649*H649))</x:f>
      </x:c>
      <x:c r="N649" t="str">
        <x:f>IF(K649="","",K649/_xlfn.MAXIFS($K:$K,$E:$E,E649))</x:f>
      </x:c>
      <x:c r="O649" t="str">
        <x:f>IF(M649="","",M649/_xlfn.MAXIFS($M:$M,$E:$E,E649))</x:f>
      </x:c>
      <x:c r="P649" t="str">
        <x:f>IF(OR(N649="",O649=""),"",SQRT(N649*O649))</x:f>
      </x:c>
      <x:c r="Q649" t="str">
        <x:f>IF(OR(N649="",O649=""),"",N649^0.7*O649^0.3)</x:f>
      </x:c>
      <x:c r="R649" t="str">
        <x:f>IF(OR(N649="",O649=""),"",N649^0.3*O649^0.7)</x:f>
      </x:c>
    </x:row>
    <x:row r="650">
      <x:c r="A650" t="inlineStr">
        <x:is>
          <x:t xml:space="preserve">anthropic|claude-haiku-5-5|max|reasoning|fallback-na|aa-v4.3.2|snapshot-2026-10-11</x:t>
        </x:is>
      </x:c>
      <x:c r="B650" t="inlineStr">
        <x:is>
          <x:t xml:space="preserve">anthropic|claude-haiku-5-5|max|reasoning|fallback-na</x:t>
        </x:is>
      </x:c>
      <x:c r="C650" t="inlineStr">
        <x:is>
          <x:t xml:space="preserve">AA|v4.3.2</x:t>
        </x:is>
      </x:c>
      <x:c r="D650" t="n">
        <x:v>83</x:v>
      </x:c>
      <x:c r="E650" t="n">
        <x:v>20</x:v>
      </x:c>
      <x:c r="F650" t="n">
        <x:f>INDEX(Run_Metrics!$F:$F,D650)</x:f>
        <x:v>43</x:v>
      </x:c>
      <x:c r="G650" t="n">
        <x:f>INDEX(Run_Metrics!$G:$G,D650)</x:f>
        <x:v>1.99</x:v>
      </x:c>
      <x:c r="H650" t="str">
        <x:f>INDEX(Run_Metrics!$I:$I,D650)</x:f>
      </x:c>
      <x:c r="I650" t="n">
        <x:f>IF(F650="","",F650-(E650-1))</x:f>
        <x:v>24</x:v>
      </x:c>
      <x:c r="J650" t="n">
        <x:f>IF(I650&gt;0,1,0)</x:f>
        <x:v>1</x:v>
      </x:c>
      <x:c r="K650" t="n">
        <x:f>IF(OR(J650=0,G650="",G650=0),"",I650/G650)</x:f>
        <x:v>12.06030150753769</x:v>
      </x:c>
      <x:c r="L650" t="n">
        <x:f>IF(OR(J650=0,I650=0,G650=""),"",G650/I650)</x:f>
        <x:v>0.08291666666666667</x:v>
      </x:c>
      <x:c r="M650" t="str">
        <x:f>IF(OR(J650=0,G650="",H650="",G650=0,H650=0),"",I650/(G650*H650))</x:f>
      </x:c>
      <x:c r="N650" t="n">
        <x:f>IF(K650="","",K650/_xlfn.MAXIFS($K:$K,$E:$E,E650))</x:f>
        <x:v>0.018090452261306532</x:v>
      </x:c>
      <x:c r="O650" t="str">
        <x:f>IF(M650="","",M650/_xlfn.MAXIFS($M:$M,$E:$E,E650))</x:f>
      </x:c>
      <x:c r="P650" t="str">
        <x:f>IF(OR(N650="",O650=""),"",SQRT(N650*O650))</x:f>
      </x:c>
      <x:c r="Q650" t="str">
        <x:f>IF(OR(N650="",O650=""),"",N650^0.7*O650^0.3)</x:f>
      </x:c>
      <x:c r="R650" t="str">
        <x:f>IF(OR(N650="",O650=""),"",N650^0.3*O650^0.7)</x:f>
      </x:c>
    </x:row>
    <x:row r="651">
      <x:c r="A651" t="inlineStr">
        <x:is>
          <x:t xml:space="preserve">anthropic|claude-haiku-5-5|max|reasoning|fallback-na|aa-v4.3.2|snapshot-2026-10-11</x:t>
        </x:is>
      </x:c>
      <x:c r="B651" t="inlineStr">
        <x:is>
          <x:t xml:space="preserve">anthropic|claude-haiku-5-5|max|reasoning|fallback-na</x:t>
        </x:is>
      </x:c>
      <x:c r="C651" t="inlineStr">
        <x:is>
          <x:t xml:space="preserve">AA|v4.3.2</x:t>
        </x:is>
      </x:c>
      <x:c r="D651" t="n">
        <x:v>83</x:v>
      </x:c>
      <x:c r="E651" t="n">
        <x:v>30</x:v>
      </x:c>
      <x:c r="F651" t="n">
        <x:f>INDEX(Run_Metrics!$F:$F,D651)</x:f>
        <x:v>43</x:v>
      </x:c>
      <x:c r="G651" t="n">
        <x:f>INDEX(Run_Metrics!$G:$G,D651)</x:f>
        <x:v>1.99</x:v>
      </x:c>
      <x:c r="H651" t="str">
        <x:f>INDEX(Run_Metrics!$I:$I,D651)</x:f>
      </x:c>
      <x:c r="I651" t="n">
        <x:f>IF(F651="","",F651-(E651-1))</x:f>
        <x:v>14</x:v>
      </x:c>
      <x:c r="J651" t="n">
        <x:f>IF(I651&gt;0,1,0)</x:f>
        <x:v>1</x:v>
      </x:c>
      <x:c r="K651" t="n">
        <x:f>IF(OR(J651=0,G651="",G651=0),"",I651/G651)</x:f>
        <x:v>7.035175879396985</x:v>
      </x:c>
      <x:c r="L651" t="n">
        <x:f>IF(OR(J651=0,I651=0,G651=""),"",G651/I651)</x:f>
        <x:v>0.14214285714285715</x:v>
      </x:c>
      <x:c r="M651" t="str">
        <x:f>IF(OR(J651=0,G651="",H651="",G651=0,H651=0),"",I651/(G651*H651))</x:f>
      </x:c>
      <x:c r="N651" t="n">
        <x:f>IF(K651="","",K651/_xlfn.MAXIFS($K:$K,$E:$E,E651))</x:f>
        <x:v>0.04690117252931324</x:v>
      </x:c>
      <x:c r="O651" t="str">
        <x:f>IF(M651="","",M651/_xlfn.MAXIFS($M:$M,$E:$E,E651))</x:f>
      </x:c>
      <x:c r="P651" t="str">
        <x:f>IF(OR(N651="",O651=""),"",SQRT(N651*O651))</x:f>
      </x:c>
      <x:c r="Q651" t="str">
        <x:f>IF(OR(N651="",O651=""),"",N651^0.7*O651^0.3)</x:f>
      </x:c>
      <x:c r="R651" t="str">
        <x:f>IF(OR(N651="",O651=""),"",N651^0.3*O651^0.7)</x:f>
      </x:c>
    </x:row>
    <x:row r="652">
      <x:c r="A652" t="inlineStr">
        <x:is>
          <x:t xml:space="preserve">anthropic|claude-haiku-5-5|max|reasoning|fallback-na|aa-v4.3.2|snapshot-2026-10-11</x:t>
        </x:is>
      </x:c>
      <x:c r="B652" t="inlineStr">
        <x:is>
          <x:t xml:space="preserve">anthropic|claude-haiku-5-5|max|reasoning|fallback-na</x:t>
        </x:is>
      </x:c>
      <x:c r="C652" t="inlineStr">
        <x:is>
          <x:t xml:space="preserve">AA|v4.3.2</x:t>
        </x:is>
      </x:c>
      <x:c r="D652" t="n">
        <x:v>83</x:v>
      </x:c>
      <x:c r="E652" t="n">
        <x:v>40</x:v>
      </x:c>
      <x:c r="F652" t="n">
        <x:f>INDEX(Run_Metrics!$F:$F,D652)</x:f>
        <x:v>43</x:v>
      </x:c>
      <x:c r="G652" t="n">
        <x:f>INDEX(Run_Metrics!$G:$G,D652)</x:f>
        <x:v>1.99</x:v>
      </x:c>
      <x:c r="H652" t="str">
        <x:f>INDEX(Run_Metrics!$I:$I,D652)</x:f>
      </x:c>
      <x:c r="I652" t="n">
        <x:f>IF(F652="","",F652-(E652-1))</x:f>
        <x:v>4</x:v>
      </x:c>
      <x:c r="J652" t="n">
        <x:f>IF(I652&gt;0,1,0)</x:f>
        <x:v>1</x:v>
      </x:c>
      <x:c r="K652" t="n">
        <x:f>IF(OR(J652=0,G652="",G652=0),"",I652/G652)</x:f>
        <x:v>2.0100502512562812</x:v>
      </x:c>
      <x:c r="L652" t="n">
        <x:f>IF(OR(J652=0,I652=0,G652=""),"",G652/I652)</x:f>
        <x:v>0.4975</x:v>
      </x:c>
      <x:c r="M652" t="str">
        <x:f>IF(OR(J652=0,G652="",H652="",G652=0,H652=0),"",I652/(G652*H652))</x:f>
      </x:c>
      <x:c r="N652" t="n">
        <x:f>IF(K652="","",K652/_xlfn.MAXIFS($K:$K,$E:$E,E652))</x:f>
        <x:v>0.037329504666188076</x:v>
      </x:c>
      <x:c r="O652" t="str">
        <x:f>IF(M652="","",M652/_xlfn.MAXIFS($M:$M,$E:$E,E652))</x:f>
      </x:c>
      <x:c r="P652" t="str">
        <x:f>IF(OR(N652="",O652=""),"",SQRT(N652*O652))</x:f>
      </x:c>
      <x:c r="Q652" t="str">
        <x:f>IF(OR(N652="",O652=""),"",N652^0.7*O652^0.3)</x:f>
      </x:c>
      <x:c r="R652" t="str">
        <x:f>IF(OR(N652="",O652=""),"",N652^0.3*O652^0.7)</x:f>
      </x:c>
    </x:row>
    <x:row r="653">
      <x:c r="A653" t="inlineStr">
        <x:is>
          <x:t xml:space="preserve">anthropic|claude-haiku-5-5|max|reasoning|fallback-na|aa-v4.3.2|snapshot-2026-10-11</x:t>
        </x:is>
      </x:c>
      <x:c r="B653" t="inlineStr">
        <x:is>
          <x:t xml:space="preserve">anthropic|claude-haiku-5-5|max|reasoning|fallback-na</x:t>
        </x:is>
      </x:c>
      <x:c r="C653" t="inlineStr">
        <x:is>
          <x:t xml:space="preserve">AA|v4.3.2</x:t>
        </x:is>
      </x:c>
      <x:c r="D653" t="n">
        <x:v>83</x:v>
      </x:c>
      <x:c r="E653" t="n">
        <x:v>45</x:v>
      </x:c>
      <x:c r="F653" t="n">
        <x:f>INDEX(Run_Metrics!$F:$F,D653)</x:f>
        <x:v>43</x:v>
      </x:c>
      <x:c r="G653" t="n">
        <x:f>INDEX(Run_Metrics!$G:$G,D653)</x:f>
        <x:v>1.99</x:v>
      </x:c>
      <x:c r="H653" t="str">
        <x:f>INDEX(Run_Metrics!$I:$I,D653)</x:f>
      </x:c>
      <x:c r="I653" t="n">
        <x:f>IF(F653="","",F653-(E653-1))</x:f>
        <x:v>-1</x:v>
      </x:c>
      <x:c r="J653" t="n">
        <x:f>IF(I653&gt;0,1,0)</x:f>
        <x:v>0</x:v>
      </x:c>
      <x:c r="K653" t="str">
        <x:f>IF(OR(J653=0,G653="",G653=0),"",I653/G653)</x:f>
      </x:c>
      <x:c r="L653" t="str">
        <x:f>IF(OR(J653=0,I653=0,G653=""),"",G653/I653)</x:f>
      </x:c>
      <x:c r="M653" t="str">
        <x:f>IF(OR(J653=0,G653="",H653="",G653=0,H653=0),"",I653/(G653*H653))</x:f>
      </x:c>
      <x:c r="N653" t="str">
        <x:f>IF(K653="","",K653/_xlfn.MAXIFS($K:$K,$E:$E,E653))</x:f>
      </x:c>
      <x:c r="O653" t="str">
        <x:f>IF(M653="","",M653/_xlfn.MAXIFS($M:$M,$E:$E,E653))</x:f>
      </x:c>
      <x:c r="P653" t="str">
        <x:f>IF(OR(N653="",O653=""),"",SQRT(N653*O653))</x:f>
      </x:c>
      <x:c r="Q653" t="str">
        <x:f>IF(OR(N653="",O653=""),"",N653^0.7*O653^0.3)</x:f>
      </x:c>
      <x:c r="R653" t="str">
        <x:f>IF(OR(N653="",O653=""),"",N653^0.3*O653^0.7)</x:f>
      </x:c>
    </x:row>
    <x:row r="654">
      <x:c r="A654" t="inlineStr">
        <x:is>
          <x:t xml:space="preserve">anthropic|claude-haiku-5-5|max|reasoning|fallback-na|aa-v4.3.2|snapshot-2026-10-11</x:t>
        </x:is>
      </x:c>
      <x:c r="B654" t="inlineStr">
        <x:is>
          <x:t xml:space="preserve">anthropic|claude-haiku-5-5|max|reasoning|fallback-na</x:t>
        </x:is>
      </x:c>
      <x:c r="C654" t="inlineStr">
        <x:is>
          <x:t xml:space="preserve">AA|v4.3.2</x:t>
        </x:is>
      </x:c>
      <x:c r="D654" t="n">
        <x:v>83</x:v>
      </x:c>
      <x:c r="E654" t="n">
        <x:v>50</x:v>
      </x:c>
      <x:c r="F654" t="n">
        <x:f>INDEX(Run_Metrics!$F:$F,D654)</x:f>
        <x:v>43</x:v>
      </x:c>
      <x:c r="G654" t="n">
        <x:f>INDEX(Run_Metrics!$G:$G,D654)</x:f>
        <x:v>1.99</x:v>
      </x:c>
      <x:c r="H654" t="str">
        <x:f>INDEX(Run_Metrics!$I:$I,D654)</x:f>
      </x:c>
      <x:c r="I654" t="n">
        <x:f>IF(F654="","",F654-(E654-1))</x:f>
        <x:v>-6</x:v>
      </x:c>
      <x:c r="J654" t="n">
        <x:f>IF(I654&gt;0,1,0)</x:f>
        <x:v>0</x:v>
      </x:c>
      <x:c r="K654" t="str">
        <x:f>IF(OR(J654=0,G654="",G654=0),"",I654/G654)</x:f>
      </x:c>
      <x:c r="L654" t="str">
        <x:f>IF(OR(J654=0,I654=0,G654=""),"",G654/I654)</x:f>
      </x:c>
      <x:c r="M654" t="str">
        <x:f>IF(OR(J654=0,G654="",H654="",G654=0,H654=0),"",I654/(G654*H654))</x:f>
      </x:c>
      <x:c r="N654" t="str">
        <x:f>IF(K654="","",K654/_xlfn.MAXIFS($K:$K,$E:$E,E654))</x:f>
      </x:c>
      <x:c r="O654" t="str">
        <x:f>IF(M654="","",M654/_xlfn.MAXIFS($M:$M,$E:$E,E654))</x:f>
      </x:c>
      <x:c r="P654" t="str">
        <x:f>IF(OR(N654="",O654=""),"",SQRT(N654*O654))</x:f>
      </x:c>
      <x:c r="Q654" t="str">
        <x:f>IF(OR(N654="",O654=""),"",N654^0.7*O654^0.3)</x:f>
      </x:c>
      <x:c r="R654" t="str">
        <x:f>IF(OR(N654="",O654=""),"",N654^0.3*O654^0.7)</x:f>
      </x:c>
    </x:row>
    <x:row r="655">
      <x:c r="A655" t="inlineStr">
        <x:is>
          <x:t xml:space="preserve">anthropic|claude-haiku-5-5|max|reasoning|fallback-na|aa-v4.3.2|snapshot-2026-10-11</x:t>
        </x:is>
      </x:c>
      <x:c r="B655" t="inlineStr">
        <x:is>
          <x:t xml:space="preserve">anthropic|claude-haiku-5-5|max|reasoning|fallback-na</x:t>
        </x:is>
      </x:c>
      <x:c r="C655" t="inlineStr">
        <x:is>
          <x:t xml:space="preserve">AA|v4.3.2</x:t>
        </x:is>
      </x:c>
      <x:c r="D655" t="n">
        <x:v>83</x:v>
      </x:c>
      <x:c r="E655" t="n">
        <x:v>52</x:v>
      </x:c>
      <x:c r="F655" t="n">
        <x:f>INDEX(Run_Metrics!$F:$F,D655)</x:f>
        <x:v>43</x:v>
      </x:c>
      <x:c r="G655" t="n">
        <x:f>INDEX(Run_Metrics!$G:$G,D655)</x:f>
        <x:v>1.99</x:v>
      </x:c>
      <x:c r="H655" t="str">
        <x:f>INDEX(Run_Metrics!$I:$I,D655)</x:f>
      </x:c>
      <x:c r="I655" t="n">
        <x:f>IF(F655="","",F655-(E655-1))</x:f>
        <x:v>-8</x:v>
      </x:c>
      <x:c r="J655" t="n">
        <x:f>IF(I655&gt;0,1,0)</x:f>
        <x:v>0</x:v>
      </x:c>
      <x:c r="K655" t="str">
        <x:f>IF(OR(J655=0,G655="",G655=0),"",I655/G655)</x:f>
      </x:c>
      <x:c r="L655" t="str">
        <x:f>IF(OR(J655=0,I655=0,G655=""),"",G655/I655)</x:f>
      </x:c>
      <x:c r="M655" t="str">
        <x:f>IF(OR(J655=0,G655="",H655="",G655=0,H655=0),"",I655/(G655*H655))</x:f>
      </x:c>
      <x:c r="N655" t="str">
        <x:f>IF(K655="","",K655/_xlfn.MAXIFS($K:$K,$E:$E,E655))</x:f>
      </x:c>
      <x:c r="O655" t="str">
        <x:f>IF(M655="","",M655/_xlfn.MAXIFS($M:$M,$E:$E,E655))</x:f>
      </x:c>
      <x:c r="P655" t="str">
        <x:f>IF(OR(N655="",O655=""),"",SQRT(N655*O655))</x:f>
      </x:c>
      <x:c r="Q655" t="str">
        <x:f>IF(OR(N655="",O655=""),"",N655^0.7*O655^0.3)</x:f>
      </x:c>
      <x:c r="R655" t="str">
        <x:f>IF(OR(N655="",O655=""),"",N655^0.3*O655^0.7)</x:f>
      </x:c>
    </x:row>
    <x:row r="656">
      <x:c r="A656" t="inlineStr">
        <x:is>
          <x:t xml:space="preserve">anthropic|claude-haiku-5-5|max|reasoning|fallback-na|aa-v4.3.2|snapshot-2026-10-11</x:t>
        </x:is>
      </x:c>
      <x:c r="B656" t="inlineStr">
        <x:is>
          <x:t xml:space="preserve">anthropic|claude-haiku-5-5|max|reasoning|fallback-na</x:t>
        </x:is>
      </x:c>
      <x:c r="C656" t="inlineStr">
        <x:is>
          <x:t xml:space="preserve">AA|v4.3.2</x:t>
        </x:is>
      </x:c>
      <x:c r="D656" t="n">
        <x:v>83</x:v>
      </x:c>
      <x:c r="E656" t="n">
        <x:v>65</x:v>
      </x:c>
      <x:c r="F656" t="n">
        <x:f>INDEX(Run_Metrics!$F:$F,D656)</x:f>
        <x:v>43</x:v>
      </x:c>
      <x:c r="G656" t="n">
        <x:f>INDEX(Run_Metrics!$G:$G,D656)</x:f>
        <x:v>1.99</x:v>
      </x:c>
      <x:c r="H656" t="str">
        <x:f>INDEX(Run_Metrics!$I:$I,D656)</x:f>
      </x:c>
      <x:c r="I656" t="n">
        <x:f>IF(F656="","",F656-(E656-1))</x:f>
        <x:v>-21</x:v>
      </x:c>
      <x:c r="J656" t="n">
        <x:f>IF(I656&gt;0,1,0)</x:f>
        <x:v>0</x:v>
      </x:c>
      <x:c r="K656" t="str">
        <x:f>IF(OR(J656=0,G656="",G656=0),"",I656/G656)</x:f>
      </x:c>
      <x:c r="L656" t="str">
        <x:f>IF(OR(J656=0,I656=0,G656=""),"",G656/I656)</x:f>
      </x:c>
      <x:c r="M656" t="str">
        <x:f>IF(OR(J656=0,G656="",H656="",G656=0,H656=0),"",I656/(G656*H656))</x:f>
      </x:c>
      <x:c r="N656" t="str">
        <x:f>IF(K656="","",K656/_xlfn.MAXIFS($K:$K,$E:$E,E656))</x:f>
      </x:c>
      <x:c r="O656" t="str">
        <x:f>IF(M656="","",M656/_xlfn.MAXIFS($M:$M,$E:$E,E656))</x:f>
      </x:c>
      <x:c r="P656" t="str">
        <x:f>IF(OR(N656="",O656=""),"",SQRT(N656*O656))</x:f>
      </x:c>
      <x:c r="Q656" t="str">
        <x:f>IF(OR(N656="",O656=""),"",N656^0.7*O656^0.3)</x:f>
      </x:c>
      <x:c r="R656" t="str">
        <x:f>IF(OR(N656="",O656=""),"",N656^0.3*O656^0.7)</x:f>
      </x:c>
    </x:row>
    <x:row r="657">
      <x:c r="A657" t="inlineStr">
        <x:is>
          <x:t xml:space="preserve">anthropic|claude-haiku-5-5|max|reasoning|fallback-na|aa-v4.3.2|snapshot-2026-10-11</x:t>
        </x:is>
      </x:c>
      <x:c r="B657" t="inlineStr">
        <x:is>
          <x:t xml:space="preserve">anthropic|claude-haiku-5-5|max|reasoning|fallback-na</x:t>
        </x:is>
      </x:c>
      <x:c r="C657" t="inlineStr">
        <x:is>
          <x:t xml:space="preserve">AA|v4.3.2</x:t>
        </x:is>
      </x:c>
      <x:c r="D657" t="n">
        <x:v>83</x:v>
      </x:c>
      <x:c r="E657" t="n">
        <x:v>80</x:v>
      </x:c>
      <x:c r="F657" t="n">
        <x:f>INDEX(Run_Metrics!$F:$F,D657)</x:f>
        <x:v>43</x:v>
      </x:c>
      <x:c r="G657" t="n">
        <x:f>INDEX(Run_Metrics!$G:$G,D657)</x:f>
        <x:v>1.99</x:v>
      </x:c>
      <x:c r="H657" t="str">
        <x:f>INDEX(Run_Metrics!$I:$I,D657)</x:f>
      </x:c>
      <x:c r="I657" t="n">
        <x:f>IF(F657="","",F657-(E657-1))</x:f>
        <x:v>-36</x:v>
      </x:c>
      <x:c r="J657" t="n">
        <x:f>IF(I657&gt;0,1,0)</x:f>
        <x:v>0</x:v>
      </x:c>
      <x:c r="K657" t="str">
        <x:f>IF(OR(J657=0,G657="",G657=0),"",I657/G657)</x:f>
      </x:c>
      <x:c r="L657" t="str">
        <x:f>IF(OR(J657=0,I657=0,G657=""),"",G657/I657)</x:f>
      </x:c>
      <x:c r="M657" t="str">
        <x:f>IF(OR(J657=0,G657="",H657="",G657=0,H657=0),"",I657/(G657*H657))</x:f>
      </x:c>
      <x:c r="N657" t="str">
        <x:f>IF(K657="","",K657/_xlfn.MAXIFS($K:$K,$E:$E,E657))</x:f>
      </x:c>
      <x:c r="O657" t="str">
        <x:f>IF(M657="","",M657/_xlfn.MAXIFS($M:$M,$E:$E,E657))</x:f>
      </x:c>
      <x:c r="P657" t="str">
        <x:f>IF(OR(N657="",O657=""),"",SQRT(N657*O657))</x:f>
      </x:c>
      <x:c r="Q657" t="str">
        <x:f>IF(OR(N657="",O657=""),"",N657^0.7*O657^0.3)</x:f>
      </x:c>
      <x:c r="R657" t="str">
        <x:f>IF(OR(N657="",O657=""),"",N657^0.3*O657^0.7)</x:f>
      </x:c>
    </x:row>
    <x:row r="658">
      <x:c r="A658" t="inlineStr">
        <x:is>
          <x:t xml:space="preserve">mistral|mistral-large-4-preview|reasoning|reasoning|fallback-na|aa-v4.3.2|snapshot-2026-10-11</x:t>
        </x:is>
      </x:c>
      <x:c r="B658" t="inlineStr">
        <x:is>
          <x:t xml:space="preserve">mistral|mistral-large-4-preview|reasoning|reasoning|fallback-na</x:t>
        </x:is>
      </x:c>
      <x:c r="C658" t="inlineStr">
        <x:is>
          <x:t xml:space="preserve">AA|v4.3.2</x:t>
        </x:is>
      </x:c>
      <x:c r="D658" t="n">
        <x:v>84</x:v>
      </x:c>
      <x:c r="E658" t="n">
        <x:v>20</x:v>
      </x:c>
      <x:c r="F658" t="n">
        <x:f>INDEX(Run_Metrics!$F:$F,D658)</x:f>
        <x:v>38</x:v>
      </x:c>
      <x:c r="G658" t="n">
        <x:f>INDEX(Run_Metrics!$G:$G,D658)</x:f>
        <x:v>1.99</x:v>
      </x:c>
      <x:c r="H658" t="str">
        <x:f>INDEX(Run_Metrics!$I:$I,D658)</x:f>
      </x:c>
      <x:c r="I658" t="n">
        <x:f>IF(F658="","",F658-(E658-1))</x:f>
        <x:v>19</x:v>
      </x:c>
      <x:c r="J658" t="n">
        <x:f>IF(I658&gt;0,1,0)</x:f>
        <x:v>1</x:v>
      </x:c>
      <x:c r="K658" t="n">
        <x:f>IF(OR(J658=0,G658="",G658=0),"",I658/G658)</x:f>
        <x:v>9.547738693467338</x:v>
      </x:c>
      <x:c r="L658" t="n">
        <x:f>IF(OR(J658=0,I658=0,G658=""),"",G658/I658)</x:f>
        <x:v>0.10473684210526316</x:v>
      </x:c>
      <x:c r="M658" t="str">
        <x:f>IF(OR(J658=0,G658="",H658="",G658=0,H658=0),"",I658/(G658*H658))</x:f>
      </x:c>
      <x:c r="N658" t="n">
        <x:f>IF(K658="","",K658/_xlfn.MAXIFS($K:$K,$E:$E,E658))</x:f>
        <x:v>0.014321608040201005</x:v>
      </x:c>
      <x:c r="O658" t="str">
        <x:f>IF(M658="","",M658/_xlfn.MAXIFS($M:$M,$E:$E,E658))</x:f>
      </x:c>
      <x:c r="P658" t="str">
        <x:f>IF(OR(N658="",O658=""),"",SQRT(N658*O658))</x:f>
      </x:c>
      <x:c r="Q658" t="str">
        <x:f>IF(OR(N658="",O658=""),"",N658^0.7*O658^0.3)</x:f>
      </x:c>
      <x:c r="R658" t="str">
        <x:f>IF(OR(N658="",O658=""),"",N658^0.3*O658^0.7)</x:f>
      </x:c>
    </x:row>
    <x:row r="659">
      <x:c r="A659" t="inlineStr">
        <x:is>
          <x:t xml:space="preserve">mistral|mistral-large-4-preview|reasoning|reasoning|fallback-na|aa-v4.3.2|snapshot-2026-10-11</x:t>
        </x:is>
      </x:c>
      <x:c r="B659" t="inlineStr">
        <x:is>
          <x:t xml:space="preserve">mistral|mistral-large-4-preview|reasoning|reasoning|fallback-na</x:t>
        </x:is>
      </x:c>
      <x:c r="C659" t="inlineStr">
        <x:is>
          <x:t xml:space="preserve">AA|v4.3.2</x:t>
        </x:is>
      </x:c>
      <x:c r="D659" t="n">
        <x:v>84</x:v>
      </x:c>
      <x:c r="E659" t="n">
        <x:v>30</x:v>
      </x:c>
      <x:c r="F659" t="n">
        <x:f>INDEX(Run_Metrics!$F:$F,D659)</x:f>
        <x:v>38</x:v>
      </x:c>
      <x:c r="G659" t="n">
        <x:f>INDEX(Run_Metrics!$G:$G,D659)</x:f>
        <x:v>1.99</x:v>
      </x:c>
      <x:c r="H659" t="str">
        <x:f>INDEX(Run_Metrics!$I:$I,D659)</x:f>
      </x:c>
      <x:c r="I659" t="n">
        <x:f>IF(F659="","",F659-(E659-1))</x:f>
        <x:v>9</x:v>
      </x:c>
      <x:c r="J659" t="n">
        <x:f>IF(I659&gt;0,1,0)</x:f>
        <x:v>1</x:v>
      </x:c>
      <x:c r="K659" t="n">
        <x:f>IF(OR(J659=0,G659="",G659=0),"",I659/G659)</x:f>
        <x:v>4.522613065326633</x:v>
      </x:c>
      <x:c r="L659" t="n">
        <x:f>IF(OR(J659=0,I659=0,G659=""),"",G659/I659)</x:f>
        <x:v>0.22111111111111112</x:v>
      </x:c>
      <x:c r="M659" t="str">
        <x:f>IF(OR(J659=0,G659="",H659="",G659=0,H659=0),"",I659/(G659*H659))</x:f>
      </x:c>
      <x:c r="N659" t="n">
        <x:f>IF(K659="","",K659/_xlfn.MAXIFS($K:$K,$E:$E,E659))</x:f>
        <x:v>0.03015075376884422</x:v>
      </x:c>
      <x:c r="O659" t="str">
        <x:f>IF(M659="","",M659/_xlfn.MAXIFS($M:$M,$E:$E,E659))</x:f>
      </x:c>
      <x:c r="P659" t="str">
        <x:f>IF(OR(N659="",O659=""),"",SQRT(N659*O659))</x:f>
      </x:c>
      <x:c r="Q659" t="str">
        <x:f>IF(OR(N659="",O659=""),"",N659^0.7*O659^0.3)</x:f>
      </x:c>
      <x:c r="R659" t="str">
        <x:f>IF(OR(N659="",O659=""),"",N659^0.3*O659^0.7)</x:f>
      </x:c>
    </x:row>
    <x:row r="660">
      <x:c r="A660" t="inlineStr">
        <x:is>
          <x:t xml:space="preserve">mistral|mistral-large-4-preview|reasoning|reasoning|fallback-na|aa-v4.3.2|snapshot-2026-10-11</x:t>
        </x:is>
      </x:c>
      <x:c r="B660" t="inlineStr">
        <x:is>
          <x:t xml:space="preserve">mistral|mistral-large-4-preview|reasoning|reasoning|fallback-na</x:t>
        </x:is>
      </x:c>
      <x:c r="C660" t="inlineStr">
        <x:is>
          <x:t xml:space="preserve">AA|v4.3.2</x:t>
        </x:is>
      </x:c>
      <x:c r="D660" t="n">
        <x:v>84</x:v>
      </x:c>
      <x:c r="E660" t="n">
        <x:v>40</x:v>
      </x:c>
      <x:c r="F660" t="n">
        <x:f>INDEX(Run_Metrics!$F:$F,D660)</x:f>
        <x:v>38</x:v>
      </x:c>
      <x:c r="G660" t="n">
        <x:f>INDEX(Run_Metrics!$G:$G,D660)</x:f>
        <x:v>1.99</x:v>
      </x:c>
      <x:c r="H660" t="str">
        <x:f>INDEX(Run_Metrics!$I:$I,D660)</x:f>
      </x:c>
      <x:c r="I660" t="n">
        <x:f>IF(F660="","",F660-(E660-1))</x:f>
        <x:v>-1</x:v>
      </x:c>
      <x:c r="J660" t="n">
        <x:f>IF(I660&gt;0,1,0)</x:f>
        <x:v>0</x:v>
      </x:c>
      <x:c r="K660" t="str">
        <x:f>IF(OR(J660=0,G660="",G660=0),"",I660/G660)</x:f>
      </x:c>
      <x:c r="L660" t="str">
        <x:f>IF(OR(J660=0,I660=0,G660=""),"",G660/I660)</x:f>
      </x:c>
      <x:c r="M660" t="str">
        <x:f>IF(OR(J660=0,G660="",H660="",G660=0,H660=0),"",I660/(G660*H660))</x:f>
      </x:c>
      <x:c r="N660" t="str">
        <x:f>IF(K660="","",K660/_xlfn.MAXIFS($K:$K,$E:$E,E660))</x:f>
      </x:c>
      <x:c r="O660" t="str">
        <x:f>IF(M660="","",M660/_xlfn.MAXIFS($M:$M,$E:$E,E660))</x:f>
      </x:c>
      <x:c r="P660" t="str">
        <x:f>IF(OR(N660="",O660=""),"",SQRT(N660*O660))</x:f>
      </x:c>
      <x:c r="Q660" t="str">
        <x:f>IF(OR(N660="",O660=""),"",N660^0.7*O660^0.3)</x:f>
      </x:c>
      <x:c r="R660" t="str">
        <x:f>IF(OR(N660="",O660=""),"",N660^0.3*O660^0.7)</x:f>
      </x:c>
    </x:row>
    <x:row r="661">
      <x:c r="A661" t="inlineStr">
        <x:is>
          <x:t xml:space="preserve">mistral|mistral-large-4-preview|reasoning|reasoning|fallback-na|aa-v4.3.2|snapshot-2026-10-11</x:t>
        </x:is>
      </x:c>
      <x:c r="B661" t="inlineStr">
        <x:is>
          <x:t xml:space="preserve">mistral|mistral-large-4-preview|reasoning|reasoning|fallback-na</x:t>
        </x:is>
      </x:c>
      <x:c r="C661" t="inlineStr">
        <x:is>
          <x:t xml:space="preserve">AA|v4.3.2</x:t>
        </x:is>
      </x:c>
      <x:c r="D661" t="n">
        <x:v>84</x:v>
      </x:c>
      <x:c r="E661" t="n">
        <x:v>45</x:v>
      </x:c>
      <x:c r="F661" t="n">
        <x:f>INDEX(Run_Metrics!$F:$F,D661)</x:f>
        <x:v>38</x:v>
      </x:c>
      <x:c r="G661" t="n">
        <x:f>INDEX(Run_Metrics!$G:$G,D661)</x:f>
        <x:v>1.99</x:v>
      </x:c>
      <x:c r="H661" t="str">
        <x:f>INDEX(Run_Metrics!$I:$I,D661)</x:f>
      </x:c>
      <x:c r="I661" t="n">
        <x:f>IF(F661="","",F661-(E661-1))</x:f>
        <x:v>-6</x:v>
      </x:c>
      <x:c r="J661" t="n">
        <x:f>IF(I661&gt;0,1,0)</x:f>
        <x:v>0</x:v>
      </x:c>
      <x:c r="K661" t="str">
        <x:f>IF(OR(J661=0,G661="",G661=0),"",I661/G661)</x:f>
      </x:c>
      <x:c r="L661" t="str">
        <x:f>IF(OR(J661=0,I661=0,G661=""),"",G661/I661)</x:f>
      </x:c>
      <x:c r="M661" t="str">
        <x:f>IF(OR(J661=0,G661="",H661="",G661=0,H661=0),"",I661/(G661*H661))</x:f>
      </x:c>
      <x:c r="N661" t="str">
        <x:f>IF(K661="","",K661/_xlfn.MAXIFS($K:$K,$E:$E,E661))</x:f>
      </x:c>
      <x:c r="O661" t="str">
        <x:f>IF(M661="","",M661/_xlfn.MAXIFS($M:$M,$E:$E,E661))</x:f>
      </x:c>
      <x:c r="P661" t="str">
        <x:f>IF(OR(N661="",O661=""),"",SQRT(N661*O661))</x:f>
      </x:c>
      <x:c r="Q661" t="str">
        <x:f>IF(OR(N661="",O661=""),"",N661^0.7*O661^0.3)</x:f>
      </x:c>
      <x:c r="R661" t="str">
        <x:f>IF(OR(N661="",O661=""),"",N661^0.3*O661^0.7)</x:f>
      </x:c>
    </x:row>
    <x:row r="662">
      <x:c r="A662" t="inlineStr">
        <x:is>
          <x:t xml:space="preserve">mistral|mistral-large-4-preview|reasoning|reasoning|fallback-na|aa-v4.3.2|snapshot-2026-10-11</x:t>
        </x:is>
      </x:c>
      <x:c r="B662" t="inlineStr">
        <x:is>
          <x:t xml:space="preserve">mistral|mistral-large-4-preview|reasoning|reasoning|fallback-na</x:t>
        </x:is>
      </x:c>
      <x:c r="C662" t="inlineStr">
        <x:is>
          <x:t xml:space="preserve">AA|v4.3.2</x:t>
        </x:is>
      </x:c>
      <x:c r="D662" t="n">
        <x:v>84</x:v>
      </x:c>
      <x:c r="E662" t="n">
        <x:v>50</x:v>
      </x:c>
      <x:c r="F662" t="n">
        <x:f>INDEX(Run_Metrics!$F:$F,D662)</x:f>
        <x:v>38</x:v>
      </x:c>
      <x:c r="G662" t="n">
        <x:f>INDEX(Run_Metrics!$G:$G,D662)</x:f>
        <x:v>1.99</x:v>
      </x:c>
      <x:c r="H662" t="str">
        <x:f>INDEX(Run_Metrics!$I:$I,D662)</x:f>
      </x:c>
      <x:c r="I662" t="n">
        <x:f>IF(F662="","",F662-(E662-1))</x:f>
        <x:v>-11</x:v>
      </x:c>
      <x:c r="J662" t="n">
        <x:f>IF(I662&gt;0,1,0)</x:f>
        <x:v>0</x:v>
      </x:c>
      <x:c r="K662" t="str">
        <x:f>IF(OR(J662=0,G662="",G662=0),"",I662/G662)</x:f>
      </x:c>
      <x:c r="L662" t="str">
        <x:f>IF(OR(J662=0,I662=0,G662=""),"",G662/I662)</x:f>
      </x:c>
      <x:c r="M662" t="str">
        <x:f>IF(OR(J662=0,G662="",H662="",G662=0,H662=0),"",I662/(G662*H662))</x:f>
      </x:c>
      <x:c r="N662" t="str">
        <x:f>IF(K662="","",K662/_xlfn.MAXIFS($K:$K,$E:$E,E662))</x:f>
      </x:c>
      <x:c r="O662" t="str">
        <x:f>IF(M662="","",M662/_xlfn.MAXIFS($M:$M,$E:$E,E662))</x:f>
      </x:c>
      <x:c r="P662" t="str">
        <x:f>IF(OR(N662="",O662=""),"",SQRT(N662*O662))</x:f>
      </x:c>
      <x:c r="Q662" t="str">
        <x:f>IF(OR(N662="",O662=""),"",N662^0.7*O662^0.3)</x:f>
      </x:c>
      <x:c r="R662" t="str">
        <x:f>IF(OR(N662="",O662=""),"",N662^0.3*O662^0.7)</x:f>
      </x:c>
    </x:row>
    <x:row r="663">
      <x:c r="A663" t="inlineStr">
        <x:is>
          <x:t xml:space="preserve">mistral|mistral-large-4-preview|reasoning|reasoning|fallback-na|aa-v4.3.2|snapshot-2026-10-11</x:t>
        </x:is>
      </x:c>
      <x:c r="B663" t="inlineStr">
        <x:is>
          <x:t xml:space="preserve">mistral|mistral-large-4-preview|reasoning|reasoning|fallback-na</x:t>
        </x:is>
      </x:c>
      <x:c r="C663" t="inlineStr">
        <x:is>
          <x:t xml:space="preserve">AA|v4.3.2</x:t>
        </x:is>
      </x:c>
      <x:c r="D663" t="n">
        <x:v>84</x:v>
      </x:c>
      <x:c r="E663" t="n">
        <x:v>52</x:v>
      </x:c>
      <x:c r="F663" t="n">
        <x:f>INDEX(Run_Metrics!$F:$F,D663)</x:f>
        <x:v>38</x:v>
      </x:c>
      <x:c r="G663" t="n">
        <x:f>INDEX(Run_Metrics!$G:$G,D663)</x:f>
        <x:v>1.99</x:v>
      </x:c>
      <x:c r="H663" t="str">
        <x:f>INDEX(Run_Metrics!$I:$I,D663)</x:f>
      </x:c>
      <x:c r="I663" t="n">
        <x:f>IF(F663="","",F663-(E663-1))</x:f>
        <x:v>-13</x:v>
      </x:c>
      <x:c r="J663" t="n">
        <x:f>IF(I663&gt;0,1,0)</x:f>
        <x:v>0</x:v>
      </x:c>
      <x:c r="K663" t="str">
        <x:f>IF(OR(J663=0,G663="",G663=0),"",I663/G663)</x:f>
      </x:c>
      <x:c r="L663" t="str">
        <x:f>IF(OR(J663=0,I663=0,G663=""),"",G663/I663)</x:f>
      </x:c>
      <x:c r="M663" t="str">
        <x:f>IF(OR(J663=0,G663="",H663="",G663=0,H663=0),"",I663/(G663*H663))</x:f>
      </x:c>
      <x:c r="N663" t="str">
        <x:f>IF(K663="","",K663/_xlfn.MAXIFS($K:$K,$E:$E,E663))</x:f>
      </x:c>
      <x:c r="O663" t="str">
        <x:f>IF(M663="","",M663/_xlfn.MAXIFS($M:$M,$E:$E,E663))</x:f>
      </x:c>
      <x:c r="P663" t="str">
        <x:f>IF(OR(N663="",O663=""),"",SQRT(N663*O663))</x:f>
      </x:c>
      <x:c r="Q663" t="str">
        <x:f>IF(OR(N663="",O663=""),"",N663^0.7*O663^0.3)</x:f>
      </x:c>
      <x:c r="R663" t="str">
        <x:f>IF(OR(N663="",O663=""),"",N663^0.3*O663^0.7)</x:f>
      </x:c>
    </x:row>
    <x:row r="664">
      <x:c r="A664" t="inlineStr">
        <x:is>
          <x:t xml:space="preserve">mistral|mistral-large-4-preview|reasoning|reasoning|fallback-na|aa-v4.3.2|snapshot-2026-10-11</x:t>
        </x:is>
      </x:c>
      <x:c r="B664" t="inlineStr">
        <x:is>
          <x:t xml:space="preserve">mistral|mistral-large-4-preview|reasoning|reasoning|fallback-na</x:t>
        </x:is>
      </x:c>
      <x:c r="C664" t="inlineStr">
        <x:is>
          <x:t xml:space="preserve">AA|v4.3.2</x:t>
        </x:is>
      </x:c>
      <x:c r="D664" t="n">
        <x:v>84</x:v>
      </x:c>
      <x:c r="E664" t="n">
        <x:v>65</x:v>
      </x:c>
      <x:c r="F664" t="n">
        <x:f>INDEX(Run_Metrics!$F:$F,D664)</x:f>
        <x:v>38</x:v>
      </x:c>
      <x:c r="G664" t="n">
        <x:f>INDEX(Run_Metrics!$G:$G,D664)</x:f>
        <x:v>1.99</x:v>
      </x:c>
      <x:c r="H664" t="str">
        <x:f>INDEX(Run_Metrics!$I:$I,D664)</x:f>
      </x:c>
      <x:c r="I664" t="n">
        <x:f>IF(F664="","",F664-(E664-1))</x:f>
        <x:v>-26</x:v>
      </x:c>
      <x:c r="J664" t="n">
        <x:f>IF(I664&gt;0,1,0)</x:f>
        <x:v>0</x:v>
      </x:c>
      <x:c r="K664" t="str">
        <x:f>IF(OR(J664=0,G664="",G664=0),"",I664/G664)</x:f>
      </x:c>
      <x:c r="L664" t="str">
        <x:f>IF(OR(J664=0,I664=0,G664=""),"",G664/I664)</x:f>
      </x:c>
      <x:c r="M664" t="str">
        <x:f>IF(OR(J664=0,G664="",H664="",G664=0,H664=0),"",I664/(G664*H664))</x:f>
      </x:c>
      <x:c r="N664" t="str">
        <x:f>IF(K664="","",K664/_xlfn.MAXIFS($K:$K,$E:$E,E664))</x:f>
      </x:c>
      <x:c r="O664" t="str">
        <x:f>IF(M664="","",M664/_xlfn.MAXIFS($M:$M,$E:$E,E664))</x:f>
      </x:c>
      <x:c r="P664" t="str">
        <x:f>IF(OR(N664="",O664=""),"",SQRT(N664*O664))</x:f>
      </x:c>
      <x:c r="Q664" t="str">
        <x:f>IF(OR(N664="",O664=""),"",N664^0.7*O664^0.3)</x:f>
      </x:c>
      <x:c r="R664" t="str">
        <x:f>IF(OR(N664="",O664=""),"",N664^0.3*O664^0.7)</x:f>
      </x:c>
    </x:row>
    <x:row r="665">
      <x:c r="A665" t="inlineStr">
        <x:is>
          <x:t xml:space="preserve">mistral|mistral-large-4-preview|reasoning|reasoning|fallback-na|aa-v4.3.2|snapshot-2026-10-11</x:t>
        </x:is>
      </x:c>
      <x:c r="B665" t="inlineStr">
        <x:is>
          <x:t xml:space="preserve">mistral|mistral-large-4-preview|reasoning|reasoning|fallback-na</x:t>
        </x:is>
      </x:c>
      <x:c r="C665" t="inlineStr">
        <x:is>
          <x:t xml:space="preserve">AA|v4.3.2</x:t>
        </x:is>
      </x:c>
      <x:c r="D665" t="n">
        <x:v>84</x:v>
      </x:c>
      <x:c r="E665" t="n">
        <x:v>80</x:v>
      </x:c>
      <x:c r="F665" t="n">
        <x:f>INDEX(Run_Metrics!$F:$F,D665)</x:f>
        <x:v>38</x:v>
      </x:c>
      <x:c r="G665" t="n">
        <x:f>INDEX(Run_Metrics!$G:$G,D665)</x:f>
        <x:v>1.99</x:v>
      </x:c>
      <x:c r="H665" t="str">
        <x:f>INDEX(Run_Metrics!$I:$I,D665)</x:f>
      </x:c>
      <x:c r="I665" t="n">
        <x:f>IF(F665="","",F665-(E665-1))</x:f>
        <x:v>-41</x:v>
      </x:c>
      <x:c r="J665" t="n">
        <x:f>IF(I665&gt;0,1,0)</x:f>
        <x:v>0</x:v>
      </x:c>
      <x:c r="K665" t="str">
        <x:f>IF(OR(J665=0,G665="",G665=0),"",I665/G665)</x:f>
      </x:c>
      <x:c r="L665" t="str">
        <x:f>IF(OR(J665=0,I665=0,G665=""),"",G665/I665)</x:f>
      </x:c>
      <x:c r="M665" t="str">
        <x:f>IF(OR(J665=0,G665="",H665="",G665=0,H665=0),"",I665/(G665*H665))</x:f>
      </x:c>
      <x:c r="N665" t="str">
        <x:f>IF(K665="","",K665/_xlfn.MAXIFS($K:$K,$E:$E,E665))</x:f>
      </x:c>
      <x:c r="O665" t="str">
        <x:f>IF(M665="","",M665/_xlfn.MAXIFS($M:$M,$E:$E,E665))</x:f>
      </x:c>
      <x:c r="P665" t="str">
        <x:f>IF(OR(N665="",O665=""),"",SQRT(N665*O665))</x:f>
      </x:c>
      <x:c r="Q665" t="str">
        <x:f>IF(OR(N665="",O665=""),"",N665^0.7*O665^0.3)</x:f>
      </x:c>
      <x:c r="R665" t="str">
        <x:f>IF(OR(N665="",O665=""),"",N665^0.3*O665^0.7)</x:f>
      </x:c>
    </x:row>
    <x:row r="666">
      <x:c r="A666" t="inlineStr">
        <x:is>
          <x:t xml:space="preserve">spacexai|grok-4-7|xhigh|reasoning|fallback-na|aa-v4.3.2|snapshot-2026-10-11</x:t>
        </x:is>
      </x:c>
      <x:c r="B666" t="inlineStr">
        <x:is>
          <x:t xml:space="preserve">spacexai|grok-4-7|xhigh|reasoning|fallback-na</x:t>
        </x:is>
      </x:c>
      <x:c r="C666" t="inlineStr">
        <x:is>
          <x:t xml:space="preserve">AA|v4.3.2</x:t>
        </x:is>
      </x:c>
      <x:c r="D666" t="n">
        <x:v>85</x:v>
      </x:c>
      <x:c r="E666" t="n">
        <x:v>20</x:v>
      </x:c>
      <x:c r="F666" t="n">
        <x:f>INDEX(Run_Metrics!$F:$F,D666)</x:f>
        <x:v>46</x:v>
      </x:c>
      <x:c r="G666" t="n">
        <x:f>INDEX(Run_Metrics!$G:$G,D666)</x:f>
        <x:v>1.99</x:v>
      </x:c>
      <x:c r="H666" t="str">
        <x:f>INDEX(Run_Metrics!$I:$I,D666)</x:f>
      </x:c>
      <x:c r="I666" t="n">
        <x:f>IF(F666="","",F666-(E666-1))</x:f>
        <x:v>27</x:v>
      </x:c>
      <x:c r="J666" t="n">
        <x:f>IF(I666&gt;0,1,0)</x:f>
        <x:v>1</x:v>
      </x:c>
      <x:c r="K666" t="n">
        <x:f>IF(OR(J666=0,G666="",G666=0),"",I666/G666)</x:f>
        <x:v>13.5678391959799</x:v>
      </x:c>
      <x:c r="L666" t="n">
        <x:f>IF(OR(J666=0,I666=0,G666=""),"",G666/I666)</x:f>
        <x:v>0.0737037037037037</x:v>
      </x:c>
      <x:c r="M666" t="str">
        <x:f>IF(OR(J666=0,G666="",H666="",G666=0,H666=0),"",I666/(G666*H666))</x:f>
      </x:c>
      <x:c r="N666" t="n">
        <x:f>IF(K666="","",K666/_xlfn.MAXIFS($K:$K,$E:$E,E666))</x:f>
        <x:v>0.02035175879396985</x:v>
      </x:c>
      <x:c r="O666" t="str">
        <x:f>IF(M666="","",M666/_xlfn.MAXIFS($M:$M,$E:$E,E666))</x:f>
      </x:c>
      <x:c r="P666" t="str">
        <x:f>IF(OR(N666="",O666=""),"",SQRT(N666*O666))</x:f>
      </x:c>
      <x:c r="Q666" t="str">
        <x:f>IF(OR(N666="",O666=""),"",N666^0.7*O666^0.3)</x:f>
      </x:c>
      <x:c r="R666" t="str">
        <x:f>IF(OR(N666="",O666=""),"",N666^0.3*O666^0.7)</x:f>
      </x:c>
    </x:row>
    <x:row r="667">
      <x:c r="A667" t="inlineStr">
        <x:is>
          <x:t xml:space="preserve">spacexai|grok-4-7|xhigh|reasoning|fallback-na|aa-v4.3.2|snapshot-2026-10-11</x:t>
        </x:is>
      </x:c>
      <x:c r="B667" t="inlineStr">
        <x:is>
          <x:t xml:space="preserve">spacexai|grok-4-7|xhigh|reasoning|fallback-na</x:t>
        </x:is>
      </x:c>
      <x:c r="C667" t="inlineStr">
        <x:is>
          <x:t xml:space="preserve">AA|v4.3.2</x:t>
        </x:is>
      </x:c>
      <x:c r="D667" t="n">
        <x:v>85</x:v>
      </x:c>
      <x:c r="E667" t="n">
        <x:v>30</x:v>
      </x:c>
      <x:c r="F667" t="n">
        <x:f>INDEX(Run_Metrics!$F:$F,D667)</x:f>
        <x:v>46</x:v>
      </x:c>
      <x:c r="G667" t="n">
        <x:f>INDEX(Run_Metrics!$G:$G,D667)</x:f>
        <x:v>1.99</x:v>
      </x:c>
      <x:c r="H667" t="str">
        <x:f>INDEX(Run_Metrics!$I:$I,D667)</x:f>
      </x:c>
      <x:c r="I667" t="n">
        <x:f>IF(F667="","",F667-(E667-1))</x:f>
        <x:v>17</x:v>
      </x:c>
      <x:c r="J667" t="n">
        <x:f>IF(I667&gt;0,1,0)</x:f>
        <x:v>1</x:v>
      </x:c>
      <x:c r="K667" t="n">
        <x:f>IF(OR(J667=0,G667="",G667=0),"",I667/G667)</x:f>
        <x:v>8.542713567839195</x:v>
      </x:c>
      <x:c r="L667" t="n">
        <x:f>IF(OR(J667=0,I667=0,G667=""),"",G667/I667)</x:f>
        <x:v>0.11705882352941177</x:v>
      </x:c>
      <x:c r="M667" t="str">
        <x:f>IF(OR(J667=0,G667="",H667="",G667=0,H667=0),"",I667/(G667*H667))</x:f>
      </x:c>
      <x:c r="N667" t="n">
        <x:f>IF(K667="","",K667/_xlfn.MAXIFS($K:$K,$E:$E,E667))</x:f>
        <x:v>0.05695142378559463</x:v>
      </x:c>
      <x:c r="O667" t="str">
        <x:f>IF(M667="","",M667/_xlfn.MAXIFS($M:$M,$E:$E,E667))</x:f>
      </x:c>
      <x:c r="P667" t="str">
        <x:f>IF(OR(N667="",O667=""),"",SQRT(N667*O667))</x:f>
      </x:c>
      <x:c r="Q667" t="str">
        <x:f>IF(OR(N667="",O667=""),"",N667^0.7*O667^0.3)</x:f>
      </x:c>
      <x:c r="R667" t="str">
        <x:f>IF(OR(N667="",O667=""),"",N667^0.3*O667^0.7)</x:f>
      </x:c>
    </x:row>
    <x:row r="668">
      <x:c r="A668" t="inlineStr">
        <x:is>
          <x:t xml:space="preserve">spacexai|grok-4-7|xhigh|reasoning|fallback-na|aa-v4.3.2|snapshot-2026-10-11</x:t>
        </x:is>
      </x:c>
      <x:c r="B668" t="inlineStr">
        <x:is>
          <x:t xml:space="preserve">spacexai|grok-4-7|xhigh|reasoning|fallback-na</x:t>
        </x:is>
      </x:c>
      <x:c r="C668" t="inlineStr">
        <x:is>
          <x:t xml:space="preserve">AA|v4.3.2</x:t>
        </x:is>
      </x:c>
      <x:c r="D668" t="n">
        <x:v>85</x:v>
      </x:c>
      <x:c r="E668" t="n">
        <x:v>40</x:v>
      </x:c>
      <x:c r="F668" t="n">
        <x:f>INDEX(Run_Metrics!$F:$F,D668)</x:f>
        <x:v>46</x:v>
      </x:c>
      <x:c r="G668" t="n">
        <x:f>INDEX(Run_Metrics!$G:$G,D668)</x:f>
        <x:v>1.99</x:v>
      </x:c>
      <x:c r="H668" t="str">
        <x:f>INDEX(Run_Metrics!$I:$I,D668)</x:f>
      </x:c>
      <x:c r="I668" t="n">
        <x:f>IF(F668="","",F668-(E668-1))</x:f>
        <x:v>7</x:v>
      </x:c>
      <x:c r="J668" t="n">
        <x:f>IF(I668&gt;0,1,0)</x:f>
        <x:v>1</x:v>
      </x:c>
      <x:c r="K668" t="n">
        <x:f>IF(OR(J668=0,G668="",G668=0),"",I668/G668)</x:f>
        <x:v>3.5175879396984926</x:v>
      </x:c>
      <x:c r="L668" t="n">
        <x:f>IF(OR(J668=0,I668=0,G668=""),"",G668/I668)</x:f>
        <x:v>0.2842857142857143</x:v>
      </x:c>
      <x:c r="M668" t="str">
        <x:f>IF(OR(J668=0,G668="",H668="",G668=0,H668=0),"",I668/(G668*H668))</x:f>
      </x:c>
      <x:c r="N668" t="n">
        <x:f>IF(K668="","",K668/_xlfn.MAXIFS($K:$K,$E:$E,E668))</x:f>
        <x:v>0.06532663316582915</x:v>
      </x:c>
      <x:c r="O668" t="str">
        <x:f>IF(M668="","",M668/_xlfn.MAXIFS($M:$M,$E:$E,E668))</x:f>
      </x:c>
      <x:c r="P668" t="str">
        <x:f>IF(OR(N668="",O668=""),"",SQRT(N668*O668))</x:f>
      </x:c>
      <x:c r="Q668" t="str">
        <x:f>IF(OR(N668="",O668=""),"",N668^0.7*O668^0.3)</x:f>
      </x:c>
      <x:c r="R668" t="str">
        <x:f>IF(OR(N668="",O668=""),"",N668^0.3*O668^0.7)</x:f>
      </x:c>
    </x:row>
    <x:row r="669">
      <x:c r="A669" t="inlineStr">
        <x:is>
          <x:t xml:space="preserve">spacexai|grok-4-7|xhigh|reasoning|fallback-na|aa-v4.3.2|snapshot-2026-10-11</x:t>
        </x:is>
      </x:c>
      <x:c r="B669" t="inlineStr">
        <x:is>
          <x:t xml:space="preserve">spacexai|grok-4-7|xhigh|reasoning|fallback-na</x:t>
        </x:is>
      </x:c>
      <x:c r="C669" t="inlineStr">
        <x:is>
          <x:t xml:space="preserve">AA|v4.3.2</x:t>
        </x:is>
      </x:c>
      <x:c r="D669" t="n">
        <x:v>85</x:v>
      </x:c>
      <x:c r="E669" t="n">
        <x:v>45</x:v>
      </x:c>
      <x:c r="F669" t="n">
        <x:f>INDEX(Run_Metrics!$F:$F,D669)</x:f>
        <x:v>46</x:v>
      </x:c>
      <x:c r="G669" t="n">
        <x:f>INDEX(Run_Metrics!$G:$G,D669)</x:f>
        <x:v>1.99</x:v>
      </x:c>
      <x:c r="H669" t="str">
        <x:f>INDEX(Run_Metrics!$I:$I,D669)</x:f>
      </x:c>
      <x:c r="I669" t="n">
        <x:f>IF(F669="","",F669-(E669-1))</x:f>
        <x:v>2</x:v>
      </x:c>
      <x:c r="J669" t="n">
        <x:f>IF(I669&gt;0,1,0)</x:f>
        <x:v>1</x:v>
      </x:c>
      <x:c r="K669" t="n">
        <x:f>IF(OR(J669=0,G669="",G669=0),"",I669/G669)</x:f>
        <x:v>1.0050251256281406</x:v>
      </x:c>
      <x:c r="L669" t="n">
        <x:f>IF(OR(J669=0,I669=0,G669=""),"",G669/I669)</x:f>
        <x:v>0.995</x:v>
      </x:c>
      <x:c r="M669" t="str">
        <x:f>IF(OR(J669=0,G669="",H669="",G669=0,H669=0),"",I669/(G669*H669))</x:f>
      </x:c>
      <x:c r="N669" t="n">
        <x:f>IF(K669="","",K669/_xlfn.MAXIFS($K:$K,$E:$E,E669))</x:f>
        <x:v>0.05276381909547738</x:v>
      </x:c>
      <x:c r="O669" t="str">
        <x:f>IF(M669="","",M669/_xlfn.MAXIFS($M:$M,$E:$E,E669))</x:f>
      </x:c>
      <x:c r="P669" t="str">
        <x:f>IF(OR(N669="",O669=""),"",SQRT(N669*O669))</x:f>
      </x:c>
      <x:c r="Q669" t="str">
        <x:f>IF(OR(N669="",O669=""),"",N669^0.7*O669^0.3)</x:f>
      </x:c>
      <x:c r="R669" t="str">
        <x:f>IF(OR(N669="",O669=""),"",N669^0.3*O669^0.7)</x:f>
      </x:c>
    </x:row>
    <x:row r="670">
      <x:c r="A670" t="inlineStr">
        <x:is>
          <x:t xml:space="preserve">spacexai|grok-4-7|xhigh|reasoning|fallback-na|aa-v4.3.2|snapshot-2026-10-11</x:t>
        </x:is>
      </x:c>
      <x:c r="B670" t="inlineStr">
        <x:is>
          <x:t xml:space="preserve">spacexai|grok-4-7|xhigh|reasoning|fallback-na</x:t>
        </x:is>
      </x:c>
      <x:c r="C670" t="inlineStr">
        <x:is>
          <x:t xml:space="preserve">AA|v4.3.2</x:t>
        </x:is>
      </x:c>
      <x:c r="D670" t="n">
        <x:v>85</x:v>
      </x:c>
      <x:c r="E670" t="n">
        <x:v>50</x:v>
      </x:c>
      <x:c r="F670" t="n">
        <x:f>INDEX(Run_Metrics!$F:$F,D670)</x:f>
        <x:v>46</x:v>
      </x:c>
      <x:c r="G670" t="n">
        <x:f>INDEX(Run_Metrics!$G:$G,D670)</x:f>
        <x:v>1.99</x:v>
      </x:c>
      <x:c r="H670" t="str">
        <x:f>INDEX(Run_Metrics!$I:$I,D670)</x:f>
      </x:c>
      <x:c r="I670" t="n">
        <x:f>IF(F670="","",F670-(E670-1))</x:f>
        <x:v>-3</x:v>
      </x:c>
      <x:c r="J670" t="n">
        <x:f>IF(I670&gt;0,1,0)</x:f>
        <x:v>0</x:v>
      </x:c>
      <x:c r="K670" t="str">
        <x:f>IF(OR(J670=0,G670="",G670=0),"",I670/G670)</x:f>
      </x:c>
      <x:c r="L670" t="str">
        <x:f>IF(OR(J670=0,I670=0,G670=""),"",G670/I670)</x:f>
      </x:c>
      <x:c r="M670" t="str">
        <x:f>IF(OR(J670=0,G670="",H670="",G670=0,H670=0),"",I670/(G670*H670))</x:f>
      </x:c>
      <x:c r="N670" t="str">
        <x:f>IF(K670="","",K670/_xlfn.MAXIFS($K:$K,$E:$E,E670))</x:f>
      </x:c>
      <x:c r="O670" t="str">
        <x:f>IF(M670="","",M670/_xlfn.MAXIFS($M:$M,$E:$E,E670))</x:f>
      </x:c>
      <x:c r="P670" t="str">
        <x:f>IF(OR(N670="",O670=""),"",SQRT(N670*O670))</x:f>
      </x:c>
      <x:c r="Q670" t="str">
        <x:f>IF(OR(N670="",O670=""),"",N670^0.7*O670^0.3)</x:f>
      </x:c>
      <x:c r="R670" t="str">
        <x:f>IF(OR(N670="",O670=""),"",N670^0.3*O670^0.7)</x:f>
      </x:c>
    </x:row>
    <x:row r="671">
      <x:c r="A671" t="inlineStr">
        <x:is>
          <x:t xml:space="preserve">spacexai|grok-4-7|xhigh|reasoning|fallback-na|aa-v4.3.2|snapshot-2026-10-11</x:t>
        </x:is>
      </x:c>
      <x:c r="B671" t="inlineStr">
        <x:is>
          <x:t xml:space="preserve">spacexai|grok-4-7|xhigh|reasoning|fallback-na</x:t>
        </x:is>
      </x:c>
      <x:c r="C671" t="inlineStr">
        <x:is>
          <x:t xml:space="preserve">AA|v4.3.2</x:t>
        </x:is>
      </x:c>
      <x:c r="D671" t="n">
        <x:v>85</x:v>
      </x:c>
      <x:c r="E671" t="n">
        <x:v>52</x:v>
      </x:c>
      <x:c r="F671" t="n">
        <x:f>INDEX(Run_Metrics!$F:$F,D671)</x:f>
        <x:v>46</x:v>
      </x:c>
      <x:c r="G671" t="n">
        <x:f>INDEX(Run_Metrics!$G:$G,D671)</x:f>
        <x:v>1.99</x:v>
      </x:c>
      <x:c r="H671" t="str">
        <x:f>INDEX(Run_Metrics!$I:$I,D671)</x:f>
      </x:c>
      <x:c r="I671" t="n">
        <x:f>IF(F671="","",F671-(E671-1))</x:f>
        <x:v>-5</x:v>
      </x:c>
      <x:c r="J671" t="n">
        <x:f>IF(I671&gt;0,1,0)</x:f>
        <x:v>0</x:v>
      </x:c>
      <x:c r="K671" t="str">
        <x:f>IF(OR(J671=0,G671="",G671=0),"",I671/G671)</x:f>
      </x:c>
      <x:c r="L671" t="str">
        <x:f>IF(OR(J671=0,I671=0,G671=""),"",G671/I671)</x:f>
      </x:c>
      <x:c r="M671" t="str">
        <x:f>IF(OR(J671=0,G671="",H671="",G671=0,H671=0),"",I671/(G671*H671))</x:f>
      </x:c>
      <x:c r="N671" t="str">
        <x:f>IF(K671="","",K671/_xlfn.MAXIFS($K:$K,$E:$E,E671))</x:f>
      </x:c>
      <x:c r="O671" t="str">
        <x:f>IF(M671="","",M671/_xlfn.MAXIFS($M:$M,$E:$E,E671))</x:f>
      </x:c>
      <x:c r="P671" t="str">
        <x:f>IF(OR(N671="",O671=""),"",SQRT(N671*O671))</x:f>
      </x:c>
      <x:c r="Q671" t="str">
        <x:f>IF(OR(N671="",O671=""),"",N671^0.7*O671^0.3)</x:f>
      </x:c>
      <x:c r="R671" t="str">
        <x:f>IF(OR(N671="",O671=""),"",N671^0.3*O671^0.7)</x:f>
      </x:c>
    </x:row>
    <x:row r="672">
      <x:c r="A672" t="inlineStr">
        <x:is>
          <x:t xml:space="preserve">spacexai|grok-4-7|xhigh|reasoning|fallback-na|aa-v4.3.2|snapshot-2026-10-11</x:t>
        </x:is>
      </x:c>
      <x:c r="B672" t="inlineStr">
        <x:is>
          <x:t xml:space="preserve">spacexai|grok-4-7|xhigh|reasoning|fallback-na</x:t>
        </x:is>
      </x:c>
      <x:c r="C672" t="inlineStr">
        <x:is>
          <x:t xml:space="preserve">AA|v4.3.2</x:t>
        </x:is>
      </x:c>
      <x:c r="D672" t="n">
        <x:v>85</x:v>
      </x:c>
      <x:c r="E672" t="n">
        <x:v>65</x:v>
      </x:c>
      <x:c r="F672" t="n">
        <x:f>INDEX(Run_Metrics!$F:$F,D672)</x:f>
        <x:v>46</x:v>
      </x:c>
      <x:c r="G672" t="n">
        <x:f>INDEX(Run_Metrics!$G:$G,D672)</x:f>
        <x:v>1.99</x:v>
      </x:c>
      <x:c r="H672" t="str">
        <x:f>INDEX(Run_Metrics!$I:$I,D672)</x:f>
      </x:c>
      <x:c r="I672" t="n">
        <x:f>IF(F672="","",F672-(E672-1))</x:f>
        <x:v>-18</x:v>
      </x:c>
      <x:c r="J672" t="n">
        <x:f>IF(I672&gt;0,1,0)</x:f>
        <x:v>0</x:v>
      </x:c>
      <x:c r="K672" t="str">
        <x:f>IF(OR(J672=0,G672="",G672=0),"",I672/G672)</x:f>
      </x:c>
      <x:c r="L672" t="str">
        <x:f>IF(OR(J672=0,I672=0,G672=""),"",G672/I672)</x:f>
      </x:c>
      <x:c r="M672" t="str">
        <x:f>IF(OR(J672=0,G672="",H672="",G672=0,H672=0),"",I672/(G672*H672))</x:f>
      </x:c>
      <x:c r="N672" t="str">
        <x:f>IF(K672="","",K672/_xlfn.MAXIFS($K:$K,$E:$E,E672))</x:f>
      </x:c>
      <x:c r="O672" t="str">
        <x:f>IF(M672="","",M672/_xlfn.MAXIFS($M:$M,$E:$E,E672))</x:f>
      </x:c>
      <x:c r="P672" t="str">
        <x:f>IF(OR(N672="",O672=""),"",SQRT(N672*O672))</x:f>
      </x:c>
      <x:c r="Q672" t="str">
        <x:f>IF(OR(N672="",O672=""),"",N672^0.7*O672^0.3)</x:f>
      </x:c>
      <x:c r="R672" t="str">
        <x:f>IF(OR(N672="",O672=""),"",N672^0.3*O672^0.7)</x:f>
      </x:c>
    </x:row>
    <x:row r="673">
      <x:c r="A673" t="inlineStr">
        <x:is>
          <x:t xml:space="preserve">spacexai|grok-4-7|xhigh|reasoning|fallback-na|aa-v4.3.2|snapshot-2026-10-11</x:t>
        </x:is>
      </x:c>
      <x:c r="B673" t="inlineStr">
        <x:is>
          <x:t xml:space="preserve">spacexai|grok-4-7|xhigh|reasoning|fallback-na</x:t>
        </x:is>
      </x:c>
      <x:c r="C673" t="inlineStr">
        <x:is>
          <x:t xml:space="preserve">AA|v4.3.2</x:t>
        </x:is>
      </x:c>
      <x:c r="D673" t="n">
        <x:v>85</x:v>
      </x:c>
      <x:c r="E673" t="n">
        <x:v>80</x:v>
      </x:c>
      <x:c r="F673" t="n">
        <x:f>INDEX(Run_Metrics!$F:$F,D673)</x:f>
        <x:v>46</x:v>
      </x:c>
      <x:c r="G673" t="n">
        <x:f>INDEX(Run_Metrics!$G:$G,D673)</x:f>
        <x:v>1.99</x:v>
      </x:c>
      <x:c r="H673" t="str">
        <x:f>INDEX(Run_Metrics!$I:$I,D673)</x:f>
      </x:c>
      <x:c r="I673" t="n">
        <x:f>IF(F673="","",F673-(E673-1))</x:f>
        <x:v>-33</x:v>
      </x:c>
      <x:c r="J673" t="n">
        <x:f>IF(I673&gt;0,1,0)</x:f>
        <x:v>0</x:v>
      </x:c>
      <x:c r="K673" t="str">
        <x:f>IF(OR(J673=0,G673="",G673=0),"",I673/G673)</x:f>
      </x:c>
      <x:c r="L673" t="str">
        <x:f>IF(OR(J673=0,I673=0,G673=""),"",G673/I673)</x:f>
      </x:c>
      <x:c r="M673" t="str">
        <x:f>IF(OR(J673=0,G673="",H673="",G673=0,H673=0),"",I673/(G673*H673))</x:f>
      </x:c>
      <x:c r="N673" t="str">
        <x:f>IF(K673="","",K673/_xlfn.MAXIFS($K:$K,$E:$E,E673))</x:f>
      </x:c>
      <x:c r="O673" t="str">
        <x:f>IF(M673="","",M673/_xlfn.MAXIFS($M:$M,$E:$E,E673))</x:f>
      </x:c>
      <x:c r="P673" t="str">
        <x:f>IF(OR(N673="",O673=""),"",SQRT(N673*O673))</x:f>
      </x:c>
      <x:c r="Q673" t="str">
        <x:f>IF(OR(N673="",O673=""),"",N673^0.7*O673^0.3)</x:f>
      </x:c>
      <x:c r="R673" t="str">
        <x:f>IF(OR(N673="",O673=""),"",N673^0.3*O673^0.7)</x:f>
      </x:c>
    </x:row>
    <x:row r="674">
      <x:c r="A674" t="inlineStr">
        <x:is>
          <x:t xml:space="preserve">upstage|solar-mini-4|reasoning|reasoning|fallback-na|aa-v4.3.2|snapshot-2026-10-11</x:t>
        </x:is>
      </x:c>
      <x:c r="B674" t="inlineStr">
        <x:is>
          <x:t xml:space="preserve">upstage|solar-mini-4|reasoning|reasoning|fallback-na</x:t>
        </x:is>
      </x:c>
      <x:c r="C674" t="inlineStr">
        <x:is>
          <x:t xml:space="preserve">AA|v4.3.2</x:t>
        </x:is>
      </x:c>
      <x:c r="D674" t="n">
        <x:v>86</x:v>
      </x:c>
      <x:c r="E674" t="n">
        <x:v>20</x:v>
      </x:c>
      <x:c r="F674" t="n">
        <x:f>INDEX(Run_Metrics!$F:$F,D674)</x:f>
        <x:v>24</x:v>
      </x:c>
      <x:c r="G674" t="n">
        <x:f>INDEX(Run_Metrics!$G:$G,D674)</x:f>
        <x:v>1.99</x:v>
      </x:c>
      <x:c r="H674" t="str">
        <x:f>INDEX(Run_Metrics!$I:$I,D674)</x:f>
      </x:c>
      <x:c r="I674" t="n">
        <x:f>IF(F674="","",F674-(E674-1))</x:f>
        <x:v>5</x:v>
      </x:c>
      <x:c r="J674" t="n">
        <x:f>IF(I674&gt;0,1,0)</x:f>
        <x:v>1</x:v>
      </x:c>
      <x:c r="K674" t="n">
        <x:f>IF(OR(J674=0,G674="",G674=0),"",I674/G674)</x:f>
        <x:v>2.512562814070352</x:v>
      </x:c>
      <x:c r="L674" t="n">
        <x:f>IF(OR(J674=0,I674=0,G674=""),"",G674/I674)</x:f>
        <x:v>0.398</x:v>
      </x:c>
      <x:c r="M674" t="str">
        <x:f>IF(OR(J674=0,G674="",H674="",G674=0,H674=0),"",I674/(G674*H674))</x:f>
      </x:c>
      <x:c r="N674" t="n">
        <x:f>IF(K674="","",K674/_xlfn.MAXIFS($K:$K,$E:$E,E674))</x:f>
        <x:v>0.0037688442211055275</x:v>
      </x:c>
      <x:c r="O674" t="str">
        <x:f>IF(M674="","",M674/_xlfn.MAXIFS($M:$M,$E:$E,E674))</x:f>
      </x:c>
      <x:c r="P674" t="str">
        <x:f>IF(OR(N674="",O674=""),"",SQRT(N674*O674))</x:f>
      </x:c>
      <x:c r="Q674" t="str">
        <x:f>IF(OR(N674="",O674=""),"",N674^0.7*O674^0.3)</x:f>
      </x:c>
      <x:c r="R674" t="str">
        <x:f>IF(OR(N674="",O674=""),"",N674^0.3*O674^0.7)</x:f>
      </x:c>
    </x:row>
    <x:row r="675">
      <x:c r="A675" t="inlineStr">
        <x:is>
          <x:t xml:space="preserve">upstage|solar-mini-4|reasoning|reasoning|fallback-na|aa-v4.3.2|snapshot-2026-10-11</x:t>
        </x:is>
      </x:c>
      <x:c r="B675" t="inlineStr">
        <x:is>
          <x:t xml:space="preserve">upstage|solar-mini-4|reasoning|reasoning|fallback-na</x:t>
        </x:is>
      </x:c>
      <x:c r="C675" t="inlineStr">
        <x:is>
          <x:t xml:space="preserve">AA|v4.3.2</x:t>
        </x:is>
      </x:c>
      <x:c r="D675" t="n">
        <x:v>86</x:v>
      </x:c>
      <x:c r="E675" t="n">
        <x:v>30</x:v>
      </x:c>
      <x:c r="F675" t="n">
        <x:f>INDEX(Run_Metrics!$F:$F,D675)</x:f>
        <x:v>24</x:v>
      </x:c>
      <x:c r="G675" t="n">
        <x:f>INDEX(Run_Metrics!$G:$G,D675)</x:f>
        <x:v>1.99</x:v>
      </x:c>
      <x:c r="H675" t="str">
        <x:f>INDEX(Run_Metrics!$I:$I,D675)</x:f>
      </x:c>
      <x:c r="I675" t="n">
        <x:f>IF(F675="","",F675-(E675-1))</x:f>
        <x:v>-5</x:v>
      </x:c>
      <x:c r="J675" t="n">
        <x:f>IF(I675&gt;0,1,0)</x:f>
        <x:v>0</x:v>
      </x:c>
      <x:c r="K675" t="str">
        <x:f>IF(OR(J675=0,G675="",G675=0),"",I675/G675)</x:f>
      </x:c>
      <x:c r="L675" t="str">
        <x:f>IF(OR(J675=0,I675=0,G675=""),"",G675/I675)</x:f>
      </x:c>
      <x:c r="M675" t="str">
        <x:f>IF(OR(J675=0,G675="",H675="",G675=0,H675=0),"",I675/(G675*H675))</x:f>
      </x:c>
      <x:c r="N675" t="str">
        <x:f>IF(K675="","",K675/_xlfn.MAXIFS($K:$K,$E:$E,E675))</x:f>
      </x:c>
      <x:c r="O675" t="str">
        <x:f>IF(M675="","",M675/_xlfn.MAXIFS($M:$M,$E:$E,E675))</x:f>
      </x:c>
      <x:c r="P675" t="str">
        <x:f>IF(OR(N675="",O675=""),"",SQRT(N675*O675))</x:f>
      </x:c>
      <x:c r="Q675" t="str">
        <x:f>IF(OR(N675="",O675=""),"",N675^0.7*O675^0.3)</x:f>
      </x:c>
      <x:c r="R675" t="str">
        <x:f>IF(OR(N675="",O675=""),"",N675^0.3*O675^0.7)</x:f>
      </x:c>
    </x:row>
    <x:row r="676">
      <x:c r="A676" t="inlineStr">
        <x:is>
          <x:t xml:space="preserve">upstage|solar-mini-4|reasoning|reasoning|fallback-na|aa-v4.3.2|snapshot-2026-10-11</x:t>
        </x:is>
      </x:c>
      <x:c r="B676" t="inlineStr">
        <x:is>
          <x:t xml:space="preserve">upstage|solar-mini-4|reasoning|reasoning|fallback-na</x:t>
        </x:is>
      </x:c>
      <x:c r="C676" t="inlineStr">
        <x:is>
          <x:t xml:space="preserve">AA|v4.3.2</x:t>
        </x:is>
      </x:c>
      <x:c r="D676" t="n">
        <x:v>86</x:v>
      </x:c>
      <x:c r="E676" t="n">
        <x:v>40</x:v>
      </x:c>
      <x:c r="F676" t="n">
        <x:f>INDEX(Run_Metrics!$F:$F,D676)</x:f>
        <x:v>24</x:v>
      </x:c>
      <x:c r="G676" t="n">
        <x:f>INDEX(Run_Metrics!$G:$G,D676)</x:f>
        <x:v>1.99</x:v>
      </x:c>
      <x:c r="H676" t="str">
        <x:f>INDEX(Run_Metrics!$I:$I,D676)</x:f>
      </x:c>
      <x:c r="I676" t="n">
        <x:f>IF(F676="","",F676-(E676-1))</x:f>
        <x:v>-15</x:v>
      </x:c>
      <x:c r="J676" t="n">
        <x:f>IF(I676&gt;0,1,0)</x:f>
        <x:v>0</x:v>
      </x:c>
      <x:c r="K676" t="str">
        <x:f>IF(OR(J676=0,G676="",G676=0),"",I676/G676)</x:f>
      </x:c>
      <x:c r="L676" t="str">
        <x:f>IF(OR(J676=0,I676=0,G676=""),"",G676/I676)</x:f>
      </x:c>
      <x:c r="M676" t="str">
        <x:f>IF(OR(J676=0,G676="",H676="",G676=0,H676=0),"",I676/(G676*H676))</x:f>
      </x:c>
      <x:c r="N676" t="str">
        <x:f>IF(K676="","",K676/_xlfn.MAXIFS($K:$K,$E:$E,E676))</x:f>
      </x:c>
      <x:c r="O676" t="str">
        <x:f>IF(M676="","",M676/_xlfn.MAXIFS($M:$M,$E:$E,E676))</x:f>
      </x:c>
      <x:c r="P676" t="str">
        <x:f>IF(OR(N676="",O676=""),"",SQRT(N676*O676))</x:f>
      </x:c>
      <x:c r="Q676" t="str">
        <x:f>IF(OR(N676="",O676=""),"",N676^0.7*O676^0.3)</x:f>
      </x:c>
      <x:c r="R676" t="str">
        <x:f>IF(OR(N676="",O676=""),"",N676^0.3*O676^0.7)</x:f>
      </x:c>
    </x:row>
    <x:row r="677">
      <x:c r="A677" t="inlineStr">
        <x:is>
          <x:t xml:space="preserve">upstage|solar-mini-4|reasoning|reasoning|fallback-na|aa-v4.3.2|snapshot-2026-10-11</x:t>
        </x:is>
      </x:c>
      <x:c r="B677" t="inlineStr">
        <x:is>
          <x:t xml:space="preserve">upstage|solar-mini-4|reasoning|reasoning|fallback-na</x:t>
        </x:is>
      </x:c>
      <x:c r="C677" t="inlineStr">
        <x:is>
          <x:t xml:space="preserve">AA|v4.3.2</x:t>
        </x:is>
      </x:c>
      <x:c r="D677" t="n">
        <x:v>86</x:v>
      </x:c>
      <x:c r="E677" t="n">
        <x:v>45</x:v>
      </x:c>
      <x:c r="F677" t="n">
        <x:f>INDEX(Run_Metrics!$F:$F,D677)</x:f>
        <x:v>24</x:v>
      </x:c>
      <x:c r="G677" t="n">
        <x:f>INDEX(Run_Metrics!$G:$G,D677)</x:f>
        <x:v>1.99</x:v>
      </x:c>
      <x:c r="H677" t="str">
        <x:f>INDEX(Run_Metrics!$I:$I,D677)</x:f>
      </x:c>
      <x:c r="I677" t="n">
        <x:f>IF(F677="","",F677-(E677-1))</x:f>
        <x:v>-20</x:v>
      </x:c>
      <x:c r="J677" t="n">
        <x:f>IF(I677&gt;0,1,0)</x:f>
        <x:v>0</x:v>
      </x:c>
      <x:c r="K677" t="str">
        <x:f>IF(OR(J677=0,G677="",G677=0),"",I677/G677)</x:f>
      </x:c>
      <x:c r="L677" t="str">
        <x:f>IF(OR(J677=0,I677=0,G677=""),"",G677/I677)</x:f>
      </x:c>
      <x:c r="M677" t="str">
        <x:f>IF(OR(J677=0,G677="",H677="",G677=0,H677=0),"",I677/(G677*H677))</x:f>
      </x:c>
      <x:c r="N677" t="str">
        <x:f>IF(K677="","",K677/_xlfn.MAXIFS($K:$K,$E:$E,E677))</x:f>
      </x:c>
      <x:c r="O677" t="str">
        <x:f>IF(M677="","",M677/_xlfn.MAXIFS($M:$M,$E:$E,E677))</x:f>
      </x:c>
      <x:c r="P677" t="str">
        <x:f>IF(OR(N677="",O677=""),"",SQRT(N677*O677))</x:f>
      </x:c>
      <x:c r="Q677" t="str">
        <x:f>IF(OR(N677="",O677=""),"",N677^0.7*O677^0.3)</x:f>
      </x:c>
      <x:c r="R677" t="str">
        <x:f>IF(OR(N677="",O677=""),"",N677^0.3*O677^0.7)</x:f>
      </x:c>
    </x:row>
    <x:row r="678">
      <x:c r="A678" t="inlineStr">
        <x:is>
          <x:t xml:space="preserve">upstage|solar-mini-4|reasoning|reasoning|fallback-na|aa-v4.3.2|snapshot-2026-10-11</x:t>
        </x:is>
      </x:c>
      <x:c r="B678" t="inlineStr">
        <x:is>
          <x:t xml:space="preserve">upstage|solar-mini-4|reasoning|reasoning|fallback-na</x:t>
        </x:is>
      </x:c>
      <x:c r="C678" t="inlineStr">
        <x:is>
          <x:t xml:space="preserve">AA|v4.3.2</x:t>
        </x:is>
      </x:c>
      <x:c r="D678" t="n">
        <x:v>86</x:v>
      </x:c>
      <x:c r="E678" t="n">
        <x:v>50</x:v>
      </x:c>
      <x:c r="F678" t="n">
        <x:f>INDEX(Run_Metrics!$F:$F,D678)</x:f>
        <x:v>24</x:v>
      </x:c>
      <x:c r="G678" t="n">
        <x:f>INDEX(Run_Metrics!$G:$G,D678)</x:f>
        <x:v>1.99</x:v>
      </x:c>
      <x:c r="H678" t="str">
        <x:f>INDEX(Run_Metrics!$I:$I,D678)</x:f>
      </x:c>
      <x:c r="I678" t="n">
        <x:f>IF(F678="","",F678-(E678-1))</x:f>
        <x:v>-25</x:v>
      </x:c>
      <x:c r="J678" t="n">
        <x:f>IF(I678&gt;0,1,0)</x:f>
        <x:v>0</x:v>
      </x:c>
      <x:c r="K678" t="str">
        <x:f>IF(OR(J678=0,G678="",G678=0),"",I678/G678)</x:f>
      </x:c>
      <x:c r="L678" t="str">
        <x:f>IF(OR(J678=0,I678=0,G678=""),"",G678/I678)</x:f>
      </x:c>
      <x:c r="M678" t="str">
        <x:f>IF(OR(J678=0,G678="",H678="",G678=0,H678=0),"",I678/(G678*H678))</x:f>
      </x:c>
      <x:c r="N678" t="str">
        <x:f>IF(K678="","",K678/_xlfn.MAXIFS($K:$K,$E:$E,E678))</x:f>
      </x:c>
      <x:c r="O678" t="str">
        <x:f>IF(M678="","",M678/_xlfn.MAXIFS($M:$M,$E:$E,E678))</x:f>
      </x:c>
      <x:c r="P678" t="str">
        <x:f>IF(OR(N678="",O678=""),"",SQRT(N678*O678))</x:f>
      </x:c>
      <x:c r="Q678" t="str">
        <x:f>IF(OR(N678="",O678=""),"",N678^0.7*O678^0.3)</x:f>
      </x:c>
      <x:c r="R678" t="str">
        <x:f>IF(OR(N678="",O678=""),"",N678^0.3*O678^0.7)</x:f>
      </x:c>
    </x:row>
    <x:row r="679">
      <x:c r="A679" t="inlineStr">
        <x:is>
          <x:t xml:space="preserve">upstage|solar-mini-4|reasoning|reasoning|fallback-na|aa-v4.3.2|snapshot-2026-10-11</x:t>
        </x:is>
      </x:c>
      <x:c r="B679" t="inlineStr">
        <x:is>
          <x:t xml:space="preserve">upstage|solar-mini-4|reasoning|reasoning|fallback-na</x:t>
        </x:is>
      </x:c>
      <x:c r="C679" t="inlineStr">
        <x:is>
          <x:t xml:space="preserve">AA|v4.3.2</x:t>
        </x:is>
      </x:c>
      <x:c r="D679" t="n">
        <x:v>86</x:v>
      </x:c>
      <x:c r="E679" t="n">
        <x:v>52</x:v>
      </x:c>
      <x:c r="F679" t="n">
        <x:f>INDEX(Run_Metrics!$F:$F,D679)</x:f>
        <x:v>24</x:v>
      </x:c>
      <x:c r="G679" t="n">
        <x:f>INDEX(Run_Metrics!$G:$G,D679)</x:f>
        <x:v>1.99</x:v>
      </x:c>
      <x:c r="H679" t="str">
        <x:f>INDEX(Run_Metrics!$I:$I,D679)</x:f>
      </x:c>
      <x:c r="I679" t="n">
        <x:f>IF(F679="","",F679-(E679-1))</x:f>
        <x:v>-27</x:v>
      </x:c>
      <x:c r="J679" t="n">
        <x:f>IF(I679&gt;0,1,0)</x:f>
        <x:v>0</x:v>
      </x:c>
      <x:c r="K679" t="str">
        <x:f>IF(OR(J679=0,G679="",G679=0),"",I679/G679)</x:f>
      </x:c>
      <x:c r="L679" t="str">
        <x:f>IF(OR(J679=0,I679=0,G679=""),"",G679/I679)</x:f>
      </x:c>
      <x:c r="M679" t="str">
        <x:f>IF(OR(J679=0,G679="",H679="",G679=0,H679=0),"",I679/(G679*H679))</x:f>
      </x:c>
      <x:c r="N679" t="str">
        <x:f>IF(K679="","",K679/_xlfn.MAXIFS($K:$K,$E:$E,E679))</x:f>
      </x:c>
      <x:c r="O679" t="str">
        <x:f>IF(M679="","",M679/_xlfn.MAXIFS($M:$M,$E:$E,E679))</x:f>
      </x:c>
      <x:c r="P679" t="str">
        <x:f>IF(OR(N679="",O679=""),"",SQRT(N679*O679))</x:f>
      </x:c>
      <x:c r="Q679" t="str">
        <x:f>IF(OR(N679="",O679=""),"",N679^0.7*O679^0.3)</x:f>
      </x:c>
      <x:c r="R679" t="str">
        <x:f>IF(OR(N679="",O679=""),"",N679^0.3*O679^0.7)</x:f>
      </x:c>
    </x:row>
    <x:row r="680">
      <x:c r="A680" t="inlineStr">
        <x:is>
          <x:t xml:space="preserve">upstage|solar-mini-4|reasoning|reasoning|fallback-na|aa-v4.3.2|snapshot-2026-10-11</x:t>
        </x:is>
      </x:c>
      <x:c r="B680" t="inlineStr">
        <x:is>
          <x:t xml:space="preserve">upstage|solar-mini-4|reasoning|reasoning|fallback-na</x:t>
        </x:is>
      </x:c>
      <x:c r="C680" t="inlineStr">
        <x:is>
          <x:t xml:space="preserve">AA|v4.3.2</x:t>
        </x:is>
      </x:c>
      <x:c r="D680" t="n">
        <x:v>86</x:v>
      </x:c>
      <x:c r="E680" t="n">
        <x:v>65</x:v>
      </x:c>
      <x:c r="F680" t="n">
        <x:f>INDEX(Run_Metrics!$F:$F,D680)</x:f>
        <x:v>24</x:v>
      </x:c>
      <x:c r="G680" t="n">
        <x:f>INDEX(Run_Metrics!$G:$G,D680)</x:f>
        <x:v>1.99</x:v>
      </x:c>
      <x:c r="H680" t="str">
        <x:f>INDEX(Run_Metrics!$I:$I,D680)</x:f>
      </x:c>
      <x:c r="I680" t="n">
        <x:f>IF(F680="","",F680-(E680-1))</x:f>
        <x:v>-40</x:v>
      </x:c>
      <x:c r="J680" t="n">
        <x:f>IF(I680&gt;0,1,0)</x:f>
        <x:v>0</x:v>
      </x:c>
      <x:c r="K680" t="str">
        <x:f>IF(OR(J680=0,G680="",G680=0),"",I680/G680)</x:f>
      </x:c>
      <x:c r="L680" t="str">
        <x:f>IF(OR(J680=0,I680=0,G680=""),"",G680/I680)</x:f>
      </x:c>
      <x:c r="M680" t="str">
        <x:f>IF(OR(J680=0,G680="",H680="",G680=0,H680=0),"",I680/(G680*H680))</x:f>
      </x:c>
      <x:c r="N680" t="str">
        <x:f>IF(K680="","",K680/_xlfn.MAXIFS($K:$K,$E:$E,E680))</x:f>
      </x:c>
      <x:c r="O680" t="str">
        <x:f>IF(M680="","",M680/_xlfn.MAXIFS($M:$M,$E:$E,E680))</x:f>
      </x:c>
      <x:c r="P680" t="str">
        <x:f>IF(OR(N680="",O680=""),"",SQRT(N680*O680))</x:f>
      </x:c>
      <x:c r="Q680" t="str">
        <x:f>IF(OR(N680="",O680=""),"",N680^0.7*O680^0.3)</x:f>
      </x:c>
      <x:c r="R680" t="str">
        <x:f>IF(OR(N680="",O680=""),"",N680^0.3*O680^0.7)</x:f>
      </x:c>
    </x:row>
    <x:row r="681">
      <x:c r="A681" t="inlineStr">
        <x:is>
          <x:t xml:space="preserve">upstage|solar-mini-4|reasoning|reasoning|fallback-na|aa-v4.3.2|snapshot-2026-10-11</x:t>
        </x:is>
      </x:c>
      <x:c r="B681" t="inlineStr">
        <x:is>
          <x:t xml:space="preserve">upstage|solar-mini-4|reasoning|reasoning|fallback-na</x:t>
        </x:is>
      </x:c>
      <x:c r="C681" t="inlineStr">
        <x:is>
          <x:t xml:space="preserve">AA|v4.3.2</x:t>
        </x:is>
      </x:c>
      <x:c r="D681" t="n">
        <x:v>86</x:v>
      </x:c>
      <x:c r="E681" t="n">
        <x:v>80</x:v>
      </x:c>
      <x:c r="F681" t="n">
        <x:f>INDEX(Run_Metrics!$F:$F,D681)</x:f>
        <x:v>24</x:v>
      </x:c>
      <x:c r="G681" t="n">
        <x:f>INDEX(Run_Metrics!$G:$G,D681)</x:f>
        <x:v>1.99</x:v>
      </x:c>
      <x:c r="H681" t="str">
        <x:f>INDEX(Run_Metrics!$I:$I,D681)</x:f>
      </x:c>
      <x:c r="I681" t="n">
        <x:f>IF(F681="","",F681-(E681-1))</x:f>
        <x:v>-55</x:v>
      </x:c>
      <x:c r="J681" t="n">
        <x:f>IF(I681&gt;0,1,0)</x:f>
        <x:v>0</x:v>
      </x:c>
      <x:c r="K681" t="str">
        <x:f>IF(OR(J681=0,G681="",G681=0),"",I681/G681)</x:f>
      </x:c>
      <x:c r="L681" t="str">
        <x:f>IF(OR(J681=0,I681=0,G681=""),"",G681/I681)</x:f>
      </x:c>
      <x:c r="M681" t="str">
        <x:f>IF(OR(J681=0,G681="",H681="",G681=0,H681=0),"",I681/(G681*H681))</x:f>
      </x:c>
      <x:c r="N681" t="str">
        <x:f>IF(K681="","",K681/_xlfn.MAXIFS($K:$K,$E:$E,E681))</x:f>
      </x:c>
      <x:c r="O681" t="str">
        <x:f>IF(M681="","",M681/_xlfn.MAXIFS($M:$M,$E:$E,E681))</x:f>
      </x:c>
      <x:c r="P681" t="str">
        <x:f>IF(OR(N681="",O681=""),"",SQRT(N681*O681))</x:f>
      </x:c>
      <x:c r="Q681" t="str">
        <x:f>IF(OR(N681="",O681=""),"",N681^0.7*O681^0.3)</x:f>
      </x:c>
      <x:c r="R681" t="str">
        <x:f>IF(OR(N681="",O681=""),"",N681^0.3*O681^0.7)</x:f>
      </x:c>
    </x:row>
    <x:row r="682">
      <x:c r="A682" t="inlineStr">
        <x:is>
          <x:t xml:space="preserve">google|gemini-4-argon|high|reasoning|fallback-na|aa-v4.3.2|snapshot-2026-10-11</x:t>
        </x:is>
      </x:c>
      <x:c r="B682" t="inlineStr">
        <x:is>
          <x:t xml:space="preserve">google|gemini-4-argon|high|reasoning|fallback-na</x:t>
        </x:is>
      </x:c>
      <x:c r="C682" t="inlineStr">
        <x:is>
          <x:t xml:space="preserve">AA|v4.3.2</x:t>
        </x:is>
      </x:c>
      <x:c r="D682" t="n">
        <x:v>87</x:v>
      </x:c>
      <x:c r="E682" t="n">
        <x:v>20</x:v>
      </x:c>
      <x:c r="F682" t="n">
        <x:f>INDEX(Run_Metrics!$F:$F,D682)</x:f>
        <x:v>53</x:v>
      </x:c>
      <x:c r="G682" t="n">
        <x:f>INDEX(Run_Metrics!$G:$G,D682)</x:f>
        <x:v>1.99</x:v>
      </x:c>
      <x:c r="H682" t="str">
        <x:f>INDEX(Run_Metrics!$I:$I,D682)</x:f>
      </x:c>
      <x:c r="I682" t="n">
        <x:f>IF(F682="","",F682-(E682-1))</x:f>
        <x:v>34</x:v>
      </x:c>
      <x:c r="J682" t="n">
        <x:f>IF(I682&gt;0,1,0)</x:f>
        <x:v>1</x:v>
      </x:c>
      <x:c r="K682" t="n">
        <x:f>IF(OR(J682=0,G682="",G682=0),"",I682/G682)</x:f>
        <x:v>17.08542713567839</x:v>
      </x:c>
      <x:c r="L682" t="n">
        <x:f>IF(OR(J682=0,I682=0,G682=""),"",G682/I682)</x:f>
        <x:v>0.058529411764705885</x:v>
      </x:c>
      <x:c r="M682" t="str">
        <x:f>IF(OR(J682=0,G682="",H682="",G682=0,H682=0),"",I682/(G682*H682))</x:f>
      </x:c>
      <x:c r="N682" t="n">
        <x:f>IF(K682="","",K682/_xlfn.MAXIFS($K:$K,$E:$E,E682))</x:f>
        <x:v>0.02562814070351758</x:v>
      </x:c>
      <x:c r="O682" t="str">
        <x:f>IF(M682="","",M682/_xlfn.MAXIFS($M:$M,$E:$E,E682))</x:f>
      </x:c>
      <x:c r="P682" t="str">
        <x:f>IF(OR(N682="",O682=""),"",SQRT(N682*O682))</x:f>
      </x:c>
      <x:c r="Q682" t="str">
        <x:f>IF(OR(N682="",O682=""),"",N682^0.7*O682^0.3)</x:f>
      </x:c>
      <x:c r="R682" t="str">
        <x:f>IF(OR(N682="",O682=""),"",N682^0.3*O682^0.7)</x:f>
      </x:c>
    </x:row>
    <x:row r="683">
      <x:c r="A683" t="inlineStr">
        <x:is>
          <x:t xml:space="preserve">google|gemini-4-argon|high|reasoning|fallback-na|aa-v4.3.2|snapshot-2026-10-11</x:t>
        </x:is>
      </x:c>
      <x:c r="B683" t="inlineStr">
        <x:is>
          <x:t xml:space="preserve">google|gemini-4-argon|high|reasoning|fallback-na</x:t>
        </x:is>
      </x:c>
      <x:c r="C683" t="inlineStr">
        <x:is>
          <x:t xml:space="preserve">AA|v4.3.2</x:t>
        </x:is>
      </x:c>
      <x:c r="D683" t="n">
        <x:v>87</x:v>
      </x:c>
      <x:c r="E683" t="n">
        <x:v>30</x:v>
      </x:c>
      <x:c r="F683" t="n">
        <x:f>INDEX(Run_Metrics!$F:$F,D683)</x:f>
        <x:v>53</x:v>
      </x:c>
      <x:c r="G683" t="n">
        <x:f>INDEX(Run_Metrics!$G:$G,D683)</x:f>
        <x:v>1.99</x:v>
      </x:c>
      <x:c r="H683" t="str">
        <x:f>INDEX(Run_Metrics!$I:$I,D683)</x:f>
      </x:c>
      <x:c r="I683" t="n">
        <x:f>IF(F683="","",F683-(E683-1))</x:f>
        <x:v>24</x:v>
      </x:c>
      <x:c r="J683" t="n">
        <x:f>IF(I683&gt;0,1,0)</x:f>
        <x:v>1</x:v>
      </x:c>
      <x:c r="K683" t="n">
        <x:f>IF(OR(J683=0,G683="",G683=0),"",I683/G683)</x:f>
        <x:v>12.06030150753769</x:v>
      </x:c>
      <x:c r="L683" t="n">
        <x:f>IF(OR(J683=0,I683=0,G683=""),"",G683/I683)</x:f>
        <x:v>0.08291666666666667</x:v>
      </x:c>
      <x:c r="M683" t="str">
        <x:f>IF(OR(J683=0,G683="",H683="",G683=0,H683=0),"",I683/(G683*H683))</x:f>
      </x:c>
      <x:c r="N683" t="n">
        <x:f>IF(K683="","",K683/_xlfn.MAXIFS($K:$K,$E:$E,E683))</x:f>
        <x:v>0.08040201005025126</x:v>
      </x:c>
      <x:c r="O683" t="str">
        <x:f>IF(M683="","",M683/_xlfn.MAXIFS($M:$M,$E:$E,E683))</x:f>
      </x:c>
      <x:c r="P683" t="str">
        <x:f>IF(OR(N683="",O683=""),"",SQRT(N683*O683))</x:f>
      </x:c>
      <x:c r="Q683" t="str">
        <x:f>IF(OR(N683="",O683=""),"",N683^0.7*O683^0.3)</x:f>
      </x:c>
      <x:c r="R683" t="str">
        <x:f>IF(OR(N683="",O683=""),"",N683^0.3*O683^0.7)</x:f>
      </x:c>
    </x:row>
    <x:row r="684">
      <x:c r="A684" t="inlineStr">
        <x:is>
          <x:t xml:space="preserve">google|gemini-4-argon|high|reasoning|fallback-na|aa-v4.3.2|snapshot-2026-10-11</x:t>
        </x:is>
      </x:c>
      <x:c r="B684" t="inlineStr">
        <x:is>
          <x:t xml:space="preserve">google|gemini-4-argon|high|reasoning|fallback-na</x:t>
        </x:is>
      </x:c>
      <x:c r="C684" t="inlineStr">
        <x:is>
          <x:t xml:space="preserve">AA|v4.3.2</x:t>
        </x:is>
      </x:c>
      <x:c r="D684" t="n">
        <x:v>87</x:v>
      </x:c>
      <x:c r="E684" t="n">
        <x:v>40</x:v>
      </x:c>
      <x:c r="F684" t="n">
        <x:f>INDEX(Run_Metrics!$F:$F,D684)</x:f>
        <x:v>53</x:v>
      </x:c>
      <x:c r="G684" t="n">
        <x:f>INDEX(Run_Metrics!$G:$G,D684)</x:f>
        <x:v>1.99</x:v>
      </x:c>
      <x:c r="H684" t="str">
        <x:f>INDEX(Run_Metrics!$I:$I,D684)</x:f>
      </x:c>
      <x:c r="I684" t="n">
        <x:f>IF(F684="","",F684-(E684-1))</x:f>
        <x:v>14</x:v>
      </x:c>
      <x:c r="J684" t="n">
        <x:f>IF(I684&gt;0,1,0)</x:f>
        <x:v>1</x:v>
      </x:c>
      <x:c r="K684" t="n">
        <x:f>IF(OR(J684=0,G684="",G684=0),"",I684/G684)</x:f>
        <x:v>7.035175879396985</x:v>
      </x:c>
      <x:c r="L684" t="n">
        <x:f>IF(OR(J684=0,I684=0,G684=""),"",G684/I684)</x:f>
        <x:v>0.14214285714285715</x:v>
      </x:c>
      <x:c r="M684" t="str">
        <x:f>IF(OR(J684=0,G684="",H684="",G684=0,H684=0),"",I684/(G684*H684))</x:f>
      </x:c>
      <x:c r="N684" t="n">
        <x:f>IF(K684="","",K684/_xlfn.MAXIFS($K:$K,$E:$E,E684))</x:f>
        <x:v>0.1306532663316583</x:v>
      </x:c>
      <x:c r="O684" t="str">
        <x:f>IF(M684="","",M684/_xlfn.MAXIFS($M:$M,$E:$E,E684))</x:f>
      </x:c>
      <x:c r="P684" t="str">
        <x:f>IF(OR(N684="",O684=""),"",SQRT(N684*O684))</x:f>
      </x:c>
      <x:c r="Q684" t="str">
        <x:f>IF(OR(N684="",O684=""),"",N684^0.7*O684^0.3)</x:f>
      </x:c>
      <x:c r="R684" t="str">
        <x:f>IF(OR(N684="",O684=""),"",N684^0.3*O684^0.7)</x:f>
      </x:c>
    </x:row>
    <x:row r="685">
      <x:c r="A685" t="inlineStr">
        <x:is>
          <x:t xml:space="preserve">google|gemini-4-argon|high|reasoning|fallback-na|aa-v4.3.2|snapshot-2026-10-11</x:t>
        </x:is>
      </x:c>
      <x:c r="B685" t="inlineStr">
        <x:is>
          <x:t xml:space="preserve">google|gemini-4-argon|high|reasoning|fallback-na</x:t>
        </x:is>
      </x:c>
      <x:c r="C685" t="inlineStr">
        <x:is>
          <x:t xml:space="preserve">AA|v4.3.2</x:t>
        </x:is>
      </x:c>
      <x:c r="D685" t="n">
        <x:v>87</x:v>
      </x:c>
      <x:c r="E685" t="n">
        <x:v>45</x:v>
      </x:c>
      <x:c r="F685" t="n">
        <x:f>INDEX(Run_Metrics!$F:$F,D685)</x:f>
        <x:v>53</x:v>
      </x:c>
      <x:c r="G685" t="n">
        <x:f>INDEX(Run_Metrics!$G:$G,D685)</x:f>
        <x:v>1.99</x:v>
      </x:c>
      <x:c r="H685" t="str">
        <x:f>INDEX(Run_Metrics!$I:$I,D685)</x:f>
      </x:c>
      <x:c r="I685" t="n">
        <x:f>IF(F685="","",F685-(E685-1))</x:f>
        <x:v>9</x:v>
      </x:c>
      <x:c r="J685" t="n">
        <x:f>IF(I685&gt;0,1,0)</x:f>
        <x:v>1</x:v>
      </x:c>
      <x:c r="K685" t="n">
        <x:f>IF(OR(J685=0,G685="",G685=0),"",I685/G685)</x:f>
        <x:v>4.522613065326633</x:v>
      </x:c>
      <x:c r="L685" t="n">
        <x:f>IF(OR(J685=0,I685=0,G685=""),"",G685/I685)</x:f>
        <x:v>0.22111111111111112</x:v>
      </x:c>
      <x:c r="M685" t="str">
        <x:f>IF(OR(J685=0,G685="",H685="",G685=0,H685=0),"",I685/(G685*H685))</x:f>
      </x:c>
      <x:c r="N685" t="n">
        <x:f>IF(K685="","",K685/_xlfn.MAXIFS($K:$K,$E:$E,E685))</x:f>
        <x:v>0.23743718592964821</x:v>
      </x:c>
      <x:c r="O685" t="str">
        <x:f>IF(M685="","",M685/_xlfn.MAXIFS($M:$M,$E:$E,E685))</x:f>
      </x:c>
      <x:c r="P685" t="str">
        <x:f>IF(OR(N685="",O685=""),"",SQRT(N685*O685))</x:f>
      </x:c>
      <x:c r="Q685" t="str">
        <x:f>IF(OR(N685="",O685=""),"",N685^0.7*O685^0.3)</x:f>
      </x:c>
      <x:c r="R685" t="str">
        <x:f>IF(OR(N685="",O685=""),"",N685^0.3*O685^0.7)</x:f>
      </x:c>
    </x:row>
    <x:row r="686">
      <x:c r="A686" t="inlineStr">
        <x:is>
          <x:t xml:space="preserve">google|gemini-4-argon|high|reasoning|fallback-na|aa-v4.3.2|snapshot-2026-10-11</x:t>
        </x:is>
      </x:c>
      <x:c r="B686" t="inlineStr">
        <x:is>
          <x:t xml:space="preserve">google|gemini-4-argon|high|reasoning|fallback-na</x:t>
        </x:is>
      </x:c>
      <x:c r="C686" t="inlineStr">
        <x:is>
          <x:t xml:space="preserve">AA|v4.3.2</x:t>
        </x:is>
      </x:c>
      <x:c r="D686" t="n">
        <x:v>87</x:v>
      </x:c>
      <x:c r="E686" t="n">
        <x:v>50</x:v>
      </x:c>
      <x:c r="F686" t="n">
        <x:f>INDEX(Run_Metrics!$F:$F,D686)</x:f>
        <x:v>53</x:v>
      </x:c>
      <x:c r="G686" t="n">
        <x:f>INDEX(Run_Metrics!$G:$G,D686)</x:f>
        <x:v>1.99</x:v>
      </x:c>
      <x:c r="H686" t="str">
        <x:f>INDEX(Run_Metrics!$I:$I,D686)</x:f>
      </x:c>
      <x:c r="I686" t="n">
        <x:f>IF(F686="","",F686-(E686-1))</x:f>
        <x:v>4</x:v>
      </x:c>
      <x:c r="J686" t="n">
        <x:f>IF(I686&gt;0,1,0)</x:f>
        <x:v>1</x:v>
      </x:c>
      <x:c r="K686" t="n">
        <x:f>IF(OR(J686=0,G686="",G686=0),"",I686/G686)</x:f>
        <x:v>2.0100502512562812</x:v>
      </x:c>
      <x:c r="L686" t="n">
        <x:f>IF(OR(J686=0,I686=0,G686=""),"",G686/I686)</x:f>
        <x:v>0.4975</x:v>
      </x:c>
      <x:c r="M686" t="str">
        <x:f>IF(OR(J686=0,G686="",H686="",G686=0,H686=0),"",I686/(G686*H686))</x:f>
      </x:c>
      <x:c r="N686" t="n">
        <x:f>IF(K686="","",K686/_xlfn.MAXIFS($K:$K,$E:$E,E686))</x:f>
        <x:v>0.39195979899497485</x:v>
      </x:c>
      <x:c r="O686" t="str">
        <x:f>IF(M686="","",M686/_xlfn.MAXIFS($M:$M,$E:$E,E686))</x:f>
      </x:c>
      <x:c r="P686" t="str">
        <x:f>IF(OR(N686="",O686=""),"",SQRT(N686*O686))</x:f>
      </x:c>
      <x:c r="Q686" t="str">
        <x:f>IF(OR(N686="",O686=""),"",N686^0.7*O686^0.3)</x:f>
      </x:c>
      <x:c r="R686" t="str">
        <x:f>IF(OR(N686="",O686=""),"",N686^0.3*O686^0.7)</x:f>
      </x:c>
    </x:row>
    <x:row r="687">
      <x:c r="A687" t="inlineStr">
        <x:is>
          <x:t xml:space="preserve">google|gemini-4-argon|high|reasoning|fallback-na|aa-v4.3.2|snapshot-2026-10-11</x:t>
        </x:is>
      </x:c>
      <x:c r="B687" t="inlineStr">
        <x:is>
          <x:t xml:space="preserve">google|gemini-4-argon|high|reasoning|fallback-na</x:t>
        </x:is>
      </x:c>
      <x:c r="C687" t="inlineStr">
        <x:is>
          <x:t xml:space="preserve">AA|v4.3.2</x:t>
        </x:is>
      </x:c>
      <x:c r="D687" t="n">
        <x:v>87</x:v>
      </x:c>
      <x:c r="E687" t="n">
        <x:v>52</x:v>
      </x:c>
      <x:c r="F687" t="n">
        <x:f>INDEX(Run_Metrics!$F:$F,D687)</x:f>
        <x:v>53</x:v>
      </x:c>
      <x:c r="G687" t="n">
        <x:f>INDEX(Run_Metrics!$G:$G,D687)</x:f>
        <x:v>1.99</x:v>
      </x:c>
      <x:c r="H687" t="str">
        <x:f>INDEX(Run_Metrics!$I:$I,D687)</x:f>
      </x:c>
      <x:c r="I687" t="n">
        <x:f>IF(F687="","",F687-(E687-1))</x:f>
        <x:v>2</x:v>
      </x:c>
      <x:c r="J687" t="n">
        <x:f>IF(I687&gt;0,1,0)</x:f>
        <x:v>1</x:v>
      </x:c>
      <x:c r="K687" t="n">
        <x:f>IF(OR(J687=0,G687="",G687=0),"",I687/G687)</x:f>
        <x:v>1.0050251256281406</x:v>
      </x:c>
      <x:c r="L687" t="n">
        <x:f>IF(OR(J687=0,I687=0,G687=""),"",G687/I687)</x:f>
        <x:v>0.995</x:v>
      </x:c>
      <x:c r="M687" t="str">
        <x:f>IF(OR(J687=0,G687="",H687="",G687=0,H687=0),"",I687/(G687*H687))</x:f>
      </x:c>
      <x:c r="N687" t="n">
        <x:f>IF(K687="","",K687/_xlfn.MAXIFS($K:$K,$E:$E,E687))</x:f>
        <x:v>0.609715242881072</x:v>
      </x:c>
      <x:c r="O687" t="str">
        <x:f>IF(M687="","",M687/_xlfn.MAXIFS($M:$M,$E:$E,E687))</x:f>
      </x:c>
      <x:c r="P687" t="str">
        <x:f>IF(OR(N687="",O687=""),"",SQRT(N687*O687))</x:f>
      </x:c>
      <x:c r="Q687" t="str">
        <x:f>IF(OR(N687="",O687=""),"",N687^0.7*O687^0.3)</x:f>
      </x:c>
      <x:c r="R687" t="str">
        <x:f>IF(OR(N687="",O687=""),"",N687^0.3*O687^0.7)</x:f>
      </x:c>
    </x:row>
    <x:row r="688">
      <x:c r="A688" t="inlineStr">
        <x:is>
          <x:t xml:space="preserve">google|gemini-4-argon|high|reasoning|fallback-na|aa-v4.3.2|snapshot-2026-10-11</x:t>
        </x:is>
      </x:c>
      <x:c r="B688" t="inlineStr">
        <x:is>
          <x:t xml:space="preserve">google|gemini-4-argon|high|reasoning|fallback-na</x:t>
        </x:is>
      </x:c>
      <x:c r="C688" t="inlineStr">
        <x:is>
          <x:t xml:space="preserve">AA|v4.3.2</x:t>
        </x:is>
      </x:c>
      <x:c r="D688" t="n">
        <x:v>87</x:v>
      </x:c>
      <x:c r="E688" t="n">
        <x:v>65</x:v>
      </x:c>
      <x:c r="F688" t="n">
        <x:f>INDEX(Run_Metrics!$F:$F,D688)</x:f>
        <x:v>53</x:v>
      </x:c>
      <x:c r="G688" t="n">
        <x:f>INDEX(Run_Metrics!$G:$G,D688)</x:f>
        <x:v>1.99</x:v>
      </x:c>
      <x:c r="H688" t="str">
        <x:f>INDEX(Run_Metrics!$I:$I,D688)</x:f>
      </x:c>
      <x:c r="I688" t="n">
        <x:f>IF(F688="","",F688-(E688-1))</x:f>
        <x:v>-11</x:v>
      </x:c>
      <x:c r="J688" t="n">
        <x:f>IF(I688&gt;0,1,0)</x:f>
        <x:v>0</x:v>
      </x:c>
      <x:c r="K688" t="str">
        <x:f>IF(OR(J688=0,G688="",G688=0),"",I688/G688)</x:f>
      </x:c>
      <x:c r="L688" t="str">
        <x:f>IF(OR(J688=0,I688=0,G688=""),"",G688/I688)</x:f>
      </x:c>
      <x:c r="M688" t="str">
        <x:f>IF(OR(J688=0,G688="",H688="",G688=0,H688=0),"",I688/(G688*H688))</x:f>
      </x:c>
      <x:c r="N688" t="str">
        <x:f>IF(K688="","",K688/_xlfn.MAXIFS($K:$K,$E:$E,E688))</x:f>
      </x:c>
      <x:c r="O688" t="str">
        <x:f>IF(M688="","",M688/_xlfn.MAXIFS($M:$M,$E:$E,E688))</x:f>
      </x:c>
      <x:c r="P688" t="str">
        <x:f>IF(OR(N688="",O688=""),"",SQRT(N688*O688))</x:f>
      </x:c>
      <x:c r="Q688" t="str">
        <x:f>IF(OR(N688="",O688=""),"",N688^0.7*O688^0.3)</x:f>
      </x:c>
      <x:c r="R688" t="str">
        <x:f>IF(OR(N688="",O688=""),"",N688^0.3*O688^0.7)</x:f>
      </x:c>
    </x:row>
    <x:row r="689">
      <x:c r="A689" t="inlineStr">
        <x:is>
          <x:t xml:space="preserve">google|gemini-4-argon|high|reasoning|fallback-na|aa-v4.3.2|snapshot-2026-10-11</x:t>
        </x:is>
      </x:c>
      <x:c r="B689" t="inlineStr">
        <x:is>
          <x:t xml:space="preserve">google|gemini-4-argon|high|reasoning|fallback-na</x:t>
        </x:is>
      </x:c>
      <x:c r="C689" t="inlineStr">
        <x:is>
          <x:t xml:space="preserve">AA|v4.3.2</x:t>
        </x:is>
      </x:c>
      <x:c r="D689" t="n">
        <x:v>87</x:v>
      </x:c>
      <x:c r="E689" t="n">
        <x:v>80</x:v>
      </x:c>
      <x:c r="F689" t="n">
        <x:f>INDEX(Run_Metrics!$F:$F,D689)</x:f>
        <x:v>53</x:v>
      </x:c>
      <x:c r="G689" t="n">
        <x:f>INDEX(Run_Metrics!$G:$G,D689)</x:f>
        <x:v>1.99</x:v>
      </x:c>
      <x:c r="H689" t="str">
        <x:f>INDEX(Run_Metrics!$I:$I,D689)</x:f>
      </x:c>
      <x:c r="I689" t="n">
        <x:f>IF(F689="","",F689-(E689-1))</x:f>
        <x:v>-26</x:v>
      </x:c>
      <x:c r="J689" t="n">
        <x:f>IF(I689&gt;0,1,0)</x:f>
        <x:v>0</x:v>
      </x:c>
      <x:c r="K689" t="str">
        <x:f>IF(OR(J689=0,G689="",G689=0),"",I689/G689)</x:f>
      </x:c>
      <x:c r="L689" t="str">
        <x:f>IF(OR(J689=0,I689=0,G689=""),"",G689/I689)</x:f>
      </x:c>
      <x:c r="M689" t="str">
        <x:f>IF(OR(J689=0,G689="",H689="",G689=0,H689=0),"",I689/(G689*H689))</x:f>
      </x:c>
      <x:c r="N689" t="str">
        <x:f>IF(K689="","",K689/_xlfn.MAXIFS($K:$K,$E:$E,E689))</x:f>
      </x:c>
      <x:c r="O689" t="str">
        <x:f>IF(M689="","",M689/_xlfn.MAXIFS($M:$M,$E:$E,E689))</x:f>
      </x:c>
      <x:c r="P689" t="str">
        <x:f>IF(OR(N689="",O689=""),"",SQRT(N689*O689))</x:f>
      </x:c>
      <x:c r="Q689" t="str">
        <x:f>IF(OR(N689="",O689=""),"",N689^0.7*O689^0.3)</x:f>
      </x:c>
      <x:c r="R689" t="str">
        <x:f>IF(OR(N689="",O689=""),"",N689^0.3*O689^0.7)</x:f>
      </x:c>
    </x:row>
    <x:row r="690">
      <x:c r="A690" t="inlineStr">
        <x:is>
          <x:t xml:space="preserve">openai|gpt-6-luna|max|reasoning|fallback-na|aa-v4.3.2|snapshot-2026-10-16</x:t>
        </x:is>
      </x:c>
      <x:c r="B690" t="inlineStr">
        <x:is>
          <x:t xml:space="preserve">openai|gpt-6-luna|max|reasoning|fallback-na</x:t>
        </x:is>
      </x:c>
      <x:c r="C690" t="inlineStr">
        <x:is>
          <x:t xml:space="preserve">AA|v4.3.2</x:t>
        </x:is>
      </x:c>
      <x:c r="D690" t="n">
        <x:v>88</x:v>
      </x:c>
      <x:c r="E690" t="n">
        <x:v>10</x:v>
      </x:c>
      <x:c r="F690" t="n">
        <x:f>INDEX(Run_Metrics!$F:$F,D690)</x:f>
        <x:v>38</x:v>
      </x:c>
      <x:c r="G690" t="n">
        <x:f>INDEX(Run_Metrics!$G:$G,D690)</x:f>
        <x:v>0.07</x:v>
      </x:c>
      <x:c r="H690" t="str">
        <x:f>INDEX(Run_Metrics!$I:$I,D690)</x:f>
      </x:c>
      <x:c r="I690" t="n">
        <x:f>IF(F690="","",F690-(E690-1))</x:f>
        <x:v>29</x:v>
      </x:c>
      <x:c r="J690" t="n">
        <x:f>IF(I690&gt;0,1,0)</x:f>
        <x:v>1</x:v>
      </x:c>
      <x:c r="K690" t="n">
        <x:f>IF(OR(J690=0,G690="",G690=0),"",I690/G690)</x:f>
        <x:v>414.2857142857142</x:v>
      </x:c>
      <x:c r="L690" t="n">
        <x:f>IF(OR(J690=0,I690=0,G690=""),"",G690/I690)</x:f>
        <x:v>0.002413793103448276</x:v>
      </x:c>
      <x:c r="M690" t="str">
        <x:f>IF(OR(J690=0,G690="",H690="",G690=0,H690=0),"",I690/(G690*H690))</x:f>
      </x:c>
      <x:c r="N690" t="n">
        <x:f>IF(K690="","",K690/_xlfn.MAXIFS($K:$K,$E:$E,E690))</x:f>
        <x:v>0.14340659340659337</x:v>
      </x:c>
      <x:c r="O690" t="str">
        <x:f>IF(M690="","",M690/_xlfn.MAXIFS($M:$M,$E:$E,E690))</x:f>
      </x:c>
      <x:c r="P690" t="str">
        <x:f>IF(OR(N690="",O690=""),"",SQRT(N690*O690))</x:f>
      </x:c>
      <x:c r="Q690" t="str">
        <x:f>IF(OR(N690="",O690=""),"",N690^0.7*O690^0.3)</x:f>
      </x:c>
      <x:c r="R690" t="str">
        <x:f>IF(OR(N690="",O690=""),"",N690^0.3*O690^0.7)</x:f>
      </x:c>
    </x:row>
    <x:row r="691">
      <x:c r="A691" t="inlineStr">
        <x:is>
          <x:t xml:space="preserve">openai|gpt-6-luna|max|reasoning|fallback-na|aa-v4.3.2|snapshot-2026-10-16</x:t>
        </x:is>
      </x:c>
      <x:c r="B691" t="inlineStr">
        <x:is>
          <x:t xml:space="preserve">openai|gpt-6-luna|max|reasoning|fallback-na</x:t>
        </x:is>
      </x:c>
      <x:c r="C691" t="inlineStr">
        <x:is>
          <x:t xml:space="preserve">AA|v4.3.2</x:t>
        </x:is>
      </x:c>
      <x:c r="D691" t="n">
        <x:v>88</x:v>
      </x:c>
      <x:c r="E691" t="n">
        <x:v>20</x:v>
      </x:c>
      <x:c r="F691" t="n">
        <x:f>INDEX(Run_Metrics!$F:$F,D691)</x:f>
        <x:v>38</x:v>
      </x:c>
      <x:c r="G691" t="n">
        <x:f>INDEX(Run_Metrics!$G:$G,D691)</x:f>
        <x:v>0.07</x:v>
      </x:c>
      <x:c r="H691" t="str">
        <x:f>INDEX(Run_Metrics!$I:$I,D691)</x:f>
      </x:c>
      <x:c r="I691" t="n">
        <x:f>IF(F691="","",F691-(E691-1))</x:f>
        <x:v>19</x:v>
      </x:c>
      <x:c r="J691" t="n">
        <x:f>IF(I691&gt;0,1,0)</x:f>
        <x:v>1</x:v>
      </x:c>
      <x:c r="K691" t="n">
        <x:f>IF(OR(J691=0,G691="",G691=0),"",I691/G691)</x:f>
        <x:v>271.4285714285714</x:v>
      </x:c>
      <x:c r="L691" t="n">
        <x:f>IF(OR(J691=0,I691=0,G691=""),"",G691/I691)</x:f>
        <x:v>0.00368421052631579</x:v>
      </x:c>
      <x:c r="M691" t="str">
        <x:f>IF(OR(J691=0,G691="",H691="",G691=0,H691=0),"",I691/(G691*H691))</x:f>
      </x:c>
      <x:c r="N691" t="n">
        <x:f>IF(K691="","",K691/_xlfn.MAXIFS($K:$K,$E:$E,E691))</x:f>
        <x:v>0.40714285714285703</x:v>
      </x:c>
      <x:c r="O691" t="str">
        <x:f>IF(M691="","",M691/_xlfn.MAXIFS($M:$M,$E:$E,E691))</x:f>
      </x:c>
      <x:c r="P691" t="str">
        <x:f>IF(OR(N691="",O691=""),"",SQRT(N691*O691))</x:f>
      </x:c>
      <x:c r="Q691" t="str">
        <x:f>IF(OR(N691="",O691=""),"",N691^0.7*O691^0.3)</x:f>
      </x:c>
      <x:c r="R691" t="str">
        <x:f>IF(OR(N691="",O691=""),"",N691^0.3*O691^0.7)</x:f>
      </x:c>
    </x:row>
    <x:row r="692">
      <x:c r="A692" t="inlineStr">
        <x:is>
          <x:t xml:space="preserve">openai|gpt-6-luna|max|reasoning|fallback-na|aa-v4.3.2|snapshot-2026-10-16</x:t>
        </x:is>
      </x:c>
      <x:c r="B692" t="inlineStr">
        <x:is>
          <x:t xml:space="preserve">openai|gpt-6-luna|max|reasoning|fallback-na</x:t>
        </x:is>
      </x:c>
      <x:c r="C692" t="inlineStr">
        <x:is>
          <x:t xml:space="preserve">AA|v4.3.2</x:t>
        </x:is>
      </x:c>
      <x:c r="D692" t="n">
        <x:v>88</x:v>
      </x:c>
      <x:c r="E692" t="n">
        <x:v>30</x:v>
      </x:c>
      <x:c r="F692" t="n">
        <x:f>INDEX(Run_Metrics!$F:$F,D692)</x:f>
        <x:v>38</x:v>
      </x:c>
      <x:c r="G692" t="n">
        <x:f>INDEX(Run_Metrics!$G:$G,D692)</x:f>
        <x:v>0.07</x:v>
      </x:c>
      <x:c r="H692" t="str">
        <x:f>INDEX(Run_Metrics!$I:$I,D692)</x:f>
      </x:c>
      <x:c r="I692" t="n">
        <x:f>IF(F692="","",F692-(E692-1))</x:f>
        <x:v>9</x:v>
      </x:c>
      <x:c r="J692" t="n">
        <x:f>IF(I692&gt;0,1,0)</x:f>
        <x:v>1</x:v>
      </x:c>
      <x:c r="K692" t="n">
        <x:f>IF(OR(J692=0,G692="",G692=0),"",I692/G692)</x:f>
        <x:v>128.57142857142856</x:v>
      </x:c>
      <x:c r="L692" t="n">
        <x:f>IF(OR(J692=0,I692=0,G692=""),"",G692/I692)</x:f>
        <x:v>0.007777777777777778</x:v>
      </x:c>
      <x:c r="M692" t="str">
        <x:f>IF(OR(J692=0,G692="",H692="",G692=0,H692=0),"",I692/(G692*H692))</x:f>
      </x:c>
      <x:c r="N692" t="n">
        <x:f>IF(K692="","",K692/_xlfn.MAXIFS($K:$K,$E:$E,E692))</x:f>
        <x:v>0.857142857142857</x:v>
      </x:c>
      <x:c r="O692" t="str">
        <x:f>IF(M692="","",M692/_xlfn.MAXIFS($M:$M,$E:$E,E692))</x:f>
      </x:c>
      <x:c r="P692" t="str">
        <x:f>IF(OR(N692="",O692=""),"",SQRT(N692*O692))</x:f>
      </x:c>
      <x:c r="Q692" t="str">
        <x:f>IF(OR(N692="",O692=""),"",N692^0.7*O692^0.3)</x:f>
      </x:c>
      <x:c r="R692" t="str">
        <x:f>IF(OR(N692="",O692=""),"",N692^0.3*O692^0.7)</x:f>
      </x:c>
    </x:row>
    <x:row r="693">
      <x:c r="A693" t="inlineStr">
        <x:is>
          <x:t xml:space="preserve">openai|gpt-6-luna|max|reasoning|fallback-na|aa-v4.3.2|snapshot-2026-10-16</x:t>
        </x:is>
      </x:c>
      <x:c r="B693" t="inlineStr">
        <x:is>
          <x:t xml:space="preserve">openai|gpt-6-luna|max|reasoning|fallback-na</x:t>
        </x:is>
      </x:c>
      <x:c r="C693" t="inlineStr">
        <x:is>
          <x:t xml:space="preserve">AA|v4.3.2</x:t>
        </x:is>
      </x:c>
      <x:c r="D693" t="n">
        <x:v>88</x:v>
      </x:c>
      <x:c r="E693" t="n">
        <x:v>40</x:v>
      </x:c>
      <x:c r="F693" t="n">
        <x:f>INDEX(Run_Metrics!$F:$F,D693)</x:f>
        <x:v>38</x:v>
      </x:c>
      <x:c r="G693" t="n">
        <x:f>INDEX(Run_Metrics!$G:$G,D693)</x:f>
        <x:v>0.07</x:v>
      </x:c>
      <x:c r="H693" t="str">
        <x:f>INDEX(Run_Metrics!$I:$I,D693)</x:f>
      </x:c>
      <x:c r="I693" t="n">
        <x:f>IF(F693="","",F693-(E693-1))</x:f>
        <x:v>-1</x:v>
      </x:c>
      <x:c r="J693" t="n">
        <x:f>IF(I693&gt;0,1,0)</x:f>
        <x:v>0</x:v>
      </x:c>
      <x:c r="K693" t="str">
        <x:f>IF(OR(J693=0,G693="",G693=0),"",I693/G693)</x:f>
      </x:c>
      <x:c r="L693" t="str">
        <x:f>IF(OR(J693=0,I693=0,G693=""),"",G693/I693)</x:f>
      </x:c>
      <x:c r="M693" t="str">
        <x:f>IF(OR(J693=0,G693="",H693="",G693=0,H693=0),"",I693/(G693*H693))</x:f>
      </x:c>
      <x:c r="N693" t="str">
        <x:f>IF(K693="","",K693/_xlfn.MAXIFS($K:$K,$E:$E,E693))</x:f>
      </x:c>
      <x:c r="O693" t="str">
        <x:f>IF(M693="","",M693/_xlfn.MAXIFS($M:$M,$E:$E,E693))</x:f>
      </x:c>
      <x:c r="P693" t="str">
        <x:f>IF(OR(N693="",O693=""),"",SQRT(N693*O693))</x:f>
      </x:c>
      <x:c r="Q693" t="str">
        <x:f>IF(OR(N693="",O693=""),"",N693^0.7*O693^0.3)</x:f>
      </x:c>
      <x:c r="R693" t="str">
        <x:f>IF(OR(N693="",O693=""),"",N693^0.3*O693^0.7)</x:f>
      </x:c>
    </x:row>
    <x:row r="694">
      <x:c r="A694" t="inlineStr">
        <x:is>
          <x:t xml:space="preserve">openai|gpt-6-luna|max|reasoning|fallback-na|aa-v4.3.2|snapshot-2026-10-16</x:t>
        </x:is>
      </x:c>
      <x:c r="B694" t="inlineStr">
        <x:is>
          <x:t xml:space="preserve">openai|gpt-6-luna|max|reasoning|fallback-na</x:t>
        </x:is>
      </x:c>
      <x:c r="C694" t="inlineStr">
        <x:is>
          <x:t xml:space="preserve">AA|v4.3.2</x:t>
        </x:is>
      </x:c>
      <x:c r="D694" t="n">
        <x:v>88</x:v>
      </x:c>
      <x:c r="E694" t="n">
        <x:v>50</x:v>
      </x:c>
      <x:c r="F694" t="n">
        <x:f>INDEX(Run_Metrics!$F:$F,D694)</x:f>
        <x:v>38</x:v>
      </x:c>
      <x:c r="G694" t="n">
        <x:f>INDEX(Run_Metrics!$G:$G,D694)</x:f>
        <x:v>0.07</x:v>
      </x:c>
      <x:c r="H694" t="str">
        <x:f>INDEX(Run_Metrics!$I:$I,D694)</x:f>
      </x:c>
      <x:c r="I694" t="n">
        <x:f>IF(F694="","",F694-(E694-1))</x:f>
        <x:v>-11</x:v>
      </x:c>
      <x:c r="J694" t="n">
        <x:f>IF(I694&gt;0,1,0)</x:f>
        <x:v>0</x:v>
      </x:c>
      <x:c r="K694" t="str">
        <x:f>IF(OR(J694=0,G694="",G694=0),"",I694/G694)</x:f>
      </x:c>
      <x:c r="L694" t="str">
        <x:f>IF(OR(J694=0,I694=0,G694=""),"",G694/I694)</x:f>
      </x:c>
      <x:c r="M694" t="str">
        <x:f>IF(OR(J694=0,G694="",H694="",G694=0,H694=0),"",I694/(G694*H694))</x:f>
      </x:c>
      <x:c r="N694" t="str">
        <x:f>IF(K694="","",K694/_xlfn.MAXIFS($K:$K,$E:$E,E694))</x:f>
      </x:c>
      <x:c r="O694" t="str">
        <x:f>IF(M694="","",M694/_xlfn.MAXIFS($M:$M,$E:$E,E694))</x:f>
      </x:c>
      <x:c r="P694" t="str">
        <x:f>IF(OR(N694="",O694=""),"",SQRT(N694*O694))</x:f>
      </x:c>
      <x:c r="Q694" t="str">
        <x:f>IF(OR(N694="",O694=""),"",N694^0.7*O694^0.3)</x:f>
      </x:c>
      <x:c r="R694" t="str">
        <x:f>IF(OR(N694="",O694=""),"",N694^0.3*O694^0.7)</x:f>
      </x:c>
    </x:row>
    <x:row r="695">
      <x:c r="A695" t="inlineStr">
        <x:is>
          <x:t xml:space="preserve">openai|gpt-6-luna|max|reasoning|fallback-na|aa-v4.3.2|snapshot-2026-10-16</x:t>
        </x:is>
      </x:c>
      <x:c r="B695" t="inlineStr">
        <x:is>
          <x:t xml:space="preserve">openai|gpt-6-luna|max|reasoning|fallback-na</x:t>
        </x:is>
      </x:c>
      <x:c r="C695" t="inlineStr">
        <x:is>
          <x:t xml:space="preserve">AA|v4.3.2</x:t>
        </x:is>
      </x:c>
      <x:c r="D695" t="n">
        <x:v>88</x:v>
      </x:c>
      <x:c r="E695" t="n">
        <x:v>60</x:v>
      </x:c>
      <x:c r="F695" t="n">
        <x:f>INDEX(Run_Metrics!$F:$F,D695)</x:f>
        <x:v>38</x:v>
      </x:c>
      <x:c r="G695" t="n">
        <x:f>INDEX(Run_Metrics!$G:$G,D695)</x:f>
        <x:v>0.07</x:v>
      </x:c>
      <x:c r="H695" t="str">
        <x:f>INDEX(Run_Metrics!$I:$I,D695)</x:f>
      </x:c>
      <x:c r="I695" t="n">
        <x:f>IF(F695="","",F695-(E695-1))</x:f>
        <x:v>-21</x:v>
      </x:c>
      <x:c r="J695" t="n">
        <x:f>IF(I695&gt;0,1,0)</x:f>
        <x:v>0</x:v>
      </x:c>
      <x:c r="K695" t="str">
        <x:f>IF(OR(J695=0,G695="",G695=0),"",I695/G695)</x:f>
      </x:c>
      <x:c r="L695" t="str">
        <x:f>IF(OR(J695=0,I695=0,G695=""),"",G695/I695)</x:f>
      </x:c>
      <x:c r="M695" t="str">
        <x:f>IF(OR(J695=0,G695="",H695="",G695=0,H695=0),"",I695/(G695*H695))</x:f>
      </x:c>
      <x:c r="N695" t="str">
        <x:f>IF(K695="","",K695/_xlfn.MAXIFS($K:$K,$E:$E,E695))</x:f>
      </x:c>
      <x:c r="O695" t="str">
        <x:f>IF(M695="","",M695/_xlfn.MAXIFS($M:$M,$E:$E,E695))</x:f>
      </x:c>
      <x:c r="P695" t="str">
        <x:f>IF(OR(N695="",O695=""),"",SQRT(N695*O695))</x:f>
      </x:c>
      <x:c r="Q695" t="str">
        <x:f>IF(OR(N695="",O695=""),"",N695^0.7*O695^0.3)</x:f>
      </x:c>
      <x:c r="R695" t="str">
        <x:f>IF(OR(N695="",O695=""),"",N695^0.3*O695^0.7)</x:f>
      </x:c>
    </x:row>
    <x:row r="696">
      <x:c r="A696" t="inlineStr">
        <x:is>
          <x:t xml:space="preserve">openai|gpt-6-luna|max|reasoning|fallback-na|aa-v4.3.2|snapshot-2026-10-16</x:t>
        </x:is>
      </x:c>
      <x:c r="B696" t="inlineStr">
        <x:is>
          <x:t xml:space="preserve">openai|gpt-6-luna|max|reasoning|fallback-na</x:t>
        </x:is>
      </x:c>
      <x:c r="C696" t="inlineStr">
        <x:is>
          <x:t xml:space="preserve">AA|v4.3.2</x:t>
        </x:is>
      </x:c>
      <x:c r="D696" t="n">
        <x:v>88</x:v>
      </x:c>
      <x:c r="E696" t="n">
        <x:v>70</x:v>
      </x:c>
      <x:c r="F696" t="n">
        <x:f>INDEX(Run_Metrics!$F:$F,D696)</x:f>
        <x:v>38</x:v>
      </x:c>
      <x:c r="G696" t="n">
        <x:f>INDEX(Run_Metrics!$G:$G,D696)</x:f>
        <x:v>0.07</x:v>
      </x:c>
      <x:c r="H696" t="str">
        <x:f>INDEX(Run_Metrics!$I:$I,D696)</x:f>
      </x:c>
      <x:c r="I696" t="n">
        <x:f>IF(F696="","",F696-(E696-1))</x:f>
        <x:v>-31</x:v>
      </x:c>
      <x:c r="J696" t="n">
        <x:f>IF(I696&gt;0,1,0)</x:f>
        <x:v>0</x:v>
      </x:c>
      <x:c r="K696" t="str">
        <x:f>IF(OR(J696=0,G696="",G696=0),"",I696/G696)</x:f>
      </x:c>
      <x:c r="L696" t="str">
        <x:f>IF(OR(J696=0,I696=0,G696=""),"",G696/I696)</x:f>
      </x:c>
      <x:c r="M696" t="str">
        <x:f>IF(OR(J696=0,G696="",H696="",G696=0,H696=0),"",I696/(G696*H696))</x:f>
      </x:c>
      <x:c r="N696" t="str">
        <x:f>IF(K696="","",K696/_xlfn.MAXIFS($K:$K,$E:$E,E696))</x:f>
      </x:c>
      <x:c r="O696" t="str">
        <x:f>IF(M696="","",M696/_xlfn.MAXIFS($M:$M,$E:$E,E696))</x:f>
      </x:c>
      <x:c r="P696" t="str">
        <x:f>IF(OR(N696="",O696=""),"",SQRT(N696*O696))</x:f>
      </x:c>
      <x:c r="Q696" t="str">
        <x:f>IF(OR(N696="",O696=""),"",N696^0.7*O696^0.3)</x:f>
      </x:c>
      <x:c r="R696" t="str">
        <x:f>IF(OR(N696="",O696=""),"",N696^0.3*O696^0.7)</x:f>
      </x:c>
    </x:row>
    <x:row r="697">
      <x:c r="A697" t="inlineStr">
        <x:is>
          <x:t xml:space="preserve">openai|gpt-6-luna|max|reasoning|fallback-na|aa-v4.3.2|snapshot-2026-10-16</x:t>
        </x:is>
      </x:c>
      <x:c r="B697" t="inlineStr">
        <x:is>
          <x:t xml:space="preserve">openai|gpt-6-luna|max|reasoning|fallback-na</x:t>
        </x:is>
      </x:c>
      <x:c r="C697" t="inlineStr">
        <x:is>
          <x:t xml:space="preserve">AA|v4.3.2</x:t>
        </x:is>
      </x:c>
      <x:c r="D697" t="n">
        <x:v>88</x:v>
      </x:c>
      <x:c r="E697" t="n">
        <x:v>80</x:v>
      </x:c>
      <x:c r="F697" t="n">
        <x:f>INDEX(Run_Metrics!$F:$F,D697)</x:f>
        <x:v>38</x:v>
      </x:c>
      <x:c r="G697" t="n">
        <x:f>INDEX(Run_Metrics!$G:$G,D697)</x:f>
        <x:v>0.07</x:v>
      </x:c>
      <x:c r="H697" t="str">
        <x:f>INDEX(Run_Metrics!$I:$I,D697)</x:f>
      </x:c>
      <x:c r="I697" t="n">
        <x:f>IF(F697="","",F697-(E697-1))</x:f>
        <x:v>-41</x:v>
      </x:c>
      <x:c r="J697" t="n">
        <x:f>IF(I697&gt;0,1,0)</x:f>
        <x:v>0</x:v>
      </x:c>
      <x:c r="K697" t="str">
        <x:f>IF(OR(J697=0,G697="",G697=0),"",I697/G697)</x:f>
      </x:c>
      <x:c r="L697" t="str">
        <x:f>IF(OR(J697=0,I697=0,G697=""),"",G697/I697)</x:f>
      </x:c>
      <x:c r="M697" t="str">
        <x:f>IF(OR(J697=0,G697="",H697="",G697=0,H697=0),"",I697/(G697*H697))</x:f>
      </x:c>
      <x:c r="N697" t="str">
        <x:f>IF(K697="","",K697/_xlfn.MAXIFS($K:$K,$E:$E,E697))</x:f>
      </x:c>
      <x:c r="O697" t="str">
        <x:f>IF(M697="","",M697/_xlfn.MAXIFS($M:$M,$E:$E,E697))</x:f>
      </x:c>
      <x:c r="P697" t="str">
        <x:f>IF(OR(N697="",O697=""),"",SQRT(N697*O697))</x:f>
      </x:c>
      <x:c r="Q697" t="str">
        <x:f>IF(OR(N697="",O697=""),"",N697^0.7*O697^0.3)</x:f>
      </x:c>
      <x:c r="R697" t="str">
        <x:f>IF(OR(N697="",O697=""),"",N697^0.3*O697^0.7)</x:f>
      </x:c>
    </x:row>
    <x:row r="698">
      <x:c r="A698" t="inlineStr">
        <x:is>
          <x:t xml:space="preserve">openai|gpt-6-astra|max|reasoning|fallback-na|aa-v4.3.2|snapshot-2026-10-16</x:t>
        </x:is>
      </x:c>
      <x:c r="B698" t="inlineStr">
        <x:is>
          <x:t xml:space="preserve">openai|gpt-6-astra|max|reasoning|fallback-na</x:t>
        </x:is>
      </x:c>
      <x:c r="C698" t="inlineStr">
        <x:is>
          <x:t xml:space="preserve">AA|v4.3.2</x:t>
        </x:is>
      </x:c>
      <x:c r="D698" t="n">
        <x:v>89</x:v>
      </x:c>
      <x:c r="E698" t="n">
        <x:v>10</x:v>
      </x:c>
      <x:c r="F698" t="n">
        <x:f>INDEX(Run_Metrics!$F:$F,D698)</x:f>
        <x:v>53</x:v>
      </x:c>
      <x:c r="G698" t="n">
        <x:f>INDEX(Run_Metrics!$G:$G,D698)</x:f>
        <x:v>3.26</x:v>
      </x:c>
      <x:c r="H698" t="str">
        <x:f>INDEX(Run_Metrics!$I:$I,D698)</x:f>
      </x:c>
      <x:c r="I698" t="n">
        <x:f>IF(F698="","",F698-(E698-1))</x:f>
        <x:v>44</x:v>
      </x:c>
      <x:c r="J698" t="n">
        <x:f>IF(I698&gt;0,1,0)</x:f>
        <x:v>1</x:v>
      </x:c>
      <x:c r="K698" t="n">
        <x:f>IF(OR(J698=0,G698="",G698=0),"",I698/G698)</x:f>
        <x:v>13.496932515337424</x:v>
      </x:c>
      <x:c r="L698" t="n">
        <x:f>IF(OR(J698=0,I698=0,G698=""),"",G698/I698)</x:f>
        <x:v>0.07409090909090908</x:v>
      </x:c>
      <x:c r="M698" t="str">
        <x:f>IF(OR(J698=0,G698="",H698="",G698=0,H698=0),"",I698/(G698*H698))</x:f>
      </x:c>
      <x:c r="N698" t="n">
        <x:f>IF(K698="","",K698/_xlfn.MAXIFS($K:$K,$E:$E,E698))</x:f>
        <x:v>0.004672015101462954</x:v>
      </x:c>
      <x:c r="O698" t="str">
        <x:f>IF(M698="","",M698/_xlfn.MAXIFS($M:$M,$E:$E,E698))</x:f>
      </x:c>
      <x:c r="P698" t="str">
        <x:f>IF(OR(N698="",O698=""),"",SQRT(N698*O698))</x:f>
      </x:c>
      <x:c r="Q698" t="str">
        <x:f>IF(OR(N698="",O698=""),"",N698^0.7*O698^0.3)</x:f>
      </x:c>
      <x:c r="R698" t="str">
        <x:f>IF(OR(N698="",O698=""),"",N698^0.3*O698^0.7)</x:f>
      </x:c>
    </x:row>
    <x:row r="699">
      <x:c r="A699" t="inlineStr">
        <x:is>
          <x:t xml:space="preserve">openai|gpt-6-astra|max|reasoning|fallback-na|aa-v4.3.2|snapshot-2026-10-16</x:t>
        </x:is>
      </x:c>
      <x:c r="B699" t="inlineStr">
        <x:is>
          <x:t xml:space="preserve">openai|gpt-6-astra|max|reasoning|fallback-na</x:t>
        </x:is>
      </x:c>
      <x:c r="C699" t="inlineStr">
        <x:is>
          <x:t xml:space="preserve">AA|v4.3.2</x:t>
        </x:is>
      </x:c>
      <x:c r="D699" t="n">
        <x:v>89</x:v>
      </x:c>
      <x:c r="E699" t="n">
        <x:v>20</x:v>
      </x:c>
      <x:c r="F699" t="n">
        <x:f>INDEX(Run_Metrics!$F:$F,D699)</x:f>
        <x:v>53</x:v>
      </x:c>
      <x:c r="G699" t="n">
        <x:f>INDEX(Run_Metrics!$G:$G,D699)</x:f>
        <x:v>3.26</x:v>
      </x:c>
      <x:c r="H699" t="str">
        <x:f>INDEX(Run_Metrics!$I:$I,D699)</x:f>
      </x:c>
      <x:c r="I699" t="n">
        <x:f>IF(F699="","",F699-(E699-1))</x:f>
        <x:v>34</x:v>
      </x:c>
      <x:c r="J699" t="n">
        <x:f>IF(I699&gt;0,1,0)</x:f>
        <x:v>1</x:v>
      </x:c>
      <x:c r="K699" t="n">
        <x:f>IF(OR(J699=0,G699="",G699=0),"",I699/G699)</x:f>
        <x:v>10.429447852760736</x:v>
      </x:c>
      <x:c r="L699" t="n">
        <x:f>IF(OR(J699=0,I699=0,G699=""),"",G699/I699)</x:f>
        <x:v>0.09588235294117646</x:v>
      </x:c>
      <x:c r="M699" t="str">
        <x:f>IF(OR(J699=0,G699="",H699="",G699=0,H699=0),"",I699/(G699*H699))</x:f>
      </x:c>
      <x:c r="N699" t="n">
        <x:f>IF(K699="","",K699/_xlfn.MAXIFS($K:$K,$E:$E,E699))</x:f>
        <x:v>0.015644171779141104</x:v>
      </x:c>
      <x:c r="O699" t="str">
        <x:f>IF(M699="","",M699/_xlfn.MAXIFS($M:$M,$E:$E,E699))</x:f>
      </x:c>
      <x:c r="P699" t="str">
        <x:f>IF(OR(N699="",O699=""),"",SQRT(N699*O699))</x:f>
      </x:c>
      <x:c r="Q699" t="str">
        <x:f>IF(OR(N699="",O699=""),"",N699^0.7*O699^0.3)</x:f>
      </x:c>
      <x:c r="R699" t="str">
        <x:f>IF(OR(N699="",O699=""),"",N699^0.3*O699^0.7)</x:f>
      </x:c>
    </x:row>
    <x:row r="700">
      <x:c r="A700" t="inlineStr">
        <x:is>
          <x:t xml:space="preserve">openai|gpt-6-astra|max|reasoning|fallback-na|aa-v4.3.2|snapshot-2026-10-16</x:t>
        </x:is>
      </x:c>
      <x:c r="B700" t="inlineStr">
        <x:is>
          <x:t xml:space="preserve">openai|gpt-6-astra|max|reasoning|fallback-na</x:t>
        </x:is>
      </x:c>
      <x:c r="C700" t="inlineStr">
        <x:is>
          <x:t xml:space="preserve">AA|v4.3.2</x:t>
        </x:is>
      </x:c>
      <x:c r="D700" t="n">
        <x:v>89</x:v>
      </x:c>
      <x:c r="E700" t="n">
        <x:v>30</x:v>
      </x:c>
      <x:c r="F700" t="n">
        <x:f>INDEX(Run_Metrics!$F:$F,D700)</x:f>
        <x:v>53</x:v>
      </x:c>
      <x:c r="G700" t="n">
        <x:f>INDEX(Run_Metrics!$G:$G,D700)</x:f>
        <x:v>3.26</x:v>
      </x:c>
      <x:c r="H700" t="str">
        <x:f>INDEX(Run_Metrics!$I:$I,D700)</x:f>
      </x:c>
      <x:c r="I700" t="n">
        <x:f>IF(F700="","",F700-(E700-1))</x:f>
        <x:v>24</x:v>
      </x:c>
      <x:c r="J700" t="n">
        <x:f>IF(I700&gt;0,1,0)</x:f>
        <x:v>1</x:v>
      </x:c>
      <x:c r="K700" t="n">
        <x:f>IF(OR(J700=0,G700="",G700=0),"",I700/G700)</x:f>
        <x:v>7.361963190184049</x:v>
      </x:c>
      <x:c r="L700" t="n">
        <x:f>IF(OR(J700=0,I700=0,G700=""),"",G700/I700)</x:f>
        <x:v>0.13583333333333333</x:v>
      </x:c>
      <x:c r="M700" t="str">
        <x:f>IF(OR(J700=0,G700="",H700="",G700=0,H700=0),"",I700/(G700*H700))</x:f>
      </x:c>
      <x:c r="N700" t="n">
        <x:f>IF(K700="","",K700/_xlfn.MAXIFS($K:$K,$E:$E,E700))</x:f>
        <x:v>0.049079754601226995</x:v>
      </x:c>
      <x:c r="O700" t="str">
        <x:f>IF(M700="","",M700/_xlfn.MAXIFS($M:$M,$E:$E,E700))</x:f>
      </x:c>
      <x:c r="P700" t="str">
        <x:f>IF(OR(N700="",O700=""),"",SQRT(N700*O700))</x:f>
      </x:c>
      <x:c r="Q700" t="str">
        <x:f>IF(OR(N700="",O700=""),"",N700^0.7*O700^0.3)</x:f>
      </x:c>
      <x:c r="R700" t="str">
        <x:f>IF(OR(N700="",O700=""),"",N700^0.3*O700^0.7)</x:f>
      </x:c>
    </x:row>
    <x:row r="701">
      <x:c r="A701" t="inlineStr">
        <x:is>
          <x:t xml:space="preserve">openai|gpt-6-astra|max|reasoning|fallback-na|aa-v4.3.2|snapshot-2026-10-16</x:t>
        </x:is>
      </x:c>
      <x:c r="B701" t="inlineStr">
        <x:is>
          <x:t xml:space="preserve">openai|gpt-6-astra|max|reasoning|fallback-na</x:t>
        </x:is>
      </x:c>
      <x:c r="C701" t="inlineStr">
        <x:is>
          <x:t xml:space="preserve">AA|v4.3.2</x:t>
        </x:is>
      </x:c>
      <x:c r="D701" t="n">
        <x:v>89</x:v>
      </x:c>
      <x:c r="E701" t="n">
        <x:v>40</x:v>
      </x:c>
      <x:c r="F701" t="n">
        <x:f>INDEX(Run_Metrics!$F:$F,D701)</x:f>
        <x:v>53</x:v>
      </x:c>
      <x:c r="G701" t="n">
        <x:f>INDEX(Run_Metrics!$G:$G,D701)</x:f>
        <x:v>3.26</x:v>
      </x:c>
      <x:c r="H701" t="str">
        <x:f>INDEX(Run_Metrics!$I:$I,D701)</x:f>
      </x:c>
      <x:c r="I701" t="n">
        <x:f>IF(F701="","",F701-(E701-1))</x:f>
        <x:v>14</x:v>
      </x:c>
      <x:c r="J701" t="n">
        <x:f>IF(I701&gt;0,1,0)</x:f>
        <x:v>1</x:v>
      </x:c>
      <x:c r="K701" t="n">
        <x:f>IF(OR(J701=0,G701="",G701=0),"",I701/G701)</x:f>
        <x:v>4.294478527607362</x:v>
      </x:c>
      <x:c r="L701" t="n">
        <x:f>IF(OR(J701=0,I701=0,G701=""),"",G701/I701)</x:f>
        <x:v>0.23285714285714285</x:v>
      </x:c>
      <x:c r="M701" t="str">
        <x:f>IF(OR(J701=0,G701="",H701="",G701=0,H701=0),"",I701/(G701*H701))</x:f>
      </x:c>
      <x:c r="N701" t="n">
        <x:f>IF(K701="","",K701/_xlfn.MAXIFS($K:$K,$E:$E,E701))</x:f>
        <x:v>0.07975460122699386</x:v>
      </x:c>
      <x:c r="O701" t="str">
        <x:f>IF(M701="","",M701/_xlfn.MAXIFS($M:$M,$E:$E,E701))</x:f>
      </x:c>
      <x:c r="P701" t="str">
        <x:f>IF(OR(N701="",O701=""),"",SQRT(N701*O701))</x:f>
      </x:c>
      <x:c r="Q701" t="str">
        <x:f>IF(OR(N701="",O701=""),"",N701^0.7*O701^0.3)</x:f>
      </x:c>
      <x:c r="R701" t="str">
        <x:f>IF(OR(N701="",O701=""),"",N701^0.3*O701^0.7)</x:f>
      </x:c>
    </x:row>
    <x:row r="702">
      <x:c r="A702" t="inlineStr">
        <x:is>
          <x:t xml:space="preserve">openai|gpt-6-astra|max|reasoning|fallback-na|aa-v4.3.2|snapshot-2026-10-16</x:t>
        </x:is>
      </x:c>
      <x:c r="B702" t="inlineStr">
        <x:is>
          <x:t xml:space="preserve">openai|gpt-6-astra|max|reasoning|fallback-na</x:t>
        </x:is>
      </x:c>
      <x:c r="C702" t="inlineStr">
        <x:is>
          <x:t xml:space="preserve">AA|v4.3.2</x:t>
        </x:is>
      </x:c>
      <x:c r="D702" t="n">
        <x:v>89</x:v>
      </x:c>
      <x:c r="E702" t="n">
        <x:v>50</x:v>
      </x:c>
      <x:c r="F702" t="n">
        <x:f>INDEX(Run_Metrics!$F:$F,D702)</x:f>
        <x:v>53</x:v>
      </x:c>
      <x:c r="G702" t="n">
        <x:f>INDEX(Run_Metrics!$G:$G,D702)</x:f>
        <x:v>3.26</x:v>
      </x:c>
      <x:c r="H702" t="str">
        <x:f>INDEX(Run_Metrics!$I:$I,D702)</x:f>
      </x:c>
      <x:c r="I702" t="n">
        <x:f>IF(F702="","",F702-(E702-1))</x:f>
        <x:v>4</x:v>
      </x:c>
      <x:c r="J702" t="n">
        <x:f>IF(I702&gt;0,1,0)</x:f>
        <x:v>1</x:v>
      </x:c>
      <x:c r="K702" t="n">
        <x:f>IF(OR(J702=0,G702="",G702=0),"",I702/G702)</x:f>
        <x:v>1.2269938650306749</x:v>
      </x:c>
      <x:c r="L702" t="n">
        <x:f>IF(OR(J702=0,I702=0,G702=""),"",G702/I702)</x:f>
        <x:v>0.815</x:v>
      </x:c>
      <x:c r="M702" t="str">
        <x:f>IF(OR(J702=0,G702="",H702="",G702=0,H702=0),"",I702/(G702*H702))</x:f>
      </x:c>
      <x:c r="N702" t="n">
        <x:f>IF(K702="","",K702/_xlfn.MAXIFS($K:$K,$E:$E,E702))</x:f>
        <x:v>0.23926380368098163</x:v>
      </x:c>
      <x:c r="O702" t="str">
        <x:f>IF(M702="","",M702/_xlfn.MAXIFS($M:$M,$E:$E,E702))</x:f>
      </x:c>
      <x:c r="P702" t="str">
        <x:f>IF(OR(N702="",O702=""),"",SQRT(N702*O702))</x:f>
      </x:c>
      <x:c r="Q702" t="str">
        <x:f>IF(OR(N702="",O702=""),"",N702^0.7*O702^0.3)</x:f>
      </x:c>
      <x:c r="R702" t="str">
        <x:f>IF(OR(N702="",O702=""),"",N702^0.3*O702^0.7)</x:f>
      </x:c>
    </x:row>
    <x:row r="703">
      <x:c r="A703" t="inlineStr">
        <x:is>
          <x:t xml:space="preserve">openai|gpt-6-astra|max|reasoning|fallback-na|aa-v4.3.2|snapshot-2026-10-16</x:t>
        </x:is>
      </x:c>
      <x:c r="B703" t="inlineStr">
        <x:is>
          <x:t xml:space="preserve">openai|gpt-6-astra|max|reasoning|fallback-na</x:t>
        </x:is>
      </x:c>
      <x:c r="C703" t="inlineStr">
        <x:is>
          <x:t xml:space="preserve">AA|v4.3.2</x:t>
        </x:is>
      </x:c>
      <x:c r="D703" t="n">
        <x:v>89</x:v>
      </x:c>
      <x:c r="E703" t="n">
        <x:v>60</x:v>
      </x:c>
      <x:c r="F703" t="n">
        <x:f>INDEX(Run_Metrics!$F:$F,D703)</x:f>
        <x:v>53</x:v>
      </x:c>
      <x:c r="G703" t="n">
        <x:f>INDEX(Run_Metrics!$G:$G,D703)</x:f>
        <x:v>3.26</x:v>
      </x:c>
      <x:c r="H703" t="str">
        <x:f>INDEX(Run_Metrics!$I:$I,D703)</x:f>
      </x:c>
      <x:c r="I703" t="n">
        <x:f>IF(F703="","",F703-(E703-1))</x:f>
        <x:v>-6</x:v>
      </x:c>
      <x:c r="J703" t="n">
        <x:f>IF(I703&gt;0,1,0)</x:f>
        <x:v>0</x:v>
      </x:c>
      <x:c r="K703" t="str">
        <x:f>IF(OR(J703=0,G703="",G703=0),"",I703/G703)</x:f>
      </x:c>
      <x:c r="L703" t="str">
        <x:f>IF(OR(J703=0,I703=0,G703=""),"",G703/I703)</x:f>
      </x:c>
      <x:c r="M703" t="str">
        <x:f>IF(OR(J703=0,G703="",H703="",G703=0,H703=0),"",I703/(G703*H703))</x:f>
      </x:c>
      <x:c r="N703" t="str">
        <x:f>IF(K703="","",K703/_xlfn.MAXIFS($K:$K,$E:$E,E703))</x:f>
      </x:c>
      <x:c r="O703" t="str">
        <x:f>IF(M703="","",M703/_xlfn.MAXIFS($M:$M,$E:$E,E703))</x:f>
      </x:c>
      <x:c r="P703" t="str">
        <x:f>IF(OR(N703="",O703=""),"",SQRT(N703*O703))</x:f>
      </x:c>
      <x:c r="Q703" t="str">
        <x:f>IF(OR(N703="",O703=""),"",N703^0.7*O703^0.3)</x:f>
      </x:c>
      <x:c r="R703" t="str">
        <x:f>IF(OR(N703="",O703=""),"",N703^0.3*O703^0.7)</x:f>
      </x:c>
    </x:row>
    <x:row r="704">
      <x:c r="A704" t="inlineStr">
        <x:is>
          <x:t xml:space="preserve">openai|gpt-6-astra|max|reasoning|fallback-na|aa-v4.3.2|snapshot-2026-10-16</x:t>
        </x:is>
      </x:c>
      <x:c r="B704" t="inlineStr">
        <x:is>
          <x:t xml:space="preserve">openai|gpt-6-astra|max|reasoning|fallback-na</x:t>
        </x:is>
      </x:c>
      <x:c r="C704" t="inlineStr">
        <x:is>
          <x:t xml:space="preserve">AA|v4.3.2</x:t>
        </x:is>
      </x:c>
      <x:c r="D704" t="n">
        <x:v>89</x:v>
      </x:c>
      <x:c r="E704" t="n">
        <x:v>70</x:v>
      </x:c>
      <x:c r="F704" t="n">
        <x:f>INDEX(Run_Metrics!$F:$F,D704)</x:f>
        <x:v>53</x:v>
      </x:c>
      <x:c r="G704" t="n">
        <x:f>INDEX(Run_Metrics!$G:$G,D704)</x:f>
        <x:v>3.26</x:v>
      </x:c>
      <x:c r="H704" t="str">
        <x:f>INDEX(Run_Metrics!$I:$I,D704)</x:f>
      </x:c>
      <x:c r="I704" t="n">
        <x:f>IF(F704="","",F704-(E704-1))</x:f>
        <x:v>-16</x:v>
      </x:c>
      <x:c r="J704" t="n">
        <x:f>IF(I704&gt;0,1,0)</x:f>
        <x:v>0</x:v>
      </x:c>
      <x:c r="K704" t="str">
        <x:f>IF(OR(J704=0,G704="",G704=0),"",I704/G704)</x:f>
      </x:c>
      <x:c r="L704" t="str">
        <x:f>IF(OR(J704=0,I704=0,G704=""),"",G704/I704)</x:f>
      </x:c>
      <x:c r="M704" t="str">
        <x:f>IF(OR(J704=0,G704="",H704="",G704=0,H704=0),"",I704/(G704*H704))</x:f>
      </x:c>
      <x:c r="N704" t="str">
        <x:f>IF(K704="","",K704/_xlfn.MAXIFS($K:$K,$E:$E,E704))</x:f>
      </x:c>
      <x:c r="O704" t="str">
        <x:f>IF(M704="","",M704/_xlfn.MAXIFS($M:$M,$E:$E,E704))</x:f>
      </x:c>
      <x:c r="P704" t="str">
        <x:f>IF(OR(N704="",O704=""),"",SQRT(N704*O704))</x:f>
      </x:c>
      <x:c r="Q704" t="str">
        <x:f>IF(OR(N704="",O704=""),"",N704^0.7*O704^0.3)</x:f>
      </x:c>
      <x:c r="R704" t="str">
        <x:f>IF(OR(N704="",O704=""),"",N704^0.3*O704^0.7)</x:f>
      </x:c>
    </x:row>
    <x:row r="705">
      <x:c r="A705" t="inlineStr">
        <x:is>
          <x:t xml:space="preserve">openai|gpt-6-astra|max|reasoning|fallback-na|aa-v4.3.2|snapshot-2026-10-16</x:t>
        </x:is>
      </x:c>
      <x:c r="B705" t="inlineStr">
        <x:is>
          <x:t xml:space="preserve">openai|gpt-6-astra|max|reasoning|fallback-na</x:t>
        </x:is>
      </x:c>
      <x:c r="C705" t="inlineStr">
        <x:is>
          <x:t xml:space="preserve">AA|v4.3.2</x:t>
        </x:is>
      </x:c>
      <x:c r="D705" t="n">
        <x:v>89</x:v>
      </x:c>
      <x:c r="E705" t="n">
        <x:v>80</x:v>
      </x:c>
      <x:c r="F705" t="n">
        <x:f>INDEX(Run_Metrics!$F:$F,D705)</x:f>
        <x:v>53</x:v>
      </x:c>
      <x:c r="G705" t="n">
        <x:f>INDEX(Run_Metrics!$G:$G,D705)</x:f>
        <x:v>3.26</x:v>
      </x:c>
      <x:c r="H705" t="str">
        <x:f>INDEX(Run_Metrics!$I:$I,D705)</x:f>
      </x:c>
      <x:c r="I705" t="n">
        <x:f>IF(F705="","",F705-(E705-1))</x:f>
        <x:v>-26</x:v>
      </x:c>
      <x:c r="J705" t="n">
        <x:f>IF(I705&gt;0,1,0)</x:f>
        <x:v>0</x:v>
      </x:c>
      <x:c r="K705" t="str">
        <x:f>IF(OR(J705=0,G705="",G705=0),"",I705/G705)</x:f>
      </x:c>
      <x:c r="L705" t="str">
        <x:f>IF(OR(J705=0,I705=0,G705=""),"",G705/I705)</x:f>
      </x:c>
      <x:c r="M705" t="str">
        <x:f>IF(OR(J705=0,G705="",H705="",G705=0,H705=0),"",I705/(G705*H705))</x:f>
      </x:c>
      <x:c r="N705" t="str">
        <x:f>IF(K705="","",K705/_xlfn.MAXIFS($K:$K,$E:$E,E705))</x:f>
      </x:c>
      <x:c r="O705" t="str">
        <x:f>IF(M705="","",M705/_xlfn.MAXIFS($M:$M,$E:$E,E705))</x:f>
      </x:c>
      <x:c r="P705" t="str">
        <x:f>IF(OR(N705="",O705=""),"",SQRT(N705*O705))</x:f>
      </x:c>
      <x:c r="Q705" t="str">
        <x:f>IF(OR(N705="",O705=""),"",N705^0.7*O705^0.3)</x:f>
      </x:c>
      <x:c r="R705" t="str">
        <x:f>IF(OR(N705="",O705=""),"",N705^0.3*O705^0.7)</x:f>
      </x:c>
    </x:row>
    <x:row r="706">
      <x:c r="A706" t="inlineStr">
        <x:is>
          <x:t xml:space="preserve">openai|gpt-6-1-sol|max|yes|fallback-na|aa-v4.3.2|snapshot-2026-10-16</x:t>
        </x:is>
      </x:c>
      <x:c r="B706" t="inlineStr">
        <x:is>
          <x:t xml:space="preserve">openai|gpt-6-1-sol|max|yes|fallback-na</x:t>
        </x:is>
      </x:c>
      <x:c r="C706" t="inlineStr">
        <x:is>
          <x:t xml:space="preserve">AA|v4.3.2</x:t>
        </x:is>
      </x:c>
      <x:c r="D706" t="n">
        <x:v>90</x:v>
      </x:c>
      <x:c r="E706" t="n">
        <x:v>10</x:v>
      </x:c>
      <x:c r="F706" t="n">
        <x:f>INDEX(Run_Metrics!$F:$F,D706)</x:f>
        <x:v>52</x:v>
      </x:c>
      <x:c r="G706" t="n">
        <x:f>INDEX(Run_Metrics!$G:$G,D706)</x:f>
        <x:v>0.72</x:v>
      </x:c>
      <x:c r="H706" t="str">
        <x:f>INDEX(Run_Metrics!$I:$I,D706)</x:f>
      </x:c>
      <x:c r="I706" t="n">
        <x:f>IF(F706="","",F706-(E706-1))</x:f>
        <x:v>43</x:v>
      </x:c>
      <x:c r="J706" t="n">
        <x:f>IF(I706&gt;0,1,0)</x:f>
        <x:v>1</x:v>
      </x:c>
      <x:c r="K706" t="n">
        <x:f>IF(OR(J706=0,G706="",G706=0),"",I706/G706)</x:f>
        <x:v>59.72222222222222</x:v>
      </x:c>
      <x:c r="L706" t="n">
        <x:f>IF(OR(J706=0,I706=0,G706=""),"",G706/I706)</x:f>
        <x:v>0.016744186046511626</x:v>
      </x:c>
      <x:c r="M706" t="str">
        <x:f>IF(OR(J706=0,G706="",H706="",G706=0,H706=0),"",I706/(G706*H706))</x:f>
      </x:c>
      <x:c r="N706" t="n">
        <x:f>IF(K706="","",K706/_xlfn.MAXIFS($K:$K,$E:$E,E706))</x:f>
        <x:v>0.020673076923076922</x:v>
      </x:c>
      <x:c r="O706" t="str">
        <x:f>IF(M706="","",M706/_xlfn.MAXIFS($M:$M,$E:$E,E706))</x:f>
      </x:c>
      <x:c r="P706" t="str">
        <x:f>IF(OR(N706="",O706=""),"",SQRT(N706*O706))</x:f>
      </x:c>
      <x:c r="Q706" t="str">
        <x:f>IF(OR(N706="",O706=""),"",N706^0.7*O706^0.3)</x:f>
      </x:c>
      <x:c r="R706" t="str">
        <x:f>IF(OR(N706="",O706=""),"",N706^0.3*O706^0.7)</x:f>
      </x:c>
    </x:row>
    <x:row r="707">
      <x:c r="A707" t="inlineStr">
        <x:is>
          <x:t xml:space="preserve">openai|gpt-6-1-sol|max|yes|fallback-na|aa-v4.3.2|snapshot-2026-10-16</x:t>
        </x:is>
      </x:c>
      <x:c r="B707" t="inlineStr">
        <x:is>
          <x:t xml:space="preserve">openai|gpt-6-1-sol|max|yes|fallback-na</x:t>
        </x:is>
      </x:c>
      <x:c r="C707" t="inlineStr">
        <x:is>
          <x:t xml:space="preserve">AA|v4.3.2</x:t>
        </x:is>
      </x:c>
      <x:c r="D707" t="n">
        <x:v>90</x:v>
      </x:c>
      <x:c r="E707" t="n">
        <x:v>20</x:v>
      </x:c>
      <x:c r="F707" t="n">
        <x:f>INDEX(Run_Metrics!$F:$F,D707)</x:f>
        <x:v>52</x:v>
      </x:c>
      <x:c r="G707" t="n">
        <x:f>INDEX(Run_Metrics!$G:$G,D707)</x:f>
        <x:v>0.72</x:v>
      </x:c>
      <x:c r="H707" t="str">
        <x:f>INDEX(Run_Metrics!$I:$I,D707)</x:f>
      </x:c>
      <x:c r="I707" t="n">
        <x:f>IF(F707="","",F707-(E707-1))</x:f>
        <x:v>33</x:v>
      </x:c>
      <x:c r="J707" t="n">
        <x:f>IF(I707&gt;0,1,0)</x:f>
        <x:v>1</x:v>
      </x:c>
      <x:c r="K707" t="n">
        <x:f>IF(OR(J707=0,G707="",G707=0),"",I707/G707)</x:f>
        <x:v>45.833333333333336</x:v>
      </x:c>
      <x:c r="L707" t="n">
        <x:f>IF(OR(J707=0,I707=0,G707=""),"",G707/I707)</x:f>
        <x:v>0.021818181818181816</x:v>
      </x:c>
      <x:c r="M707" t="str">
        <x:f>IF(OR(J707=0,G707="",H707="",G707=0,H707=0),"",I707/(G707*H707))</x:f>
      </x:c>
      <x:c r="N707" t="n">
        <x:f>IF(K707="","",K707/_xlfn.MAXIFS($K:$K,$E:$E,E707))</x:f>
        <x:v>0.06874999999999999</x:v>
      </x:c>
      <x:c r="O707" t="str">
        <x:f>IF(M707="","",M707/_xlfn.MAXIFS($M:$M,$E:$E,E707))</x:f>
      </x:c>
      <x:c r="P707" t="str">
        <x:f>IF(OR(N707="",O707=""),"",SQRT(N707*O707))</x:f>
      </x:c>
      <x:c r="Q707" t="str">
        <x:f>IF(OR(N707="",O707=""),"",N707^0.7*O707^0.3)</x:f>
      </x:c>
      <x:c r="R707" t="str">
        <x:f>IF(OR(N707="",O707=""),"",N707^0.3*O707^0.7)</x:f>
      </x:c>
    </x:row>
    <x:row r="708">
      <x:c r="A708" t="inlineStr">
        <x:is>
          <x:t xml:space="preserve">openai|gpt-6-1-sol|max|yes|fallback-na|aa-v4.3.2|snapshot-2026-10-16</x:t>
        </x:is>
      </x:c>
      <x:c r="B708" t="inlineStr">
        <x:is>
          <x:t xml:space="preserve">openai|gpt-6-1-sol|max|yes|fallback-na</x:t>
        </x:is>
      </x:c>
      <x:c r="C708" t="inlineStr">
        <x:is>
          <x:t xml:space="preserve">AA|v4.3.2</x:t>
        </x:is>
      </x:c>
      <x:c r="D708" t="n">
        <x:v>90</x:v>
      </x:c>
      <x:c r="E708" t="n">
        <x:v>30</x:v>
      </x:c>
      <x:c r="F708" t="n">
        <x:f>INDEX(Run_Metrics!$F:$F,D708)</x:f>
        <x:v>52</x:v>
      </x:c>
      <x:c r="G708" t="n">
        <x:f>INDEX(Run_Metrics!$G:$G,D708)</x:f>
        <x:v>0.72</x:v>
      </x:c>
      <x:c r="H708" t="str">
        <x:f>INDEX(Run_Metrics!$I:$I,D708)</x:f>
      </x:c>
      <x:c r="I708" t="n">
        <x:f>IF(F708="","",F708-(E708-1))</x:f>
        <x:v>23</x:v>
      </x:c>
      <x:c r="J708" t="n">
        <x:f>IF(I708&gt;0,1,0)</x:f>
        <x:v>1</x:v>
      </x:c>
      <x:c r="K708" t="n">
        <x:f>IF(OR(J708=0,G708="",G708=0),"",I708/G708)</x:f>
        <x:v>31.944444444444446</x:v>
      </x:c>
      <x:c r="L708" t="n">
        <x:f>IF(OR(J708=0,I708=0,G708=""),"",G708/I708)</x:f>
        <x:v>0.03130434782608695</x:v>
      </x:c>
      <x:c r="M708" t="str">
        <x:f>IF(OR(J708=0,G708="",H708="",G708=0,H708=0),"",I708/(G708*H708))</x:f>
      </x:c>
      <x:c r="N708" t="n">
        <x:f>IF(K708="","",K708/_xlfn.MAXIFS($K:$K,$E:$E,E708))</x:f>
        <x:v>0.21296296296296297</x:v>
      </x:c>
      <x:c r="O708" t="str">
        <x:f>IF(M708="","",M708/_xlfn.MAXIFS($M:$M,$E:$E,E708))</x:f>
      </x:c>
      <x:c r="P708" t="str">
        <x:f>IF(OR(N708="",O708=""),"",SQRT(N708*O708))</x:f>
      </x:c>
      <x:c r="Q708" t="str">
        <x:f>IF(OR(N708="",O708=""),"",N708^0.7*O708^0.3)</x:f>
      </x:c>
      <x:c r="R708" t="str">
        <x:f>IF(OR(N708="",O708=""),"",N708^0.3*O708^0.7)</x:f>
      </x:c>
    </x:row>
    <x:row r="709">
      <x:c r="A709" t="inlineStr">
        <x:is>
          <x:t xml:space="preserve">openai|gpt-6-1-sol|max|yes|fallback-na|aa-v4.3.2|snapshot-2026-10-16</x:t>
        </x:is>
      </x:c>
      <x:c r="B709" t="inlineStr">
        <x:is>
          <x:t xml:space="preserve">openai|gpt-6-1-sol|max|yes|fallback-na</x:t>
        </x:is>
      </x:c>
      <x:c r="C709" t="inlineStr">
        <x:is>
          <x:t xml:space="preserve">AA|v4.3.2</x:t>
        </x:is>
      </x:c>
      <x:c r="D709" t="n">
        <x:v>90</x:v>
      </x:c>
      <x:c r="E709" t="n">
        <x:v>40</x:v>
      </x:c>
      <x:c r="F709" t="n">
        <x:f>INDEX(Run_Metrics!$F:$F,D709)</x:f>
        <x:v>52</x:v>
      </x:c>
      <x:c r="G709" t="n">
        <x:f>INDEX(Run_Metrics!$G:$G,D709)</x:f>
        <x:v>0.72</x:v>
      </x:c>
      <x:c r="H709" t="str">
        <x:f>INDEX(Run_Metrics!$I:$I,D709)</x:f>
      </x:c>
      <x:c r="I709" t="n">
        <x:f>IF(F709="","",F709-(E709-1))</x:f>
        <x:v>13</x:v>
      </x:c>
      <x:c r="J709" t="n">
        <x:f>IF(I709&gt;0,1,0)</x:f>
        <x:v>1</x:v>
      </x:c>
      <x:c r="K709" t="n">
        <x:f>IF(OR(J709=0,G709="",G709=0),"",I709/G709)</x:f>
        <x:v>18.055555555555557</x:v>
      </x:c>
      <x:c r="L709" t="n">
        <x:f>IF(OR(J709=0,I709=0,G709=""),"",G709/I709)</x:f>
        <x:v>0.05538461538461538</x:v>
      </x:c>
      <x:c r="M709" t="str">
        <x:f>IF(OR(J709=0,G709="",H709="",G709=0,H709=0),"",I709/(G709*H709))</x:f>
      </x:c>
      <x:c r="N709" t="n">
        <x:f>IF(K709="","",K709/_xlfn.MAXIFS($K:$K,$E:$E,E709))</x:f>
        <x:v>0.33531746031746035</x:v>
      </x:c>
      <x:c r="O709" t="str">
        <x:f>IF(M709="","",M709/_xlfn.MAXIFS($M:$M,$E:$E,E709))</x:f>
      </x:c>
      <x:c r="P709" t="str">
        <x:f>IF(OR(N709="",O709=""),"",SQRT(N709*O709))</x:f>
      </x:c>
      <x:c r="Q709" t="str">
        <x:f>IF(OR(N709="",O709=""),"",N709^0.7*O709^0.3)</x:f>
      </x:c>
      <x:c r="R709" t="str">
        <x:f>IF(OR(N709="",O709=""),"",N709^0.3*O709^0.7)</x:f>
      </x:c>
    </x:row>
    <x:row r="710">
      <x:c r="A710" t="inlineStr">
        <x:is>
          <x:t xml:space="preserve">openai|gpt-6-1-sol|max|yes|fallback-na|aa-v4.3.2|snapshot-2026-10-16</x:t>
        </x:is>
      </x:c>
      <x:c r="B710" t="inlineStr">
        <x:is>
          <x:t xml:space="preserve">openai|gpt-6-1-sol|max|yes|fallback-na</x:t>
        </x:is>
      </x:c>
      <x:c r="C710" t="inlineStr">
        <x:is>
          <x:t xml:space="preserve">AA|v4.3.2</x:t>
        </x:is>
      </x:c>
      <x:c r="D710" t="n">
        <x:v>90</x:v>
      </x:c>
      <x:c r="E710" t="n">
        <x:v>50</x:v>
      </x:c>
      <x:c r="F710" t="n">
        <x:f>INDEX(Run_Metrics!$F:$F,D710)</x:f>
        <x:v>52</x:v>
      </x:c>
      <x:c r="G710" t="n">
        <x:f>INDEX(Run_Metrics!$G:$G,D710)</x:f>
        <x:v>0.72</x:v>
      </x:c>
      <x:c r="H710" t="str">
        <x:f>INDEX(Run_Metrics!$I:$I,D710)</x:f>
      </x:c>
      <x:c r="I710" t="n">
        <x:f>IF(F710="","",F710-(E710-1))</x:f>
        <x:v>3</x:v>
      </x:c>
      <x:c r="J710" t="n">
        <x:f>IF(I710&gt;0,1,0)</x:f>
        <x:v>1</x:v>
      </x:c>
      <x:c r="K710" t="n">
        <x:f>IF(OR(J710=0,G710="",G710=0),"",I710/G710)</x:f>
        <x:v>4.166666666666667</x:v>
      </x:c>
      <x:c r="L710" t="n">
        <x:f>IF(OR(J710=0,I710=0,G710=""),"",G710/I710)</x:f>
        <x:v>0.24</x:v>
      </x:c>
      <x:c r="M710" t="str">
        <x:f>IF(OR(J710=0,G710="",H710="",G710=0,H710=0),"",I710/(G710*H710))</x:f>
      </x:c>
      <x:c r="N710" t="n">
        <x:f>IF(K710="","",K710/_xlfn.MAXIFS($K:$K,$E:$E,E710))</x:f>
        <x:v>0.8125000000000001</x:v>
      </x:c>
      <x:c r="O710" t="str">
        <x:f>IF(M710="","",M710/_xlfn.MAXIFS($M:$M,$E:$E,E710))</x:f>
      </x:c>
      <x:c r="P710" t="str">
        <x:f>IF(OR(N710="",O710=""),"",SQRT(N710*O710))</x:f>
      </x:c>
      <x:c r="Q710" t="str">
        <x:f>IF(OR(N710="",O710=""),"",N710^0.7*O710^0.3)</x:f>
      </x:c>
      <x:c r="R710" t="str">
        <x:f>IF(OR(N710="",O710=""),"",N710^0.3*O710^0.7)</x:f>
      </x:c>
    </x:row>
    <x:row r="711">
      <x:c r="A711" t="inlineStr">
        <x:is>
          <x:t xml:space="preserve">openai|gpt-6-1-sol|max|yes|fallback-na|aa-v4.3.2|snapshot-2026-10-16</x:t>
        </x:is>
      </x:c>
      <x:c r="B711" t="inlineStr">
        <x:is>
          <x:t xml:space="preserve">openai|gpt-6-1-sol|max|yes|fallback-na</x:t>
        </x:is>
      </x:c>
      <x:c r="C711" t="inlineStr">
        <x:is>
          <x:t xml:space="preserve">AA|v4.3.2</x:t>
        </x:is>
      </x:c>
      <x:c r="D711" t="n">
        <x:v>90</x:v>
      </x:c>
      <x:c r="E711" t="n">
        <x:v>60</x:v>
      </x:c>
      <x:c r="F711" t="n">
        <x:f>INDEX(Run_Metrics!$F:$F,D711)</x:f>
        <x:v>52</x:v>
      </x:c>
      <x:c r="G711" t="n">
        <x:f>INDEX(Run_Metrics!$G:$G,D711)</x:f>
        <x:v>0.72</x:v>
      </x:c>
      <x:c r="H711" t="str">
        <x:f>INDEX(Run_Metrics!$I:$I,D711)</x:f>
      </x:c>
      <x:c r="I711" t="n">
        <x:f>IF(F711="","",F711-(E711-1))</x:f>
        <x:v>-7</x:v>
      </x:c>
      <x:c r="J711" t="n">
        <x:f>IF(I711&gt;0,1,0)</x:f>
        <x:v>0</x:v>
      </x:c>
      <x:c r="K711" t="str">
        <x:f>IF(OR(J711=0,G711="",G711=0),"",I711/G711)</x:f>
      </x:c>
      <x:c r="L711" t="str">
        <x:f>IF(OR(J711=0,I711=0,G711=""),"",G711/I711)</x:f>
      </x:c>
      <x:c r="M711" t="str">
        <x:f>IF(OR(J711=0,G711="",H711="",G711=0,H711=0),"",I711/(G711*H711))</x:f>
      </x:c>
      <x:c r="N711" t="str">
        <x:f>IF(K711="","",K711/_xlfn.MAXIFS($K:$K,$E:$E,E711))</x:f>
      </x:c>
      <x:c r="O711" t="str">
        <x:f>IF(M711="","",M711/_xlfn.MAXIFS($M:$M,$E:$E,E711))</x:f>
      </x:c>
      <x:c r="P711" t="str">
        <x:f>IF(OR(N711="",O711=""),"",SQRT(N711*O711))</x:f>
      </x:c>
      <x:c r="Q711" t="str">
        <x:f>IF(OR(N711="",O711=""),"",N711^0.7*O711^0.3)</x:f>
      </x:c>
      <x:c r="R711" t="str">
        <x:f>IF(OR(N711="",O711=""),"",N711^0.3*O711^0.7)</x:f>
      </x:c>
    </x:row>
    <x:row r="712">
      <x:c r="A712" t="inlineStr">
        <x:is>
          <x:t xml:space="preserve">openai|gpt-6-1-sol|max|yes|fallback-na|aa-v4.3.2|snapshot-2026-10-16</x:t>
        </x:is>
      </x:c>
      <x:c r="B712" t="inlineStr">
        <x:is>
          <x:t xml:space="preserve">openai|gpt-6-1-sol|max|yes|fallback-na</x:t>
        </x:is>
      </x:c>
      <x:c r="C712" t="inlineStr">
        <x:is>
          <x:t xml:space="preserve">AA|v4.3.2</x:t>
        </x:is>
      </x:c>
      <x:c r="D712" t="n">
        <x:v>90</x:v>
      </x:c>
      <x:c r="E712" t="n">
        <x:v>70</x:v>
      </x:c>
      <x:c r="F712" t="n">
        <x:f>INDEX(Run_Metrics!$F:$F,D712)</x:f>
        <x:v>52</x:v>
      </x:c>
      <x:c r="G712" t="n">
        <x:f>INDEX(Run_Metrics!$G:$G,D712)</x:f>
        <x:v>0.72</x:v>
      </x:c>
      <x:c r="H712" t="str">
        <x:f>INDEX(Run_Metrics!$I:$I,D712)</x:f>
      </x:c>
      <x:c r="I712" t="n">
        <x:f>IF(F712="","",F712-(E712-1))</x:f>
        <x:v>-17</x:v>
      </x:c>
      <x:c r="J712" t="n">
        <x:f>IF(I712&gt;0,1,0)</x:f>
        <x:v>0</x:v>
      </x:c>
      <x:c r="K712" t="str">
        <x:f>IF(OR(J712=0,G712="",G712=0),"",I712/G712)</x:f>
      </x:c>
      <x:c r="L712" t="str">
        <x:f>IF(OR(J712=0,I712=0,G712=""),"",G712/I712)</x:f>
      </x:c>
      <x:c r="M712" t="str">
        <x:f>IF(OR(J712=0,G712="",H712="",G712=0,H712=0),"",I712/(G712*H712))</x:f>
      </x:c>
      <x:c r="N712" t="str">
        <x:f>IF(K712="","",K712/_xlfn.MAXIFS($K:$K,$E:$E,E712))</x:f>
      </x:c>
      <x:c r="O712" t="str">
        <x:f>IF(M712="","",M712/_xlfn.MAXIFS($M:$M,$E:$E,E712))</x:f>
      </x:c>
      <x:c r="P712" t="str">
        <x:f>IF(OR(N712="",O712=""),"",SQRT(N712*O712))</x:f>
      </x:c>
      <x:c r="Q712" t="str">
        <x:f>IF(OR(N712="",O712=""),"",N712^0.7*O712^0.3)</x:f>
      </x:c>
      <x:c r="R712" t="str">
        <x:f>IF(OR(N712="",O712=""),"",N712^0.3*O712^0.7)</x:f>
      </x:c>
    </x:row>
    <x:row r="713">
      <x:c r="A713" t="inlineStr">
        <x:is>
          <x:t xml:space="preserve">openai|gpt-6-1-sol|max|yes|fallback-na|aa-v4.3.2|snapshot-2026-10-16</x:t>
        </x:is>
      </x:c>
      <x:c r="B713" t="inlineStr">
        <x:is>
          <x:t xml:space="preserve">openai|gpt-6-1-sol|max|yes|fallback-na</x:t>
        </x:is>
      </x:c>
      <x:c r="C713" t="inlineStr">
        <x:is>
          <x:t xml:space="preserve">AA|v4.3.2</x:t>
        </x:is>
      </x:c>
      <x:c r="D713" t="n">
        <x:v>90</x:v>
      </x:c>
      <x:c r="E713" t="n">
        <x:v>80</x:v>
      </x:c>
      <x:c r="F713" t="n">
        <x:f>INDEX(Run_Metrics!$F:$F,D713)</x:f>
        <x:v>52</x:v>
      </x:c>
      <x:c r="G713" t="n">
        <x:f>INDEX(Run_Metrics!$G:$G,D713)</x:f>
        <x:v>0.72</x:v>
      </x:c>
      <x:c r="H713" t="str">
        <x:f>INDEX(Run_Metrics!$I:$I,D713)</x:f>
      </x:c>
      <x:c r="I713" t="n">
        <x:f>IF(F713="","",F713-(E713-1))</x:f>
        <x:v>-27</x:v>
      </x:c>
      <x:c r="J713" t="n">
        <x:f>IF(I713&gt;0,1,0)</x:f>
        <x:v>0</x:v>
      </x:c>
      <x:c r="K713" t="str">
        <x:f>IF(OR(J713=0,G713="",G713=0),"",I713/G713)</x:f>
      </x:c>
      <x:c r="L713" t="str">
        <x:f>IF(OR(J713=0,I713=0,G713=""),"",G713/I713)</x:f>
      </x:c>
      <x:c r="M713" t="str">
        <x:f>IF(OR(J713=0,G713="",H713="",G713=0,H713=0),"",I713/(G713*H713))</x:f>
      </x:c>
      <x:c r="N713" t="str">
        <x:f>IF(K713="","",K713/_xlfn.MAXIFS($K:$K,$E:$E,E713))</x:f>
      </x:c>
      <x:c r="O713" t="str">
        <x:f>IF(M713="","",M713/_xlfn.MAXIFS($M:$M,$E:$E,E713))</x:f>
      </x:c>
      <x:c r="P713" t="str">
        <x:f>IF(OR(N713="",O713=""),"",SQRT(N713*O713))</x:f>
      </x:c>
      <x:c r="Q713" t="str">
        <x:f>IF(OR(N713="",O713=""),"",N713^0.7*O713^0.3)</x:f>
      </x:c>
      <x:c r="R713" t="str">
        <x:f>IF(OR(N713="",O713=""),"",N713^0.3*O713^0.7)</x:f>
      </x:c>
    </x:row>
    <x:row r="714">
      <x:c r="A714" t="inlineStr">
        <x:is>
          <x:t xml:space="preserve">google|gemini-4-argon|high|reasoning|fallback-na|aa-v4.3.2|snapshot-2026-10-16</x:t>
        </x:is>
      </x:c>
      <x:c r="B714" t="inlineStr">
        <x:is>
          <x:t xml:space="preserve">google|gemini-4-argon|high|reasoning|fallback-na</x:t>
        </x:is>
      </x:c>
      <x:c r="C714" t="inlineStr">
        <x:is>
          <x:t xml:space="preserve">AA|v4.3.2</x:t>
        </x:is>
      </x:c>
      <x:c r="D714" t="n">
        <x:v>91</x:v>
      </x:c>
      <x:c r="E714" t="n">
        <x:v>10</x:v>
      </x:c>
      <x:c r="F714" t="n">
        <x:f>INDEX(Run_Metrics!$F:$F,D714)</x:f>
        <x:v>53</x:v>
      </x:c>
      <x:c r="G714" t="n">
        <x:f>INDEX(Run_Metrics!$G:$G,D714)</x:f>
        <x:v>1.99</x:v>
      </x:c>
      <x:c r="H714" t="str">
        <x:f>INDEX(Run_Metrics!$I:$I,D714)</x:f>
      </x:c>
      <x:c r="I714" t="n">
        <x:f>IF(F714="","",F714-(E714-1))</x:f>
        <x:v>44</x:v>
      </x:c>
      <x:c r="J714" t="n">
        <x:f>IF(I714&gt;0,1,0)</x:f>
        <x:v>1</x:v>
      </x:c>
      <x:c r="K714" t="n">
        <x:f>IF(OR(J714=0,G714="",G714=0),"",I714/G714)</x:f>
        <x:v>22.110552763819097</x:v>
      </x:c>
      <x:c r="L714" t="n">
        <x:f>IF(OR(J714=0,I714=0,G714=""),"",G714/I714)</x:f>
        <x:v>0.04522727272727273</x:v>
      </x:c>
      <x:c r="M714" t="str">
        <x:f>IF(OR(J714=0,G714="",H714="",G714=0,H714=0),"",I714/(G714*H714))</x:f>
      </x:c>
      <x:c r="N714" t="n">
        <x:f>IF(K714="","",K714/_xlfn.MAXIFS($K:$K,$E:$E,E714))</x:f>
        <x:v>0.007653652879783533</x:v>
      </x:c>
      <x:c r="O714" t="str">
        <x:f>IF(M714="","",M714/_xlfn.MAXIFS($M:$M,$E:$E,E714))</x:f>
      </x:c>
      <x:c r="P714" t="str">
        <x:f>IF(OR(N714="",O714=""),"",SQRT(N714*O714))</x:f>
      </x:c>
      <x:c r="Q714" t="str">
        <x:f>IF(OR(N714="",O714=""),"",N714^0.7*O714^0.3)</x:f>
      </x:c>
      <x:c r="R714" t="str">
        <x:f>IF(OR(N714="",O714=""),"",N714^0.3*O714^0.7)</x:f>
      </x:c>
    </x:row>
    <x:row r="715">
      <x:c r="A715" t="inlineStr">
        <x:is>
          <x:t xml:space="preserve">google|gemini-4-argon|high|reasoning|fallback-na|aa-v4.3.2|snapshot-2026-10-16</x:t>
        </x:is>
      </x:c>
      <x:c r="B715" t="inlineStr">
        <x:is>
          <x:t xml:space="preserve">google|gemini-4-argon|high|reasoning|fallback-na</x:t>
        </x:is>
      </x:c>
      <x:c r="C715" t="inlineStr">
        <x:is>
          <x:t xml:space="preserve">AA|v4.3.2</x:t>
        </x:is>
      </x:c>
      <x:c r="D715" t="n">
        <x:v>91</x:v>
      </x:c>
      <x:c r="E715" t="n">
        <x:v>20</x:v>
      </x:c>
      <x:c r="F715" t="n">
        <x:f>INDEX(Run_Metrics!$F:$F,D715)</x:f>
        <x:v>53</x:v>
      </x:c>
      <x:c r="G715" t="n">
        <x:f>INDEX(Run_Metrics!$G:$G,D715)</x:f>
        <x:v>1.99</x:v>
      </x:c>
      <x:c r="H715" t="str">
        <x:f>INDEX(Run_Metrics!$I:$I,D715)</x:f>
      </x:c>
      <x:c r="I715" t="n">
        <x:f>IF(F715="","",F715-(E715-1))</x:f>
        <x:v>34</x:v>
      </x:c>
      <x:c r="J715" t="n">
        <x:f>IF(I715&gt;0,1,0)</x:f>
        <x:v>1</x:v>
      </x:c>
      <x:c r="K715" t="n">
        <x:f>IF(OR(J715=0,G715="",G715=0),"",I715/G715)</x:f>
        <x:v>17.08542713567839</x:v>
      </x:c>
      <x:c r="L715" t="n">
        <x:f>IF(OR(J715=0,I715=0,G715=""),"",G715/I715)</x:f>
        <x:v>0.058529411764705885</x:v>
      </x:c>
      <x:c r="M715" t="str">
        <x:f>IF(OR(J715=0,G715="",H715="",G715=0,H715=0),"",I715/(G715*H715))</x:f>
      </x:c>
      <x:c r="N715" t="n">
        <x:f>IF(K715="","",K715/_xlfn.MAXIFS($K:$K,$E:$E,E715))</x:f>
        <x:v>0.02562814070351758</x:v>
      </x:c>
      <x:c r="O715" t="str">
        <x:f>IF(M715="","",M715/_xlfn.MAXIFS($M:$M,$E:$E,E715))</x:f>
      </x:c>
      <x:c r="P715" t="str">
        <x:f>IF(OR(N715="",O715=""),"",SQRT(N715*O715))</x:f>
      </x:c>
      <x:c r="Q715" t="str">
        <x:f>IF(OR(N715="",O715=""),"",N715^0.7*O715^0.3)</x:f>
      </x:c>
      <x:c r="R715" t="str">
        <x:f>IF(OR(N715="",O715=""),"",N715^0.3*O715^0.7)</x:f>
      </x:c>
    </x:row>
    <x:row r="716">
      <x:c r="A716" t="inlineStr">
        <x:is>
          <x:t xml:space="preserve">google|gemini-4-argon|high|reasoning|fallback-na|aa-v4.3.2|snapshot-2026-10-16</x:t>
        </x:is>
      </x:c>
      <x:c r="B716" t="inlineStr">
        <x:is>
          <x:t xml:space="preserve">google|gemini-4-argon|high|reasoning|fallback-na</x:t>
        </x:is>
      </x:c>
      <x:c r="C716" t="inlineStr">
        <x:is>
          <x:t xml:space="preserve">AA|v4.3.2</x:t>
        </x:is>
      </x:c>
      <x:c r="D716" t="n">
        <x:v>91</x:v>
      </x:c>
      <x:c r="E716" t="n">
        <x:v>30</x:v>
      </x:c>
      <x:c r="F716" t="n">
        <x:f>INDEX(Run_Metrics!$F:$F,D716)</x:f>
        <x:v>53</x:v>
      </x:c>
      <x:c r="G716" t="n">
        <x:f>INDEX(Run_Metrics!$G:$G,D716)</x:f>
        <x:v>1.99</x:v>
      </x:c>
      <x:c r="H716" t="str">
        <x:f>INDEX(Run_Metrics!$I:$I,D716)</x:f>
      </x:c>
      <x:c r="I716" t="n">
        <x:f>IF(F716="","",F716-(E716-1))</x:f>
        <x:v>24</x:v>
      </x:c>
      <x:c r="J716" t="n">
        <x:f>IF(I716&gt;0,1,0)</x:f>
        <x:v>1</x:v>
      </x:c>
      <x:c r="K716" t="n">
        <x:f>IF(OR(J716=0,G716="",G716=0),"",I716/G716)</x:f>
        <x:v>12.06030150753769</x:v>
      </x:c>
      <x:c r="L716" t="n">
        <x:f>IF(OR(J716=0,I716=0,G716=""),"",G716/I716)</x:f>
        <x:v>0.08291666666666667</x:v>
      </x:c>
      <x:c r="M716" t="str">
        <x:f>IF(OR(J716=0,G716="",H716="",G716=0,H716=0),"",I716/(G716*H716))</x:f>
      </x:c>
      <x:c r="N716" t="n">
        <x:f>IF(K716="","",K716/_xlfn.MAXIFS($K:$K,$E:$E,E716))</x:f>
        <x:v>0.08040201005025126</x:v>
      </x:c>
      <x:c r="O716" t="str">
        <x:f>IF(M716="","",M716/_xlfn.MAXIFS($M:$M,$E:$E,E716))</x:f>
      </x:c>
      <x:c r="P716" t="str">
        <x:f>IF(OR(N716="",O716=""),"",SQRT(N716*O716))</x:f>
      </x:c>
      <x:c r="Q716" t="str">
        <x:f>IF(OR(N716="",O716=""),"",N716^0.7*O716^0.3)</x:f>
      </x:c>
      <x:c r="R716" t="str">
        <x:f>IF(OR(N716="",O716=""),"",N716^0.3*O716^0.7)</x:f>
      </x:c>
    </x:row>
    <x:row r="717">
      <x:c r="A717" t="inlineStr">
        <x:is>
          <x:t xml:space="preserve">google|gemini-4-argon|high|reasoning|fallback-na|aa-v4.3.2|snapshot-2026-10-16</x:t>
        </x:is>
      </x:c>
      <x:c r="B717" t="inlineStr">
        <x:is>
          <x:t xml:space="preserve">google|gemini-4-argon|high|reasoning|fallback-na</x:t>
        </x:is>
      </x:c>
      <x:c r="C717" t="inlineStr">
        <x:is>
          <x:t xml:space="preserve">AA|v4.3.2</x:t>
        </x:is>
      </x:c>
      <x:c r="D717" t="n">
        <x:v>91</x:v>
      </x:c>
      <x:c r="E717" t="n">
        <x:v>40</x:v>
      </x:c>
      <x:c r="F717" t="n">
        <x:f>INDEX(Run_Metrics!$F:$F,D717)</x:f>
        <x:v>53</x:v>
      </x:c>
      <x:c r="G717" t="n">
        <x:f>INDEX(Run_Metrics!$G:$G,D717)</x:f>
        <x:v>1.99</x:v>
      </x:c>
      <x:c r="H717" t="str">
        <x:f>INDEX(Run_Metrics!$I:$I,D717)</x:f>
      </x:c>
      <x:c r="I717" t="n">
        <x:f>IF(F717="","",F717-(E717-1))</x:f>
        <x:v>14</x:v>
      </x:c>
      <x:c r="J717" t="n">
        <x:f>IF(I717&gt;0,1,0)</x:f>
        <x:v>1</x:v>
      </x:c>
      <x:c r="K717" t="n">
        <x:f>IF(OR(J717=0,G717="",G717=0),"",I717/G717)</x:f>
        <x:v>7.035175879396985</x:v>
      </x:c>
      <x:c r="L717" t="n">
        <x:f>IF(OR(J717=0,I717=0,G717=""),"",G717/I717)</x:f>
        <x:v>0.14214285714285715</x:v>
      </x:c>
      <x:c r="M717" t="str">
        <x:f>IF(OR(J717=0,G717="",H717="",G717=0,H717=0),"",I717/(G717*H717))</x:f>
      </x:c>
      <x:c r="N717" t="n">
        <x:f>IF(K717="","",K717/_xlfn.MAXIFS($K:$K,$E:$E,E717))</x:f>
        <x:v>0.1306532663316583</x:v>
      </x:c>
      <x:c r="O717" t="str">
        <x:f>IF(M717="","",M717/_xlfn.MAXIFS($M:$M,$E:$E,E717))</x:f>
      </x:c>
      <x:c r="P717" t="str">
        <x:f>IF(OR(N717="",O717=""),"",SQRT(N717*O717))</x:f>
      </x:c>
      <x:c r="Q717" t="str">
        <x:f>IF(OR(N717="",O717=""),"",N717^0.7*O717^0.3)</x:f>
      </x:c>
      <x:c r="R717" t="str">
        <x:f>IF(OR(N717="",O717=""),"",N717^0.3*O717^0.7)</x:f>
      </x:c>
    </x:row>
    <x:row r="718">
      <x:c r="A718" t="inlineStr">
        <x:is>
          <x:t xml:space="preserve">google|gemini-4-argon|high|reasoning|fallback-na|aa-v4.3.2|snapshot-2026-10-16</x:t>
        </x:is>
      </x:c>
      <x:c r="B718" t="inlineStr">
        <x:is>
          <x:t xml:space="preserve">google|gemini-4-argon|high|reasoning|fallback-na</x:t>
        </x:is>
      </x:c>
      <x:c r="C718" t="inlineStr">
        <x:is>
          <x:t xml:space="preserve">AA|v4.3.2</x:t>
        </x:is>
      </x:c>
      <x:c r="D718" t="n">
        <x:v>91</x:v>
      </x:c>
      <x:c r="E718" t="n">
        <x:v>50</x:v>
      </x:c>
      <x:c r="F718" t="n">
        <x:f>INDEX(Run_Metrics!$F:$F,D718)</x:f>
        <x:v>53</x:v>
      </x:c>
      <x:c r="G718" t="n">
        <x:f>INDEX(Run_Metrics!$G:$G,D718)</x:f>
        <x:v>1.99</x:v>
      </x:c>
      <x:c r="H718" t="str">
        <x:f>INDEX(Run_Metrics!$I:$I,D718)</x:f>
      </x:c>
      <x:c r="I718" t="n">
        <x:f>IF(F718="","",F718-(E718-1))</x:f>
        <x:v>4</x:v>
      </x:c>
      <x:c r="J718" t="n">
        <x:f>IF(I718&gt;0,1,0)</x:f>
        <x:v>1</x:v>
      </x:c>
      <x:c r="K718" t="n">
        <x:f>IF(OR(J718=0,G718="",G718=0),"",I718/G718)</x:f>
        <x:v>2.0100502512562812</x:v>
      </x:c>
      <x:c r="L718" t="n">
        <x:f>IF(OR(J718=0,I718=0,G718=""),"",G718/I718)</x:f>
        <x:v>0.4975</x:v>
      </x:c>
      <x:c r="M718" t="str">
        <x:f>IF(OR(J718=0,G718="",H718="",G718=0,H718=0),"",I718/(G718*H718))</x:f>
      </x:c>
      <x:c r="N718" t="n">
        <x:f>IF(K718="","",K718/_xlfn.MAXIFS($K:$K,$E:$E,E718))</x:f>
        <x:v>0.39195979899497485</x:v>
      </x:c>
      <x:c r="O718" t="str">
        <x:f>IF(M718="","",M718/_xlfn.MAXIFS($M:$M,$E:$E,E718))</x:f>
      </x:c>
      <x:c r="P718" t="str">
        <x:f>IF(OR(N718="",O718=""),"",SQRT(N718*O718))</x:f>
      </x:c>
      <x:c r="Q718" t="str">
        <x:f>IF(OR(N718="",O718=""),"",N718^0.7*O718^0.3)</x:f>
      </x:c>
      <x:c r="R718" t="str">
        <x:f>IF(OR(N718="",O718=""),"",N718^0.3*O718^0.7)</x:f>
      </x:c>
    </x:row>
    <x:row r="719">
      <x:c r="A719" t="inlineStr">
        <x:is>
          <x:t xml:space="preserve">google|gemini-4-argon|high|reasoning|fallback-na|aa-v4.3.2|snapshot-2026-10-16</x:t>
        </x:is>
      </x:c>
      <x:c r="B719" t="inlineStr">
        <x:is>
          <x:t xml:space="preserve">google|gemini-4-argon|high|reasoning|fallback-na</x:t>
        </x:is>
      </x:c>
      <x:c r="C719" t="inlineStr">
        <x:is>
          <x:t xml:space="preserve">AA|v4.3.2</x:t>
        </x:is>
      </x:c>
      <x:c r="D719" t="n">
        <x:v>91</x:v>
      </x:c>
      <x:c r="E719" t="n">
        <x:v>60</x:v>
      </x:c>
      <x:c r="F719" t="n">
        <x:f>INDEX(Run_Metrics!$F:$F,D719)</x:f>
        <x:v>53</x:v>
      </x:c>
      <x:c r="G719" t="n">
        <x:f>INDEX(Run_Metrics!$G:$G,D719)</x:f>
        <x:v>1.99</x:v>
      </x:c>
      <x:c r="H719" t="str">
        <x:f>INDEX(Run_Metrics!$I:$I,D719)</x:f>
      </x:c>
      <x:c r="I719" t="n">
        <x:f>IF(F719="","",F719-(E719-1))</x:f>
        <x:v>-6</x:v>
      </x:c>
      <x:c r="J719" t="n">
        <x:f>IF(I719&gt;0,1,0)</x:f>
        <x:v>0</x:v>
      </x:c>
      <x:c r="K719" t="str">
        <x:f>IF(OR(J719=0,G719="",G719=0),"",I719/G719)</x:f>
      </x:c>
      <x:c r="L719" t="str">
        <x:f>IF(OR(J719=0,I719=0,G719=""),"",G719/I719)</x:f>
      </x:c>
      <x:c r="M719" t="str">
        <x:f>IF(OR(J719=0,G719="",H719="",G719=0,H719=0),"",I719/(G719*H719))</x:f>
      </x:c>
      <x:c r="N719" t="str">
        <x:f>IF(K719="","",K719/_xlfn.MAXIFS($K:$K,$E:$E,E719))</x:f>
      </x:c>
      <x:c r="O719" t="str">
        <x:f>IF(M719="","",M719/_xlfn.MAXIFS($M:$M,$E:$E,E719))</x:f>
      </x:c>
      <x:c r="P719" t="str">
        <x:f>IF(OR(N719="",O719=""),"",SQRT(N719*O719))</x:f>
      </x:c>
      <x:c r="Q719" t="str">
        <x:f>IF(OR(N719="",O719=""),"",N719^0.7*O719^0.3)</x:f>
      </x:c>
      <x:c r="R719" t="str">
        <x:f>IF(OR(N719="",O719=""),"",N719^0.3*O719^0.7)</x:f>
      </x:c>
    </x:row>
    <x:row r="720">
      <x:c r="A720" t="inlineStr">
        <x:is>
          <x:t xml:space="preserve">google|gemini-4-argon|high|reasoning|fallback-na|aa-v4.3.2|snapshot-2026-10-16</x:t>
        </x:is>
      </x:c>
      <x:c r="B720" t="inlineStr">
        <x:is>
          <x:t xml:space="preserve">google|gemini-4-argon|high|reasoning|fallback-na</x:t>
        </x:is>
      </x:c>
      <x:c r="C720" t="inlineStr">
        <x:is>
          <x:t xml:space="preserve">AA|v4.3.2</x:t>
        </x:is>
      </x:c>
      <x:c r="D720" t="n">
        <x:v>91</x:v>
      </x:c>
      <x:c r="E720" t="n">
        <x:v>70</x:v>
      </x:c>
      <x:c r="F720" t="n">
        <x:f>INDEX(Run_Metrics!$F:$F,D720)</x:f>
        <x:v>53</x:v>
      </x:c>
      <x:c r="G720" t="n">
        <x:f>INDEX(Run_Metrics!$G:$G,D720)</x:f>
        <x:v>1.99</x:v>
      </x:c>
      <x:c r="H720" t="str">
        <x:f>INDEX(Run_Metrics!$I:$I,D720)</x:f>
      </x:c>
      <x:c r="I720" t="n">
        <x:f>IF(F720="","",F720-(E720-1))</x:f>
        <x:v>-16</x:v>
      </x:c>
      <x:c r="J720" t="n">
        <x:f>IF(I720&gt;0,1,0)</x:f>
        <x:v>0</x:v>
      </x:c>
      <x:c r="K720" t="str">
        <x:f>IF(OR(J720=0,G720="",G720=0),"",I720/G720)</x:f>
      </x:c>
      <x:c r="L720" t="str">
        <x:f>IF(OR(J720=0,I720=0,G720=""),"",G720/I720)</x:f>
      </x:c>
      <x:c r="M720" t="str">
        <x:f>IF(OR(J720=0,G720="",H720="",G720=0,H720=0),"",I720/(G720*H720))</x:f>
      </x:c>
      <x:c r="N720" t="str">
        <x:f>IF(K720="","",K720/_xlfn.MAXIFS($K:$K,$E:$E,E720))</x:f>
      </x:c>
      <x:c r="O720" t="str">
        <x:f>IF(M720="","",M720/_xlfn.MAXIFS($M:$M,$E:$E,E720))</x:f>
      </x:c>
      <x:c r="P720" t="str">
        <x:f>IF(OR(N720="",O720=""),"",SQRT(N720*O720))</x:f>
      </x:c>
      <x:c r="Q720" t="str">
        <x:f>IF(OR(N720="",O720=""),"",N720^0.7*O720^0.3)</x:f>
      </x:c>
      <x:c r="R720" t="str">
        <x:f>IF(OR(N720="",O720=""),"",N720^0.3*O720^0.7)</x:f>
      </x:c>
    </x:row>
    <x:row r="721">
      <x:c r="A721" t="inlineStr">
        <x:is>
          <x:t xml:space="preserve">google|gemini-4-argon|high|reasoning|fallback-na|aa-v4.3.2|snapshot-2026-10-16</x:t>
        </x:is>
      </x:c>
      <x:c r="B721" t="inlineStr">
        <x:is>
          <x:t xml:space="preserve">google|gemini-4-argon|high|reasoning|fallback-na</x:t>
        </x:is>
      </x:c>
      <x:c r="C721" t="inlineStr">
        <x:is>
          <x:t xml:space="preserve">AA|v4.3.2</x:t>
        </x:is>
      </x:c>
      <x:c r="D721" t="n">
        <x:v>91</x:v>
      </x:c>
      <x:c r="E721" t="n">
        <x:v>80</x:v>
      </x:c>
      <x:c r="F721" t="n">
        <x:f>INDEX(Run_Metrics!$F:$F,D721)</x:f>
        <x:v>53</x:v>
      </x:c>
      <x:c r="G721" t="n">
        <x:f>INDEX(Run_Metrics!$G:$G,D721)</x:f>
        <x:v>1.99</x:v>
      </x:c>
      <x:c r="H721" t="str">
        <x:f>INDEX(Run_Metrics!$I:$I,D721)</x:f>
      </x:c>
      <x:c r="I721" t="n">
        <x:f>IF(F721="","",F721-(E721-1))</x:f>
        <x:v>-26</x:v>
      </x:c>
      <x:c r="J721" t="n">
        <x:f>IF(I721&gt;0,1,0)</x:f>
        <x:v>0</x:v>
      </x:c>
      <x:c r="K721" t="str">
        <x:f>IF(OR(J721=0,G721="",G721=0),"",I721/G721)</x:f>
      </x:c>
      <x:c r="L721" t="str">
        <x:f>IF(OR(J721=0,I721=0,G721=""),"",G721/I721)</x:f>
      </x:c>
      <x:c r="M721" t="str">
        <x:f>IF(OR(J721=0,G721="",H721="",G721=0,H721=0),"",I721/(G721*H721))</x:f>
      </x:c>
      <x:c r="N721" t="str">
        <x:f>IF(K721="","",K721/_xlfn.MAXIFS($K:$K,$E:$E,E721))</x:f>
      </x:c>
      <x:c r="O721" t="str">
        <x:f>IF(M721="","",M721/_xlfn.MAXIFS($M:$M,$E:$E,E721))</x:f>
      </x:c>
      <x:c r="P721" t="str">
        <x:f>IF(OR(N721="",O721=""),"",SQRT(N721*O721))</x:f>
      </x:c>
      <x:c r="Q721" t="str">
        <x:f>IF(OR(N721="",O721=""),"",N721^0.7*O721^0.3)</x:f>
      </x:c>
      <x:c r="R721" t="str">
        <x:f>IF(OR(N721="",O721=""),"",N721^0.3*O721^0.7)</x:f>
      </x:c>
    </x:row>
    <x:row r="722">
      <x:c r="A722" t="inlineStr">
        <x:is>
          <x:t xml:space="preserve">anthropic|claude-haiku-5-5|max|yes|fallback-na|aa-v4.3.2|snapshot-2026-10-16</x:t>
        </x:is>
      </x:c>
      <x:c r="B722" t="inlineStr">
        <x:is>
          <x:t xml:space="preserve">anthropic|claude-haiku-5-5|max|yes|fallback-na</x:t>
        </x:is>
      </x:c>
      <x:c r="C722" t="inlineStr">
        <x:is>
          <x:t xml:space="preserve">AA|v4.3.2</x:t>
        </x:is>
      </x:c>
      <x:c r="D722" t="n">
        <x:v>92</x:v>
      </x:c>
      <x:c r="E722" t="n">
        <x:v>10</x:v>
      </x:c>
      <x:c r="F722" t="n">
        <x:f>INDEX(Run_Metrics!$F:$F,D722)</x:f>
        <x:v>43</x:v>
      </x:c>
      <x:c r="G722" t="n">
        <x:f>INDEX(Run_Metrics!$G:$G,D722)</x:f>
        <x:v>0.21</x:v>
      </x:c>
      <x:c r="H722" t="str">
        <x:f>INDEX(Run_Metrics!$I:$I,D722)</x:f>
      </x:c>
      <x:c r="I722" t="n">
        <x:f>IF(F722="","",F722-(E722-1))</x:f>
        <x:v>34</x:v>
      </x:c>
      <x:c r="J722" t="n">
        <x:f>IF(I722&gt;0,1,0)</x:f>
        <x:v>1</x:v>
      </x:c>
      <x:c r="K722" t="n">
        <x:f>IF(OR(J722=0,G722="",G722=0),"",I722/G722)</x:f>
        <x:v>161.9047619047619</x:v>
      </x:c>
      <x:c r="L722" t="n">
        <x:f>IF(OR(J722=0,I722=0,G722=""),"",G722/I722)</x:f>
        <x:v>0.006176470588235294</x:v>
      </x:c>
      <x:c r="M722" t="str">
        <x:f>IF(OR(J722=0,G722="",H722="",G722=0,H722=0),"",I722/(G722*H722))</x:f>
      </x:c>
      <x:c r="N722" t="n">
        <x:f>IF(K722="","",K722/_xlfn.MAXIFS($K:$K,$E:$E,E722))</x:f>
        <x:v>0.05604395604395604</x:v>
      </x:c>
      <x:c r="O722" t="str">
        <x:f>IF(M722="","",M722/_xlfn.MAXIFS($M:$M,$E:$E,E722))</x:f>
      </x:c>
      <x:c r="P722" t="str">
        <x:f>IF(OR(N722="",O722=""),"",SQRT(N722*O722))</x:f>
      </x:c>
      <x:c r="Q722" t="str">
        <x:f>IF(OR(N722="",O722=""),"",N722^0.7*O722^0.3)</x:f>
      </x:c>
      <x:c r="R722" t="str">
        <x:f>IF(OR(N722="",O722=""),"",N722^0.3*O722^0.7)</x:f>
      </x:c>
    </x:row>
    <x:row r="723">
      <x:c r="A723" t="inlineStr">
        <x:is>
          <x:t xml:space="preserve">anthropic|claude-haiku-5-5|max|yes|fallback-na|aa-v4.3.2|snapshot-2026-10-16</x:t>
        </x:is>
      </x:c>
      <x:c r="B723" t="inlineStr">
        <x:is>
          <x:t xml:space="preserve">anthropic|claude-haiku-5-5|max|yes|fallback-na</x:t>
        </x:is>
      </x:c>
      <x:c r="C723" t="inlineStr">
        <x:is>
          <x:t xml:space="preserve">AA|v4.3.2</x:t>
        </x:is>
      </x:c>
      <x:c r="D723" t="n">
        <x:v>92</x:v>
      </x:c>
      <x:c r="E723" t="n">
        <x:v>20</x:v>
      </x:c>
      <x:c r="F723" t="n">
        <x:f>INDEX(Run_Metrics!$F:$F,D723)</x:f>
        <x:v>43</x:v>
      </x:c>
      <x:c r="G723" t="n">
        <x:f>INDEX(Run_Metrics!$G:$G,D723)</x:f>
        <x:v>0.21</x:v>
      </x:c>
      <x:c r="H723" t="str">
        <x:f>INDEX(Run_Metrics!$I:$I,D723)</x:f>
      </x:c>
      <x:c r="I723" t="n">
        <x:f>IF(F723="","",F723-(E723-1))</x:f>
        <x:v>24</x:v>
      </x:c>
      <x:c r="J723" t="n">
        <x:f>IF(I723&gt;0,1,0)</x:f>
        <x:v>1</x:v>
      </x:c>
      <x:c r="K723" t="n">
        <x:f>IF(OR(J723=0,G723="",G723=0),"",I723/G723)</x:f>
        <x:v>114.28571428571429</x:v>
      </x:c>
      <x:c r="L723" t="n">
        <x:f>IF(OR(J723=0,I723=0,G723=""),"",G723/I723)</x:f>
        <x:v>0.008749999999999999</x:v>
      </x:c>
      <x:c r="M723" t="str">
        <x:f>IF(OR(J723=0,G723="",H723="",G723=0,H723=0),"",I723/(G723*H723))</x:f>
      </x:c>
      <x:c r="N723" t="n">
        <x:f>IF(K723="","",K723/_xlfn.MAXIFS($K:$K,$E:$E,E723))</x:f>
        <x:v>0.17142857142857143</x:v>
      </x:c>
      <x:c r="O723" t="str">
        <x:f>IF(M723="","",M723/_xlfn.MAXIFS($M:$M,$E:$E,E723))</x:f>
      </x:c>
      <x:c r="P723" t="str">
        <x:f>IF(OR(N723="",O723=""),"",SQRT(N723*O723))</x:f>
      </x:c>
      <x:c r="Q723" t="str">
        <x:f>IF(OR(N723="",O723=""),"",N723^0.7*O723^0.3)</x:f>
      </x:c>
      <x:c r="R723" t="str">
        <x:f>IF(OR(N723="",O723=""),"",N723^0.3*O723^0.7)</x:f>
      </x:c>
    </x:row>
    <x:row r="724">
      <x:c r="A724" t="inlineStr">
        <x:is>
          <x:t xml:space="preserve">anthropic|claude-haiku-5-5|max|yes|fallback-na|aa-v4.3.2|snapshot-2026-10-16</x:t>
        </x:is>
      </x:c>
      <x:c r="B724" t="inlineStr">
        <x:is>
          <x:t xml:space="preserve">anthropic|claude-haiku-5-5|max|yes|fallback-na</x:t>
        </x:is>
      </x:c>
      <x:c r="C724" t="inlineStr">
        <x:is>
          <x:t xml:space="preserve">AA|v4.3.2</x:t>
        </x:is>
      </x:c>
      <x:c r="D724" t="n">
        <x:v>92</x:v>
      </x:c>
      <x:c r="E724" t="n">
        <x:v>30</x:v>
      </x:c>
      <x:c r="F724" t="n">
        <x:f>INDEX(Run_Metrics!$F:$F,D724)</x:f>
        <x:v>43</x:v>
      </x:c>
      <x:c r="G724" t="n">
        <x:f>INDEX(Run_Metrics!$G:$G,D724)</x:f>
        <x:v>0.21</x:v>
      </x:c>
      <x:c r="H724" t="str">
        <x:f>INDEX(Run_Metrics!$I:$I,D724)</x:f>
      </x:c>
      <x:c r="I724" t="n">
        <x:f>IF(F724="","",F724-(E724-1))</x:f>
        <x:v>14</x:v>
      </x:c>
      <x:c r="J724" t="n">
        <x:f>IF(I724&gt;0,1,0)</x:f>
        <x:v>1</x:v>
      </x:c>
      <x:c r="K724" t="n">
        <x:f>IF(OR(J724=0,G724="",G724=0),"",I724/G724)</x:f>
        <x:v>66.66666666666667</x:v>
      </x:c>
      <x:c r="L724" t="n">
        <x:f>IF(OR(J724=0,I724=0,G724=""),"",G724/I724)</x:f>
        <x:v>0.015</x:v>
      </x:c>
      <x:c r="M724" t="str">
        <x:f>IF(OR(J724=0,G724="",H724="",G724=0,H724=0),"",I724/(G724*H724))</x:f>
      </x:c>
      <x:c r="N724" t="n">
        <x:f>IF(K724="","",K724/_xlfn.MAXIFS($K:$K,$E:$E,E724))</x:f>
        <x:v>0.4444444444444445</x:v>
      </x:c>
      <x:c r="O724" t="str">
        <x:f>IF(M724="","",M724/_xlfn.MAXIFS($M:$M,$E:$E,E724))</x:f>
      </x:c>
      <x:c r="P724" t="str">
        <x:f>IF(OR(N724="",O724=""),"",SQRT(N724*O724))</x:f>
      </x:c>
      <x:c r="Q724" t="str">
        <x:f>IF(OR(N724="",O724=""),"",N724^0.7*O724^0.3)</x:f>
      </x:c>
      <x:c r="R724" t="str">
        <x:f>IF(OR(N724="",O724=""),"",N724^0.3*O724^0.7)</x:f>
      </x:c>
    </x:row>
    <x:row r="725">
      <x:c r="A725" t="inlineStr">
        <x:is>
          <x:t xml:space="preserve">anthropic|claude-haiku-5-5|max|yes|fallback-na|aa-v4.3.2|snapshot-2026-10-16</x:t>
        </x:is>
      </x:c>
      <x:c r="B725" t="inlineStr">
        <x:is>
          <x:t xml:space="preserve">anthropic|claude-haiku-5-5|max|yes|fallback-na</x:t>
        </x:is>
      </x:c>
      <x:c r="C725" t="inlineStr">
        <x:is>
          <x:t xml:space="preserve">AA|v4.3.2</x:t>
        </x:is>
      </x:c>
      <x:c r="D725" t="n">
        <x:v>92</x:v>
      </x:c>
      <x:c r="E725" t="n">
        <x:v>40</x:v>
      </x:c>
      <x:c r="F725" t="n">
        <x:f>INDEX(Run_Metrics!$F:$F,D725)</x:f>
        <x:v>43</x:v>
      </x:c>
      <x:c r="G725" t="n">
        <x:f>INDEX(Run_Metrics!$G:$G,D725)</x:f>
        <x:v>0.21</x:v>
      </x:c>
      <x:c r="H725" t="str">
        <x:f>INDEX(Run_Metrics!$I:$I,D725)</x:f>
      </x:c>
      <x:c r="I725" t="n">
        <x:f>IF(F725="","",F725-(E725-1))</x:f>
        <x:v>4</x:v>
      </x:c>
      <x:c r="J725" t="n">
        <x:f>IF(I725&gt;0,1,0)</x:f>
        <x:v>1</x:v>
      </x:c>
      <x:c r="K725" t="n">
        <x:f>IF(OR(J725=0,G725="",G725=0),"",I725/G725)</x:f>
        <x:v>19.047619047619047</x:v>
      </x:c>
      <x:c r="L725" t="n">
        <x:f>IF(OR(J725=0,I725=0,G725=""),"",G725/I725)</x:f>
        <x:v>0.0525</x:v>
      </x:c>
      <x:c r="M725" t="str">
        <x:f>IF(OR(J725=0,G725="",H725="",G725=0,H725=0),"",I725/(G725*H725))</x:f>
      </x:c>
      <x:c r="N725" t="n">
        <x:f>IF(K725="","",K725/_xlfn.MAXIFS($K:$K,$E:$E,E725))</x:f>
        <x:v>0.35374149659863946</x:v>
      </x:c>
      <x:c r="O725" t="str">
        <x:f>IF(M725="","",M725/_xlfn.MAXIFS($M:$M,$E:$E,E725))</x:f>
      </x:c>
      <x:c r="P725" t="str">
        <x:f>IF(OR(N725="",O725=""),"",SQRT(N725*O725))</x:f>
      </x:c>
      <x:c r="Q725" t="str">
        <x:f>IF(OR(N725="",O725=""),"",N725^0.7*O725^0.3)</x:f>
      </x:c>
      <x:c r="R725" t="str">
        <x:f>IF(OR(N725="",O725=""),"",N725^0.3*O725^0.7)</x:f>
      </x:c>
    </x:row>
    <x:row r="726">
      <x:c r="A726" t="inlineStr">
        <x:is>
          <x:t xml:space="preserve">anthropic|claude-haiku-5-5|max|yes|fallback-na|aa-v4.3.2|snapshot-2026-10-16</x:t>
        </x:is>
      </x:c>
      <x:c r="B726" t="inlineStr">
        <x:is>
          <x:t xml:space="preserve">anthropic|claude-haiku-5-5|max|yes|fallback-na</x:t>
        </x:is>
      </x:c>
      <x:c r="C726" t="inlineStr">
        <x:is>
          <x:t xml:space="preserve">AA|v4.3.2</x:t>
        </x:is>
      </x:c>
      <x:c r="D726" t="n">
        <x:v>92</x:v>
      </x:c>
      <x:c r="E726" t="n">
        <x:v>50</x:v>
      </x:c>
      <x:c r="F726" t="n">
        <x:f>INDEX(Run_Metrics!$F:$F,D726)</x:f>
        <x:v>43</x:v>
      </x:c>
      <x:c r="G726" t="n">
        <x:f>INDEX(Run_Metrics!$G:$G,D726)</x:f>
        <x:v>0.21</x:v>
      </x:c>
      <x:c r="H726" t="str">
        <x:f>INDEX(Run_Metrics!$I:$I,D726)</x:f>
      </x:c>
      <x:c r="I726" t="n">
        <x:f>IF(F726="","",F726-(E726-1))</x:f>
        <x:v>-6</x:v>
      </x:c>
      <x:c r="J726" t="n">
        <x:f>IF(I726&gt;0,1,0)</x:f>
        <x:v>0</x:v>
      </x:c>
      <x:c r="K726" t="str">
        <x:f>IF(OR(J726=0,G726="",G726=0),"",I726/G726)</x:f>
      </x:c>
      <x:c r="L726" t="str">
        <x:f>IF(OR(J726=0,I726=0,G726=""),"",G726/I726)</x:f>
      </x:c>
      <x:c r="M726" t="str">
        <x:f>IF(OR(J726=0,G726="",H726="",G726=0,H726=0),"",I726/(G726*H726))</x:f>
      </x:c>
      <x:c r="N726" t="str">
        <x:f>IF(K726="","",K726/_xlfn.MAXIFS($K:$K,$E:$E,E726))</x:f>
      </x:c>
      <x:c r="O726" t="str">
        <x:f>IF(M726="","",M726/_xlfn.MAXIFS($M:$M,$E:$E,E726))</x:f>
      </x:c>
      <x:c r="P726" t="str">
        <x:f>IF(OR(N726="",O726=""),"",SQRT(N726*O726))</x:f>
      </x:c>
      <x:c r="Q726" t="str">
        <x:f>IF(OR(N726="",O726=""),"",N726^0.7*O726^0.3)</x:f>
      </x:c>
      <x:c r="R726" t="str">
        <x:f>IF(OR(N726="",O726=""),"",N726^0.3*O726^0.7)</x:f>
      </x:c>
    </x:row>
    <x:row r="727">
      <x:c r="A727" t="inlineStr">
        <x:is>
          <x:t xml:space="preserve">anthropic|claude-haiku-5-5|max|yes|fallback-na|aa-v4.3.2|snapshot-2026-10-16</x:t>
        </x:is>
      </x:c>
      <x:c r="B727" t="inlineStr">
        <x:is>
          <x:t xml:space="preserve">anthropic|claude-haiku-5-5|max|yes|fallback-na</x:t>
        </x:is>
      </x:c>
      <x:c r="C727" t="inlineStr">
        <x:is>
          <x:t xml:space="preserve">AA|v4.3.2</x:t>
        </x:is>
      </x:c>
      <x:c r="D727" t="n">
        <x:v>92</x:v>
      </x:c>
      <x:c r="E727" t="n">
        <x:v>60</x:v>
      </x:c>
      <x:c r="F727" t="n">
        <x:f>INDEX(Run_Metrics!$F:$F,D727)</x:f>
        <x:v>43</x:v>
      </x:c>
      <x:c r="G727" t="n">
        <x:f>INDEX(Run_Metrics!$G:$G,D727)</x:f>
        <x:v>0.21</x:v>
      </x:c>
      <x:c r="H727" t="str">
        <x:f>INDEX(Run_Metrics!$I:$I,D727)</x:f>
      </x:c>
      <x:c r="I727" t="n">
        <x:f>IF(F727="","",F727-(E727-1))</x:f>
        <x:v>-16</x:v>
      </x:c>
      <x:c r="J727" t="n">
        <x:f>IF(I727&gt;0,1,0)</x:f>
        <x:v>0</x:v>
      </x:c>
      <x:c r="K727" t="str">
        <x:f>IF(OR(J727=0,G727="",G727=0),"",I727/G727)</x:f>
      </x:c>
      <x:c r="L727" t="str">
        <x:f>IF(OR(J727=0,I727=0,G727=""),"",G727/I727)</x:f>
      </x:c>
      <x:c r="M727" t="str">
        <x:f>IF(OR(J727=0,G727="",H727="",G727=0,H727=0),"",I727/(G727*H727))</x:f>
      </x:c>
      <x:c r="N727" t="str">
        <x:f>IF(K727="","",K727/_xlfn.MAXIFS($K:$K,$E:$E,E727))</x:f>
      </x:c>
      <x:c r="O727" t="str">
        <x:f>IF(M727="","",M727/_xlfn.MAXIFS($M:$M,$E:$E,E727))</x:f>
      </x:c>
      <x:c r="P727" t="str">
        <x:f>IF(OR(N727="",O727=""),"",SQRT(N727*O727))</x:f>
      </x:c>
      <x:c r="Q727" t="str">
        <x:f>IF(OR(N727="",O727=""),"",N727^0.7*O727^0.3)</x:f>
      </x:c>
      <x:c r="R727" t="str">
        <x:f>IF(OR(N727="",O727=""),"",N727^0.3*O727^0.7)</x:f>
      </x:c>
    </x:row>
    <x:row r="728">
      <x:c r="A728" t="inlineStr">
        <x:is>
          <x:t xml:space="preserve">anthropic|claude-haiku-5-5|max|yes|fallback-na|aa-v4.3.2|snapshot-2026-10-16</x:t>
        </x:is>
      </x:c>
      <x:c r="B728" t="inlineStr">
        <x:is>
          <x:t xml:space="preserve">anthropic|claude-haiku-5-5|max|yes|fallback-na</x:t>
        </x:is>
      </x:c>
      <x:c r="C728" t="inlineStr">
        <x:is>
          <x:t xml:space="preserve">AA|v4.3.2</x:t>
        </x:is>
      </x:c>
      <x:c r="D728" t="n">
        <x:v>92</x:v>
      </x:c>
      <x:c r="E728" t="n">
        <x:v>70</x:v>
      </x:c>
      <x:c r="F728" t="n">
        <x:f>INDEX(Run_Metrics!$F:$F,D728)</x:f>
        <x:v>43</x:v>
      </x:c>
      <x:c r="G728" t="n">
        <x:f>INDEX(Run_Metrics!$G:$G,D728)</x:f>
        <x:v>0.21</x:v>
      </x:c>
      <x:c r="H728" t="str">
        <x:f>INDEX(Run_Metrics!$I:$I,D728)</x:f>
      </x:c>
      <x:c r="I728" t="n">
        <x:f>IF(F728="","",F728-(E728-1))</x:f>
        <x:v>-26</x:v>
      </x:c>
      <x:c r="J728" t="n">
        <x:f>IF(I728&gt;0,1,0)</x:f>
        <x:v>0</x:v>
      </x:c>
      <x:c r="K728" t="str">
        <x:f>IF(OR(J728=0,G728="",G728=0),"",I728/G728)</x:f>
      </x:c>
      <x:c r="L728" t="str">
        <x:f>IF(OR(J728=0,I728=0,G728=""),"",G728/I728)</x:f>
      </x:c>
      <x:c r="M728" t="str">
        <x:f>IF(OR(J728=0,G728="",H728="",G728=0,H728=0),"",I728/(G728*H728))</x:f>
      </x:c>
      <x:c r="N728" t="str">
        <x:f>IF(K728="","",K728/_xlfn.MAXIFS($K:$K,$E:$E,E728))</x:f>
      </x:c>
      <x:c r="O728" t="str">
        <x:f>IF(M728="","",M728/_xlfn.MAXIFS($M:$M,$E:$E,E728))</x:f>
      </x:c>
      <x:c r="P728" t="str">
        <x:f>IF(OR(N728="",O728=""),"",SQRT(N728*O728))</x:f>
      </x:c>
      <x:c r="Q728" t="str">
        <x:f>IF(OR(N728="",O728=""),"",N728^0.7*O728^0.3)</x:f>
      </x:c>
      <x:c r="R728" t="str">
        <x:f>IF(OR(N728="",O728=""),"",N728^0.3*O728^0.7)</x:f>
      </x:c>
    </x:row>
    <x:row r="729">
      <x:c r="A729" t="inlineStr">
        <x:is>
          <x:t xml:space="preserve">anthropic|claude-haiku-5-5|max|yes|fallback-na|aa-v4.3.2|snapshot-2026-10-16</x:t>
        </x:is>
      </x:c>
      <x:c r="B729" t="inlineStr">
        <x:is>
          <x:t xml:space="preserve">anthropic|claude-haiku-5-5|max|yes|fallback-na</x:t>
        </x:is>
      </x:c>
      <x:c r="C729" t="inlineStr">
        <x:is>
          <x:t xml:space="preserve">AA|v4.3.2</x:t>
        </x:is>
      </x:c>
      <x:c r="D729" t="n">
        <x:v>92</x:v>
      </x:c>
      <x:c r="E729" t="n">
        <x:v>80</x:v>
      </x:c>
      <x:c r="F729" t="n">
        <x:f>INDEX(Run_Metrics!$F:$F,D729)</x:f>
        <x:v>43</x:v>
      </x:c>
      <x:c r="G729" t="n">
        <x:f>INDEX(Run_Metrics!$G:$G,D729)</x:f>
        <x:v>0.21</x:v>
      </x:c>
      <x:c r="H729" t="str">
        <x:f>INDEX(Run_Metrics!$I:$I,D729)</x:f>
      </x:c>
      <x:c r="I729" t="n">
        <x:f>IF(F729="","",F729-(E729-1))</x:f>
        <x:v>-36</x:v>
      </x:c>
      <x:c r="J729" t="n">
        <x:f>IF(I729&gt;0,1,0)</x:f>
        <x:v>0</x:v>
      </x:c>
      <x:c r="K729" t="str">
        <x:f>IF(OR(J729=0,G729="",G729=0),"",I729/G729)</x:f>
      </x:c>
      <x:c r="L729" t="str">
        <x:f>IF(OR(J729=0,I729=0,G729=""),"",G729/I729)</x:f>
      </x:c>
      <x:c r="M729" t="str">
        <x:f>IF(OR(J729=0,G729="",H729="",G729=0,H729=0),"",I729/(G729*H729))</x:f>
      </x:c>
      <x:c r="N729" t="str">
        <x:f>IF(K729="","",K729/_xlfn.MAXIFS($K:$K,$E:$E,E729))</x:f>
      </x:c>
      <x:c r="O729" t="str">
        <x:f>IF(M729="","",M729/_xlfn.MAXIFS($M:$M,$E:$E,E729))</x:f>
      </x:c>
      <x:c r="P729" t="str">
        <x:f>IF(OR(N729="",O729=""),"",SQRT(N729*O729))</x:f>
      </x:c>
      <x:c r="Q729" t="str">
        <x:f>IF(OR(N729="",O729=""),"",N729^0.7*O729^0.3)</x:f>
      </x:c>
      <x:c r="R729" t="str">
        <x:f>IF(OR(N729="",O729=""),"",N729^0.3*O729^0.7)</x:f>
      </x:c>
    </x:row>
    <x:row r="730">
      <x:c r="A730" t="inlineStr">
        <x:is>
          <x:t xml:space="preserve">mistral|mistral-large-4-preview|reasoning|yes|fallback-na|aa-v4.3.2|snapshot-2026-10-16</x:t>
        </x:is>
      </x:c>
      <x:c r="B730" t="inlineStr">
        <x:is>
          <x:t xml:space="preserve">mistral|mistral-large-4-preview|reasoning|yes|fallback-na</x:t>
        </x:is>
      </x:c>
      <x:c r="C730" t="inlineStr">
        <x:is>
          <x:t xml:space="preserve">AA|v4.3.2</x:t>
        </x:is>
      </x:c>
      <x:c r="D730" t="n">
        <x:v>93</x:v>
      </x:c>
      <x:c r="E730" t="n">
        <x:v>10</x:v>
      </x:c>
      <x:c r="F730" t="n">
        <x:f>INDEX(Run_Metrics!$F:$F,D730)</x:f>
        <x:v>38</x:v>
      </x:c>
      <x:c r="G730" t="n">
        <x:f>INDEX(Run_Metrics!$G:$G,D730)</x:f>
        <x:v>1.13</x:v>
      </x:c>
      <x:c r="H730" t="str">
        <x:f>INDEX(Run_Metrics!$I:$I,D730)</x:f>
      </x:c>
      <x:c r="I730" t="n">
        <x:f>IF(F730="","",F730-(E730-1))</x:f>
        <x:v>29</x:v>
      </x:c>
      <x:c r="J730" t="n">
        <x:f>IF(I730&gt;0,1,0)</x:f>
        <x:v>1</x:v>
      </x:c>
      <x:c r="K730" t="n">
        <x:f>IF(OR(J730=0,G730="",G730=0),"",I730/G730)</x:f>
        <x:v>25.663716814159294</x:v>
      </x:c>
      <x:c r="L730" t="n">
        <x:f>IF(OR(J730=0,I730=0,G730=""),"",G730/I730)</x:f>
        <x:v>0.038965517241379304</x:v>
      </x:c>
      <x:c r="M730" t="str">
        <x:f>IF(OR(J730=0,G730="",H730="",G730=0,H730=0),"",I730/(G730*H730))</x:f>
      </x:c>
      <x:c r="N730" t="n">
        <x:f>IF(K730="","",K730/_xlfn.MAXIFS($K:$K,$E:$E,E730))</x:f>
        <x:v>0.008883594281824371</x:v>
      </x:c>
      <x:c r="O730" t="str">
        <x:f>IF(M730="","",M730/_xlfn.MAXIFS($M:$M,$E:$E,E730))</x:f>
      </x:c>
      <x:c r="P730" t="str">
        <x:f>IF(OR(N730="",O730=""),"",SQRT(N730*O730))</x:f>
      </x:c>
      <x:c r="Q730" t="str">
        <x:f>IF(OR(N730="",O730=""),"",N730^0.7*O730^0.3)</x:f>
      </x:c>
      <x:c r="R730" t="str">
        <x:f>IF(OR(N730="",O730=""),"",N730^0.3*O730^0.7)</x:f>
      </x:c>
    </x:row>
    <x:row r="731">
      <x:c r="A731" t="inlineStr">
        <x:is>
          <x:t xml:space="preserve">mistral|mistral-large-4-preview|reasoning|yes|fallback-na|aa-v4.3.2|snapshot-2026-10-16</x:t>
        </x:is>
      </x:c>
      <x:c r="B731" t="inlineStr">
        <x:is>
          <x:t xml:space="preserve">mistral|mistral-large-4-preview|reasoning|yes|fallback-na</x:t>
        </x:is>
      </x:c>
      <x:c r="C731" t="inlineStr">
        <x:is>
          <x:t xml:space="preserve">AA|v4.3.2</x:t>
        </x:is>
      </x:c>
      <x:c r="D731" t="n">
        <x:v>93</x:v>
      </x:c>
      <x:c r="E731" t="n">
        <x:v>20</x:v>
      </x:c>
      <x:c r="F731" t="n">
        <x:f>INDEX(Run_Metrics!$F:$F,D731)</x:f>
        <x:v>38</x:v>
      </x:c>
      <x:c r="G731" t="n">
        <x:f>INDEX(Run_Metrics!$G:$G,D731)</x:f>
        <x:v>1.13</x:v>
      </x:c>
      <x:c r="H731" t="str">
        <x:f>INDEX(Run_Metrics!$I:$I,D731)</x:f>
      </x:c>
      <x:c r="I731" t="n">
        <x:f>IF(F731="","",F731-(E731-1))</x:f>
        <x:v>19</x:v>
      </x:c>
      <x:c r="J731" t="n">
        <x:f>IF(I731&gt;0,1,0)</x:f>
        <x:v>1</x:v>
      </x:c>
      <x:c r="K731" t="n">
        <x:f>IF(OR(J731=0,G731="",G731=0),"",I731/G731)</x:f>
        <x:v>16.8141592920354</x:v>
      </x:c>
      <x:c r="L731" t="n">
        <x:f>IF(OR(J731=0,I731=0,G731=""),"",G731/I731)</x:f>
        <x:v>0.05947368421052631</x:v>
      </x:c>
      <x:c r="M731" t="str">
        <x:f>IF(OR(J731=0,G731="",H731="",G731=0,H731=0),"",I731/(G731*H731))</x:f>
      </x:c>
      <x:c r="N731" t="n">
        <x:f>IF(K731="","",K731/_xlfn.MAXIFS($K:$K,$E:$E,E731))</x:f>
        <x:v>0.025221238938053094</x:v>
      </x:c>
      <x:c r="O731" t="str">
        <x:f>IF(M731="","",M731/_xlfn.MAXIFS($M:$M,$E:$E,E731))</x:f>
      </x:c>
      <x:c r="P731" t="str">
        <x:f>IF(OR(N731="",O731=""),"",SQRT(N731*O731))</x:f>
      </x:c>
      <x:c r="Q731" t="str">
        <x:f>IF(OR(N731="",O731=""),"",N731^0.7*O731^0.3)</x:f>
      </x:c>
      <x:c r="R731" t="str">
        <x:f>IF(OR(N731="",O731=""),"",N731^0.3*O731^0.7)</x:f>
      </x:c>
    </x:row>
    <x:row r="732">
      <x:c r="A732" t="inlineStr">
        <x:is>
          <x:t xml:space="preserve">mistral|mistral-large-4-preview|reasoning|yes|fallback-na|aa-v4.3.2|snapshot-2026-10-16</x:t>
        </x:is>
      </x:c>
      <x:c r="B732" t="inlineStr">
        <x:is>
          <x:t xml:space="preserve">mistral|mistral-large-4-preview|reasoning|yes|fallback-na</x:t>
        </x:is>
      </x:c>
      <x:c r="C732" t="inlineStr">
        <x:is>
          <x:t xml:space="preserve">AA|v4.3.2</x:t>
        </x:is>
      </x:c>
      <x:c r="D732" t="n">
        <x:v>93</x:v>
      </x:c>
      <x:c r="E732" t="n">
        <x:v>30</x:v>
      </x:c>
      <x:c r="F732" t="n">
        <x:f>INDEX(Run_Metrics!$F:$F,D732)</x:f>
        <x:v>38</x:v>
      </x:c>
      <x:c r="G732" t="n">
        <x:f>INDEX(Run_Metrics!$G:$G,D732)</x:f>
        <x:v>1.13</x:v>
      </x:c>
      <x:c r="H732" t="str">
        <x:f>INDEX(Run_Metrics!$I:$I,D732)</x:f>
      </x:c>
      <x:c r="I732" t="n">
        <x:f>IF(F732="","",F732-(E732-1))</x:f>
        <x:v>9</x:v>
      </x:c>
      <x:c r="J732" t="n">
        <x:f>IF(I732&gt;0,1,0)</x:f>
        <x:v>1</x:v>
      </x:c>
      <x:c r="K732" t="n">
        <x:f>IF(OR(J732=0,G732="",G732=0),"",I732/G732)</x:f>
        <x:v>7.964601769911505</x:v>
      </x:c>
      <x:c r="L732" t="n">
        <x:f>IF(OR(J732=0,I732=0,G732=""),"",G732/I732)</x:f>
        <x:v>0.12555555555555553</x:v>
      </x:c>
      <x:c r="M732" t="str">
        <x:f>IF(OR(J732=0,G732="",H732="",G732=0,H732=0),"",I732/(G732*H732))</x:f>
      </x:c>
      <x:c r="N732" t="n">
        <x:f>IF(K732="","",K732/_xlfn.MAXIFS($K:$K,$E:$E,E732))</x:f>
        <x:v>0.05309734513274337</x:v>
      </x:c>
      <x:c r="O732" t="str">
        <x:f>IF(M732="","",M732/_xlfn.MAXIFS($M:$M,$E:$E,E732))</x:f>
      </x:c>
      <x:c r="P732" t="str">
        <x:f>IF(OR(N732="",O732=""),"",SQRT(N732*O732))</x:f>
      </x:c>
      <x:c r="Q732" t="str">
        <x:f>IF(OR(N732="",O732=""),"",N732^0.7*O732^0.3)</x:f>
      </x:c>
      <x:c r="R732" t="str">
        <x:f>IF(OR(N732="",O732=""),"",N732^0.3*O732^0.7)</x:f>
      </x:c>
    </x:row>
    <x:row r="733">
      <x:c r="A733" t="inlineStr">
        <x:is>
          <x:t xml:space="preserve">mistral|mistral-large-4-preview|reasoning|yes|fallback-na|aa-v4.3.2|snapshot-2026-10-16</x:t>
        </x:is>
      </x:c>
      <x:c r="B733" t="inlineStr">
        <x:is>
          <x:t xml:space="preserve">mistral|mistral-large-4-preview|reasoning|yes|fallback-na</x:t>
        </x:is>
      </x:c>
      <x:c r="C733" t="inlineStr">
        <x:is>
          <x:t xml:space="preserve">AA|v4.3.2</x:t>
        </x:is>
      </x:c>
      <x:c r="D733" t="n">
        <x:v>93</x:v>
      </x:c>
      <x:c r="E733" t="n">
        <x:v>40</x:v>
      </x:c>
      <x:c r="F733" t="n">
        <x:f>INDEX(Run_Metrics!$F:$F,D733)</x:f>
        <x:v>38</x:v>
      </x:c>
      <x:c r="G733" t="n">
        <x:f>INDEX(Run_Metrics!$G:$G,D733)</x:f>
        <x:v>1.13</x:v>
      </x:c>
      <x:c r="H733" t="str">
        <x:f>INDEX(Run_Metrics!$I:$I,D733)</x:f>
      </x:c>
      <x:c r="I733" t="n">
        <x:f>IF(F733="","",F733-(E733-1))</x:f>
        <x:v>-1</x:v>
      </x:c>
      <x:c r="J733" t="n">
        <x:f>IF(I733&gt;0,1,0)</x:f>
        <x:v>0</x:v>
      </x:c>
      <x:c r="K733" t="str">
        <x:f>IF(OR(J733=0,G733="",G733=0),"",I733/G733)</x:f>
      </x:c>
      <x:c r="L733" t="str">
        <x:f>IF(OR(J733=0,I733=0,G733=""),"",G733/I733)</x:f>
      </x:c>
      <x:c r="M733" t="str">
        <x:f>IF(OR(J733=0,G733="",H733="",G733=0,H733=0),"",I733/(G733*H733))</x:f>
      </x:c>
      <x:c r="N733" t="str">
        <x:f>IF(K733="","",K733/_xlfn.MAXIFS($K:$K,$E:$E,E733))</x:f>
      </x:c>
      <x:c r="O733" t="str">
        <x:f>IF(M733="","",M733/_xlfn.MAXIFS($M:$M,$E:$E,E733))</x:f>
      </x:c>
      <x:c r="P733" t="str">
        <x:f>IF(OR(N733="",O733=""),"",SQRT(N733*O733))</x:f>
      </x:c>
      <x:c r="Q733" t="str">
        <x:f>IF(OR(N733="",O733=""),"",N733^0.7*O733^0.3)</x:f>
      </x:c>
      <x:c r="R733" t="str">
        <x:f>IF(OR(N733="",O733=""),"",N733^0.3*O733^0.7)</x:f>
      </x:c>
    </x:row>
    <x:row r="734">
      <x:c r="A734" t="inlineStr">
        <x:is>
          <x:t xml:space="preserve">mistral|mistral-large-4-preview|reasoning|yes|fallback-na|aa-v4.3.2|snapshot-2026-10-16</x:t>
        </x:is>
      </x:c>
      <x:c r="B734" t="inlineStr">
        <x:is>
          <x:t xml:space="preserve">mistral|mistral-large-4-preview|reasoning|yes|fallback-na</x:t>
        </x:is>
      </x:c>
      <x:c r="C734" t="inlineStr">
        <x:is>
          <x:t xml:space="preserve">AA|v4.3.2</x:t>
        </x:is>
      </x:c>
      <x:c r="D734" t="n">
        <x:v>93</x:v>
      </x:c>
      <x:c r="E734" t="n">
        <x:v>50</x:v>
      </x:c>
      <x:c r="F734" t="n">
        <x:f>INDEX(Run_Metrics!$F:$F,D734)</x:f>
        <x:v>38</x:v>
      </x:c>
      <x:c r="G734" t="n">
        <x:f>INDEX(Run_Metrics!$G:$G,D734)</x:f>
        <x:v>1.13</x:v>
      </x:c>
      <x:c r="H734" t="str">
        <x:f>INDEX(Run_Metrics!$I:$I,D734)</x:f>
      </x:c>
      <x:c r="I734" t="n">
        <x:f>IF(F734="","",F734-(E734-1))</x:f>
        <x:v>-11</x:v>
      </x:c>
      <x:c r="J734" t="n">
        <x:f>IF(I734&gt;0,1,0)</x:f>
        <x:v>0</x:v>
      </x:c>
      <x:c r="K734" t="str">
        <x:f>IF(OR(J734=0,G734="",G734=0),"",I734/G734)</x:f>
      </x:c>
      <x:c r="L734" t="str">
        <x:f>IF(OR(J734=0,I734=0,G734=""),"",G734/I734)</x:f>
      </x:c>
      <x:c r="M734" t="str">
        <x:f>IF(OR(J734=0,G734="",H734="",G734=0,H734=0),"",I734/(G734*H734))</x:f>
      </x:c>
      <x:c r="N734" t="str">
        <x:f>IF(K734="","",K734/_xlfn.MAXIFS($K:$K,$E:$E,E734))</x:f>
      </x:c>
      <x:c r="O734" t="str">
        <x:f>IF(M734="","",M734/_xlfn.MAXIFS($M:$M,$E:$E,E734))</x:f>
      </x:c>
      <x:c r="P734" t="str">
        <x:f>IF(OR(N734="",O734=""),"",SQRT(N734*O734))</x:f>
      </x:c>
      <x:c r="Q734" t="str">
        <x:f>IF(OR(N734="",O734=""),"",N734^0.7*O734^0.3)</x:f>
      </x:c>
      <x:c r="R734" t="str">
        <x:f>IF(OR(N734="",O734=""),"",N734^0.3*O734^0.7)</x:f>
      </x:c>
    </x:row>
    <x:row r="735">
      <x:c r="A735" t="inlineStr">
        <x:is>
          <x:t xml:space="preserve">mistral|mistral-large-4-preview|reasoning|yes|fallback-na|aa-v4.3.2|snapshot-2026-10-16</x:t>
        </x:is>
      </x:c>
      <x:c r="B735" t="inlineStr">
        <x:is>
          <x:t xml:space="preserve">mistral|mistral-large-4-preview|reasoning|yes|fallback-na</x:t>
        </x:is>
      </x:c>
      <x:c r="C735" t="inlineStr">
        <x:is>
          <x:t xml:space="preserve">AA|v4.3.2</x:t>
        </x:is>
      </x:c>
      <x:c r="D735" t="n">
        <x:v>93</x:v>
      </x:c>
      <x:c r="E735" t="n">
        <x:v>60</x:v>
      </x:c>
      <x:c r="F735" t="n">
        <x:f>INDEX(Run_Metrics!$F:$F,D735)</x:f>
        <x:v>38</x:v>
      </x:c>
      <x:c r="G735" t="n">
        <x:f>INDEX(Run_Metrics!$G:$G,D735)</x:f>
        <x:v>1.13</x:v>
      </x:c>
      <x:c r="H735" t="str">
        <x:f>INDEX(Run_Metrics!$I:$I,D735)</x:f>
      </x:c>
      <x:c r="I735" t="n">
        <x:f>IF(F735="","",F735-(E735-1))</x:f>
        <x:v>-21</x:v>
      </x:c>
      <x:c r="J735" t="n">
        <x:f>IF(I735&gt;0,1,0)</x:f>
        <x:v>0</x:v>
      </x:c>
      <x:c r="K735" t="str">
        <x:f>IF(OR(J735=0,G735="",G735=0),"",I735/G735)</x:f>
      </x:c>
      <x:c r="L735" t="str">
        <x:f>IF(OR(J735=0,I735=0,G735=""),"",G735/I735)</x:f>
      </x:c>
      <x:c r="M735" t="str">
        <x:f>IF(OR(J735=0,G735="",H735="",G735=0,H735=0),"",I735/(G735*H735))</x:f>
      </x:c>
      <x:c r="N735" t="str">
        <x:f>IF(K735="","",K735/_xlfn.MAXIFS($K:$K,$E:$E,E735))</x:f>
      </x:c>
      <x:c r="O735" t="str">
        <x:f>IF(M735="","",M735/_xlfn.MAXIFS($M:$M,$E:$E,E735))</x:f>
      </x:c>
      <x:c r="P735" t="str">
        <x:f>IF(OR(N735="",O735=""),"",SQRT(N735*O735))</x:f>
      </x:c>
      <x:c r="Q735" t="str">
        <x:f>IF(OR(N735="",O735=""),"",N735^0.7*O735^0.3)</x:f>
      </x:c>
      <x:c r="R735" t="str">
        <x:f>IF(OR(N735="",O735=""),"",N735^0.3*O735^0.7)</x:f>
      </x:c>
    </x:row>
    <x:row r="736">
      <x:c r="A736" t="inlineStr">
        <x:is>
          <x:t xml:space="preserve">mistral|mistral-large-4-preview|reasoning|yes|fallback-na|aa-v4.3.2|snapshot-2026-10-16</x:t>
        </x:is>
      </x:c>
      <x:c r="B736" t="inlineStr">
        <x:is>
          <x:t xml:space="preserve">mistral|mistral-large-4-preview|reasoning|yes|fallback-na</x:t>
        </x:is>
      </x:c>
      <x:c r="C736" t="inlineStr">
        <x:is>
          <x:t xml:space="preserve">AA|v4.3.2</x:t>
        </x:is>
      </x:c>
      <x:c r="D736" t="n">
        <x:v>93</x:v>
      </x:c>
      <x:c r="E736" t="n">
        <x:v>70</x:v>
      </x:c>
      <x:c r="F736" t="n">
        <x:f>INDEX(Run_Metrics!$F:$F,D736)</x:f>
        <x:v>38</x:v>
      </x:c>
      <x:c r="G736" t="n">
        <x:f>INDEX(Run_Metrics!$G:$G,D736)</x:f>
        <x:v>1.13</x:v>
      </x:c>
      <x:c r="H736" t="str">
        <x:f>INDEX(Run_Metrics!$I:$I,D736)</x:f>
      </x:c>
      <x:c r="I736" t="n">
        <x:f>IF(F736="","",F736-(E736-1))</x:f>
        <x:v>-31</x:v>
      </x:c>
      <x:c r="J736" t="n">
        <x:f>IF(I736&gt;0,1,0)</x:f>
        <x:v>0</x:v>
      </x:c>
      <x:c r="K736" t="str">
        <x:f>IF(OR(J736=0,G736="",G736=0),"",I736/G736)</x:f>
      </x:c>
      <x:c r="L736" t="str">
        <x:f>IF(OR(J736=0,I736=0,G736=""),"",G736/I736)</x:f>
      </x:c>
      <x:c r="M736" t="str">
        <x:f>IF(OR(J736=0,G736="",H736="",G736=0,H736=0),"",I736/(G736*H736))</x:f>
      </x:c>
      <x:c r="N736" t="str">
        <x:f>IF(K736="","",K736/_xlfn.MAXIFS($K:$K,$E:$E,E736))</x:f>
      </x:c>
      <x:c r="O736" t="str">
        <x:f>IF(M736="","",M736/_xlfn.MAXIFS($M:$M,$E:$E,E736))</x:f>
      </x:c>
      <x:c r="P736" t="str">
        <x:f>IF(OR(N736="",O736=""),"",SQRT(N736*O736))</x:f>
      </x:c>
      <x:c r="Q736" t="str">
        <x:f>IF(OR(N736="",O736=""),"",N736^0.7*O736^0.3)</x:f>
      </x:c>
      <x:c r="R736" t="str">
        <x:f>IF(OR(N736="",O736=""),"",N736^0.3*O736^0.7)</x:f>
      </x:c>
    </x:row>
    <x:row r="737">
      <x:c r="A737" t="inlineStr">
        <x:is>
          <x:t xml:space="preserve">mistral|mistral-large-4-preview|reasoning|yes|fallback-na|aa-v4.3.2|snapshot-2026-10-16</x:t>
        </x:is>
      </x:c>
      <x:c r="B737" t="inlineStr">
        <x:is>
          <x:t xml:space="preserve">mistral|mistral-large-4-preview|reasoning|yes|fallback-na</x:t>
        </x:is>
      </x:c>
      <x:c r="C737" t="inlineStr">
        <x:is>
          <x:t xml:space="preserve">AA|v4.3.2</x:t>
        </x:is>
      </x:c>
      <x:c r="D737" t="n">
        <x:v>93</x:v>
      </x:c>
      <x:c r="E737" t="n">
        <x:v>80</x:v>
      </x:c>
      <x:c r="F737" t="n">
        <x:f>INDEX(Run_Metrics!$F:$F,D737)</x:f>
        <x:v>38</x:v>
      </x:c>
      <x:c r="G737" t="n">
        <x:f>INDEX(Run_Metrics!$G:$G,D737)</x:f>
        <x:v>1.13</x:v>
      </x:c>
      <x:c r="H737" t="str">
        <x:f>INDEX(Run_Metrics!$I:$I,D737)</x:f>
      </x:c>
      <x:c r="I737" t="n">
        <x:f>IF(F737="","",F737-(E737-1))</x:f>
        <x:v>-41</x:v>
      </x:c>
      <x:c r="J737" t="n">
        <x:f>IF(I737&gt;0,1,0)</x:f>
        <x:v>0</x:v>
      </x:c>
      <x:c r="K737" t="str">
        <x:f>IF(OR(J737=0,G737="",G737=0),"",I737/G737)</x:f>
      </x:c>
      <x:c r="L737" t="str">
        <x:f>IF(OR(J737=0,I737=0,G737=""),"",G737/I737)</x:f>
      </x:c>
      <x:c r="M737" t="str">
        <x:f>IF(OR(J737=0,G737="",H737="",G737=0,H737=0),"",I737/(G737*H737))</x:f>
      </x:c>
      <x:c r="N737" t="str">
        <x:f>IF(K737="","",K737/_xlfn.MAXIFS($K:$K,$E:$E,E737))</x:f>
      </x:c>
      <x:c r="O737" t="str">
        <x:f>IF(M737="","",M737/_xlfn.MAXIFS($M:$M,$E:$E,E737))</x:f>
      </x:c>
      <x:c r="P737" t="str">
        <x:f>IF(OR(N737="",O737=""),"",SQRT(N737*O737))</x:f>
      </x:c>
      <x:c r="Q737" t="str">
        <x:f>IF(OR(N737="",O737=""),"",N737^0.7*O737^0.3)</x:f>
      </x:c>
      <x:c r="R737" t="str">
        <x:f>IF(OR(N737="",O737=""),"",N737^0.3*O737^0.7)</x:f>
      </x:c>
    </x:row>
    <x:row r="738">
      <x:c r="A738" t="inlineStr">
        <x:is>
          <x:t xml:space="preserve">spacexai|grok-4-7|xhigh|yes|fallback-na|aa-v4.3.2|snapshot-2026-10-16</x:t>
        </x:is>
      </x:c>
      <x:c r="B738" t="inlineStr">
        <x:is>
          <x:t xml:space="preserve">spacexai|grok-4-7|xhigh|yes|fallback-na</x:t>
        </x:is>
      </x:c>
      <x:c r="C738" t="inlineStr">
        <x:is>
          <x:t xml:space="preserve">AA|v4.3.2</x:t>
        </x:is>
      </x:c>
      <x:c r="D738" t="n">
        <x:v>94</x:v>
      </x:c>
      <x:c r="E738" t="n">
        <x:v>10</x:v>
      </x:c>
      <x:c r="F738" t="n">
        <x:f>INDEX(Run_Metrics!$F:$F,D738)</x:f>
        <x:v>46</x:v>
      </x:c>
      <x:c r="G738" t="n">
        <x:f>INDEX(Run_Metrics!$G:$G,D738)</x:f>
        <x:v>3.74</x:v>
      </x:c>
      <x:c r="H738" t="str">
        <x:f>INDEX(Run_Metrics!$I:$I,D738)</x:f>
      </x:c>
      <x:c r="I738" t="n">
        <x:f>IF(F738="","",F738-(E738-1))</x:f>
        <x:v>37</x:v>
      </x:c>
      <x:c r="J738" t="n">
        <x:f>IF(I738&gt;0,1,0)</x:f>
        <x:v>1</x:v>
      </x:c>
      <x:c r="K738" t="n">
        <x:f>IF(OR(J738=0,G738="",G738=0),"",I738/G738)</x:f>
        <x:v>9.893048128342246</x:v>
      </x:c>
      <x:c r="L738" t="n">
        <x:f>IF(OR(J738=0,I738=0,G738=""),"",G738/I738)</x:f>
        <x:v>0.10108108108108109</x:v>
      </x:c>
      <x:c r="M738" t="str">
        <x:f>IF(OR(J738=0,G738="",H738="",G738=0,H738=0),"",I738/(G738*H738))</x:f>
      </x:c>
      <x:c r="N738" t="n">
        <x:f>IF(K738="","",K738/_xlfn.MAXIFS($K:$K,$E:$E,E738))</x:f>
        <x:v>0.003424516659810777</x:v>
      </x:c>
      <x:c r="O738" t="str">
        <x:f>IF(M738="","",M738/_xlfn.MAXIFS($M:$M,$E:$E,E738))</x:f>
      </x:c>
      <x:c r="P738" t="str">
        <x:f>IF(OR(N738="",O738=""),"",SQRT(N738*O738))</x:f>
      </x:c>
      <x:c r="Q738" t="str">
        <x:f>IF(OR(N738="",O738=""),"",N738^0.7*O738^0.3)</x:f>
      </x:c>
      <x:c r="R738" t="str">
        <x:f>IF(OR(N738="",O738=""),"",N738^0.3*O738^0.7)</x:f>
      </x:c>
    </x:row>
    <x:row r="739">
      <x:c r="A739" t="inlineStr">
        <x:is>
          <x:t xml:space="preserve">spacexai|grok-4-7|xhigh|yes|fallback-na|aa-v4.3.2|snapshot-2026-10-16</x:t>
        </x:is>
      </x:c>
      <x:c r="B739" t="inlineStr">
        <x:is>
          <x:t xml:space="preserve">spacexai|grok-4-7|xhigh|yes|fallback-na</x:t>
        </x:is>
      </x:c>
      <x:c r="C739" t="inlineStr">
        <x:is>
          <x:t xml:space="preserve">AA|v4.3.2</x:t>
        </x:is>
      </x:c>
      <x:c r="D739" t="n">
        <x:v>94</x:v>
      </x:c>
      <x:c r="E739" t="n">
        <x:v>20</x:v>
      </x:c>
      <x:c r="F739" t="n">
        <x:f>INDEX(Run_Metrics!$F:$F,D739)</x:f>
        <x:v>46</x:v>
      </x:c>
      <x:c r="G739" t="n">
        <x:f>INDEX(Run_Metrics!$G:$G,D739)</x:f>
        <x:v>3.74</x:v>
      </x:c>
      <x:c r="H739" t="str">
        <x:f>INDEX(Run_Metrics!$I:$I,D739)</x:f>
      </x:c>
      <x:c r="I739" t="n">
        <x:f>IF(F739="","",F739-(E739-1))</x:f>
        <x:v>27</x:v>
      </x:c>
      <x:c r="J739" t="n">
        <x:f>IF(I739&gt;0,1,0)</x:f>
        <x:v>1</x:v>
      </x:c>
      <x:c r="K739" t="n">
        <x:f>IF(OR(J739=0,G739="",G739=0),"",I739/G739)</x:f>
        <x:v>7.219251336898395</x:v>
      </x:c>
      <x:c r="L739" t="n">
        <x:f>IF(OR(J739=0,I739=0,G739=""),"",G739/I739)</x:f>
        <x:v>0.1385185185185185</x:v>
      </x:c>
      <x:c r="M739" t="str">
        <x:f>IF(OR(J739=0,G739="",H739="",G739=0,H739=0),"",I739/(G739*H739))</x:f>
      </x:c>
      <x:c r="N739" t="n">
        <x:f>IF(K739="","",K739/_xlfn.MAXIFS($K:$K,$E:$E,E739))</x:f>
        <x:v>0.010828877005347591</x:v>
      </x:c>
      <x:c r="O739" t="str">
        <x:f>IF(M739="","",M739/_xlfn.MAXIFS($M:$M,$E:$E,E739))</x:f>
      </x:c>
      <x:c r="P739" t="str">
        <x:f>IF(OR(N739="",O739=""),"",SQRT(N739*O739))</x:f>
      </x:c>
      <x:c r="Q739" t="str">
        <x:f>IF(OR(N739="",O739=""),"",N739^0.7*O739^0.3)</x:f>
      </x:c>
      <x:c r="R739" t="str">
        <x:f>IF(OR(N739="",O739=""),"",N739^0.3*O739^0.7)</x:f>
      </x:c>
    </x:row>
    <x:row r="740">
      <x:c r="A740" t="inlineStr">
        <x:is>
          <x:t xml:space="preserve">spacexai|grok-4-7|xhigh|yes|fallback-na|aa-v4.3.2|snapshot-2026-10-16</x:t>
        </x:is>
      </x:c>
      <x:c r="B740" t="inlineStr">
        <x:is>
          <x:t xml:space="preserve">spacexai|grok-4-7|xhigh|yes|fallback-na</x:t>
        </x:is>
      </x:c>
      <x:c r="C740" t="inlineStr">
        <x:is>
          <x:t xml:space="preserve">AA|v4.3.2</x:t>
        </x:is>
      </x:c>
      <x:c r="D740" t="n">
        <x:v>94</x:v>
      </x:c>
      <x:c r="E740" t="n">
        <x:v>30</x:v>
      </x:c>
      <x:c r="F740" t="n">
        <x:f>INDEX(Run_Metrics!$F:$F,D740)</x:f>
        <x:v>46</x:v>
      </x:c>
      <x:c r="G740" t="n">
        <x:f>INDEX(Run_Metrics!$G:$G,D740)</x:f>
        <x:v>3.74</x:v>
      </x:c>
      <x:c r="H740" t="str">
        <x:f>INDEX(Run_Metrics!$I:$I,D740)</x:f>
      </x:c>
      <x:c r="I740" t="n">
        <x:f>IF(F740="","",F740-(E740-1))</x:f>
        <x:v>17</x:v>
      </x:c>
      <x:c r="J740" t="n">
        <x:f>IF(I740&gt;0,1,0)</x:f>
        <x:v>1</x:v>
      </x:c>
      <x:c r="K740" t="n">
        <x:f>IF(OR(J740=0,G740="",G740=0),"",I740/G740)</x:f>
        <x:v>4.545454545454545</x:v>
      </x:c>
      <x:c r="L740" t="n">
        <x:f>IF(OR(J740=0,I740=0,G740=""),"",G740/I740)</x:f>
        <x:v>0.22</x:v>
      </x:c>
      <x:c r="M740" t="str">
        <x:f>IF(OR(J740=0,G740="",H740="",G740=0,H740=0),"",I740/(G740*H740))</x:f>
      </x:c>
      <x:c r="N740" t="n">
        <x:f>IF(K740="","",K740/_xlfn.MAXIFS($K:$K,$E:$E,E740))</x:f>
        <x:v>0.0303030303030303</x:v>
      </x:c>
      <x:c r="O740" t="str">
        <x:f>IF(M740="","",M740/_xlfn.MAXIFS($M:$M,$E:$E,E740))</x:f>
      </x:c>
      <x:c r="P740" t="str">
        <x:f>IF(OR(N740="",O740=""),"",SQRT(N740*O740))</x:f>
      </x:c>
      <x:c r="Q740" t="str">
        <x:f>IF(OR(N740="",O740=""),"",N740^0.7*O740^0.3)</x:f>
      </x:c>
      <x:c r="R740" t="str">
        <x:f>IF(OR(N740="",O740=""),"",N740^0.3*O740^0.7)</x:f>
      </x:c>
    </x:row>
    <x:row r="741">
      <x:c r="A741" t="inlineStr">
        <x:is>
          <x:t xml:space="preserve">spacexai|grok-4-7|xhigh|yes|fallback-na|aa-v4.3.2|snapshot-2026-10-16</x:t>
        </x:is>
      </x:c>
      <x:c r="B741" t="inlineStr">
        <x:is>
          <x:t xml:space="preserve">spacexai|grok-4-7|xhigh|yes|fallback-na</x:t>
        </x:is>
      </x:c>
      <x:c r="C741" t="inlineStr">
        <x:is>
          <x:t xml:space="preserve">AA|v4.3.2</x:t>
        </x:is>
      </x:c>
      <x:c r="D741" t="n">
        <x:v>94</x:v>
      </x:c>
      <x:c r="E741" t="n">
        <x:v>40</x:v>
      </x:c>
      <x:c r="F741" t="n">
        <x:f>INDEX(Run_Metrics!$F:$F,D741)</x:f>
        <x:v>46</x:v>
      </x:c>
      <x:c r="G741" t="n">
        <x:f>INDEX(Run_Metrics!$G:$G,D741)</x:f>
        <x:v>3.74</x:v>
      </x:c>
      <x:c r="H741" t="str">
        <x:f>INDEX(Run_Metrics!$I:$I,D741)</x:f>
      </x:c>
      <x:c r="I741" t="n">
        <x:f>IF(F741="","",F741-(E741-1))</x:f>
        <x:v>7</x:v>
      </x:c>
      <x:c r="J741" t="n">
        <x:f>IF(I741&gt;0,1,0)</x:f>
        <x:v>1</x:v>
      </x:c>
      <x:c r="K741" t="n">
        <x:f>IF(OR(J741=0,G741="",G741=0),"",I741/G741)</x:f>
        <x:v>1.8716577540106951</x:v>
      </x:c>
      <x:c r="L741" t="n">
        <x:f>IF(OR(J741=0,I741=0,G741=""),"",G741/I741)</x:f>
        <x:v>0.5342857142857144</x:v>
      </x:c>
      <x:c r="M741" t="str">
        <x:f>IF(OR(J741=0,G741="",H741="",G741=0,H741=0),"",I741/(G741*H741))</x:f>
      </x:c>
      <x:c r="N741" t="n">
        <x:f>IF(K741="","",K741/_xlfn.MAXIFS($K:$K,$E:$E,E741))</x:f>
        <x:v>0.034759358288770054</x:v>
      </x:c>
      <x:c r="O741" t="str">
        <x:f>IF(M741="","",M741/_xlfn.MAXIFS($M:$M,$E:$E,E741))</x:f>
      </x:c>
      <x:c r="P741" t="str">
        <x:f>IF(OR(N741="",O741=""),"",SQRT(N741*O741))</x:f>
      </x:c>
      <x:c r="Q741" t="str">
        <x:f>IF(OR(N741="",O741=""),"",N741^0.7*O741^0.3)</x:f>
      </x:c>
      <x:c r="R741" t="str">
        <x:f>IF(OR(N741="",O741=""),"",N741^0.3*O741^0.7)</x:f>
      </x:c>
    </x:row>
    <x:row r="742">
      <x:c r="A742" t="inlineStr">
        <x:is>
          <x:t xml:space="preserve">spacexai|grok-4-7|xhigh|yes|fallback-na|aa-v4.3.2|snapshot-2026-10-16</x:t>
        </x:is>
      </x:c>
      <x:c r="B742" t="inlineStr">
        <x:is>
          <x:t xml:space="preserve">spacexai|grok-4-7|xhigh|yes|fallback-na</x:t>
        </x:is>
      </x:c>
      <x:c r="C742" t="inlineStr">
        <x:is>
          <x:t xml:space="preserve">AA|v4.3.2</x:t>
        </x:is>
      </x:c>
      <x:c r="D742" t="n">
        <x:v>94</x:v>
      </x:c>
      <x:c r="E742" t="n">
        <x:v>50</x:v>
      </x:c>
      <x:c r="F742" t="n">
        <x:f>INDEX(Run_Metrics!$F:$F,D742)</x:f>
        <x:v>46</x:v>
      </x:c>
      <x:c r="G742" t="n">
        <x:f>INDEX(Run_Metrics!$G:$G,D742)</x:f>
        <x:v>3.74</x:v>
      </x:c>
      <x:c r="H742" t="str">
        <x:f>INDEX(Run_Metrics!$I:$I,D742)</x:f>
      </x:c>
      <x:c r="I742" t="n">
        <x:f>IF(F742="","",F742-(E742-1))</x:f>
        <x:v>-3</x:v>
      </x:c>
      <x:c r="J742" t="n">
        <x:f>IF(I742&gt;0,1,0)</x:f>
        <x:v>0</x:v>
      </x:c>
      <x:c r="K742" t="str">
        <x:f>IF(OR(J742=0,G742="",G742=0),"",I742/G742)</x:f>
      </x:c>
      <x:c r="L742" t="str">
        <x:f>IF(OR(J742=0,I742=0,G742=""),"",G742/I742)</x:f>
      </x:c>
      <x:c r="M742" t="str">
        <x:f>IF(OR(J742=0,G742="",H742="",G742=0,H742=0),"",I742/(G742*H742))</x:f>
      </x:c>
      <x:c r="N742" t="str">
        <x:f>IF(K742="","",K742/_xlfn.MAXIFS($K:$K,$E:$E,E742))</x:f>
      </x:c>
      <x:c r="O742" t="str">
        <x:f>IF(M742="","",M742/_xlfn.MAXIFS($M:$M,$E:$E,E742))</x:f>
      </x:c>
      <x:c r="P742" t="str">
        <x:f>IF(OR(N742="",O742=""),"",SQRT(N742*O742))</x:f>
      </x:c>
      <x:c r="Q742" t="str">
        <x:f>IF(OR(N742="",O742=""),"",N742^0.7*O742^0.3)</x:f>
      </x:c>
      <x:c r="R742" t="str">
        <x:f>IF(OR(N742="",O742=""),"",N742^0.3*O742^0.7)</x:f>
      </x:c>
    </x:row>
    <x:row r="743">
      <x:c r="A743" t="inlineStr">
        <x:is>
          <x:t xml:space="preserve">spacexai|grok-4-7|xhigh|yes|fallback-na|aa-v4.3.2|snapshot-2026-10-16</x:t>
        </x:is>
      </x:c>
      <x:c r="B743" t="inlineStr">
        <x:is>
          <x:t xml:space="preserve">spacexai|grok-4-7|xhigh|yes|fallback-na</x:t>
        </x:is>
      </x:c>
      <x:c r="C743" t="inlineStr">
        <x:is>
          <x:t xml:space="preserve">AA|v4.3.2</x:t>
        </x:is>
      </x:c>
      <x:c r="D743" t="n">
        <x:v>94</x:v>
      </x:c>
      <x:c r="E743" t="n">
        <x:v>60</x:v>
      </x:c>
      <x:c r="F743" t="n">
        <x:f>INDEX(Run_Metrics!$F:$F,D743)</x:f>
        <x:v>46</x:v>
      </x:c>
      <x:c r="G743" t="n">
        <x:f>INDEX(Run_Metrics!$G:$G,D743)</x:f>
        <x:v>3.74</x:v>
      </x:c>
      <x:c r="H743" t="str">
        <x:f>INDEX(Run_Metrics!$I:$I,D743)</x:f>
      </x:c>
      <x:c r="I743" t="n">
        <x:f>IF(F743="","",F743-(E743-1))</x:f>
        <x:v>-13</x:v>
      </x:c>
      <x:c r="J743" t="n">
        <x:f>IF(I743&gt;0,1,0)</x:f>
        <x:v>0</x:v>
      </x:c>
      <x:c r="K743" t="str">
        <x:f>IF(OR(J743=0,G743="",G743=0),"",I743/G743)</x:f>
      </x:c>
      <x:c r="L743" t="str">
        <x:f>IF(OR(J743=0,I743=0,G743=""),"",G743/I743)</x:f>
      </x:c>
      <x:c r="M743" t="str">
        <x:f>IF(OR(J743=0,G743="",H743="",G743=0,H743=0),"",I743/(G743*H743))</x:f>
      </x:c>
      <x:c r="N743" t="str">
        <x:f>IF(K743="","",K743/_xlfn.MAXIFS($K:$K,$E:$E,E743))</x:f>
      </x:c>
      <x:c r="O743" t="str">
        <x:f>IF(M743="","",M743/_xlfn.MAXIFS($M:$M,$E:$E,E743))</x:f>
      </x:c>
      <x:c r="P743" t="str">
        <x:f>IF(OR(N743="",O743=""),"",SQRT(N743*O743))</x:f>
      </x:c>
      <x:c r="Q743" t="str">
        <x:f>IF(OR(N743="",O743=""),"",N743^0.7*O743^0.3)</x:f>
      </x:c>
      <x:c r="R743" t="str">
        <x:f>IF(OR(N743="",O743=""),"",N743^0.3*O743^0.7)</x:f>
      </x:c>
    </x:row>
    <x:row r="744">
      <x:c r="A744" t="inlineStr">
        <x:is>
          <x:t xml:space="preserve">spacexai|grok-4-7|xhigh|yes|fallback-na|aa-v4.3.2|snapshot-2026-10-16</x:t>
        </x:is>
      </x:c>
      <x:c r="B744" t="inlineStr">
        <x:is>
          <x:t xml:space="preserve">spacexai|grok-4-7|xhigh|yes|fallback-na</x:t>
        </x:is>
      </x:c>
      <x:c r="C744" t="inlineStr">
        <x:is>
          <x:t xml:space="preserve">AA|v4.3.2</x:t>
        </x:is>
      </x:c>
      <x:c r="D744" t="n">
        <x:v>94</x:v>
      </x:c>
      <x:c r="E744" t="n">
        <x:v>70</x:v>
      </x:c>
      <x:c r="F744" t="n">
        <x:f>INDEX(Run_Metrics!$F:$F,D744)</x:f>
        <x:v>46</x:v>
      </x:c>
      <x:c r="G744" t="n">
        <x:f>INDEX(Run_Metrics!$G:$G,D744)</x:f>
        <x:v>3.74</x:v>
      </x:c>
      <x:c r="H744" t="str">
        <x:f>INDEX(Run_Metrics!$I:$I,D744)</x:f>
      </x:c>
      <x:c r="I744" t="n">
        <x:f>IF(F744="","",F744-(E744-1))</x:f>
        <x:v>-23</x:v>
      </x:c>
      <x:c r="J744" t="n">
        <x:f>IF(I744&gt;0,1,0)</x:f>
        <x:v>0</x:v>
      </x:c>
      <x:c r="K744" t="str">
        <x:f>IF(OR(J744=0,G744="",G744=0),"",I744/G744)</x:f>
      </x:c>
      <x:c r="L744" t="str">
        <x:f>IF(OR(J744=0,I744=0,G744=""),"",G744/I744)</x:f>
      </x:c>
      <x:c r="M744" t="str">
        <x:f>IF(OR(J744=0,G744="",H744="",G744=0,H744=0),"",I744/(G744*H744))</x:f>
      </x:c>
      <x:c r="N744" t="str">
        <x:f>IF(K744="","",K744/_xlfn.MAXIFS($K:$K,$E:$E,E744))</x:f>
      </x:c>
      <x:c r="O744" t="str">
        <x:f>IF(M744="","",M744/_xlfn.MAXIFS($M:$M,$E:$E,E744))</x:f>
      </x:c>
      <x:c r="P744" t="str">
        <x:f>IF(OR(N744="",O744=""),"",SQRT(N744*O744))</x:f>
      </x:c>
      <x:c r="Q744" t="str">
        <x:f>IF(OR(N744="",O744=""),"",N744^0.7*O744^0.3)</x:f>
      </x:c>
      <x:c r="R744" t="str">
        <x:f>IF(OR(N744="",O744=""),"",N744^0.3*O744^0.7)</x:f>
      </x:c>
    </x:row>
    <x:row r="745">
      <x:c r="A745" t="inlineStr">
        <x:is>
          <x:t xml:space="preserve">spacexai|grok-4-7|xhigh|yes|fallback-na|aa-v4.3.2|snapshot-2026-10-16</x:t>
        </x:is>
      </x:c>
      <x:c r="B745" t="inlineStr">
        <x:is>
          <x:t xml:space="preserve">spacexai|grok-4-7|xhigh|yes|fallback-na</x:t>
        </x:is>
      </x:c>
      <x:c r="C745" t="inlineStr">
        <x:is>
          <x:t xml:space="preserve">AA|v4.3.2</x:t>
        </x:is>
      </x:c>
      <x:c r="D745" t="n">
        <x:v>94</x:v>
      </x:c>
      <x:c r="E745" t="n">
        <x:v>80</x:v>
      </x:c>
      <x:c r="F745" t="n">
        <x:f>INDEX(Run_Metrics!$F:$F,D745)</x:f>
        <x:v>46</x:v>
      </x:c>
      <x:c r="G745" t="n">
        <x:f>INDEX(Run_Metrics!$G:$G,D745)</x:f>
        <x:v>3.74</x:v>
      </x:c>
      <x:c r="H745" t="str">
        <x:f>INDEX(Run_Metrics!$I:$I,D745)</x:f>
      </x:c>
      <x:c r="I745" t="n">
        <x:f>IF(F745="","",F745-(E745-1))</x:f>
        <x:v>-33</x:v>
      </x:c>
      <x:c r="J745" t="n">
        <x:f>IF(I745&gt;0,1,0)</x:f>
        <x:v>0</x:v>
      </x:c>
      <x:c r="K745" t="str">
        <x:f>IF(OR(J745=0,G745="",G745=0),"",I745/G745)</x:f>
      </x:c>
      <x:c r="L745" t="str">
        <x:f>IF(OR(J745=0,I745=0,G745=""),"",G745/I745)</x:f>
      </x:c>
      <x:c r="M745" t="str">
        <x:f>IF(OR(J745=0,G745="",H745="",G745=0,H745=0),"",I745/(G745*H745))</x:f>
      </x:c>
      <x:c r="N745" t="str">
        <x:f>IF(K745="","",K745/_xlfn.MAXIFS($K:$K,$E:$E,E745))</x:f>
      </x:c>
      <x:c r="O745" t="str">
        <x:f>IF(M745="","",M745/_xlfn.MAXIFS($M:$M,$E:$E,E745))</x:f>
      </x:c>
      <x:c r="P745" t="str">
        <x:f>IF(OR(N745="",O745=""),"",SQRT(N745*O745))</x:f>
      </x:c>
      <x:c r="Q745" t="str">
        <x:f>IF(OR(N745="",O745=""),"",N745^0.7*O745^0.3)</x:f>
      </x:c>
      <x:c r="R745" t="str">
        <x:f>IF(OR(N745="",O745=""),"",N745^0.3*O745^0.7)</x:f>
      </x:c>
    </x:row>
    <x:row r="746">
      <x:c r="A746" t="inlineStr">
        <x:is>
          <x:t xml:space="preserve">anthropic|claude-sonnet-5.5|max|reasoning|fallback-true|aa-v4.3.2|snapshot-2026-10-16</x:t>
        </x:is>
      </x:c>
      <x:c r="B746" t="inlineStr">
        <x:is>
          <x:t xml:space="preserve">anthropic|claude-sonnet-5.5|max|reasoning|fallback-true</x:t>
        </x:is>
      </x:c>
      <x:c r="C746" t="inlineStr">
        <x:is>
          <x:t xml:space="preserve">AA|v4.3.2</x:t>
        </x:is>
      </x:c>
      <x:c r="D746" t="n">
        <x:v>95</x:v>
      </x:c>
      <x:c r="E746" t="n">
        <x:v>10</x:v>
      </x:c>
      <x:c r="F746" t="n">
        <x:f>INDEX(Run_Metrics!$F:$F,D746)</x:f>
        <x:v>56</x:v>
      </x:c>
      <x:c r="G746" t="n">
        <x:f>INDEX(Run_Metrics!$G:$G,D746)</x:f>
        <x:v>5.46</x:v>
      </x:c>
      <x:c r="H746" t="str">
        <x:f>INDEX(Run_Metrics!$I:$I,D746)</x:f>
      </x:c>
      <x:c r="I746" t="n">
        <x:f>IF(F746="","",F746-(E746-1))</x:f>
        <x:v>47</x:v>
      </x:c>
      <x:c r="J746" t="n">
        <x:f>IF(I746&gt;0,1,0)</x:f>
        <x:v>1</x:v>
      </x:c>
      <x:c r="K746" t="n">
        <x:f>IF(OR(J746=0,G746="",G746=0),"",I746/G746)</x:f>
        <x:v>8.608058608058608</x:v>
      </x:c>
      <x:c r="L746" t="n">
        <x:f>IF(OR(J746=0,I746=0,G746=""),"",G746/I746)</x:f>
        <x:v>0.11617021276595745</x:v>
      </x:c>
      <x:c r="M746" t="str">
        <x:f>IF(OR(J746=0,G746="",H746="",G746=0,H746=0),"",I746/(G746*H746))</x:f>
      </x:c>
      <x:c r="N746" t="n">
        <x:f>IF(K746="","",K746/_xlfn.MAXIFS($K:$K,$E:$E,E746))</x:f>
        <x:v>0.00297971259509721</x:v>
      </x:c>
      <x:c r="O746" t="str">
        <x:f>IF(M746="","",M746/_xlfn.MAXIFS($M:$M,$E:$E,E746))</x:f>
      </x:c>
      <x:c r="P746" t="str">
        <x:f>IF(OR(N746="",O746=""),"",SQRT(N746*O746))</x:f>
      </x:c>
      <x:c r="Q746" t="str">
        <x:f>IF(OR(N746="",O746=""),"",N746^0.7*O746^0.3)</x:f>
      </x:c>
      <x:c r="R746" t="str">
        <x:f>IF(OR(N746="",O746=""),"",N746^0.3*O746^0.7)</x:f>
      </x:c>
    </x:row>
    <x:row r="747">
      <x:c r="A747" t="inlineStr">
        <x:is>
          <x:t xml:space="preserve">anthropic|claude-sonnet-5.5|max|reasoning|fallback-true|aa-v4.3.2|snapshot-2026-10-16</x:t>
        </x:is>
      </x:c>
      <x:c r="B747" t="inlineStr">
        <x:is>
          <x:t xml:space="preserve">anthropic|claude-sonnet-5.5|max|reasoning|fallback-true</x:t>
        </x:is>
      </x:c>
      <x:c r="C747" t="inlineStr">
        <x:is>
          <x:t xml:space="preserve">AA|v4.3.2</x:t>
        </x:is>
      </x:c>
      <x:c r="D747" t="n">
        <x:v>95</x:v>
      </x:c>
      <x:c r="E747" t="n">
        <x:v>20</x:v>
      </x:c>
      <x:c r="F747" t="n">
        <x:f>INDEX(Run_Metrics!$F:$F,D747)</x:f>
        <x:v>56</x:v>
      </x:c>
      <x:c r="G747" t="n">
        <x:f>INDEX(Run_Metrics!$G:$G,D747)</x:f>
        <x:v>5.46</x:v>
      </x:c>
      <x:c r="H747" t="str">
        <x:f>INDEX(Run_Metrics!$I:$I,D747)</x:f>
      </x:c>
      <x:c r="I747" t="n">
        <x:f>IF(F747="","",F747-(E747-1))</x:f>
        <x:v>37</x:v>
      </x:c>
      <x:c r="J747" t="n">
        <x:f>IF(I747&gt;0,1,0)</x:f>
        <x:v>1</x:v>
      </x:c>
      <x:c r="K747" t="n">
        <x:f>IF(OR(J747=0,G747="",G747=0),"",I747/G747)</x:f>
        <x:v>6.7765567765567765</x:v>
      </x:c>
      <x:c r="L747" t="n">
        <x:f>IF(OR(J747=0,I747=0,G747=""),"",G747/I747)</x:f>
        <x:v>0.14756756756756756</x:v>
      </x:c>
      <x:c r="M747" t="str">
        <x:f>IF(OR(J747=0,G747="",H747="",G747=0,H747=0),"",I747/(G747*H747))</x:f>
      </x:c>
      <x:c r="N747" t="n">
        <x:f>IF(K747="","",K747/_xlfn.MAXIFS($K:$K,$E:$E,E747))</x:f>
        <x:v>0.010164835164835163</x:v>
      </x:c>
      <x:c r="O747" t="str">
        <x:f>IF(M747="","",M747/_xlfn.MAXIFS($M:$M,$E:$E,E747))</x:f>
      </x:c>
      <x:c r="P747" t="str">
        <x:f>IF(OR(N747="",O747=""),"",SQRT(N747*O747))</x:f>
      </x:c>
      <x:c r="Q747" t="str">
        <x:f>IF(OR(N747="",O747=""),"",N747^0.7*O747^0.3)</x:f>
      </x:c>
      <x:c r="R747" t="str">
        <x:f>IF(OR(N747="",O747=""),"",N747^0.3*O747^0.7)</x:f>
      </x:c>
    </x:row>
    <x:row r="748">
      <x:c r="A748" t="inlineStr">
        <x:is>
          <x:t xml:space="preserve">anthropic|claude-sonnet-5.5|max|reasoning|fallback-true|aa-v4.3.2|snapshot-2026-10-16</x:t>
        </x:is>
      </x:c>
      <x:c r="B748" t="inlineStr">
        <x:is>
          <x:t xml:space="preserve">anthropic|claude-sonnet-5.5|max|reasoning|fallback-true</x:t>
        </x:is>
      </x:c>
      <x:c r="C748" t="inlineStr">
        <x:is>
          <x:t xml:space="preserve">AA|v4.3.2</x:t>
        </x:is>
      </x:c>
      <x:c r="D748" t="n">
        <x:v>95</x:v>
      </x:c>
      <x:c r="E748" t="n">
        <x:v>30</x:v>
      </x:c>
      <x:c r="F748" t="n">
        <x:f>INDEX(Run_Metrics!$F:$F,D748)</x:f>
        <x:v>56</x:v>
      </x:c>
      <x:c r="G748" t="n">
        <x:f>INDEX(Run_Metrics!$G:$G,D748)</x:f>
        <x:v>5.46</x:v>
      </x:c>
      <x:c r="H748" t="str">
        <x:f>INDEX(Run_Metrics!$I:$I,D748)</x:f>
      </x:c>
      <x:c r="I748" t="n">
        <x:f>IF(F748="","",F748-(E748-1))</x:f>
        <x:v>27</x:v>
      </x:c>
      <x:c r="J748" t="n">
        <x:f>IF(I748&gt;0,1,0)</x:f>
        <x:v>1</x:v>
      </x:c>
      <x:c r="K748" t="n">
        <x:f>IF(OR(J748=0,G748="",G748=0),"",I748/G748)</x:f>
        <x:v>4.945054945054945</x:v>
      </x:c>
      <x:c r="L748" t="n">
        <x:f>IF(OR(J748=0,I748=0,G748=""),"",G748/I748)</x:f>
        <x:v>0.20222222222222222</x:v>
      </x:c>
      <x:c r="M748" t="str">
        <x:f>IF(OR(J748=0,G748="",H748="",G748=0,H748=0),"",I748/(G748*H748))</x:f>
      </x:c>
      <x:c r="N748" t="n">
        <x:f>IF(K748="","",K748/_xlfn.MAXIFS($K:$K,$E:$E,E748))</x:f>
        <x:v>0.03296703296703297</x:v>
      </x:c>
      <x:c r="O748" t="str">
        <x:f>IF(M748="","",M748/_xlfn.MAXIFS($M:$M,$E:$E,E748))</x:f>
      </x:c>
      <x:c r="P748" t="str">
        <x:f>IF(OR(N748="",O748=""),"",SQRT(N748*O748))</x:f>
      </x:c>
      <x:c r="Q748" t="str">
        <x:f>IF(OR(N748="",O748=""),"",N748^0.7*O748^0.3)</x:f>
      </x:c>
      <x:c r="R748" t="str">
        <x:f>IF(OR(N748="",O748=""),"",N748^0.3*O748^0.7)</x:f>
      </x:c>
    </x:row>
    <x:row r="749">
      <x:c r="A749" t="inlineStr">
        <x:is>
          <x:t xml:space="preserve">anthropic|claude-sonnet-5.5|max|reasoning|fallback-true|aa-v4.3.2|snapshot-2026-10-16</x:t>
        </x:is>
      </x:c>
      <x:c r="B749" t="inlineStr">
        <x:is>
          <x:t xml:space="preserve">anthropic|claude-sonnet-5.5|max|reasoning|fallback-true</x:t>
        </x:is>
      </x:c>
      <x:c r="C749" t="inlineStr">
        <x:is>
          <x:t xml:space="preserve">AA|v4.3.2</x:t>
        </x:is>
      </x:c>
      <x:c r="D749" t="n">
        <x:v>95</x:v>
      </x:c>
      <x:c r="E749" t="n">
        <x:v>40</x:v>
      </x:c>
      <x:c r="F749" t="n">
        <x:f>INDEX(Run_Metrics!$F:$F,D749)</x:f>
        <x:v>56</x:v>
      </x:c>
      <x:c r="G749" t="n">
        <x:f>INDEX(Run_Metrics!$G:$G,D749)</x:f>
        <x:v>5.46</x:v>
      </x:c>
      <x:c r="H749" t="str">
        <x:f>INDEX(Run_Metrics!$I:$I,D749)</x:f>
      </x:c>
      <x:c r="I749" t="n">
        <x:f>IF(F749="","",F749-(E749-1))</x:f>
        <x:v>17</x:v>
      </x:c>
      <x:c r="J749" t="n">
        <x:f>IF(I749&gt;0,1,0)</x:f>
        <x:v>1</x:v>
      </x:c>
      <x:c r="K749" t="n">
        <x:f>IF(OR(J749=0,G749="",G749=0),"",I749/G749)</x:f>
        <x:v>3.1135531135531136</x:v>
      </x:c>
      <x:c r="L749" t="n">
        <x:f>IF(OR(J749=0,I749=0,G749=""),"",G749/I749)</x:f>
        <x:v>0.3211764705882353</x:v>
      </x:c>
      <x:c r="M749" t="str">
        <x:f>IF(OR(J749=0,G749="",H749="",G749=0,H749=0),"",I749/(G749*H749))</x:f>
      </x:c>
      <x:c r="N749" t="n">
        <x:f>IF(K749="","",K749/_xlfn.MAXIFS($K:$K,$E:$E,E749))</x:f>
        <x:v>0.05782312925170068</x:v>
      </x:c>
      <x:c r="O749" t="str">
        <x:f>IF(M749="","",M749/_xlfn.MAXIFS($M:$M,$E:$E,E749))</x:f>
      </x:c>
      <x:c r="P749" t="str">
        <x:f>IF(OR(N749="",O749=""),"",SQRT(N749*O749))</x:f>
      </x:c>
      <x:c r="Q749" t="str">
        <x:f>IF(OR(N749="",O749=""),"",N749^0.7*O749^0.3)</x:f>
      </x:c>
      <x:c r="R749" t="str">
        <x:f>IF(OR(N749="",O749=""),"",N749^0.3*O749^0.7)</x:f>
      </x:c>
    </x:row>
    <x:row r="750">
      <x:c r="A750" t="inlineStr">
        <x:is>
          <x:t xml:space="preserve">anthropic|claude-sonnet-5.5|max|reasoning|fallback-true|aa-v4.3.2|snapshot-2026-10-16</x:t>
        </x:is>
      </x:c>
      <x:c r="B750" t="inlineStr">
        <x:is>
          <x:t xml:space="preserve">anthropic|claude-sonnet-5.5|max|reasoning|fallback-true</x:t>
        </x:is>
      </x:c>
      <x:c r="C750" t="inlineStr">
        <x:is>
          <x:t xml:space="preserve">AA|v4.3.2</x:t>
        </x:is>
      </x:c>
      <x:c r="D750" t="n">
        <x:v>95</x:v>
      </x:c>
      <x:c r="E750" t="n">
        <x:v>50</x:v>
      </x:c>
      <x:c r="F750" t="n">
        <x:f>INDEX(Run_Metrics!$F:$F,D750)</x:f>
        <x:v>56</x:v>
      </x:c>
      <x:c r="G750" t="n">
        <x:f>INDEX(Run_Metrics!$G:$G,D750)</x:f>
        <x:v>5.46</x:v>
      </x:c>
      <x:c r="H750" t="str">
        <x:f>INDEX(Run_Metrics!$I:$I,D750)</x:f>
      </x:c>
      <x:c r="I750" t="n">
        <x:f>IF(F750="","",F750-(E750-1))</x:f>
        <x:v>7</x:v>
      </x:c>
      <x:c r="J750" t="n">
        <x:f>IF(I750&gt;0,1,0)</x:f>
        <x:v>1</x:v>
      </x:c>
      <x:c r="K750" t="n">
        <x:f>IF(OR(J750=0,G750="",G750=0),"",I750/G750)</x:f>
        <x:v>1.2820512820512822</x:v>
      </x:c>
      <x:c r="L750" t="n">
        <x:f>IF(OR(J750=0,I750=0,G750=""),"",G750/I750)</x:f>
        <x:v>0.78</x:v>
      </x:c>
      <x:c r="M750" t="str">
        <x:f>IF(OR(J750=0,G750="",H750="",G750=0,H750=0),"",I750/(G750*H750))</x:f>
      </x:c>
      <x:c r="N750" t="n">
        <x:f>IF(K750="","",K750/_xlfn.MAXIFS($K:$K,$E:$E,E750))</x:f>
        <x:v>0.25000000000000006</x:v>
      </x:c>
      <x:c r="O750" t="str">
        <x:f>IF(M750="","",M750/_xlfn.MAXIFS($M:$M,$E:$E,E750))</x:f>
      </x:c>
      <x:c r="P750" t="str">
        <x:f>IF(OR(N750="",O750=""),"",SQRT(N750*O750))</x:f>
      </x:c>
      <x:c r="Q750" t="str">
        <x:f>IF(OR(N750="",O750=""),"",N750^0.7*O750^0.3)</x:f>
      </x:c>
      <x:c r="R750" t="str">
        <x:f>IF(OR(N750="",O750=""),"",N750^0.3*O750^0.7)</x:f>
      </x:c>
    </x:row>
    <x:row r="751">
      <x:c r="A751" t="inlineStr">
        <x:is>
          <x:t xml:space="preserve">anthropic|claude-sonnet-5.5|max|reasoning|fallback-true|aa-v4.3.2|snapshot-2026-10-16</x:t>
        </x:is>
      </x:c>
      <x:c r="B751" t="inlineStr">
        <x:is>
          <x:t xml:space="preserve">anthropic|claude-sonnet-5.5|max|reasoning|fallback-true</x:t>
        </x:is>
      </x:c>
      <x:c r="C751" t="inlineStr">
        <x:is>
          <x:t xml:space="preserve">AA|v4.3.2</x:t>
        </x:is>
      </x:c>
      <x:c r="D751" t="n">
        <x:v>95</x:v>
      </x:c>
      <x:c r="E751" t="n">
        <x:v>60</x:v>
      </x:c>
      <x:c r="F751" t="n">
        <x:f>INDEX(Run_Metrics!$F:$F,D751)</x:f>
        <x:v>56</x:v>
      </x:c>
      <x:c r="G751" t="n">
        <x:f>INDEX(Run_Metrics!$G:$G,D751)</x:f>
        <x:v>5.46</x:v>
      </x:c>
      <x:c r="H751" t="str">
        <x:f>INDEX(Run_Metrics!$I:$I,D751)</x:f>
      </x:c>
      <x:c r="I751" t="n">
        <x:f>IF(F751="","",F751-(E751-1))</x:f>
        <x:v>-3</x:v>
      </x:c>
      <x:c r="J751" t="n">
        <x:f>IF(I751&gt;0,1,0)</x:f>
        <x:v>0</x:v>
      </x:c>
      <x:c r="K751" t="str">
        <x:f>IF(OR(J751=0,G751="",G751=0),"",I751/G751)</x:f>
      </x:c>
      <x:c r="L751" t="str">
        <x:f>IF(OR(J751=0,I751=0,G751=""),"",G751/I751)</x:f>
      </x:c>
      <x:c r="M751" t="str">
        <x:f>IF(OR(J751=0,G751="",H751="",G751=0,H751=0),"",I751/(G751*H751))</x:f>
      </x:c>
      <x:c r="N751" t="str">
        <x:f>IF(K751="","",K751/_xlfn.MAXIFS($K:$K,$E:$E,E751))</x:f>
      </x:c>
      <x:c r="O751" t="str">
        <x:f>IF(M751="","",M751/_xlfn.MAXIFS($M:$M,$E:$E,E751))</x:f>
      </x:c>
      <x:c r="P751" t="str">
        <x:f>IF(OR(N751="",O751=""),"",SQRT(N751*O751))</x:f>
      </x:c>
      <x:c r="Q751" t="str">
        <x:f>IF(OR(N751="",O751=""),"",N751^0.7*O751^0.3)</x:f>
      </x:c>
      <x:c r="R751" t="str">
        <x:f>IF(OR(N751="",O751=""),"",N751^0.3*O751^0.7)</x:f>
      </x:c>
    </x:row>
    <x:row r="752">
      <x:c r="A752" t="inlineStr">
        <x:is>
          <x:t xml:space="preserve">anthropic|claude-sonnet-5.5|max|reasoning|fallback-true|aa-v4.3.2|snapshot-2026-10-16</x:t>
        </x:is>
      </x:c>
      <x:c r="B752" t="inlineStr">
        <x:is>
          <x:t xml:space="preserve">anthropic|claude-sonnet-5.5|max|reasoning|fallback-true</x:t>
        </x:is>
      </x:c>
      <x:c r="C752" t="inlineStr">
        <x:is>
          <x:t xml:space="preserve">AA|v4.3.2</x:t>
        </x:is>
      </x:c>
      <x:c r="D752" t="n">
        <x:v>95</x:v>
      </x:c>
      <x:c r="E752" t="n">
        <x:v>70</x:v>
      </x:c>
      <x:c r="F752" t="n">
        <x:f>INDEX(Run_Metrics!$F:$F,D752)</x:f>
        <x:v>56</x:v>
      </x:c>
      <x:c r="G752" t="n">
        <x:f>INDEX(Run_Metrics!$G:$G,D752)</x:f>
        <x:v>5.46</x:v>
      </x:c>
      <x:c r="H752" t="str">
        <x:f>INDEX(Run_Metrics!$I:$I,D752)</x:f>
      </x:c>
      <x:c r="I752" t="n">
        <x:f>IF(F752="","",F752-(E752-1))</x:f>
        <x:v>-13</x:v>
      </x:c>
      <x:c r="J752" t="n">
        <x:f>IF(I752&gt;0,1,0)</x:f>
        <x:v>0</x:v>
      </x:c>
      <x:c r="K752" t="str">
        <x:f>IF(OR(J752=0,G752="",G752=0),"",I752/G752)</x:f>
      </x:c>
      <x:c r="L752" t="str">
        <x:f>IF(OR(J752=0,I752=0,G752=""),"",G752/I752)</x:f>
      </x:c>
      <x:c r="M752" t="str">
        <x:f>IF(OR(J752=0,G752="",H752="",G752=0,H752=0),"",I752/(G752*H752))</x:f>
      </x:c>
      <x:c r="N752" t="str">
        <x:f>IF(K752="","",K752/_xlfn.MAXIFS($K:$K,$E:$E,E752))</x:f>
      </x:c>
      <x:c r="O752" t="str">
        <x:f>IF(M752="","",M752/_xlfn.MAXIFS($M:$M,$E:$E,E752))</x:f>
      </x:c>
      <x:c r="P752" t="str">
        <x:f>IF(OR(N752="",O752=""),"",SQRT(N752*O752))</x:f>
      </x:c>
      <x:c r="Q752" t="str">
        <x:f>IF(OR(N752="",O752=""),"",N752^0.7*O752^0.3)</x:f>
      </x:c>
      <x:c r="R752" t="str">
        <x:f>IF(OR(N752="",O752=""),"",N752^0.3*O752^0.7)</x:f>
      </x:c>
    </x:row>
    <x:row r="753">
      <x:c r="A753" t="inlineStr">
        <x:is>
          <x:t xml:space="preserve">anthropic|claude-sonnet-5.5|max|reasoning|fallback-true|aa-v4.3.2|snapshot-2026-10-16</x:t>
        </x:is>
      </x:c>
      <x:c r="B753" t="inlineStr">
        <x:is>
          <x:t xml:space="preserve">anthropic|claude-sonnet-5.5|max|reasoning|fallback-true</x:t>
        </x:is>
      </x:c>
      <x:c r="C753" t="inlineStr">
        <x:is>
          <x:t xml:space="preserve">AA|v4.3.2</x:t>
        </x:is>
      </x:c>
      <x:c r="D753" t="n">
        <x:v>95</x:v>
      </x:c>
      <x:c r="E753" t="n">
        <x:v>80</x:v>
      </x:c>
      <x:c r="F753" t="n">
        <x:f>INDEX(Run_Metrics!$F:$F,D753)</x:f>
        <x:v>56</x:v>
      </x:c>
      <x:c r="G753" t="n">
        <x:f>INDEX(Run_Metrics!$G:$G,D753)</x:f>
        <x:v>5.46</x:v>
      </x:c>
      <x:c r="H753" t="str">
        <x:f>INDEX(Run_Metrics!$I:$I,D753)</x:f>
      </x:c>
      <x:c r="I753" t="n">
        <x:f>IF(F753="","",F753-(E753-1))</x:f>
        <x:v>-23</x:v>
      </x:c>
      <x:c r="J753" t="n">
        <x:f>IF(I753&gt;0,1,0)</x:f>
        <x:v>0</x:v>
      </x:c>
      <x:c r="K753" t="str">
        <x:f>IF(OR(J753=0,G753="",G753=0),"",I753/G753)</x:f>
      </x:c>
      <x:c r="L753" t="str">
        <x:f>IF(OR(J753=0,I753=0,G753=""),"",G753/I753)</x:f>
      </x:c>
      <x:c r="M753" t="str">
        <x:f>IF(OR(J753=0,G753="",H753="",G753=0,H753=0),"",I753/(G753*H753))</x:f>
      </x:c>
      <x:c r="N753" t="str">
        <x:f>IF(K753="","",K753/_xlfn.MAXIFS($K:$K,$E:$E,E753))</x:f>
      </x:c>
      <x:c r="O753" t="str">
        <x:f>IF(M753="","",M753/_xlfn.MAXIFS($M:$M,$E:$E,E753))</x:f>
      </x:c>
      <x:c r="P753" t="str">
        <x:f>IF(OR(N753="",O753=""),"",SQRT(N753*O753))</x:f>
      </x:c>
      <x:c r="Q753" t="str">
        <x:f>IF(OR(N753="",O753=""),"",N753^0.7*O753^0.3)</x:f>
      </x:c>
      <x:c r="R753" t="str">
        <x:f>IF(OR(N753="",O753=""),"",N753^0.3*O753^0.7)</x:f>
      </x:c>
    </x:row>
    <x:row r="754">
      <x:c r="A754" t="inlineStr">
        <x:is>
          <x:t xml:space="preserve">openai|gpt-6-sol|max|reasoning|fallback-na|aa-v4.3.2|snapshot-2026-10-16</x:t>
        </x:is>
      </x:c>
      <x:c r="B754" t="inlineStr">
        <x:is>
          <x:t xml:space="preserve">openai|gpt-6-sol|max|reasoning|fallback-na</x:t>
        </x:is>
      </x:c>
      <x:c r="C754" t="inlineStr">
        <x:is>
          <x:t xml:space="preserve">AA|v4.3.2</x:t>
        </x:is>
      </x:c>
      <x:c r="D754" t="n">
        <x:v>96</x:v>
      </x:c>
      <x:c r="E754" t="n">
        <x:v>10</x:v>
      </x:c>
      <x:c r="F754" t="n">
        <x:f>INDEX(Run_Metrics!$F:$F,D754)</x:f>
        <x:v>48</x:v>
      </x:c>
      <x:c r="G754" t="n">
        <x:f>INDEX(Run_Metrics!$G:$G,D754)</x:f>
        <x:v>1.04</x:v>
      </x:c>
      <x:c r="H754" t="n">
        <x:f>INDEX(Run_Metrics!$I:$I,D754)</x:f>
        <x:v>4.896833333333333</x:v>
      </x:c>
      <x:c r="I754" t="n">
        <x:f>IF(F754="","",F754-(E754-1))</x:f>
        <x:v>39</x:v>
      </x:c>
      <x:c r="J754" t="n">
        <x:f>IF(I754&gt;0,1,0)</x:f>
        <x:v>1</x:v>
      </x:c>
      <x:c r="K754" t="n">
        <x:f>IF(OR(J754=0,G754="",G754=0),"",I754/G754)</x:f>
        <x:v>37.5</x:v>
      </x:c>
      <x:c r="L754" t="n">
        <x:f>IF(OR(J754=0,I754=0,G754=""),"",G754/I754)</x:f>
        <x:v>0.02666666666666667</x:v>
      </x:c>
      <x:c r="M754" t="n">
        <x:f>IF(OR(J754=0,G754="",H754="",G754=0,H754=0),"",I754/(G754*H754))</x:f>
        <x:v>7.658010278751575</x:v>
      </x:c>
      <x:c r="N754" t="n">
        <x:f>IF(K754="","",K754/_xlfn.MAXIFS($K:$K,$E:$E,E754))</x:f>
        <x:v>0.01298076923076923</x:v>
      </x:c>
      <x:c r="O754" t="n">
        <x:f>IF(M754="","",M754/_xlfn.MAXIFS($M:$M,$E:$E,E754))</x:f>
        <x:v>1</x:v>
      </x:c>
      <x:c r="P754" t="n">
        <x:f>IF(OR(N754="",O754=""),"",SQRT(N754*O754))</x:f>
        <x:v>0.11393317879691249</x:v>
      </x:c>
      <x:c r="Q754" t="n">
        <x:f>IF(OR(N754="",O754=""),"",N754^0.7*O754^0.3)</x:f>
        <x:v>0.047787058697658855</x:v>
      </x:c>
      <x:c r="R754" t="n">
        <x:f>IF(OR(N754="",O754=""),"",N754^0.3*O754^0.7)</x:f>
        <x:v>0.27163775265802614</x:v>
      </x:c>
    </x:row>
    <x:row r="755">
      <x:c r="A755" t="inlineStr">
        <x:is>
          <x:t xml:space="preserve">openai|gpt-6-sol|max|reasoning|fallback-na|aa-v4.3.2|snapshot-2026-10-16</x:t>
        </x:is>
      </x:c>
      <x:c r="B755" t="inlineStr">
        <x:is>
          <x:t xml:space="preserve">openai|gpt-6-sol|max|reasoning|fallback-na</x:t>
        </x:is>
      </x:c>
      <x:c r="C755" t="inlineStr">
        <x:is>
          <x:t xml:space="preserve">AA|v4.3.2</x:t>
        </x:is>
      </x:c>
      <x:c r="D755" t="n">
        <x:v>96</x:v>
      </x:c>
      <x:c r="E755" t="n">
        <x:v>20</x:v>
      </x:c>
      <x:c r="F755" t="n">
        <x:f>INDEX(Run_Metrics!$F:$F,D755)</x:f>
        <x:v>48</x:v>
      </x:c>
      <x:c r="G755" t="n">
        <x:f>INDEX(Run_Metrics!$G:$G,D755)</x:f>
        <x:v>1.04</x:v>
      </x:c>
      <x:c r="H755" t="n">
        <x:f>INDEX(Run_Metrics!$I:$I,D755)</x:f>
        <x:v>4.896833333333333</x:v>
      </x:c>
      <x:c r="I755" t="n">
        <x:f>IF(F755="","",F755-(E755-1))</x:f>
        <x:v>29</x:v>
      </x:c>
      <x:c r="J755" t="n">
        <x:f>IF(I755&gt;0,1,0)</x:f>
        <x:v>1</x:v>
      </x:c>
      <x:c r="K755" t="n">
        <x:f>IF(OR(J755=0,G755="",G755=0),"",I755/G755)</x:f>
        <x:v>27.884615384615383</x:v>
      </x:c>
      <x:c r="L755" t="n">
        <x:f>IF(OR(J755=0,I755=0,G755=""),"",G755/I755)</x:f>
        <x:v>0.03586206896551724</x:v>
      </x:c>
      <x:c r="M755" t="n">
        <x:f>IF(OR(J755=0,G755="",H755="",G755=0,H755=0),"",I755/(G755*H755))</x:f>
        <x:v>5.694417899584504</x:v>
      </x:c>
      <x:c r="N755" t="n">
        <x:f>IF(K755="","",K755/_xlfn.MAXIFS($K:$K,$E:$E,E755))</x:f>
        <x:v>0.04182692307692307</x:v>
      </x:c>
      <x:c r="O755" t="n">
        <x:f>IF(M755="","",M755/_xlfn.MAXIFS($M:$M,$E:$E,E755))</x:f>
        <x:v>0.003017329684542339</x:v>
      </x:c>
      <x:c r="P755" t="n">
        <x:f>IF(OR(N755="",O755=""),"",SQRT(N755*O755))</x:f>
        <x:v>0.011234127318713677</x:v>
      </x:c>
      <x:c r="Q755" t="n">
        <x:f>IF(OR(N755="",O755=""),"",N755^0.7*O755^0.3)</x:f>
        <x:v>0.01900666726709201</x:v>
      </x:c>
      <x:c r="R755" t="n">
        <x:f>IF(OR(N755="",O755=""),"",N755^0.3*O755^0.7)</x:f>
        <x:v>0.006640070815128143</x:v>
      </x:c>
    </x:row>
    <x:row r="756">
      <x:c r="A756" t="inlineStr">
        <x:is>
          <x:t xml:space="preserve">openai|gpt-6-sol|max|reasoning|fallback-na|aa-v4.3.2|snapshot-2026-10-16</x:t>
        </x:is>
      </x:c>
      <x:c r="B756" t="inlineStr">
        <x:is>
          <x:t xml:space="preserve">openai|gpt-6-sol|max|reasoning|fallback-na</x:t>
        </x:is>
      </x:c>
      <x:c r="C756" t="inlineStr">
        <x:is>
          <x:t xml:space="preserve">AA|v4.3.2</x:t>
        </x:is>
      </x:c>
      <x:c r="D756" t="n">
        <x:v>96</x:v>
      </x:c>
      <x:c r="E756" t="n">
        <x:v>30</x:v>
      </x:c>
      <x:c r="F756" t="n">
        <x:f>INDEX(Run_Metrics!$F:$F,D756)</x:f>
        <x:v>48</x:v>
      </x:c>
      <x:c r="G756" t="n">
        <x:f>INDEX(Run_Metrics!$G:$G,D756)</x:f>
        <x:v>1.04</x:v>
      </x:c>
      <x:c r="H756" t="n">
        <x:f>INDEX(Run_Metrics!$I:$I,D756)</x:f>
        <x:v>4.896833333333333</x:v>
      </x:c>
      <x:c r="I756" t="n">
        <x:f>IF(F756="","",F756-(E756-1))</x:f>
        <x:v>19</x:v>
      </x:c>
      <x:c r="J756" t="n">
        <x:f>IF(I756&gt;0,1,0)</x:f>
        <x:v>1</x:v>
      </x:c>
      <x:c r="K756" t="n">
        <x:f>IF(OR(J756=0,G756="",G756=0),"",I756/G756)</x:f>
        <x:v>18.26923076923077</x:v>
      </x:c>
      <x:c r="L756" t="n">
        <x:f>IF(OR(J756=0,I756=0,G756=""),"",G756/I756)</x:f>
        <x:v>0.05473684210526316</x:v>
      </x:c>
      <x:c r="M756" t="n">
        <x:f>IF(OR(J756=0,G756="",H756="",G756=0,H756=0),"",I756/(G756*H756))</x:f>
        <x:v>3.730825520417434</x:v>
      </x:c>
      <x:c r="N756" t="n">
        <x:f>IF(K756="","",K756/_xlfn.MAXIFS($K:$K,$E:$E,E756))</x:f>
        <x:v>0.1217948717948718</x:v>
      </x:c>
      <x:c r="O756" t="n">
        <x:f>IF(M756="","",M756/_xlfn.MAXIFS($M:$M,$E:$E,E756))</x:f>
        <x:v>0.06639750178686908</x:v>
      </x:c>
      <x:c r="P756" t="n">
        <x:f>IF(OR(N756="",O756=""),"",SQRT(N756*O756))</x:f>
        <x:v>0.08992705498142087</x:v>
      </x:c>
      <x:c r="Q756" t="n">
        <x:f>IF(OR(N756="",O756=""),"",N756^0.7*O756^0.3)</x:f>
        <x:v>0.101527998248269</x:v>
      </x:c>
      <x:c r="R756" t="n">
        <x:f>IF(OR(N756="",O756=""),"",N756^0.3*O756^0.7)</x:f>
        <x:v>0.07965167596288517</x:v>
      </x:c>
    </x:row>
    <x:row r="757">
      <x:c r="A757" t="inlineStr">
        <x:is>
          <x:t xml:space="preserve">openai|gpt-6-sol|max|reasoning|fallback-na|aa-v4.3.2|snapshot-2026-10-16</x:t>
        </x:is>
      </x:c>
      <x:c r="B757" t="inlineStr">
        <x:is>
          <x:t xml:space="preserve">openai|gpt-6-sol|max|reasoning|fallback-na</x:t>
        </x:is>
      </x:c>
      <x:c r="C757" t="inlineStr">
        <x:is>
          <x:t xml:space="preserve">AA|v4.3.2</x:t>
        </x:is>
      </x:c>
      <x:c r="D757" t="n">
        <x:v>96</x:v>
      </x:c>
      <x:c r="E757" t="n">
        <x:v>40</x:v>
      </x:c>
      <x:c r="F757" t="n">
        <x:f>INDEX(Run_Metrics!$F:$F,D757)</x:f>
        <x:v>48</x:v>
      </x:c>
      <x:c r="G757" t="n">
        <x:f>INDEX(Run_Metrics!$G:$G,D757)</x:f>
        <x:v>1.04</x:v>
      </x:c>
      <x:c r="H757" t="n">
        <x:f>INDEX(Run_Metrics!$I:$I,D757)</x:f>
        <x:v>4.896833333333333</x:v>
      </x:c>
      <x:c r="I757" t="n">
        <x:f>IF(F757="","",F757-(E757-1))</x:f>
        <x:v>9</x:v>
      </x:c>
      <x:c r="J757" t="n">
        <x:f>IF(I757&gt;0,1,0)</x:f>
        <x:v>1</x:v>
      </x:c>
      <x:c r="K757" t="n">
        <x:f>IF(OR(J757=0,G757="",G757=0),"",I757/G757)</x:f>
        <x:v>8.653846153846153</x:v>
      </x:c>
      <x:c r="L757" t="n">
        <x:f>IF(OR(J757=0,I757=0,G757=""),"",G757/I757)</x:f>
        <x:v>0.11555555555555556</x:v>
      </x:c>
      <x:c r="M757" t="n">
        <x:f>IF(OR(J757=0,G757="",H757="",G757=0,H757=0),"",I757/(G757*H757))</x:f>
        <x:v>1.7672331412503632</x:v>
      </x:c>
      <x:c r="N757" t="n">
        <x:f>IF(K757="","",K757/_xlfn.MAXIFS($K:$K,$E:$E,E757))</x:f>
        <x:v>0.1607142857142857</x:v>
      </x:c>
      <x:c r="O757" t="n">
        <x:f>IF(M757="","",M757/_xlfn.MAXIFS($M:$M,$E:$E,E757))</x:f>
        <x:v>0.29324204436521917</x:v>
      </x:c>
      <x:c r="P757" t="n">
        <x:f>IF(OR(N757="",O757=""),"",SQRT(N757*O757))</x:f>
        <x:v>0.21709027085881366</x:v>
      </x:c>
      <x:c r="Q757" t="n">
        <x:f>IF(OR(N757="",O757=""),"",N757^0.7*O757^0.3)</x:f>
        <x:v>0.19248904120480217</x:v>
      </x:c>
      <x:c r="R757" t="n">
        <x:f>IF(OR(N757="",O757=""),"",N757^0.3*O757^0.7)</x:f>
        <x:v>0.24483568210727488</x:v>
      </x:c>
    </x:row>
    <x:row r="758">
      <x:c r="A758" t="inlineStr">
        <x:is>
          <x:t xml:space="preserve">openai|gpt-6-sol|max|reasoning|fallback-na|aa-v4.3.2|snapshot-2026-10-16</x:t>
        </x:is>
      </x:c>
      <x:c r="B758" t="inlineStr">
        <x:is>
          <x:t xml:space="preserve">openai|gpt-6-sol|max|reasoning|fallback-na</x:t>
        </x:is>
      </x:c>
      <x:c r="C758" t="inlineStr">
        <x:is>
          <x:t xml:space="preserve">AA|v4.3.2</x:t>
        </x:is>
      </x:c>
      <x:c r="D758" t="n">
        <x:v>96</x:v>
      </x:c>
      <x:c r="E758" t="n">
        <x:v>50</x:v>
      </x:c>
      <x:c r="F758" t="n">
        <x:f>INDEX(Run_Metrics!$F:$F,D758)</x:f>
        <x:v>48</x:v>
      </x:c>
      <x:c r="G758" t="n">
        <x:f>INDEX(Run_Metrics!$G:$G,D758)</x:f>
        <x:v>1.04</x:v>
      </x:c>
      <x:c r="H758" t="n">
        <x:f>INDEX(Run_Metrics!$I:$I,D758)</x:f>
        <x:v>4.896833333333333</x:v>
      </x:c>
      <x:c r="I758" t="n">
        <x:f>IF(F758="","",F758-(E758-1))</x:f>
        <x:v>-1</x:v>
      </x:c>
      <x:c r="J758" t="n">
        <x:f>IF(I758&gt;0,1,0)</x:f>
        <x:v>0</x:v>
      </x:c>
      <x:c r="K758" t="str">
        <x:f>IF(OR(J758=0,G758="",G758=0),"",I758/G758)</x:f>
      </x:c>
      <x:c r="L758" t="str">
        <x:f>IF(OR(J758=0,I758=0,G758=""),"",G758/I758)</x:f>
      </x:c>
      <x:c r="M758" t="str">
        <x:f>IF(OR(J758=0,G758="",H758="",G758=0,H758=0),"",I758/(G758*H758))</x:f>
      </x:c>
      <x:c r="N758" t="str">
        <x:f>IF(K758="","",K758/_xlfn.MAXIFS($K:$K,$E:$E,E758))</x:f>
      </x:c>
      <x:c r="O758" t="str">
        <x:f>IF(M758="","",M758/_xlfn.MAXIFS($M:$M,$E:$E,E758))</x:f>
      </x:c>
      <x:c r="P758" t="str">
        <x:f>IF(OR(N758="",O758=""),"",SQRT(N758*O758))</x:f>
      </x:c>
      <x:c r="Q758" t="str">
        <x:f>IF(OR(N758="",O758=""),"",N758^0.7*O758^0.3)</x:f>
      </x:c>
      <x:c r="R758" t="str">
        <x:f>IF(OR(N758="",O758=""),"",N758^0.3*O758^0.7)</x:f>
      </x:c>
    </x:row>
    <x:row r="759">
      <x:c r="A759" t="inlineStr">
        <x:is>
          <x:t xml:space="preserve">openai|gpt-6-sol|max|reasoning|fallback-na|aa-v4.3.2|snapshot-2026-10-16</x:t>
        </x:is>
      </x:c>
      <x:c r="B759" t="inlineStr">
        <x:is>
          <x:t xml:space="preserve">openai|gpt-6-sol|max|reasoning|fallback-na</x:t>
        </x:is>
      </x:c>
      <x:c r="C759" t="inlineStr">
        <x:is>
          <x:t xml:space="preserve">AA|v4.3.2</x:t>
        </x:is>
      </x:c>
      <x:c r="D759" t="n">
        <x:v>96</x:v>
      </x:c>
      <x:c r="E759" t="n">
        <x:v>60</x:v>
      </x:c>
      <x:c r="F759" t="n">
        <x:f>INDEX(Run_Metrics!$F:$F,D759)</x:f>
        <x:v>48</x:v>
      </x:c>
      <x:c r="G759" t="n">
        <x:f>INDEX(Run_Metrics!$G:$G,D759)</x:f>
        <x:v>1.04</x:v>
      </x:c>
      <x:c r="H759" t="n">
        <x:f>INDEX(Run_Metrics!$I:$I,D759)</x:f>
        <x:v>4.896833333333333</x:v>
      </x:c>
      <x:c r="I759" t="n">
        <x:f>IF(F759="","",F759-(E759-1))</x:f>
        <x:v>-11</x:v>
      </x:c>
      <x:c r="J759" t="n">
        <x:f>IF(I759&gt;0,1,0)</x:f>
        <x:v>0</x:v>
      </x:c>
      <x:c r="K759" t="str">
        <x:f>IF(OR(J759=0,G759="",G759=0),"",I759/G759)</x:f>
      </x:c>
      <x:c r="L759" t="str">
        <x:f>IF(OR(J759=0,I759=0,G759=""),"",G759/I759)</x:f>
      </x:c>
      <x:c r="M759" t="str">
        <x:f>IF(OR(J759=0,G759="",H759="",G759=0,H759=0),"",I759/(G759*H759))</x:f>
      </x:c>
      <x:c r="N759" t="str">
        <x:f>IF(K759="","",K759/_xlfn.MAXIFS($K:$K,$E:$E,E759))</x:f>
      </x:c>
      <x:c r="O759" t="str">
        <x:f>IF(M759="","",M759/_xlfn.MAXIFS($M:$M,$E:$E,E759))</x:f>
      </x:c>
      <x:c r="P759" t="str">
        <x:f>IF(OR(N759="",O759=""),"",SQRT(N759*O759))</x:f>
      </x:c>
      <x:c r="Q759" t="str">
        <x:f>IF(OR(N759="",O759=""),"",N759^0.7*O759^0.3)</x:f>
      </x:c>
      <x:c r="R759" t="str">
        <x:f>IF(OR(N759="",O759=""),"",N759^0.3*O759^0.7)</x:f>
      </x:c>
    </x:row>
    <x:row r="760">
      <x:c r="A760" t="inlineStr">
        <x:is>
          <x:t xml:space="preserve">openai|gpt-6-sol|max|reasoning|fallback-na|aa-v4.3.2|snapshot-2026-10-16</x:t>
        </x:is>
      </x:c>
      <x:c r="B760" t="inlineStr">
        <x:is>
          <x:t xml:space="preserve">openai|gpt-6-sol|max|reasoning|fallback-na</x:t>
        </x:is>
      </x:c>
      <x:c r="C760" t="inlineStr">
        <x:is>
          <x:t xml:space="preserve">AA|v4.3.2</x:t>
        </x:is>
      </x:c>
      <x:c r="D760" t="n">
        <x:v>96</x:v>
      </x:c>
      <x:c r="E760" t="n">
        <x:v>70</x:v>
      </x:c>
      <x:c r="F760" t="n">
        <x:f>INDEX(Run_Metrics!$F:$F,D760)</x:f>
        <x:v>48</x:v>
      </x:c>
      <x:c r="G760" t="n">
        <x:f>INDEX(Run_Metrics!$G:$G,D760)</x:f>
        <x:v>1.04</x:v>
      </x:c>
      <x:c r="H760" t="n">
        <x:f>INDEX(Run_Metrics!$I:$I,D760)</x:f>
        <x:v>4.896833333333333</x:v>
      </x:c>
      <x:c r="I760" t="n">
        <x:f>IF(F760="","",F760-(E760-1))</x:f>
        <x:v>-21</x:v>
      </x:c>
      <x:c r="J760" t="n">
        <x:f>IF(I760&gt;0,1,0)</x:f>
        <x:v>0</x:v>
      </x:c>
      <x:c r="K760" t="str">
        <x:f>IF(OR(J760=0,G760="",G760=0),"",I760/G760)</x:f>
      </x:c>
      <x:c r="L760" t="str">
        <x:f>IF(OR(J760=0,I760=0,G760=""),"",G760/I760)</x:f>
      </x:c>
      <x:c r="M760" t="str">
        <x:f>IF(OR(J760=0,G760="",H760="",G760=0,H760=0),"",I760/(G760*H760))</x:f>
      </x:c>
      <x:c r="N760" t="str">
        <x:f>IF(K760="","",K760/_xlfn.MAXIFS($K:$K,$E:$E,E760))</x:f>
      </x:c>
      <x:c r="O760" t="str">
        <x:f>IF(M760="","",M760/_xlfn.MAXIFS($M:$M,$E:$E,E760))</x:f>
      </x:c>
      <x:c r="P760" t="str">
        <x:f>IF(OR(N760="",O760=""),"",SQRT(N760*O760))</x:f>
      </x:c>
      <x:c r="Q760" t="str">
        <x:f>IF(OR(N760="",O760=""),"",N760^0.7*O760^0.3)</x:f>
      </x:c>
      <x:c r="R760" t="str">
        <x:f>IF(OR(N760="",O760=""),"",N760^0.3*O760^0.7)</x:f>
      </x:c>
    </x:row>
    <x:row r="761">
      <x:c r="A761" t="inlineStr">
        <x:is>
          <x:t xml:space="preserve">openai|gpt-6-sol|max|reasoning|fallback-na|aa-v4.3.2|snapshot-2026-10-16</x:t>
        </x:is>
      </x:c>
      <x:c r="B761" t="inlineStr">
        <x:is>
          <x:t xml:space="preserve">openai|gpt-6-sol|max|reasoning|fallback-na</x:t>
        </x:is>
      </x:c>
      <x:c r="C761" t="inlineStr">
        <x:is>
          <x:t xml:space="preserve">AA|v4.3.2</x:t>
        </x:is>
      </x:c>
      <x:c r="D761" t="n">
        <x:v>96</x:v>
      </x:c>
      <x:c r="E761" t="n">
        <x:v>80</x:v>
      </x:c>
      <x:c r="F761" t="n">
        <x:f>INDEX(Run_Metrics!$F:$F,D761)</x:f>
        <x:v>48</x:v>
      </x:c>
      <x:c r="G761" t="n">
        <x:f>INDEX(Run_Metrics!$G:$G,D761)</x:f>
        <x:v>1.04</x:v>
      </x:c>
      <x:c r="H761" t="n">
        <x:f>INDEX(Run_Metrics!$I:$I,D761)</x:f>
        <x:v>4.896833333333333</x:v>
      </x:c>
      <x:c r="I761" t="n">
        <x:f>IF(F761="","",F761-(E761-1))</x:f>
        <x:v>-31</x:v>
      </x:c>
      <x:c r="J761" t="n">
        <x:f>IF(I761&gt;0,1,0)</x:f>
        <x:v>0</x:v>
      </x:c>
      <x:c r="K761" t="str">
        <x:f>IF(OR(J761=0,G761="",G761=0),"",I761/G761)</x:f>
      </x:c>
      <x:c r="L761" t="str">
        <x:f>IF(OR(J761=0,I761=0,G761=""),"",G761/I761)</x:f>
      </x:c>
      <x:c r="M761" t="str">
        <x:f>IF(OR(J761=0,G761="",H761="",G761=0,H761=0),"",I761/(G761*H761))</x:f>
      </x:c>
      <x:c r="N761" t="str">
        <x:f>IF(K761="","",K761/_xlfn.MAXIFS($K:$K,$E:$E,E761))</x:f>
      </x:c>
      <x:c r="O761" t="str">
        <x:f>IF(M761="","",M761/_xlfn.MAXIFS($M:$M,$E:$E,E761))</x:f>
      </x:c>
      <x:c r="P761" t="str">
        <x:f>IF(OR(N761="",O761=""),"",SQRT(N761*O761))</x:f>
      </x:c>
      <x:c r="Q761" t="str">
        <x:f>IF(OR(N761="",O761=""),"",N761^0.7*O761^0.3)</x:f>
      </x:c>
      <x:c r="R761" t="str">
        <x:f>IF(OR(N761="",O761=""),"",N761^0.3*O761^0.7)</x:f>
      </x:c>
    </x:row>
    <x:row r="762">
      <x:c r="A762" t="inlineStr">
        <x:is>
          <x:t xml:space="preserve">meta|muse-wonder-full|max|reasoning|fallback-na|aa-v4.3.2|snapshot-2026-10-16</x:t>
        </x:is>
      </x:c>
      <x:c r="B762" t="inlineStr">
        <x:is>
          <x:t xml:space="preserve">meta|muse-wonder-full|max|reasoning|fallback-na</x:t>
        </x:is>
      </x:c>
      <x:c r="C762" t="inlineStr">
        <x:is>
          <x:t xml:space="preserve">AA|v4.3.2</x:t>
        </x:is>
      </x:c>
      <x:c r="D762" t="n">
        <x:v>97</x:v>
      </x:c>
      <x:c r="E762" t="n">
        <x:v>10</x:v>
      </x:c>
      <x:c r="F762" t="n">
        <x:f>INDEX(Run_Metrics!$F:$F,D762)</x:f>
        <x:v>56</x:v>
      </x:c>
      <x:c r="G762" t="str">
        <x:f>INDEX(Run_Metrics!$G:$G,D762)</x:f>
      </x:c>
      <x:c r="H762" t="str">
        <x:f>INDEX(Run_Metrics!$I:$I,D762)</x:f>
      </x:c>
      <x:c r="I762" t="n">
        <x:f>IF(F762="","",F762-(E762-1))</x:f>
        <x:v>47</x:v>
      </x:c>
      <x:c r="J762" t="n">
        <x:f>IF(I762&gt;0,1,0)</x:f>
        <x:v>1</x:v>
      </x:c>
      <x:c r="K762" t="str">
        <x:f>IF(OR(J762=0,G762="",G762=0),"",I762/G762)</x:f>
      </x:c>
      <x:c r="L762" t="str">
        <x:f>IF(OR(J762=0,I762=0,G762=""),"",G762/I762)</x:f>
      </x:c>
      <x:c r="M762" t="str">
        <x:f>IF(OR(J762=0,G762="",H762="",G762=0,H762=0),"",I762/(G762*H762))</x:f>
      </x:c>
      <x:c r="N762" t="str">
        <x:f>IF(K762="","",K762/_xlfn.MAXIFS($K:$K,$E:$E,E762))</x:f>
      </x:c>
      <x:c r="O762" t="str">
        <x:f>IF(M762="","",M762/_xlfn.MAXIFS($M:$M,$E:$E,E762))</x:f>
      </x:c>
      <x:c r="P762" t="str">
        <x:f>IF(OR(N762="",O762=""),"",SQRT(N762*O762))</x:f>
      </x:c>
      <x:c r="Q762" t="str">
        <x:f>IF(OR(N762="",O762=""),"",N762^0.7*O762^0.3)</x:f>
      </x:c>
      <x:c r="R762" t="str">
        <x:f>IF(OR(N762="",O762=""),"",N762^0.3*O762^0.7)</x:f>
      </x:c>
    </x:row>
    <x:row r="763">
      <x:c r="A763" t="inlineStr">
        <x:is>
          <x:t xml:space="preserve">meta|muse-wonder-full|max|reasoning|fallback-na|aa-v4.3.2|snapshot-2026-10-16</x:t>
        </x:is>
      </x:c>
      <x:c r="B763" t="inlineStr">
        <x:is>
          <x:t xml:space="preserve">meta|muse-wonder-full|max|reasoning|fallback-na</x:t>
        </x:is>
      </x:c>
      <x:c r="C763" t="inlineStr">
        <x:is>
          <x:t xml:space="preserve">AA|v4.3.2</x:t>
        </x:is>
      </x:c>
      <x:c r="D763" t="n">
        <x:v>97</x:v>
      </x:c>
      <x:c r="E763" t="n">
        <x:v>20</x:v>
      </x:c>
      <x:c r="F763" t="n">
        <x:f>INDEX(Run_Metrics!$F:$F,D763)</x:f>
        <x:v>56</x:v>
      </x:c>
      <x:c r="G763" t="str">
        <x:f>INDEX(Run_Metrics!$G:$G,D763)</x:f>
      </x:c>
      <x:c r="H763" t="str">
        <x:f>INDEX(Run_Metrics!$I:$I,D763)</x:f>
      </x:c>
      <x:c r="I763" t="n">
        <x:f>IF(F763="","",F763-(E763-1))</x:f>
        <x:v>37</x:v>
      </x:c>
      <x:c r="J763" t="n">
        <x:f>IF(I763&gt;0,1,0)</x:f>
        <x:v>1</x:v>
      </x:c>
      <x:c r="K763" t="str">
        <x:f>IF(OR(J763=0,G763="",G763=0),"",I763/G763)</x:f>
      </x:c>
      <x:c r="L763" t="str">
        <x:f>IF(OR(J763=0,I763=0,G763=""),"",G763/I763)</x:f>
      </x:c>
      <x:c r="M763" t="str">
        <x:f>IF(OR(J763=0,G763="",H763="",G763=0,H763=0),"",I763/(G763*H763))</x:f>
      </x:c>
      <x:c r="N763" t="str">
        <x:f>IF(K763="","",K763/_xlfn.MAXIFS($K:$K,$E:$E,E763))</x:f>
      </x:c>
      <x:c r="O763" t="str">
        <x:f>IF(M763="","",M763/_xlfn.MAXIFS($M:$M,$E:$E,E763))</x:f>
      </x:c>
      <x:c r="P763" t="str">
        <x:f>IF(OR(N763="",O763=""),"",SQRT(N763*O763))</x:f>
      </x:c>
      <x:c r="Q763" t="str">
        <x:f>IF(OR(N763="",O763=""),"",N763^0.7*O763^0.3)</x:f>
      </x:c>
      <x:c r="R763" t="str">
        <x:f>IF(OR(N763="",O763=""),"",N763^0.3*O763^0.7)</x:f>
      </x:c>
    </x:row>
    <x:row r="764">
      <x:c r="A764" t="inlineStr">
        <x:is>
          <x:t xml:space="preserve">meta|muse-wonder-full|max|reasoning|fallback-na|aa-v4.3.2|snapshot-2026-10-16</x:t>
        </x:is>
      </x:c>
      <x:c r="B764" t="inlineStr">
        <x:is>
          <x:t xml:space="preserve">meta|muse-wonder-full|max|reasoning|fallback-na</x:t>
        </x:is>
      </x:c>
      <x:c r="C764" t="inlineStr">
        <x:is>
          <x:t xml:space="preserve">AA|v4.3.2</x:t>
        </x:is>
      </x:c>
      <x:c r="D764" t="n">
        <x:v>97</x:v>
      </x:c>
      <x:c r="E764" t="n">
        <x:v>30</x:v>
      </x:c>
      <x:c r="F764" t="n">
        <x:f>INDEX(Run_Metrics!$F:$F,D764)</x:f>
        <x:v>56</x:v>
      </x:c>
      <x:c r="G764" t="str">
        <x:f>INDEX(Run_Metrics!$G:$G,D764)</x:f>
      </x:c>
      <x:c r="H764" t="str">
        <x:f>INDEX(Run_Metrics!$I:$I,D764)</x:f>
      </x:c>
      <x:c r="I764" t="n">
        <x:f>IF(F764="","",F764-(E764-1))</x:f>
        <x:v>27</x:v>
      </x:c>
      <x:c r="J764" t="n">
        <x:f>IF(I764&gt;0,1,0)</x:f>
        <x:v>1</x:v>
      </x:c>
      <x:c r="K764" t="str">
        <x:f>IF(OR(J764=0,G764="",G764=0),"",I764/G764)</x:f>
      </x:c>
      <x:c r="L764" t="str">
        <x:f>IF(OR(J764=0,I764=0,G764=""),"",G764/I764)</x:f>
      </x:c>
      <x:c r="M764" t="str">
        <x:f>IF(OR(J764=0,G764="",H764="",G764=0,H764=0),"",I764/(G764*H764))</x:f>
      </x:c>
      <x:c r="N764" t="str">
        <x:f>IF(K764="","",K764/_xlfn.MAXIFS($K:$K,$E:$E,E764))</x:f>
      </x:c>
      <x:c r="O764" t="str">
        <x:f>IF(M764="","",M764/_xlfn.MAXIFS($M:$M,$E:$E,E764))</x:f>
      </x:c>
      <x:c r="P764" t="str">
        <x:f>IF(OR(N764="",O764=""),"",SQRT(N764*O764))</x:f>
      </x:c>
      <x:c r="Q764" t="str">
        <x:f>IF(OR(N764="",O764=""),"",N764^0.7*O764^0.3)</x:f>
      </x:c>
      <x:c r="R764" t="str">
        <x:f>IF(OR(N764="",O764=""),"",N764^0.3*O764^0.7)</x:f>
      </x:c>
    </x:row>
    <x:row r="765">
      <x:c r="A765" t="inlineStr">
        <x:is>
          <x:t xml:space="preserve">meta|muse-wonder-full|max|reasoning|fallback-na|aa-v4.3.2|snapshot-2026-10-16</x:t>
        </x:is>
      </x:c>
      <x:c r="B765" t="inlineStr">
        <x:is>
          <x:t xml:space="preserve">meta|muse-wonder-full|max|reasoning|fallback-na</x:t>
        </x:is>
      </x:c>
      <x:c r="C765" t="inlineStr">
        <x:is>
          <x:t xml:space="preserve">AA|v4.3.2</x:t>
        </x:is>
      </x:c>
      <x:c r="D765" t="n">
        <x:v>97</x:v>
      </x:c>
      <x:c r="E765" t="n">
        <x:v>40</x:v>
      </x:c>
      <x:c r="F765" t="n">
        <x:f>INDEX(Run_Metrics!$F:$F,D765)</x:f>
        <x:v>56</x:v>
      </x:c>
      <x:c r="G765" t="str">
        <x:f>INDEX(Run_Metrics!$G:$G,D765)</x:f>
      </x:c>
      <x:c r="H765" t="str">
        <x:f>INDEX(Run_Metrics!$I:$I,D765)</x:f>
      </x:c>
      <x:c r="I765" t="n">
        <x:f>IF(F765="","",F765-(E765-1))</x:f>
        <x:v>17</x:v>
      </x:c>
      <x:c r="J765" t="n">
        <x:f>IF(I765&gt;0,1,0)</x:f>
        <x:v>1</x:v>
      </x:c>
      <x:c r="K765" t="str">
        <x:f>IF(OR(J765=0,G765="",G765=0),"",I765/G765)</x:f>
      </x:c>
      <x:c r="L765" t="str">
        <x:f>IF(OR(J765=0,I765=0,G765=""),"",G765/I765)</x:f>
      </x:c>
      <x:c r="M765" t="str">
        <x:f>IF(OR(J765=0,G765="",H765="",G765=0,H765=0),"",I765/(G765*H765))</x:f>
      </x:c>
      <x:c r="N765" t="str">
        <x:f>IF(K765="","",K765/_xlfn.MAXIFS($K:$K,$E:$E,E765))</x:f>
      </x:c>
      <x:c r="O765" t="str">
        <x:f>IF(M765="","",M765/_xlfn.MAXIFS($M:$M,$E:$E,E765))</x:f>
      </x:c>
      <x:c r="P765" t="str">
        <x:f>IF(OR(N765="",O765=""),"",SQRT(N765*O765))</x:f>
      </x:c>
      <x:c r="Q765" t="str">
        <x:f>IF(OR(N765="",O765=""),"",N765^0.7*O765^0.3)</x:f>
      </x:c>
      <x:c r="R765" t="str">
        <x:f>IF(OR(N765="",O765=""),"",N765^0.3*O765^0.7)</x:f>
      </x:c>
    </x:row>
    <x:row r="766">
      <x:c r="A766" t="inlineStr">
        <x:is>
          <x:t xml:space="preserve">meta|muse-wonder-full|max|reasoning|fallback-na|aa-v4.3.2|snapshot-2026-10-16</x:t>
        </x:is>
      </x:c>
      <x:c r="B766" t="inlineStr">
        <x:is>
          <x:t xml:space="preserve">meta|muse-wonder-full|max|reasoning|fallback-na</x:t>
        </x:is>
      </x:c>
      <x:c r="C766" t="inlineStr">
        <x:is>
          <x:t xml:space="preserve">AA|v4.3.2</x:t>
        </x:is>
      </x:c>
      <x:c r="D766" t="n">
        <x:v>97</x:v>
      </x:c>
      <x:c r="E766" t="n">
        <x:v>50</x:v>
      </x:c>
      <x:c r="F766" t="n">
        <x:f>INDEX(Run_Metrics!$F:$F,D766)</x:f>
        <x:v>56</x:v>
      </x:c>
      <x:c r="G766" t="str">
        <x:f>INDEX(Run_Metrics!$G:$G,D766)</x:f>
      </x:c>
      <x:c r="H766" t="str">
        <x:f>INDEX(Run_Metrics!$I:$I,D766)</x:f>
      </x:c>
      <x:c r="I766" t="n">
        <x:f>IF(F766="","",F766-(E766-1))</x:f>
        <x:v>7</x:v>
      </x:c>
      <x:c r="J766" t="n">
        <x:f>IF(I766&gt;0,1,0)</x:f>
        <x:v>1</x:v>
      </x:c>
      <x:c r="K766" t="str">
        <x:f>IF(OR(J766=0,G766="",G766=0),"",I766/G766)</x:f>
      </x:c>
      <x:c r="L766" t="str">
        <x:f>IF(OR(J766=0,I766=0,G766=""),"",G766/I766)</x:f>
      </x:c>
      <x:c r="M766" t="str">
        <x:f>IF(OR(J766=0,G766="",H766="",G766=0,H766=0),"",I766/(G766*H766))</x:f>
      </x:c>
      <x:c r="N766" t="str">
        <x:f>IF(K766="","",K766/_xlfn.MAXIFS($K:$K,$E:$E,E766))</x:f>
      </x:c>
      <x:c r="O766" t="str">
        <x:f>IF(M766="","",M766/_xlfn.MAXIFS($M:$M,$E:$E,E766))</x:f>
      </x:c>
      <x:c r="P766" t="str">
        <x:f>IF(OR(N766="",O766=""),"",SQRT(N766*O766))</x:f>
      </x:c>
      <x:c r="Q766" t="str">
        <x:f>IF(OR(N766="",O766=""),"",N766^0.7*O766^0.3)</x:f>
      </x:c>
      <x:c r="R766" t="str">
        <x:f>IF(OR(N766="",O766=""),"",N766^0.3*O766^0.7)</x:f>
      </x:c>
    </x:row>
    <x:row r="767">
      <x:c r="A767" t="inlineStr">
        <x:is>
          <x:t xml:space="preserve">meta|muse-wonder-full|max|reasoning|fallback-na|aa-v4.3.2|snapshot-2026-10-16</x:t>
        </x:is>
      </x:c>
      <x:c r="B767" t="inlineStr">
        <x:is>
          <x:t xml:space="preserve">meta|muse-wonder-full|max|reasoning|fallback-na</x:t>
        </x:is>
      </x:c>
      <x:c r="C767" t="inlineStr">
        <x:is>
          <x:t xml:space="preserve">AA|v4.3.2</x:t>
        </x:is>
      </x:c>
      <x:c r="D767" t="n">
        <x:v>97</x:v>
      </x:c>
      <x:c r="E767" t="n">
        <x:v>60</x:v>
      </x:c>
      <x:c r="F767" t="n">
        <x:f>INDEX(Run_Metrics!$F:$F,D767)</x:f>
        <x:v>56</x:v>
      </x:c>
      <x:c r="G767" t="str">
        <x:f>INDEX(Run_Metrics!$G:$G,D767)</x:f>
      </x:c>
      <x:c r="H767" t="str">
        <x:f>INDEX(Run_Metrics!$I:$I,D767)</x:f>
      </x:c>
      <x:c r="I767" t="n">
        <x:f>IF(F767="","",F767-(E767-1))</x:f>
        <x:v>-3</x:v>
      </x:c>
      <x:c r="J767" t="n">
        <x:f>IF(I767&gt;0,1,0)</x:f>
        <x:v>0</x:v>
      </x:c>
      <x:c r="K767" t="str">
        <x:f>IF(OR(J767=0,G767="",G767=0),"",I767/G767)</x:f>
      </x:c>
      <x:c r="L767" t="str">
        <x:f>IF(OR(J767=0,I767=0,G767=""),"",G767/I767)</x:f>
      </x:c>
      <x:c r="M767" t="str">
        <x:f>IF(OR(J767=0,G767="",H767="",G767=0,H767=0),"",I767/(G767*H767))</x:f>
      </x:c>
      <x:c r="N767" t="str">
        <x:f>IF(K767="","",K767/_xlfn.MAXIFS($K:$K,$E:$E,E767))</x:f>
      </x:c>
      <x:c r="O767" t="str">
        <x:f>IF(M767="","",M767/_xlfn.MAXIFS($M:$M,$E:$E,E767))</x:f>
      </x:c>
      <x:c r="P767" t="str">
        <x:f>IF(OR(N767="",O767=""),"",SQRT(N767*O767))</x:f>
      </x:c>
      <x:c r="Q767" t="str">
        <x:f>IF(OR(N767="",O767=""),"",N767^0.7*O767^0.3)</x:f>
      </x:c>
      <x:c r="R767" t="str">
        <x:f>IF(OR(N767="",O767=""),"",N767^0.3*O767^0.7)</x:f>
      </x:c>
    </x:row>
    <x:row r="768">
      <x:c r="A768" t="inlineStr">
        <x:is>
          <x:t xml:space="preserve">meta|muse-wonder-full|max|reasoning|fallback-na|aa-v4.3.2|snapshot-2026-10-16</x:t>
        </x:is>
      </x:c>
      <x:c r="B768" t="inlineStr">
        <x:is>
          <x:t xml:space="preserve">meta|muse-wonder-full|max|reasoning|fallback-na</x:t>
        </x:is>
      </x:c>
      <x:c r="C768" t="inlineStr">
        <x:is>
          <x:t xml:space="preserve">AA|v4.3.2</x:t>
        </x:is>
      </x:c>
      <x:c r="D768" t="n">
        <x:v>97</x:v>
      </x:c>
      <x:c r="E768" t="n">
        <x:v>70</x:v>
      </x:c>
      <x:c r="F768" t="n">
        <x:f>INDEX(Run_Metrics!$F:$F,D768)</x:f>
        <x:v>56</x:v>
      </x:c>
      <x:c r="G768" t="str">
        <x:f>INDEX(Run_Metrics!$G:$G,D768)</x:f>
      </x:c>
      <x:c r="H768" t="str">
        <x:f>INDEX(Run_Metrics!$I:$I,D768)</x:f>
      </x:c>
      <x:c r="I768" t="n">
        <x:f>IF(F768="","",F768-(E768-1))</x:f>
        <x:v>-13</x:v>
      </x:c>
      <x:c r="J768" t="n">
        <x:f>IF(I768&gt;0,1,0)</x:f>
        <x:v>0</x:v>
      </x:c>
      <x:c r="K768" t="str">
        <x:f>IF(OR(J768=0,G768="",G768=0),"",I768/G768)</x:f>
      </x:c>
      <x:c r="L768" t="str">
        <x:f>IF(OR(J768=0,I768=0,G768=""),"",G768/I768)</x:f>
      </x:c>
      <x:c r="M768" t="str">
        <x:f>IF(OR(J768=0,G768="",H768="",G768=0,H768=0),"",I768/(G768*H768))</x:f>
      </x:c>
      <x:c r="N768" t="str">
        <x:f>IF(K768="","",K768/_xlfn.MAXIFS($K:$K,$E:$E,E768))</x:f>
      </x:c>
      <x:c r="O768" t="str">
        <x:f>IF(M768="","",M768/_xlfn.MAXIFS($M:$M,$E:$E,E768))</x:f>
      </x:c>
      <x:c r="P768" t="str">
        <x:f>IF(OR(N768="",O768=""),"",SQRT(N768*O768))</x:f>
      </x:c>
      <x:c r="Q768" t="str">
        <x:f>IF(OR(N768="",O768=""),"",N768^0.7*O768^0.3)</x:f>
      </x:c>
      <x:c r="R768" t="str">
        <x:f>IF(OR(N768="",O768=""),"",N768^0.3*O768^0.7)</x:f>
      </x:c>
    </x:row>
    <x:row r="769">
      <x:c r="A769" t="inlineStr">
        <x:is>
          <x:t xml:space="preserve">meta|muse-wonder-full|max|reasoning|fallback-na|aa-v4.3.2|snapshot-2026-10-16</x:t>
        </x:is>
      </x:c>
      <x:c r="B769" t="inlineStr">
        <x:is>
          <x:t xml:space="preserve">meta|muse-wonder-full|max|reasoning|fallback-na</x:t>
        </x:is>
      </x:c>
      <x:c r="C769" t="inlineStr">
        <x:is>
          <x:t xml:space="preserve">AA|v4.3.2</x:t>
        </x:is>
      </x:c>
      <x:c r="D769" t="n">
        <x:v>97</x:v>
      </x:c>
      <x:c r="E769" t="n">
        <x:v>80</x:v>
      </x:c>
      <x:c r="F769" t="n">
        <x:f>INDEX(Run_Metrics!$F:$F,D769)</x:f>
        <x:v>56</x:v>
      </x:c>
      <x:c r="G769" t="str">
        <x:f>INDEX(Run_Metrics!$G:$G,D769)</x:f>
      </x:c>
      <x:c r="H769" t="str">
        <x:f>INDEX(Run_Metrics!$I:$I,D769)</x:f>
      </x:c>
      <x:c r="I769" t="n">
        <x:f>IF(F769="","",F769-(E769-1))</x:f>
        <x:v>-23</x:v>
      </x:c>
      <x:c r="J769" t="n">
        <x:f>IF(I769&gt;0,1,0)</x:f>
        <x:v>0</x:v>
      </x:c>
      <x:c r="K769" t="str">
        <x:f>IF(OR(J769=0,G769="",G769=0),"",I769/G769)</x:f>
      </x:c>
      <x:c r="L769" t="str">
        <x:f>IF(OR(J769=0,I769=0,G769=""),"",G769/I769)</x:f>
      </x:c>
      <x:c r="M769" t="str">
        <x:f>IF(OR(J769=0,G769="",H769="",G769=0,H769=0),"",I769/(G769*H769))</x:f>
      </x:c>
      <x:c r="N769" t="str">
        <x:f>IF(K769="","",K769/_xlfn.MAXIFS($K:$K,$E:$E,E769))</x:f>
      </x:c>
      <x:c r="O769" t="str">
        <x:f>IF(M769="","",M769/_xlfn.MAXIFS($M:$M,$E:$E,E769))</x:f>
      </x:c>
      <x:c r="P769" t="str">
        <x:f>IF(OR(N769="",O769=""),"",SQRT(N769*O769))</x:f>
      </x:c>
      <x:c r="Q769" t="str">
        <x:f>IF(OR(N769="",O769=""),"",N769^0.7*O769^0.3)</x:f>
      </x:c>
      <x:c r="R769" t="str">
        <x:f>IF(OR(N769="",O769=""),"",N769^0.3*O769^0.7)</x:f>
      </x:c>
    </x:row>
    <x:row r="770" s="14" customFormat="1">
      <x:c r="A770" t="inlineStr">
        <x:is>
          <x:t xml:space="preserve">deepseek|deepseek-v4.1-flash|non-reasoning|nonreasoning|fallback-na|aa-v4.3.2|snapshot-2026-10-12</x:t>
        </x:is>
      </x:c>
      <x:c r="B770" t="inlineStr">
        <x:is>
          <x:t xml:space="preserve">deepseek|deepseek-v4.1-flash|non-reasoning|nonreasoning|fallback-na</x:t>
        </x:is>
      </x:c>
      <x:c r="C770" t="inlineStr">
        <x:is>
          <x:t xml:space="preserve">AA|v4.3.2</x:t>
        </x:is>
      </x:c>
      <x:c r="D770" t="n">
        <x:v>98</x:v>
      </x:c>
      <x:c r="E770" t="n">
        <x:v>10</x:v>
      </x:c>
      <x:c r="F770" t="n">
        <x:f>INDEX(Run_Metrics!$F:$F,D770)</x:f>
        <x:v>25</x:v>
      </x:c>
      <x:c r="G770" t="n">
        <x:f>INDEX(Run_Metrics!$G:$G,D770)</x:f>
        <x:v>0.15</x:v>
      </x:c>
      <x:c r="H770" t="str">
        <x:f>INDEX(Run_Metrics!$I:$I,D770)</x:f>
      </x:c>
      <x:c r="I770" t="n">
        <x:f>IF(F770="","",F770-(E770-1))</x:f>
        <x:v>16</x:v>
      </x:c>
      <x:c r="J770" t="n">
        <x:f>IF(I770&gt;0,1,0)</x:f>
        <x:v>1</x:v>
      </x:c>
      <x:c r="K770" t="n">
        <x:f>IF(OR(J770=0,G770="",G770=0),"",I770/G770)</x:f>
        <x:v>106.66666666666667</x:v>
      </x:c>
      <x:c r="L770" t="n">
        <x:f>IF(OR(J770=0,I770=0,G770=""),"",G770/I770)</x:f>
        <x:v>0.009375</x:v>
      </x:c>
      <x:c r="M770" t="str">
        <x:f>IF(OR(J770=0,G770="",H770="",G770=0,H770=0),"",I770/(G770*H770))</x:f>
      </x:c>
      <x:c r="N770" t="n">
        <x:f>IF(K770="","",K770/_xlfn.MAXIFS($K:$K,$E:$E,E770))</x:f>
        <x:v>0.03692307692307692</x:v>
      </x:c>
      <x:c r="O770" t="str">
        <x:f>IF(M770="","",M770/_xlfn.MAXIFS($M:$M,$E:$E,E770))</x:f>
      </x:c>
      <x:c r="P770" t="str">
        <x:f>IF(OR(N770="",O770=""),"",SQRT(N770*O770))</x:f>
      </x:c>
      <x:c r="Q770" t="str">
        <x:f>IF(OR(N770="",O770=""),"",N770^0.7*O770^0.3)</x:f>
      </x:c>
      <x:c r="R770" t="str">
        <x:f>IF(OR(N770="",O770=""),"",N770^0.3*O770^0.7)</x:f>
      </x:c>
    </x:row>
    <x:row r="771" s="14" customFormat="1">
      <x:c r="A771" t="inlineStr">
        <x:is>
          <x:t xml:space="preserve">deepseek|deepseek-v4.1-flash|non-reasoning|nonreasoning|fallback-na|aa-v4.3.2|snapshot-2026-10-12</x:t>
        </x:is>
      </x:c>
      <x:c r="B771" t="inlineStr">
        <x:is>
          <x:t xml:space="preserve">deepseek|deepseek-v4.1-flash|non-reasoning|nonreasoning|fallback-na</x:t>
        </x:is>
      </x:c>
      <x:c r="C771" t="inlineStr">
        <x:is>
          <x:t xml:space="preserve">AA|v4.3.2</x:t>
        </x:is>
      </x:c>
      <x:c r="D771" t="n">
        <x:v>98</x:v>
      </x:c>
      <x:c r="E771" t="n">
        <x:v>20</x:v>
      </x:c>
      <x:c r="F771" t="n">
        <x:f>INDEX(Run_Metrics!$F:$F,D771)</x:f>
        <x:v>25</x:v>
      </x:c>
      <x:c r="G771" t="n">
        <x:f>INDEX(Run_Metrics!$G:$G,D771)</x:f>
        <x:v>0.15</x:v>
      </x:c>
      <x:c r="H771" t="str">
        <x:f>INDEX(Run_Metrics!$I:$I,D771)</x:f>
      </x:c>
      <x:c r="I771" t="n">
        <x:f>IF(F771="","",F771-(E771-1))</x:f>
        <x:v>6</x:v>
      </x:c>
      <x:c r="J771" t="n">
        <x:f>IF(I771&gt;0,1,0)</x:f>
        <x:v>1</x:v>
      </x:c>
      <x:c r="K771" t="n">
        <x:f>IF(OR(J771=0,G771="",G771=0),"",I771/G771)</x:f>
        <x:v>40</x:v>
      </x:c>
      <x:c r="L771" t="n">
        <x:f>IF(OR(J771=0,I771=0,G771=""),"",G771/I771)</x:f>
        <x:v>0.024999999999999998</x:v>
      </x:c>
      <x:c r="M771" t="str">
        <x:f>IF(OR(J771=0,G771="",H771="",G771=0,H771=0),"",I771/(G771*H771))</x:f>
      </x:c>
      <x:c r="N771" t="n">
        <x:f>IF(K771="","",K771/_xlfn.MAXIFS($K:$K,$E:$E,E771))</x:f>
        <x:v>0.05999999999999999</x:v>
      </x:c>
      <x:c r="O771" t="str">
        <x:f>IF(M771="","",M771/_xlfn.MAXIFS($M:$M,$E:$E,E771))</x:f>
      </x:c>
      <x:c r="P771" t="str">
        <x:f>IF(OR(N771="",O771=""),"",SQRT(N771*O771))</x:f>
      </x:c>
      <x:c r="Q771" t="str">
        <x:f>IF(OR(N771="",O771=""),"",N771^0.7*O771^0.3)</x:f>
      </x:c>
      <x:c r="R771" t="str">
        <x:f>IF(OR(N771="",O771=""),"",N771^0.3*O771^0.7)</x:f>
      </x:c>
    </x:row>
    <x:row r="772" s="14" customFormat="1">
      <x:c r="A772" t="inlineStr">
        <x:is>
          <x:t xml:space="preserve">deepseek|deepseek-v4.1-flash|non-reasoning|nonreasoning|fallback-na|aa-v4.3.2|snapshot-2026-10-12</x:t>
        </x:is>
      </x:c>
      <x:c r="B772" t="inlineStr">
        <x:is>
          <x:t xml:space="preserve">deepseek|deepseek-v4.1-flash|non-reasoning|nonreasoning|fallback-na</x:t>
        </x:is>
      </x:c>
      <x:c r="C772" t="inlineStr">
        <x:is>
          <x:t xml:space="preserve">AA|v4.3.2</x:t>
        </x:is>
      </x:c>
      <x:c r="D772" t="n">
        <x:v>98</x:v>
      </x:c>
      <x:c r="E772" t="n">
        <x:v>30</x:v>
      </x:c>
      <x:c r="F772" t="n">
        <x:f>INDEX(Run_Metrics!$F:$F,D772)</x:f>
        <x:v>25</x:v>
      </x:c>
      <x:c r="G772" t="n">
        <x:f>INDEX(Run_Metrics!$G:$G,D772)</x:f>
        <x:v>0.15</x:v>
      </x:c>
      <x:c r="H772" t="str">
        <x:f>INDEX(Run_Metrics!$I:$I,D772)</x:f>
      </x:c>
      <x:c r="I772" t="n">
        <x:f>IF(F772="","",F772-(E772-1))</x:f>
        <x:v>-4</x:v>
      </x:c>
      <x:c r="J772" t="n">
        <x:f>IF(I772&gt;0,1,0)</x:f>
        <x:v>0</x:v>
      </x:c>
      <x:c r="K772" t="str">
        <x:f>IF(OR(J772=0,G772="",G772=0),"",I772/G772)</x:f>
      </x:c>
      <x:c r="L772" t="str">
        <x:f>IF(OR(J772=0,I772=0,G772=""),"",G772/I772)</x:f>
      </x:c>
      <x:c r="M772" t="str">
        <x:f>IF(OR(J772=0,G772="",H772="",G772=0,H772=0),"",I772/(G772*H772))</x:f>
      </x:c>
      <x:c r="N772" t="str">
        <x:f>IF(K772="","",K772/_xlfn.MAXIFS($K:$K,$E:$E,E772))</x:f>
      </x:c>
      <x:c r="O772" t="str">
        <x:f>IF(M772="","",M772/_xlfn.MAXIFS($M:$M,$E:$E,E772))</x:f>
      </x:c>
      <x:c r="P772" t="str">
        <x:f>IF(OR(N772="",O772=""),"",SQRT(N772*O772))</x:f>
      </x:c>
      <x:c r="Q772" t="str">
        <x:f>IF(OR(N772="",O772=""),"",N772^0.7*O772^0.3)</x:f>
      </x:c>
      <x:c r="R772" t="str">
        <x:f>IF(OR(N772="",O772=""),"",N772^0.3*O772^0.7)</x:f>
      </x:c>
    </x:row>
    <x:row r="773" s="14" customFormat="1">
      <x:c r="A773" t="inlineStr">
        <x:is>
          <x:t xml:space="preserve">deepseek|deepseek-v4.1-flash|non-reasoning|nonreasoning|fallback-na|aa-v4.3.2|snapshot-2026-10-12</x:t>
        </x:is>
      </x:c>
      <x:c r="B773" t="inlineStr">
        <x:is>
          <x:t xml:space="preserve">deepseek|deepseek-v4.1-flash|non-reasoning|nonreasoning|fallback-na</x:t>
        </x:is>
      </x:c>
      <x:c r="C773" t="inlineStr">
        <x:is>
          <x:t xml:space="preserve">AA|v4.3.2</x:t>
        </x:is>
      </x:c>
      <x:c r="D773" t="n">
        <x:v>98</x:v>
      </x:c>
      <x:c r="E773" t="n">
        <x:v>35</x:v>
      </x:c>
      <x:c r="F773" t="n">
        <x:f>INDEX(Run_Metrics!$F:$F,D773)</x:f>
        <x:v>25</x:v>
      </x:c>
      <x:c r="G773" t="n">
        <x:f>INDEX(Run_Metrics!$G:$G,D773)</x:f>
        <x:v>0.15</x:v>
      </x:c>
      <x:c r="H773" t="str">
        <x:f>INDEX(Run_Metrics!$I:$I,D773)</x:f>
      </x:c>
      <x:c r="I773" t="n">
        <x:f>IF(F773="","",F773-(E773-1))</x:f>
        <x:v>-9</x:v>
      </x:c>
      <x:c r="J773" t="n">
        <x:f>IF(I773&gt;0,1,0)</x:f>
        <x:v>0</x:v>
      </x:c>
      <x:c r="K773" t="str">
        <x:f>IF(OR(J773=0,G773="",G773=0),"",I773/G773)</x:f>
      </x:c>
      <x:c r="L773" t="str">
        <x:f>IF(OR(J773=0,I773=0,G773=""),"",G773/I773)</x:f>
      </x:c>
      <x:c r="M773" t="str">
        <x:f>IF(OR(J773=0,G773="",H773="",G773=0,H773=0),"",I773/(G773*H773))</x:f>
      </x:c>
      <x:c r="N773" t="str">
        <x:f>IF(K773="","",K773/_xlfn.MAXIFS($K:$K,$E:$E,E773))</x:f>
      </x:c>
      <x:c r="O773" t="str">
        <x:f>IF(M773="","",M773/_xlfn.MAXIFS($M:$M,$E:$E,E773))</x:f>
      </x:c>
      <x:c r="P773" t="str">
        <x:f>IF(OR(N773="",O773=""),"",SQRT(N773*O773))</x:f>
      </x:c>
      <x:c r="Q773" t="str">
        <x:f>IF(OR(N773="",O773=""),"",N773^0.7*O773^0.3)</x:f>
      </x:c>
      <x:c r="R773" t="str">
        <x:f>IF(OR(N773="",O773=""),"",N773^0.3*O773^0.7)</x:f>
      </x:c>
    </x:row>
    <x:row r="774" s="14" customFormat="1">
      <x:c r="A774" t="inlineStr">
        <x:is>
          <x:t xml:space="preserve">deepseek|deepseek-v4.1-flash|non-reasoning|nonreasoning|fallback-na|aa-v4.3.2|snapshot-2026-10-12</x:t>
        </x:is>
      </x:c>
      <x:c r="B774" t="inlineStr">
        <x:is>
          <x:t xml:space="preserve">deepseek|deepseek-v4.1-flash|non-reasoning|nonreasoning|fallback-na</x:t>
        </x:is>
      </x:c>
      <x:c r="C774" t="inlineStr">
        <x:is>
          <x:t xml:space="preserve">AA|v4.3.2</x:t>
        </x:is>
      </x:c>
      <x:c r="D774" t="n">
        <x:v>98</x:v>
      </x:c>
      <x:c r="E774" t="n">
        <x:v>40</x:v>
      </x:c>
      <x:c r="F774" t="n">
        <x:f>INDEX(Run_Metrics!$F:$F,D774)</x:f>
        <x:v>25</x:v>
      </x:c>
      <x:c r="G774" t="n">
        <x:f>INDEX(Run_Metrics!$G:$G,D774)</x:f>
        <x:v>0.15</x:v>
      </x:c>
      <x:c r="H774" t="str">
        <x:f>INDEX(Run_Metrics!$I:$I,D774)</x:f>
      </x:c>
      <x:c r="I774" t="n">
        <x:f>IF(F774="","",F774-(E774-1))</x:f>
        <x:v>-14</x:v>
      </x:c>
      <x:c r="J774" t="n">
        <x:f>IF(I774&gt;0,1,0)</x:f>
        <x:v>0</x:v>
      </x:c>
      <x:c r="K774" t="str">
        <x:f>IF(OR(J774=0,G774="",G774=0),"",I774/G774)</x:f>
      </x:c>
      <x:c r="L774" t="str">
        <x:f>IF(OR(J774=0,I774=0,G774=""),"",G774/I774)</x:f>
      </x:c>
      <x:c r="M774" t="str">
        <x:f>IF(OR(J774=0,G774="",H774="",G774=0,H774=0),"",I774/(G774*H774))</x:f>
      </x:c>
      <x:c r="N774" t="str">
        <x:f>IF(K774="","",K774/_xlfn.MAXIFS($K:$K,$E:$E,E774))</x:f>
      </x:c>
      <x:c r="O774" t="str">
        <x:f>IF(M774="","",M774/_xlfn.MAXIFS($M:$M,$E:$E,E774))</x:f>
      </x:c>
      <x:c r="P774" t="str">
        <x:f>IF(OR(N774="",O774=""),"",SQRT(N774*O774))</x:f>
      </x:c>
      <x:c r="Q774" t="str">
        <x:f>IF(OR(N774="",O774=""),"",N774^0.7*O774^0.3)</x:f>
      </x:c>
      <x:c r="R774" t="str">
        <x:f>IF(OR(N774="",O774=""),"",N774^0.3*O774^0.7)</x:f>
      </x:c>
    </x:row>
    <x:row r="775" s="14" customFormat="1">
      <x:c r="A775" t="inlineStr">
        <x:is>
          <x:t xml:space="preserve">deepseek|deepseek-v4.1-flash|non-reasoning|nonreasoning|fallback-na|aa-v4.3.2|snapshot-2026-10-12</x:t>
        </x:is>
      </x:c>
      <x:c r="B775" t="inlineStr">
        <x:is>
          <x:t xml:space="preserve">deepseek|deepseek-v4.1-flash|non-reasoning|nonreasoning|fallback-na</x:t>
        </x:is>
      </x:c>
      <x:c r="C775" t="inlineStr">
        <x:is>
          <x:t xml:space="preserve">AA|v4.3.2</x:t>
        </x:is>
      </x:c>
      <x:c r="D775" t="n">
        <x:v>98</x:v>
      </x:c>
      <x:c r="E775" t="n">
        <x:v>45</x:v>
      </x:c>
      <x:c r="F775" t="n">
        <x:f>INDEX(Run_Metrics!$F:$F,D775)</x:f>
        <x:v>25</x:v>
      </x:c>
      <x:c r="G775" t="n">
        <x:f>INDEX(Run_Metrics!$G:$G,D775)</x:f>
        <x:v>0.15</x:v>
      </x:c>
      <x:c r="H775" t="str">
        <x:f>INDEX(Run_Metrics!$I:$I,D775)</x:f>
      </x:c>
      <x:c r="I775" t="n">
        <x:f>IF(F775="","",F775-(E775-1))</x:f>
        <x:v>-19</x:v>
      </x:c>
      <x:c r="J775" t="n">
        <x:f>IF(I775&gt;0,1,0)</x:f>
        <x:v>0</x:v>
      </x:c>
      <x:c r="K775" t="str">
        <x:f>IF(OR(J775=0,G775="",G775=0),"",I775/G775)</x:f>
      </x:c>
      <x:c r="L775" t="str">
        <x:f>IF(OR(J775=0,I775=0,G775=""),"",G775/I775)</x:f>
      </x:c>
      <x:c r="M775" t="str">
        <x:f>IF(OR(J775=0,G775="",H775="",G775=0,H775=0),"",I775/(G775*H775))</x:f>
      </x:c>
      <x:c r="N775" t="str">
        <x:f>IF(K775="","",K775/_xlfn.MAXIFS($K:$K,$E:$E,E775))</x:f>
      </x:c>
      <x:c r="O775" t="str">
        <x:f>IF(M775="","",M775/_xlfn.MAXIFS($M:$M,$E:$E,E775))</x:f>
      </x:c>
      <x:c r="P775" t="str">
        <x:f>IF(OR(N775="",O775=""),"",SQRT(N775*O775))</x:f>
      </x:c>
      <x:c r="Q775" t="str">
        <x:f>IF(OR(N775="",O775=""),"",N775^0.7*O775^0.3)</x:f>
      </x:c>
      <x:c r="R775" t="str">
        <x:f>IF(OR(N775="",O775=""),"",N775^0.3*O775^0.7)</x:f>
      </x:c>
    </x:row>
    <x:row r="776" s="14" customFormat="1">
      <x:c r="A776" t="inlineStr">
        <x:is>
          <x:t xml:space="preserve">deepseek|deepseek-v4.1-flash|non-reasoning|nonreasoning|fallback-na|aa-v4.3.2|snapshot-2026-10-12</x:t>
        </x:is>
      </x:c>
      <x:c r="B776" t="inlineStr">
        <x:is>
          <x:t xml:space="preserve">deepseek|deepseek-v4.1-flash|non-reasoning|nonreasoning|fallback-na</x:t>
        </x:is>
      </x:c>
      <x:c r="C776" t="inlineStr">
        <x:is>
          <x:t xml:space="preserve">AA|v4.3.2</x:t>
        </x:is>
      </x:c>
      <x:c r="D776" t="n">
        <x:v>98</x:v>
      </x:c>
      <x:c r="E776" t="n">
        <x:v>50</x:v>
      </x:c>
      <x:c r="F776" t="n">
        <x:f>INDEX(Run_Metrics!$F:$F,D776)</x:f>
        <x:v>25</x:v>
      </x:c>
      <x:c r="G776" t="n">
        <x:f>INDEX(Run_Metrics!$G:$G,D776)</x:f>
        <x:v>0.15</x:v>
      </x:c>
      <x:c r="H776" t="str">
        <x:f>INDEX(Run_Metrics!$I:$I,D776)</x:f>
      </x:c>
      <x:c r="I776" t="n">
        <x:f>IF(F776="","",F776-(E776-1))</x:f>
        <x:v>-24</x:v>
      </x:c>
      <x:c r="J776" t="n">
        <x:f>IF(I776&gt;0,1,0)</x:f>
        <x:v>0</x:v>
      </x:c>
      <x:c r="K776" t="str">
        <x:f>IF(OR(J776=0,G776="",G776=0),"",I776/G776)</x:f>
      </x:c>
      <x:c r="L776" t="str">
        <x:f>IF(OR(J776=0,I776=0,G776=""),"",G776/I776)</x:f>
      </x:c>
      <x:c r="M776" t="str">
        <x:f>IF(OR(J776=0,G776="",H776="",G776=0,H776=0),"",I776/(G776*H776))</x:f>
      </x:c>
      <x:c r="N776" t="str">
        <x:f>IF(K776="","",K776/_xlfn.MAXIFS($K:$K,$E:$E,E776))</x:f>
      </x:c>
      <x:c r="O776" t="str">
        <x:f>IF(M776="","",M776/_xlfn.MAXIFS($M:$M,$E:$E,E776))</x:f>
      </x:c>
      <x:c r="P776" t="str">
        <x:f>IF(OR(N776="",O776=""),"",SQRT(N776*O776))</x:f>
      </x:c>
      <x:c r="Q776" t="str">
        <x:f>IF(OR(N776="",O776=""),"",N776^0.7*O776^0.3)</x:f>
      </x:c>
      <x:c r="R776" t="str">
        <x:f>IF(OR(N776="",O776=""),"",N776^0.3*O776^0.7)</x:f>
      </x:c>
    </x:row>
    <x:row r="777" s="14" customFormat="1">
      <x:c r="A777" t="inlineStr">
        <x:is>
          <x:t xml:space="preserve">deepseek|deepseek-v4.1-flash|non-reasoning|nonreasoning|fallback-na|aa-v4.3.2|snapshot-2026-10-12</x:t>
        </x:is>
      </x:c>
      <x:c r="B777" t="inlineStr">
        <x:is>
          <x:t xml:space="preserve">deepseek|deepseek-v4.1-flash|non-reasoning|nonreasoning|fallback-na</x:t>
        </x:is>
      </x:c>
      <x:c r="C777" t="inlineStr">
        <x:is>
          <x:t xml:space="preserve">AA|v4.3.2</x:t>
        </x:is>
      </x:c>
      <x:c r="D777" t="n">
        <x:v>98</x:v>
      </x:c>
      <x:c r="E777" t="n">
        <x:v>60</x:v>
      </x:c>
      <x:c r="F777" t="n">
        <x:f>INDEX(Run_Metrics!$F:$F,D777)</x:f>
        <x:v>25</x:v>
      </x:c>
      <x:c r="G777" t="n">
        <x:f>INDEX(Run_Metrics!$G:$G,D777)</x:f>
        <x:v>0.15</x:v>
      </x:c>
      <x:c r="H777" t="str">
        <x:f>INDEX(Run_Metrics!$I:$I,D777)</x:f>
      </x:c>
      <x:c r="I777" t="n">
        <x:f>IF(F777="","",F777-(E777-1))</x:f>
        <x:v>-34</x:v>
      </x:c>
      <x:c r="J777" t="n">
        <x:f>IF(I777&gt;0,1,0)</x:f>
        <x:v>0</x:v>
      </x:c>
      <x:c r="K777" t="str">
        <x:f>IF(OR(J777=0,G777="",G777=0),"",I777/G777)</x:f>
      </x:c>
      <x:c r="L777" t="str">
        <x:f>IF(OR(J777=0,I777=0,G777=""),"",G777/I777)</x:f>
      </x:c>
      <x:c r="M777" t="str">
        <x:f>IF(OR(J777=0,G777="",H777="",G777=0,H777=0),"",I777/(G777*H777))</x:f>
      </x:c>
      <x:c r="N777" t="str">
        <x:f>IF(K777="","",K777/_xlfn.MAXIFS($K:$K,$E:$E,E777))</x:f>
      </x:c>
      <x:c r="O777" t="str">
        <x:f>IF(M777="","",M777/_xlfn.MAXIFS($M:$M,$E:$E,E777))</x:f>
      </x:c>
      <x:c r="P777" t="str">
        <x:f>IF(OR(N777="",O777=""),"",SQRT(N777*O777))</x:f>
      </x:c>
      <x:c r="Q777" t="str">
        <x:f>IF(OR(N777="",O777=""),"",N777^0.7*O777^0.3)</x:f>
      </x:c>
      <x:c r="R777" t="str">
        <x:f>IF(OR(N777="",O777=""),"",N777^0.3*O777^0.7)</x:f>
      </x:c>
    </x:row>
    <x:row r="778" s="14" customFormat="1">
      <x:c r="A778" t="inlineStr">
        <x:is>
          <x:t xml:space="preserve">deepseek|deepseek-v4.1-flash|max|reasoning|fallback-na|aa-v4.3.2|snapshot-2026-10-12</x:t>
        </x:is>
      </x:c>
      <x:c r="B778" t="inlineStr">
        <x:is>
          <x:t xml:space="preserve">deepseek|deepseek-v4.1-flash|max|reasoning|fallback-na</x:t>
        </x:is>
      </x:c>
      <x:c r="C778" t="inlineStr">
        <x:is>
          <x:t xml:space="preserve">AA|v4.3.2</x:t>
        </x:is>
      </x:c>
      <x:c r="D778" t="n">
        <x:v>99</x:v>
      </x:c>
      <x:c r="E778" t="n">
        <x:v>10</x:v>
      </x:c>
      <x:c r="F778" t="n">
        <x:f>INDEX(Run_Metrics!$F:$F,D778)</x:f>
        <x:v>39</x:v>
      </x:c>
      <x:c r="G778" t="n">
        <x:f>INDEX(Run_Metrics!$G:$G,D778)</x:f>
        <x:v>0.27</x:v>
      </x:c>
      <x:c r="H778" t="str">
        <x:f>INDEX(Run_Metrics!$I:$I,D778)</x:f>
      </x:c>
      <x:c r="I778" t="n">
        <x:f>IF(F778="","",F778-(E778-1))</x:f>
        <x:v>30</x:v>
      </x:c>
      <x:c r="J778" t="n">
        <x:f>IF(I778&gt;0,1,0)</x:f>
        <x:v>1</x:v>
      </x:c>
      <x:c r="K778" t="n">
        <x:f>IF(OR(J778=0,G778="",G778=0),"",I778/G778)</x:f>
        <x:v>111.1111111111111</x:v>
      </x:c>
      <x:c r="L778" t="n">
        <x:f>IF(OR(J778=0,I778=0,G778=""),"",G778/I778)</x:f>
        <x:v>0.009000000000000001</x:v>
      </x:c>
      <x:c r="M778" t="str">
        <x:f>IF(OR(J778=0,G778="",H778="",G778=0,H778=0),"",I778/(G778*H778))</x:f>
      </x:c>
      <x:c r="N778" t="n">
        <x:f>IF(K778="","",K778/_xlfn.MAXIFS($K:$K,$E:$E,E778))</x:f>
        <x:v>0.03846153846153846</x:v>
      </x:c>
      <x:c r="O778" t="str">
        <x:f>IF(M778="","",M778/_xlfn.MAXIFS($M:$M,$E:$E,E778))</x:f>
      </x:c>
      <x:c r="P778" t="str">
        <x:f>IF(OR(N778="",O778=""),"",SQRT(N778*O778))</x:f>
      </x:c>
      <x:c r="Q778" t="str">
        <x:f>IF(OR(N778="",O778=""),"",N778^0.7*O778^0.3)</x:f>
      </x:c>
      <x:c r="R778" t="str">
        <x:f>IF(OR(N778="",O778=""),"",N778^0.3*O778^0.7)</x:f>
      </x:c>
    </x:row>
    <x:row r="779" s="14" customFormat="1">
      <x:c r="A779" t="inlineStr">
        <x:is>
          <x:t xml:space="preserve">deepseek|deepseek-v4.1-flash|max|reasoning|fallback-na|aa-v4.3.2|snapshot-2026-10-12</x:t>
        </x:is>
      </x:c>
      <x:c r="B779" t="inlineStr">
        <x:is>
          <x:t xml:space="preserve">deepseek|deepseek-v4.1-flash|max|reasoning|fallback-na</x:t>
        </x:is>
      </x:c>
      <x:c r="C779" t="inlineStr">
        <x:is>
          <x:t xml:space="preserve">AA|v4.3.2</x:t>
        </x:is>
      </x:c>
      <x:c r="D779" t="n">
        <x:v>99</x:v>
      </x:c>
      <x:c r="E779" t="n">
        <x:v>20</x:v>
      </x:c>
      <x:c r="F779" t="n">
        <x:f>INDEX(Run_Metrics!$F:$F,D779)</x:f>
        <x:v>39</x:v>
      </x:c>
      <x:c r="G779" t="n">
        <x:f>INDEX(Run_Metrics!$G:$G,D779)</x:f>
        <x:v>0.27</x:v>
      </x:c>
      <x:c r="H779" t="str">
        <x:f>INDEX(Run_Metrics!$I:$I,D779)</x:f>
      </x:c>
      <x:c r="I779" t="n">
        <x:f>IF(F779="","",F779-(E779-1))</x:f>
        <x:v>20</x:v>
      </x:c>
      <x:c r="J779" t="n">
        <x:f>IF(I779&gt;0,1,0)</x:f>
        <x:v>1</x:v>
      </x:c>
      <x:c r="K779" t="n">
        <x:f>IF(OR(J779=0,G779="",G779=0),"",I779/G779)</x:f>
        <x:v>74.07407407407408</x:v>
      </x:c>
      <x:c r="L779" t="n">
        <x:f>IF(OR(J779=0,I779=0,G779=""),"",G779/I779)</x:f>
        <x:v>0.013500000000000002</x:v>
      </x:c>
      <x:c r="M779" t="str">
        <x:f>IF(OR(J779=0,G779="",H779="",G779=0,H779=0),"",I779/(G779*H779))</x:f>
      </x:c>
      <x:c r="N779" t="n">
        <x:f>IF(K779="","",K779/_xlfn.MAXIFS($K:$K,$E:$E,E779))</x:f>
        <x:v>0.1111111111111111</x:v>
      </x:c>
      <x:c r="O779" t="str">
        <x:f>IF(M779="","",M779/_xlfn.MAXIFS($M:$M,$E:$E,E779))</x:f>
      </x:c>
      <x:c r="P779" t="str">
        <x:f>IF(OR(N779="",O779=""),"",SQRT(N779*O779))</x:f>
      </x:c>
      <x:c r="Q779" t="str">
        <x:f>IF(OR(N779="",O779=""),"",N779^0.7*O779^0.3)</x:f>
      </x:c>
      <x:c r="R779" t="str">
        <x:f>IF(OR(N779="",O779=""),"",N779^0.3*O779^0.7)</x:f>
      </x:c>
    </x:row>
    <x:row r="780" s="14" customFormat="1">
      <x:c r="A780" t="inlineStr">
        <x:is>
          <x:t xml:space="preserve">deepseek|deepseek-v4.1-flash|max|reasoning|fallback-na|aa-v4.3.2|snapshot-2026-10-12</x:t>
        </x:is>
      </x:c>
      <x:c r="B780" t="inlineStr">
        <x:is>
          <x:t xml:space="preserve">deepseek|deepseek-v4.1-flash|max|reasoning|fallback-na</x:t>
        </x:is>
      </x:c>
      <x:c r="C780" t="inlineStr">
        <x:is>
          <x:t xml:space="preserve">AA|v4.3.2</x:t>
        </x:is>
      </x:c>
      <x:c r="D780" t="n">
        <x:v>99</x:v>
      </x:c>
      <x:c r="E780" t="n">
        <x:v>30</x:v>
      </x:c>
      <x:c r="F780" t="n">
        <x:f>INDEX(Run_Metrics!$F:$F,D780)</x:f>
        <x:v>39</x:v>
      </x:c>
      <x:c r="G780" t="n">
        <x:f>INDEX(Run_Metrics!$G:$G,D780)</x:f>
        <x:v>0.27</x:v>
      </x:c>
      <x:c r="H780" t="str">
        <x:f>INDEX(Run_Metrics!$I:$I,D780)</x:f>
      </x:c>
      <x:c r="I780" t="n">
        <x:f>IF(F780="","",F780-(E780-1))</x:f>
        <x:v>10</x:v>
      </x:c>
      <x:c r="J780" t="n">
        <x:f>IF(I780&gt;0,1,0)</x:f>
        <x:v>1</x:v>
      </x:c>
      <x:c r="K780" t="n">
        <x:f>IF(OR(J780=0,G780="",G780=0),"",I780/G780)</x:f>
        <x:v>37.03703703703704</x:v>
      </x:c>
      <x:c r="L780" t="n">
        <x:f>IF(OR(J780=0,I780=0,G780=""),"",G780/I780)</x:f>
        <x:v>0.027000000000000003</x:v>
      </x:c>
      <x:c r="M780" t="str">
        <x:f>IF(OR(J780=0,G780="",H780="",G780=0,H780=0),"",I780/(G780*H780))</x:f>
      </x:c>
      <x:c r="N780" t="n">
        <x:f>IF(K780="","",K780/_xlfn.MAXIFS($K:$K,$E:$E,E780))</x:f>
        <x:v>0.2469135802469136</x:v>
      </x:c>
      <x:c r="O780" t="str">
        <x:f>IF(M780="","",M780/_xlfn.MAXIFS($M:$M,$E:$E,E780))</x:f>
      </x:c>
      <x:c r="P780" t="str">
        <x:f>IF(OR(N780="",O780=""),"",SQRT(N780*O780))</x:f>
      </x:c>
      <x:c r="Q780" t="str">
        <x:f>IF(OR(N780="",O780=""),"",N780^0.7*O780^0.3)</x:f>
      </x:c>
      <x:c r="R780" t="str">
        <x:f>IF(OR(N780="",O780=""),"",N780^0.3*O780^0.7)</x:f>
      </x:c>
    </x:row>
    <x:row r="781" s="14" customFormat="1">
      <x:c r="A781" t="inlineStr">
        <x:is>
          <x:t xml:space="preserve">deepseek|deepseek-v4.1-flash|max|reasoning|fallback-na|aa-v4.3.2|snapshot-2026-10-12</x:t>
        </x:is>
      </x:c>
      <x:c r="B781" t="inlineStr">
        <x:is>
          <x:t xml:space="preserve">deepseek|deepseek-v4.1-flash|max|reasoning|fallback-na</x:t>
        </x:is>
      </x:c>
      <x:c r="C781" t="inlineStr">
        <x:is>
          <x:t xml:space="preserve">AA|v4.3.2</x:t>
        </x:is>
      </x:c>
      <x:c r="D781" t="n">
        <x:v>99</x:v>
      </x:c>
      <x:c r="E781" t="n">
        <x:v>35</x:v>
      </x:c>
      <x:c r="F781" t="n">
        <x:f>INDEX(Run_Metrics!$F:$F,D781)</x:f>
        <x:v>39</x:v>
      </x:c>
      <x:c r="G781" t="n">
        <x:f>INDEX(Run_Metrics!$G:$G,D781)</x:f>
        <x:v>0.27</x:v>
      </x:c>
      <x:c r="H781" t="str">
        <x:f>INDEX(Run_Metrics!$I:$I,D781)</x:f>
      </x:c>
      <x:c r="I781" t="n">
        <x:f>IF(F781="","",F781-(E781-1))</x:f>
        <x:v>5</x:v>
      </x:c>
      <x:c r="J781" t="n">
        <x:f>IF(I781&gt;0,1,0)</x:f>
        <x:v>1</x:v>
      </x:c>
      <x:c r="K781" t="n">
        <x:f>IF(OR(J781=0,G781="",G781=0),"",I781/G781)</x:f>
        <x:v>18.51851851851852</x:v>
      </x:c>
      <x:c r="L781" t="n">
        <x:f>IF(OR(J781=0,I781=0,G781=""),"",G781/I781)</x:f>
        <x:v>0.054000000000000006</x:v>
      </x:c>
      <x:c r="M781" t="str">
        <x:f>IF(OR(J781=0,G781="",H781="",G781=0,H781=0),"",I781/(G781*H781))</x:f>
      </x:c>
      <x:c r="N781" t="n">
        <x:f>IF(K781="","",K781/_xlfn.MAXIFS($K:$K,$E:$E,E781))</x:f>
        <x:v>0.2006172839506173</x:v>
      </x:c>
      <x:c r="O781" t="str">
        <x:f>IF(M781="","",M781/_xlfn.MAXIFS($M:$M,$E:$E,E781))</x:f>
      </x:c>
      <x:c r="P781" t="str">
        <x:f>IF(OR(N781="",O781=""),"",SQRT(N781*O781))</x:f>
      </x:c>
      <x:c r="Q781" t="str">
        <x:f>IF(OR(N781="",O781=""),"",N781^0.7*O781^0.3)</x:f>
      </x:c>
      <x:c r="R781" t="str">
        <x:f>IF(OR(N781="",O781=""),"",N781^0.3*O781^0.7)</x:f>
      </x:c>
    </x:row>
    <x:row r="782" s="14" customFormat="1">
      <x:c r="A782" t="inlineStr">
        <x:is>
          <x:t xml:space="preserve">deepseek|deepseek-v4.1-flash|max|reasoning|fallback-na|aa-v4.3.2|snapshot-2026-10-12</x:t>
        </x:is>
      </x:c>
      <x:c r="B782" t="inlineStr">
        <x:is>
          <x:t xml:space="preserve">deepseek|deepseek-v4.1-flash|max|reasoning|fallback-na</x:t>
        </x:is>
      </x:c>
      <x:c r="C782" t="inlineStr">
        <x:is>
          <x:t xml:space="preserve">AA|v4.3.2</x:t>
        </x:is>
      </x:c>
      <x:c r="D782" t="n">
        <x:v>99</x:v>
      </x:c>
      <x:c r="E782" t="n">
        <x:v>40</x:v>
      </x:c>
      <x:c r="F782" t="n">
        <x:f>INDEX(Run_Metrics!$F:$F,D782)</x:f>
        <x:v>39</x:v>
      </x:c>
      <x:c r="G782" t="n">
        <x:f>INDEX(Run_Metrics!$G:$G,D782)</x:f>
        <x:v>0.27</x:v>
      </x:c>
      <x:c r="H782" t="str">
        <x:f>INDEX(Run_Metrics!$I:$I,D782)</x:f>
      </x:c>
      <x:c r="I782" t="n">
        <x:f>IF(F782="","",F782-(E782-1))</x:f>
        <x:v>0</x:v>
      </x:c>
      <x:c r="J782" t="n">
        <x:f>IF(I782&gt;0,1,0)</x:f>
        <x:v>0</x:v>
      </x:c>
      <x:c r="K782" t="str">
        <x:f>IF(OR(J782=0,G782="",G782=0),"",I782/G782)</x:f>
      </x:c>
      <x:c r="L782" t="str">
        <x:f>IF(OR(J782=0,I782=0,G782=""),"",G782/I782)</x:f>
      </x:c>
      <x:c r="M782" t="str">
        <x:f>IF(OR(J782=0,G782="",H782="",G782=0,H782=0),"",I782/(G782*H782))</x:f>
      </x:c>
      <x:c r="N782" t="str">
        <x:f>IF(K782="","",K782/_xlfn.MAXIFS($K:$K,$E:$E,E782))</x:f>
      </x:c>
      <x:c r="O782" t="str">
        <x:f>IF(M782="","",M782/_xlfn.MAXIFS($M:$M,$E:$E,E782))</x:f>
      </x:c>
      <x:c r="P782" t="str">
        <x:f>IF(OR(N782="",O782=""),"",SQRT(N782*O782))</x:f>
      </x:c>
      <x:c r="Q782" t="str">
        <x:f>IF(OR(N782="",O782=""),"",N782^0.7*O782^0.3)</x:f>
      </x:c>
      <x:c r="R782" t="str">
        <x:f>IF(OR(N782="",O782=""),"",N782^0.3*O782^0.7)</x:f>
      </x:c>
    </x:row>
    <x:row r="783" s="14" customFormat="1">
      <x:c r="A783" t="inlineStr">
        <x:is>
          <x:t xml:space="preserve">deepseek|deepseek-v4.1-flash|max|reasoning|fallback-na|aa-v4.3.2|snapshot-2026-10-12</x:t>
        </x:is>
      </x:c>
      <x:c r="B783" t="inlineStr">
        <x:is>
          <x:t xml:space="preserve">deepseek|deepseek-v4.1-flash|max|reasoning|fallback-na</x:t>
        </x:is>
      </x:c>
      <x:c r="C783" t="inlineStr">
        <x:is>
          <x:t xml:space="preserve">AA|v4.3.2</x:t>
        </x:is>
      </x:c>
      <x:c r="D783" t="n">
        <x:v>99</x:v>
      </x:c>
      <x:c r="E783" t="n">
        <x:v>45</x:v>
      </x:c>
      <x:c r="F783" t="n">
        <x:f>INDEX(Run_Metrics!$F:$F,D783)</x:f>
        <x:v>39</x:v>
      </x:c>
      <x:c r="G783" t="n">
        <x:f>INDEX(Run_Metrics!$G:$G,D783)</x:f>
        <x:v>0.27</x:v>
      </x:c>
      <x:c r="H783" t="str">
        <x:f>INDEX(Run_Metrics!$I:$I,D783)</x:f>
      </x:c>
      <x:c r="I783" t="n">
        <x:f>IF(F783="","",F783-(E783-1))</x:f>
        <x:v>-5</x:v>
      </x:c>
      <x:c r="J783" t="n">
        <x:f>IF(I783&gt;0,1,0)</x:f>
        <x:v>0</x:v>
      </x:c>
      <x:c r="K783" t="str">
        <x:f>IF(OR(J783=0,G783="",G783=0),"",I783/G783)</x:f>
      </x:c>
      <x:c r="L783" t="str">
        <x:f>IF(OR(J783=0,I783=0,G783=""),"",G783/I783)</x:f>
      </x:c>
      <x:c r="M783" t="str">
        <x:f>IF(OR(J783=0,G783="",H783="",G783=0,H783=0),"",I783/(G783*H783))</x:f>
      </x:c>
      <x:c r="N783" t="str">
        <x:f>IF(K783="","",K783/_xlfn.MAXIFS($K:$K,$E:$E,E783))</x:f>
      </x:c>
      <x:c r="O783" t="str">
        <x:f>IF(M783="","",M783/_xlfn.MAXIFS($M:$M,$E:$E,E783))</x:f>
      </x:c>
      <x:c r="P783" t="str">
        <x:f>IF(OR(N783="",O783=""),"",SQRT(N783*O783))</x:f>
      </x:c>
      <x:c r="Q783" t="str">
        <x:f>IF(OR(N783="",O783=""),"",N783^0.7*O783^0.3)</x:f>
      </x:c>
      <x:c r="R783" t="str">
        <x:f>IF(OR(N783="",O783=""),"",N783^0.3*O783^0.7)</x:f>
      </x:c>
    </x:row>
    <x:row r="784" s="14" customFormat="1">
      <x:c r="A784" t="inlineStr">
        <x:is>
          <x:t xml:space="preserve">deepseek|deepseek-v4.1-flash|max|reasoning|fallback-na|aa-v4.3.2|snapshot-2026-10-12</x:t>
        </x:is>
      </x:c>
      <x:c r="B784" t="inlineStr">
        <x:is>
          <x:t xml:space="preserve">deepseek|deepseek-v4.1-flash|max|reasoning|fallback-na</x:t>
        </x:is>
      </x:c>
      <x:c r="C784" t="inlineStr">
        <x:is>
          <x:t xml:space="preserve">AA|v4.3.2</x:t>
        </x:is>
      </x:c>
      <x:c r="D784" t="n">
        <x:v>99</x:v>
      </x:c>
      <x:c r="E784" t="n">
        <x:v>50</x:v>
      </x:c>
      <x:c r="F784" t="n">
        <x:f>INDEX(Run_Metrics!$F:$F,D784)</x:f>
        <x:v>39</x:v>
      </x:c>
      <x:c r="G784" t="n">
        <x:f>INDEX(Run_Metrics!$G:$G,D784)</x:f>
        <x:v>0.27</x:v>
      </x:c>
      <x:c r="H784" t="str">
        <x:f>INDEX(Run_Metrics!$I:$I,D784)</x:f>
      </x:c>
      <x:c r="I784" t="n">
        <x:f>IF(F784="","",F784-(E784-1))</x:f>
        <x:v>-10</x:v>
      </x:c>
      <x:c r="J784" t="n">
        <x:f>IF(I784&gt;0,1,0)</x:f>
        <x:v>0</x:v>
      </x:c>
      <x:c r="K784" t="str">
        <x:f>IF(OR(J784=0,G784="",G784=0),"",I784/G784)</x:f>
      </x:c>
      <x:c r="L784" t="str">
        <x:f>IF(OR(J784=0,I784=0,G784=""),"",G784/I784)</x:f>
      </x:c>
      <x:c r="M784" t="str">
        <x:f>IF(OR(J784=0,G784="",H784="",G784=0,H784=0),"",I784/(G784*H784))</x:f>
      </x:c>
      <x:c r="N784" t="str">
        <x:f>IF(K784="","",K784/_xlfn.MAXIFS($K:$K,$E:$E,E784))</x:f>
      </x:c>
      <x:c r="O784" t="str">
        <x:f>IF(M784="","",M784/_xlfn.MAXIFS($M:$M,$E:$E,E784))</x:f>
      </x:c>
      <x:c r="P784" t="str">
        <x:f>IF(OR(N784="",O784=""),"",SQRT(N784*O784))</x:f>
      </x:c>
      <x:c r="Q784" t="str">
        <x:f>IF(OR(N784="",O784=""),"",N784^0.7*O784^0.3)</x:f>
      </x:c>
      <x:c r="R784" t="str">
        <x:f>IF(OR(N784="",O784=""),"",N784^0.3*O784^0.7)</x:f>
      </x:c>
    </x:row>
    <x:row r="785" s="14" customFormat="1">
      <x:c r="A785" t="inlineStr">
        <x:is>
          <x:t xml:space="preserve">deepseek|deepseek-v4.1-flash|max|reasoning|fallback-na|aa-v4.3.2|snapshot-2026-10-12</x:t>
        </x:is>
      </x:c>
      <x:c r="B785" t="inlineStr">
        <x:is>
          <x:t xml:space="preserve">deepseek|deepseek-v4.1-flash|max|reasoning|fallback-na</x:t>
        </x:is>
      </x:c>
      <x:c r="C785" t="inlineStr">
        <x:is>
          <x:t xml:space="preserve">AA|v4.3.2</x:t>
        </x:is>
      </x:c>
      <x:c r="D785" t="n">
        <x:v>99</x:v>
      </x:c>
      <x:c r="E785" t="n">
        <x:v>60</x:v>
      </x:c>
      <x:c r="F785" t="n">
        <x:f>INDEX(Run_Metrics!$F:$F,D785)</x:f>
        <x:v>39</x:v>
      </x:c>
      <x:c r="G785" t="n">
        <x:f>INDEX(Run_Metrics!$G:$G,D785)</x:f>
        <x:v>0.27</x:v>
      </x:c>
      <x:c r="H785" t="str">
        <x:f>INDEX(Run_Metrics!$I:$I,D785)</x:f>
      </x:c>
      <x:c r="I785" t="n">
        <x:f>IF(F785="","",F785-(E785-1))</x:f>
        <x:v>-20</x:v>
      </x:c>
      <x:c r="J785" t="n">
        <x:f>IF(I785&gt;0,1,0)</x:f>
        <x:v>0</x:v>
      </x:c>
      <x:c r="K785" t="str">
        <x:f>IF(OR(J785=0,G785="",G785=0),"",I785/G785)</x:f>
      </x:c>
      <x:c r="L785" t="str">
        <x:f>IF(OR(J785=0,I785=0,G785=""),"",G785/I785)</x:f>
      </x:c>
      <x:c r="M785" t="str">
        <x:f>IF(OR(J785=0,G785="",H785="",G785=0,H785=0),"",I785/(G785*H785))</x:f>
      </x:c>
      <x:c r="N785" t="str">
        <x:f>IF(K785="","",K785/_xlfn.MAXIFS($K:$K,$E:$E,E785))</x:f>
      </x:c>
      <x:c r="O785" t="str">
        <x:f>IF(M785="","",M785/_xlfn.MAXIFS($M:$M,$E:$E,E785))</x:f>
      </x:c>
      <x:c r="P785" t="str">
        <x:f>IF(OR(N785="",O785=""),"",SQRT(N785*O785))</x:f>
      </x:c>
      <x:c r="Q785" t="str">
        <x:f>IF(OR(N785="",O785=""),"",N785^0.7*O785^0.3)</x:f>
      </x:c>
      <x:c r="R785" t="str">
        <x:f>IF(OR(N785="",O785=""),"",N785^0.3*O785^0.7)</x:f>
      </x:c>
    </x:row>
    <x:row r="786" s="14" customFormat="1">
      <x:c r="A786" t="inlineStr">
        <x:is>
          <x:t xml:space="preserve">deepseek|deepseek-v4-pro-0813|non-reasoning|nonreasoning|fallback-na|aa-v4.3.2|snapshot-2026-10-12</x:t>
        </x:is>
      </x:c>
      <x:c r="B786" t="inlineStr">
        <x:is>
          <x:t xml:space="preserve">deepseek|deepseek-v4-pro-0813|non-reasoning|nonreasoning|fallback-na</x:t>
        </x:is>
      </x:c>
      <x:c r="C786" t="inlineStr">
        <x:is>
          <x:t xml:space="preserve">AA|v4.3.2</x:t>
        </x:is>
      </x:c>
      <x:c r="D786" t="n">
        <x:v>100</x:v>
      </x:c>
      <x:c r="E786" t="n">
        <x:v>10</x:v>
      </x:c>
      <x:c r="F786" t="n">
        <x:f>INDEX(Run_Metrics!$F:$F,D786)</x:f>
        <x:v>20</x:v>
      </x:c>
      <x:c r="G786" t="n">
        <x:f>INDEX(Run_Metrics!$G:$G,D786)</x:f>
        <x:v>0.36</x:v>
      </x:c>
      <x:c r="H786" t="str">
        <x:f>INDEX(Run_Metrics!$I:$I,D786)</x:f>
      </x:c>
      <x:c r="I786" t="n">
        <x:f>IF(F786="","",F786-(E786-1))</x:f>
        <x:v>11</x:v>
      </x:c>
      <x:c r="J786" t="n">
        <x:f>IF(I786&gt;0,1,0)</x:f>
        <x:v>1</x:v>
      </x:c>
      <x:c r="K786" t="n">
        <x:f>IF(OR(J786=0,G786="",G786=0),"",I786/G786)</x:f>
        <x:v>30.555555555555557</x:v>
      </x:c>
      <x:c r="L786" t="n">
        <x:f>IF(OR(J786=0,I786=0,G786=""),"",G786/I786)</x:f>
        <x:v>0.03272727272727272</x:v>
      </x:c>
      <x:c r="M786" t="str">
        <x:f>IF(OR(J786=0,G786="",H786="",G786=0,H786=0),"",I786/(G786*H786))</x:f>
      </x:c>
      <x:c r="N786" t="n">
        <x:f>IF(K786="","",K786/_xlfn.MAXIFS($K:$K,$E:$E,E786))</x:f>
        <x:v>0.010576923076923076</x:v>
      </x:c>
      <x:c r="O786" t="str">
        <x:f>IF(M786="","",M786/_xlfn.MAXIFS($M:$M,$E:$E,E786))</x:f>
      </x:c>
      <x:c r="P786" t="str">
        <x:f>IF(OR(N786="",O786=""),"",SQRT(N786*O786))</x:f>
      </x:c>
      <x:c r="Q786" t="str">
        <x:f>IF(OR(N786="",O786=""),"",N786^0.7*O786^0.3)</x:f>
      </x:c>
      <x:c r="R786" t="str">
        <x:f>IF(OR(N786="",O786=""),"",N786^0.3*O786^0.7)</x:f>
      </x:c>
    </x:row>
    <x:row r="787" s="14" customFormat="1">
      <x:c r="A787" t="inlineStr">
        <x:is>
          <x:t xml:space="preserve">deepseek|deepseek-v4-pro-0813|non-reasoning|nonreasoning|fallback-na|aa-v4.3.2|snapshot-2026-10-12</x:t>
        </x:is>
      </x:c>
      <x:c r="B787" t="inlineStr">
        <x:is>
          <x:t xml:space="preserve">deepseek|deepseek-v4-pro-0813|non-reasoning|nonreasoning|fallback-na</x:t>
        </x:is>
      </x:c>
      <x:c r="C787" t="inlineStr">
        <x:is>
          <x:t xml:space="preserve">AA|v4.3.2</x:t>
        </x:is>
      </x:c>
      <x:c r="D787" t="n">
        <x:v>100</x:v>
      </x:c>
      <x:c r="E787" t="n">
        <x:v>20</x:v>
      </x:c>
      <x:c r="F787" t="n">
        <x:f>INDEX(Run_Metrics!$F:$F,D787)</x:f>
        <x:v>20</x:v>
      </x:c>
      <x:c r="G787" t="n">
        <x:f>INDEX(Run_Metrics!$G:$G,D787)</x:f>
        <x:v>0.36</x:v>
      </x:c>
      <x:c r="H787" t="str">
        <x:f>INDEX(Run_Metrics!$I:$I,D787)</x:f>
      </x:c>
      <x:c r="I787" t="n">
        <x:f>IF(F787="","",F787-(E787-1))</x:f>
        <x:v>1</x:v>
      </x:c>
      <x:c r="J787" t="n">
        <x:f>IF(I787&gt;0,1,0)</x:f>
        <x:v>1</x:v>
      </x:c>
      <x:c r="K787" t="n">
        <x:f>IF(OR(J787=0,G787="",G787=0),"",I787/G787)</x:f>
        <x:v>2.7777777777777777</x:v>
      </x:c>
      <x:c r="L787" t="n">
        <x:f>IF(OR(J787=0,I787=0,G787=""),"",G787/I787)</x:f>
        <x:v>0.36</x:v>
      </x:c>
      <x:c r="M787" t="str">
        <x:f>IF(OR(J787=0,G787="",H787="",G787=0,H787=0),"",I787/(G787*H787))</x:f>
      </x:c>
      <x:c r="N787" t="n">
        <x:f>IF(K787="","",K787/_xlfn.MAXIFS($K:$K,$E:$E,E787))</x:f>
        <x:v>0.004166666666666666</x:v>
      </x:c>
      <x:c r="O787" t="str">
        <x:f>IF(M787="","",M787/_xlfn.MAXIFS($M:$M,$E:$E,E787))</x:f>
      </x:c>
      <x:c r="P787" t="str">
        <x:f>IF(OR(N787="",O787=""),"",SQRT(N787*O787))</x:f>
      </x:c>
      <x:c r="Q787" t="str">
        <x:f>IF(OR(N787="",O787=""),"",N787^0.7*O787^0.3)</x:f>
      </x:c>
      <x:c r="R787" t="str">
        <x:f>IF(OR(N787="",O787=""),"",N787^0.3*O787^0.7)</x:f>
      </x:c>
    </x:row>
    <x:row r="788" s="14" customFormat="1">
      <x:c r="A788" t="inlineStr">
        <x:is>
          <x:t xml:space="preserve">deepseek|deepseek-v4-pro-0813|non-reasoning|nonreasoning|fallback-na|aa-v4.3.2|snapshot-2026-10-12</x:t>
        </x:is>
      </x:c>
      <x:c r="B788" t="inlineStr">
        <x:is>
          <x:t xml:space="preserve">deepseek|deepseek-v4-pro-0813|non-reasoning|nonreasoning|fallback-na</x:t>
        </x:is>
      </x:c>
      <x:c r="C788" t="inlineStr">
        <x:is>
          <x:t xml:space="preserve">AA|v4.3.2</x:t>
        </x:is>
      </x:c>
      <x:c r="D788" t="n">
        <x:v>100</x:v>
      </x:c>
      <x:c r="E788" t="n">
        <x:v>30</x:v>
      </x:c>
      <x:c r="F788" t="n">
        <x:f>INDEX(Run_Metrics!$F:$F,D788)</x:f>
        <x:v>20</x:v>
      </x:c>
      <x:c r="G788" t="n">
        <x:f>INDEX(Run_Metrics!$G:$G,D788)</x:f>
        <x:v>0.36</x:v>
      </x:c>
      <x:c r="H788" t="str">
        <x:f>INDEX(Run_Metrics!$I:$I,D788)</x:f>
      </x:c>
      <x:c r="I788" t="n">
        <x:f>IF(F788="","",F788-(E788-1))</x:f>
        <x:v>-9</x:v>
      </x:c>
      <x:c r="J788" t="n">
        <x:f>IF(I788&gt;0,1,0)</x:f>
        <x:v>0</x:v>
      </x:c>
      <x:c r="K788" t="str">
        <x:f>IF(OR(J788=0,G788="",G788=0),"",I788/G788)</x:f>
      </x:c>
      <x:c r="L788" t="str">
        <x:f>IF(OR(J788=0,I788=0,G788=""),"",G788/I788)</x:f>
      </x:c>
      <x:c r="M788" t="str">
        <x:f>IF(OR(J788=0,G788="",H788="",G788=0,H788=0),"",I788/(G788*H788))</x:f>
      </x:c>
      <x:c r="N788" t="str">
        <x:f>IF(K788="","",K788/_xlfn.MAXIFS($K:$K,$E:$E,E788))</x:f>
      </x:c>
      <x:c r="O788" t="str">
        <x:f>IF(M788="","",M788/_xlfn.MAXIFS($M:$M,$E:$E,E788))</x:f>
      </x:c>
      <x:c r="P788" t="str">
        <x:f>IF(OR(N788="",O788=""),"",SQRT(N788*O788))</x:f>
      </x:c>
      <x:c r="Q788" t="str">
        <x:f>IF(OR(N788="",O788=""),"",N788^0.7*O788^0.3)</x:f>
      </x:c>
      <x:c r="R788" t="str">
        <x:f>IF(OR(N788="",O788=""),"",N788^0.3*O788^0.7)</x:f>
      </x:c>
    </x:row>
    <x:row r="789" s="14" customFormat="1">
      <x:c r="A789" t="inlineStr">
        <x:is>
          <x:t xml:space="preserve">deepseek|deepseek-v4-pro-0813|non-reasoning|nonreasoning|fallback-na|aa-v4.3.2|snapshot-2026-10-12</x:t>
        </x:is>
      </x:c>
      <x:c r="B789" t="inlineStr">
        <x:is>
          <x:t xml:space="preserve">deepseek|deepseek-v4-pro-0813|non-reasoning|nonreasoning|fallback-na</x:t>
        </x:is>
      </x:c>
      <x:c r="C789" t="inlineStr">
        <x:is>
          <x:t xml:space="preserve">AA|v4.3.2</x:t>
        </x:is>
      </x:c>
      <x:c r="D789" t="n">
        <x:v>100</x:v>
      </x:c>
      <x:c r="E789" t="n">
        <x:v>35</x:v>
      </x:c>
      <x:c r="F789" t="n">
        <x:f>INDEX(Run_Metrics!$F:$F,D789)</x:f>
        <x:v>20</x:v>
      </x:c>
      <x:c r="G789" t="n">
        <x:f>INDEX(Run_Metrics!$G:$G,D789)</x:f>
        <x:v>0.36</x:v>
      </x:c>
      <x:c r="H789" t="str">
        <x:f>INDEX(Run_Metrics!$I:$I,D789)</x:f>
      </x:c>
      <x:c r="I789" t="n">
        <x:f>IF(F789="","",F789-(E789-1))</x:f>
        <x:v>-14</x:v>
      </x:c>
      <x:c r="J789" t="n">
        <x:f>IF(I789&gt;0,1,0)</x:f>
        <x:v>0</x:v>
      </x:c>
      <x:c r="K789" t="str">
        <x:f>IF(OR(J789=0,G789="",G789=0),"",I789/G789)</x:f>
      </x:c>
      <x:c r="L789" t="str">
        <x:f>IF(OR(J789=0,I789=0,G789=""),"",G789/I789)</x:f>
      </x:c>
      <x:c r="M789" t="str">
        <x:f>IF(OR(J789=0,G789="",H789="",G789=0,H789=0),"",I789/(G789*H789))</x:f>
      </x:c>
      <x:c r="N789" t="str">
        <x:f>IF(K789="","",K789/_xlfn.MAXIFS($K:$K,$E:$E,E789))</x:f>
      </x:c>
      <x:c r="O789" t="str">
        <x:f>IF(M789="","",M789/_xlfn.MAXIFS($M:$M,$E:$E,E789))</x:f>
      </x:c>
      <x:c r="P789" t="str">
        <x:f>IF(OR(N789="",O789=""),"",SQRT(N789*O789))</x:f>
      </x:c>
      <x:c r="Q789" t="str">
        <x:f>IF(OR(N789="",O789=""),"",N789^0.7*O789^0.3)</x:f>
      </x:c>
      <x:c r="R789" t="str">
        <x:f>IF(OR(N789="",O789=""),"",N789^0.3*O789^0.7)</x:f>
      </x:c>
    </x:row>
    <x:row r="790" s="14" customFormat="1">
      <x:c r="A790" t="inlineStr">
        <x:is>
          <x:t xml:space="preserve">deepseek|deepseek-v4-pro-0813|non-reasoning|nonreasoning|fallback-na|aa-v4.3.2|snapshot-2026-10-12</x:t>
        </x:is>
      </x:c>
      <x:c r="B790" t="inlineStr">
        <x:is>
          <x:t xml:space="preserve">deepseek|deepseek-v4-pro-0813|non-reasoning|nonreasoning|fallback-na</x:t>
        </x:is>
      </x:c>
      <x:c r="C790" t="inlineStr">
        <x:is>
          <x:t xml:space="preserve">AA|v4.3.2</x:t>
        </x:is>
      </x:c>
      <x:c r="D790" t="n">
        <x:v>100</x:v>
      </x:c>
      <x:c r="E790" t="n">
        <x:v>40</x:v>
      </x:c>
      <x:c r="F790" t="n">
        <x:f>INDEX(Run_Metrics!$F:$F,D790)</x:f>
        <x:v>20</x:v>
      </x:c>
      <x:c r="G790" t="n">
        <x:f>INDEX(Run_Metrics!$G:$G,D790)</x:f>
        <x:v>0.36</x:v>
      </x:c>
      <x:c r="H790" t="str">
        <x:f>INDEX(Run_Metrics!$I:$I,D790)</x:f>
      </x:c>
      <x:c r="I790" t="n">
        <x:f>IF(F790="","",F790-(E790-1))</x:f>
        <x:v>-19</x:v>
      </x:c>
      <x:c r="J790" t="n">
        <x:f>IF(I790&gt;0,1,0)</x:f>
        <x:v>0</x:v>
      </x:c>
      <x:c r="K790" t="str">
        <x:f>IF(OR(J790=0,G790="",G790=0),"",I790/G790)</x:f>
      </x:c>
      <x:c r="L790" t="str">
        <x:f>IF(OR(J790=0,I790=0,G790=""),"",G790/I790)</x:f>
      </x:c>
      <x:c r="M790" t="str">
        <x:f>IF(OR(J790=0,G790="",H790="",G790=0,H790=0),"",I790/(G790*H790))</x:f>
      </x:c>
      <x:c r="N790" t="str">
        <x:f>IF(K790="","",K790/_xlfn.MAXIFS($K:$K,$E:$E,E790))</x:f>
      </x:c>
      <x:c r="O790" t="str">
        <x:f>IF(M790="","",M790/_xlfn.MAXIFS($M:$M,$E:$E,E790))</x:f>
      </x:c>
      <x:c r="P790" t="str">
        <x:f>IF(OR(N790="",O790=""),"",SQRT(N790*O790))</x:f>
      </x:c>
      <x:c r="Q790" t="str">
        <x:f>IF(OR(N790="",O790=""),"",N790^0.7*O790^0.3)</x:f>
      </x:c>
      <x:c r="R790" t="str">
        <x:f>IF(OR(N790="",O790=""),"",N790^0.3*O790^0.7)</x:f>
      </x:c>
    </x:row>
    <x:row r="791" s="14" customFormat="1">
      <x:c r="A791" t="inlineStr">
        <x:is>
          <x:t xml:space="preserve">deepseek|deepseek-v4-pro-0813|non-reasoning|nonreasoning|fallback-na|aa-v4.3.2|snapshot-2026-10-12</x:t>
        </x:is>
      </x:c>
      <x:c r="B791" t="inlineStr">
        <x:is>
          <x:t xml:space="preserve">deepseek|deepseek-v4-pro-0813|non-reasoning|nonreasoning|fallback-na</x:t>
        </x:is>
      </x:c>
      <x:c r="C791" t="inlineStr">
        <x:is>
          <x:t xml:space="preserve">AA|v4.3.2</x:t>
        </x:is>
      </x:c>
      <x:c r="D791" t="n">
        <x:v>100</x:v>
      </x:c>
      <x:c r="E791" t="n">
        <x:v>45</x:v>
      </x:c>
      <x:c r="F791" t="n">
        <x:f>INDEX(Run_Metrics!$F:$F,D791)</x:f>
        <x:v>20</x:v>
      </x:c>
      <x:c r="G791" t="n">
        <x:f>INDEX(Run_Metrics!$G:$G,D791)</x:f>
        <x:v>0.36</x:v>
      </x:c>
      <x:c r="H791" t="str">
        <x:f>INDEX(Run_Metrics!$I:$I,D791)</x:f>
      </x:c>
      <x:c r="I791" t="n">
        <x:f>IF(F791="","",F791-(E791-1))</x:f>
        <x:v>-24</x:v>
      </x:c>
      <x:c r="J791" t="n">
        <x:f>IF(I791&gt;0,1,0)</x:f>
        <x:v>0</x:v>
      </x:c>
      <x:c r="K791" t="str">
        <x:f>IF(OR(J791=0,G791="",G791=0),"",I791/G791)</x:f>
      </x:c>
      <x:c r="L791" t="str">
        <x:f>IF(OR(J791=0,I791=0,G791=""),"",G791/I791)</x:f>
      </x:c>
      <x:c r="M791" t="str">
        <x:f>IF(OR(J791=0,G791="",H791="",G791=0,H791=0),"",I791/(G791*H791))</x:f>
      </x:c>
      <x:c r="N791" t="str">
        <x:f>IF(K791="","",K791/_xlfn.MAXIFS($K:$K,$E:$E,E791))</x:f>
      </x:c>
      <x:c r="O791" t="str">
        <x:f>IF(M791="","",M791/_xlfn.MAXIFS($M:$M,$E:$E,E791))</x:f>
      </x:c>
      <x:c r="P791" t="str">
        <x:f>IF(OR(N791="",O791=""),"",SQRT(N791*O791))</x:f>
      </x:c>
      <x:c r="Q791" t="str">
        <x:f>IF(OR(N791="",O791=""),"",N791^0.7*O791^0.3)</x:f>
      </x:c>
      <x:c r="R791" t="str">
        <x:f>IF(OR(N791="",O791=""),"",N791^0.3*O791^0.7)</x:f>
      </x:c>
    </x:row>
    <x:row r="792" s="14" customFormat="1">
      <x:c r="A792" t="inlineStr">
        <x:is>
          <x:t xml:space="preserve">deepseek|deepseek-v4-pro-0813|non-reasoning|nonreasoning|fallback-na|aa-v4.3.2|snapshot-2026-10-12</x:t>
        </x:is>
      </x:c>
      <x:c r="B792" t="inlineStr">
        <x:is>
          <x:t xml:space="preserve">deepseek|deepseek-v4-pro-0813|non-reasoning|nonreasoning|fallback-na</x:t>
        </x:is>
      </x:c>
      <x:c r="C792" t="inlineStr">
        <x:is>
          <x:t xml:space="preserve">AA|v4.3.2</x:t>
        </x:is>
      </x:c>
      <x:c r="D792" t="n">
        <x:v>100</x:v>
      </x:c>
      <x:c r="E792" t="n">
        <x:v>50</x:v>
      </x:c>
      <x:c r="F792" t="n">
        <x:f>INDEX(Run_Metrics!$F:$F,D792)</x:f>
        <x:v>20</x:v>
      </x:c>
      <x:c r="G792" t="n">
        <x:f>INDEX(Run_Metrics!$G:$G,D792)</x:f>
        <x:v>0.36</x:v>
      </x:c>
      <x:c r="H792" t="str">
        <x:f>INDEX(Run_Metrics!$I:$I,D792)</x:f>
      </x:c>
      <x:c r="I792" t="n">
        <x:f>IF(F792="","",F792-(E792-1))</x:f>
        <x:v>-29</x:v>
      </x:c>
      <x:c r="J792" t="n">
        <x:f>IF(I792&gt;0,1,0)</x:f>
        <x:v>0</x:v>
      </x:c>
      <x:c r="K792" t="str">
        <x:f>IF(OR(J792=0,G792="",G792=0),"",I792/G792)</x:f>
      </x:c>
      <x:c r="L792" t="str">
        <x:f>IF(OR(J792=0,I792=0,G792=""),"",G792/I792)</x:f>
      </x:c>
      <x:c r="M792" t="str">
        <x:f>IF(OR(J792=0,G792="",H792="",G792=0,H792=0),"",I792/(G792*H792))</x:f>
      </x:c>
      <x:c r="N792" t="str">
        <x:f>IF(K792="","",K792/_xlfn.MAXIFS($K:$K,$E:$E,E792))</x:f>
      </x:c>
      <x:c r="O792" t="str">
        <x:f>IF(M792="","",M792/_xlfn.MAXIFS($M:$M,$E:$E,E792))</x:f>
      </x:c>
      <x:c r="P792" t="str">
        <x:f>IF(OR(N792="",O792=""),"",SQRT(N792*O792))</x:f>
      </x:c>
      <x:c r="Q792" t="str">
        <x:f>IF(OR(N792="",O792=""),"",N792^0.7*O792^0.3)</x:f>
      </x:c>
      <x:c r="R792" t="str">
        <x:f>IF(OR(N792="",O792=""),"",N792^0.3*O792^0.7)</x:f>
      </x:c>
    </x:row>
    <x:row r="793" s="14" customFormat="1">
      <x:c r="A793" t="inlineStr">
        <x:is>
          <x:t xml:space="preserve">deepseek|deepseek-v4-pro-0813|non-reasoning|nonreasoning|fallback-na|aa-v4.3.2|snapshot-2026-10-12</x:t>
        </x:is>
      </x:c>
      <x:c r="B793" t="inlineStr">
        <x:is>
          <x:t xml:space="preserve">deepseek|deepseek-v4-pro-0813|non-reasoning|nonreasoning|fallback-na</x:t>
        </x:is>
      </x:c>
      <x:c r="C793" t="inlineStr">
        <x:is>
          <x:t xml:space="preserve">AA|v4.3.2</x:t>
        </x:is>
      </x:c>
      <x:c r="D793" t="n">
        <x:v>100</x:v>
      </x:c>
      <x:c r="E793" t="n">
        <x:v>60</x:v>
      </x:c>
      <x:c r="F793" t="n">
        <x:f>INDEX(Run_Metrics!$F:$F,D793)</x:f>
        <x:v>20</x:v>
      </x:c>
      <x:c r="G793" t="n">
        <x:f>INDEX(Run_Metrics!$G:$G,D793)</x:f>
        <x:v>0.36</x:v>
      </x:c>
      <x:c r="H793" t="str">
        <x:f>INDEX(Run_Metrics!$I:$I,D793)</x:f>
      </x:c>
      <x:c r="I793" t="n">
        <x:f>IF(F793="","",F793-(E793-1))</x:f>
        <x:v>-39</x:v>
      </x:c>
      <x:c r="J793" t="n">
        <x:f>IF(I793&gt;0,1,0)</x:f>
        <x:v>0</x:v>
      </x:c>
      <x:c r="K793" t="str">
        <x:f>IF(OR(J793=0,G793="",G793=0),"",I793/G793)</x:f>
      </x:c>
      <x:c r="L793" t="str">
        <x:f>IF(OR(J793=0,I793=0,G793=""),"",G793/I793)</x:f>
      </x:c>
      <x:c r="M793" t="str">
        <x:f>IF(OR(J793=0,G793="",H793="",G793=0,H793=0),"",I793/(G793*H793))</x:f>
      </x:c>
      <x:c r="N793" t="str">
        <x:f>IF(K793="","",K793/_xlfn.MAXIFS($K:$K,$E:$E,E793))</x:f>
      </x:c>
      <x:c r="O793" t="str">
        <x:f>IF(M793="","",M793/_xlfn.MAXIFS($M:$M,$E:$E,E793))</x:f>
      </x:c>
      <x:c r="P793" t="str">
        <x:f>IF(OR(N793="",O793=""),"",SQRT(N793*O793))</x:f>
      </x:c>
      <x:c r="Q793" t="str">
        <x:f>IF(OR(N793="",O793=""),"",N793^0.7*O793^0.3)</x:f>
      </x:c>
      <x:c r="R793" t="str">
        <x:f>IF(OR(N793="",O793=""),"",N793^0.3*O793^0.7)</x:f>
      </x:c>
    </x:row>
    <x:row r="794" s="14" customFormat="1">
      <x:c r="A794" t="inlineStr">
        <x:is>
          <x:t xml:space="preserve">deepseek|deepseek-v4-pro-0813|max|reasoning|fallback-na|aa-v4.3.2|snapshot-2026-10-12</x:t>
        </x:is>
      </x:c>
      <x:c r="B794" t="inlineStr">
        <x:is>
          <x:t xml:space="preserve">deepseek|deepseek-v4-pro-0813|max|reasoning|fallback-na</x:t>
        </x:is>
      </x:c>
      <x:c r="C794" t="inlineStr">
        <x:is>
          <x:t xml:space="preserve">AA|v4.3.2</x:t>
        </x:is>
      </x:c>
      <x:c r="D794" t="n">
        <x:v>101</x:v>
      </x:c>
      <x:c r="E794" t="n">
        <x:v>10</x:v>
      </x:c>
      <x:c r="F794" t="n">
        <x:f>INDEX(Run_Metrics!$F:$F,D794)</x:f>
        <x:v>36</x:v>
      </x:c>
      <x:c r="G794" t="n">
        <x:f>INDEX(Run_Metrics!$G:$G,D794)</x:f>
        <x:v>0.67</x:v>
      </x:c>
      <x:c r="H794" t="str">
        <x:f>INDEX(Run_Metrics!$I:$I,D794)</x:f>
      </x:c>
      <x:c r="I794" t="n">
        <x:f>IF(F794="","",F794-(E794-1))</x:f>
        <x:v>27</x:v>
      </x:c>
      <x:c r="J794" t="n">
        <x:f>IF(I794&gt;0,1,0)</x:f>
        <x:v>1</x:v>
      </x:c>
      <x:c r="K794" t="n">
        <x:f>IF(OR(J794=0,G794="",G794=0),"",I794/G794)</x:f>
        <x:v>40.298507462686565</x:v>
      </x:c>
      <x:c r="L794" t="n">
        <x:f>IF(OR(J794=0,I794=0,G794=""),"",G794/I794)</x:f>
        <x:v>0.024814814814814817</x:v>
      </x:c>
      <x:c r="M794" t="str">
        <x:f>IF(OR(J794=0,G794="",H794="",G794=0,H794=0),"",I794/(G794*H794))</x:f>
      </x:c>
      <x:c r="N794" t="n">
        <x:f>IF(K794="","",K794/_xlfn.MAXIFS($K:$K,$E:$E,E794))</x:f>
        <x:v>0.013949483352468425</x:v>
      </x:c>
      <x:c r="O794" t="str">
        <x:f>IF(M794="","",M794/_xlfn.MAXIFS($M:$M,$E:$E,E794))</x:f>
      </x:c>
      <x:c r="P794" t="str">
        <x:f>IF(OR(N794="",O794=""),"",SQRT(N794*O794))</x:f>
      </x:c>
      <x:c r="Q794" t="str">
        <x:f>IF(OR(N794="",O794=""),"",N794^0.7*O794^0.3)</x:f>
      </x:c>
      <x:c r="R794" t="str">
        <x:f>IF(OR(N794="",O794=""),"",N794^0.3*O794^0.7)</x:f>
      </x:c>
    </x:row>
    <x:row r="795" s="14" customFormat="1">
      <x:c r="A795" t="inlineStr">
        <x:is>
          <x:t xml:space="preserve">deepseek|deepseek-v4-pro-0813|max|reasoning|fallback-na|aa-v4.3.2|snapshot-2026-10-12</x:t>
        </x:is>
      </x:c>
      <x:c r="B795" t="inlineStr">
        <x:is>
          <x:t xml:space="preserve">deepseek|deepseek-v4-pro-0813|max|reasoning|fallback-na</x:t>
        </x:is>
      </x:c>
      <x:c r="C795" t="inlineStr">
        <x:is>
          <x:t xml:space="preserve">AA|v4.3.2</x:t>
        </x:is>
      </x:c>
      <x:c r="D795" t="n">
        <x:v>101</x:v>
      </x:c>
      <x:c r="E795" t="n">
        <x:v>20</x:v>
      </x:c>
      <x:c r="F795" t="n">
        <x:f>INDEX(Run_Metrics!$F:$F,D795)</x:f>
        <x:v>36</x:v>
      </x:c>
      <x:c r="G795" t="n">
        <x:f>INDEX(Run_Metrics!$G:$G,D795)</x:f>
        <x:v>0.67</x:v>
      </x:c>
      <x:c r="H795" t="str">
        <x:f>INDEX(Run_Metrics!$I:$I,D795)</x:f>
      </x:c>
      <x:c r="I795" t="n">
        <x:f>IF(F795="","",F795-(E795-1))</x:f>
        <x:v>17</x:v>
      </x:c>
      <x:c r="J795" t="n">
        <x:f>IF(I795&gt;0,1,0)</x:f>
        <x:v>1</x:v>
      </x:c>
      <x:c r="K795" t="n">
        <x:f>IF(OR(J795=0,G795="",G795=0),"",I795/G795)</x:f>
        <x:v>25.37313432835821</x:v>
      </x:c>
      <x:c r="L795" t="n">
        <x:f>IF(OR(J795=0,I795=0,G795=""),"",G795/I795)</x:f>
        <x:v>0.039411764705882354</x:v>
      </x:c>
      <x:c r="M795" t="str">
        <x:f>IF(OR(J795=0,G795="",H795="",G795=0,H795=0),"",I795/(G795*H795))</x:f>
      </x:c>
      <x:c r="N795" t="n">
        <x:f>IF(K795="","",K795/_xlfn.MAXIFS($K:$K,$E:$E,E795))</x:f>
        <x:v>0.03805970149253731</x:v>
      </x:c>
      <x:c r="O795" t="str">
        <x:f>IF(M795="","",M795/_xlfn.MAXIFS($M:$M,$E:$E,E795))</x:f>
      </x:c>
      <x:c r="P795" t="str">
        <x:f>IF(OR(N795="",O795=""),"",SQRT(N795*O795))</x:f>
      </x:c>
      <x:c r="Q795" t="str">
        <x:f>IF(OR(N795="",O795=""),"",N795^0.7*O795^0.3)</x:f>
      </x:c>
      <x:c r="R795" t="str">
        <x:f>IF(OR(N795="",O795=""),"",N795^0.3*O795^0.7)</x:f>
      </x:c>
    </x:row>
    <x:row r="796" s="14" customFormat="1">
      <x:c r="A796" t="inlineStr">
        <x:is>
          <x:t xml:space="preserve">deepseek|deepseek-v4-pro-0813|max|reasoning|fallback-na|aa-v4.3.2|snapshot-2026-10-12</x:t>
        </x:is>
      </x:c>
      <x:c r="B796" t="inlineStr">
        <x:is>
          <x:t xml:space="preserve">deepseek|deepseek-v4-pro-0813|max|reasoning|fallback-na</x:t>
        </x:is>
      </x:c>
      <x:c r="C796" t="inlineStr">
        <x:is>
          <x:t xml:space="preserve">AA|v4.3.2</x:t>
        </x:is>
      </x:c>
      <x:c r="D796" t="n">
        <x:v>101</x:v>
      </x:c>
      <x:c r="E796" t="n">
        <x:v>30</x:v>
      </x:c>
      <x:c r="F796" t="n">
        <x:f>INDEX(Run_Metrics!$F:$F,D796)</x:f>
        <x:v>36</x:v>
      </x:c>
      <x:c r="G796" t="n">
        <x:f>INDEX(Run_Metrics!$G:$G,D796)</x:f>
        <x:v>0.67</x:v>
      </x:c>
      <x:c r="H796" t="str">
        <x:f>INDEX(Run_Metrics!$I:$I,D796)</x:f>
      </x:c>
      <x:c r="I796" t="n">
        <x:f>IF(F796="","",F796-(E796-1))</x:f>
        <x:v>7</x:v>
      </x:c>
      <x:c r="J796" t="n">
        <x:f>IF(I796&gt;0,1,0)</x:f>
        <x:v>1</x:v>
      </x:c>
      <x:c r="K796" t="n">
        <x:f>IF(OR(J796=0,G796="",G796=0),"",I796/G796)</x:f>
        <x:v>10.44776119402985</x:v>
      </x:c>
      <x:c r="L796" t="n">
        <x:f>IF(OR(J796=0,I796=0,G796=""),"",G796/I796)</x:f>
        <x:v>0.09571428571428572</x:v>
      </x:c>
      <x:c r="M796" t="str">
        <x:f>IF(OR(J796=0,G796="",H796="",G796=0,H796=0),"",I796/(G796*H796))</x:f>
      </x:c>
      <x:c r="N796" t="n">
        <x:f>IF(K796="","",K796/_xlfn.MAXIFS($K:$K,$E:$E,E796))</x:f>
        <x:v>0.06965174129353233</x:v>
      </x:c>
      <x:c r="O796" t="str">
        <x:f>IF(M796="","",M796/_xlfn.MAXIFS($M:$M,$E:$E,E796))</x:f>
      </x:c>
      <x:c r="P796" t="str">
        <x:f>IF(OR(N796="",O796=""),"",SQRT(N796*O796))</x:f>
      </x:c>
      <x:c r="Q796" t="str">
        <x:f>IF(OR(N796="",O796=""),"",N796^0.7*O796^0.3)</x:f>
      </x:c>
      <x:c r="R796" t="str">
        <x:f>IF(OR(N796="",O796=""),"",N796^0.3*O796^0.7)</x:f>
      </x:c>
    </x:row>
    <x:row r="797" s="14" customFormat="1">
      <x:c r="A797" t="inlineStr">
        <x:is>
          <x:t xml:space="preserve">deepseek|deepseek-v4-pro-0813|max|reasoning|fallback-na|aa-v4.3.2|snapshot-2026-10-12</x:t>
        </x:is>
      </x:c>
      <x:c r="B797" t="inlineStr">
        <x:is>
          <x:t xml:space="preserve">deepseek|deepseek-v4-pro-0813|max|reasoning|fallback-na</x:t>
        </x:is>
      </x:c>
      <x:c r="C797" t="inlineStr">
        <x:is>
          <x:t xml:space="preserve">AA|v4.3.2</x:t>
        </x:is>
      </x:c>
      <x:c r="D797" t="n">
        <x:v>101</x:v>
      </x:c>
      <x:c r="E797" t="n">
        <x:v>35</x:v>
      </x:c>
      <x:c r="F797" t="n">
        <x:f>INDEX(Run_Metrics!$F:$F,D797)</x:f>
        <x:v>36</x:v>
      </x:c>
      <x:c r="G797" t="n">
        <x:f>INDEX(Run_Metrics!$G:$G,D797)</x:f>
        <x:v>0.67</x:v>
      </x:c>
      <x:c r="H797" t="str">
        <x:f>INDEX(Run_Metrics!$I:$I,D797)</x:f>
      </x:c>
      <x:c r="I797" t="n">
        <x:f>IF(F797="","",F797-(E797-1))</x:f>
        <x:v>2</x:v>
      </x:c>
      <x:c r="J797" t="n">
        <x:f>IF(I797&gt;0,1,0)</x:f>
        <x:v>1</x:v>
      </x:c>
      <x:c r="K797" t="n">
        <x:f>IF(OR(J797=0,G797="",G797=0),"",I797/G797)</x:f>
        <x:v>2.9850746268656714</x:v>
      </x:c>
      <x:c r="L797" t="n">
        <x:f>IF(OR(J797=0,I797=0,G797=""),"",G797/I797)</x:f>
        <x:v>0.335</x:v>
      </x:c>
      <x:c r="M797" t="str">
        <x:f>IF(OR(J797=0,G797="",H797="",G797=0,H797=0),"",I797/(G797*H797))</x:f>
      </x:c>
      <x:c r="N797" t="n">
        <x:f>IF(K797="","",K797/_xlfn.MAXIFS($K:$K,$E:$E,E797))</x:f>
        <x:v>0.03233830845771144</x:v>
      </x:c>
      <x:c r="O797" t="str">
        <x:f>IF(M797="","",M797/_xlfn.MAXIFS($M:$M,$E:$E,E797))</x:f>
      </x:c>
      <x:c r="P797" t="str">
        <x:f>IF(OR(N797="",O797=""),"",SQRT(N797*O797))</x:f>
      </x:c>
      <x:c r="Q797" t="str">
        <x:f>IF(OR(N797="",O797=""),"",N797^0.7*O797^0.3)</x:f>
      </x:c>
      <x:c r="R797" t="str">
        <x:f>IF(OR(N797="",O797=""),"",N797^0.3*O797^0.7)</x:f>
      </x:c>
    </x:row>
    <x:row r="798" s="14" customFormat="1">
      <x:c r="A798" t="inlineStr">
        <x:is>
          <x:t xml:space="preserve">deepseek|deepseek-v4-pro-0813|max|reasoning|fallback-na|aa-v4.3.2|snapshot-2026-10-12</x:t>
        </x:is>
      </x:c>
      <x:c r="B798" t="inlineStr">
        <x:is>
          <x:t xml:space="preserve">deepseek|deepseek-v4-pro-0813|max|reasoning|fallback-na</x:t>
        </x:is>
      </x:c>
      <x:c r="C798" t="inlineStr">
        <x:is>
          <x:t xml:space="preserve">AA|v4.3.2</x:t>
        </x:is>
      </x:c>
      <x:c r="D798" t="n">
        <x:v>101</x:v>
      </x:c>
      <x:c r="E798" t="n">
        <x:v>40</x:v>
      </x:c>
      <x:c r="F798" t="n">
        <x:f>INDEX(Run_Metrics!$F:$F,D798)</x:f>
        <x:v>36</x:v>
      </x:c>
      <x:c r="G798" t="n">
        <x:f>INDEX(Run_Metrics!$G:$G,D798)</x:f>
        <x:v>0.67</x:v>
      </x:c>
      <x:c r="H798" t="str">
        <x:f>INDEX(Run_Metrics!$I:$I,D798)</x:f>
      </x:c>
      <x:c r="I798" t="n">
        <x:f>IF(F798="","",F798-(E798-1))</x:f>
        <x:v>-3</x:v>
      </x:c>
      <x:c r="J798" t="n">
        <x:f>IF(I798&gt;0,1,0)</x:f>
        <x:v>0</x:v>
      </x:c>
      <x:c r="K798" t="str">
        <x:f>IF(OR(J798=0,G798="",G798=0),"",I798/G798)</x:f>
      </x:c>
      <x:c r="L798" t="str">
        <x:f>IF(OR(J798=0,I798=0,G798=""),"",G798/I798)</x:f>
      </x:c>
      <x:c r="M798" t="str">
        <x:f>IF(OR(J798=0,G798="",H798="",G798=0,H798=0),"",I798/(G798*H798))</x:f>
      </x:c>
      <x:c r="N798" t="str">
        <x:f>IF(K798="","",K798/_xlfn.MAXIFS($K:$K,$E:$E,E798))</x:f>
      </x:c>
      <x:c r="O798" t="str">
        <x:f>IF(M798="","",M798/_xlfn.MAXIFS($M:$M,$E:$E,E798))</x:f>
      </x:c>
      <x:c r="P798" t="str">
        <x:f>IF(OR(N798="",O798=""),"",SQRT(N798*O798))</x:f>
      </x:c>
      <x:c r="Q798" t="str">
        <x:f>IF(OR(N798="",O798=""),"",N798^0.7*O798^0.3)</x:f>
      </x:c>
      <x:c r="R798" t="str">
        <x:f>IF(OR(N798="",O798=""),"",N798^0.3*O798^0.7)</x:f>
      </x:c>
    </x:row>
    <x:row r="799" s="14" customFormat="1">
      <x:c r="A799" t="inlineStr">
        <x:is>
          <x:t xml:space="preserve">deepseek|deepseek-v4-pro-0813|max|reasoning|fallback-na|aa-v4.3.2|snapshot-2026-10-12</x:t>
        </x:is>
      </x:c>
      <x:c r="B799" t="inlineStr">
        <x:is>
          <x:t xml:space="preserve">deepseek|deepseek-v4-pro-0813|max|reasoning|fallback-na</x:t>
        </x:is>
      </x:c>
      <x:c r="C799" t="inlineStr">
        <x:is>
          <x:t xml:space="preserve">AA|v4.3.2</x:t>
        </x:is>
      </x:c>
      <x:c r="D799" t="n">
        <x:v>101</x:v>
      </x:c>
      <x:c r="E799" t="n">
        <x:v>45</x:v>
      </x:c>
      <x:c r="F799" t="n">
        <x:f>INDEX(Run_Metrics!$F:$F,D799)</x:f>
        <x:v>36</x:v>
      </x:c>
      <x:c r="G799" t="n">
        <x:f>INDEX(Run_Metrics!$G:$G,D799)</x:f>
        <x:v>0.67</x:v>
      </x:c>
      <x:c r="H799" t="str">
        <x:f>INDEX(Run_Metrics!$I:$I,D799)</x:f>
      </x:c>
      <x:c r="I799" t="n">
        <x:f>IF(F799="","",F799-(E799-1))</x:f>
        <x:v>-8</x:v>
      </x:c>
      <x:c r="J799" t="n">
        <x:f>IF(I799&gt;0,1,0)</x:f>
        <x:v>0</x:v>
      </x:c>
      <x:c r="K799" t="str">
        <x:f>IF(OR(J799=0,G799="",G799=0),"",I799/G799)</x:f>
      </x:c>
      <x:c r="L799" t="str">
        <x:f>IF(OR(J799=0,I799=0,G799=""),"",G799/I799)</x:f>
      </x:c>
      <x:c r="M799" t="str">
        <x:f>IF(OR(J799=0,G799="",H799="",G799=0,H799=0),"",I799/(G799*H799))</x:f>
      </x:c>
      <x:c r="N799" t="str">
        <x:f>IF(K799="","",K799/_xlfn.MAXIFS($K:$K,$E:$E,E799))</x:f>
      </x:c>
      <x:c r="O799" t="str">
        <x:f>IF(M799="","",M799/_xlfn.MAXIFS($M:$M,$E:$E,E799))</x:f>
      </x:c>
      <x:c r="P799" t="str">
        <x:f>IF(OR(N799="",O799=""),"",SQRT(N799*O799))</x:f>
      </x:c>
      <x:c r="Q799" t="str">
        <x:f>IF(OR(N799="",O799=""),"",N799^0.7*O799^0.3)</x:f>
      </x:c>
      <x:c r="R799" t="str">
        <x:f>IF(OR(N799="",O799=""),"",N799^0.3*O799^0.7)</x:f>
      </x:c>
    </x:row>
    <x:row r="800" s="14" customFormat="1">
      <x:c r="A800" t="inlineStr">
        <x:is>
          <x:t xml:space="preserve">deepseek|deepseek-v4-pro-0813|max|reasoning|fallback-na|aa-v4.3.2|snapshot-2026-10-12</x:t>
        </x:is>
      </x:c>
      <x:c r="B800" t="inlineStr">
        <x:is>
          <x:t xml:space="preserve">deepseek|deepseek-v4-pro-0813|max|reasoning|fallback-na</x:t>
        </x:is>
      </x:c>
      <x:c r="C800" t="inlineStr">
        <x:is>
          <x:t xml:space="preserve">AA|v4.3.2</x:t>
        </x:is>
      </x:c>
      <x:c r="D800" t="n">
        <x:v>101</x:v>
      </x:c>
      <x:c r="E800" t="n">
        <x:v>50</x:v>
      </x:c>
      <x:c r="F800" t="n">
        <x:f>INDEX(Run_Metrics!$F:$F,D800)</x:f>
        <x:v>36</x:v>
      </x:c>
      <x:c r="G800" t="n">
        <x:f>INDEX(Run_Metrics!$G:$G,D800)</x:f>
        <x:v>0.67</x:v>
      </x:c>
      <x:c r="H800" t="str">
        <x:f>INDEX(Run_Metrics!$I:$I,D800)</x:f>
      </x:c>
      <x:c r="I800" t="n">
        <x:f>IF(F800="","",F800-(E800-1))</x:f>
        <x:v>-13</x:v>
      </x:c>
      <x:c r="J800" t="n">
        <x:f>IF(I800&gt;0,1,0)</x:f>
        <x:v>0</x:v>
      </x:c>
      <x:c r="K800" t="str">
        <x:f>IF(OR(J800=0,G800="",G800=0),"",I800/G800)</x:f>
      </x:c>
      <x:c r="L800" t="str">
        <x:f>IF(OR(J800=0,I800=0,G800=""),"",G800/I800)</x:f>
      </x:c>
      <x:c r="M800" t="str">
        <x:f>IF(OR(J800=0,G800="",H800="",G800=0,H800=0),"",I800/(G800*H800))</x:f>
      </x:c>
      <x:c r="N800" t="str">
        <x:f>IF(K800="","",K800/_xlfn.MAXIFS($K:$K,$E:$E,E800))</x:f>
      </x:c>
      <x:c r="O800" t="str">
        <x:f>IF(M800="","",M800/_xlfn.MAXIFS($M:$M,$E:$E,E800))</x:f>
      </x:c>
      <x:c r="P800" t="str">
        <x:f>IF(OR(N800="",O800=""),"",SQRT(N800*O800))</x:f>
      </x:c>
      <x:c r="Q800" t="str">
        <x:f>IF(OR(N800="",O800=""),"",N800^0.7*O800^0.3)</x:f>
      </x:c>
      <x:c r="R800" t="str">
        <x:f>IF(OR(N800="",O800=""),"",N800^0.3*O800^0.7)</x:f>
      </x:c>
    </x:row>
    <x:row r="801" s="14" customFormat="1">
      <x:c r="A801" t="inlineStr">
        <x:is>
          <x:t xml:space="preserve">deepseek|deepseek-v4-pro-0813|max|reasoning|fallback-na|aa-v4.3.2|snapshot-2026-10-12</x:t>
        </x:is>
      </x:c>
      <x:c r="B801" t="inlineStr">
        <x:is>
          <x:t xml:space="preserve">deepseek|deepseek-v4-pro-0813|max|reasoning|fallback-na</x:t>
        </x:is>
      </x:c>
      <x:c r="C801" t="inlineStr">
        <x:is>
          <x:t xml:space="preserve">AA|v4.3.2</x:t>
        </x:is>
      </x:c>
      <x:c r="D801" t="n">
        <x:v>101</x:v>
      </x:c>
      <x:c r="E801" t="n">
        <x:v>60</x:v>
      </x:c>
      <x:c r="F801" t="n">
        <x:f>INDEX(Run_Metrics!$F:$F,D801)</x:f>
        <x:v>36</x:v>
      </x:c>
      <x:c r="G801" t="n">
        <x:f>INDEX(Run_Metrics!$G:$G,D801)</x:f>
        <x:v>0.67</x:v>
      </x:c>
      <x:c r="H801" t="str">
        <x:f>INDEX(Run_Metrics!$I:$I,D801)</x:f>
      </x:c>
      <x:c r="I801" t="n">
        <x:f>IF(F801="","",F801-(E801-1))</x:f>
        <x:v>-23</x:v>
      </x:c>
      <x:c r="J801" t="n">
        <x:f>IF(I801&gt;0,1,0)</x:f>
        <x:v>0</x:v>
      </x:c>
      <x:c r="K801" t="str">
        <x:f>IF(OR(J801=0,G801="",G801=0),"",I801/G801)</x:f>
      </x:c>
      <x:c r="L801" t="str">
        <x:f>IF(OR(J801=0,I801=0,G801=""),"",G801/I801)</x:f>
      </x:c>
      <x:c r="M801" t="str">
        <x:f>IF(OR(J801=0,G801="",H801="",G801=0,H801=0),"",I801/(G801*H801))</x:f>
      </x:c>
      <x:c r="N801" t="str">
        <x:f>IF(K801="","",K801/_xlfn.MAXIFS($K:$K,$E:$E,E801))</x:f>
      </x:c>
      <x:c r="O801" t="str">
        <x:f>IF(M801="","",M801/_xlfn.MAXIFS($M:$M,$E:$E,E801))</x:f>
      </x:c>
      <x:c r="P801" t="str">
        <x:f>IF(OR(N801="",O801=""),"",SQRT(N801*O801))</x:f>
      </x:c>
      <x:c r="Q801" t="str">
        <x:f>IF(OR(N801="",O801=""),"",N801^0.7*O801^0.3)</x:f>
      </x:c>
      <x:c r="R801" t="str">
        <x:f>IF(OR(N801="",O801=""),"",N801^0.3*O801^0.7)</x:f>
      </x:c>
    </x:row>
    <x:row r="802" s="14" customFormat="1">
      <x:c r="A802" t="inlineStr">
        <x:is>
          <x:t xml:space="preserve">z-ai|glm-5.3-flash|reasoning|reasoning|fallback-na|aa-v4.3.2|snapshot-2026-10-12</x:t>
        </x:is>
      </x:c>
      <x:c r="B802" t="inlineStr">
        <x:is>
          <x:t xml:space="preserve">z-ai|glm-5.3-flash|reasoning|reasoning|fallback-na</x:t>
        </x:is>
      </x:c>
      <x:c r="C802" t="inlineStr">
        <x:is>
          <x:t xml:space="preserve">AA|v4.3.2</x:t>
        </x:is>
      </x:c>
      <x:c r="D802" t="n">
        <x:v>102</x:v>
      </x:c>
      <x:c r="E802" t="n">
        <x:v>10</x:v>
      </x:c>
      <x:c r="F802" t="n">
        <x:f>INDEX(Run_Metrics!$F:$F,D802)</x:f>
        <x:v>42</x:v>
      </x:c>
      <x:c r="G802" t="n">
        <x:f>INDEX(Run_Metrics!$G:$G,D802)</x:f>
        <x:v>0.25</x:v>
      </x:c>
      <x:c r="H802" t="str">
        <x:f>INDEX(Run_Metrics!$I:$I,D802)</x:f>
      </x:c>
      <x:c r="I802" t="n">
        <x:f>IF(F802="","",F802-(E802-1))</x:f>
        <x:v>33</x:v>
      </x:c>
      <x:c r="J802" t="n">
        <x:f>IF(I802&gt;0,1,0)</x:f>
        <x:v>1</x:v>
      </x:c>
      <x:c r="K802" t="n">
        <x:f>IF(OR(J802=0,G802="",G802=0),"",I802/G802)</x:f>
        <x:v>132</x:v>
      </x:c>
      <x:c r="L802" t="n">
        <x:f>IF(OR(J802=0,I802=0,G802=""),"",G802/I802)</x:f>
        <x:v>0.007575757575757576</x:v>
      </x:c>
      <x:c r="M802" t="str">
        <x:f>IF(OR(J802=0,G802="",H802="",G802=0,H802=0),"",I802/(G802*H802))</x:f>
      </x:c>
      <x:c r="N802" t="n">
        <x:f>IF(K802="","",K802/_xlfn.MAXIFS($K:$K,$E:$E,E802))</x:f>
        <x:v>0.045692307692307685</x:v>
      </x:c>
      <x:c r="O802" t="str">
        <x:f>IF(M802="","",M802/_xlfn.MAXIFS($M:$M,$E:$E,E802))</x:f>
      </x:c>
      <x:c r="P802" t="str">
        <x:f>IF(OR(N802="",O802=""),"",SQRT(N802*O802))</x:f>
      </x:c>
      <x:c r="Q802" t="str">
        <x:f>IF(OR(N802="",O802=""),"",N802^0.7*O802^0.3)</x:f>
      </x:c>
      <x:c r="R802" t="str">
        <x:f>IF(OR(N802="",O802=""),"",N802^0.3*O802^0.7)</x:f>
      </x:c>
    </x:row>
    <x:row r="803" s="14" customFormat="1">
      <x:c r="A803" t="inlineStr">
        <x:is>
          <x:t xml:space="preserve">z-ai|glm-5.3-flash|reasoning|reasoning|fallback-na|aa-v4.3.2|snapshot-2026-10-12</x:t>
        </x:is>
      </x:c>
      <x:c r="B803" t="inlineStr">
        <x:is>
          <x:t xml:space="preserve">z-ai|glm-5.3-flash|reasoning|reasoning|fallback-na</x:t>
        </x:is>
      </x:c>
      <x:c r="C803" t="inlineStr">
        <x:is>
          <x:t xml:space="preserve">AA|v4.3.2</x:t>
        </x:is>
      </x:c>
      <x:c r="D803" t="n">
        <x:v>102</x:v>
      </x:c>
      <x:c r="E803" t="n">
        <x:v>20</x:v>
      </x:c>
      <x:c r="F803" t="n">
        <x:f>INDEX(Run_Metrics!$F:$F,D803)</x:f>
        <x:v>42</x:v>
      </x:c>
      <x:c r="G803" t="n">
        <x:f>INDEX(Run_Metrics!$G:$G,D803)</x:f>
        <x:v>0.25</x:v>
      </x:c>
      <x:c r="H803" t="str">
        <x:f>INDEX(Run_Metrics!$I:$I,D803)</x:f>
      </x:c>
      <x:c r="I803" t="n">
        <x:f>IF(F803="","",F803-(E803-1))</x:f>
        <x:v>23</x:v>
      </x:c>
      <x:c r="J803" t="n">
        <x:f>IF(I803&gt;0,1,0)</x:f>
        <x:v>1</x:v>
      </x:c>
      <x:c r="K803" t="n">
        <x:f>IF(OR(J803=0,G803="",G803=0),"",I803/G803)</x:f>
        <x:v>92</x:v>
      </x:c>
      <x:c r="L803" t="n">
        <x:f>IF(OR(J803=0,I803=0,G803=""),"",G803/I803)</x:f>
        <x:v>0.010869565217391304</x:v>
      </x:c>
      <x:c r="M803" t="str">
        <x:f>IF(OR(J803=0,G803="",H803="",G803=0,H803=0),"",I803/(G803*H803))</x:f>
      </x:c>
      <x:c r="N803" t="n">
        <x:f>IF(K803="","",K803/_xlfn.MAXIFS($K:$K,$E:$E,E803))</x:f>
        <x:v>0.13799999999999998</x:v>
      </x:c>
      <x:c r="O803" t="str">
        <x:f>IF(M803="","",M803/_xlfn.MAXIFS($M:$M,$E:$E,E803))</x:f>
      </x:c>
      <x:c r="P803" t="str">
        <x:f>IF(OR(N803="",O803=""),"",SQRT(N803*O803))</x:f>
      </x:c>
      <x:c r="Q803" t="str">
        <x:f>IF(OR(N803="",O803=""),"",N803^0.7*O803^0.3)</x:f>
      </x:c>
      <x:c r="R803" t="str">
        <x:f>IF(OR(N803="",O803=""),"",N803^0.3*O803^0.7)</x:f>
      </x:c>
    </x:row>
    <x:row r="804" s="14" customFormat="1">
      <x:c r="A804" t="inlineStr">
        <x:is>
          <x:t xml:space="preserve">z-ai|glm-5.3-flash|reasoning|reasoning|fallback-na|aa-v4.3.2|snapshot-2026-10-12</x:t>
        </x:is>
      </x:c>
      <x:c r="B804" t="inlineStr">
        <x:is>
          <x:t xml:space="preserve">z-ai|glm-5.3-flash|reasoning|reasoning|fallback-na</x:t>
        </x:is>
      </x:c>
      <x:c r="C804" t="inlineStr">
        <x:is>
          <x:t xml:space="preserve">AA|v4.3.2</x:t>
        </x:is>
      </x:c>
      <x:c r="D804" t="n">
        <x:v>102</x:v>
      </x:c>
      <x:c r="E804" t="n">
        <x:v>30</x:v>
      </x:c>
      <x:c r="F804" t="n">
        <x:f>INDEX(Run_Metrics!$F:$F,D804)</x:f>
        <x:v>42</x:v>
      </x:c>
      <x:c r="G804" t="n">
        <x:f>INDEX(Run_Metrics!$G:$G,D804)</x:f>
        <x:v>0.25</x:v>
      </x:c>
      <x:c r="H804" t="str">
        <x:f>INDEX(Run_Metrics!$I:$I,D804)</x:f>
      </x:c>
      <x:c r="I804" t="n">
        <x:f>IF(F804="","",F804-(E804-1))</x:f>
        <x:v>13</x:v>
      </x:c>
      <x:c r="J804" t="n">
        <x:f>IF(I804&gt;0,1,0)</x:f>
        <x:v>1</x:v>
      </x:c>
      <x:c r="K804" t="n">
        <x:f>IF(OR(J804=0,G804="",G804=0),"",I804/G804)</x:f>
        <x:v>52</x:v>
      </x:c>
      <x:c r="L804" t="n">
        <x:f>IF(OR(J804=0,I804=0,G804=""),"",G804/I804)</x:f>
        <x:v>0.019230769230769232</x:v>
      </x:c>
      <x:c r="M804" t="str">
        <x:f>IF(OR(J804=0,G804="",H804="",G804=0,H804=0),"",I804/(G804*H804))</x:f>
      </x:c>
      <x:c r="N804" t="n">
        <x:f>IF(K804="","",K804/_xlfn.MAXIFS($K:$K,$E:$E,E804))</x:f>
        <x:v>0.3466666666666667</x:v>
      </x:c>
      <x:c r="O804" t="str">
        <x:f>IF(M804="","",M804/_xlfn.MAXIFS($M:$M,$E:$E,E804))</x:f>
      </x:c>
      <x:c r="P804" t="str">
        <x:f>IF(OR(N804="",O804=""),"",SQRT(N804*O804))</x:f>
      </x:c>
      <x:c r="Q804" t="str">
        <x:f>IF(OR(N804="",O804=""),"",N804^0.7*O804^0.3)</x:f>
      </x:c>
      <x:c r="R804" t="str">
        <x:f>IF(OR(N804="",O804=""),"",N804^0.3*O804^0.7)</x:f>
      </x:c>
    </x:row>
    <x:row r="805" s="14" customFormat="1">
      <x:c r="A805" t="inlineStr">
        <x:is>
          <x:t xml:space="preserve">z-ai|glm-5.3-flash|reasoning|reasoning|fallback-na|aa-v4.3.2|snapshot-2026-10-12</x:t>
        </x:is>
      </x:c>
      <x:c r="B805" t="inlineStr">
        <x:is>
          <x:t xml:space="preserve">z-ai|glm-5.3-flash|reasoning|reasoning|fallback-na</x:t>
        </x:is>
      </x:c>
      <x:c r="C805" t="inlineStr">
        <x:is>
          <x:t xml:space="preserve">AA|v4.3.2</x:t>
        </x:is>
      </x:c>
      <x:c r="D805" t="n">
        <x:v>102</x:v>
      </x:c>
      <x:c r="E805" t="n">
        <x:v>35</x:v>
      </x:c>
      <x:c r="F805" t="n">
        <x:f>INDEX(Run_Metrics!$F:$F,D805)</x:f>
        <x:v>42</x:v>
      </x:c>
      <x:c r="G805" t="n">
        <x:f>INDEX(Run_Metrics!$G:$G,D805)</x:f>
        <x:v>0.25</x:v>
      </x:c>
      <x:c r="H805" t="str">
        <x:f>INDEX(Run_Metrics!$I:$I,D805)</x:f>
      </x:c>
      <x:c r="I805" t="n">
        <x:f>IF(F805="","",F805-(E805-1))</x:f>
        <x:v>8</x:v>
      </x:c>
      <x:c r="J805" t="n">
        <x:f>IF(I805&gt;0,1,0)</x:f>
        <x:v>1</x:v>
      </x:c>
      <x:c r="K805" t="n">
        <x:f>IF(OR(J805=0,G805="",G805=0),"",I805/G805)</x:f>
        <x:v>32</x:v>
      </x:c>
      <x:c r="L805" t="n">
        <x:f>IF(OR(J805=0,I805=0,G805=""),"",G805/I805)</x:f>
        <x:v>0.03125</x:v>
      </x:c>
      <x:c r="M805" t="str">
        <x:f>IF(OR(J805=0,G805="",H805="",G805=0,H805=0),"",I805/(G805*H805))</x:f>
      </x:c>
      <x:c r="N805" t="n">
        <x:f>IF(K805="","",K805/_xlfn.MAXIFS($K:$K,$E:$E,E805))</x:f>
        <x:v>0.3466666666666667</x:v>
      </x:c>
      <x:c r="O805" t="str">
        <x:f>IF(M805="","",M805/_xlfn.MAXIFS($M:$M,$E:$E,E805))</x:f>
      </x:c>
      <x:c r="P805" t="str">
        <x:f>IF(OR(N805="",O805=""),"",SQRT(N805*O805))</x:f>
      </x:c>
      <x:c r="Q805" t="str">
        <x:f>IF(OR(N805="",O805=""),"",N805^0.7*O805^0.3)</x:f>
      </x:c>
      <x:c r="R805" t="str">
        <x:f>IF(OR(N805="",O805=""),"",N805^0.3*O805^0.7)</x:f>
      </x:c>
    </x:row>
    <x:row r="806" s="14" customFormat="1">
      <x:c r="A806" t="inlineStr">
        <x:is>
          <x:t xml:space="preserve">z-ai|glm-5.3-flash|reasoning|reasoning|fallback-na|aa-v4.3.2|snapshot-2026-10-12</x:t>
        </x:is>
      </x:c>
      <x:c r="B806" t="inlineStr">
        <x:is>
          <x:t xml:space="preserve">z-ai|glm-5.3-flash|reasoning|reasoning|fallback-na</x:t>
        </x:is>
      </x:c>
      <x:c r="C806" t="inlineStr">
        <x:is>
          <x:t xml:space="preserve">AA|v4.3.2</x:t>
        </x:is>
      </x:c>
      <x:c r="D806" t="n">
        <x:v>102</x:v>
      </x:c>
      <x:c r="E806" t="n">
        <x:v>40</x:v>
      </x:c>
      <x:c r="F806" t="n">
        <x:f>INDEX(Run_Metrics!$F:$F,D806)</x:f>
        <x:v>42</x:v>
      </x:c>
      <x:c r="G806" t="n">
        <x:f>INDEX(Run_Metrics!$G:$G,D806)</x:f>
        <x:v>0.25</x:v>
      </x:c>
      <x:c r="H806" t="str">
        <x:f>INDEX(Run_Metrics!$I:$I,D806)</x:f>
      </x:c>
      <x:c r="I806" t="n">
        <x:f>IF(F806="","",F806-(E806-1))</x:f>
        <x:v>3</x:v>
      </x:c>
      <x:c r="J806" t="n">
        <x:f>IF(I806&gt;0,1,0)</x:f>
        <x:v>1</x:v>
      </x:c>
      <x:c r="K806" t="n">
        <x:f>IF(OR(J806=0,G806="",G806=0),"",I806/G806)</x:f>
        <x:v>12</x:v>
      </x:c>
      <x:c r="L806" t="n">
        <x:f>IF(OR(J806=0,I806=0,G806=""),"",G806/I806)</x:f>
        <x:v>0.08333333333333333</x:v>
      </x:c>
      <x:c r="M806" t="str">
        <x:f>IF(OR(J806=0,G806="",H806="",G806=0,H806=0),"",I806/(G806*H806))</x:f>
      </x:c>
      <x:c r="N806" t="n">
        <x:f>IF(K806="","",K806/_xlfn.MAXIFS($K:$K,$E:$E,E806))</x:f>
        <x:v>0.22285714285714286</x:v>
      </x:c>
      <x:c r="O806" t="str">
        <x:f>IF(M806="","",M806/_xlfn.MAXIFS($M:$M,$E:$E,E806))</x:f>
      </x:c>
      <x:c r="P806" t="str">
        <x:f>IF(OR(N806="",O806=""),"",SQRT(N806*O806))</x:f>
      </x:c>
      <x:c r="Q806" t="str">
        <x:f>IF(OR(N806="",O806=""),"",N806^0.7*O806^0.3)</x:f>
      </x:c>
      <x:c r="R806" t="str">
        <x:f>IF(OR(N806="",O806=""),"",N806^0.3*O806^0.7)</x:f>
      </x:c>
    </x:row>
    <x:row r="807" s="14" customFormat="1">
      <x:c r="A807" t="inlineStr">
        <x:is>
          <x:t xml:space="preserve">z-ai|glm-5.3-flash|reasoning|reasoning|fallback-na|aa-v4.3.2|snapshot-2026-10-12</x:t>
        </x:is>
      </x:c>
      <x:c r="B807" t="inlineStr">
        <x:is>
          <x:t xml:space="preserve">z-ai|glm-5.3-flash|reasoning|reasoning|fallback-na</x:t>
        </x:is>
      </x:c>
      <x:c r="C807" t="inlineStr">
        <x:is>
          <x:t xml:space="preserve">AA|v4.3.2</x:t>
        </x:is>
      </x:c>
      <x:c r="D807" t="n">
        <x:v>102</x:v>
      </x:c>
      <x:c r="E807" t="n">
        <x:v>45</x:v>
      </x:c>
      <x:c r="F807" t="n">
        <x:f>INDEX(Run_Metrics!$F:$F,D807)</x:f>
        <x:v>42</x:v>
      </x:c>
      <x:c r="G807" t="n">
        <x:f>INDEX(Run_Metrics!$G:$G,D807)</x:f>
        <x:v>0.25</x:v>
      </x:c>
      <x:c r="H807" t="str">
        <x:f>INDEX(Run_Metrics!$I:$I,D807)</x:f>
      </x:c>
      <x:c r="I807" t="n">
        <x:f>IF(F807="","",F807-(E807-1))</x:f>
        <x:v>-2</x:v>
      </x:c>
      <x:c r="J807" t="n">
        <x:f>IF(I807&gt;0,1,0)</x:f>
        <x:v>0</x:v>
      </x:c>
      <x:c r="K807" t="str">
        <x:f>IF(OR(J807=0,G807="",G807=0),"",I807/G807)</x:f>
      </x:c>
      <x:c r="L807" t="str">
        <x:f>IF(OR(J807=0,I807=0,G807=""),"",G807/I807)</x:f>
      </x:c>
      <x:c r="M807" t="str">
        <x:f>IF(OR(J807=0,G807="",H807="",G807=0,H807=0),"",I807/(G807*H807))</x:f>
      </x:c>
      <x:c r="N807" t="str">
        <x:f>IF(K807="","",K807/_xlfn.MAXIFS($K:$K,$E:$E,E807))</x:f>
      </x:c>
      <x:c r="O807" t="str">
        <x:f>IF(M807="","",M807/_xlfn.MAXIFS($M:$M,$E:$E,E807))</x:f>
      </x:c>
      <x:c r="P807" t="str">
        <x:f>IF(OR(N807="",O807=""),"",SQRT(N807*O807))</x:f>
      </x:c>
      <x:c r="Q807" t="str">
        <x:f>IF(OR(N807="",O807=""),"",N807^0.7*O807^0.3)</x:f>
      </x:c>
      <x:c r="R807" t="str">
        <x:f>IF(OR(N807="",O807=""),"",N807^0.3*O807^0.7)</x:f>
      </x:c>
    </x:row>
    <x:row r="808" s="14" customFormat="1">
      <x:c r="A808" t="inlineStr">
        <x:is>
          <x:t xml:space="preserve">z-ai|glm-5.3-flash|reasoning|reasoning|fallback-na|aa-v4.3.2|snapshot-2026-10-12</x:t>
        </x:is>
      </x:c>
      <x:c r="B808" t="inlineStr">
        <x:is>
          <x:t xml:space="preserve">z-ai|glm-5.3-flash|reasoning|reasoning|fallback-na</x:t>
        </x:is>
      </x:c>
      <x:c r="C808" t="inlineStr">
        <x:is>
          <x:t xml:space="preserve">AA|v4.3.2</x:t>
        </x:is>
      </x:c>
      <x:c r="D808" t="n">
        <x:v>102</x:v>
      </x:c>
      <x:c r="E808" t="n">
        <x:v>50</x:v>
      </x:c>
      <x:c r="F808" t="n">
        <x:f>INDEX(Run_Metrics!$F:$F,D808)</x:f>
        <x:v>42</x:v>
      </x:c>
      <x:c r="G808" t="n">
        <x:f>INDEX(Run_Metrics!$G:$G,D808)</x:f>
        <x:v>0.25</x:v>
      </x:c>
      <x:c r="H808" t="str">
        <x:f>INDEX(Run_Metrics!$I:$I,D808)</x:f>
      </x:c>
      <x:c r="I808" t="n">
        <x:f>IF(F808="","",F808-(E808-1))</x:f>
        <x:v>-7</x:v>
      </x:c>
      <x:c r="J808" t="n">
        <x:f>IF(I808&gt;0,1,0)</x:f>
        <x:v>0</x:v>
      </x:c>
      <x:c r="K808" t="str">
        <x:f>IF(OR(J808=0,G808="",G808=0),"",I808/G808)</x:f>
      </x:c>
      <x:c r="L808" t="str">
        <x:f>IF(OR(J808=0,I808=0,G808=""),"",G808/I808)</x:f>
      </x:c>
      <x:c r="M808" t="str">
        <x:f>IF(OR(J808=0,G808="",H808="",G808=0,H808=0),"",I808/(G808*H808))</x:f>
      </x:c>
      <x:c r="N808" t="str">
        <x:f>IF(K808="","",K808/_xlfn.MAXIFS($K:$K,$E:$E,E808))</x:f>
      </x:c>
      <x:c r="O808" t="str">
        <x:f>IF(M808="","",M808/_xlfn.MAXIFS($M:$M,$E:$E,E808))</x:f>
      </x:c>
      <x:c r="P808" t="str">
        <x:f>IF(OR(N808="",O808=""),"",SQRT(N808*O808))</x:f>
      </x:c>
      <x:c r="Q808" t="str">
        <x:f>IF(OR(N808="",O808=""),"",N808^0.7*O808^0.3)</x:f>
      </x:c>
      <x:c r="R808" t="str">
        <x:f>IF(OR(N808="",O808=""),"",N808^0.3*O808^0.7)</x:f>
      </x:c>
    </x:row>
    <x:row r="809" s="14" customFormat="1">
      <x:c r="A809" t="inlineStr">
        <x:is>
          <x:t xml:space="preserve">z-ai|glm-5.3-flash|reasoning|reasoning|fallback-na|aa-v4.3.2|snapshot-2026-10-12</x:t>
        </x:is>
      </x:c>
      <x:c r="B809" t="inlineStr">
        <x:is>
          <x:t xml:space="preserve">z-ai|glm-5.3-flash|reasoning|reasoning|fallback-na</x:t>
        </x:is>
      </x:c>
      <x:c r="C809" t="inlineStr">
        <x:is>
          <x:t xml:space="preserve">AA|v4.3.2</x:t>
        </x:is>
      </x:c>
      <x:c r="D809" t="n">
        <x:v>102</x:v>
      </x:c>
      <x:c r="E809" t="n">
        <x:v>60</x:v>
      </x:c>
      <x:c r="F809" t="n">
        <x:f>INDEX(Run_Metrics!$F:$F,D809)</x:f>
        <x:v>42</x:v>
      </x:c>
      <x:c r="G809" t="n">
        <x:f>INDEX(Run_Metrics!$G:$G,D809)</x:f>
        <x:v>0.25</x:v>
      </x:c>
      <x:c r="H809" t="str">
        <x:f>INDEX(Run_Metrics!$I:$I,D809)</x:f>
      </x:c>
      <x:c r="I809" t="n">
        <x:f>IF(F809="","",F809-(E809-1))</x:f>
        <x:v>-17</x:v>
      </x:c>
      <x:c r="J809" t="n">
        <x:f>IF(I809&gt;0,1,0)</x:f>
        <x:v>0</x:v>
      </x:c>
      <x:c r="K809" t="str">
        <x:f>IF(OR(J809=0,G809="",G809=0),"",I809/G809)</x:f>
      </x:c>
      <x:c r="L809" t="str">
        <x:f>IF(OR(J809=0,I809=0,G809=""),"",G809/I809)</x:f>
      </x:c>
      <x:c r="M809" t="str">
        <x:f>IF(OR(J809=0,G809="",H809="",G809=0,H809=0),"",I809/(G809*H809))</x:f>
      </x:c>
      <x:c r="N809" t="str">
        <x:f>IF(K809="","",K809/_xlfn.MAXIFS($K:$K,$E:$E,E809))</x:f>
      </x:c>
      <x:c r="O809" t="str">
        <x:f>IF(M809="","",M809/_xlfn.MAXIFS($M:$M,$E:$E,E809))</x:f>
      </x:c>
      <x:c r="P809" t="str">
        <x:f>IF(OR(N809="",O809=""),"",SQRT(N809*O809))</x:f>
      </x:c>
      <x:c r="Q809" t="str">
        <x:f>IF(OR(N809="",O809=""),"",N809^0.7*O809^0.3)</x:f>
      </x:c>
      <x:c r="R809" t="str">
        <x:f>IF(OR(N809="",O809=""),"",N809^0.3*O809^0.7)</x:f>
      </x:c>
    </x:row>
    <x:row r="810" s="14" customFormat="1">
      <x:c r="A810" t="inlineStr">
        <x:is>
          <x:t xml:space="preserve">z-ai|glm-5.3|low|reasoning|fallback-na|aa-v4.3.2|snapshot-2026-10-12</x:t>
        </x:is>
      </x:c>
      <x:c r="B810" t="inlineStr">
        <x:is>
          <x:t xml:space="preserve">z-ai|glm-5.3|low|reasoning|fallback-na</x:t>
        </x:is>
      </x:c>
      <x:c r="C810" t="inlineStr">
        <x:is>
          <x:t xml:space="preserve">AA|v4.3.2</x:t>
        </x:is>
      </x:c>
      <x:c r="D810" t="n">
        <x:v>103</x:v>
      </x:c>
      <x:c r="E810" t="n">
        <x:v>10</x:v>
      </x:c>
      <x:c r="F810" t="n">
        <x:f>INDEX(Run_Metrics!$F:$F,D810)</x:f>
        <x:v>34</x:v>
      </x:c>
      <x:c r="G810" t="n">
        <x:f>INDEX(Run_Metrics!$G:$G,D810)</x:f>
        <x:v>0.85</x:v>
      </x:c>
      <x:c r="H810" t="str">
        <x:f>INDEX(Run_Metrics!$I:$I,D810)</x:f>
      </x:c>
      <x:c r="I810" t="n">
        <x:f>IF(F810="","",F810-(E810-1))</x:f>
        <x:v>25</x:v>
      </x:c>
      <x:c r="J810" t="n">
        <x:f>IF(I810&gt;0,1,0)</x:f>
        <x:v>1</x:v>
      </x:c>
      <x:c r="K810" t="n">
        <x:f>IF(OR(J810=0,G810="",G810=0),"",I810/G810)</x:f>
        <x:v>29.411764705882355</x:v>
      </x:c>
      <x:c r="L810" t="n">
        <x:f>IF(OR(J810=0,I810=0,G810=""),"",G810/I810)</x:f>
        <x:v>0.034</x:v>
      </x:c>
      <x:c r="M810" t="str">
        <x:f>IF(OR(J810=0,G810="",H810="",G810=0,H810=0),"",I810/(G810*H810))</x:f>
      </x:c>
      <x:c r="N810" t="n">
        <x:f>IF(K810="","",K810/_xlfn.MAXIFS($K:$K,$E:$E,E810))</x:f>
        <x:v>0.010180995475113122</x:v>
      </x:c>
      <x:c r="O810" t="str">
        <x:f>IF(M810="","",M810/_xlfn.MAXIFS($M:$M,$E:$E,E810))</x:f>
      </x:c>
      <x:c r="P810" t="str">
        <x:f>IF(OR(N810="",O810=""),"",SQRT(N810*O810))</x:f>
      </x:c>
      <x:c r="Q810" t="str">
        <x:f>IF(OR(N810="",O810=""),"",N810^0.7*O810^0.3)</x:f>
      </x:c>
      <x:c r="R810" t="str">
        <x:f>IF(OR(N810="",O810=""),"",N810^0.3*O810^0.7)</x:f>
      </x:c>
    </x:row>
    <x:row r="811" s="14" customFormat="1">
      <x:c r="A811" t="inlineStr">
        <x:is>
          <x:t xml:space="preserve">z-ai|glm-5.3|low|reasoning|fallback-na|aa-v4.3.2|snapshot-2026-10-12</x:t>
        </x:is>
      </x:c>
      <x:c r="B811" t="inlineStr">
        <x:is>
          <x:t xml:space="preserve">z-ai|glm-5.3|low|reasoning|fallback-na</x:t>
        </x:is>
      </x:c>
      <x:c r="C811" t="inlineStr">
        <x:is>
          <x:t xml:space="preserve">AA|v4.3.2</x:t>
        </x:is>
      </x:c>
      <x:c r="D811" t="n">
        <x:v>103</x:v>
      </x:c>
      <x:c r="E811" t="n">
        <x:v>20</x:v>
      </x:c>
      <x:c r="F811" t="n">
        <x:f>INDEX(Run_Metrics!$F:$F,D811)</x:f>
        <x:v>34</x:v>
      </x:c>
      <x:c r="G811" t="n">
        <x:f>INDEX(Run_Metrics!$G:$G,D811)</x:f>
        <x:v>0.85</x:v>
      </x:c>
      <x:c r="H811" t="str">
        <x:f>INDEX(Run_Metrics!$I:$I,D811)</x:f>
      </x:c>
      <x:c r="I811" t="n">
        <x:f>IF(F811="","",F811-(E811-1))</x:f>
        <x:v>15</x:v>
      </x:c>
      <x:c r="J811" t="n">
        <x:f>IF(I811&gt;0,1,0)</x:f>
        <x:v>1</x:v>
      </x:c>
      <x:c r="K811" t="n">
        <x:f>IF(OR(J811=0,G811="",G811=0),"",I811/G811)</x:f>
        <x:v>17.647058823529413</x:v>
      </x:c>
      <x:c r="L811" t="n">
        <x:f>IF(OR(J811=0,I811=0,G811=""),"",G811/I811)</x:f>
        <x:v>0.056666666666666664</x:v>
      </x:c>
      <x:c r="M811" t="str">
        <x:f>IF(OR(J811=0,G811="",H811="",G811=0,H811=0),"",I811/(G811*H811))</x:f>
      </x:c>
      <x:c r="N811" t="n">
        <x:f>IF(K811="","",K811/_xlfn.MAXIFS($K:$K,$E:$E,E811))</x:f>
        <x:v>0.026470588235294117</x:v>
      </x:c>
      <x:c r="O811" t="str">
        <x:f>IF(M811="","",M811/_xlfn.MAXIFS($M:$M,$E:$E,E811))</x:f>
      </x:c>
      <x:c r="P811" t="str">
        <x:f>IF(OR(N811="",O811=""),"",SQRT(N811*O811))</x:f>
      </x:c>
      <x:c r="Q811" t="str">
        <x:f>IF(OR(N811="",O811=""),"",N811^0.7*O811^0.3)</x:f>
      </x:c>
      <x:c r="R811" t="str">
        <x:f>IF(OR(N811="",O811=""),"",N811^0.3*O811^0.7)</x:f>
      </x:c>
    </x:row>
    <x:row r="812" s="14" customFormat="1">
      <x:c r="A812" t="inlineStr">
        <x:is>
          <x:t xml:space="preserve">z-ai|glm-5.3|low|reasoning|fallback-na|aa-v4.3.2|snapshot-2026-10-12</x:t>
        </x:is>
      </x:c>
      <x:c r="B812" t="inlineStr">
        <x:is>
          <x:t xml:space="preserve">z-ai|glm-5.3|low|reasoning|fallback-na</x:t>
        </x:is>
      </x:c>
      <x:c r="C812" t="inlineStr">
        <x:is>
          <x:t xml:space="preserve">AA|v4.3.2</x:t>
        </x:is>
      </x:c>
      <x:c r="D812" t="n">
        <x:v>103</x:v>
      </x:c>
      <x:c r="E812" t="n">
        <x:v>30</x:v>
      </x:c>
      <x:c r="F812" t="n">
        <x:f>INDEX(Run_Metrics!$F:$F,D812)</x:f>
        <x:v>34</x:v>
      </x:c>
      <x:c r="G812" t="n">
        <x:f>INDEX(Run_Metrics!$G:$G,D812)</x:f>
        <x:v>0.85</x:v>
      </x:c>
      <x:c r="H812" t="str">
        <x:f>INDEX(Run_Metrics!$I:$I,D812)</x:f>
      </x:c>
      <x:c r="I812" t="n">
        <x:f>IF(F812="","",F812-(E812-1))</x:f>
        <x:v>5</x:v>
      </x:c>
      <x:c r="J812" t="n">
        <x:f>IF(I812&gt;0,1,0)</x:f>
        <x:v>1</x:v>
      </x:c>
      <x:c r="K812" t="n">
        <x:f>IF(OR(J812=0,G812="",G812=0),"",I812/G812)</x:f>
        <x:v>5.882352941176471</x:v>
      </x:c>
      <x:c r="L812" t="n">
        <x:f>IF(OR(J812=0,I812=0,G812=""),"",G812/I812)</x:f>
        <x:v>0.16999999999999998</x:v>
      </x:c>
      <x:c r="M812" t="str">
        <x:f>IF(OR(J812=0,G812="",H812="",G812=0,H812=0),"",I812/(G812*H812))</x:f>
      </x:c>
      <x:c r="N812" t="n">
        <x:f>IF(K812="","",K812/_xlfn.MAXIFS($K:$K,$E:$E,E812))</x:f>
        <x:v>0.0392156862745098</x:v>
      </x:c>
      <x:c r="O812" t="str">
        <x:f>IF(M812="","",M812/_xlfn.MAXIFS($M:$M,$E:$E,E812))</x:f>
      </x:c>
      <x:c r="P812" t="str">
        <x:f>IF(OR(N812="",O812=""),"",SQRT(N812*O812))</x:f>
      </x:c>
      <x:c r="Q812" t="str">
        <x:f>IF(OR(N812="",O812=""),"",N812^0.7*O812^0.3)</x:f>
      </x:c>
      <x:c r="R812" t="str">
        <x:f>IF(OR(N812="",O812=""),"",N812^0.3*O812^0.7)</x:f>
      </x:c>
    </x:row>
    <x:row r="813" s="14" customFormat="1">
      <x:c r="A813" t="inlineStr">
        <x:is>
          <x:t xml:space="preserve">z-ai|glm-5.3|low|reasoning|fallback-na|aa-v4.3.2|snapshot-2026-10-12</x:t>
        </x:is>
      </x:c>
      <x:c r="B813" t="inlineStr">
        <x:is>
          <x:t xml:space="preserve">z-ai|glm-5.3|low|reasoning|fallback-na</x:t>
        </x:is>
      </x:c>
      <x:c r="C813" t="inlineStr">
        <x:is>
          <x:t xml:space="preserve">AA|v4.3.2</x:t>
        </x:is>
      </x:c>
      <x:c r="D813" t="n">
        <x:v>103</x:v>
      </x:c>
      <x:c r="E813" t="n">
        <x:v>35</x:v>
      </x:c>
      <x:c r="F813" t="n">
        <x:f>INDEX(Run_Metrics!$F:$F,D813)</x:f>
        <x:v>34</x:v>
      </x:c>
      <x:c r="G813" t="n">
        <x:f>INDEX(Run_Metrics!$G:$G,D813)</x:f>
        <x:v>0.85</x:v>
      </x:c>
      <x:c r="H813" t="str">
        <x:f>INDEX(Run_Metrics!$I:$I,D813)</x:f>
      </x:c>
      <x:c r="I813" t="n">
        <x:f>IF(F813="","",F813-(E813-1))</x:f>
        <x:v>0</x:v>
      </x:c>
      <x:c r="J813" t="n">
        <x:f>IF(I813&gt;0,1,0)</x:f>
        <x:v>0</x:v>
      </x:c>
      <x:c r="K813" t="str">
        <x:f>IF(OR(J813=0,G813="",G813=0),"",I813/G813)</x:f>
      </x:c>
      <x:c r="L813" t="str">
        <x:f>IF(OR(J813=0,I813=0,G813=""),"",G813/I813)</x:f>
      </x:c>
      <x:c r="M813" t="str">
        <x:f>IF(OR(J813=0,G813="",H813="",G813=0,H813=0),"",I813/(G813*H813))</x:f>
      </x:c>
      <x:c r="N813" t="str">
        <x:f>IF(K813="","",K813/_xlfn.MAXIFS($K:$K,$E:$E,E813))</x:f>
      </x:c>
      <x:c r="O813" t="str">
        <x:f>IF(M813="","",M813/_xlfn.MAXIFS($M:$M,$E:$E,E813))</x:f>
      </x:c>
      <x:c r="P813" t="str">
        <x:f>IF(OR(N813="",O813=""),"",SQRT(N813*O813))</x:f>
      </x:c>
      <x:c r="Q813" t="str">
        <x:f>IF(OR(N813="",O813=""),"",N813^0.7*O813^0.3)</x:f>
      </x:c>
      <x:c r="R813" t="str">
        <x:f>IF(OR(N813="",O813=""),"",N813^0.3*O813^0.7)</x:f>
      </x:c>
    </x:row>
    <x:row r="814" s="14" customFormat="1">
      <x:c r="A814" t="inlineStr">
        <x:is>
          <x:t xml:space="preserve">z-ai|glm-5.3|low|reasoning|fallback-na|aa-v4.3.2|snapshot-2026-10-12</x:t>
        </x:is>
      </x:c>
      <x:c r="B814" t="inlineStr">
        <x:is>
          <x:t xml:space="preserve">z-ai|glm-5.3|low|reasoning|fallback-na</x:t>
        </x:is>
      </x:c>
      <x:c r="C814" t="inlineStr">
        <x:is>
          <x:t xml:space="preserve">AA|v4.3.2</x:t>
        </x:is>
      </x:c>
      <x:c r="D814" t="n">
        <x:v>103</x:v>
      </x:c>
      <x:c r="E814" t="n">
        <x:v>40</x:v>
      </x:c>
      <x:c r="F814" t="n">
        <x:f>INDEX(Run_Metrics!$F:$F,D814)</x:f>
        <x:v>34</x:v>
      </x:c>
      <x:c r="G814" t="n">
        <x:f>INDEX(Run_Metrics!$G:$G,D814)</x:f>
        <x:v>0.85</x:v>
      </x:c>
      <x:c r="H814" t="str">
        <x:f>INDEX(Run_Metrics!$I:$I,D814)</x:f>
      </x:c>
      <x:c r="I814" t="n">
        <x:f>IF(F814="","",F814-(E814-1))</x:f>
        <x:v>-5</x:v>
      </x:c>
      <x:c r="J814" t="n">
        <x:f>IF(I814&gt;0,1,0)</x:f>
        <x:v>0</x:v>
      </x:c>
      <x:c r="K814" t="str">
        <x:f>IF(OR(J814=0,G814="",G814=0),"",I814/G814)</x:f>
      </x:c>
      <x:c r="L814" t="str">
        <x:f>IF(OR(J814=0,I814=0,G814=""),"",G814/I814)</x:f>
      </x:c>
      <x:c r="M814" t="str">
        <x:f>IF(OR(J814=0,G814="",H814="",G814=0,H814=0),"",I814/(G814*H814))</x:f>
      </x:c>
      <x:c r="N814" t="str">
        <x:f>IF(K814="","",K814/_xlfn.MAXIFS($K:$K,$E:$E,E814))</x:f>
      </x:c>
      <x:c r="O814" t="str">
        <x:f>IF(M814="","",M814/_xlfn.MAXIFS($M:$M,$E:$E,E814))</x:f>
      </x:c>
      <x:c r="P814" t="str">
        <x:f>IF(OR(N814="",O814=""),"",SQRT(N814*O814))</x:f>
      </x:c>
      <x:c r="Q814" t="str">
        <x:f>IF(OR(N814="",O814=""),"",N814^0.7*O814^0.3)</x:f>
      </x:c>
      <x:c r="R814" t="str">
        <x:f>IF(OR(N814="",O814=""),"",N814^0.3*O814^0.7)</x:f>
      </x:c>
    </x:row>
    <x:row r="815" s="14" customFormat="1">
      <x:c r="A815" t="inlineStr">
        <x:is>
          <x:t xml:space="preserve">z-ai|glm-5.3|low|reasoning|fallback-na|aa-v4.3.2|snapshot-2026-10-12</x:t>
        </x:is>
      </x:c>
      <x:c r="B815" t="inlineStr">
        <x:is>
          <x:t xml:space="preserve">z-ai|glm-5.3|low|reasoning|fallback-na</x:t>
        </x:is>
      </x:c>
      <x:c r="C815" t="inlineStr">
        <x:is>
          <x:t xml:space="preserve">AA|v4.3.2</x:t>
        </x:is>
      </x:c>
      <x:c r="D815" t="n">
        <x:v>103</x:v>
      </x:c>
      <x:c r="E815" t="n">
        <x:v>45</x:v>
      </x:c>
      <x:c r="F815" t="n">
        <x:f>INDEX(Run_Metrics!$F:$F,D815)</x:f>
        <x:v>34</x:v>
      </x:c>
      <x:c r="G815" t="n">
        <x:f>INDEX(Run_Metrics!$G:$G,D815)</x:f>
        <x:v>0.85</x:v>
      </x:c>
      <x:c r="H815" t="str">
        <x:f>INDEX(Run_Metrics!$I:$I,D815)</x:f>
      </x:c>
      <x:c r="I815" t="n">
        <x:f>IF(F815="","",F815-(E815-1))</x:f>
        <x:v>-10</x:v>
      </x:c>
      <x:c r="J815" t="n">
        <x:f>IF(I815&gt;0,1,0)</x:f>
        <x:v>0</x:v>
      </x:c>
      <x:c r="K815" t="str">
        <x:f>IF(OR(J815=0,G815="",G815=0),"",I815/G815)</x:f>
      </x:c>
      <x:c r="L815" t="str">
        <x:f>IF(OR(J815=0,I815=0,G815=""),"",G815/I815)</x:f>
      </x:c>
      <x:c r="M815" t="str">
        <x:f>IF(OR(J815=0,G815="",H815="",G815=0,H815=0),"",I815/(G815*H815))</x:f>
      </x:c>
      <x:c r="N815" t="str">
        <x:f>IF(K815="","",K815/_xlfn.MAXIFS($K:$K,$E:$E,E815))</x:f>
      </x:c>
      <x:c r="O815" t="str">
        <x:f>IF(M815="","",M815/_xlfn.MAXIFS($M:$M,$E:$E,E815))</x:f>
      </x:c>
      <x:c r="P815" t="str">
        <x:f>IF(OR(N815="",O815=""),"",SQRT(N815*O815))</x:f>
      </x:c>
      <x:c r="Q815" t="str">
        <x:f>IF(OR(N815="",O815=""),"",N815^0.7*O815^0.3)</x:f>
      </x:c>
      <x:c r="R815" t="str">
        <x:f>IF(OR(N815="",O815=""),"",N815^0.3*O815^0.7)</x:f>
      </x:c>
    </x:row>
    <x:row r="816" s="14" customFormat="1">
      <x:c r="A816" t="inlineStr">
        <x:is>
          <x:t xml:space="preserve">z-ai|glm-5.3|low|reasoning|fallback-na|aa-v4.3.2|snapshot-2026-10-12</x:t>
        </x:is>
      </x:c>
      <x:c r="B816" t="inlineStr">
        <x:is>
          <x:t xml:space="preserve">z-ai|glm-5.3|low|reasoning|fallback-na</x:t>
        </x:is>
      </x:c>
      <x:c r="C816" t="inlineStr">
        <x:is>
          <x:t xml:space="preserve">AA|v4.3.2</x:t>
        </x:is>
      </x:c>
      <x:c r="D816" t="n">
        <x:v>103</x:v>
      </x:c>
      <x:c r="E816" t="n">
        <x:v>50</x:v>
      </x:c>
      <x:c r="F816" t="n">
        <x:f>INDEX(Run_Metrics!$F:$F,D816)</x:f>
        <x:v>34</x:v>
      </x:c>
      <x:c r="G816" t="n">
        <x:f>INDEX(Run_Metrics!$G:$G,D816)</x:f>
        <x:v>0.85</x:v>
      </x:c>
      <x:c r="H816" t="str">
        <x:f>INDEX(Run_Metrics!$I:$I,D816)</x:f>
      </x:c>
      <x:c r="I816" t="n">
        <x:f>IF(F816="","",F816-(E816-1))</x:f>
        <x:v>-15</x:v>
      </x:c>
      <x:c r="J816" t="n">
        <x:f>IF(I816&gt;0,1,0)</x:f>
        <x:v>0</x:v>
      </x:c>
      <x:c r="K816" t="str">
        <x:f>IF(OR(J816=0,G816="",G816=0),"",I816/G816)</x:f>
      </x:c>
      <x:c r="L816" t="str">
        <x:f>IF(OR(J816=0,I816=0,G816=""),"",G816/I816)</x:f>
      </x:c>
      <x:c r="M816" t="str">
        <x:f>IF(OR(J816=0,G816="",H816="",G816=0,H816=0),"",I816/(G816*H816))</x:f>
      </x:c>
      <x:c r="N816" t="str">
        <x:f>IF(K816="","",K816/_xlfn.MAXIFS($K:$K,$E:$E,E816))</x:f>
      </x:c>
      <x:c r="O816" t="str">
        <x:f>IF(M816="","",M816/_xlfn.MAXIFS($M:$M,$E:$E,E816))</x:f>
      </x:c>
      <x:c r="P816" t="str">
        <x:f>IF(OR(N816="",O816=""),"",SQRT(N816*O816))</x:f>
      </x:c>
      <x:c r="Q816" t="str">
        <x:f>IF(OR(N816="",O816=""),"",N816^0.7*O816^0.3)</x:f>
      </x:c>
      <x:c r="R816" t="str">
        <x:f>IF(OR(N816="",O816=""),"",N816^0.3*O816^0.7)</x:f>
      </x:c>
    </x:row>
    <x:row r="817" s="14" customFormat="1">
      <x:c r="A817" t="inlineStr">
        <x:is>
          <x:t xml:space="preserve">z-ai|glm-5.3|low|reasoning|fallback-na|aa-v4.3.2|snapshot-2026-10-12</x:t>
        </x:is>
      </x:c>
      <x:c r="B817" t="inlineStr">
        <x:is>
          <x:t xml:space="preserve">z-ai|glm-5.3|low|reasoning|fallback-na</x:t>
        </x:is>
      </x:c>
      <x:c r="C817" t="inlineStr">
        <x:is>
          <x:t xml:space="preserve">AA|v4.3.2</x:t>
        </x:is>
      </x:c>
      <x:c r="D817" t="n">
        <x:v>103</x:v>
      </x:c>
      <x:c r="E817" t="n">
        <x:v>60</x:v>
      </x:c>
      <x:c r="F817" t="n">
        <x:f>INDEX(Run_Metrics!$F:$F,D817)</x:f>
        <x:v>34</x:v>
      </x:c>
      <x:c r="G817" t="n">
        <x:f>INDEX(Run_Metrics!$G:$G,D817)</x:f>
        <x:v>0.85</x:v>
      </x:c>
      <x:c r="H817" t="str">
        <x:f>INDEX(Run_Metrics!$I:$I,D817)</x:f>
      </x:c>
      <x:c r="I817" t="n">
        <x:f>IF(F817="","",F817-(E817-1))</x:f>
        <x:v>-25</x:v>
      </x:c>
      <x:c r="J817" t="n">
        <x:f>IF(I817&gt;0,1,0)</x:f>
        <x:v>0</x:v>
      </x:c>
      <x:c r="K817" t="str">
        <x:f>IF(OR(J817=0,G817="",G817=0),"",I817/G817)</x:f>
      </x:c>
      <x:c r="L817" t="str">
        <x:f>IF(OR(J817=0,I817=0,G817=""),"",G817/I817)</x:f>
      </x:c>
      <x:c r="M817" t="str">
        <x:f>IF(OR(J817=0,G817="",H817="",G817=0,H817=0),"",I817/(G817*H817))</x:f>
      </x:c>
      <x:c r="N817" t="str">
        <x:f>IF(K817="","",K817/_xlfn.MAXIFS($K:$K,$E:$E,E817))</x:f>
      </x:c>
      <x:c r="O817" t="str">
        <x:f>IF(M817="","",M817/_xlfn.MAXIFS($M:$M,$E:$E,E817))</x:f>
      </x:c>
      <x:c r="P817" t="str">
        <x:f>IF(OR(N817="",O817=""),"",SQRT(N817*O817))</x:f>
      </x:c>
      <x:c r="Q817" t="str">
        <x:f>IF(OR(N817="",O817=""),"",N817^0.7*O817^0.3)</x:f>
      </x:c>
      <x:c r="R817" t="str">
        <x:f>IF(OR(N817="",O817=""),"",N817^0.3*O817^0.7)</x:f>
      </x:c>
    </x:row>
    <x:row r="818" s="14" customFormat="1">
      <x:c r="A818" t="inlineStr">
        <x:is>
          <x:t xml:space="preserve">z-ai|glm-5.3|max|reasoning|fallback-na|aa-v4.3.2|snapshot-2026-10-12</x:t>
        </x:is>
      </x:c>
      <x:c r="B818" t="inlineStr">
        <x:is>
          <x:t xml:space="preserve">z-ai|glm-5.3|max|reasoning|fallback-na</x:t>
        </x:is>
      </x:c>
      <x:c r="C818" t="inlineStr">
        <x:is>
          <x:t xml:space="preserve">AA|v4.3.2</x:t>
        </x:is>
      </x:c>
      <x:c r="D818" t="n">
        <x:v>104</x:v>
      </x:c>
      <x:c r="E818" t="n">
        <x:v>10</x:v>
      </x:c>
      <x:c r="F818" t="n">
        <x:f>INDEX(Run_Metrics!$F:$F,D818)</x:f>
        <x:v>45</x:v>
      </x:c>
      <x:c r="G818" t="n">
        <x:f>INDEX(Run_Metrics!$G:$G,D818)</x:f>
        <x:v>2.01</x:v>
      </x:c>
      <x:c r="H818" t="str">
        <x:f>INDEX(Run_Metrics!$I:$I,D818)</x:f>
      </x:c>
      <x:c r="I818" t="n">
        <x:f>IF(F818="","",F818-(E818-1))</x:f>
        <x:v>36</x:v>
      </x:c>
      <x:c r="J818" t="n">
        <x:f>IF(I818&gt;0,1,0)</x:f>
        <x:v>1</x:v>
      </x:c>
      <x:c r="K818" t="n">
        <x:f>IF(OR(J818=0,G818="",G818=0),"",I818/G818)</x:f>
        <x:v>17.910447761194032</x:v>
      </x:c>
      <x:c r="L818" t="n">
        <x:f>IF(OR(J818=0,I818=0,G818=""),"",G818/I818)</x:f>
        <x:v>0.055833333333333325</x:v>
      </x:c>
      <x:c r="M818" t="str">
        <x:f>IF(OR(J818=0,G818="",H818="",G818=0,H818=0),"",I818/(G818*H818))</x:f>
      </x:c>
      <x:c r="N818" t="n">
        <x:f>IF(K818="","",K818/_xlfn.MAXIFS($K:$K,$E:$E,E818))</x:f>
        <x:v>0.006199770378874856</x:v>
      </x:c>
      <x:c r="O818" t="str">
        <x:f>IF(M818="","",M818/_xlfn.MAXIFS($M:$M,$E:$E,E818))</x:f>
      </x:c>
      <x:c r="P818" t="str">
        <x:f>IF(OR(N818="",O818=""),"",SQRT(N818*O818))</x:f>
      </x:c>
      <x:c r="Q818" t="str">
        <x:f>IF(OR(N818="",O818=""),"",N818^0.7*O818^0.3)</x:f>
      </x:c>
      <x:c r="R818" t="str">
        <x:f>IF(OR(N818="",O818=""),"",N818^0.3*O818^0.7)</x:f>
      </x:c>
    </x:row>
    <x:row r="819" s="14" customFormat="1">
      <x:c r="A819" t="inlineStr">
        <x:is>
          <x:t xml:space="preserve">z-ai|glm-5.3|max|reasoning|fallback-na|aa-v4.3.2|snapshot-2026-10-12</x:t>
        </x:is>
      </x:c>
      <x:c r="B819" t="inlineStr">
        <x:is>
          <x:t xml:space="preserve">z-ai|glm-5.3|max|reasoning|fallback-na</x:t>
        </x:is>
      </x:c>
      <x:c r="C819" t="inlineStr">
        <x:is>
          <x:t xml:space="preserve">AA|v4.3.2</x:t>
        </x:is>
      </x:c>
      <x:c r="D819" t="n">
        <x:v>104</x:v>
      </x:c>
      <x:c r="E819" t="n">
        <x:v>20</x:v>
      </x:c>
      <x:c r="F819" t="n">
        <x:f>INDEX(Run_Metrics!$F:$F,D819)</x:f>
        <x:v>45</x:v>
      </x:c>
      <x:c r="G819" t="n">
        <x:f>INDEX(Run_Metrics!$G:$G,D819)</x:f>
        <x:v>2.01</x:v>
      </x:c>
      <x:c r="H819" t="str">
        <x:f>INDEX(Run_Metrics!$I:$I,D819)</x:f>
      </x:c>
      <x:c r="I819" t="n">
        <x:f>IF(F819="","",F819-(E819-1))</x:f>
        <x:v>26</x:v>
      </x:c>
      <x:c r="J819" t="n">
        <x:f>IF(I819&gt;0,1,0)</x:f>
        <x:v>1</x:v>
      </x:c>
      <x:c r="K819" t="n">
        <x:f>IF(OR(J819=0,G819="",G819=0),"",I819/G819)</x:f>
        <x:v>12.935323383084578</x:v>
      </x:c>
      <x:c r="L819" t="n">
        <x:f>IF(OR(J819=0,I819=0,G819=""),"",G819/I819)</x:f>
        <x:v>0.0773076923076923</x:v>
      </x:c>
      <x:c r="M819" t="str">
        <x:f>IF(OR(J819=0,G819="",H819="",G819=0,H819=0),"",I819/(G819*H819))</x:f>
      </x:c>
      <x:c r="N819" t="n">
        <x:f>IF(K819="","",K819/_xlfn.MAXIFS($K:$K,$E:$E,E819))</x:f>
        <x:v>0.019402985074626865</x:v>
      </x:c>
      <x:c r="O819" t="str">
        <x:f>IF(M819="","",M819/_xlfn.MAXIFS($M:$M,$E:$E,E819))</x:f>
      </x:c>
      <x:c r="P819" t="str">
        <x:f>IF(OR(N819="",O819=""),"",SQRT(N819*O819))</x:f>
      </x:c>
      <x:c r="Q819" t="str">
        <x:f>IF(OR(N819="",O819=""),"",N819^0.7*O819^0.3)</x:f>
      </x:c>
      <x:c r="R819" t="str">
        <x:f>IF(OR(N819="",O819=""),"",N819^0.3*O819^0.7)</x:f>
      </x:c>
    </x:row>
    <x:row r="820" s="14" customFormat="1">
      <x:c r="A820" t="inlineStr">
        <x:is>
          <x:t xml:space="preserve">z-ai|glm-5.3|max|reasoning|fallback-na|aa-v4.3.2|snapshot-2026-10-12</x:t>
        </x:is>
      </x:c>
      <x:c r="B820" t="inlineStr">
        <x:is>
          <x:t xml:space="preserve">z-ai|glm-5.3|max|reasoning|fallback-na</x:t>
        </x:is>
      </x:c>
      <x:c r="C820" t="inlineStr">
        <x:is>
          <x:t xml:space="preserve">AA|v4.3.2</x:t>
        </x:is>
      </x:c>
      <x:c r="D820" t="n">
        <x:v>104</x:v>
      </x:c>
      <x:c r="E820" t="n">
        <x:v>30</x:v>
      </x:c>
      <x:c r="F820" t="n">
        <x:f>INDEX(Run_Metrics!$F:$F,D820)</x:f>
        <x:v>45</x:v>
      </x:c>
      <x:c r="G820" t="n">
        <x:f>INDEX(Run_Metrics!$G:$G,D820)</x:f>
        <x:v>2.01</x:v>
      </x:c>
      <x:c r="H820" t="str">
        <x:f>INDEX(Run_Metrics!$I:$I,D820)</x:f>
      </x:c>
      <x:c r="I820" t="n">
        <x:f>IF(F820="","",F820-(E820-1))</x:f>
        <x:v>16</x:v>
      </x:c>
      <x:c r="J820" t="n">
        <x:f>IF(I820&gt;0,1,0)</x:f>
        <x:v>1</x:v>
      </x:c>
      <x:c r="K820" t="n">
        <x:f>IF(OR(J820=0,G820="",G820=0),"",I820/G820)</x:f>
        <x:v>7.9601990049751254</x:v>
      </x:c>
      <x:c r="L820" t="n">
        <x:f>IF(OR(J820=0,I820=0,G820=""),"",G820/I820)</x:f>
        <x:v>0.125625</x:v>
      </x:c>
      <x:c r="M820" t="str">
        <x:f>IF(OR(J820=0,G820="",H820="",G820=0,H820=0),"",I820/(G820*H820))</x:f>
      </x:c>
      <x:c r="N820" t="n">
        <x:f>IF(K820="","",K820/_xlfn.MAXIFS($K:$K,$E:$E,E820))</x:f>
        <x:v>0.05306799336650084</x:v>
      </x:c>
      <x:c r="O820" t="str">
        <x:f>IF(M820="","",M820/_xlfn.MAXIFS($M:$M,$E:$E,E820))</x:f>
      </x:c>
      <x:c r="P820" t="str">
        <x:f>IF(OR(N820="",O820=""),"",SQRT(N820*O820))</x:f>
      </x:c>
      <x:c r="Q820" t="str">
        <x:f>IF(OR(N820="",O820=""),"",N820^0.7*O820^0.3)</x:f>
      </x:c>
      <x:c r="R820" t="str">
        <x:f>IF(OR(N820="",O820=""),"",N820^0.3*O820^0.7)</x:f>
      </x:c>
    </x:row>
    <x:row r="821" s="14" customFormat="1">
      <x:c r="A821" t="inlineStr">
        <x:is>
          <x:t xml:space="preserve">z-ai|glm-5.3|max|reasoning|fallback-na|aa-v4.3.2|snapshot-2026-10-12</x:t>
        </x:is>
      </x:c>
      <x:c r="B821" t="inlineStr">
        <x:is>
          <x:t xml:space="preserve">z-ai|glm-5.3|max|reasoning|fallback-na</x:t>
        </x:is>
      </x:c>
      <x:c r="C821" t="inlineStr">
        <x:is>
          <x:t xml:space="preserve">AA|v4.3.2</x:t>
        </x:is>
      </x:c>
      <x:c r="D821" t="n">
        <x:v>104</x:v>
      </x:c>
      <x:c r="E821" t="n">
        <x:v>35</x:v>
      </x:c>
      <x:c r="F821" t="n">
        <x:f>INDEX(Run_Metrics!$F:$F,D821)</x:f>
        <x:v>45</x:v>
      </x:c>
      <x:c r="G821" t="n">
        <x:f>INDEX(Run_Metrics!$G:$G,D821)</x:f>
        <x:v>2.01</x:v>
      </x:c>
      <x:c r="H821" t="str">
        <x:f>INDEX(Run_Metrics!$I:$I,D821)</x:f>
      </x:c>
      <x:c r="I821" t="n">
        <x:f>IF(F821="","",F821-(E821-1))</x:f>
        <x:v>11</x:v>
      </x:c>
      <x:c r="J821" t="n">
        <x:f>IF(I821&gt;0,1,0)</x:f>
        <x:v>1</x:v>
      </x:c>
      <x:c r="K821" t="n">
        <x:f>IF(OR(J821=0,G821="",G821=0),"",I821/G821)</x:f>
        <x:v>5.472636815920398</x:v>
      </x:c>
      <x:c r="L821" t="n">
        <x:f>IF(OR(J821=0,I821=0,G821=""),"",G821/I821)</x:f>
        <x:v>0.1827272727272727</x:v>
      </x:c>
      <x:c r="M821" t="str">
        <x:f>IF(OR(J821=0,G821="",H821="",G821=0,H821=0),"",I821/(G821*H821))</x:f>
      </x:c>
      <x:c r="N821" t="n">
        <x:f>IF(K821="","",K821/_xlfn.MAXIFS($K:$K,$E:$E,E821))</x:f>
        <x:v>0.05928689883913765</x:v>
      </x:c>
      <x:c r="O821" t="str">
        <x:f>IF(M821="","",M821/_xlfn.MAXIFS($M:$M,$E:$E,E821))</x:f>
      </x:c>
      <x:c r="P821" t="str">
        <x:f>IF(OR(N821="",O821=""),"",SQRT(N821*O821))</x:f>
      </x:c>
      <x:c r="Q821" t="str">
        <x:f>IF(OR(N821="",O821=""),"",N821^0.7*O821^0.3)</x:f>
      </x:c>
      <x:c r="R821" t="str">
        <x:f>IF(OR(N821="",O821=""),"",N821^0.3*O821^0.7)</x:f>
      </x:c>
    </x:row>
    <x:row r="822" s="14" customFormat="1">
      <x:c r="A822" t="inlineStr">
        <x:is>
          <x:t xml:space="preserve">z-ai|glm-5.3|max|reasoning|fallback-na|aa-v4.3.2|snapshot-2026-10-12</x:t>
        </x:is>
      </x:c>
      <x:c r="B822" t="inlineStr">
        <x:is>
          <x:t xml:space="preserve">z-ai|glm-5.3|max|reasoning|fallback-na</x:t>
        </x:is>
      </x:c>
      <x:c r="C822" t="inlineStr">
        <x:is>
          <x:t xml:space="preserve">AA|v4.3.2</x:t>
        </x:is>
      </x:c>
      <x:c r="D822" t="n">
        <x:v>104</x:v>
      </x:c>
      <x:c r="E822" t="n">
        <x:v>40</x:v>
      </x:c>
      <x:c r="F822" t="n">
        <x:f>INDEX(Run_Metrics!$F:$F,D822)</x:f>
        <x:v>45</x:v>
      </x:c>
      <x:c r="G822" t="n">
        <x:f>INDEX(Run_Metrics!$G:$G,D822)</x:f>
        <x:v>2.01</x:v>
      </x:c>
      <x:c r="H822" t="str">
        <x:f>INDEX(Run_Metrics!$I:$I,D822)</x:f>
      </x:c>
      <x:c r="I822" t="n">
        <x:f>IF(F822="","",F822-(E822-1))</x:f>
        <x:v>6</x:v>
      </x:c>
      <x:c r="J822" t="n">
        <x:f>IF(I822&gt;0,1,0)</x:f>
        <x:v>1</x:v>
      </x:c>
      <x:c r="K822" t="n">
        <x:f>IF(OR(J822=0,G822="",G822=0),"",I822/G822)</x:f>
        <x:v>2.985074626865672</x:v>
      </x:c>
      <x:c r="L822" t="n">
        <x:f>IF(OR(J822=0,I822=0,G822=""),"",G822/I822)</x:f>
        <x:v>0.33499999999999996</x:v>
      </x:c>
      <x:c r="M822" t="str">
        <x:f>IF(OR(J822=0,G822="",H822="",G822=0,H822=0),"",I822/(G822*H822))</x:f>
      </x:c>
      <x:c r="N822" t="n">
        <x:f>IF(K822="","",K822/_xlfn.MAXIFS($K:$K,$E:$E,E822))</x:f>
        <x:v>0.05543710021321962</x:v>
      </x:c>
      <x:c r="O822" t="str">
        <x:f>IF(M822="","",M822/_xlfn.MAXIFS($M:$M,$E:$E,E822))</x:f>
      </x:c>
      <x:c r="P822" t="str">
        <x:f>IF(OR(N822="",O822=""),"",SQRT(N822*O822))</x:f>
      </x:c>
      <x:c r="Q822" t="str">
        <x:f>IF(OR(N822="",O822=""),"",N822^0.7*O822^0.3)</x:f>
      </x:c>
      <x:c r="R822" t="str">
        <x:f>IF(OR(N822="",O822=""),"",N822^0.3*O822^0.7)</x:f>
      </x:c>
    </x:row>
    <x:row r="823" s="14" customFormat="1">
      <x:c r="A823" t="inlineStr">
        <x:is>
          <x:t xml:space="preserve">z-ai|glm-5.3|max|reasoning|fallback-na|aa-v4.3.2|snapshot-2026-10-12</x:t>
        </x:is>
      </x:c>
      <x:c r="B823" t="inlineStr">
        <x:is>
          <x:t xml:space="preserve">z-ai|glm-5.3|max|reasoning|fallback-na</x:t>
        </x:is>
      </x:c>
      <x:c r="C823" t="inlineStr">
        <x:is>
          <x:t xml:space="preserve">AA|v4.3.2</x:t>
        </x:is>
      </x:c>
      <x:c r="D823" t="n">
        <x:v>104</x:v>
      </x:c>
      <x:c r="E823" t="n">
        <x:v>45</x:v>
      </x:c>
      <x:c r="F823" t="n">
        <x:f>INDEX(Run_Metrics!$F:$F,D823)</x:f>
        <x:v>45</x:v>
      </x:c>
      <x:c r="G823" t="n">
        <x:f>INDEX(Run_Metrics!$G:$G,D823)</x:f>
        <x:v>2.01</x:v>
      </x:c>
      <x:c r="H823" t="str">
        <x:f>INDEX(Run_Metrics!$I:$I,D823)</x:f>
      </x:c>
      <x:c r="I823" t="n">
        <x:f>IF(F823="","",F823-(E823-1))</x:f>
        <x:v>1</x:v>
      </x:c>
      <x:c r="J823" t="n">
        <x:f>IF(I823&gt;0,1,0)</x:f>
        <x:v>1</x:v>
      </x:c>
      <x:c r="K823" t="n">
        <x:f>IF(OR(J823=0,G823="",G823=0),"",I823/G823)</x:f>
        <x:v>0.49751243781094534</x:v>
      </x:c>
      <x:c r="L823" t="n">
        <x:f>IF(OR(J823=0,I823=0,G823=""),"",G823/I823)</x:f>
        <x:v>2.01</x:v>
      </x:c>
      <x:c r="M823" t="str">
        <x:f>IF(OR(J823=0,G823="",H823="",G823=0,H823=0),"",I823/(G823*H823))</x:f>
      </x:c>
      <x:c r="N823" t="n">
        <x:f>IF(K823="","",K823/_xlfn.MAXIFS($K:$K,$E:$E,E823))</x:f>
        <x:v>0.02611940298507463</x:v>
      </x:c>
      <x:c r="O823" t="str">
        <x:f>IF(M823="","",M823/_xlfn.MAXIFS($M:$M,$E:$E,E823))</x:f>
      </x:c>
      <x:c r="P823" t="str">
        <x:f>IF(OR(N823="",O823=""),"",SQRT(N823*O823))</x:f>
      </x:c>
      <x:c r="Q823" t="str">
        <x:f>IF(OR(N823="",O823=""),"",N823^0.7*O823^0.3)</x:f>
      </x:c>
      <x:c r="R823" t="str">
        <x:f>IF(OR(N823="",O823=""),"",N823^0.3*O823^0.7)</x:f>
      </x:c>
    </x:row>
    <x:row r="824" s="14" customFormat="1">
      <x:c r="A824" t="inlineStr">
        <x:is>
          <x:t xml:space="preserve">z-ai|glm-5.3|max|reasoning|fallback-na|aa-v4.3.2|snapshot-2026-10-12</x:t>
        </x:is>
      </x:c>
      <x:c r="B824" t="inlineStr">
        <x:is>
          <x:t xml:space="preserve">z-ai|glm-5.3|max|reasoning|fallback-na</x:t>
        </x:is>
      </x:c>
      <x:c r="C824" t="inlineStr">
        <x:is>
          <x:t xml:space="preserve">AA|v4.3.2</x:t>
        </x:is>
      </x:c>
      <x:c r="D824" t="n">
        <x:v>104</x:v>
      </x:c>
      <x:c r="E824" t="n">
        <x:v>50</x:v>
      </x:c>
      <x:c r="F824" t="n">
        <x:f>INDEX(Run_Metrics!$F:$F,D824)</x:f>
        <x:v>45</x:v>
      </x:c>
      <x:c r="G824" t="n">
        <x:f>INDEX(Run_Metrics!$G:$G,D824)</x:f>
        <x:v>2.01</x:v>
      </x:c>
      <x:c r="H824" t="str">
        <x:f>INDEX(Run_Metrics!$I:$I,D824)</x:f>
      </x:c>
      <x:c r="I824" t="n">
        <x:f>IF(F824="","",F824-(E824-1))</x:f>
        <x:v>-4</x:v>
      </x:c>
      <x:c r="J824" t="n">
        <x:f>IF(I824&gt;0,1,0)</x:f>
        <x:v>0</x:v>
      </x:c>
      <x:c r="K824" t="str">
        <x:f>IF(OR(J824=0,G824="",G824=0),"",I824/G824)</x:f>
      </x:c>
      <x:c r="L824" t="str">
        <x:f>IF(OR(J824=0,I824=0,G824=""),"",G824/I824)</x:f>
      </x:c>
      <x:c r="M824" t="str">
        <x:f>IF(OR(J824=0,G824="",H824="",G824=0,H824=0),"",I824/(G824*H824))</x:f>
      </x:c>
      <x:c r="N824" t="str">
        <x:f>IF(K824="","",K824/_xlfn.MAXIFS($K:$K,$E:$E,E824))</x:f>
      </x:c>
      <x:c r="O824" t="str">
        <x:f>IF(M824="","",M824/_xlfn.MAXIFS($M:$M,$E:$E,E824))</x:f>
      </x:c>
      <x:c r="P824" t="str">
        <x:f>IF(OR(N824="",O824=""),"",SQRT(N824*O824))</x:f>
      </x:c>
      <x:c r="Q824" t="str">
        <x:f>IF(OR(N824="",O824=""),"",N824^0.7*O824^0.3)</x:f>
      </x:c>
      <x:c r="R824" t="str">
        <x:f>IF(OR(N824="",O824=""),"",N824^0.3*O824^0.7)</x:f>
      </x:c>
    </x:row>
    <x:row r="825" s="14" customFormat="1">
      <x:c r="A825" t="inlineStr">
        <x:is>
          <x:t xml:space="preserve">z-ai|glm-5.3|max|reasoning|fallback-na|aa-v4.3.2|snapshot-2026-10-12</x:t>
        </x:is>
      </x:c>
      <x:c r="B825" t="inlineStr">
        <x:is>
          <x:t xml:space="preserve">z-ai|glm-5.3|max|reasoning|fallback-na</x:t>
        </x:is>
      </x:c>
      <x:c r="C825" t="inlineStr">
        <x:is>
          <x:t xml:space="preserve">AA|v4.3.2</x:t>
        </x:is>
      </x:c>
      <x:c r="D825" t="n">
        <x:v>104</x:v>
      </x:c>
      <x:c r="E825" t="n">
        <x:v>60</x:v>
      </x:c>
      <x:c r="F825" t="n">
        <x:f>INDEX(Run_Metrics!$F:$F,D825)</x:f>
        <x:v>45</x:v>
      </x:c>
      <x:c r="G825" t="n">
        <x:f>INDEX(Run_Metrics!$G:$G,D825)</x:f>
        <x:v>2.01</x:v>
      </x:c>
      <x:c r="H825" t="str">
        <x:f>INDEX(Run_Metrics!$I:$I,D825)</x:f>
      </x:c>
      <x:c r="I825" t="n">
        <x:f>IF(F825="","",F825-(E825-1))</x:f>
        <x:v>-14</x:v>
      </x:c>
      <x:c r="J825" t="n">
        <x:f>IF(I825&gt;0,1,0)</x:f>
        <x:v>0</x:v>
      </x:c>
      <x:c r="K825" t="str">
        <x:f>IF(OR(J825=0,G825="",G825=0),"",I825/G825)</x:f>
      </x:c>
      <x:c r="L825" t="str">
        <x:f>IF(OR(J825=0,I825=0,G825=""),"",G825/I825)</x:f>
      </x:c>
      <x:c r="M825" t="str">
        <x:f>IF(OR(J825=0,G825="",H825="",G825=0,H825=0),"",I825/(G825*H825))</x:f>
      </x:c>
      <x:c r="N825" t="str">
        <x:f>IF(K825="","",K825/_xlfn.MAXIFS($K:$K,$E:$E,E825))</x:f>
      </x:c>
      <x:c r="O825" t="str">
        <x:f>IF(M825="","",M825/_xlfn.MAXIFS($M:$M,$E:$E,E825))</x:f>
      </x:c>
      <x:c r="P825" t="str">
        <x:f>IF(OR(N825="",O825=""),"",SQRT(N825*O825))</x:f>
      </x:c>
      <x:c r="Q825" t="str">
        <x:f>IF(OR(N825="",O825=""),"",N825^0.7*O825^0.3)</x:f>
      </x:c>
      <x:c r="R825" t="str">
        <x:f>IF(OR(N825="",O825=""),"",N825^0.3*O825^0.7)</x:f>
      </x:c>
    </x:row>
    <x:row r="826" s="14" customFormat="1">
      <x:c r="A826" t="inlineStr">
        <x:is>
          <x:t xml:space="preserve">xiaomi|mimo-v2-6-pro|reasoning|yes|fallback-na|aa-v4.3.2|snapshot-2026-10-12</x:t>
        </x:is>
      </x:c>
      <x:c r="B826" t="inlineStr">
        <x:is>
          <x:t xml:space="preserve">xiaomi|mimo-v2-6-pro|reasoning|yes|fallback-na</x:t>
        </x:is>
      </x:c>
      <x:c r="C826" t="inlineStr">
        <x:is>
          <x:t xml:space="preserve">AA|v4.3.2</x:t>
        </x:is>
      </x:c>
      <x:c r="D826" t="n">
        <x:v>105</x:v>
      </x:c>
      <x:c r="E826" t="n">
        <x:v>10</x:v>
      </x:c>
      <x:c r="F826" t="n">
        <x:f>INDEX(Run_Metrics!$F:$F,D826)</x:f>
        <x:v>46</x:v>
      </x:c>
      <x:c r="G826" t="n">
        <x:f>INDEX(Run_Metrics!$G:$G,D826)</x:f>
        <x:v>0.13</x:v>
      </x:c>
      <x:c r="H826" t="str">
        <x:f>INDEX(Run_Metrics!$I:$I,D826)</x:f>
      </x:c>
      <x:c r="I826" t="n">
        <x:f>IF(F826="","",F826-(E826-1))</x:f>
        <x:v>37</x:v>
      </x:c>
      <x:c r="J826" t="n">
        <x:f>IF(I826&gt;0,1,0)</x:f>
        <x:v>1</x:v>
      </x:c>
      <x:c r="K826" t="n">
        <x:f>IF(OR(J826=0,G826="",G826=0),"",I826/G826)</x:f>
        <x:v>284.6153846153846</x:v>
      </x:c>
      <x:c r="L826" t="n">
        <x:f>IF(OR(J826=0,I826=0,G826=""),"",G826/I826)</x:f>
        <x:v>0.0035135135135135136</x:v>
      </x:c>
      <x:c r="M826" t="str">
        <x:f>IF(OR(J826=0,G826="",H826="",G826=0,H826=0),"",I826/(G826*H826))</x:f>
      </x:c>
      <x:c r="N826" t="n">
        <x:f>IF(K826="","",K826/_xlfn.MAXIFS($K:$K,$E:$E,E826))</x:f>
        <x:v>0.09852071005917158</x:v>
      </x:c>
      <x:c r="O826" t="str">
        <x:f>IF(M826="","",M826/_xlfn.MAXIFS($M:$M,$E:$E,E826))</x:f>
      </x:c>
      <x:c r="P826" t="str">
        <x:f>IF(OR(N826="",O826=""),"",SQRT(N826*O826))</x:f>
      </x:c>
      <x:c r="Q826" t="str">
        <x:f>IF(OR(N826="",O826=""),"",N826^0.7*O826^0.3)</x:f>
      </x:c>
      <x:c r="R826" t="str">
        <x:f>IF(OR(N826="",O826=""),"",N826^0.3*O826^0.7)</x:f>
      </x:c>
    </x:row>
    <x:row r="827" s="14" customFormat="1">
      <x:c r="A827" t="inlineStr">
        <x:is>
          <x:t xml:space="preserve">xiaomi|mimo-v2-6-pro|reasoning|yes|fallback-na|aa-v4.3.2|snapshot-2026-10-12</x:t>
        </x:is>
      </x:c>
      <x:c r="B827" t="inlineStr">
        <x:is>
          <x:t xml:space="preserve">xiaomi|mimo-v2-6-pro|reasoning|yes|fallback-na</x:t>
        </x:is>
      </x:c>
      <x:c r="C827" t="inlineStr">
        <x:is>
          <x:t xml:space="preserve">AA|v4.3.2</x:t>
        </x:is>
      </x:c>
      <x:c r="D827" t="n">
        <x:v>105</x:v>
      </x:c>
      <x:c r="E827" t="n">
        <x:v>20</x:v>
      </x:c>
      <x:c r="F827" t="n">
        <x:f>INDEX(Run_Metrics!$F:$F,D827)</x:f>
        <x:v>46</x:v>
      </x:c>
      <x:c r="G827" t="n">
        <x:f>INDEX(Run_Metrics!$G:$G,D827)</x:f>
        <x:v>0.13</x:v>
      </x:c>
      <x:c r="H827" t="str">
        <x:f>INDEX(Run_Metrics!$I:$I,D827)</x:f>
      </x:c>
      <x:c r="I827" t="n">
        <x:f>IF(F827="","",F827-(E827-1))</x:f>
        <x:v>27</x:v>
      </x:c>
      <x:c r="J827" t="n">
        <x:f>IF(I827&gt;0,1,0)</x:f>
        <x:v>1</x:v>
      </x:c>
      <x:c r="K827" t="n">
        <x:f>IF(OR(J827=0,G827="",G827=0),"",I827/G827)</x:f>
        <x:v>207.69230769230768</x:v>
      </x:c>
      <x:c r="L827" t="n">
        <x:f>IF(OR(J827=0,I827=0,G827=""),"",G827/I827)</x:f>
        <x:v>0.004814814814814815</x:v>
      </x:c>
      <x:c r="M827" t="str">
        <x:f>IF(OR(J827=0,G827="",H827="",G827=0,H827=0),"",I827/(G827*H827))</x:f>
      </x:c>
      <x:c r="N827" t="n">
        <x:f>IF(K827="","",K827/_xlfn.MAXIFS($K:$K,$E:$E,E827))</x:f>
        <x:v>0.3115384615384615</x:v>
      </x:c>
      <x:c r="O827" t="str">
        <x:f>IF(M827="","",M827/_xlfn.MAXIFS($M:$M,$E:$E,E827))</x:f>
      </x:c>
      <x:c r="P827" t="str">
        <x:f>IF(OR(N827="",O827=""),"",SQRT(N827*O827))</x:f>
      </x:c>
      <x:c r="Q827" t="str">
        <x:f>IF(OR(N827="",O827=""),"",N827^0.7*O827^0.3)</x:f>
      </x:c>
      <x:c r="R827" t="str">
        <x:f>IF(OR(N827="",O827=""),"",N827^0.3*O827^0.7)</x:f>
      </x:c>
    </x:row>
    <x:row r="828" s="14" customFormat="1">
      <x:c r="A828" t="inlineStr">
        <x:is>
          <x:t xml:space="preserve">xiaomi|mimo-v2-6-pro|reasoning|yes|fallback-na|aa-v4.3.2|snapshot-2026-10-12</x:t>
        </x:is>
      </x:c>
      <x:c r="B828" t="inlineStr">
        <x:is>
          <x:t xml:space="preserve">xiaomi|mimo-v2-6-pro|reasoning|yes|fallback-na</x:t>
        </x:is>
      </x:c>
      <x:c r="C828" t="inlineStr">
        <x:is>
          <x:t xml:space="preserve">AA|v4.3.2</x:t>
        </x:is>
      </x:c>
      <x:c r="D828" t="n">
        <x:v>105</x:v>
      </x:c>
      <x:c r="E828" t="n">
        <x:v>30</x:v>
      </x:c>
      <x:c r="F828" t="n">
        <x:f>INDEX(Run_Metrics!$F:$F,D828)</x:f>
        <x:v>46</x:v>
      </x:c>
      <x:c r="G828" t="n">
        <x:f>INDEX(Run_Metrics!$G:$G,D828)</x:f>
        <x:v>0.13</x:v>
      </x:c>
      <x:c r="H828" t="str">
        <x:f>INDEX(Run_Metrics!$I:$I,D828)</x:f>
      </x:c>
      <x:c r="I828" t="n">
        <x:f>IF(F828="","",F828-(E828-1))</x:f>
        <x:v>17</x:v>
      </x:c>
      <x:c r="J828" t="n">
        <x:f>IF(I828&gt;0,1,0)</x:f>
        <x:v>1</x:v>
      </x:c>
      <x:c r="K828" t="n">
        <x:f>IF(OR(J828=0,G828="",G828=0),"",I828/G828)</x:f>
        <x:v>130.76923076923077</x:v>
      </x:c>
      <x:c r="L828" t="n">
        <x:f>IF(OR(J828=0,I828=0,G828=""),"",G828/I828)</x:f>
        <x:v>0.007647058823529412</x:v>
      </x:c>
      <x:c r="M828" t="str">
        <x:f>IF(OR(J828=0,G828="",H828="",G828=0,H828=0),"",I828/(G828*H828))</x:f>
      </x:c>
      <x:c r="N828" t="n">
        <x:f>IF(K828="","",K828/_xlfn.MAXIFS($K:$K,$E:$E,E828))</x:f>
        <x:v>0.8717948717948718</x:v>
      </x:c>
      <x:c r="O828" t="str">
        <x:f>IF(M828="","",M828/_xlfn.MAXIFS($M:$M,$E:$E,E828))</x:f>
      </x:c>
      <x:c r="P828" t="str">
        <x:f>IF(OR(N828="",O828=""),"",SQRT(N828*O828))</x:f>
      </x:c>
      <x:c r="Q828" t="str">
        <x:f>IF(OR(N828="",O828=""),"",N828^0.7*O828^0.3)</x:f>
      </x:c>
      <x:c r="R828" t="str">
        <x:f>IF(OR(N828="",O828=""),"",N828^0.3*O828^0.7)</x:f>
      </x:c>
    </x:row>
    <x:row r="829" s="14" customFormat="1">
      <x:c r="A829" t="inlineStr">
        <x:is>
          <x:t xml:space="preserve">xiaomi|mimo-v2-6-pro|reasoning|yes|fallback-na|aa-v4.3.2|snapshot-2026-10-12</x:t>
        </x:is>
      </x:c>
      <x:c r="B829" t="inlineStr">
        <x:is>
          <x:t xml:space="preserve">xiaomi|mimo-v2-6-pro|reasoning|yes|fallback-na</x:t>
        </x:is>
      </x:c>
      <x:c r="C829" t="inlineStr">
        <x:is>
          <x:t xml:space="preserve">AA|v4.3.2</x:t>
        </x:is>
      </x:c>
      <x:c r="D829" t="n">
        <x:v>105</x:v>
      </x:c>
      <x:c r="E829" t="n">
        <x:v>35</x:v>
      </x:c>
      <x:c r="F829" t="n">
        <x:f>INDEX(Run_Metrics!$F:$F,D829)</x:f>
        <x:v>46</x:v>
      </x:c>
      <x:c r="G829" t="n">
        <x:f>INDEX(Run_Metrics!$G:$G,D829)</x:f>
        <x:v>0.13</x:v>
      </x:c>
      <x:c r="H829" t="str">
        <x:f>INDEX(Run_Metrics!$I:$I,D829)</x:f>
      </x:c>
      <x:c r="I829" t="n">
        <x:f>IF(F829="","",F829-(E829-1))</x:f>
        <x:v>12</x:v>
      </x:c>
      <x:c r="J829" t="n">
        <x:f>IF(I829&gt;0,1,0)</x:f>
        <x:v>1</x:v>
      </x:c>
      <x:c r="K829" t="n">
        <x:f>IF(OR(J829=0,G829="",G829=0),"",I829/G829)</x:f>
        <x:v>92.3076923076923</x:v>
      </x:c>
      <x:c r="L829" t="n">
        <x:f>IF(OR(J829=0,I829=0,G829=""),"",G829/I829)</x:f>
        <x:v>0.010833333333333334</x:v>
      </x:c>
      <x:c r="M829" t="str">
        <x:f>IF(OR(J829=0,G829="",H829="",G829=0,H829=0),"",I829/(G829*H829))</x:f>
      </x:c>
      <x:c r="N829" t="n">
        <x:f>IF(K829="","",K829/_xlfn.MAXIFS($K:$K,$E:$E,E829))</x:f>
        <x:v>1</x:v>
      </x:c>
      <x:c r="O829" t="str">
        <x:f>IF(M829="","",M829/_xlfn.MAXIFS($M:$M,$E:$E,E829))</x:f>
      </x:c>
      <x:c r="P829" t="str">
        <x:f>IF(OR(N829="",O829=""),"",SQRT(N829*O829))</x:f>
      </x:c>
      <x:c r="Q829" t="str">
        <x:f>IF(OR(N829="",O829=""),"",N829^0.7*O829^0.3)</x:f>
      </x:c>
      <x:c r="R829" t="str">
        <x:f>IF(OR(N829="",O829=""),"",N829^0.3*O829^0.7)</x:f>
      </x:c>
    </x:row>
    <x:row r="830" s="14" customFormat="1">
      <x:c r="A830" t="inlineStr">
        <x:is>
          <x:t xml:space="preserve">xiaomi|mimo-v2-6-pro|reasoning|yes|fallback-na|aa-v4.3.2|snapshot-2026-10-12</x:t>
        </x:is>
      </x:c>
      <x:c r="B830" t="inlineStr">
        <x:is>
          <x:t xml:space="preserve">xiaomi|mimo-v2-6-pro|reasoning|yes|fallback-na</x:t>
        </x:is>
      </x:c>
      <x:c r="C830" t="inlineStr">
        <x:is>
          <x:t xml:space="preserve">AA|v4.3.2</x:t>
        </x:is>
      </x:c>
      <x:c r="D830" t="n">
        <x:v>105</x:v>
      </x:c>
      <x:c r="E830" t="n">
        <x:v>40</x:v>
      </x:c>
      <x:c r="F830" t="n">
        <x:f>INDEX(Run_Metrics!$F:$F,D830)</x:f>
        <x:v>46</x:v>
      </x:c>
      <x:c r="G830" t="n">
        <x:f>INDEX(Run_Metrics!$G:$G,D830)</x:f>
        <x:v>0.13</x:v>
      </x:c>
      <x:c r="H830" t="str">
        <x:f>INDEX(Run_Metrics!$I:$I,D830)</x:f>
      </x:c>
      <x:c r="I830" t="n">
        <x:f>IF(F830="","",F830-(E830-1))</x:f>
        <x:v>7</x:v>
      </x:c>
      <x:c r="J830" t="n">
        <x:f>IF(I830&gt;0,1,0)</x:f>
        <x:v>1</x:v>
      </x:c>
      <x:c r="K830" t="n">
        <x:f>IF(OR(J830=0,G830="",G830=0),"",I830/G830)</x:f>
        <x:v>53.84615384615385</x:v>
      </x:c>
      <x:c r="L830" t="n">
        <x:f>IF(OR(J830=0,I830=0,G830=""),"",G830/I830)</x:f>
        <x:v>0.018571428571428572</x:v>
      </x:c>
      <x:c r="M830" t="str">
        <x:f>IF(OR(J830=0,G830="",H830="",G830=0,H830=0),"",I830/(G830*H830))</x:f>
      </x:c>
      <x:c r="N830" t="n">
        <x:f>IF(K830="","",K830/_xlfn.MAXIFS($K:$K,$E:$E,E830))</x:f>
        <x:v>1</x:v>
      </x:c>
      <x:c r="O830" t="str">
        <x:f>IF(M830="","",M830/_xlfn.MAXIFS($M:$M,$E:$E,E830))</x:f>
      </x:c>
      <x:c r="P830" t="str">
        <x:f>IF(OR(N830="",O830=""),"",SQRT(N830*O830))</x:f>
      </x:c>
      <x:c r="Q830" t="str">
        <x:f>IF(OR(N830="",O830=""),"",N830^0.7*O830^0.3)</x:f>
      </x:c>
      <x:c r="R830" t="str">
        <x:f>IF(OR(N830="",O830=""),"",N830^0.3*O830^0.7)</x:f>
      </x:c>
    </x:row>
    <x:row r="831" s="14" customFormat="1">
      <x:c r="A831" t="inlineStr">
        <x:is>
          <x:t xml:space="preserve">xiaomi|mimo-v2-6-pro|reasoning|yes|fallback-na|aa-v4.3.2|snapshot-2026-10-12</x:t>
        </x:is>
      </x:c>
      <x:c r="B831" t="inlineStr">
        <x:is>
          <x:t xml:space="preserve">xiaomi|mimo-v2-6-pro|reasoning|yes|fallback-na</x:t>
        </x:is>
      </x:c>
      <x:c r="C831" t="inlineStr">
        <x:is>
          <x:t xml:space="preserve">AA|v4.3.2</x:t>
        </x:is>
      </x:c>
      <x:c r="D831" t="n">
        <x:v>105</x:v>
      </x:c>
      <x:c r="E831" t="n">
        <x:v>45</x:v>
      </x:c>
      <x:c r="F831" t="n">
        <x:f>INDEX(Run_Metrics!$F:$F,D831)</x:f>
        <x:v>46</x:v>
      </x:c>
      <x:c r="G831" t="n">
        <x:f>INDEX(Run_Metrics!$G:$G,D831)</x:f>
        <x:v>0.13</x:v>
      </x:c>
      <x:c r="H831" t="str">
        <x:f>INDEX(Run_Metrics!$I:$I,D831)</x:f>
      </x:c>
      <x:c r="I831" t="n">
        <x:f>IF(F831="","",F831-(E831-1))</x:f>
        <x:v>2</x:v>
      </x:c>
      <x:c r="J831" t="n">
        <x:f>IF(I831&gt;0,1,0)</x:f>
        <x:v>1</x:v>
      </x:c>
      <x:c r="K831" t="n">
        <x:f>IF(OR(J831=0,G831="",G831=0),"",I831/G831)</x:f>
        <x:v>15.384615384615383</x:v>
      </x:c>
      <x:c r="L831" t="n">
        <x:f>IF(OR(J831=0,I831=0,G831=""),"",G831/I831)</x:f>
        <x:v>0.065</x:v>
      </x:c>
      <x:c r="M831" t="str">
        <x:f>IF(OR(J831=0,G831="",H831="",G831=0,H831=0),"",I831/(G831*H831))</x:f>
      </x:c>
      <x:c r="N831" t="n">
        <x:f>IF(K831="","",K831/_xlfn.MAXIFS($K:$K,$E:$E,E831))</x:f>
        <x:v>0.8076923076923076</x:v>
      </x:c>
      <x:c r="O831" t="str">
        <x:f>IF(M831="","",M831/_xlfn.MAXIFS($M:$M,$E:$E,E831))</x:f>
      </x:c>
      <x:c r="P831" t="str">
        <x:f>IF(OR(N831="",O831=""),"",SQRT(N831*O831))</x:f>
      </x:c>
      <x:c r="Q831" t="str">
        <x:f>IF(OR(N831="",O831=""),"",N831^0.7*O831^0.3)</x:f>
      </x:c>
      <x:c r="R831" t="str">
        <x:f>IF(OR(N831="",O831=""),"",N831^0.3*O831^0.7)</x:f>
      </x:c>
    </x:row>
    <x:row r="832" s="14" customFormat="1">
      <x:c r="A832" t="inlineStr">
        <x:is>
          <x:t xml:space="preserve">xiaomi|mimo-v2-6-pro|reasoning|yes|fallback-na|aa-v4.3.2|snapshot-2026-10-12</x:t>
        </x:is>
      </x:c>
      <x:c r="B832" t="inlineStr">
        <x:is>
          <x:t xml:space="preserve">xiaomi|mimo-v2-6-pro|reasoning|yes|fallback-na</x:t>
        </x:is>
      </x:c>
      <x:c r="C832" t="inlineStr">
        <x:is>
          <x:t xml:space="preserve">AA|v4.3.2</x:t>
        </x:is>
      </x:c>
      <x:c r="D832" t="n">
        <x:v>105</x:v>
      </x:c>
      <x:c r="E832" t="n">
        <x:v>50</x:v>
      </x:c>
      <x:c r="F832" t="n">
        <x:f>INDEX(Run_Metrics!$F:$F,D832)</x:f>
        <x:v>46</x:v>
      </x:c>
      <x:c r="G832" t="n">
        <x:f>INDEX(Run_Metrics!$G:$G,D832)</x:f>
        <x:v>0.13</x:v>
      </x:c>
      <x:c r="H832" t="str">
        <x:f>INDEX(Run_Metrics!$I:$I,D832)</x:f>
      </x:c>
      <x:c r="I832" t="n">
        <x:f>IF(F832="","",F832-(E832-1))</x:f>
        <x:v>-3</x:v>
      </x:c>
      <x:c r="J832" t="n">
        <x:f>IF(I832&gt;0,1,0)</x:f>
        <x:v>0</x:v>
      </x:c>
      <x:c r="K832" t="str">
        <x:f>IF(OR(J832=0,G832="",G832=0),"",I832/G832)</x:f>
      </x:c>
      <x:c r="L832" t="str">
        <x:f>IF(OR(J832=0,I832=0,G832=""),"",G832/I832)</x:f>
      </x:c>
      <x:c r="M832" t="str">
        <x:f>IF(OR(J832=0,G832="",H832="",G832=0,H832=0),"",I832/(G832*H832))</x:f>
      </x:c>
      <x:c r="N832" t="str">
        <x:f>IF(K832="","",K832/_xlfn.MAXIFS($K:$K,$E:$E,E832))</x:f>
      </x:c>
      <x:c r="O832" t="str">
        <x:f>IF(M832="","",M832/_xlfn.MAXIFS($M:$M,$E:$E,E832))</x:f>
      </x:c>
      <x:c r="P832" t="str">
        <x:f>IF(OR(N832="",O832=""),"",SQRT(N832*O832))</x:f>
      </x:c>
      <x:c r="Q832" t="str">
        <x:f>IF(OR(N832="",O832=""),"",N832^0.7*O832^0.3)</x:f>
      </x:c>
      <x:c r="R832" t="str">
        <x:f>IF(OR(N832="",O832=""),"",N832^0.3*O832^0.7)</x:f>
      </x:c>
    </x:row>
    <x:row r="833" s="14" customFormat="1">
      <x:c r="A833" t="inlineStr">
        <x:is>
          <x:t xml:space="preserve">xiaomi|mimo-v2-6-pro|reasoning|yes|fallback-na|aa-v4.3.2|snapshot-2026-10-12</x:t>
        </x:is>
      </x:c>
      <x:c r="B833" t="inlineStr">
        <x:is>
          <x:t xml:space="preserve">xiaomi|mimo-v2-6-pro|reasoning|yes|fallback-na</x:t>
        </x:is>
      </x:c>
      <x:c r="C833" t="inlineStr">
        <x:is>
          <x:t xml:space="preserve">AA|v4.3.2</x:t>
        </x:is>
      </x:c>
      <x:c r="D833" t="n">
        <x:v>105</x:v>
      </x:c>
      <x:c r="E833" t="n">
        <x:v>60</x:v>
      </x:c>
      <x:c r="F833" t="n">
        <x:f>INDEX(Run_Metrics!$F:$F,D833)</x:f>
        <x:v>46</x:v>
      </x:c>
      <x:c r="G833" t="n">
        <x:f>INDEX(Run_Metrics!$G:$G,D833)</x:f>
        <x:v>0.13</x:v>
      </x:c>
      <x:c r="H833" t="str">
        <x:f>INDEX(Run_Metrics!$I:$I,D833)</x:f>
      </x:c>
      <x:c r="I833" t="n">
        <x:f>IF(F833="","",F833-(E833-1))</x:f>
        <x:v>-13</x:v>
      </x:c>
      <x:c r="J833" t="n">
        <x:f>IF(I833&gt;0,1,0)</x:f>
        <x:v>0</x:v>
      </x:c>
      <x:c r="K833" t="str">
        <x:f>IF(OR(J833=0,G833="",G833=0),"",I833/G833)</x:f>
      </x:c>
      <x:c r="L833" t="str">
        <x:f>IF(OR(J833=0,I833=0,G833=""),"",G833/I833)</x:f>
      </x:c>
      <x:c r="M833" t="str">
        <x:f>IF(OR(J833=0,G833="",H833="",G833=0,H833=0),"",I833/(G833*H833))</x:f>
      </x:c>
      <x:c r="N833" t="str">
        <x:f>IF(K833="","",K833/_xlfn.MAXIFS($K:$K,$E:$E,E833))</x:f>
      </x:c>
      <x:c r="O833" t="str">
        <x:f>IF(M833="","",M833/_xlfn.MAXIFS($M:$M,$E:$E,E833))</x:f>
      </x:c>
      <x:c r="P833" t="str">
        <x:f>IF(OR(N833="",O833=""),"",SQRT(N833*O833))</x:f>
      </x:c>
      <x:c r="Q833" t="str">
        <x:f>IF(OR(N833="",O833=""),"",N833^0.7*O833^0.3)</x:f>
      </x:c>
      <x:c r="R833" t="str">
        <x:f>IF(OR(N833="",O833=""),"",N833^0.3*O833^0.7)</x:f>
      </x:c>
    </x:row>
    <x:row r="834" s="14" customFormat="1">
      <x:c r="A834" t="inlineStr">
        <x:is>
          <x:t xml:space="preserve">xiaomi|mimo-v2.6-flash|reasoning|reasoning|fallback-na|aa-v4.3.2|snapshot-2026-10-12</x:t>
        </x:is>
      </x:c>
      <x:c r="B834" t="inlineStr">
        <x:is>
          <x:t xml:space="preserve">xiaomi|mimo-v2.6-flash|reasoning|reasoning|fallback-na</x:t>
        </x:is>
      </x:c>
      <x:c r="C834" t="inlineStr">
        <x:is>
          <x:t xml:space="preserve">AA|v4.3.2</x:t>
        </x:is>
      </x:c>
      <x:c r="D834" t="n">
        <x:v>106</x:v>
      </x:c>
      <x:c r="E834" t="n">
        <x:v>10</x:v>
      </x:c>
      <x:c r="F834" t="n">
        <x:f>INDEX(Run_Metrics!$F:$F,D834)</x:f>
        <x:v>38</x:v>
      </x:c>
      <x:c r="G834" t="n">
        <x:f>INDEX(Run_Metrics!$G:$G,D834)</x:f>
        <x:v>0.06</x:v>
      </x:c>
      <x:c r="H834" t="str">
        <x:f>INDEX(Run_Metrics!$I:$I,D834)</x:f>
      </x:c>
      <x:c r="I834" t="n">
        <x:f>IF(F834="","",F834-(E834-1))</x:f>
        <x:v>29</x:v>
      </x:c>
      <x:c r="J834" t="n">
        <x:f>IF(I834&gt;0,1,0)</x:f>
        <x:v>1</x:v>
      </x:c>
      <x:c r="K834" t="n">
        <x:f>IF(OR(J834=0,G834="",G834=0),"",I834/G834)</x:f>
        <x:v>483.33333333333337</x:v>
      </x:c>
      <x:c r="L834" t="n">
        <x:f>IF(OR(J834=0,I834=0,G834=""),"",G834/I834)</x:f>
        <x:v>0.0020689655172413794</x:v>
      </x:c>
      <x:c r="M834" t="str">
        <x:f>IF(OR(J834=0,G834="",H834="",G834=0,H834=0),"",I834/(G834*H834))</x:f>
      </x:c>
      <x:c r="N834" t="n">
        <x:f>IF(K834="","",K834/_xlfn.MAXIFS($K:$K,$E:$E,E834))</x:f>
        <x:v>0.1673076923076923</x:v>
      </x:c>
      <x:c r="O834" t="str">
        <x:f>IF(M834="","",M834/_xlfn.MAXIFS($M:$M,$E:$E,E834))</x:f>
      </x:c>
      <x:c r="P834" t="str">
        <x:f>IF(OR(N834="",O834=""),"",SQRT(N834*O834))</x:f>
      </x:c>
      <x:c r="Q834" t="str">
        <x:f>IF(OR(N834="",O834=""),"",N834^0.7*O834^0.3)</x:f>
      </x:c>
      <x:c r="R834" t="str">
        <x:f>IF(OR(N834="",O834=""),"",N834^0.3*O834^0.7)</x:f>
      </x:c>
    </x:row>
    <x:row r="835" s="14" customFormat="1">
      <x:c r="A835" t="inlineStr">
        <x:is>
          <x:t xml:space="preserve">xiaomi|mimo-v2.6-flash|reasoning|reasoning|fallback-na|aa-v4.3.2|snapshot-2026-10-12</x:t>
        </x:is>
      </x:c>
      <x:c r="B835" t="inlineStr">
        <x:is>
          <x:t xml:space="preserve">xiaomi|mimo-v2.6-flash|reasoning|reasoning|fallback-na</x:t>
        </x:is>
      </x:c>
      <x:c r="C835" t="inlineStr">
        <x:is>
          <x:t xml:space="preserve">AA|v4.3.2</x:t>
        </x:is>
      </x:c>
      <x:c r="D835" t="n">
        <x:v>106</x:v>
      </x:c>
      <x:c r="E835" t="n">
        <x:v>20</x:v>
      </x:c>
      <x:c r="F835" t="n">
        <x:f>INDEX(Run_Metrics!$F:$F,D835)</x:f>
        <x:v>38</x:v>
      </x:c>
      <x:c r="G835" t="n">
        <x:f>INDEX(Run_Metrics!$G:$G,D835)</x:f>
        <x:v>0.06</x:v>
      </x:c>
      <x:c r="H835" t="str">
        <x:f>INDEX(Run_Metrics!$I:$I,D835)</x:f>
      </x:c>
      <x:c r="I835" t="n">
        <x:f>IF(F835="","",F835-(E835-1))</x:f>
        <x:v>19</x:v>
      </x:c>
      <x:c r="J835" t="n">
        <x:f>IF(I835&gt;0,1,0)</x:f>
        <x:v>1</x:v>
      </x:c>
      <x:c r="K835" t="n">
        <x:f>IF(OR(J835=0,G835="",G835=0),"",I835/G835)</x:f>
        <x:v>316.6666666666667</x:v>
      </x:c>
      <x:c r="L835" t="n">
        <x:f>IF(OR(J835=0,I835=0,G835=""),"",G835/I835)</x:f>
        <x:v>0.003157894736842105</x:v>
      </x:c>
      <x:c r="M835" t="str">
        <x:f>IF(OR(J835=0,G835="",H835="",G835=0,H835=0),"",I835/(G835*H835))</x:f>
      </x:c>
      <x:c r="N835" t="n">
        <x:f>IF(K835="","",K835/_xlfn.MAXIFS($K:$K,$E:$E,E835))</x:f>
        <x:v>0.475</x:v>
      </x:c>
      <x:c r="O835" t="str">
        <x:f>IF(M835="","",M835/_xlfn.MAXIFS($M:$M,$E:$E,E835))</x:f>
      </x:c>
      <x:c r="P835" t="str">
        <x:f>IF(OR(N835="",O835=""),"",SQRT(N835*O835))</x:f>
      </x:c>
      <x:c r="Q835" t="str">
        <x:f>IF(OR(N835="",O835=""),"",N835^0.7*O835^0.3)</x:f>
      </x:c>
      <x:c r="R835" t="str">
        <x:f>IF(OR(N835="",O835=""),"",N835^0.3*O835^0.7)</x:f>
      </x:c>
    </x:row>
    <x:row r="836" s="14" customFormat="1">
      <x:c r="A836" t="inlineStr">
        <x:is>
          <x:t xml:space="preserve">xiaomi|mimo-v2.6-flash|reasoning|reasoning|fallback-na|aa-v4.3.2|snapshot-2026-10-12</x:t>
        </x:is>
      </x:c>
      <x:c r="B836" t="inlineStr">
        <x:is>
          <x:t xml:space="preserve">xiaomi|mimo-v2.6-flash|reasoning|reasoning|fallback-na</x:t>
        </x:is>
      </x:c>
      <x:c r="C836" t="inlineStr">
        <x:is>
          <x:t xml:space="preserve">AA|v4.3.2</x:t>
        </x:is>
      </x:c>
      <x:c r="D836" t="n">
        <x:v>106</x:v>
      </x:c>
      <x:c r="E836" t="n">
        <x:v>30</x:v>
      </x:c>
      <x:c r="F836" t="n">
        <x:f>INDEX(Run_Metrics!$F:$F,D836)</x:f>
        <x:v>38</x:v>
      </x:c>
      <x:c r="G836" t="n">
        <x:f>INDEX(Run_Metrics!$G:$G,D836)</x:f>
        <x:v>0.06</x:v>
      </x:c>
      <x:c r="H836" t="str">
        <x:f>INDEX(Run_Metrics!$I:$I,D836)</x:f>
      </x:c>
      <x:c r="I836" t="n">
        <x:f>IF(F836="","",F836-(E836-1))</x:f>
        <x:v>9</x:v>
      </x:c>
      <x:c r="J836" t="n">
        <x:f>IF(I836&gt;0,1,0)</x:f>
        <x:v>1</x:v>
      </x:c>
      <x:c r="K836" t="n">
        <x:f>IF(OR(J836=0,G836="",G836=0),"",I836/G836)</x:f>
        <x:v>150</x:v>
      </x:c>
      <x:c r="L836" t="n">
        <x:f>IF(OR(J836=0,I836=0,G836=""),"",G836/I836)</x:f>
        <x:v>0.006666666666666666</x:v>
      </x:c>
      <x:c r="M836" t="str">
        <x:f>IF(OR(J836=0,G836="",H836="",G836=0,H836=0),"",I836/(G836*H836))</x:f>
      </x:c>
      <x:c r="N836" t="n">
        <x:f>IF(K836="","",K836/_xlfn.MAXIFS($K:$K,$E:$E,E836))</x:f>
        <x:v>1</x:v>
      </x:c>
      <x:c r="O836" t="str">
        <x:f>IF(M836="","",M836/_xlfn.MAXIFS($M:$M,$E:$E,E836))</x:f>
      </x:c>
      <x:c r="P836" t="str">
        <x:f>IF(OR(N836="",O836=""),"",SQRT(N836*O836))</x:f>
      </x:c>
      <x:c r="Q836" t="str">
        <x:f>IF(OR(N836="",O836=""),"",N836^0.7*O836^0.3)</x:f>
      </x:c>
      <x:c r="R836" t="str">
        <x:f>IF(OR(N836="",O836=""),"",N836^0.3*O836^0.7)</x:f>
      </x:c>
    </x:row>
    <x:row r="837" s="14" customFormat="1">
      <x:c r="A837" t="inlineStr">
        <x:is>
          <x:t xml:space="preserve">xiaomi|mimo-v2.6-flash|reasoning|reasoning|fallback-na|aa-v4.3.2|snapshot-2026-10-12</x:t>
        </x:is>
      </x:c>
      <x:c r="B837" t="inlineStr">
        <x:is>
          <x:t xml:space="preserve">xiaomi|mimo-v2.6-flash|reasoning|reasoning|fallback-na</x:t>
        </x:is>
      </x:c>
      <x:c r="C837" t="inlineStr">
        <x:is>
          <x:t xml:space="preserve">AA|v4.3.2</x:t>
        </x:is>
      </x:c>
      <x:c r="D837" t="n">
        <x:v>106</x:v>
      </x:c>
      <x:c r="E837" t="n">
        <x:v>35</x:v>
      </x:c>
      <x:c r="F837" t="n">
        <x:f>INDEX(Run_Metrics!$F:$F,D837)</x:f>
        <x:v>38</x:v>
      </x:c>
      <x:c r="G837" t="n">
        <x:f>INDEX(Run_Metrics!$G:$G,D837)</x:f>
        <x:v>0.06</x:v>
      </x:c>
      <x:c r="H837" t="str">
        <x:f>INDEX(Run_Metrics!$I:$I,D837)</x:f>
      </x:c>
      <x:c r="I837" t="n">
        <x:f>IF(F837="","",F837-(E837-1))</x:f>
        <x:v>4</x:v>
      </x:c>
      <x:c r="J837" t="n">
        <x:f>IF(I837&gt;0,1,0)</x:f>
        <x:v>1</x:v>
      </x:c>
      <x:c r="K837" t="n">
        <x:f>IF(OR(J837=0,G837="",G837=0),"",I837/G837)</x:f>
        <x:v>66.66666666666667</x:v>
      </x:c>
      <x:c r="L837" t="n">
        <x:f>IF(OR(J837=0,I837=0,G837=""),"",G837/I837)</x:f>
        <x:v>0.015</x:v>
      </x:c>
      <x:c r="M837" t="str">
        <x:f>IF(OR(J837=0,G837="",H837="",G837=0,H837=0),"",I837/(G837*H837))</x:f>
      </x:c>
      <x:c r="N837" t="n">
        <x:f>IF(K837="","",K837/_xlfn.MAXIFS($K:$K,$E:$E,E837))</x:f>
        <x:v>0.7222222222222223</x:v>
      </x:c>
      <x:c r="O837" t="str">
        <x:f>IF(M837="","",M837/_xlfn.MAXIFS($M:$M,$E:$E,E837))</x:f>
      </x:c>
      <x:c r="P837" t="str">
        <x:f>IF(OR(N837="",O837=""),"",SQRT(N837*O837))</x:f>
      </x:c>
      <x:c r="Q837" t="str">
        <x:f>IF(OR(N837="",O837=""),"",N837^0.7*O837^0.3)</x:f>
      </x:c>
      <x:c r="R837" t="str">
        <x:f>IF(OR(N837="",O837=""),"",N837^0.3*O837^0.7)</x:f>
      </x:c>
    </x:row>
    <x:row r="838" s="14" customFormat="1">
      <x:c r="A838" t="inlineStr">
        <x:is>
          <x:t xml:space="preserve">xiaomi|mimo-v2.6-flash|reasoning|reasoning|fallback-na|aa-v4.3.2|snapshot-2026-10-12</x:t>
        </x:is>
      </x:c>
      <x:c r="B838" t="inlineStr">
        <x:is>
          <x:t xml:space="preserve">xiaomi|mimo-v2.6-flash|reasoning|reasoning|fallback-na</x:t>
        </x:is>
      </x:c>
      <x:c r="C838" t="inlineStr">
        <x:is>
          <x:t xml:space="preserve">AA|v4.3.2</x:t>
        </x:is>
      </x:c>
      <x:c r="D838" t="n">
        <x:v>106</x:v>
      </x:c>
      <x:c r="E838" t="n">
        <x:v>40</x:v>
      </x:c>
      <x:c r="F838" t="n">
        <x:f>INDEX(Run_Metrics!$F:$F,D838)</x:f>
        <x:v>38</x:v>
      </x:c>
      <x:c r="G838" t="n">
        <x:f>INDEX(Run_Metrics!$G:$G,D838)</x:f>
        <x:v>0.06</x:v>
      </x:c>
      <x:c r="H838" t="str">
        <x:f>INDEX(Run_Metrics!$I:$I,D838)</x:f>
      </x:c>
      <x:c r="I838" t="n">
        <x:f>IF(F838="","",F838-(E838-1))</x:f>
        <x:v>-1</x:v>
      </x:c>
      <x:c r="J838" t="n">
        <x:f>IF(I838&gt;0,1,0)</x:f>
        <x:v>0</x:v>
      </x:c>
      <x:c r="K838" t="str">
        <x:f>IF(OR(J838=0,G838="",G838=0),"",I838/G838)</x:f>
      </x:c>
      <x:c r="L838" t="str">
        <x:f>IF(OR(J838=0,I838=0,G838=""),"",G838/I838)</x:f>
      </x:c>
      <x:c r="M838" t="str">
        <x:f>IF(OR(J838=0,G838="",H838="",G838=0,H838=0),"",I838/(G838*H838))</x:f>
      </x:c>
      <x:c r="N838" t="str">
        <x:f>IF(K838="","",K838/_xlfn.MAXIFS($K:$K,$E:$E,E838))</x:f>
      </x:c>
      <x:c r="O838" t="str">
        <x:f>IF(M838="","",M838/_xlfn.MAXIFS($M:$M,$E:$E,E838))</x:f>
      </x:c>
      <x:c r="P838" t="str">
        <x:f>IF(OR(N838="",O838=""),"",SQRT(N838*O838))</x:f>
      </x:c>
      <x:c r="Q838" t="str">
        <x:f>IF(OR(N838="",O838=""),"",N838^0.7*O838^0.3)</x:f>
      </x:c>
      <x:c r="R838" t="str">
        <x:f>IF(OR(N838="",O838=""),"",N838^0.3*O838^0.7)</x:f>
      </x:c>
    </x:row>
    <x:row r="839" s="14" customFormat="1">
      <x:c r="A839" t="inlineStr">
        <x:is>
          <x:t xml:space="preserve">xiaomi|mimo-v2.6-flash|reasoning|reasoning|fallback-na|aa-v4.3.2|snapshot-2026-10-12</x:t>
        </x:is>
      </x:c>
      <x:c r="B839" t="inlineStr">
        <x:is>
          <x:t xml:space="preserve">xiaomi|mimo-v2.6-flash|reasoning|reasoning|fallback-na</x:t>
        </x:is>
      </x:c>
      <x:c r="C839" t="inlineStr">
        <x:is>
          <x:t xml:space="preserve">AA|v4.3.2</x:t>
        </x:is>
      </x:c>
      <x:c r="D839" t="n">
        <x:v>106</x:v>
      </x:c>
      <x:c r="E839" t="n">
        <x:v>45</x:v>
      </x:c>
      <x:c r="F839" t="n">
        <x:f>INDEX(Run_Metrics!$F:$F,D839)</x:f>
        <x:v>38</x:v>
      </x:c>
      <x:c r="G839" t="n">
        <x:f>INDEX(Run_Metrics!$G:$G,D839)</x:f>
        <x:v>0.06</x:v>
      </x:c>
      <x:c r="H839" t="str">
        <x:f>INDEX(Run_Metrics!$I:$I,D839)</x:f>
      </x:c>
      <x:c r="I839" t="n">
        <x:f>IF(F839="","",F839-(E839-1))</x:f>
        <x:v>-6</x:v>
      </x:c>
      <x:c r="J839" t="n">
        <x:f>IF(I839&gt;0,1,0)</x:f>
        <x:v>0</x:v>
      </x:c>
      <x:c r="K839" t="str">
        <x:f>IF(OR(J839=0,G839="",G839=0),"",I839/G839)</x:f>
      </x:c>
      <x:c r="L839" t="str">
        <x:f>IF(OR(J839=0,I839=0,G839=""),"",G839/I839)</x:f>
      </x:c>
      <x:c r="M839" t="str">
        <x:f>IF(OR(J839=0,G839="",H839="",G839=0,H839=0),"",I839/(G839*H839))</x:f>
      </x:c>
      <x:c r="N839" t="str">
        <x:f>IF(K839="","",K839/_xlfn.MAXIFS($K:$K,$E:$E,E839))</x:f>
      </x:c>
      <x:c r="O839" t="str">
        <x:f>IF(M839="","",M839/_xlfn.MAXIFS($M:$M,$E:$E,E839))</x:f>
      </x:c>
      <x:c r="P839" t="str">
        <x:f>IF(OR(N839="",O839=""),"",SQRT(N839*O839))</x:f>
      </x:c>
      <x:c r="Q839" t="str">
        <x:f>IF(OR(N839="",O839=""),"",N839^0.7*O839^0.3)</x:f>
      </x:c>
      <x:c r="R839" t="str">
        <x:f>IF(OR(N839="",O839=""),"",N839^0.3*O839^0.7)</x:f>
      </x:c>
    </x:row>
    <x:row r="840" s="14" customFormat="1">
      <x:c r="A840" t="inlineStr">
        <x:is>
          <x:t xml:space="preserve">xiaomi|mimo-v2.6-flash|reasoning|reasoning|fallback-na|aa-v4.3.2|snapshot-2026-10-12</x:t>
        </x:is>
      </x:c>
      <x:c r="B840" t="inlineStr">
        <x:is>
          <x:t xml:space="preserve">xiaomi|mimo-v2.6-flash|reasoning|reasoning|fallback-na</x:t>
        </x:is>
      </x:c>
      <x:c r="C840" t="inlineStr">
        <x:is>
          <x:t xml:space="preserve">AA|v4.3.2</x:t>
        </x:is>
      </x:c>
      <x:c r="D840" t="n">
        <x:v>106</x:v>
      </x:c>
      <x:c r="E840" t="n">
        <x:v>50</x:v>
      </x:c>
      <x:c r="F840" t="n">
        <x:f>INDEX(Run_Metrics!$F:$F,D840)</x:f>
        <x:v>38</x:v>
      </x:c>
      <x:c r="G840" t="n">
        <x:f>INDEX(Run_Metrics!$G:$G,D840)</x:f>
        <x:v>0.06</x:v>
      </x:c>
      <x:c r="H840" t="str">
        <x:f>INDEX(Run_Metrics!$I:$I,D840)</x:f>
      </x:c>
      <x:c r="I840" t="n">
        <x:f>IF(F840="","",F840-(E840-1))</x:f>
        <x:v>-11</x:v>
      </x:c>
      <x:c r="J840" t="n">
        <x:f>IF(I840&gt;0,1,0)</x:f>
        <x:v>0</x:v>
      </x:c>
      <x:c r="K840" t="str">
        <x:f>IF(OR(J840=0,G840="",G840=0),"",I840/G840)</x:f>
      </x:c>
      <x:c r="L840" t="str">
        <x:f>IF(OR(J840=0,I840=0,G840=""),"",G840/I840)</x:f>
      </x:c>
      <x:c r="M840" t="str">
        <x:f>IF(OR(J840=0,G840="",H840="",G840=0,H840=0),"",I840/(G840*H840))</x:f>
      </x:c>
      <x:c r="N840" t="str">
        <x:f>IF(K840="","",K840/_xlfn.MAXIFS($K:$K,$E:$E,E840))</x:f>
      </x:c>
      <x:c r="O840" t="str">
        <x:f>IF(M840="","",M840/_xlfn.MAXIFS($M:$M,$E:$E,E840))</x:f>
      </x:c>
      <x:c r="P840" t="str">
        <x:f>IF(OR(N840="",O840=""),"",SQRT(N840*O840))</x:f>
      </x:c>
      <x:c r="Q840" t="str">
        <x:f>IF(OR(N840="",O840=""),"",N840^0.7*O840^0.3)</x:f>
      </x:c>
      <x:c r="R840" t="str">
        <x:f>IF(OR(N840="",O840=""),"",N840^0.3*O840^0.7)</x:f>
      </x:c>
    </x:row>
    <x:row r="841" s="14" customFormat="1">
      <x:c r="A841" t="inlineStr">
        <x:is>
          <x:t xml:space="preserve">xiaomi|mimo-v2.6-flash|reasoning|reasoning|fallback-na|aa-v4.3.2|snapshot-2026-10-12</x:t>
        </x:is>
      </x:c>
      <x:c r="B841" t="inlineStr">
        <x:is>
          <x:t xml:space="preserve">xiaomi|mimo-v2.6-flash|reasoning|reasoning|fallback-na</x:t>
        </x:is>
      </x:c>
      <x:c r="C841" t="inlineStr">
        <x:is>
          <x:t xml:space="preserve">AA|v4.3.2</x:t>
        </x:is>
      </x:c>
      <x:c r="D841" t="n">
        <x:v>106</x:v>
      </x:c>
      <x:c r="E841" t="n">
        <x:v>60</x:v>
      </x:c>
      <x:c r="F841" t="n">
        <x:f>INDEX(Run_Metrics!$F:$F,D841)</x:f>
        <x:v>38</x:v>
      </x:c>
      <x:c r="G841" t="n">
        <x:f>INDEX(Run_Metrics!$G:$G,D841)</x:f>
        <x:v>0.06</x:v>
      </x:c>
      <x:c r="H841" t="str">
        <x:f>INDEX(Run_Metrics!$I:$I,D841)</x:f>
      </x:c>
      <x:c r="I841" t="n">
        <x:f>IF(F841="","",F841-(E841-1))</x:f>
        <x:v>-21</x:v>
      </x:c>
      <x:c r="J841" t="n">
        <x:f>IF(I841&gt;0,1,0)</x:f>
        <x:v>0</x:v>
      </x:c>
      <x:c r="K841" t="str">
        <x:f>IF(OR(J841=0,G841="",G841=0),"",I841/G841)</x:f>
      </x:c>
      <x:c r="L841" t="str">
        <x:f>IF(OR(J841=0,I841=0,G841=""),"",G841/I841)</x:f>
      </x:c>
      <x:c r="M841" t="str">
        <x:f>IF(OR(J841=0,G841="",H841="",G841=0,H841=0),"",I841/(G841*H841))</x:f>
      </x:c>
      <x:c r="N841" t="str">
        <x:f>IF(K841="","",K841/_xlfn.MAXIFS($K:$K,$E:$E,E841))</x:f>
      </x:c>
      <x:c r="O841" t="str">
        <x:f>IF(M841="","",M841/_xlfn.MAXIFS($M:$M,$E:$E,E841))</x:f>
      </x:c>
      <x:c r="P841" t="str">
        <x:f>IF(OR(N841="",O841=""),"",SQRT(N841*O841))</x:f>
      </x:c>
      <x:c r="Q841" t="str">
        <x:f>IF(OR(N841="",O841=""),"",N841^0.7*O841^0.3)</x:f>
      </x:c>
      <x:c r="R841" t="str">
        <x:f>IF(OR(N841="",O841=""),"",N841^0.3*O841^0.7)</x:f>
      </x:c>
    </x:row>
    <x:row r="842" s="14" customFormat="1">
      <x:c r="A842" t="inlineStr">
        <x:is>
          <x:t xml:space="preserve">meta|muse-wonder|max|reasoning|fallback-na|aa-v4.3.2|snapshot-2026-10-16</x:t>
        </x:is>
      </x:c>
      <x:c r="B842" t="inlineStr">
        <x:is>
          <x:t xml:space="preserve">meta|muse-wonder|max|reasoning|fallback-na</x:t>
        </x:is>
      </x:c>
      <x:c r="C842" t="inlineStr">
        <x:is>
          <x:t xml:space="preserve">AA|v4.3.2</x:t>
        </x:is>
      </x:c>
      <x:c r="D842" t="n">
        <x:v>107</x:v>
      </x:c>
      <x:c r="E842" t="n">
        <x:v>10</x:v>
      </x:c>
      <x:c r="F842" t="n">
        <x:f>INDEX(Run_Metrics!$F:$F,D842)</x:f>
        <x:v>52</x:v>
      </x:c>
      <x:c r="G842" t="n">
        <x:f>INDEX(Run_Metrics!$G:$G,D842)</x:f>
        <x:v>4.52</x:v>
      </x:c>
      <x:c r="H842" t="str">
        <x:f>INDEX(Run_Metrics!$I:$I,D842)</x:f>
      </x:c>
      <x:c r="I842" t="n">
        <x:f>IF(F842="","",F842-(E842-1))</x:f>
        <x:v>43</x:v>
      </x:c>
      <x:c r="J842" t="n">
        <x:f>IF(I842&gt;0,1,0)</x:f>
        <x:v>1</x:v>
      </x:c>
      <x:c r="K842" t="n">
        <x:f>IF(OR(J842=0,G842="",G842=0),"",I842/G842)</x:f>
        <x:v>9.513274336283187</x:v>
      </x:c>
      <x:c r="L842" t="n">
        <x:f>IF(OR(J842=0,I842=0,G842=""),"",G842/I842)</x:f>
        <x:v>0.10511627906976743</x:v>
      </x:c>
      <x:c r="M842" t="str">
        <x:f>IF(OR(J842=0,G842="",H842="",G842=0,H842=0),"",I842/(G842*H842))</x:f>
      </x:c>
      <x:c r="N842" t="n">
        <x:f>IF(K842="","",K842/_xlfn.MAXIFS($K:$K,$E:$E,E842))</x:f>
        <x:v>0.003293056501021103</x:v>
      </x:c>
      <x:c r="O842" t="str">
        <x:f>IF(M842="","",M842/_xlfn.MAXIFS($M:$M,$E:$E,E842))</x:f>
      </x:c>
      <x:c r="P842" t="str">
        <x:f>IF(OR(N842="",O842=""),"",SQRT(N842*O842))</x:f>
      </x:c>
      <x:c r="Q842" t="str">
        <x:f>IF(OR(N842="",O842=""),"",N842^0.7*O842^0.3)</x:f>
      </x:c>
      <x:c r="R842" t="str">
        <x:f>IF(OR(N842="",O842=""),"",N842^0.3*O842^0.7)</x:f>
      </x:c>
    </x:row>
    <x:row r="843" s="14" customFormat="1">
      <x:c r="A843" t="inlineStr">
        <x:is>
          <x:t xml:space="preserve">meta|muse-wonder|max|reasoning|fallback-na|aa-v4.3.2|snapshot-2026-10-16</x:t>
        </x:is>
      </x:c>
      <x:c r="B843" t="inlineStr">
        <x:is>
          <x:t xml:space="preserve">meta|muse-wonder|max|reasoning|fallback-na</x:t>
        </x:is>
      </x:c>
      <x:c r="C843" t="inlineStr">
        <x:is>
          <x:t xml:space="preserve">AA|v4.3.2</x:t>
        </x:is>
      </x:c>
      <x:c r="D843" t="n">
        <x:v>107</x:v>
      </x:c>
      <x:c r="E843" t="n">
        <x:v>20</x:v>
      </x:c>
      <x:c r="F843" t="n">
        <x:f>INDEX(Run_Metrics!$F:$F,D843)</x:f>
        <x:v>52</x:v>
      </x:c>
      <x:c r="G843" t="n">
        <x:f>INDEX(Run_Metrics!$G:$G,D843)</x:f>
        <x:v>4.52</x:v>
      </x:c>
      <x:c r="H843" t="str">
        <x:f>INDEX(Run_Metrics!$I:$I,D843)</x:f>
      </x:c>
      <x:c r="I843" t="n">
        <x:f>IF(F843="","",F843-(E843-1))</x:f>
        <x:v>33</x:v>
      </x:c>
      <x:c r="J843" t="n">
        <x:f>IF(I843&gt;0,1,0)</x:f>
        <x:v>1</x:v>
      </x:c>
      <x:c r="K843" t="n">
        <x:f>IF(OR(J843=0,G843="",G843=0),"",I843/G843)</x:f>
        <x:v>7.300884955752213</x:v>
      </x:c>
      <x:c r="L843" t="n">
        <x:f>IF(OR(J843=0,I843=0,G843=""),"",G843/I843)</x:f>
        <x:v>0.13696969696969696</x:v>
      </x:c>
      <x:c r="M843" t="str">
        <x:f>IF(OR(J843=0,G843="",H843="",G843=0,H843=0),"",I843/(G843*H843))</x:f>
      </x:c>
      <x:c r="N843" t="n">
        <x:f>IF(K843="","",K843/_xlfn.MAXIFS($K:$K,$E:$E,E843))</x:f>
        <x:v>0.01095132743362832</x:v>
      </x:c>
      <x:c r="O843" t="str">
        <x:f>IF(M843="","",M843/_xlfn.MAXIFS($M:$M,$E:$E,E843))</x:f>
      </x:c>
      <x:c r="P843" t="str">
        <x:f>IF(OR(N843="",O843=""),"",SQRT(N843*O843))</x:f>
      </x:c>
      <x:c r="Q843" t="str">
        <x:f>IF(OR(N843="",O843=""),"",N843^0.7*O843^0.3)</x:f>
      </x:c>
      <x:c r="R843" t="str">
        <x:f>IF(OR(N843="",O843=""),"",N843^0.3*O843^0.7)</x:f>
      </x:c>
    </x:row>
    <x:row r="844" s="14" customFormat="1">
      <x:c r="A844" t="inlineStr">
        <x:is>
          <x:t xml:space="preserve">meta|muse-wonder|max|reasoning|fallback-na|aa-v4.3.2|snapshot-2026-10-16</x:t>
        </x:is>
      </x:c>
      <x:c r="B844" t="inlineStr">
        <x:is>
          <x:t xml:space="preserve">meta|muse-wonder|max|reasoning|fallback-na</x:t>
        </x:is>
      </x:c>
      <x:c r="C844" t="inlineStr">
        <x:is>
          <x:t xml:space="preserve">AA|v4.3.2</x:t>
        </x:is>
      </x:c>
      <x:c r="D844" t="n">
        <x:v>107</x:v>
      </x:c>
      <x:c r="E844" t="n">
        <x:v>30</x:v>
      </x:c>
      <x:c r="F844" t="n">
        <x:f>INDEX(Run_Metrics!$F:$F,D844)</x:f>
        <x:v>52</x:v>
      </x:c>
      <x:c r="G844" t="n">
        <x:f>INDEX(Run_Metrics!$G:$G,D844)</x:f>
        <x:v>4.52</x:v>
      </x:c>
      <x:c r="H844" t="str">
        <x:f>INDEX(Run_Metrics!$I:$I,D844)</x:f>
      </x:c>
      <x:c r="I844" t="n">
        <x:f>IF(F844="","",F844-(E844-1))</x:f>
        <x:v>23</x:v>
      </x:c>
      <x:c r="J844" t="n">
        <x:f>IF(I844&gt;0,1,0)</x:f>
        <x:v>1</x:v>
      </x:c>
      <x:c r="K844" t="n">
        <x:f>IF(OR(J844=0,G844="",G844=0),"",I844/G844)</x:f>
        <x:v>5.0884955752212395</x:v>
      </x:c>
      <x:c r="L844" t="n">
        <x:f>IF(OR(J844=0,I844=0,G844=""),"",G844/I844)</x:f>
        <x:v>0.19652173913043477</x:v>
      </x:c>
      <x:c r="M844" t="str">
        <x:f>IF(OR(J844=0,G844="",H844="",G844=0,H844=0),"",I844/(G844*H844))</x:f>
      </x:c>
      <x:c r="N844" t="n">
        <x:f>IF(K844="","",K844/_xlfn.MAXIFS($K:$K,$E:$E,E844))</x:f>
        <x:v>0.033923303834808266</x:v>
      </x:c>
      <x:c r="O844" t="str">
        <x:f>IF(M844="","",M844/_xlfn.MAXIFS($M:$M,$E:$E,E844))</x:f>
      </x:c>
      <x:c r="P844" t="str">
        <x:f>IF(OR(N844="",O844=""),"",SQRT(N844*O844))</x:f>
      </x:c>
      <x:c r="Q844" t="str">
        <x:f>IF(OR(N844="",O844=""),"",N844^0.7*O844^0.3)</x:f>
      </x:c>
      <x:c r="R844" t="str">
        <x:f>IF(OR(N844="",O844=""),"",N844^0.3*O844^0.7)</x:f>
      </x:c>
    </x:row>
    <x:row r="845" s="14" customFormat="1">
      <x:c r="A845" t="inlineStr">
        <x:is>
          <x:t xml:space="preserve">meta|muse-wonder|max|reasoning|fallback-na|aa-v4.3.2|snapshot-2026-10-16</x:t>
        </x:is>
      </x:c>
      <x:c r="B845" t="inlineStr">
        <x:is>
          <x:t xml:space="preserve">meta|muse-wonder|max|reasoning|fallback-na</x:t>
        </x:is>
      </x:c>
      <x:c r="C845" t="inlineStr">
        <x:is>
          <x:t xml:space="preserve">AA|v4.3.2</x:t>
        </x:is>
      </x:c>
      <x:c r="D845" t="n">
        <x:v>107</x:v>
      </x:c>
      <x:c r="E845" t="n">
        <x:v>35</x:v>
      </x:c>
      <x:c r="F845" t="n">
        <x:f>INDEX(Run_Metrics!$F:$F,D845)</x:f>
        <x:v>52</x:v>
      </x:c>
      <x:c r="G845" t="n">
        <x:f>INDEX(Run_Metrics!$G:$G,D845)</x:f>
        <x:v>4.52</x:v>
      </x:c>
      <x:c r="H845" t="str">
        <x:f>INDEX(Run_Metrics!$I:$I,D845)</x:f>
      </x:c>
      <x:c r="I845" t="n">
        <x:f>IF(F845="","",F845-(E845-1))</x:f>
        <x:v>18</x:v>
      </x:c>
      <x:c r="J845" t="n">
        <x:f>IF(I845&gt;0,1,0)</x:f>
        <x:v>1</x:v>
      </x:c>
      <x:c r="K845" t="n">
        <x:f>IF(OR(J845=0,G845="",G845=0),"",I845/G845)</x:f>
        <x:v>3.9823008849557526</x:v>
      </x:c>
      <x:c r="L845" t="n">
        <x:f>IF(OR(J845=0,I845=0,G845=""),"",G845/I845)</x:f>
        <x:v>0.25111111111111106</x:v>
      </x:c>
      <x:c r="M845" t="str">
        <x:f>IF(OR(J845=0,G845="",H845="",G845=0,H845=0),"",I845/(G845*H845))</x:f>
      </x:c>
      <x:c r="N845" t="n">
        <x:f>IF(K845="","",K845/_xlfn.MAXIFS($K:$K,$E:$E,E845))</x:f>
        <x:v>0.04314159292035399</x:v>
      </x:c>
      <x:c r="O845" t="str">
        <x:f>IF(M845="","",M845/_xlfn.MAXIFS($M:$M,$E:$E,E845))</x:f>
      </x:c>
      <x:c r="P845" t="str">
        <x:f>IF(OR(N845="",O845=""),"",SQRT(N845*O845))</x:f>
      </x:c>
      <x:c r="Q845" t="str">
        <x:f>IF(OR(N845="",O845=""),"",N845^0.7*O845^0.3)</x:f>
      </x:c>
      <x:c r="R845" t="str">
        <x:f>IF(OR(N845="",O845=""),"",N845^0.3*O845^0.7)</x:f>
      </x:c>
    </x:row>
    <x:row r="846" s="14" customFormat="1">
      <x:c r="A846" t="inlineStr">
        <x:is>
          <x:t xml:space="preserve">meta|muse-wonder|max|reasoning|fallback-na|aa-v4.3.2|snapshot-2026-10-16</x:t>
        </x:is>
      </x:c>
      <x:c r="B846" t="inlineStr">
        <x:is>
          <x:t xml:space="preserve">meta|muse-wonder|max|reasoning|fallback-na</x:t>
        </x:is>
      </x:c>
      <x:c r="C846" t="inlineStr">
        <x:is>
          <x:t xml:space="preserve">AA|v4.3.2</x:t>
        </x:is>
      </x:c>
      <x:c r="D846" t="n">
        <x:v>107</x:v>
      </x:c>
      <x:c r="E846" t="n">
        <x:v>40</x:v>
      </x:c>
      <x:c r="F846" t="n">
        <x:f>INDEX(Run_Metrics!$F:$F,D846)</x:f>
        <x:v>52</x:v>
      </x:c>
      <x:c r="G846" t="n">
        <x:f>INDEX(Run_Metrics!$G:$G,D846)</x:f>
        <x:v>4.52</x:v>
      </x:c>
      <x:c r="H846" t="str">
        <x:f>INDEX(Run_Metrics!$I:$I,D846)</x:f>
      </x:c>
      <x:c r="I846" t="n">
        <x:f>IF(F846="","",F846-(E846-1))</x:f>
        <x:v>13</x:v>
      </x:c>
      <x:c r="J846" t="n">
        <x:f>IF(I846&gt;0,1,0)</x:f>
        <x:v>1</x:v>
      </x:c>
      <x:c r="K846" t="n">
        <x:f>IF(OR(J846=0,G846="",G846=0),"",I846/G846)</x:f>
        <x:v>2.8761061946902657</x:v>
      </x:c>
      <x:c r="L846" t="n">
        <x:f>IF(OR(J846=0,I846=0,G846=""),"",G846/I846)</x:f>
        <x:v>0.34769230769230763</x:v>
      </x:c>
      <x:c r="M846" t="str">
        <x:f>IF(OR(J846=0,G846="",H846="",G846=0,H846=0),"",I846/(G846*H846))</x:f>
      </x:c>
      <x:c r="N846" t="n">
        <x:f>IF(K846="","",K846/_xlfn.MAXIFS($K:$K,$E:$E,E846))</x:f>
        <x:v>0.05341340075853351</x:v>
      </x:c>
      <x:c r="O846" t="str">
        <x:f>IF(M846="","",M846/_xlfn.MAXIFS($M:$M,$E:$E,E846))</x:f>
      </x:c>
      <x:c r="P846" t="str">
        <x:f>IF(OR(N846="",O846=""),"",SQRT(N846*O846))</x:f>
      </x:c>
      <x:c r="Q846" t="str">
        <x:f>IF(OR(N846="",O846=""),"",N846^0.7*O846^0.3)</x:f>
      </x:c>
      <x:c r="R846" t="str">
        <x:f>IF(OR(N846="",O846=""),"",N846^0.3*O846^0.7)</x:f>
      </x:c>
    </x:row>
    <x:row r="847" s="14" customFormat="1">
      <x:c r="A847" t="inlineStr">
        <x:is>
          <x:t xml:space="preserve">meta|muse-wonder|max|reasoning|fallback-na|aa-v4.3.2|snapshot-2026-10-16</x:t>
        </x:is>
      </x:c>
      <x:c r="B847" t="inlineStr">
        <x:is>
          <x:t xml:space="preserve">meta|muse-wonder|max|reasoning|fallback-na</x:t>
        </x:is>
      </x:c>
      <x:c r="C847" t="inlineStr">
        <x:is>
          <x:t xml:space="preserve">AA|v4.3.2</x:t>
        </x:is>
      </x:c>
      <x:c r="D847" t="n">
        <x:v>107</x:v>
      </x:c>
      <x:c r="E847" t="n">
        <x:v>45</x:v>
      </x:c>
      <x:c r="F847" t="n">
        <x:f>INDEX(Run_Metrics!$F:$F,D847)</x:f>
        <x:v>52</x:v>
      </x:c>
      <x:c r="G847" t="n">
        <x:f>INDEX(Run_Metrics!$G:$G,D847)</x:f>
        <x:v>4.52</x:v>
      </x:c>
      <x:c r="H847" t="str">
        <x:f>INDEX(Run_Metrics!$I:$I,D847)</x:f>
      </x:c>
      <x:c r="I847" t="n">
        <x:f>IF(F847="","",F847-(E847-1))</x:f>
        <x:v>8</x:v>
      </x:c>
      <x:c r="J847" t="n">
        <x:f>IF(I847&gt;0,1,0)</x:f>
        <x:v>1</x:v>
      </x:c>
      <x:c r="K847" t="n">
        <x:f>IF(OR(J847=0,G847="",G847=0),"",I847/G847)</x:f>
        <x:v>1.7699115044247788</x:v>
      </x:c>
      <x:c r="L847" t="n">
        <x:f>IF(OR(J847=0,I847=0,G847=""),"",G847/I847)</x:f>
        <x:v>0.565</x:v>
      </x:c>
      <x:c r="M847" t="str">
        <x:f>IF(OR(J847=0,G847="",H847="",G847=0,H847=0),"",I847/(G847*H847))</x:f>
      </x:c>
      <x:c r="N847" t="n">
        <x:f>IF(K847="","",K847/_xlfn.MAXIFS($K:$K,$E:$E,E847))</x:f>
        <x:v>0.09292035398230089</x:v>
      </x:c>
      <x:c r="O847" t="str">
        <x:f>IF(M847="","",M847/_xlfn.MAXIFS($M:$M,$E:$E,E847))</x:f>
      </x:c>
      <x:c r="P847" t="str">
        <x:f>IF(OR(N847="",O847=""),"",SQRT(N847*O847))</x:f>
      </x:c>
      <x:c r="Q847" t="str">
        <x:f>IF(OR(N847="",O847=""),"",N847^0.7*O847^0.3)</x:f>
      </x:c>
      <x:c r="R847" t="str">
        <x:f>IF(OR(N847="",O847=""),"",N847^0.3*O847^0.7)</x:f>
      </x:c>
    </x:row>
    <x:row r="848" s="14" customFormat="1">
      <x:c r="A848" t="inlineStr">
        <x:is>
          <x:t xml:space="preserve">meta|muse-wonder|max|reasoning|fallback-na|aa-v4.3.2|snapshot-2026-10-16</x:t>
        </x:is>
      </x:c>
      <x:c r="B848" t="inlineStr">
        <x:is>
          <x:t xml:space="preserve">meta|muse-wonder|max|reasoning|fallback-na</x:t>
        </x:is>
      </x:c>
      <x:c r="C848" t="inlineStr">
        <x:is>
          <x:t xml:space="preserve">AA|v4.3.2</x:t>
        </x:is>
      </x:c>
      <x:c r="D848" t="n">
        <x:v>107</x:v>
      </x:c>
      <x:c r="E848" t="n">
        <x:v>50</x:v>
      </x:c>
      <x:c r="F848" t="n">
        <x:f>INDEX(Run_Metrics!$F:$F,D848)</x:f>
        <x:v>52</x:v>
      </x:c>
      <x:c r="G848" t="n">
        <x:f>INDEX(Run_Metrics!$G:$G,D848)</x:f>
        <x:v>4.52</x:v>
      </x:c>
      <x:c r="H848" t="str">
        <x:f>INDEX(Run_Metrics!$I:$I,D848)</x:f>
      </x:c>
      <x:c r="I848" t="n">
        <x:f>IF(F848="","",F848-(E848-1))</x:f>
        <x:v>3</x:v>
      </x:c>
      <x:c r="J848" t="n">
        <x:f>IF(I848&gt;0,1,0)</x:f>
        <x:v>1</x:v>
      </x:c>
      <x:c r="K848" t="n">
        <x:f>IF(OR(J848=0,G848="",G848=0),"",I848/G848)</x:f>
        <x:v>0.6637168141592921</x:v>
      </x:c>
      <x:c r="L848" t="n">
        <x:f>IF(OR(J848=0,I848=0,G848=""),"",G848/I848)</x:f>
        <x:v>1.5066666666666666</x:v>
      </x:c>
      <x:c r="M848" t="str">
        <x:f>IF(OR(J848=0,G848="",H848="",G848=0,H848=0),"",I848/(G848*H848))</x:f>
      </x:c>
      <x:c r="N848" t="n">
        <x:f>IF(K848="","",K848/_xlfn.MAXIFS($K:$K,$E:$E,E848))</x:f>
        <x:v>0.12942477876106195</x:v>
      </x:c>
      <x:c r="O848" t="str">
        <x:f>IF(M848="","",M848/_xlfn.MAXIFS($M:$M,$E:$E,E848))</x:f>
      </x:c>
      <x:c r="P848" t="str">
        <x:f>IF(OR(N848="",O848=""),"",SQRT(N848*O848))</x:f>
      </x:c>
      <x:c r="Q848" t="str">
        <x:f>IF(OR(N848="",O848=""),"",N848^0.7*O848^0.3)</x:f>
      </x:c>
      <x:c r="R848" t="str">
        <x:f>IF(OR(N848="",O848=""),"",N848^0.3*O848^0.7)</x:f>
      </x:c>
    </x:row>
    <x:row r="849" s="14" customFormat="1">
      <x:c r="A849" t="inlineStr">
        <x:is>
          <x:t xml:space="preserve">meta|muse-wonder|max|reasoning|fallback-na|aa-v4.3.2|snapshot-2026-10-16</x:t>
        </x:is>
      </x:c>
      <x:c r="B849" t="inlineStr">
        <x:is>
          <x:t xml:space="preserve">meta|muse-wonder|max|reasoning|fallback-na</x:t>
        </x:is>
      </x:c>
      <x:c r="C849" t="inlineStr">
        <x:is>
          <x:t xml:space="preserve">AA|v4.3.2</x:t>
        </x:is>
      </x:c>
      <x:c r="D849" t="n">
        <x:v>107</x:v>
      </x:c>
      <x:c r="E849" t="n">
        <x:v>60</x:v>
      </x:c>
      <x:c r="F849" t="n">
        <x:f>INDEX(Run_Metrics!$F:$F,D849)</x:f>
        <x:v>52</x:v>
      </x:c>
      <x:c r="G849" t="n">
        <x:f>INDEX(Run_Metrics!$G:$G,D849)</x:f>
        <x:v>4.52</x:v>
      </x:c>
      <x:c r="H849" t="str">
        <x:f>INDEX(Run_Metrics!$I:$I,D849)</x:f>
      </x:c>
      <x:c r="I849" t="n">
        <x:f>IF(F849="","",F849-(E849-1))</x:f>
        <x:v>-7</x:v>
      </x:c>
      <x:c r="J849" t="n">
        <x:f>IF(I849&gt;0,1,0)</x:f>
        <x:v>0</x:v>
      </x:c>
      <x:c r="K849" t="str">
        <x:f>IF(OR(J849=0,G849="",G849=0),"",I849/G849)</x:f>
      </x:c>
      <x:c r="L849" t="str">
        <x:f>IF(OR(J849=0,I849=0,G849=""),"",G849/I849)</x:f>
      </x:c>
      <x:c r="M849" t="str">
        <x:f>IF(OR(J849=0,G849="",H849="",G849=0,H849=0),"",I849/(G849*H849))</x:f>
      </x:c>
      <x:c r="N849" t="str">
        <x:f>IF(K849="","",K849/_xlfn.MAXIFS($K:$K,$E:$E,E849))</x:f>
      </x:c>
      <x:c r="O849" t="str">
        <x:f>IF(M849="","",M849/_xlfn.MAXIFS($M:$M,$E:$E,E849))</x:f>
      </x:c>
      <x:c r="P849" t="str">
        <x:f>IF(OR(N849="",O849=""),"",SQRT(N849*O849))</x:f>
      </x:c>
      <x:c r="Q849" t="str">
        <x:f>IF(OR(N849="",O849=""),"",N849^0.7*O849^0.3)</x:f>
      </x:c>
      <x:c r="R849" t="str">
        <x:f>IF(OR(N849="",O849=""),"",N849^0.3*O849^0.7)</x:f>
      </x:c>
    </x:row>
    <x:row r="850" s="14" customFormat="1">
      <x:c r="A850" t="inlineStr">
        <x:is>
          <x:t xml:space="preserve">openai|gpt-6-1-sol|xhigh|yes|fallback-na|aa-v4.3.2|snapshot-2026-10-16</x:t>
        </x:is>
      </x:c>
      <x:c r="B850" t="inlineStr">
        <x:is>
          <x:t xml:space="preserve">openai|gpt-6-1-sol|xhigh|yes|fallback-na</x:t>
        </x:is>
      </x:c>
      <x:c r="C850" t="inlineStr">
        <x:is>
          <x:t xml:space="preserve">AA|v4.3.2</x:t>
        </x:is>
      </x:c>
      <x:c r="D850" t="n">
        <x:v>108</x:v>
      </x:c>
      <x:c r="E850" t="n">
        <x:v>10</x:v>
      </x:c>
      <x:c r="F850" t="n">
        <x:f>INDEX(Run_Metrics!$F:$F,D850)</x:f>
        <x:v>51</x:v>
      </x:c>
      <x:c r="G850" t="n">
        <x:f>INDEX(Run_Metrics!$G:$G,D850)</x:f>
        <x:v>0.39</x:v>
      </x:c>
      <x:c r="H850" t="str">
        <x:f>INDEX(Run_Metrics!$I:$I,D850)</x:f>
      </x:c>
      <x:c r="I850" t="n">
        <x:f>IF(F850="","",F850-(E850-1))</x:f>
        <x:v>42</x:v>
      </x:c>
      <x:c r="J850" t="n">
        <x:f>IF(I850&gt;0,1,0)</x:f>
        <x:v>1</x:v>
      </x:c>
      <x:c r="K850" t="n">
        <x:f>IF(OR(J850=0,G850="",G850=0),"",I850/G850)</x:f>
        <x:v>107.6923076923077</x:v>
      </x:c>
      <x:c r="L850" t="n">
        <x:f>IF(OR(J850=0,I850=0,G850=""),"",G850/I850)</x:f>
        <x:v>0.009285714285714286</x:v>
      </x:c>
      <x:c r="M850" t="str">
        <x:f>IF(OR(J850=0,G850="",H850="",G850=0,H850=0),"",I850/(G850*H850))</x:f>
      </x:c>
      <x:c r="N850" t="n">
        <x:f>IF(K850="","",K850/_xlfn.MAXIFS($K:$K,$E:$E,E850))</x:f>
        <x:v>0.03727810650887574</x:v>
      </x:c>
      <x:c r="O850" t="str">
        <x:f>IF(M850="","",M850/_xlfn.MAXIFS($M:$M,$E:$E,E850))</x:f>
      </x:c>
      <x:c r="P850" t="str">
        <x:f>IF(OR(N850="",O850=""),"",SQRT(N850*O850))</x:f>
      </x:c>
      <x:c r="Q850" t="str">
        <x:f>IF(OR(N850="",O850=""),"",N850^0.7*O850^0.3)</x:f>
      </x:c>
      <x:c r="R850" t="str">
        <x:f>IF(OR(N850="",O850=""),"",N850^0.3*O850^0.7)</x:f>
      </x:c>
    </x:row>
    <x:row r="851" s="14" customFormat="1">
      <x:c r="A851" t="inlineStr">
        <x:is>
          <x:t xml:space="preserve">openai|gpt-6-1-sol|xhigh|yes|fallback-na|aa-v4.3.2|snapshot-2026-10-16</x:t>
        </x:is>
      </x:c>
      <x:c r="B851" t="inlineStr">
        <x:is>
          <x:t xml:space="preserve">openai|gpt-6-1-sol|xhigh|yes|fallback-na</x:t>
        </x:is>
      </x:c>
      <x:c r="C851" t="inlineStr">
        <x:is>
          <x:t xml:space="preserve">AA|v4.3.2</x:t>
        </x:is>
      </x:c>
      <x:c r="D851" t="n">
        <x:v>108</x:v>
      </x:c>
      <x:c r="E851" t="n">
        <x:v>20</x:v>
      </x:c>
      <x:c r="F851" t="n">
        <x:f>INDEX(Run_Metrics!$F:$F,D851)</x:f>
        <x:v>51</x:v>
      </x:c>
      <x:c r="G851" t="n">
        <x:f>INDEX(Run_Metrics!$G:$G,D851)</x:f>
        <x:v>0.39</x:v>
      </x:c>
      <x:c r="H851" t="str">
        <x:f>INDEX(Run_Metrics!$I:$I,D851)</x:f>
      </x:c>
      <x:c r="I851" t="n">
        <x:f>IF(F851="","",F851-(E851-1))</x:f>
        <x:v>32</x:v>
      </x:c>
      <x:c r="J851" t="n">
        <x:f>IF(I851&gt;0,1,0)</x:f>
        <x:v>1</x:v>
      </x:c>
      <x:c r="K851" t="n">
        <x:f>IF(OR(J851=0,G851="",G851=0),"",I851/G851)</x:f>
        <x:v>82.05128205128204</x:v>
      </x:c>
      <x:c r="L851" t="n">
        <x:f>IF(OR(J851=0,I851=0,G851=""),"",G851/I851)</x:f>
        <x:v>0.0121875</x:v>
      </x:c>
      <x:c r="M851" t="str">
        <x:f>IF(OR(J851=0,G851="",H851="",G851=0,H851=0),"",I851/(G851*H851))</x:f>
      </x:c>
      <x:c r="N851" t="n">
        <x:f>IF(K851="","",K851/_xlfn.MAXIFS($K:$K,$E:$E,E851))</x:f>
        <x:v>0.12307692307692306</x:v>
      </x:c>
      <x:c r="O851" t="str">
        <x:f>IF(M851="","",M851/_xlfn.MAXIFS($M:$M,$E:$E,E851))</x:f>
      </x:c>
      <x:c r="P851" t="str">
        <x:f>IF(OR(N851="",O851=""),"",SQRT(N851*O851))</x:f>
      </x:c>
      <x:c r="Q851" t="str">
        <x:f>IF(OR(N851="",O851=""),"",N851^0.7*O851^0.3)</x:f>
      </x:c>
      <x:c r="R851" t="str">
        <x:f>IF(OR(N851="",O851=""),"",N851^0.3*O851^0.7)</x:f>
      </x:c>
    </x:row>
    <x:row r="852" s="14" customFormat="1">
      <x:c r="A852" t="inlineStr">
        <x:is>
          <x:t xml:space="preserve">openai|gpt-6-1-sol|xhigh|yes|fallback-na|aa-v4.3.2|snapshot-2026-10-16</x:t>
        </x:is>
      </x:c>
      <x:c r="B852" t="inlineStr">
        <x:is>
          <x:t xml:space="preserve">openai|gpt-6-1-sol|xhigh|yes|fallback-na</x:t>
        </x:is>
      </x:c>
      <x:c r="C852" t="inlineStr">
        <x:is>
          <x:t xml:space="preserve">AA|v4.3.2</x:t>
        </x:is>
      </x:c>
      <x:c r="D852" t="n">
        <x:v>108</x:v>
      </x:c>
      <x:c r="E852" t="n">
        <x:v>30</x:v>
      </x:c>
      <x:c r="F852" t="n">
        <x:f>INDEX(Run_Metrics!$F:$F,D852)</x:f>
        <x:v>51</x:v>
      </x:c>
      <x:c r="G852" t="n">
        <x:f>INDEX(Run_Metrics!$G:$G,D852)</x:f>
        <x:v>0.39</x:v>
      </x:c>
      <x:c r="H852" t="str">
        <x:f>INDEX(Run_Metrics!$I:$I,D852)</x:f>
      </x:c>
      <x:c r="I852" t="n">
        <x:f>IF(F852="","",F852-(E852-1))</x:f>
        <x:v>22</x:v>
      </x:c>
      <x:c r="J852" t="n">
        <x:f>IF(I852&gt;0,1,0)</x:f>
        <x:v>1</x:v>
      </x:c>
      <x:c r="K852" t="n">
        <x:f>IF(OR(J852=0,G852="",G852=0),"",I852/G852)</x:f>
        <x:v>56.41025641025641</x:v>
      </x:c>
      <x:c r="L852" t="n">
        <x:f>IF(OR(J852=0,I852=0,G852=""),"",G852/I852)</x:f>
        <x:v>0.017727272727272727</x:v>
      </x:c>
      <x:c r="M852" t="str">
        <x:f>IF(OR(J852=0,G852="",H852="",G852=0,H852=0),"",I852/(G852*H852))</x:f>
      </x:c>
      <x:c r="N852" t="n">
        <x:f>IF(K852="","",K852/_xlfn.MAXIFS($K:$K,$E:$E,E852))</x:f>
        <x:v>0.37606837606837606</x:v>
      </x:c>
      <x:c r="O852" t="str">
        <x:f>IF(M852="","",M852/_xlfn.MAXIFS($M:$M,$E:$E,E852))</x:f>
      </x:c>
      <x:c r="P852" t="str">
        <x:f>IF(OR(N852="",O852=""),"",SQRT(N852*O852))</x:f>
      </x:c>
      <x:c r="Q852" t="str">
        <x:f>IF(OR(N852="",O852=""),"",N852^0.7*O852^0.3)</x:f>
      </x:c>
      <x:c r="R852" t="str">
        <x:f>IF(OR(N852="",O852=""),"",N852^0.3*O852^0.7)</x:f>
      </x:c>
    </x:row>
    <x:row r="853" s="14" customFormat="1">
      <x:c r="A853" t="inlineStr">
        <x:is>
          <x:t xml:space="preserve">openai|gpt-6-1-sol|xhigh|yes|fallback-na|aa-v4.3.2|snapshot-2026-10-16</x:t>
        </x:is>
      </x:c>
      <x:c r="B853" t="inlineStr">
        <x:is>
          <x:t xml:space="preserve">openai|gpt-6-1-sol|xhigh|yes|fallback-na</x:t>
        </x:is>
      </x:c>
      <x:c r="C853" t="inlineStr">
        <x:is>
          <x:t xml:space="preserve">AA|v4.3.2</x:t>
        </x:is>
      </x:c>
      <x:c r="D853" t="n">
        <x:v>108</x:v>
      </x:c>
      <x:c r="E853" t="n">
        <x:v>35</x:v>
      </x:c>
      <x:c r="F853" t="n">
        <x:f>INDEX(Run_Metrics!$F:$F,D853)</x:f>
        <x:v>51</x:v>
      </x:c>
      <x:c r="G853" t="n">
        <x:f>INDEX(Run_Metrics!$G:$G,D853)</x:f>
        <x:v>0.39</x:v>
      </x:c>
      <x:c r="H853" t="str">
        <x:f>INDEX(Run_Metrics!$I:$I,D853)</x:f>
      </x:c>
      <x:c r="I853" t="n">
        <x:f>IF(F853="","",F853-(E853-1))</x:f>
        <x:v>17</x:v>
      </x:c>
      <x:c r="J853" t="n">
        <x:f>IF(I853&gt;0,1,0)</x:f>
        <x:v>1</x:v>
      </x:c>
      <x:c r="K853" t="n">
        <x:f>IF(OR(J853=0,G853="",G853=0),"",I853/G853)</x:f>
        <x:v>43.58974358974359</x:v>
      </x:c>
      <x:c r="L853" t="n">
        <x:f>IF(OR(J853=0,I853=0,G853=""),"",G853/I853)</x:f>
        <x:v>0.022941176470588236</x:v>
      </x:c>
      <x:c r="M853" t="str">
        <x:f>IF(OR(J853=0,G853="",H853="",G853=0,H853=0),"",I853/(G853*H853))</x:f>
      </x:c>
      <x:c r="N853" t="n">
        <x:f>IF(K853="","",K853/_xlfn.MAXIFS($K:$K,$E:$E,E853))</x:f>
        <x:v>0.47222222222222227</x:v>
      </x:c>
      <x:c r="O853" t="str">
        <x:f>IF(M853="","",M853/_xlfn.MAXIFS($M:$M,$E:$E,E853))</x:f>
      </x:c>
      <x:c r="P853" t="str">
        <x:f>IF(OR(N853="",O853=""),"",SQRT(N853*O853))</x:f>
      </x:c>
      <x:c r="Q853" t="str">
        <x:f>IF(OR(N853="",O853=""),"",N853^0.7*O853^0.3)</x:f>
      </x:c>
      <x:c r="R853" t="str">
        <x:f>IF(OR(N853="",O853=""),"",N853^0.3*O853^0.7)</x:f>
      </x:c>
    </x:row>
    <x:row r="854" s="14" customFormat="1">
      <x:c r="A854" t="inlineStr">
        <x:is>
          <x:t xml:space="preserve">openai|gpt-6-1-sol|xhigh|yes|fallback-na|aa-v4.3.2|snapshot-2026-10-16</x:t>
        </x:is>
      </x:c>
      <x:c r="B854" t="inlineStr">
        <x:is>
          <x:t xml:space="preserve">openai|gpt-6-1-sol|xhigh|yes|fallback-na</x:t>
        </x:is>
      </x:c>
      <x:c r="C854" t="inlineStr">
        <x:is>
          <x:t xml:space="preserve">AA|v4.3.2</x:t>
        </x:is>
      </x:c>
      <x:c r="D854" t="n">
        <x:v>108</x:v>
      </x:c>
      <x:c r="E854" t="n">
        <x:v>40</x:v>
      </x:c>
      <x:c r="F854" t="n">
        <x:f>INDEX(Run_Metrics!$F:$F,D854)</x:f>
        <x:v>51</x:v>
      </x:c>
      <x:c r="G854" t="n">
        <x:f>INDEX(Run_Metrics!$G:$G,D854)</x:f>
        <x:v>0.39</x:v>
      </x:c>
      <x:c r="H854" t="str">
        <x:f>INDEX(Run_Metrics!$I:$I,D854)</x:f>
      </x:c>
      <x:c r="I854" t="n">
        <x:f>IF(F854="","",F854-(E854-1))</x:f>
        <x:v>12</x:v>
      </x:c>
      <x:c r="J854" t="n">
        <x:f>IF(I854&gt;0,1,0)</x:f>
        <x:v>1</x:v>
      </x:c>
      <x:c r="K854" t="n">
        <x:f>IF(OR(J854=0,G854="",G854=0),"",I854/G854)</x:f>
        <x:v>30.769230769230766</x:v>
      </x:c>
      <x:c r="L854" t="n">
        <x:f>IF(OR(J854=0,I854=0,G854=""),"",G854/I854)</x:f>
        <x:v>0.0325</x:v>
      </x:c>
      <x:c r="M854" t="str">
        <x:f>IF(OR(J854=0,G854="",H854="",G854=0,H854=0),"",I854/(G854*H854))</x:f>
      </x:c>
      <x:c r="N854" t="n">
        <x:f>IF(K854="","",K854/_xlfn.MAXIFS($K:$K,$E:$E,E854))</x:f>
        <x:v>0.5714285714285714</x:v>
      </x:c>
      <x:c r="O854" t="str">
        <x:f>IF(M854="","",M854/_xlfn.MAXIFS($M:$M,$E:$E,E854))</x:f>
      </x:c>
      <x:c r="P854" t="str">
        <x:f>IF(OR(N854="",O854=""),"",SQRT(N854*O854))</x:f>
      </x:c>
      <x:c r="Q854" t="str">
        <x:f>IF(OR(N854="",O854=""),"",N854^0.7*O854^0.3)</x:f>
      </x:c>
      <x:c r="R854" t="str">
        <x:f>IF(OR(N854="",O854=""),"",N854^0.3*O854^0.7)</x:f>
      </x:c>
    </x:row>
    <x:row r="855" s="14" customFormat="1">
      <x:c r="A855" t="inlineStr">
        <x:is>
          <x:t xml:space="preserve">openai|gpt-6-1-sol|xhigh|yes|fallback-na|aa-v4.3.2|snapshot-2026-10-16</x:t>
        </x:is>
      </x:c>
      <x:c r="B855" t="inlineStr">
        <x:is>
          <x:t xml:space="preserve">openai|gpt-6-1-sol|xhigh|yes|fallback-na</x:t>
        </x:is>
      </x:c>
      <x:c r="C855" t="inlineStr">
        <x:is>
          <x:t xml:space="preserve">AA|v4.3.2</x:t>
        </x:is>
      </x:c>
      <x:c r="D855" t="n">
        <x:v>108</x:v>
      </x:c>
      <x:c r="E855" t="n">
        <x:v>45</x:v>
      </x:c>
      <x:c r="F855" t="n">
        <x:f>INDEX(Run_Metrics!$F:$F,D855)</x:f>
        <x:v>51</x:v>
      </x:c>
      <x:c r="G855" t="n">
        <x:f>INDEX(Run_Metrics!$G:$G,D855)</x:f>
        <x:v>0.39</x:v>
      </x:c>
      <x:c r="H855" t="str">
        <x:f>INDEX(Run_Metrics!$I:$I,D855)</x:f>
      </x:c>
      <x:c r="I855" t="n">
        <x:f>IF(F855="","",F855-(E855-1))</x:f>
        <x:v>7</x:v>
      </x:c>
      <x:c r="J855" t="n">
        <x:f>IF(I855&gt;0,1,0)</x:f>
        <x:v>1</x:v>
      </x:c>
      <x:c r="K855" t="n">
        <x:f>IF(OR(J855=0,G855="",G855=0),"",I855/G855)</x:f>
        <x:v>17.94871794871795</x:v>
      </x:c>
      <x:c r="L855" t="n">
        <x:f>IF(OR(J855=0,I855=0,G855=""),"",G855/I855)</x:f>
        <x:v>0.055714285714285716</x:v>
      </x:c>
      <x:c r="M855" t="str">
        <x:f>IF(OR(J855=0,G855="",H855="",G855=0,H855=0),"",I855/(G855*H855))</x:f>
      </x:c>
      <x:c r="N855" t="n">
        <x:f>IF(K855="","",K855/_xlfn.MAXIFS($K:$K,$E:$E,E855))</x:f>
        <x:v>0.9423076923076923</x:v>
      </x:c>
      <x:c r="O855" t="str">
        <x:f>IF(M855="","",M855/_xlfn.MAXIFS($M:$M,$E:$E,E855))</x:f>
      </x:c>
      <x:c r="P855" t="str">
        <x:f>IF(OR(N855="",O855=""),"",SQRT(N855*O855))</x:f>
      </x:c>
      <x:c r="Q855" t="str">
        <x:f>IF(OR(N855="",O855=""),"",N855^0.7*O855^0.3)</x:f>
      </x:c>
      <x:c r="R855" t="str">
        <x:f>IF(OR(N855="",O855=""),"",N855^0.3*O855^0.7)</x:f>
      </x:c>
    </x:row>
    <x:row r="856" s="14" customFormat="1">
      <x:c r="A856" t="inlineStr">
        <x:is>
          <x:t xml:space="preserve">openai|gpt-6-1-sol|xhigh|yes|fallback-na|aa-v4.3.2|snapshot-2026-10-16</x:t>
        </x:is>
      </x:c>
      <x:c r="B856" t="inlineStr">
        <x:is>
          <x:t xml:space="preserve">openai|gpt-6-1-sol|xhigh|yes|fallback-na</x:t>
        </x:is>
      </x:c>
      <x:c r="C856" t="inlineStr">
        <x:is>
          <x:t xml:space="preserve">AA|v4.3.2</x:t>
        </x:is>
      </x:c>
      <x:c r="D856" t="n">
        <x:v>108</x:v>
      </x:c>
      <x:c r="E856" t="n">
        <x:v>50</x:v>
      </x:c>
      <x:c r="F856" t="n">
        <x:f>INDEX(Run_Metrics!$F:$F,D856)</x:f>
        <x:v>51</x:v>
      </x:c>
      <x:c r="G856" t="n">
        <x:f>INDEX(Run_Metrics!$G:$G,D856)</x:f>
        <x:v>0.39</x:v>
      </x:c>
      <x:c r="H856" t="str">
        <x:f>INDEX(Run_Metrics!$I:$I,D856)</x:f>
      </x:c>
      <x:c r="I856" t="n">
        <x:f>IF(F856="","",F856-(E856-1))</x:f>
        <x:v>2</x:v>
      </x:c>
      <x:c r="J856" t="n">
        <x:f>IF(I856&gt;0,1,0)</x:f>
        <x:v>1</x:v>
      </x:c>
      <x:c r="K856" t="n">
        <x:f>IF(OR(J856=0,G856="",G856=0),"",I856/G856)</x:f>
        <x:v>5.128205128205128</x:v>
      </x:c>
      <x:c r="L856" t="n">
        <x:f>IF(OR(J856=0,I856=0,G856=""),"",G856/I856)</x:f>
        <x:v>0.195</x:v>
      </x:c>
      <x:c r="M856" t="str">
        <x:f>IF(OR(J856=0,G856="",H856="",G856=0,H856=0),"",I856/(G856*H856))</x:f>
      </x:c>
      <x:c r="N856" t="n">
        <x:f>IF(K856="","",K856/_xlfn.MAXIFS($K:$K,$E:$E,E856))</x:f>
        <x:v>1</x:v>
      </x:c>
      <x:c r="O856" t="str">
        <x:f>IF(M856="","",M856/_xlfn.MAXIFS($M:$M,$E:$E,E856))</x:f>
      </x:c>
      <x:c r="P856" t="str">
        <x:f>IF(OR(N856="",O856=""),"",SQRT(N856*O856))</x:f>
      </x:c>
      <x:c r="Q856" t="str">
        <x:f>IF(OR(N856="",O856=""),"",N856^0.7*O856^0.3)</x:f>
      </x:c>
      <x:c r="R856" t="str">
        <x:f>IF(OR(N856="",O856=""),"",N856^0.3*O856^0.7)</x:f>
      </x:c>
    </x:row>
    <x:row r="857" s="14" customFormat="1">
      <x:c r="A857" t="inlineStr">
        <x:is>
          <x:t xml:space="preserve">openai|gpt-6-1-sol|xhigh|yes|fallback-na|aa-v4.3.2|snapshot-2026-10-16</x:t>
        </x:is>
      </x:c>
      <x:c r="B857" t="inlineStr">
        <x:is>
          <x:t xml:space="preserve">openai|gpt-6-1-sol|xhigh|yes|fallback-na</x:t>
        </x:is>
      </x:c>
      <x:c r="C857" t="inlineStr">
        <x:is>
          <x:t xml:space="preserve">AA|v4.3.2</x:t>
        </x:is>
      </x:c>
      <x:c r="D857" t="n">
        <x:v>108</x:v>
      </x:c>
      <x:c r="E857" t="n">
        <x:v>60</x:v>
      </x:c>
      <x:c r="F857" t="n">
        <x:f>INDEX(Run_Metrics!$F:$F,D857)</x:f>
        <x:v>51</x:v>
      </x:c>
      <x:c r="G857" t="n">
        <x:f>INDEX(Run_Metrics!$G:$G,D857)</x:f>
        <x:v>0.39</x:v>
      </x:c>
      <x:c r="H857" t="str">
        <x:f>INDEX(Run_Metrics!$I:$I,D857)</x:f>
      </x:c>
      <x:c r="I857" t="n">
        <x:f>IF(F857="","",F857-(E857-1))</x:f>
        <x:v>-8</x:v>
      </x:c>
      <x:c r="J857" t="n">
        <x:f>IF(I857&gt;0,1,0)</x:f>
        <x:v>0</x:v>
      </x:c>
      <x:c r="K857" t="str">
        <x:f>IF(OR(J857=0,G857="",G857=0),"",I857/G857)</x:f>
      </x:c>
      <x:c r="L857" t="str">
        <x:f>IF(OR(J857=0,I857=0,G857=""),"",G857/I857)</x:f>
      </x:c>
      <x:c r="M857" t="str">
        <x:f>IF(OR(J857=0,G857="",H857="",G857=0,H857=0),"",I857/(G857*H857))</x:f>
      </x:c>
      <x:c r="N857" t="str">
        <x:f>IF(K857="","",K857/_xlfn.MAXIFS($K:$K,$E:$E,E857))</x:f>
      </x:c>
      <x:c r="O857" t="str">
        <x:f>IF(M857="","",M857/_xlfn.MAXIFS($M:$M,$E:$E,E857))</x:f>
      </x:c>
      <x:c r="P857" t="str">
        <x:f>IF(OR(N857="",O857=""),"",SQRT(N857*O857))</x:f>
      </x:c>
      <x:c r="Q857" t="str">
        <x:f>IF(OR(N857="",O857=""),"",N857^0.7*O857^0.3)</x:f>
      </x:c>
      <x:c r="R857" t="str">
        <x:f>IF(OR(N857="",O857=""),"",N857^0.3*O857^0.7)</x:f>
      </x:c>
    </x:row>
    <x:row r="858" s="14" customFormat="1">
      <x:c r="A858" t="inlineStr">
        <x:is>
          <x:t xml:space="preserve">openai|gpt-6-1-sol|high|yes|fallback-na|aa-v4.3.2|snapshot-2026-10-16</x:t>
        </x:is>
      </x:c>
      <x:c r="B858" t="inlineStr">
        <x:is>
          <x:t xml:space="preserve">openai|gpt-6-1-sol|high|yes|fallback-na</x:t>
        </x:is>
      </x:c>
      <x:c r="C858" t="inlineStr">
        <x:is>
          <x:t xml:space="preserve">AA|v4.3.2</x:t>
        </x:is>
      </x:c>
      <x:c r="D858" t="n">
        <x:v>109</x:v>
      </x:c>
      <x:c r="E858" t="n">
        <x:v>10</x:v>
      </x:c>
      <x:c r="F858" t="n">
        <x:f>INDEX(Run_Metrics!$F:$F,D858)</x:f>
        <x:v>50</x:v>
      </x:c>
      <x:c r="G858" t="n">
        <x:f>INDEX(Run_Metrics!$G:$G,D858)</x:f>
        <x:v>0.32</x:v>
      </x:c>
      <x:c r="H858" t="str">
        <x:f>INDEX(Run_Metrics!$I:$I,D858)</x:f>
      </x:c>
      <x:c r="I858" t="n">
        <x:f>IF(F858="","",F858-(E858-1))</x:f>
        <x:v>41</x:v>
      </x:c>
      <x:c r="J858" t="n">
        <x:f>IF(I858&gt;0,1,0)</x:f>
        <x:v>1</x:v>
      </x:c>
      <x:c r="K858" t="n">
        <x:f>IF(OR(J858=0,G858="",G858=0),"",I858/G858)</x:f>
        <x:v>128.125</x:v>
      </x:c>
      <x:c r="L858" t="n">
        <x:f>IF(OR(J858=0,I858=0,G858=""),"",G858/I858)</x:f>
        <x:v>0.007804878048780488</x:v>
      </x:c>
      <x:c r="M858" t="str">
        <x:f>IF(OR(J858=0,G858="",H858="",G858=0,H858=0),"",I858/(G858*H858))</x:f>
      </x:c>
      <x:c r="N858" t="n">
        <x:f>IF(K858="","",K858/_xlfn.MAXIFS($K:$K,$E:$E,E858))</x:f>
        <x:v>0.044350961538461534</x:v>
      </x:c>
      <x:c r="O858" t="str">
        <x:f>IF(M858="","",M858/_xlfn.MAXIFS($M:$M,$E:$E,E858))</x:f>
      </x:c>
      <x:c r="P858" t="str">
        <x:f>IF(OR(N858="",O858=""),"",SQRT(N858*O858))</x:f>
      </x:c>
      <x:c r="Q858" t="str">
        <x:f>IF(OR(N858="",O858=""),"",N858^0.7*O858^0.3)</x:f>
      </x:c>
      <x:c r="R858" t="str">
        <x:f>IF(OR(N858="",O858=""),"",N858^0.3*O858^0.7)</x:f>
      </x:c>
    </x:row>
    <x:row r="859" s="14" customFormat="1">
      <x:c r="A859" t="inlineStr">
        <x:is>
          <x:t xml:space="preserve">openai|gpt-6-1-sol|high|yes|fallback-na|aa-v4.3.2|snapshot-2026-10-16</x:t>
        </x:is>
      </x:c>
      <x:c r="B859" t="inlineStr">
        <x:is>
          <x:t xml:space="preserve">openai|gpt-6-1-sol|high|yes|fallback-na</x:t>
        </x:is>
      </x:c>
      <x:c r="C859" t="inlineStr">
        <x:is>
          <x:t xml:space="preserve">AA|v4.3.2</x:t>
        </x:is>
      </x:c>
      <x:c r="D859" t="n">
        <x:v>109</x:v>
      </x:c>
      <x:c r="E859" t="n">
        <x:v>20</x:v>
      </x:c>
      <x:c r="F859" t="n">
        <x:f>INDEX(Run_Metrics!$F:$F,D859)</x:f>
        <x:v>50</x:v>
      </x:c>
      <x:c r="G859" t="n">
        <x:f>INDEX(Run_Metrics!$G:$G,D859)</x:f>
        <x:v>0.32</x:v>
      </x:c>
      <x:c r="H859" t="str">
        <x:f>INDEX(Run_Metrics!$I:$I,D859)</x:f>
      </x:c>
      <x:c r="I859" t="n">
        <x:f>IF(F859="","",F859-(E859-1))</x:f>
        <x:v>31</x:v>
      </x:c>
      <x:c r="J859" t="n">
        <x:f>IF(I859&gt;0,1,0)</x:f>
        <x:v>1</x:v>
      </x:c>
      <x:c r="K859" t="n">
        <x:f>IF(OR(J859=0,G859="",G859=0),"",I859/G859)</x:f>
        <x:v>96.875</x:v>
      </x:c>
      <x:c r="L859" t="n">
        <x:f>IF(OR(J859=0,I859=0,G859=""),"",G859/I859)</x:f>
        <x:v>0.01032258064516129</x:v>
      </x:c>
      <x:c r="M859" t="str">
        <x:f>IF(OR(J859=0,G859="",H859="",G859=0,H859=0),"",I859/(G859*H859))</x:f>
      </x:c>
      <x:c r="N859" t="n">
        <x:f>IF(K859="","",K859/_xlfn.MAXIFS($K:$K,$E:$E,E859))</x:f>
        <x:v>0.14531249999999998</x:v>
      </x:c>
      <x:c r="O859" t="str">
        <x:f>IF(M859="","",M859/_xlfn.MAXIFS($M:$M,$E:$E,E859))</x:f>
      </x:c>
      <x:c r="P859" t="str">
        <x:f>IF(OR(N859="",O859=""),"",SQRT(N859*O859))</x:f>
      </x:c>
      <x:c r="Q859" t="str">
        <x:f>IF(OR(N859="",O859=""),"",N859^0.7*O859^0.3)</x:f>
      </x:c>
      <x:c r="R859" t="str">
        <x:f>IF(OR(N859="",O859=""),"",N859^0.3*O859^0.7)</x:f>
      </x:c>
    </x:row>
    <x:row r="860" s="14" customFormat="1">
      <x:c r="A860" t="inlineStr">
        <x:is>
          <x:t xml:space="preserve">openai|gpt-6-1-sol|high|yes|fallback-na|aa-v4.3.2|snapshot-2026-10-16</x:t>
        </x:is>
      </x:c>
      <x:c r="B860" t="inlineStr">
        <x:is>
          <x:t xml:space="preserve">openai|gpt-6-1-sol|high|yes|fallback-na</x:t>
        </x:is>
      </x:c>
      <x:c r="C860" t="inlineStr">
        <x:is>
          <x:t xml:space="preserve">AA|v4.3.2</x:t>
        </x:is>
      </x:c>
      <x:c r="D860" t="n">
        <x:v>109</x:v>
      </x:c>
      <x:c r="E860" t="n">
        <x:v>30</x:v>
      </x:c>
      <x:c r="F860" t="n">
        <x:f>INDEX(Run_Metrics!$F:$F,D860)</x:f>
        <x:v>50</x:v>
      </x:c>
      <x:c r="G860" t="n">
        <x:f>INDEX(Run_Metrics!$G:$G,D860)</x:f>
        <x:v>0.32</x:v>
      </x:c>
      <x:c r="H860" t="str">
        <x:f>INDEX(Run_Metrics!$I:$I,D860)</x:f>
      </x:c>
      <x:c r="I860" t="n">
        <x:f>IF(F860="","",F860-(E860-1))</x:f>
        <x:v>21</x:v>
      </x:c>
      <x:c r="J860" t="n">
        <x:f>IF(I860&gt;0,1,0)</x:f>
        <x:v>1</x:v>
      </x:c>
      <x:c r="K860" t="n">
        <x:f>IF(OR(J860=0,G860="",G860=0),"",I860/G860)</x:f>
        <x:v>65.625</x:v>
      </x:c>
      <x:c r="L860" t="n">
        <x:f>IF(OR(J860=0,I860=0,G860=""),"",G860/I860)</x:f>
        <x:v>0.015238095238095238</x:v>
      </x:c>
      <x:c r="M860" t="str">
        <x:f>IF(OR(J860=0,G860="",H860="",G860=0,H860=0),"",I860/(G860*H860))</x:f>
      </x:c>
      <x:c r="N860" t="n">
        <x:f>IF(K860="","",K860/_xlfn.MAXIFS($K:$K,$E:$E,E860))</x:f>
        <x:v>0.4375</x:v>
      </x:c>
      <x:c r="O860" t="str">
        <x:f>IF(M860="","",M860/_xlfn.MAXIFS($M:$M,$E:$E,E860))</x:f>
      </x:c>
      <x:c r="P860" t="str">
        <x:f>IF(OR(N860="",O860=""),"",SQRT(N860*O860))</x:f>
      </x:c>
      <x:c r="Q860" t="str">
        <x:f>IF(OR(N860="",O860=""),"",N860^0.7*O860^0.3)</x:f>
      </x:c>
      <x:c r="R860" t="str">
        <x:f>IF(OR(N860="",O860=""),"",N860^0.3*O860^0.7)</x:f>
      </x:c>
    </x:row>
    <x:row r="861" s="14" customFormat="1">
      <x:c r="A861" t="inlineStr">
        <x:is>
          <x:t xml:space="preserve">openai|gpt-6-1-sol|high|yes|fallback-na|aa-v4.3.2|snapshot-2026-10-16</x:t>
        </x:is>
      </x:c>
      <x:c r="B861" t="inlineStr">
        <x:is>
          <x:t xml:space="preserve">openai|gpt-6-1-sol|high|yes|fallback-na</x:t>
        </x:is>
      </x:c>
      <x:c r="C861" t="inlineStr">
        <x:is>
          <x:t xml:space="preserve">AA|v4.3.2</x:t>
        </x:is>
      </x:c>
      <x:c r="D861" t="n">
        <x:v>109</x:v>
      </x:c>
      <x:c r="E861" t="n">
        <x:v>35</x:v>
      </x:c>
      <x:c r="F861" t="n">
        <x:f>INDEX(Run_Metrics!$F:$F,D861)</x:f>
        <x:v>50</x:v>
      </x:c>
      <x:c r="G861" t="n">
        <x:f>INDEX(Run_Metrics!$G:$G,D861)</x:f>
        <x:v>0.32</x:v>
      </x:c>
      <x:c r="H861" t="str">
        <x:f>INDEX(Run_Metrics!$I:$I,D861)</x:f>
      </x:c>
      <x:c r="I861" t="n">
        <x:f>IF(F861="","",F861-(E861-1))</x:f>
        <x:v>16</x:v>
      </x:c>
      <x:c r="J861" t="n">
        <x:f>IF(I861&gt;0,1,0)</x:f>
        <x:v>1</x:v>
      </x:c>
      <x:c r="K861" t="n">
        <x:f>IF(OR(J861=0,G861="",G861=0),"",I861/G861)</x:f>
        <x:v>50</x:v>
      </x:c>
      <x:c r="L861" t="n">
        <x:f>IF(OR(J861=0,I861=0,G861=""),"",G861/I861)</x:f>
        <x:v>0.02</x:v>
      </x:c>
      <x:c r="M861" t="str">
        <x:f>IF(OR(J861=0,G861="",H861="",G861=0,H861=0),"",I861/(G861*H861))</x:f>
      </x:c>
      <x:c r="N861" t="n">
        <x:f>IF(K861="","",K861/_xlfn.MAXIFS($K:$K,$E:$E,E861))</x:f>
        <x:v>0.5416666666666666</x:v>
      </x:c>
      <x:c r="O861" t="str">
        <x:f>IF(M861="","",M861/_xlfn.MAXIFS($M:$M,$E:$E,E861))</x:f>
      </x:c>
      <x:c r="P861" t="str">
        <x:f>IF(OR(N861="",O861=""),"",SQRT(N861*O861))</x:f>
      </x:c>
      <x:c r="Q861" t="str">
        <x:f>IF(OR(N861="",O861=""),"",N861^0.7*O861^0.3)</x:f>
      </x:c>
      <x:c r="R861" t="str">
        <x:f>IF(OR(N861="",O861=""),"",N861^0.3*O861^0.7)</x:f>
      </x:c>
    </x:row>
    <x:row r="862" s="14" customFormat="1">
      <x:c r="A862" t="inlineStr">
        <x:is>
          <x:t xml:space="preserve">openai|gpt-6-1-sol|high|yes|fallback-na|aa-v4.3.2|snapshot-2026-10-16</x:t>
        </x:is>
      </x:c>
      <x:c r="B862" t="inlineStr">
        <x:is>
          <x:t xml:space="preserve">openai|gpt-6-1-sol|high|yes|fallback-na</x:t>
        </x:is>
      </x:c>
      <x:c r="C862" t="inlineStr">
        <x:is>
          <x:t xml:space="preserve">AA|v4.3.2</x:t>
        </x:is>
      </x:c>
      <x:c r="D862" t="n">
        <x:v>109</x:v>
      </x:c>
      <x:c r="E862" t="n">
        <x:v>40</x:v>
      </x:c>
      <x:c r="F862" t="n">
        <x:f>INDEX(Run_Metrics!$F:$F,D862)</x:f>
        <x:v>50</x:v>
      </x:c>
      <x:c r="G862" t="n">
        <x:f>INDEX(Run_Metrics!$G:$G,D862)</x:f>
        <x:v>0.32</x:v>
      </x:c>
      <x:c r="H862" t="str">
        <x:f>INDEX(Run_Metrics!$I:$I,D862)</x:f>
      </x:c>
      <x:c r="I862" t="n">
        <x:f>IF(F862="","",F862-(E862-1))</x:f>
        <x:v>11</x:v>
      </x:c>
      <x:c r="J862" t="n">
        <x:f>IF(I862&gt;0,1,0)</x:f>
        <x:v>1</x:v>
      </x:c>
      <x:c r="K862" t="n">
        <x:f>IF(OR(J862=0,G862="",G862=0),"",I862/G862)</x:f>
        <x:v>34.375</x:v>
      </x:c>
      <x:c r="L862" t="n">
        <x:f>IF(OR(J862=0,I862=0,G862=""),"",G862/I862)</x:f>
        <x:v>0.02909090909090909</x:v>
      </x:c>
      <x:c r="M862" t="str">
        <x:f>IF(OR(J862=0,G862="",H862="",G862=0,H862=0),"",I862/(G862*H862))</x:f>
      </x:c>
      <x:c r="N862" t="n">
        <x:f>IF(K862="","",K862/_xlfn.MAXIFS($K:$K,$E:$E,E862))</x:f>
        <x:v>0.6383928571428571</x:v>
      </x:c>
      <x:c r="O862" t="str">
        <x:f>IF(M862="","",M862/_xlfn.MAXIFS($M:$M,$E:$E,E862))</x:f>
      </x:c>
      <x:c r="P862" t="str">
        <x:f>IF(OR(N862="",O862=""),"",SQRT(N862*O862))</x:f>
      </x:c>
      <x:c r="Q862" t="str">
        <x:f>IF(OR(N862="",O862=""),"",N862^0.7*O862^0.3)</x:f>
      </x:c>
      <x:c r="R862" t="str">
        <x:f>IF(OR(N862="",O862=""),"",N862^0.3*O862^0.7)</x:f>
      </x:c>
    </x:row>
    <x:row r="863" s="14" customFormat="1">
      <x:c r="A863" t="inlineStr">
        <x:is>
          <x:t xml:space="preserve">openai|gpt-6-1-sol|high|yes|fallback-na|aa-v4.3.2|snapshot-2026-10-16</x:t>
        </x:is>
      </x:c>
      <x:c r="B863" t="inlineStr">
        <x:is>
          <x:t xml:space="preserve">openai|gpt-6-1-sol|high|yes|fallback-na</x:t>
        </x:is>
      </x:c>
      <x:c r="C863" t="inlineStr">
        <x:is>
          <x:t xml:space="preserve">AA|v4.3.2</x:t>
        </x:is>
      </x:c>
      <x:c r="D863" t="n">
        <x:v>109</x:v>
      </x:c>
      <x:c r="E863" t="n">
        <x:v>45</x:v>
      </x:c>
      <x:c r="F863" t="n">
        <x:f>INDEX(Run_Metrics!$F:$F,D863)</x:f>
        <x:v>50</x:v>
      </x:c>
      <x:c r="G863" t="n">
        <x:f>INDEX(Run_Metrics!$G:$G,D863)</x:f>
        <x:v>0.32</x:v>
      </x:c>
      <x:c r="H863" t="str">
        <x:f>INDEX(Run_Metrics!$I:$I,D863)</x:f>
      </x:c>
      <x:c r="I863" t="n">
        <x:f>IF(F863="","",F863-(E863-1))</x:f>
        <x:v>6</x:v>
      </x:c>
      <x:c r="J863" t="n">
        <x:f>IF(I863&gt;0,1,0)</x:f>
        <x:v>1</x:v>
      </x:c>
      <x:c r="K863" t="n">
        <x:f>IF(OR(J863=0,G863="",G863=0),"",I863/G863)</x:f>
        <x:v>18.75</x:v>
      </x:c>
      <x:c r="L863" t="n">
        <x:f>IF(OR(J863=0,I863=0,G863=""),"",G863/I863)</x:f>
        <x:v>0.05333333333333334</x:v>
      </x:c>
      <x:c r="M863" t="str">
        <x:f>IF(OR(J863=0,G863="",H863="",G863=0,H863=0),"",I863/(G863*H863))</x:f>
      </x:c>
      <x:c r="N863" t="n">
        <x:f>IF(K863="","",K863/_xlfn.MAXIFS($K:$K,$E:$E,E863))</x:f>
        <x:v>0.984375</x:v>
      </x:c>
      <x:c r="O863" t="str">
        <x:f>IF(M863="","",M863/_xlfn.MAXIFS($M:$M,$E:$E,E863))</x:f>
      </x:c>
      <x:c r="P863" t="str">
        <x:f>IF(OR(N863="",O863=""),"",SQRT(N863*O863))</x:f>
      </x:c>
      <x:c r="Q863" t="str">
        <x:f>IF(OR(N863="",O863=""),"",N863^0.7*O863^0.3)</x:f>
      </x:c>
      <x:c r="R863" t="str">
        <x:f>IF(OR(N863="",O863=""),"",N863^0.3*O863^0.7)</x:f>
      </x:c>
    </x:row>
    <x:row r="864" s="14" customFormat="1">
      <x:c r="A864" t="inlineStr">
        <x:is>
          <x:t xml:space="preserve">openai|gpt-6-1-sol|high|yes|fallback-na|aa-v4.3.2|snapshot-2026-10-16</x:t>
        </x:is>
      </x:c>
      <x:c r="B864" t="inlineStr">
        <x:is>
          <x:t xml:space="preserve">openai|gpt-6-1-sol|high|yes|fallback-na</x:t>
        </x:is>
      </x:c>
      <x:c r="C864" t="inlineStr">
        <x:is>
          <x:t xml:space="preserve">AA|v4.3.2</x:t>
        </x:is>
      </x:c>
      <x:c r="D864" t="n">
        <x:v>109</x:v>
      </x:c>
      <x:c r="E864" t="n">
        <x:v>50</x:v>
      </x:c>
      <x:c r="F864" t="n">
        <x:f>INDEX(Run_Metrics!$F:$F,D864)</x:f>
        <x:v>50</x:v>
      </x:c>
      <x:c r="G864" t="n">
        <x:f>INDEX(Run_Metrics!$G:$G,D864)</x:f>
        <x:v>0.32</x:v>
      </x:c>
      <x:c r="H864" t="str">
        <x:f>INDEX(Run_Metrics!$I:$I,D864)</x:f>
      </x:c>
      <x:c r="I864" t="n">
        <x:f>IF(F864="","",F864-(E864-1))</x:f>
        <x:v>1</x:v>
      </x:c>
      <x:c r="J864" t="n">
        <x:f>IF(I864&gt;0,1,0)</x:f>
        <x:v>1</x:v>
      </x:c>
      <x:c r="K864" t="n">
        <x:f>IF(OR(J864=0,G864="",G864=0),"",I864/G864)</x:f>
        <x:v>3.125</x:v>
      </x:c>
      <x:c r="L864" t="n">
        <x:f>IF(OR(J864=0,I864=0,G864=""),"",G864/I864)</x:f>
        <x:v>0.32</x:v>
      </x:c>
      <x:c r="M864" t="str">
        <x:f>IF(OR(J864=0,G864="",H864="",G864=0,H864=0),"",I864/(G864*H864))</x:f>
      </x:c>
      <x:c r="N864" t="n">
        <x:f>IF(K864="","",K864/_xlfn.MAXIFS($K:$K,$E:$E,E864))</x:f>
        <x:v>0.609375</x:v>
      </x:c>
      <x:c r="O864" t="str">
        <x:f>IF(M864="","",M864/_xlfn.MAXIFS($M:$M,$E:$E,E864))</x:f>
      </x:c>
      <x:c r="P864" t="str">
        <x:f>IF(OR(N864="",O864=""),"",SQRT(N864*O864))</x:f>
      </x:c>
      <x:c r="Q864" t="str">
        <x:f>IF(OR(N864="",O864=""),"",N864^0.7*O864^0.3)</x:f>
      </x:c>
      <x:c r="R864" t="str">
        <x:f>IF(OR(N864="",O864=""),"",N864^0.3*O864^0.7)</x:f>
      </x:c>
    </x:row>
    <x:row r="865" s="14" customFormat="1">
      <x:c r="A865" t="inlineStr">
        <x:is>
          <x:t xml:space="preserve">openai|gpt-6-1-sol|high|yes|fallback-na|aa-v4.3.2|snapshot-2026-10-16</x:t>
        </x:is>
      </x:c>
      <x:c r="B865" t="inlineStr">
        <x:is>
          <x:t xml:space="preserve">openai|gpt-6-1-sol|high|yes|fallback-na</x:t>
        </x:is>
      </x:c>
      <x:c r="C865" t="inlineStr">
        <x:is>
          <x:t xml:space="preserve">AA|v4.3.2</x:t>
        </x:is>
      </x:c>
      <x:c r="D865" t="n">
        <x:v>109</x:v>
      </x:c>
      <x:c r="E865" t="n">
        <x:v>60</x:v>
      </x:c>
      <x:c r="F865" t="n">
        <x:f>INDEX(Run_Metrics!$F:$F,D865)</x:f>
        <x:v>50</x:v>
      </x:c>
      <x:c r="G865" t="n">
        <x:f>INDEX(Run_Metrics!$G:$G,D865)</x:f>
        <x:v>0.32</x:v>
      </x:c>
      <x:c r="H865" t="str">
        <x:f>INDEX(Run_Metrics!$I:$I,D865)</x:f>
      </x:c>
      <x:c r="I865" t="n">
        <x:f>IF(F865="","",F865-(E865-1))</x:f>
        <x:v>-9</x:v>
      </x:c>
      <x:c r="J865" t="n">
        <x:f>IF(I865&gt;0,1,0)</x:f>
        <x:v>0</x:v>
      </x:c>
      <x:c r="K865" t="str">
        <x:f>IF(OR(J865=0,G865="",G865=0),"",I865/G865)</x:f>
      </x:c>
      <x:c r="L865" t="str">
        <x:f>IF(OR(J865=0,I865=0,G865=""),"",G865/I865)</x:f>
      </x:c>
      <x:c r="M865" t="str">
        <x:f>IF(OR(J865=0,G865="",H865="",G865=0,H865=0),"",I865/(G865*H865))</x:f>
      </x:c>
      <x:c r="N865" t="str">
        <x:f>IF(K865="","",K865/_xlfn.MAXIFS($K:$K,$E:$E,E865))</x:f>
      </x:c>
      <x:c r="O865" t="str">
        <x:f>IF(M865="","",M865/_xlfn.MAXIFS($M:$M,$E:$E,E865))</x:f>
      </x:c>
      <x:c r="P865" t="str">
        <x:f>IF(OR(N865="",O865=""),"",SQRT(N865*O865))</x:f>
      </x:c>
      <x:c r="Q865" t="str">
        <x:f>IF(OR(N865="",O865=""),"",N865^0.7*O865^0.3)</x:f>
      </x:c>
      <x:c r="R865" t="str">
        <x:f>IF(OR(N865="",O865=""),"",N865^0.3*O865^0.7)</x:f>
      </x:c>
    </x:row>
    <x:row r="866" s="14" customFormat="1">
      <x:c r="A866" t="inlineStr">
        <x:is>
          <x:t xml:space="preserve">openai|gpt-6-1-sol|medium|yes|fallback-na|aa-v4.3.2|snapshot-2026-10-16</x:t>
        </x:is>
      </x:c>
      <x:c r="B866" t="inlineStr">
        <x:is>
          <x:t xml:space="preserve">openai|gpt-6-1-sol|medium|yes|fallback-na</x:t>
        </x:is>
      </x:c>
      <x:c r="C866" t="inlineStr">
        <x:is>
          <x:t xml:space="preserve">AA|v4.3.2</x:t>
        </x:is>
      </x:c>
      <x:c r="D866" t="n">
        <x:v>110</x:v>
      </x:c>
      <x:c r="E866" t="n">
        <x:v>10</x:v>
      </x:c>
      <x:c r="F866" t="n">
        <x:f>INDEX(Run_Metrics!$F:$F,D866)</x:f>
        <x:v>48</x:v>
      </x:c>
      <x:c r="G866" t="n">
        <x:f>INDEX(Run_Metrics!$G:$G,D866)</x:f>
        <x:v>0.21</x:v>
      </x:c>
      <x:c r="H866" t="str">
        <x:f>INDEX(Run_Metrics!$I:$I,D866)</x:f>
      </x:c>
      <x:c r="I866" t="n">
        <x:f>IF(F866="","",F866-(E866-1))</x:f>
        <x:v>39</x:v>
      </x:c>
      <x:c r="J866" t="n">
        <x:f>IF(I866&gt;0,1,0)</x:f>
        <x:v>1</x:v>
      </x:c>
      <x:c r="K866" t="n">
        <x:f>IF(OR(J866=0,G866="",G866=0),"",I866/G866)</x:f>
        <x:v>185.71428571428572</x:v>
      </x:c>
      <x:c r="L866" t="n">
        <x:f>IF(OR(J866=0,I866=0,G866=""),"",G866/I866)</x:f>
        <x:v>0.005384615384615384</x:v>
      </x:c>
      <x:c r="M866" t="str">
        <x:f>IF(OR(J866=0,G866="",H866="",G866=0,H866=0),"",I866/(G866*H866))</x:f>
      </x:c>
      <x:c r="N866" t="n">
        <x:f>IF(K866="","",K866/_xlfn.MAXIFS($K:$K,$E:$E,E866))</x:f>
        <x:v>0.06428571428571428</x:v>
      </x:c>
      <x:c r="O866" t="str">
        <x:f>IF(M866="","",M866/_xlfn.MAXIFS($M:$M,$E:$E,E866))</x:f>
      </x:c>
      <x:c r="P866" t="str">
        <x:f>IF(OR(N866="",O866=""),"",SQRT(N866*O866))</x:f>
      </x:c>
      <x:c r="Q866" t="str">
        <x:f>IF(OR(N866="",O866=""),"",N866^0.7*O866^0.3)</x:f>
      </x:c>
      <x:c r="R866" t="str">
        <x:f>IF(OR(N866="",O866=""),"",N866^0.3*O866^0.7)</x:f>
      </x:c>
    </x:row>
    <x:row r="867" s="14" customFormat="1">
      <x:c r="A867" t="inlineStr">
        <x:is>
          <x:t xml:space="preserve">openai|gpt-6-1-sol|medium|yes|fallback-na|aa-v4.3.2|snapshot-2026-10-16</x:t>
        </x:is>
      </x:c>
      <x:c r="B867" t="inlineStr">
        <x:is>
          <x:t xml:space="preserve">openai|gpt-6-1-sol|medium|yes|fallback-na</x:t>
        </x:is>
      </x:c>
      <x:c r="C867" t="inlineStr">
        <x:is>
          <x:t xml:space="preserve">AA|v4.3.2</x:t>
        </x:is>
      </x:c>
      <x:c r="D867" t="n">
        <x:v>110</x:v>
      </x:c>
      <x:c r="E867" t="n">
        <x:v>20</x:v>
      </x:c>
      <x:c r="F867" t="n">
        <x:f>INDEX(Run_Metrics!$F:$F,D867)</x:f>
        <x:v>48</x:v>
      </x:c>
      <x:c r="G867" t="n">
        <x:f>INDEX(Run_Metrics!$G:$G,D867)</x:f>
        <x:v>0.21</x:v>
      </x:c>
      <x:c r="H867" t="str">
        <x:f>INDEX(Run_Metrics!$I:$I,D867)</x:f>
      </x:c>
      <x:c r="I867" t="n">
        <x:f>IF(F867="","",F867-(E867-1))</x:f>
        <x:v>29</x:v>
      </x:c>
      <x:c r="J867" t="n">
        <x:f>IF(I867&gt;0,1,0)</x:f>
        <x:v>1</x:v>
      </x:c>
      <x:c r="K867" t="n">
        <x:f>IF(OR(J867=0,G867="",G867=0),"",I867/G867)</x:f>
        <x:v>138.0952380952381</x:v>
      </x:c>
      <x:c r="L867" t="n">
        <x:f>IF(OR(J867=0,I867=0,G867=""),"",G867/I867)</x:f>
        <x:v>0.007241379310344827</x:v>
      </x:c>
      <x:c r="M867" t="str">
        <x:f>IF(OR(J867=0,G867="",H867="",G867=0,H867=0),"",I867/(G867*H867))</x:f>
      </x:c>
      <x:c r="N867" t="n">
        <x:f>IF(K867="","",K867/_xlfn.MAXIFS($K:$K,$E:$E,E867))</x:f>
        <x:v>0.20714285714285713</x:v>
      </x:c>
      <x:c r="O867" t="str">
        <x:f>IF(M867="","",M867/_xlfn.MAXIFS($M:$M,$E:$E,E867))</x:f>
      </x:c>
      <x:c r="P867" t="str">
        <x:f>IF(OR(N867="",O867=""),"",SQRT(N867*O867))</x:f>
      </x:c>
      <x:c r="Q867" t="str">
        <x:f>IF(OR(N867="",O867=""),"",N867^0.7*O867^0.3)</x:f>
      </x:c>
      <x:c r="R867" t="str">
        <x:f>IF(OR(N867="",O867=""),"",N867^0.3*O867^0.7)</x:f>
      </x:c>
    </x:row>
    <x:row r="868" s="14" customFormat="1">
      <x:c r="A868" t="inlineStr">
        <x:is>
          <x:t xml:space="preserve">openai|gpt-6-1-sol|medium|yes|fallback-na|aa-v4.3.2|snapshot-2026-10-16</x:t>
        </x:is>
      </x:c>
      <x:c r="B868" t="inlineStr">
        <x:is>
          <x:t xml:space="preserve">openai|gpt-6-1-sol|medium|yes|fallback-na</x:t>
        </x:is>
      </x:c>
      <x:c r="C868" t="inlineStr">
        <x:is>
          <x:t xml:space="preserve">AA|v4.3.2</x:t>
        </x:is>
      </x:c>
      <x:c r="D868" t="n">
        <x:v>110</x:v>
      </x:c>
      <x:c r="E868" t="n">
        <x:v>30</x:v>
      </x:c>
      <x:c r="F868" t="n">
        <x:f>INDEX(Run_Metrics!$F:$F,D868)</x:f>
        <x:v>48</x:v>
      </x:c>
      <x:c r="G868" t="n">
        <x:f>INDEX(Run_Metrics!$G:$G,D868)</x:f>
        <x:v>0.21</x:v>
      </x:c>
      <x:c r="H868" t="str">
        <x:f>INDEX(Run_Metrics!$I:$I,D868)</x:f>
      </x:c>
      <x:c r="I868" t="n">
        <x:f>IF(F868="","",F868-(E868-1))</x:f>
        <x:v>19</x:v>
      </x:c>
      <x:c r="J868" t="n">
        <x:f>IF(I868&gt;0,1,0)</x:f>
        <x:v>1</x:v>
      </x:c>
      <x:c r="K868" t="n">
        <x:f>IF(OR(J868=0,G868="",G868=0),"",I868/G868)</x:f>
        <x:v>90.47619047619048</x:v>
      </x:c>
      <x:c r="L868" t="n">
        <x:f>IF(OR(J868=0,I868=0,G868=""),"",G868/I868)</x:f>
        <x:v>0.011052631578947368</x:v>
      </x:c>
      <x:c r="M868" t="str">
        <x:f>IF(OR(J868=0,G868="",H868="",G868=0,H868=0),"",I868/(G868*H868))</x:f>
      </x:c>
      <x:c r="N868" t="n">
        <x:f>IF(K868="","",K868/_xlfn.MAXIFS($K:$K,$E:$E,E868))</x:f>
        <x:v>0.6031746031746033</x:v>
      </x:c>
      <x:c r="O868" t="str">
        <x:f>IF(M868="","",M868/_xlfn.MAXIFS($M:$M,$E:$E,E868))</x:f>
      </x:c>
      <x:c r="P868" t="str">
        <x:f>IF(OR(N868="",O868=""),"",SQRT(N868*O868))</x:f>
      </x:c>
      <x:c r="Q868" t="str">
        <x:f>IF(OR(N868="",O868=""),"",N868^0.7*O868^0.3)</x:f>
      </x:c>
      <x:c r="R868" t="str">
        <x:f>IF(OR(N868="",O868=""),"",N868^0.3*O868^0.7)</x:f>
      </x:c>
    </x:row>
    <x:row r="869" s="14" customFormat="1">
      <x:c r="A869" t="inlineStr">
        <x:is>
          <x:t xml:space="preserve">openai|gpt-6-1-sol|medium|yes|fallback-na|aa-v4.3.2|snapshot-2026-10-16</x:t>
        </x:is>
      </x:c>
      <x:c r="B869" t="inlineStr">
        <x:is>
          <x:t xml:space="preserve">openai|gpt-6-1-sol|medium|yes|fallback-na</x:t>
        </x:is>
      </x:c>
      <x:c r="C869" t="inlineStr">
        <x:is>
          <x:t xml:space="preserve">AA|v4.3.2</x:t>
        </x:is>
      </x:c>
      <x:c r="D869" t="n">
        <x:v>110</x:v>
      </x:c>
      <x:c r="E869" t="n">
        <x:v>35</x:v>
      </x:c>
      <x:c r="F869" t="n">
        <x:f>INDEX(Run_Metrics!$F:$F,D869)</x:f>
        <x:v>48</x:v>
      </x:c>
      <x:c r="G869" t="n">
        <x:f>INDEX(Run_Metrics!$G:$G,D869)</x:f>
        <x:v>0.21</x:v>
      </x:c>
      <x:c r="H869" t="str">
        <x:f>INDEX(Run_Metrics!$I:$I,D869)</x:f>
      </x:c>
      <x:c r="I869" t="n">
        <x:f>IF(F869="","",F869-(E869-1))</x:f>
        <x:v>14</x:v>
      </x:c>
      <x:c r="J869" t="n">
        <x:f>IF(I869&gt;0,1,0)</x:f>
        <x:v>1</x:v>
      </x:c>
      <x:c r="K869" t="n">
        <x:f>IF(OR(J869=0,G869="",G869=0),"",I869/G869)</x:f>
        <x:v>66.66666666666667</x:v>
      </x:c>
      <x:c r="L869" t="n">
        <x:f>IF(OR(J869=0,I869=0,G869=""),"",G869/I869)</x:f>
        <x:v>0.015</x:v>
      </x:c>
      <x:c r="M869" t="str">
        <x:f>IF(OR(J869=0,G869="",H869="",G869=0,H869=0),"",I869/(G869*H869))</x:f>
      </x:c>
      <x:c r="N869" t="n">
        <x:f>IF(K869="","",K869/_xlfn.MAXIFS($K:$K,$E:$E,E869))</x:f>
        <x:v>0.7222222222222223</x:v>
      </x:c>
      <x:c r="O869" t="str">
        <x:f>IF(M869="","",M869/_xlfn.MAXIFS($M:$M,$E:$E,E869))</x:f>
      </x:c>
      <x:c r="P869" t="str">
        <x:f>IF(OR(N869="",O869=""),"",SQRT(N869*O869))</x:f>
      </x:c>
      <x:c r="Q869" t="str">
        <x:f>IF(OR(N869="",O869=""),"",N869^0.7*O869^0.3)</x:f>
      </x:c>
      <x:c r="R869" t="str">
        <x:f>IF(OR(N869="",O869=""),"",N869^0.3*O869^0.7)</x:f>
      </x:c>
    </x:row>
    <x:row r="870" s="14" customFormat="1">
      <x:c r="A870" t="inlineStr">
        <x:is>
          <x:t xml:space="preserve">openai|gpt-6-1-sol|medium|yes|fallback-na|aa-v4.3.2|snapshot-2026-10-16</x:t>
        </x:is>
      </x:c>
      <x:c r="B870" t="inlineStr">
        <x:is>
          <x:t xml:space="preserve">openai|gpt-6-1-sol|medium|yes|fallback-na</x:t>
        </x:is>
      </x:c>
      <x:c r="C870" t="inlineStr">
        <x:is>
          <x:t xml:space="preserve">AA|v4.3.2</x:t>
        </x:is>
      </x:c>
      <x:c r="D870" t="n">
        <x:v>110</x:v>
      </x:c>
      <x:c r="E870" t="n">
        <x:v>40</x:v>
      </x:c>
      <x:c r="F870" t="n">
        <x:f>INDEX(Run_Metrics!$F:$F,D870)</x:f>
        <x:v>48</x:v>
      </x:c>
      <x:c r="G870" t="n">
        <x:f>INDEX(Run_Metrics!$G:$G,D870)</x:f>
        <x:v>0.21</x:v>
      </x:c>
      <x:c r="H870" t="str">
        <x:f>INDEX(Run_Metrics!$I:$I,D870)</x:f>
      </x:c>
      <x:c r="I870" t="n">
        <x:f>IF(F870="","",F870-(E870-1))</x:f>
        <x:v>9</x:v>
      </x:c>
      <x:c r="J870" t="n">
        <x:f>IF(I870&gt;0,1,0)</x:f>
        <x:v>1</x:v>
      </x:c>
      <x:c r="K870" t="n">
        <x:f>IF(OR(J870=0,G870="",G870=0),"",I870/G870)</x:f>
        <x:v>42.85714285714286</x:v>
      </x:c>
      <x:c r="L870" t="n">
        <x:f>IF(OR(J870=0,I870=0,G870=""),"",G870/I870)</x:f>
        <x:v>0.02333333333333333</x:v>
      </x:c>
      <x:c r="M870" t="str">
        <x:f>IF(OR(J870=0,G870="",H870="",G870=0,H870=0),"",I870/(G870*H870))</x:f>
      </x:c>
      <x:c r="N870" t="n">
        <x:f>IF(K870="","",K870/_xlfn.MAXIFS($K:$K,$E:$E,E870))</x:f>
        <x:v>0.7959183673469389</x:v>
      </x:c>
      <x:c r="O870" t="str">
        <x:f>IF(M870="","",M870/_xlfn.MAXIFS($M:$M,$E:$E,E870))</x:f>
      </x:c>
      <x:c r="P870" t="str">
        <x:f>IF(OR(N870="",O870=""),"",SQRT(N870*O870))</x:f>
      </x:c>
      <x:c r="Q870" t="str">
        <x:f>IF(OR(N870="",O870=""),"",N870^0.7*O870^0.3)</x:f>
      </x:c>
      <x:c r="R870" t="str">
        <x:f>IF(OR(N870="",O870=""),"",N870^0.3*O870^0.7)</x:f>
      </x:c>
    </x:row>
    <x:row r="871" s="14" customFormat="1">
      <x:c r="A871" t="inlineStr">
        <x:is>
          <x:t xml:space="preserve">openai|gpt-6-1-sol|medium|yes|fallback-na|aa-v4.3.2|snapshot-2026-10-16</x:t>
        </x:is>
      </x:c>
      <x:c r="B871" t="inlineStr">
        <x:is>
          <x:t xml:space="preserve">openai|gpt-6-1-sol|medium|yes|fallback-na</x:t>
        </x:is>
      </x:c>
      <x:c r="C871" t="inlineStr">
        <x:is>
          <x:t xml:space="preserve">AA|v4.3.2</x:t>
        </x:is>
      </x:c>
      <x:c r="D871" t="n">
        <x:v>110</x:v>
      </x:c>
      <x:c r="E871" t="n">
        <x:v>45</x:v>
      </x:c>
      <x:c r="F871" t="n">
        <x:f>INDEX(Run_Metrics!$F:$F,D871)</x:f>
        <x:v>48</x:v>
      </x:c>
      <x:c r="G871" t="n">
        <x:f>INDEX(Run_Metrics!$G:$G,D871)</x:f>
        <x:v>0.21</x:v>
      </x:c>
      <x:c r="H871" t="str">
        <x:f>INDEX(Run_Metrics!$I:$I,D871)</x:f>
      </x:c>
      <x:c r="I871" t="n">
        <x:f>IF(F871="","",F871-(E871-1))</x:f>
        <x:v>4</x:v>
      </x:c>
      <x:c r="J871" t="n">
        <x:f>IF(I871&gt;0,1,0)</x:f>
        <x:v>1</x:v>
      </x:c>
      <x:c r="K871" t="n">
        <x:f>IF(OR(J871=0,G871="",G871=0),"",I871/G871)</x:f>
        <x:v>19.047619047619047</x:v>
      </x:c>
      <x:c r="L871" t="n">
        <x:f>IF(OR(J871=0,I871=0,G871=""),"",G871/I871)</x:f>
        <x:v>0.0525</x:v>
      </x:c>
      <x:c r="M871" t="str">
        <x:f>IF(OR(J871=0,G871="",H871="",G871=0,H871=0),"",I871/(G871*H871))</x:f>
      </x:c>
      <x:c r="N871" t="n">
        <x:f>IF(K871="","",K871/_xlfn.MAXIFS($K:$K,$E:$E,E871))</x:f>
        <x:v>1</x:v>
      </x:c>
      <x:c r="O871" t="str">
        <x:f>IF(M871="","",M871/_xlfn.MAXIFS($M:$M,$E:$E,E871))</x:f>
      </x:c>
      <x:c r="P871" t="str">
        <x:f>IF(OR(N871="",O871=""),"",SQRT(N871*O871))</x:f>
      </x:c>
      <x:c r="Q871" t="str">
        <x:f>IF(OR(N871="",O871=""),"",N871^0.7*O871^0.3)</x:f>
      </x:c>
      <x:c r="R871" t="str">
        <x:f>IF(OR(N871="",O871=""),"",N871^0.3*O871^0.7)</x:f>
      </x:c>
    </x:row>
    <x:row r="872" s="14" customFormat="1">
      <x:c r="A872" t="inlineStr">
        <x:is>
          <x:t xml:space="preserve">openai|gpt-6-1-sol|medium|yes|fallback-na|aa-v4.3.2|snapshot-2026-10-16</x:t>
        </x:is>
      </x:c>
      <x:c r="B872" t="inlineStr">
        <x:is>
          <x:t xml:space="preserve">openai|gpt-6-1-sol|medium|yes|fallback-na</x:t>
        </x:is>
      </x:c>
      <x:c r="C872" t="inlineStr">
        <x:is>
          <x:t xml:space="preserve">AA|v4.3.2</x:t>
        </x:is>
      </x:c>
      <x:c r="D872" t="n">
        <x:v>110</x:v>
      </x:c>
      <x:c r="E872" t="n">
        <x:v>50</x:v>
      </x:c>
      <x:c r="F872" t="n">
        <x:f>INDEX(Run_Metrics!$F:$F,D872)</x:f>
        <x:v>48</x:v>
      </x:c>
      <x:c r="G872" t="n">
        <x:f>INDEX(Run_Metrics!$G:$G,D872)</x:f>
        <x:v>0.21</x:v>
      </x:c>
      <x:c r="H872" t="str">
        <x:f>INDEX(Run_Metrics!$I:$I,D872)</x:f>
      </x:c>
      <x:c r="I872" t="n">
        <x:f>IF(F872="","",F872-(E872-1))</x:f>
        <x:v>-1</x:v>
      </x:c>
      <x:c r="J872" t="n">
        <x:f>IF(I872&gt;0,1,0)</x:f>
        <x:v>0</x:v>
      </x:c>
      <x:c r="K872" t="str">
        <x:f>IF(OR(J872=0,G872="",G872=0),"",I872/G872)</x:f>
      </x:c>
      <x:c r="L872" t="str">
        <x:f>IF(OR(J872=0,I872=0,G872=""),"",G872/I872)</x:f>
      </x:c>
      <x:c r="M872" t="str">
        <x:f>IF(OR(J872=0,G872="",H872="",G872=0,H872=0),"",I872/(G872*H872))</x:f>
      </x:c>
      <x:c r="N872" t="str">
        <x:f>IF(K872="","",K872/_xlfn.MAXIFS($K:$K,$E:$E,E872))</x:f>
      </x:c>
      <x:c r="O872" t="str">
        <x:f>IF(M872="","",M872/_xlfn.MAXIFS($M:$M,$E:$E,E872))</x:f>
      </x:c>
      <x:c r="P872" t="str">
        <x:f>IF(OR(N872="",O872=""),"",SQRT(N872*O872))</x:f>
      </x:c>
      <x:c r="Q872" t="str">
        <x:f>IF(OR(N872="",O872=""),"",N872^0.7*O872^0.3)</x:f>
      </x:c>
      <x:c r="R872" t="str">
        <x:f>IF(OR(N872="",O872=""),"",N872^0.3*O872^0.7)</x:f>
      </x:c>
    </x:row>
    <x:row r="873" s="14" customFormat="1">
      <x:c r="A873" t="inlineStr">
        <x:is>
          <x:t xml:space="preserve">openai|gpt-6-1-sol|medium|yes|fallback-na|aa-v4.3.2|snapshot-2026-10-16</x:t>
        </x:is>
      </x:c>
      <x:c r="B873" t="inlineStr">
        <x:is>
          <x:t xml:space="preserve">openai|gpt-6-1-sol|medium|yes|fallback-na</x:t>
        </x:is>
      </x:c>
      <x:c r="C873" t="inlineStr">
        <x:is>
          <x:t xml:space="preserve">AA|v4.3.2</x:t>
        </x:is>
      </x:c>
      <x:c r="D873" t="n">
        <x:v>110</x:v>
      </x:c>
      <x:c r="E873" t="n">
        <x:v>60</x:v>
      </x:c>
      <x:c r="F873" t="n">
        <x:f>INDEX(Run_Metrics!$F:$F,D873)</x:f>
        <x:v>48</x:v>
      </x:c>
      <x:c r="G873" t="n">
        <x:f>INDEX(Run_Metrics!$G:$G,D873)</x:f>
        <x:v>0.21</x:v>
      </x:c>
      <x:c r="H873" t="str">
        <x:f>INDEX(Run_Metrics!$I:$I,D873)</x:f>
      </x:c>
      <x:c r="I873" t="n">
        <x:f>IF(F873="","",F873-(E873-1))</x:f>
        <x:v>-11</x:v>
      </x:c>
      <x:c r="J873" t="n">
        <x:f>IF(I873&gt;0,1,0)</x:f>
        <x:v>0</x:v>
      </x:c>
      <x:c r="K873" t="str">
        <x:f>IF(OR(J873=0,G873="",G873=0),"",I873/G873)</x:f>
      </x:c>
      <x:c r="L873" t="str">
        <x:f>IF(OR(J873=0,I873=0,G873=""),"",G873/I873)</x:f>
      </x:c>
      <x:c r="M873" t="str">
        <x:f>IF(OR(J873=0,G873="",H873="",G873=0,H873=0),"",I873/(G873*H873))</x:f>
      </x:c>
      <x:c r="N873" t="str">
        <x:f>IF(K873="","",K873/_xlfn.MAXIFS($K:$K,$E:$E,E873))</x:f>
      </x:c>
      <x:c r="O873" t="str">
        <x:f>IF(M873="","",M873/_xlfn.MAXIFS($M:$M,$E:$E,E873))</x:f>
      </x:c>
      <x:c r="P873" t="str">
        <x:f>IF(OR(N873="",O873=""),"",SQRT(N873*O873))</x:f>
      </x:c>
      <x:c r="Q873" t="str">
        <x:f>IF(OR(N873="",O873=""),"",N873^0.7*O873^0.3)</x:f>
      </x:c>
      <x:c r="R873" t="str">
        <x:f>IF(OR(N873="",O873=""),"",N873^0.3*O873^0.7)</x:f>
      </x:c>
    </x:row>
    <x:row r="874" s="14" customFormat="1">
      <x:c r="A874" t="inlineStr">
        <x:is>
          <x:t xml:space="preserve">openai|gpt-6-1-sol|low|yes|fallback-na|aa-v4.3.2|snapshot-2026-10-16</x:t>
        </x:is>
      </x:c>
      <x:c r="B874" t="inlineStr">
        <x:is>
          <x:t xml:space="preserve">openai|gpt-6-1-sol|low|yes|fallback-na</x:t>
        </x:is>
      </x:c>
      <x:c r="C874" t="inlineStr">
        <x:is>
          <x:t xml:space="preserve">AA|v4.3.2</x:t>
        </x:is>
      </x:c>
      <x:c r="D874" t="n">
        <x:v>111</x:v>
      </x:c>
      <x:c r="E874" t="n">
        <x:v>10</x:v>
      </x:c>
      <x:c r="F874" t="n">
        <x:f>INDEX(Run_Metrics!$F:$F,D874)</x:f>
        <x:v>42</x:v>
      </x:c>
      <x:c r="G874" t="n">
        <x:f>INDEX(Run_Metrics!$G:$G,D874)</x:f>
        <x:v>0.13</x:v>
      </x:c>
      <x:c r="H874" t="str">
        <x:f>INDEX(Run_Metrics!$I:$I,D874)</x:f>
      </x:c>
      <x:c r="I874" t="n">
        <x:f>IF(F874="","",F874-(E874-1))</x:f>
        <x:v>33</x:v>
      </x:c>
      <x:c r="J874" t="n">
        <x:f>IF(I874&gt;0,1,0)</x:f>
        <x:v>1</x:v>
      </x:c>
      <x:c r="K874" t="n">
        <x:f>IF(OR(J874=0,G874="",G874=0),"",I874/G874)</x:f>
        <x:v>253.84615384615384</x:v>
      </x:c>
      <x:c r="L874" t="n">
        <x:f>IF(OR(J874=0,I874=0,G874=""),"",G874/I874)</x:f>
        <x:v>0.00393939393939394</x:v>
      </x:c>
      <x:c r="M874" t="str">
        <x:f>IF(OR(J874=0,G874="",H874="",G874=0,H874=0),"",I874/(G874*H874))</x:f>
      </x:c>
      <x:c r="N874" t="n">
        <x:f>IF(K874="","",K874/_xlfn.MAXIFS($K:$K,$E:$E,E874))</x:f>
        <x:v>0.0878698224852071</x:v>
      </x:c>
      <x:c r="O874" t="str">
        <x:f>IF(M874="","",M874/_xlfn.MAXIFS($M:$M,$E:$E,E874))</x:f>
      </x:c>
      <x:c r="P874" t="str">
        <x:f>IF(OR(N874="",O874=""),"",SQRT(N874*O874))</x:f>
      </x:c>
      <x:c r="Q874" t="str">
        <x:f>IF(OR(N874="",O874=""),"",N874^0.7*O874^0.3)</x:f>
      </x:c>
      <x:c r="R874" t="str">
        <x:f>IF(OR(N874="",O874=""),"",N874^0.3*O874^0.7)</x:f>
      </x:c>
    </x:row>
    <x:row r="875" s="14" customFormat="1">
      <x:c r="A875" t="inlineStr">
        <x:is>
          <x:t xml:space="preserve">openai|gpt-6-1-sol|low|yes|fallback-na|aa-v4.3.2|snapshot-2026-10-16</x:t>
        </x:is>
      </x:c>
      <x:c r="B875" t="inlineStr">
        <x:is>
          <x:t xml:space="preserve">openai|gpt-6-1-sol|low|yes|fallback-na</x:t>
        </x:is>
      </x:c>
      <x:c r="C875" t="inlineStr">
        <x:is>
          <x:t xml:space="preserve">AA|v4.3.2</x:t>
        </x:is>
      </x:c>
      <x:c r="D875" t="n">
        <x:v>111</x:v>
      </x:c>
      <x:c r="E875" t="n">
        <x:v>20</x:v>
      </x:c>
      <x:c r="F875" t="n">
        <x:f>INDEX(Run_Metrics!$F:$F,D875)</x:f>
        <x:v>42</x:v>
      </x:c>
      <x:c r="G875" t="n">
        <x:f>INDEX(Run_Metrics!$G:$G,D875)</x:f>
        <x:v>0.13</x:v>
      </x:c>
      <x:c r="H875" t="str">
        <x:f>INDEX(Run_Metrics!$I:$I,D875)</x:f>
      </x:c>
      <x:c r="I875" t="n">
        <x:f>IF(F875="","",F875-(E875-1))</x:f>
        <x:v>23</x:v>
      </x:c>
      <x:c r="J875" t="n">
        <x:f>IF(I875&gt;0,1,0)</x:f>
        <x:v>1</x:v>
      </x:c>
      <x:c r="K875" t="n">
        <x:f>IF(OR(J875=0,G875="",G875=0),"",I875/G875)</x:f>
        <x:v>176.9230769230769</x:v>
      </x:c>
      <x:c r="L875" t="n">
        <x:f>IF(OR(J875=0,I875=0,G875=""),"",G875/I875)</x:f>
        <x:v>0.005652173913043478</x:v>
      </x:c>
      <x:c r="M875" t="str">
        <x:f>IF(OR(J875=0,G875="",H875="",G875=0,H875=0),"",I875/(G875*H875))</x:f>
      </x:c>
      <x:c r="N875" t="n">
        <x:f>IF(K875="","",K875/_xlfn.MAXIFS($K:$K,$E:$E,E875))</x:f>
        <x:v>0.26538461538461533</x:v>
      </x:c>
      <x:c r="O875" t="str">
        <x:f>IF(M875="","",M875/_xlfn.MAXIFS($M:$M,$E:$E,E875))</x:f>
      </x:c>
      <x:c r="P875" t="str">
        <x:f>IF(OR(N875="",O875=""),"",SQRT(N875*O875))</x:f>
      </x:c>
      <x:c r="Q875" t="str">
        <x:f>IF(OR(N875="",O875=""),"",N875^0.7*O875^0.3)</x:f>
      </x:c>
      <x:c r="R875" t="str">
        <x:f>IF(OR(N875="",O875=""),"",N875^0.3*O875^0.7)</x:f>
      </x:c>
    </x:row>
    <x:row r="876" s="14" customFormat="1">
      <x:c r="A876" t="inlineStr">
        <x:is>
          <x:t xml:space="preserve">openai|gpt-6-1-sol|low|yes|fallback-na|aa-v4.3.2|snapshot-2026-10-16</x:t>
        </x:is>
      </x:c>
      <x:c r="B876" t="inlineStr">
        <x:is>
          <x:t xml:space="preserve">openai|gpt-6-1-sol|low|yes|fallback-na</x:t>
        </x:is>
      </x:c>
      <x:c r="C876" t="inlineStr">
        <x:is>
          <x:t xml:space="preserve">AA|v4.3.2</x:t>
        </x:is>
      </x:c>
      <x:c r="D876" t="n">
        <x:v>111</x:v>
      </x:c>
      <x:c r="E876" t="n">
        <x:v>30</x:v>
      </x:c>
      <x:c r="F876" t="n">
        <x:f>INDEX(Run_Metrics!$F:$F,D876)</x:f>
        <x:v>42</x:v>
      </x:c>
      <x:c r="G876" t="n">
        <x:f>INDEX(Run_Metrics!$G:$G,D876)</x:f>
        <x:v>0.13</x:v>
      </x:c>
      <x:c r="H876" t="str">
        <x:f>INDEX(Run_Metrics!$I:$I,D876)</x:f>
      </x:c>
      <x:c r="I876" t="n">
        <x:f>IF(F876="","",F876-(E876-1))</x:f>
        <x:v>13</x:v>
      </x:c>
      <x:c r="J876" t="n">
        <x:f>IF(I876&gt;0,1,0)</x:f>
        <x:v>1</x:v>
      </x:c>
      <x:c r="K876" t="n">
        <x:f>IF(OR(J876=0,G876="",G876=0),"",I876/G876)</x:f>
        <x:v>100</x:v>
      </x:c>
      <x:c r="L876" t="n">
        <x:f>IF(OR(J876=0,I876=0,G876=""),"",G876/I876)</x:f>
        <x:v>0.01</x:v>
      </x:c>
      <x:c r="M876" t="str">
        <x:f>IF(OR(J876=0,G876="",H876="",G876=0,H876=0),"",I876/(G876*H876))</x:f>
      </x:c>
      <x:c r="N876" t="n">
        <x:f>IF(K876="","",K876/_xlfn.MAXIFS($K:$K,$E:$E,E876))</x:f>
        <x:v>0.6666666666666666</x:v>
      </x:c>
      <x:c r="O876" t="str">
        <x:f>IF(M876="","",M876/_xlfn.MAXIFS($M:$M,$E:$E,E876))</x:f>
      </x:c>
      <x:c r="P876" t="str">
        <x:f>IF(OR(N876="",O876=""),"",SQRT(N876*O876))</x:f>
      </x:c>
      <x:c r="Q876" t="str">
        <x:f>IF(OR(N876="",O876=""),"",N876^0.7*O876^0.3)</x:f>
      </x:c>
      <x:c r="R876" t="str">
        <x:f>IF(OR(N876="",O876=""),"",N876^0.3*O876^0.7)</x:f>
      </x:c>
    </x:row>
    <x:row r="877" s="14" customFormat="1">
      <x:c r="A877" t="inlineStr">
        <x:is>
          <x:t xml:space="preserve">openai|gpt-6-1-sol|low|yes|fallback-na|aa-v4.3.2|snapshot-2026-10-16</x:t>
        </x:is>
      </x:c>
      <x:c r="B877" t="inlineStr">
        <x:is>
          <x:t xml:space="preserve">openai|gpt-6-1-sol|low|yes|fallback-na</x:t>
        </x:is>
      </x:c>
      <x:c r="C877" t="inlineStr">
        <x:is>
          <x:t xml:space="preserve">AA|v4.3.2</x:t>
        </x:is>
      </x:c>
      <x:c r="D877" t="n">
        <x:v>111</x:v>
      </x:c>
      <x:c r="E877" t="n">
        <x:v>35</x:v>
      </x:c>
      <x:c r="F877" t="n">
        <x:f>INDEX(Run_Metrics!$F:$F,D877)</x:f>
        <x:v>42</x:v>
      </x:c>
      <x:c r="G877" t="n">
        <x:f>INDEX(Run_Metrics!$G:$G,D877)</x:f>
        <x:v>0.13</x:v>
      </x:c>
      <x:c r="H877" t="str">
        <x:f>INDEX(Run_Metrics!$I:$I,D877)</x:f>
      </x:c>
      <x:c r="I877" t="n">
        <x:f>IF(F877="","",F877-(E877-1))</x:f>
        <x:v>8</x:v>
      </x:c>
      <x:c r="J877" t="n">
        <x:f>IF(I877&gt;0,1,0)</x:f>
        <x:v>1</x:v>
      </x:c>
      <x:c r="K877" t="n">
        <x:f>IF(OR(J877=0,G877="",G877=0),"",I877/G877)</x:f>
        <x:v>61.53846153846153</x:v>
      </x:c>
      <x:c r="L877" t="n">
        <x:f>IF(OR(J877=0,I877=0,G877=""),"",G877/I877)</x:f>
        <x:v>0.01625</x:v>
      </x:c>
      <x:c r="M877" t="str">
        <x:f>IF(OR(J877=0,G877="",H877="",G877=0,H877=0),"",I877/(G877*H877))</x:f>
      </x:c>
      <x:c r="N877" t="n">
        <x:f>IF(K877="","",K877/_xlfn.MAXIFS($K:$K,$E:$E,E877))</x:f>
        <x:v>0.6666666666666666</x:v>
      </x:c>
      <x:c r="O877" t="str">
        <x:f>IF(M877="","",M877/_xlfn.MAXIFS($M:$M,$E:$E,E877))</x:f>
      </x:c>
      <x:c r="P877" t="str">
        <x:f>IF(OR(N877="",O877=""),"",SQRT(N877*O877))</x:f>
      </x:c>
      <x:c r="Q877" t="str">
        <x:f>IF(OR(N877="",O877=""),"",N877^0.7*O877^0.3)</x:f>
      </x:c>
      <x:c r="R877" t="str">
        <x:f>IF(OR(N877="",O877=""),"",N877^0.3*O877^0.7)</x:f>
      </x:c>
    </x:row>
    <x:row r="878" s="14" customFormat="1">
      <x:c r="A878" t="inlineStr">
        <x:is>
          <x:t xml:space="preserve">openai|gpt-6-1-sol|low|yes|fallback-na|aa-v4.3.2|snapshot-2026-10-16</x:t>
        </x:is>
      </x:c>
      <x:c r="B878" t="inlineStr">
        <x:is>
          <x:t xml:space="preserve">openai|gpt-6-1-sol|low|yes|fallback-na</x:t>
        </x:is>
      </x:c>
      <x:c r="C878" t="inlineStr">
        <x:is>
          <x:t xml:space="preserve">AA|v4.3.2</x:t>
        </x:is>
      </x:c>
      <x:c r="D878" t="n">
        <x:v>111</x:v>
      </x:c>
      <x:c r="E878" t="n">
        <x:v>40</x:v>
      </x:c>
      <x:c r="F878" t="n">
        <x:f>INDEX(Run_Metrics!$F:$F,D878)</x:f>
        <x:v>42</x:v>
      </x:c>
      <x:c r="G878" t="n">
        <x:f>INDEX(Run_Metrics!$G:$G,D878)</x:f>
        <x:v>0.13</x:v>
      </x:c>
      <x:c r="H878" t="str">
        <x:f>INDEX(Run_Metrics!$I:$I,D878)</x:f>
      </x:c>
      <x:c r="I878" t="n">
        <x:f>IF(F878="","",F878-(E878-1))</x:f>
        <x:v>3</x:v>
      </x:c>
      <x:c r="J878" t="n">
        <x:f>IF(I878&gt;0,1,0)</x:f>
        <x:v>1</x:v>
      </x:c>
      <x:c r="K878" t="n">
        <x:f>IF(OR(J878=0,G878="",G878=0),"",I878/G878)</x:f>
        <x:v>23.076923076923077</x:v>
      </x:c>
      <x:c r="L878" t="n">
        <x:f>IF(OR(J878=0,I878=0,G878=""),"",G878/I878)</x:f>
        <x:v>0.043333333333333335</x:v>
      </x:c>
      <x:c r="M878" t="str">
        <x:f>IF(OR(J878=0,G878="",H878="",G878=0,H878=0),"",I878/(G878*H878))</x:f>
      </x:c>
      <x:c r="N878" t="n">
        <x:f>IF(K878="","",K878/_xlfn.MAXIFS($K:$K,$E:$E,E878))</x:f>
        <x:v>0.42857142857142855</x:v>
      </x:c>
      <x:c r="O878" t="str">
        <x:f>IF(M878="","",M878/_xlfn.MAXIFS($M:$M,$E:$E,E878))</x:f>
      </x:c>
      <x:c r="P878" t="str">
        <x:f>IF(OR(N878="",O878=""),"",SQRT(N878*O878))</x:f>
      </x:c>
      <x:c r="Q878" t="str">
        <x:f>IF(OR(N878="",O878=""),"",N878^0.7*O878^0.3)</x:f>
      </x:c>
      <x:c r="R878" t="str">
        <x:f>IF(OR(N878="",O878=""),"",N878^0.3*O878^0.7)</x:f>
      </x:c>
    </x:row>
    <x:row r="879" s="14" customFormat="1">
      <x:c r="A879" t="inlineStr">
        <x:is>
          <x:t xml:space="preserve">openai|gpt-6-1-sol|low|yes|fallback-na|aa-v4.3.2|snapshot-2026-10-16</x:t>
        </x:is>
      </x:c>
      <x:c r="B879" t="inlineStr">
        <x:is>
          <x:t xml:space="preserve">openai|gpt-6-1-sol|low|yes|fallback-na</x:t>
        </x:is>
      </x:c>
      <x:c r="C879" t="inlineStr">
        <x:is>
          <x:t xml:space="preserve">AA|v4.3.2</x:t>
        </x:is>
      </x:c>
      <x:c r="D879" t="n">
        <x:v>111</x:v>
      </x:c>
      <x:c r="E879" t="n">
        <x:v>45</x:v>
      </x:c>
      <x:c r="F879" t="n">
        <x:f>INDEX(Run_Metrics!$F:$F,D879)</x:f>
        <x:v>42</x:v>
      </x:c>
      <x:c r="G879" t="n">
        <x:f>INDEX(Run_Metrics!$G:$G,D879)</x:f>
        <x:v>0.13</x:v>
      </x:c>
      <x:c r="H879" t="str">
        <x:f>INDEX(Run_Metrics!$I:$I,D879)</x:f>
      </x:c>
      <x:c r="I879" t="n">
        <x:f>IF(F879="","",F879-(E879-1))</x:f>
        <x:v>-2</x:v>
      </x:c>
      <x:c r="J879" t="n">
        <x:f>IF(I879&gt;0,1,0)</x:f>
        <x:v>0</x:v>
      </x:c>
      <x:c r="K879" t="str">
        <x:f>IF(OR(J879=0,G879="",G879=0),"",I879/G879)</x:f>
      </x:c>
      <x:c r="L879" t="str">
        <x:f>IF(OR(J879=0,I879=0,G879=""),"",G879/I879)</x:f>
      </x:c>
      <x:c r="M879" t="str">
        <x:f>IF(OR(J879=0,G879="",H879="",G879=0,H879=0),"",I879/(G879*H879))</x:f>
      </x:c>
      <x:c r="N879" t="str">
        <x:f>IF(K879="","",K879/_xlfn.MAXIFS($K:$K,$E:$E,E879))</x:f>
      </x:c>
      <x:c r="O879" t="str">
        <x:f>IF(M879="","",M879/_xlfn.MAXIFS($M:$M,$E:$E,E879))</x:f>
      </x:c>
      <x:c r="P879" t="str">
        <x:f>IF(OR(N879="",O879=""),"",SQRT(N879*O879))</x:f>
      </x:c>
      <x:c r="Q879" t="str">
        <x:f>IF(OR(N879="",O879=""),"",N879^0.7*O879^0.3)</x:f>
      </x:c>
      <x:c r="R879" t="str">
        <x:f>IF(OR(N879="",O879=""),"",N879^0.3*O879^0.7)</x:f>
      </x:c>
    </x:row>
    <x:row r="880" s="14" customFormat="1">
      <x:c r="A880" t="inlineStr">
        <x:is>
          <x:t xml:space="preserve">openai|gpt-6-1-sol|low|yes|fallback-na|aa-v4.3.2|snapshot-2026-10-16</x:t>
        </x:is>
      </x:c>
      <x:c r="B880" t="inlineStr">
        <x:is>
          <x:t xml:space="preserve">openai|gpt-6-1-sol|low|yes|fallback-na</x:t>
        </x:is>
      </x:c>
      <x:c r="C880" t="inlineStr">
        <x:is>
          <x:t xml:space="preserve">AA|v4.3.2</x:t>
        </x:is>
      </x:c>
      <x:c r="D880" t="n">
        <x:v>111</x:v>
      </x:c>
      <x:c r="E880" t="n">
        <x:v>50</x:v>
      </x:c>
      <x:c r="F880" t="n">
        <x:f>INDEX(Run_Metrics!$F:$F,D880)</x:f>
        <x:v>42</x:v>
      </x:c>
      <x:c r="G880" t="n">
        <x:f>INDEX(Run_Metrics!$G:$G,D880)</x:f>
        <x:v>0.13</x:v>
      </x:c>
      <x:c r="H880" t="str">
        <x:f>INDEX(Run_Metrics!$I:$I,D880)</x:f>
      </x:c>
      <x:c r="I880" t="n">
        <x:f>IF(F880="","",F880-(E880-1))</x:f>
        <x:v>-7</x:v>
      </x:c>
      <x:c r="J880" t="n">
        <x:f>IF(I880&gt;0,1,0)</x:f>
        <x:v>0</x:v>
      </x:c>
      <x:c r="K880" t="str">
        <x:f>IF(OR(J880=0,G880="",G880=0),"",I880/G880)</x:f>
      </x:c>
      <x:c r="L880" t="str">
        <x:f>IF(OR(J880=0,I880=0,G880=""),"",G880/I880)</x:f>
      </x:c>
      <x:c r="M880" t="str">
        <x:f>IF(OR(J880=0,G880="",H880="",G880=0,H880=0),"",I880/(G880*H880))</x:f>
      </x:c>
      <x:c r="N880" t="str">
        <x:f>IF(K880="","",K880/_xlfn.MAXIFS($K:$K,$E:$E,E880))</x:f>
      </x:c>
      <x:c r="O880" t="str">
        <x:f>IF(M880="","",M880/_xlfn.MAXIFS($M:$M,$E:$E,E880))</x:f>
      </x:c>
      <x:c r="P880" t="str">
        <x:f>IF(OR(N880="",O880=""),"",SQRT(N880*O880))</x:f>
      </x:c>
      <x:c r="Q880" t="str">
        <x:f>IF(OR(N880="",O880=""),"",N880^0.7*O880^0.3)</x:f>
      </x:c>
      <x:c r="R880" t="str">
        <x:f>IF(OR(N880="",O880=""),"",N880^0.3*O880^0.7)</x:f>
      </x:c>
    </x:row>
    <x:row r="881" s="14" customFormat="1">
      <x:c r="A881" t="inlineStr">
        <x:is>
          <x:t xml:space="preserve">openai|gpt-6-1-sol|low|yes|fallback-na|aa-v4.3.2|snapshot-2026-10-16</x:t>
        </x:is>
      </x:c>
      <x:c r="B881" t="inlineStr">
        <x:is>
          <x:t xml:space="preserve">openai|gpt-6-1-sol|low|yes|fallback-na</x:t>
        </x:is>
      </x:c>
      <x:c r="C881" t="inlineStr">
        <x:is>
          <x:t xml:space="preserve">AA|v4.3.2</x:t>
        </x:is>
      </x:c>
      <x:c r="D881" t="n">
        <x:v>111</x:v>
      </x:c>
      <x:c r="E881" t="n">
        <x:v>60</x:v>
      </x:c>
      <x:c r="F881" t="n">
        <x:f>INDEX(Run_Metrics!$F:$F,D881)</x:f>
        <x:v>42</x:v>
      </x:c>
      <x:c r="G881" t="n">
        <x:f>INDEX(Run_Metrics!$G:$G,D881)</x:f>
        <x:v>0.13</x:v>
      </x:c>
      <x:c r="H881" t="str">
        <x:f>INDEX(Run_Metrics!$I:$I,D881)</x:f>
      </x:c>
      <x:c r="I881" t="n">
        <x:f>IF(F881="","",F881-(E881-1))</x:f>
        <x:v>-17</x:v>
      </x:c>
      <x:c r="J881" t="n">
        <x:f>IF(I881&gt;0,1,0)</x:f>
        <x:v>0</x:v>
      </x:c>
      <x:c r="K881" t="str">
        <x:f>IF(OR(J881=0,G881="",G881=0),"",I881/G881)</x:f>
      </x:c>
      <x:c r="L881" t="str">
        <x:f>IF(OR(J881=0,I881=0,G881=""),"",G881/I881)</x:f>
      </x:c>
      <x:c r="M881" t="str">
        <x:f>IF(OR(J881=0,G881="",H881="",G881=0,H881=0),"",I881/(G881*H881))</x:f>
      </x:c>
      <x:c r="N881" t="str">
        <x:f>IF(K881="","",K881/_xlfn.MAXIFS($K:$K,$E:$E,E881))</x:f>
      </x:c>
      <x:c r="O881" t="str">
        <x:f>IF(M881="","",M881/_xlfn.MAXIFS($M:$M,$E:$E,E881))</x:f>
      </x:c>
      <x:c r="P881" t="str">
        <x:f>IF(OR(N881="",O881=""),"",SQRT(N881*O881))</x:f>
      </x:c>
      <x:c r="Q881" t="str">
        <x:f>IF(OR(N881="",O881=""),"",N881^0.7*O881^0.3)</x:f>
      </x:c>
      <x:c r="R881" t="str">
        <x:f>IF(OR(N881="",O881=""),"",N881^0.3*O881^0.7)</x:f>
      </x:c>
    </x:row>
    <x:row r="882" s="14" customFormat="1">
      <x:c r="A882" t="inlineStr">
        <x:is>
          <x:t xml:space="preserve">openai|gpt-6-astra|xhigh|reasoning|fallback-na|aa-v4.3.2|snapshot-2026-10-16</x:t>
        </x:is>
      </x:c>
      <x:c r="B882" t="inlineStr">
        <x:is>
          <x:t xml:space="preserve">openai|gpt-6-astra|xhigh|reasoning|fallback-na</x:t>
        </x:is>
      </x:c>
      <x:c r="C882" t="inlineStr">
        <x:is>
          <x:t xml:space="preserve">AA|v4.3.2</x:t>
        </x:is>
      </x:c>
      <x:c r="D882" t="n">
        <x:v>112</x:v>
      </x:c>
      <x:c r="E882" t="n">
        <x:v>10</x:v>
      </x:c>
      <x:c r="F882" t="n">
        <x:f>INDEX(Run_Metrics!$F:$F,D882)</x:f>
        <x:v>52</x:v>
      </x:c>
      <x:c r="G882" t="n">
        <x:f>INDEX(Run_Metrics!$G:$G,D882)</x:f>
        <x:v>2.31</x:v>
      </x:c>
      <x:c r="H882" t="str">
        <x:f>INDEX(Run_Metrics!$I:$I,D882)</x:f>
      </x:c>
      <x:c r="I882" t="n">
        <x:f>IF(F882="","",F882-(E882-1))</x:f>
        <x:v>43</x:v>
      </x:c>
      <x:c r="J882" t="n">
        <x:f>IF(I882&gt;0,1,0)</x:f>
        <x:v>1</x:v>
      </x:c>
      <x:c r="K882" t="n">
        <x:f>IF(OR(J882=0,G882="",G882=0),"",I882/G882)</x:f>
        <x:v>18.614718614718615</x:v>
      </x:c>
      <x:c r="L882" t="n">
        <x:f>IF(OR(J882=0,I882=0,G882=""),"",G882/I882)</x:f>
        <x:v>0.05372093023255814</x:v>
      </x:c>
      <x:c r="M882" t="str">
        <x:f>IF(OR(J882=0,G882="",H882="",G882=0,H882=0),"",I882/(G882*H882))</x:f>
      </x:c>
      <x:c r="N882" t="n">
        <x:f>IF(K882="","",K882/_xlfn.MAXIFS($K:$K,$E:$E,E882))</x:f>
        <x:v>0.006443556443556443</x:v>
      </x:c>
      <x:c r="O882" t="str">
        <x:f>IF(M882="","",M882/_xlfn.MAXIFS($M:$M,$E:$E,E882))</x:f>
      </x:c>
      <x:c r="P882" t="str">
        <x:f>IF(OR(N882="",O882=""),"",SQRT(N882*O882))</x:f>
      </x:c>
      <x:c r="Q882" t="str">
        <x:f>IF(OR(N882="",O882=""),"",N882^0.7*O882^0.3)</x:f>
      </x:c>
      <x:c r="R882" t="str">
        <x:f>IF(OR(N882="",O882=""),"",N882^0.3*O882^0.7)</x:f>
      </x:c>
    </x:row>
    <x:row r="883" s="14" customFormat="1">
      <x:c r="A883" t="inlineStr">
        <x:is>
          <x:t xml:space="preserve">openai|gpt-6-astra|xhigh|reasoning|fallback-na|aa-v4.3.2|snapshot-2026-10-16</x:t>
        </x:is>
      </x:c>
      <x:c r="B883" t="inlineStr">
        <x:is>
          <x:t xml:space="preserve">openai|gpt-6-astra|xhigh|reasoning|fallback-na</x:t>
        </x:is>
      </x:c>
      <x:c r="C883" t="inlineStr">
        <x:is>
          <x:t xml:space="preserve">AA|v4.3.2</x:t>
        </x:is>
      </x:c>
      <x:c r="D883" t="n">
        <x:v>112</x:v>
      </x:c>
      <x:c r="E883" t="n">
        <x:v>20</x:v>
      </x:c>
      <x:c r="F883" t="n">
        <x:f>INDEX(Run_Metrics!$F:$F,D883)</x:f>
        <x:v>52</x:v>
      </x:c>
      <x:c r="G883" t="n">
        <x:f>INDEX(Run_Metrics!$G:$G,D883)</x:f>
        <x:v>2.31</x:v>
      </x:c>
      <x:c r="H883" t="str">
        <x:f>INDEX(Run_Metrics!$I:$I,D883)</x:f>
      </x:c>
      <x:c r="I883" t="n">
        <x:f>IF(F883="","",F883-(E883-1))</x:f>
        <x:v>33</x:v>
      </x:c>
      <x:c r="J883" t="n">
        <x:f>IF(I883&gt;0,1,0)</x:f>
        <x:v>1</x:v>
      </x:c>
      <x:c r="K883" t="n">
        <x:f>IF(OR(J883=0,G883="",G883=0),"",I883/G883)</x:f>
        <x:v>14.285714285714285</x:v>
      </x:c>
      <x:c r="L883" t="n">
        <x:f>IF(OR(J883=0,I883=0,G883=""),"",G883/I883)</x:f>
        <x:v>0.07</x:v>
      </x:c>
      <x:c r="M883" t="str">
        <x:f>IF(OR(J883=0,G883="",H883="",G883=0,H883=0),"",I883/(G883*H883))</x:f>
      </x:c>
      <x:c r="N883" t="n">
        <x:f>IF(K883="","",K883/_xlfn.MAXIFS($K:$K,$E:$E,E883))</x:f>
        <x:v>0.021428571428571425</x:v>
      </x:c>
      <x:c r="O883" t="str">
        <x:f>IF(M883="","",M883/_xlfn.MAXIFS($M:$M,$E:$E,E883))</x:f>
      </x:c>
      <x:c r="P883" t="str">
        <x:f>IF(OR(N883="",O883=""),"",SQRT(N883*O883))</x:f>
      </x:c>
      <x:c r="Q883" t="str">
        <x:f>IF(OR(N883="",O883=""),"",N883^0.7*O883^0.3)</x:f>
      </x:c>
      <x:c r="R883" t="str">
        <x:f>IF(OR(N883="",O883=""),"",N883^0.3*O883^0.7)</x:f>
      </x:c>
    </x:row>
    <x:row r="884" s="14" customFormat="1">
      <x:c r="A884" t="inlineStr">
        <x:is>
          <x:t xml:space="preserve">openai|gpt-6-astra|xhigh|reasoning|fallback-na|aa-v4.3.2|snapshot-2026-10-16</x:t>
        </x:is>
      </x:c>
      <x:c r="B884" t="inlineStr">
        <x:is>
          <x:t xml:space="preserve">openai|gpt-6-astra|xhigh|reasoning|fallback-na</x:t>
        </x:is>
      </x:c>
      <x:c r="C884" t="inlineStr">
        <x:is>
          <x:t xml:space="preserve">AA|v4.3.2</x:t>
        </x:is>
      </x:c>
      <x:c r="D884" t="n">
        <x:v>112</x:v>
      </x:c>
      <x:c r="E884" t="n">
        <x:v>30</x:v>
      </x:c>
      <x:c r="F884" t="n">
        <x:f>INDEX(Run_Metrics!$F:$F,D884)</x:f>
        <x:v>52</x:v>
      </x:c>
      <x:c r="G884" t="n">
        <x:f>INDEX(Run_Metrics!$G:$G,D884)</x:f>
        <x:v>2.31</x:v>
      </x:c>
      <x:c r="H884" t="str">
        <x:f>INDEX(Run_Metrics!$I:$I,D884)</x:f>
      </x:c>
      <x:c r="I884" t="n">
        <x:f>IF(F884="","",F884-(E884-1))</x:f>
        <x:v>23</x:v>
      </x:c>
      <x:c r="J884" t="n">
        <x:f>IF(I884&gt;0,1,0)</x:f>
        <x:v>1</x:v>
      </x:c>
      <x:c r="K884" t="n">
        <x:f>IF(OR(J884=0,G884="",G884=0),"",I884/G884)</x:f>
        <x:v>9.956709956709956</x:v>
      </x:c>
      <x:c r="L884" t="n">
        <x:f>IF(OR(J884=0,I884=0,G884=""),"",G884/I884)</x:f>
        <x:v>0.10043478260869565</x:v>
      </x:c>
      <x:c r="M884" t="str">
        <x:f>IF(OR(J884=0,G884="",H884="",G884=0,H884=0),"",I884/(G884*H884))</x:f>
      </x:c>
      <x:c r="N884" t="n">
        <x:f>IF(K884="","",K884/_xlfn.MAXIFS($K:$K,$E:$E,E884))</x:f>
        <x:v>0.06637806637806637</x:v>
      </x:c>
      <x:c r="O884" t="str">
        <x:f>IF(M884="","",M884/_xlfn.MAXIFS($M:$M,$E:$E,E884))</x:f>
      </x:c>
      <x:c r="P884" t="str">
        <x:f>IF(OR(N884="",O884=""),"",SQRT(N884*O884))</x:f>
      </x:c>
      <x:c r="Q884" t="str">
        <x:f>IF(OR(N884="",O884=""),"",N884^0.7*O884^0.3)</x:f>
      </x:c>
      <x:c r="R884" t="str">
        <x:f>IF(OR(N884="",O884=""),"",N884^0.3*O884^0.7)</x:f>
      </x:c>
    </x:row>
    <x:row r="885" s="14" customFormat="1">
      <x:c r="A885" t="inlineStr">
        <x:is>
          <x:t xml:space="preserve">openai|gpt-6-astra|xhigh|reasoning|fallback-na|aa-v4.3.2|snapshot-2026-10-16</x:t>
        </x:is>
      </x:c>
      <x:c r="B885" t="inlineStr">
        <x:is>
          <x:t xml:space="preserve">openai|gpt-6-astra|xhigh|reasoning|fallback-na</x:t>
        </x:is>
      </x:c>
      <x:c r="C885" t="inlineStr">
        <x:is>
          <x:t xml:space="preserve">AA|v4.3.2</x:t>
        </x:is>
      </x:c>
      <x:c r="D885" t="n">
        <x:v>112</x:v>
      </x:c>
      <x:c r="E885" t="n">
        <x:v>35</x:v>
      </x:c>
      <x:c r="F885" t="n">
        <x:f>INDEX(Run_Metrics!$F:$F,D885)</x:f>
        <x:v>52</x:v>
      </x:c>
      <x:c r="G885" t="n">
        <x:f>INDEX(Run_Metrics!$G:$G,D885)</x:f>
        <x:v>2.31</x:v>
      </x:c>
      <x:c r="H885" t="str">
        <x:f>INDEX(Run_Metrics!$I:$I,D885)</x:f>
      </x:c>
      <x:c r="I885" t="n">
        <x:f>IF(F885="","",F885-(E885-1))</x:f>
        <x:v>18</x:v>
      </x:c>
      <x:c r="J885" t="n">
        <x:f>IF(I885&gt;0,1,0)</x:f>
        <x:v>1</x:v>
      </x:c>
      <x:c r="K885" t="n">
        <x:f>IF(OR(J885=0,G885="",G885=0),"",I885/G885)</x:f>
        <x:v>7.792207792207792</x:v>
      </x:c>
      <x:c r="L885" t="n">
        <x:f>IF(OR(J885=0,I885=0,G885=""),"",G885/I885)</x:f>
        <x:v>0.12833333333333333</x:v>
      </x:c>
      <x:c r="M885" t="str">
        <x:f>IF(OR(J885=0,G885="",H885="",G885=0,H885=0),"",I885/(G885*H885))</x:f>
      </x:c>
      <x:c r="N885" t="n">
        <x:f>IF(K885="","",K885/_xlfn.MAXIFS($K:$K,$E:$E,E885))</x:f>
        <x:v>0.08441558441558442</x:v>
      </x:c>
      <x:c r="O885" t="str">
        <x:f>IF(M885="","",M885/_xlfn.MAXIFS($M:$M,$E:$E,E885))</x:f>
      </x:c>
      <x:c r="P885" t="str">
        <x:f>IF(OR(N885="",O885=""),"",SQRT(N885*O885))</x:f>
      </x:c>
      <x:c r="Q885" t="str">
        <x:f>IF(OR(N885="",O885=""),"",N885^0.7*O885^0.3)</x:f>
      </x:c>
      <x:c r="R885" t="str">
        <x:f>IF(OR(N885="",O885=""),"",N885^0.3*O885^0.7)</x:f>
      </x:c>
    </x:row>
    <x:row r="886" s="14" customFormat="1">
      <x:c r="A886" t="inlineStr">
        <x:is>
          <x:t xml:space="preserve">openai|gpt-6-astra|xhigh|reasoning|fallback-na|aa-v4.3.2|snapshot-2026-10-16</x:t>
        </x:is>
      </x:c>
      <x:c r="B886" t="inlineStr">
        <x:is>
          <x:t xml:space="preserve">openai|gpt-6-astra|xhigh|reasoning|fallback-na</x:t>
        </x:is>
      </x:c>
      <x:c r="C886" t="inlineStr">
        <x:is>
          <x:t xml:space="preserve">AA|v4.3.2</x:t>
        </x:is>
      </x:c>
      <x:c r="D886" t="n">
        <x:v>112</x:v>
      </x:c>
      <x:c r="E886" t="n">
        <x:v>40</x:v>
      </x:c>
      <x:c r="F886" t="n">
        <x:f>INDEX(Run_Metrics!$F:$F,D886)</x:f>
        <x:v>52</x:v>
      </x:c>
      <x:c r="G886" t="n">
        <x:f>INDEX(Run_Metrics!$G:$G,D886)</x:f>
        <x:v>2.31</x:v>
      </x:c>
      <x:c r="H886" t="str">
        <x:f>INDEX(Run_Metrics!$I:$I,D886)</x:f>
      </x:c>
      <x:c r="I886" t="n">
        <x:f>IF(F886="","",F886-(E886-1))</x:f>
        <x:v>13</x:v>
      </x:c>
      <x:c r="J886" t="n">
        <x:f>IF(I886&gt;0,1,0)</x:f>
        <x:v>1</x:v>
      </x:c>
      <x:c r="K886" t="n">
        <x:f>IF(OR(J886=0,G886="",G886=0),"",I886/G886)</x:f>
        <x:v>5.627705627705628</x:v>
      </x:c>
      <x:c r="L886" t="n">
        <x:f>IF(OR(J886=0,I886=0,G886=""),"",G886/I886)</x:f>
        <x:v>0.1776923076923077</x:v>
      </x:c>
      <x:c r="M886" t="str">
        <x:f>IF(OR(J886=0,G886="",H886="",G886=0,H886=0),"",I886/(G886*H886))</x:f>
      </x:c>
      <x:c r="N886" t="n">
        <x:f>IF(K886="","",K886/_xlfn.MAXIFS($K:$K,$E:$E,E886))</x:f>
        <x:v>0.10451453308596166</x:v>
      </x:c>
      <x:c r="O886" t="str">
        <x:f>IF(M886="","",M886/_xlfn.MAXIFS($M:$M,$E:$E,E886))</x:f>
      </x:c>
      <x:c r="P886" t="str">
        <x:f>IF(OR(N886="",O886=""),"",SQRT(N886*O886))</x:f>
      </x:c>
      <x:c r="Q886" t="str">
        <x:f>IF(OR(N886="",O886=""),"",N886^0.7*O886^0.3)</x:f>
      </x:c>
      <x:c r="R886" t="str">
        <x:f>IF(OR(N886="",O886=""),"",N886^0.3*O886^0.7)</x:f>
      </x:c>
    </x:row>
    <x:row r="887" s="14" customFormat="1">
      <x:c r="A887" t="inlineStr">
        <x:is>
          <x:t xml:space="preserve">openai|gpt-6-astra|xhigh|reasoning|fallback-na|aa-v4.3.2|snapshot-2026-10-16</x:t>
        </x:is>
      </x:c>
      <x:c r="B887" t="inlineStr">
        <x:is>
          <x:t xml:space="preserve">openai|gpt-6-astra|xhigh|reasoning|fallback-na</x:t>
        </x:is>
      </x:c>
      <x:c r="C887" t="inlineStr">
        <x:is>
          <x:t xml:space="preserve">AA|v4.3.2</x:t>
        </x:is>
      </x:c>
      <x:c r="D887" t="n">
        <x:v>112</x:v>
      </x:c>
      <x:c r="E887" t="n">
        <x:v>45</x:v>
      </x:c>
      <x:c r="F887" t="n">
        <x:f>INDEX(Run_Metrics!$F:$F,D887)</x:f>
        <x:v>52</x:v>
      </x:c>
      <x:c r="G887" t="n">
        <x:f>INDEX(Run_Metrics!$G:$G,D887)</x:f>
        <x:v>2.31</x:v>
      </x:c>
      <x:c r="H887" t="str">
        <x:f>INDEX(Run_Metrics!$I:$I,D887)</x:f>
      </x:c>
      <x:c r="I887" t="n">
        <x:f>IF(F887="","",F887-(E887-1))</x:f>
        <x:v>8</x:v>
      </x:c>
      <x:c r="J887" t="n">
        <x:f>IF(I887&gt;0,1,0)</x:f>
        <x:v>1</x:v>
      </x:c>
      <x:c r="K887" t="n">
        <x:f>IF(OR(J887=0,G887="",G887=0),"",I887/G887)</x:f>
        <x:v>3.463203463203463</x:v>
      </x:c>
      <x:c r="L887" t="n">
        <x:f>IF(OR(J887=0,I887=0,G887=""),"",G887/I887)</x:f>
        <x:v>0.28875</x:v>
      </x:c>
      <x:c r="M887" t="str">
        <x:f>IF(OR(J887=0,G887="",H887="",G887=0,H887=0),"",I887/(G887*H887))</x:f>
      </x:c>
      <x:c r="N887" t="n">
        <x:f>IF(K887="","",K887/_xlfn.MAXIFS($K:$K,$E:$E,E887))</x:f>
        <x:v>0.18181818181818182</x:v>
      </x:c>
      <x:c r="O887" t="str">
        <x:f>IF(M887="","",M887/_xlfn.MAXIFS($M:$M,$E:$E,E887))</x:f>
      </x:c>
      <x:c r="P887" t="str">
        <x:f>IF(OR(N887="",O887=""),"",SQRT(N887*O887))</x:f>
      </x:c>
      <x:c r="Q887" t="str">
        <x:f>IF(OR(N887="",O887=""),"",N887^0.7*O887^0.3)</x:f>
      </x:c>
      <x:c r="R887" t="str">
        <x:f>IF(OR(N887="",O887=""),"",N887^0.3*O887^0.7)</x:f>
      </x:c>
    </x:row>
    <x:row r="888" s="14" customFormat="1">
      <x:c r="A888" t="inlineStr">
        <x:is>
          <x:t xml:space="preserve">openai|gpt-6-astra|xhigh|reasoning|fallback-na|aa-v4.3.2|snapshot-2026-10-16</x:t>
        </x:is>
      </x:c>
      <x:c r="B888" t="inlineStr">
        <x:is>
          <x:t xml:space="preserve">openai|gpt-6-astra|xhigh|reasoning|fallback-na</x:t>
        </x:is>
      </x:c>
      <x:c r="C888" t="inlineStr">
        <x:is>
          <x:t xml:space="preserve">AA|v4.3.2</x:t>
        </x:is>
      </x:c>
      <x:c r="D888" t="n">
        <x:v>112</x:v>
      </x:c>
      <x:c r="E888" t="n">
        <x:v>50</x:v>
      </x:c>
      <x:c r="F888" t="n">
        <x:f>INDEX(Run_Metrics!$F:$F,D888)</x:f>
        <x:v>52</x:v>
      </x:c>
      <x:c r="G888" t="n">
        <x:f>INDEX(Run_Metrics!$G:$G,D888)</x:f>
        <x:v>2.31</x:v>
      </x:c>
      <x:c r="H888" t="str">
        <x:f>INDEX(Run_Metrics!$I:$I,D888)</x:f>
      </x:c>
      <x:c r="I888" t="n">
        <x:f>IF(F888="","",F888-(E888-1))</x:f>
        <x:v>3</x:v>
      </x:c>
      <x:c r="J888" t="n">
        <x:f>IF(I888&gt;0,1,0)</x:f>
        <x:v>1</x:v>
      </x:c>
      <x:c r="K888" t="n">
        <x:f>IF(OR(J888=0,G888="",G888=0),"",I888/G888)</x:f>
        <x:v>1.2987012987012987</x:v>
      </x:c>
      <x:c r="L888" t="n">
        <x:f>IF(OR(J888=0,I888=0,G888=""),"",G888/I888)</x:f>
        <x:v>0.77</x:v>
      </x:c>
      <x:c r="M888" t="str">
        <x:f>IF(OR(J888=0,G888="",H888="",G888=0,H888=0),"",I888/(G888*H888))</x:f>
      </x:c>
      <x:c r="N888" t="n">
        <x:f>IF(K888="","",K888/_xlfn.MAXIFS($K:$K,$E:$E,E888))</x:f>
        <x:v>0.2532467532467533</x:v>
      </x:c>
      <x:c r="O888" t="str">
        <x:f>IF(M888="","",M888/_xlfn.MAXIFS($M:$M,$E:$E,E888))</x:f>
      </x:c>
      <x:c r="P888" t="str">
        <x:f>IF(OR(N888="",O888=""),"",SQRT(N888*O888))</x:f>
      </x:c>
      <x:c r="Q888" t="str">
        <x:f>IF(OR(N888="",O888=""),"",N888^0.7*O888^0.3)</x:f>
      </x:c>
      <x:c r="R888" t="str">
        <x:f>IF(OR(N888="",O888=""),"",N888^0.3*O888^0.7)</x:f>
      </x:c>
    </x:row>
    <x:row r="889" s="14" customFormat="1">
      <x:c r="A889" t="inlineStr">
        <x:is>
          <x:t xml:space="preserve">openai|gpt-6-astra|xhigh|reasoning|fallback-na|aa-v4.3.2|snapshot-2026-10-16</x:t>
        </x:is>
      </x:c>
      <x:c r="B889" t="inlineStr">
        <x:is>
          <x:t xml:space="preserve">openai|gpt-6-astra|xhigh|reasoning|fallback-na</x:t>
        </x:is>
      </x:c>
      <x:c r="C889" t="inlineStr">
        <x:is>
          <x:t xml:space="preserve">AA|v4.3.2</x:t>
        </x:is>
      </x:c>
      <x:c r="D889" t="n">
        <x:v>112</x:v>
      </x:c>
      <x:c r="E889" t="n">
        <x:v>60</x:v>
      </x:c>
      <x:c r="F889" t="n">
        <x:f>INDEX(Run_Metrics!$F:$F,D889)</x:f>
        <x:v>52</x:v>
      </x:c>
      <x:c r="G889" t="n">
        <x:f>INDEX(Run_Metrics!$G:$G,D889)</x:f>
        <x:v>2.31</x:v>
      </x:c>
      <x:c r="H889" t="str">
        <x:f>INDEX(Run_Metrics!$I:$I,D889)</x:f>
      </x:c>
      <x:c r="I889" t="n">
        <x:f>IF(F889="","",F889-(E889-1))</x:f>
        <x:v>-7</x:v>
      </x:c>
      <x:c r="J889" t="n">
        <x:f>IF(I889&gt;0,1,0)</x:f>
        <x:v>0</x:v>
      </x:c>
      <x:c r="K889" t="str">
        <x:f>IF(OR(J889=0,G889="",G889=0),"",I889/G889)</x:f>
      </x:c>
      <x:c r="L889" t="str">
        <x:f>IF(OR(J889=0,I889=0,G889=""),"",G889/I889)</x:f>
      </x:c>
      <x:c r="M889" t="str">
        <x:f>IF(OR(J889=0,G889="",H889="",G889=0,H889=0),"",I889/(G889*H889))</x:f>
      </x:c>
      <x:c r="N889" t="str">
        <x:f>IF(K889="","",K889/_xlfn.MAXIFS($K:$K,$E:$E,E889))</x:f>
      </x:c>
      <x:c r="O889" t="str">
        <x:f>IF(M889="","",M889/_xlfn.MAXIFS($M:$M,$E:$E,E889))</x:f>
      </x:c>
      <x:c r="P889" t="str">
        <x:f>IF(OR(N889="",O889=""),"",SQRT(N889*O889))</x:f>
      </x:c>
      <x:c r="Q889" t="str">
        <x:f>IF(OR(N889="",O889=""),"",N889^0.7*O889^0.3)</x:f>
      </x:c>
      <x:c r="R889" t="str">
        <x:f>IF(OR(N889="",O889=""),"",N889^0.3*O889^0.7)</x:f>
      </x:c>
    </x:row>
    <x:row r="890" s="14" customFormat="1">
      <x:c r="A890" t="inlineStr">
        <x:is>
          <x:t xml:space="preserve">openai|gpt-6-astra|high|reasoning|fallback-na|aa-v4.3.2|snapshot-2026-10-16</x:t>
        </x:is>
      </x:c>
      <x:c r="B890" t="inlineStr">
        <x:is>
          <x:t xml:space="preserve">openai|gpt-6-astra|high|reasoning|fallback-na</x:t>
        </x:is>
      </x:c>
      <x:c r="C890" t="inlineStr">
        <x:is>
          <x:t xml:space="preserve">AA|v4.3.2</x:t>
        </x:is>
      </x:c>
      <x:c r="D890" t="n">
        <x:v>113</x:v>
      </x:c>
      <x:c r="E890" t="n">
        <x:v>10</x:v>
      </x:c>
      <x:c r="F890" t="n">
        <x:f>INDEX(Run_Metrics!$F:$F,D890)</x:f>
        <x:v>51</x:v>
      </x:c>
      <x:c r="G890" t="n">
        <x:f>INDEX(Run_Metrics!$G:$G,D890)</x:f>
        <x:v>1.73</x:v>
      </x:c>
      <x:c r="H890" t="str">
        <x:f>INDEX(Run_Metrics!$I:$I,D890)</x:f>
      </x:c>
      <x:c r="I890" t="n">
        <x:f>IF(F890="","",F890-(E890-1))</x:f>
        <x:v>42</x:v>
      </x:c>
      <x:c r="J890" t="n">
        <x:f>IF(I890&gt;0,1,0)</x:f>
        <x:v>1</x:v>
      </x:c>
      <x:c r="K890" t="n">
        <x:f>IF(OR(J890=0,G890="",G890=0),"",I890/G890)</x:f>
        <x:v>24.277456647398843</x:v>
      </x:c>
      <x:c r="L890" t="n">
        <x:f>IF(OR(J890=0,I890=0,G890=""),"",G890/I890)</x:f>
        <x:v>0.04119047619047619</x:v>
      </x:c>
      <x:c r="M890" t="str">
        <x:f>IF(OR(J890=0,G890="",H890="",G890=0,H890=0),"",I890/(G890*H890))</x:f>
      </x:c>
      <x:c r="N890" t="n">
        <x:f>IF(K890="","",K890/_xlfn.MAXIFS($K:$K,$E:$E,E890))</x:f>
        <x:v>0.008403734993330367</x:v>
      </x:c>
      <x:c r="O890" t="str">
        <x:f>IF(M890="","",M890/_xlfn.MAXIFS($M:$M,$E:$E,E890))</x:f>
      </x:c>
      <x:c r="P890" t="str">
        <x:f>IF(OR(N890="",O890=""),"",SQRT(N890*O890))</x:f>
      </x:c>
      <x:c r="Q890" t="str">
        <x:f>IF(OR(N890="",O890=""),"",N890^0.7*O890^0.3)</x:f>
      </x:c>
      <x:c r="R890" t="str">
        <x:f>IF(OR(N890="",O890=""),"",N890^0.3*O890^0.7)</x:f>
      </x:c>
    </x:row>
    <x:row r="891" s="14" customFormat="1">
      <x:c r="A891" t="inlineStr">
        <x:is>
          <x:t xml:space="preserve">openai|gpt-6-astra|high|reasoning|fallback-na|aa-v4.3.2|snapshot-2026-10-16</x:t>
        </x:is>
      </x:c>
      <x:c r="B891" t="inlineStr">
        <x:is>
          <x:t xml:space="preserve">openai|gpt-6-astra|high|reasoning|fallback-na</x:t>
        </x:is>
      </x:c>
      <x:c r="C891" t="inlineStr">
        <x:is>
          <x:t xml:space="preserve">AA|v4.3.2</x:t>
        </x:is>
      </x:c>
      <x:c r="D891" t="n">
        <x:v>113</x:v>
      </x:c>
      <x:c r="E891" t="n">
        <x:v>20</x:v>
      </x:c>
      <x:c r="F891" t="n">
        <x:f>INDEX(Run_Metrics!$F:$F,D891)</x:f>
        <x:v>51</x:v>
      </x:c>
      <x:c r="G891" t="n">
        <x:f>INDEX(Run_Metrics!$G:$G,D891)</x:f>
        <x:v>1.73</x:v>
      </x:c>
      <x:c r="H891" t="str">
        <x:f>INDEX(Run_Metrics!$I:$I,D891)</x:f>
      </x:c>
      <x:c r="I891" t="n">
        <x:f>IF(F891="","",F891-(E891-1))</x:f>
        <x:v>32</x:v>
      </x:c>
      <x:c r="J891" t="n">
        <x:f>IF(I891&gt;0,1,0)</x:f>
        <x:v>1</x:v>
      </x:c>
      <x:c r="K891" t="n">
        <x:f>IF(OR(J891=0,G891="",G891=0),"",I891/G891)</x:f>
        <x:v>18.497109826589597</x:v>
      </x:c>
      <x:c r="L891" t="n">
        <x:f>IF(OR(J891=0,I891=0,G891=""),"",G891/I891)</x:f>
        <x:v>0.0540625</x:v>
      </x:c>
      <x:c r="M891" t="str">
        <x:f>IF(OR(J891=0,G891="",H891="",G891=0,H891=0),"",I891/(G891*H891))</x:f>
      </x:c>
      <x:c r="N891" t="n">
        <x:f>IF(K891="","",K891/_xlfn.MAXIFS($K:$K,$E:$E,E891))</x:f>
        <x:v>0.027745664739884393</x:v>
      </x:c>
      <x:c r="O891" t="str">
        <x:f>IF(M891="","",M891/_xlfn.MAXIFS($M:$M,$E:$E,E891))</x:f>
      </x:c>
      <x:c r="P891" t="str">
        <x:f>IF(OR(N891="",O891=""),"",SQRT(N891*O891))</x:f>
      </x:c>
      <x:c r="Q891" t="str">
        <x:f>IF(OR(N891="",O891=""),"",N891^0.7*O891^0.3)</x:f>
      </x:c>
      <x:c r="R891" t="str">
        <x:f>IF(OR(N891="",O891=""),"",N891^0.3*O891^0.7)</x:f>
      </x:c>
    </x:row>
    <x:row r="892" s="14" customFormat="1">
      <x:c r="A892" t="inlineStr">
        <x:is>
          <x:t xml:space="preserve">openai|gpt-6-astra|high|reasoning|fallback-na|aa-v4.3.2|snapshot-2026-10-16</x:t>
        </x:is>
      </x:c>
      <x:c r="B892" t="inlineStr">
        <x:is>
          <x:t xml:space="preserve">openai|gpt-6-astra|high|reasoning|fallback-na</x:t>
        </x:is>
      </x:c>
      <x:c r="C892" t="inlineStr">
        <x:is>
          <x:t xml:space="preserve">AA|v4.3.2</x:t>
        </x:is>
      </x:c>
      <x:c r="D892" t="n">
        <x:v>113</x:v>
      </x:c>
      <x:c r="E892" t="n">
        <x:v>30</x:v>
      </x:c>
      <x:c r="F892" t="n">
        <x:f>INDEX(Run_Metrics!$F:$F,D892)</x:f>
        <x:v>51</x:v>
      </x:c>
      <x:c r="G892" t="n">
        <x:f>INDEX(Run_Metrics!$G:$G,D892)</x:f>
        <x:v>1.73</x:v>
      </x:c>
      <x:c r="H892" t="str">
        <x:f>INDEX(Run_Metrics!$I:$I,D892)</x:f>
      </x:c>
      <x:c r="I892" t="n">
        <x:f>IF(F892="","",F892-(E892-1))</x:f>
        <x:v>22</x:v>
      </x:c>
      <x:c r="J892" t="n">
        <x:f>IF(I892&gt;0,1,0)</x:f>
        <x:v>1</x:v>
      </x:c>
      <x:c r="K892" t="n">
        <x:f>IF(OR(J892=0,G892="",G892=0),"",I892/G892)</x:f>
        <x:v>12.716763005780347</x:v>
      </x:c>
      <x:c r="L892" t="n">
        <x:f>IF(OR(J892=0,I892=0,G892=""),"",G892/I892)</x:f>
        <x:v>0.07863636363636363</x:v>
      </x:c>
      <x:c r="M892" t="str">
        <x:f>IF(OR(J892=0,G892="",H892="",G892=0,H892=0),"",I892/(G892*H892))</x:f>
      </x:c>
      <x:c r="N892" t="n">
        <x:f>IF(K892="","",K892/_xlfn.MAXIFS($K:$K,$E:$E,E892))</x:f>
        <x:v>0.08477842003853565</x:v>
      </x:c>
      <x:c r="O892" t="str">
        <x:f>IF(M892="","",M892/_xlfn.MAXIFS($M:$M,$E:$E,E892))</x:f>
      </x:c>
      <x:c r="P892" t="str">
        <x:f>IF(OR(N892="",O892=""),"",SQRT(N892*O892))</x:f>
      </x:c>
      <x:c r="Q892" t="str">
        <x:f>IF(OR(N892="",O892=""),"",N892^0.7*O892^0.3)</x:f>
      </x:c>
      <x:c r="R892" t="str">
        <x:f>IF(OR(N892="",O892=""),"",N892^0.3*O892^0.7)</x:f>
      </x:c>
    </x:row>
    <x:row r="893" s="14" customFormat="1">
      <x:c r="A893" t="inlineStr">
        <x:is>
          <x:t xml:space="preserve">openai|gpt-6-astra|high|reasoning|fallback-na|aa-v4.3.2|snapshot-2026-10-16</x:t>
        </x:is>
      </x:c>
      <x:c r="B893" t="inlineStr">
        <x:is>
          <x:t xml:space="preserve">openai|gpt-6-astra|high|reasoning|fallback-na</x:t>
        </x:is>
      </x:c>
      <x:c r="C893" t="inlineStr">
        <x:is>
          <x:t xml:space="preserve">AA|v4.3.2</x:t>
        </x:is>
      </x:c>
      <x:c r="D893" t="n">
        <x:v>113</x:v>
      </x:c>
      <x:c r="E893" t="n">
        <x:v>35</x:v>
      </x:c>
      <x:c r="F893" t="n">
        <x:f>INDEX(Run_Metrics!$F:$F,D893)</x:f>
        <x:v>51</x:v>
      </x:c>
      <x:c r="G893" t="n">
        <x:f>INDEX(Run_Metrics!$G:$G,D893)</x:f>
        <x:v>1.73</x:v>
      </x:c>
      <x:c r="H893" t="str">
        <x:f>INDEX(Run_Metrics!$I:$I,D893)</x:f>
      </x:c>
      <x:c r="I893" t="n">
        <x:f>IF(F893="","",F893-(E893-1))</x:f>
        <x:v>17</x:v>
      </x:c>
      <x:c r="J893" t="n">
        <x:f>IF(I893&gt;0,1,0)</x:f>
        <x:v>1</x:v>
      </x:c>
      <x:c r="K893" t="n">
        <x:f>IF(OR(J893=0,G893="",G893=0),"",I893/G893)</x:f>
        <x:v>9.826589595375722</x:v>
      </x:c>
      <x:c r="L893" t="n">
        <x:f>IF(OR(J893=0,I893=0,G893=""),"",G893/I893)</x:f>
        <x:v>0.10176470588235294</x:v>
      </x:c>
      <x:c r="M893" t="str">
        <x:f>IF(OR(J893=0,G893="",H893="",G893=0,H893=0),"",I893/(G893*H893))</x:f>
      </x:c>
      <x:c r="N893" t="n">
        <x:f>IF(K893="","",K893/_xlfn.MAXIFS($K:$K,$E:$E,E893))</x:f>
        <x:v>0.10645472061657033</x:v>
      </x:c>
      <x:c r="O893" t="str">
        <x:f>IF(M893="","",M893/_xlfn.MAXIFS($M:$M,$E:$E,E893))</x:f>
      </x:c>
      <x:c r="P893" t="str">
        <x:f>IF(OR(N893="",O893=""),"",SQRT(N893*O893))</x:f>
      </x:c>
      <x:c r="Q893" t="str">
        <x:f>IF(OR(N893="",O893=""),"",N893^0.7*O893^0.3)</x:f>
      </x:c>
      <x:c r="R893" t="str">
        <x:f>IF(OR(N893="",O893=""),"",N893^0.3*O893^0.7)</x:f>
      </x:c>
    </x:row>
    <x:row r="894" s="14" customFormat="1">
      <x:c r="A894" t="inlineStr">
        <x:is>
          <x:t xml:space="preserve">openai|gpt-6-astra|high|reasoning|fallback-na|aa-v4.3.2|snapshot-2026-10-16</x:t>
        </x:is>
      </x:c>
      <x:c r="B894" t="inlineStr">
        <x:is>
          <x:t xml:space="preserve">openai|gpt-6-astra|high|reasoning|fallback-na</x:t>
        </x:is>
      </x:c>
      <x:c r="C894" t="inlineStr">
        <x:is>
          <x:t xml:space="preserve">AA|v4.3.2</x:t>
        </x:is>
      </x:c>
      <x:c r="D894" t="n">
        <x:v>113</x:v>
      </x:c>
      <x:c r="E894" t="n">
        <x:v>40</x:v>
      </x:c>
      <x:c r="F894" t="n">
        <x:f>INDEX(Run_Metrics!$F:$F,D894)</x:f>
        <x:v>51</x:v>
      </x:c>
      <x:c r="G894" t="n">
        <x:f>INDEX(Run_Metrics!$G:$G,D894)</x:f>
        <x:v>1.73</x:v>
      </x:c>
      <x:c r="H894" t="str">
        <x:f>INDEX(Run_Metrics!$I:$I,D894)</x:f>
      </x:c>
      <x:c r="I894" t="n">
        <x:f>IF(F894="","",F894-(E894-1))</x:f>
        <x:v>12</x:v>
      </x:c>
      <x:c r="J894" t="n">
        <x:f>IF(I894&gt;0,1,0)</x:f>
        <x:v>1</x:v>
      </x:c>
      <x:c r="K894" t="n">
        <x:f>IF(OR(J894=0,G894="",G894=0),"",I894/G894)</x:f>
        <x:v>6.936416184971098</x:v>
      </x:c>
      <x:c r="L894" t="n">
        <x:f>IF(OR(J894=0,I894=0,G894=""),"",G894/I894)</x:f>
        <x:v>0.14416666666666667</x:v>
      </x:c>
      <x:c r="M894" t="str">
        <x:f>IF(OR(J894=0,G894="",H894="",G894=0,H894=0),"",I894/(G894*H894))</x:f>
      </x:c>
      <x:c r="N894" t="n">
        <x:f>IF(K894="","",K894/_xlfn.MAXIFS($K:$K,$E:$E,E894))</x:f>
        <x:v>0.12881915772089184</x:v>
      </x:c>
      <x:c r="O894" t="str">
        <x:f>IF(M894="","",M894/_xlfn.MAXIFS($M:$M,$E:$E,E894))</x:f>
      </x:c>
      <x:c r="P894" t="str">
        <x:f>IF(OR(N894="",O894=""),"",SQRT(N894*O894))</x:f>
      </x:c>
      <x:c r="Q894" t="str">
        <x:f>IF(OR(N894="",O894=""),"",N894^0.7*O894^0.3)</x:f>
      </x:c>
      <x:c r="R894" t="str">
        <x:f>IF(OR(N894="",O894=""),"",N894^0.3*O894^0.7)</x:f>
      </x:c>
    </x:row>
    <x:row r="895" s="14" customFormat="1">
      <x:c r="A895" t="inlineStr">
        <x:is>
          <x:t xml:space="preserve">openai|gpt-6-astra|high|reasoning|fallback-na|aa-v4.3.2|snapshot-2026-10-16</x:t>
        </x:is>
      </x:c>
      <x:c r="B895" t="inlineStr">
        <x:is>
          <x:t xml:space="preserve">openai|gpt-6-astra|high|reasoning|fallback-na</x:t>
        </x:is>
      </x:c>
      <x:c r="C895" t="inlineStr">
        <x:is>
          <x:t xml:space="preserve">AA|v4.3.2</x:t>
        </x:is>
      </x:c>
      <x:c r="D895" t="n">
        <x:v>113</x:v>
      </x:c>
      <x:c r="E895" t="n">
        <x:v>45</x:v>
      </x:c>
      <x:c r="F895" t="n">
        <x:f>INDEX(Run_Metrics!$F:$F,D895)</x:f>
        <x:v>51</x:v>
      </x:c>
      <x:c r="G895" t="n">
        <x:f>INDEX(Run_Metrics!$G:$G,D895)</x:f>
        <x:v>1.73</x:v>
      </x:c>
      <x:c r="H895" t="str">
        <x:f>INDEX(Run_Metrics!$I:$I,D895)</x:f>
      </x:c>
      <x:c r="I895" t="n">
        <x:f>IF(F895="","",F895-(E895-1))</x:f>
        <x:v>7</x:v>
      </x:c>
      <x:c r="J895" t="n">
        <x:f>IF(I895&gt;0,1,0)</x:f>
        <x:v>1</x:v>
      </x:c>
      <x:c r="K895" t="n">
        <x:f>IF(OR(J895=0,G895="",G895=0),"",I895/G895)</x:f>
        <x:v>4.046242774566474</x:v>
      </x:c>
      <x:c r="L895" t="n">
        <x:f>IF(OR(J895=0,I895=0,G895=""),"",G895/I895)</x:f>
        <x:v>0.24714285714285714</x:v>
      </x:c>
      <x:c r="M895" t="str">
        <x:f>IF(OR(J895=0,G895="",H895="",G895=0,H895=0),"",I895/(G895*H895))</x:f>
      </x:c>
      <x:c r="N895" t="n">
        <x:f>IF(K895="","",K895/_xlfn.MAXIFS($K:$K,$E:$E,E895))</x:f>
        <x:v>0.2124277456647399</x:v>
      </x:c>
      <x:c r="O895" t="str">
        <x:f>IF(M895="","",M895/_xlfn.MAXIFS($M:$M,$E:$E,E895))</x:f>
      </x:c>
      <x:c r="P895" t="str">
        <x:f>IF(OR(N895="",O895=""),"",SQRT(N895*O895))</x:f>
      </x:c>
      <x:c r="Q895" t="str">
        <x:f>IF(OR(N895="",O895=""),"",N895^0.7*O895^0.3)</x:f>
      </x:c>
      <x:c r="R895" t="str">
        <x:f>IF(OR(N895="",O895=""),"",N895^0.3*O895^0.7)</x:f>
      </x:c>
    </x:row>
    <x:row r="896" s="14" customFormat="1">
      <x:c r="A896" t="inlineStr">
        <x:is>
          <x:t xml:space="preserve">openai|gpt-6-astra|high|reasoning|fallback-na|aa-v4.3.2|snapshot-2026-10-16</x:t>
        </x:is>
      </x:c>
      <x:c r="B896" t="inlineStr">
        <x:is>
          <x:t xml:space="preserve">openai|gpt-6-astra|high|reasoning|fallback-na</x:t>
        </x:is>
      </x:c>
      <x:c r="C896" t="inlineStr">
        <x:is>
          <x:t xml:space="preserve">AA|v4.3.2</x:t>
        </x:is>
      </x:c>
      <x:c r="D896" t="n">
        <x:v>113</x:v>
      </x:c>
      <x:c r="E896" t="n">
        <x:v>50</x:v>
      </x:c>
      <x:c r="F896" t="n">
        <x:f>INDEX(Run_Metrics!$F:$F,D896)</x:f>
        <x:v>51</x:v>
      </x:c>
      <x:c r="G896" t="n">
        <x:f>INDEX(Run_Metrics!$G:$G,D896)</x:f>
        <x:v>1.73</x:v>
      </x:c>
      <x:c r="H896" t="str">
        <x:f>INDEX(Run_Metrics!$I:$I,D896)</x:f>
      </x:c>
      <x:c r="I896" t="n">
        <x:f>IF(F896="","",F896-(E896-1))</x:f>
        <x:v>2</x:v>
      </x:c>
      <x:c r="J896" t="n">
        <x:f>IF(I896&gt;0,1,0)</x:f>
        <x:v>1</x:v>
      </x:c>
      <x:c r="K896" t="n">
        <x:f>IF(OR(J896=0,G896="",G896=0),"",I896/G896)</x:f>
        <x:v>1.1560693641618498</x:v>
      </x:c>
      <x:c r="L896" t="n">
        <x:f>IF(OR(J896=0,I896=0,G896=""),"",G896/I896)</x:f>
        <x:v>0.865</x:v>
      </x:c>
      <x:c r="M896" t="str">
        <x:f>IF(OR(J896=0,G896="",H896="",G896=0,H896=0),"",I896/(G896*H896))</x:f>
      </x:c>
      <x:c r="N896" t="n">
        <x:f>IF(K896="","",K896/_xlfn.MAXIFS($K:$K,$E:$E,E896))</x:f>
        <x:v>0.22543352601156072</x:v>
      </x:c>
      <x:c r="O896" t="str">
        <x:f>IF(M896="","",M896/_xlfn.MAXIFS($M:$M,$E:$E,E896))</x:f>
      </x:c>
      <x:c r="P896" t="str">
        <x:f>IF(OR(N896="",O896=""),"",SQRT(N896*O896))</x:f>
      </x:c>
      <x:c r="Q896" t="str">
        <x:f>IF(OR(N896="",O896=""),"",N896^0.7*O896^0.3)</x:f>
      </x:c>
      <x:c r="R896" t="str">
        <x:f>IF(OR(N896="",O896=""),"",N896^0.3*O896^0.7)</x:f>
      </x:c>
    </x:row>
    <x:row r="897" s="14" customFormat="1">
      <x:c r="A897" t="inlineStr">
        <x:is>
          <x:t xml:space="preserve">openai|gpt-6-astra|high|reasoning|fallback-na|aa-v4.3.2|snapshot-2026-10-16</x:t>
        </x:is>
      </x:c>
      <x:c r="B897" t="inlineStr">
        <x:is>
          <x:t xml:space="preserve">openai|gpt-6-astra|high|reasoning|fallback-na</x:t>
        </x:is>
      </x:c>
      <x:c r="C897" t="inlineStr">
        <x:is>
          <x:t xml:space="preserve">AA|v4.3.2</x:t>
        </x:is>
      </x:c>
      <x:c r="D897" t="n">
        <x:v>113</x:v>
      </x:c>
      <x:c r="E897" t="n">
        <x:v>60</x:v>
      </x:c>
      <x:c r="F897" t="n">
        <x:f>INDEX(Run_Metrics!$F:$F,D897)</x:f>
        <x:v>51</x:v>
      </x:c>
      <x:c r="G897" t="n">
        <x:f>INDEX(Run_Metrics!$G:$G,D897)</x:f>
        <x:v>1.73</x:v>
      </x:c>
      <x:c r="H897" t="str">
        <x:f>INDEX(Run_Metrics!$I:$I,D897)</x:f>
      </x:c>
      <x:c r="I897" t="n">
        <x:f>IF(F897="","",F897-(E897-1))</x:f>
        <x:v>-8</x:v>
      </x:c>
      <x:c r="J897" t="n">
        <x:f>IF(I897&gt;0,1,0)</x:f>
        <x:v>0</x:v>
      </x:c>
      <x:c r="K897" t="str">
        <x:f>IF(OR(J897=0,G897="",G897=0),"",I897/G897)</x:f>
      </x:c>
      <x:c r="L897" t="str">
        <x:f>IF(OR(J897=0,I897=0,G897=""),"",G897/I897)</x:f>
      </x:c>
      <x:c r="M897" t="str">
        <x:f>IF(OR(J897=0,G897="",H897="",G897=0,H897=0),"",I897/(G897*H897))</x:f>
      </x:c>
      <x:c r="N897" t="str">
        <x:f>IF(K897="","",K897/_xlfn.MAXIFS($K:$K,$E:$E,E897))</x:f>
      </x:c>
      <x:c r="O897" t="str">
        <x:f>IF(M897="","",M897/_xlfn.MAXIFS($M:$M,$E:$E,E897))</x:f>
      </x:c>
      <x:c r="P897" t="str">
        <x:f>IF(OR(N897="",O897=""),"",SQRT(N897*O897))</x:f>
      </x:c>
      <x:c r="Q897" t="str">
        <x:f>IF(OR(N897="",O897=""),"",N897^0.7*O897^0.3)</x:f>
      </x:c>
      <x:c r="R897" t="str">
        <x:f>IF(OR(N897="",O897=""),"",N897^0.3*O897^0.7)</x:f>
      </x:c>
    </x:row>
    <x:row r="898" s="14" customFormat="1">
      <x:c r="A898" t="inlineStr">
        <x:is>
          <x:t xml:space="preserve">openai|gpt-6-astra|medium|reasoning|fallback-na|aa-v4.3.2|snapshot-2026-10-16</x:t>
        </x:is>
      </x:c>
      <x:c r="B898" t="inlineStr">
        <x:is>
          <x:t xml:space="preserve">openai|gpt-6-astra|medium|reasoning|fallback-na</x:t>
        </x:is>
      </x:c>
      <x:c r="C898" t="inlineStr">
        <x:is>
          <x:t xml:space="preserve">AA|v4.3.2</x:t>
        </x:is>
      </x:c>
      <x:c r="D898" t="n">
        <x:v>114</x:v>
      </x:c>
      <x:c r="E898" t="n">
        <x:v>10</x:v>
      </x:c>
      <x:c r="F898" t="n">
        <x:f>INDEX(Run_Metrics!$F:$F,D898)</x:f>
        <x:v>50</x:v>
      </x:c>
      <x:c r="G898" t="n">
        <x:f>INDEX(Run_Metrics!$G:$G,D898)</x:f>
        <x:v>1.54</x:v>
      </x:c>
      <x:c r="H898" t="str">
        <x:f>INDEX(Run_Metrics!$I:$I,D898)</x:f>
      </x:c>
      <x:c r="I898" t="n">
        <x:f>IF(F898="","",F898-(E898-1))</x:f>
        <x:v>41</x:v>
      </x:c>
      <x:c r="J898" t="n">
        <x:f>IF(I898&gt;0,1,0)</x:f>
        <x:v>1</x:v>
      </x:c>
      <x:c r="K898" t="n">
        <x:f>IF(OR(J898=0,G898="",G898=0),"",I898/G898)</x:f>
        <x:v>26.623376623376622</x:v>
      </x:c>
      <x:c r="L898" t="n">
        <x:f>IF(OR(J898=0,I898=0,G898=""),"",G898/I898)</x:f>
        <x:v>0.037560975609756096</x:v>
      </x:c>
      <x:c r="M898" t="str">
        <x:f>IF(OR(J898=0,G898="",H898="",G898=0,H898=0),"",I898/(G898*H898))</x:f>
      </x:c>
      <x:c r="N898" t="n">
        <x:f>IF(K898="","",K898/_xlfn.MAXIFS($K:$K,$E:$E,E898))</x:f>
        <x:v>0.009215784215784215</x:v>
      </x:c>
      <x:c r="O898" t="str">
        <x:f>IF(M898="","",M898/_xlfn.MAXIFS($M:$M,$E:$E,E898))</x:f>
      </x:c>
      <x:c r="P898" t="str">
        <x:f>IF(OR(N898="",O898=""),"",SQRT(N898*O898))</x:f>
      </x:c>
      <x:c r="Q898" t="str">
        <x:f>IF(OR(N898="",O898=""),"",N898^0.7*O898^0.3)</x:f>
      </x:c>
      <x:c r="R898" t="str">
        <x:f>IF(OR(N898="",O898=""),"",N898^0.3*O898^0.7)</x:f>
      </x:c>
    </x:row>
    <x:row r="899" s="14" customFormat="1">
      <x:c r="A899" t="inlineStr">
        <x:is>
          <x:t xml:space="preserve">openai|gpt-6-astra|medium|reasoning|fallback-na|aa-v4.3.2|snapshot-2026-10-16</x:t>
        </x:is>
      </x:c>
      <x:c r="B899" t="inlineStr">
        <x:is>
          <x:t xml:space="preserve">openai|gpt-6-astra|medium|reasoning|fallback-na</x:t>
        </x:is>
      </x:c>
      <x:c r="C899" t="inlineStr">
        <x:is>
          <x:t xml:space="preserve">AA|v4.3.2</x:t>
        </x:is>
      </x:c>
      <x:c r="D899" t="n">
        <x:v>114</x:v>
      </x:c>
      <x:c r="E899" t="n">
        <x:v>20</x:v>
      </x:c>
      <x:c r="F899" t="n">
        <x:f>INDEX(Run_Metrics!$F:$F,D899)</x:f>
        <x:v>50</x:v>
      </x:c>
      <x:c r="G899" t="n">
        <x:f>INDEX(Run_Metrics!$G:$G,D899)</x:f>
        <x:v>1.54</x:v>
      </x:c>
      <x:c r="H899" t="str">
        <x:f>INDEX(Run_Metrics!$I:$I,D899)</x:f>
      </x:c>
      <x:c r="I899" t="n">
        <x:f>IF(F899="","",F899-(E899-1))</x:f>
        <x:v>31</x:v>
      </x:c>
      <x:c r="J899" t="n">
        <x:f>IF(I899&gt;0,1,0)</x:f>
        <x:v>1</x:v>
      </x:c>
      <x:c r="K899" t="n">
        <x:f>IF(OR(J899=0,G899="",G899=0),"",I899/G899)</x:f>
        <x:v>20.12987012987013</x:v>
      </x:c>
      <x:c r="L899" t="n">
        <x:f>IF(OR(J899=0,I899=0,G899=""),"",G899/I899)</x:f>
        <x:v>0.04967741935483871</x:v>
      </x:c>
      <x:c r="M899" t="str">
        <x:f>IF(OR(J899=0,G899="",H899="",G899=0,H899=0),"",I899/(G899*H899))</x:f>
      </x:c>
      <x:c r="N899" t="n">
        <x:f>IF(K899="","",K899/_xlfn.MAXIFS($K:$K,$E:$E,E899))</x:f>
        <x:v>0.030194805194805194</x:v>
      </x:c>
      <x:c r="O899" t="str">
        <x:f>IF(M899="","",M899/_xlfn.MAXIFS($M:$M,$E:$E,E899))</x:f>
      </x:c>
      <x:c r="P899" t="str">
        <x:f>IF(OR(N899="",O899=""),"",SQRT(N899*O899))</x:f>
      </x:c>
      <x:c r="Q899" t="str">
        <x:f>IF(OR(N899="",O899=""),"",N899^0.7*O899^0.3)</x:f>
      </x:c>
      <x:c r="R899" t="str">
        <x:f>IF(OR(N899="",O899=""),"",N899^0.3*O899^0.7)</x:f>
      </x:c>
    </x:row>
    <x:row r="900" s="14" customFormat="1">
      <x:c r="A900" t="inlineStr">
        <x:is>
          <x:t xml:space="preserve">openai|gpt-6-astra|medium|reasoning|fallback-na|aa-v4.3.2|snapshot-2026-10-16</x:t>
        </x:is>
      </x:c>
      <x:c r="B900" t="inlineStr">
        <x:is>
          <x:t xml:space="preserve">openai|gpt-6-astra|medium|reasoning|fallback-na</x:t>
        </x:is>
      </x:c>
      <x:c r="C900" t="inlineStr">
        <x:is>
          <x:t xml:space="preserve">AA|v4.3.2</x:t>
        </x:is>
      </x:c>
      <x:c r="D900" t="n">
        <x:v>114</x:v>
      </x:c>
      <x:c r="E900" t="n">
        <x:v>30</x:v>
      </x:c>
      <x:c r="F900" t="n">
        <x:f>INDEX(Run_Metrics!$F:$F,D900)</x:f>
        <x:v>50</x:v>
      </x:c>
      <x:c r="G900" t="n">
        <x:f>INDEX(Run_Metrics!$G:$G,D900)</x:f>
        <x:v>1.54</x:v>
      </x:c>
      <x:c r="H900" t="str">
        <x:f>INDEX(Run_Metrics!$I:$I,D900)</x:f>
      </x:c>
      <x:c r="I900" t="n">
        <x:f>IF(F900="","",F900-(E900-1))</x:f>
        <x:v>21</x:v>
      </x:c>
      <x:c r="J900" t="n">
        <x:f>IF(I900&gt;0,1,0)</x:f>
        <x:v>1</x:v>
      </x:c>
      <x:c r="K900" t="n">
        <x:f>IF(OR(J900=0,G900="",G900=0),"",I900/G900)</x:f>
        <x:v>13.636363636363637</x:v>
      </x:c>
      <x:c r="L900" t="n">
        <x:f>IF(OR(J900=0,I900=0,G900=""),"",G900/I900)</x:f>
        <x:v>0.07333333333333333</x:v>
      </x:c>
      <x:c r="M900" t="str">
        <x:f>IF(OR(J900=0,G900="",H900="",G900=0,H900=0),"",I900/(G900*H900))</x:f>
      </x:c>
      <x:c r="N900" t="n">
        <x:f>IF(K900="","",K900/_xlfn.MAXIFS($K:$K,$E:$E,E900))</x:f>
        <x:v>0.09090909090909091</x:v>
      </x:c>
      <x:c r="O900" t="str">
        <x:f>IF(M900="","",M900/_xlfn.MAXIFS($M:$M,$E:$E,E900))</x:f>
      </x:c>
      <x:c r="P900" t="str">
        <x:f>IF(OR(N900="",O900=""),"",SQRT(N900*O900))</x:f>
      </x:c>
      <x:c r="Q900" t="str">
        <x:f>IF(OR(N900="",O900=""),"",N900^0.7*O900^0.3)</x:f>
      </x:c>
      <x:c r="R900" t="str">
        <x:f>IF(OR(N900="",O900=""),"",N900^0.3*O900^0.7)</x:f>
      </x:c>
    </x:row>
    <x:row r="901" s="14" customFormat="1">
      <x:c r="A901" t="inlineStr">
        <x:is>
          <x:t xml:space="preserve">openai|gpt-6-astra|medium|reasoning|fallback-na|aa-v4.3.2|snapshot-2026-10-16</x:t>
        </x:is>
      </x:c>
      <x:c r="B901" t="inlineStr">
        <x:is>
          <x:t xml:space="preserve">openai|gpt-6-astra|medium|reasoning|fallback-na</x:t>
        </x:is>
      </x:c>
      <x:c r="C901" t="inlineStr">
        <x:is>
          <x:t xml:space="preserve">AA|v4.3.2</x:t>
        </x:is>
      </x:c>
      <x:c r="D901" t="n">
        <x:v>114</x:v>
      </x:c>
      <x:c r="E901" t="n">
        <x:v>35</x:v>
      </x:c>
      <x:c r="F901" t="n">
        <x:f>INDEX(Run_Metrics!$F:$F,D901)</x:f>
        <x:v>50</x:v>
      </x:c>
      <x:c r="G901" t="n">
        <x:f>INDEX(Run_Metrics!$G:$G,D901)</x:f>
        <x:v>1.54</x:v>
      </x:c>
      <x:c r="H901" t="str">
        <x:f>INDEX(Run_Metrics!$I:$I,D901)</x:f>
      </x:c>
      <x:c r="I901" t="n">
        <x:f>IF(F901="","",F901-(E901-1))</x:f>
        <x:v>16</x:v>
      </x:c>
      <x:c r="J901" t="n">
        <x:f>IF(I901&gt;0,1,0)</x:f>
        <x:v>1</x:v>
      </x:c>
      <x:c r="K901" t="n">
        <x:f>IF(OR(J901=0,G901="",G901=0),"",I901/G901)</x:f>
        <x:v>10.38961038961039</x:v>
      </x:c>
      <x:c r="L901" t="n">
        <x:f>IF(OR(J901=0,I901=0,G901=""),"",G901/I901)</x:f>
        <x:v>0.09625</x:v>
      </x:c>
      <x:c r="M901" t="str">
        <x:f>IF(OR(J901=0,G901="",H901="",G901=0,H901=0),"",I901/(G901*H901))</x:f>
      </x:c>
      <x:c r="N901" t="n">
        <x:f>IF(K901="","",K901/_xlfn.MAXIFS($K:$K,$E:$E,E901))</x:f>
        <x:v>0.11255411255411256</x:v>
      </x:c>
      <x:c r="O901" t="str">
        <x:f>IF(M901="","",M901/_xlfn.MAXIFS($M:$M,$E:$E,E901))</x:f>
      </x:c>
      <x:c r="P901" t="str">
        <x:f>IF(OR(N901="",O901=""),"",SQRT(N901*O901))</x:f>
      </x:c>
      <x:c r="Q901" t="str">
        <x:f>IF(OR(N901="",O901=""),"",N901^0.7*O901^0.3)</x:f>
      </x:c>
      <x:c r="R901" t="str">
        <x:f>IF(OR(N901="",O901=""),"",N901^0.3*O901^0.7)</x:f>
      </x:c>
    </x:row>
    <x:row r="902" s="14" customFormat="1">
      <x:c r="A902" t="inlineStr">
        <x:is>
          <x:t xml:space="preserve">openai|gpt-6-astra|medium|reasoning|fallback-na|aa-v4.3.2|snapshot-2026-10-16</x:t>
        </x:is>
      </x:c>
      <x:c r="B902" t="inlineStr">
        <x:is>
          <x:t xml:space="preserve">openai|gpt-6-astra|medium|reasoning|fallback-na</x:t>
        </x:is>
      </x:c>
      <x:c r="C902" t="inlineStr">
        <x:is>
          <x:t xml:space="preserve">AA|v4.3.2</x:t>
        </x:is>
      </x:c>
      <x:c r="D902" t="n">
        <x:v>114</x:v>
      </x:c>
      <x:c r="E902" t="n">
        <x:v>40</x:v>
      </x:c>
      <x:c r="F902" t="n">
        <x:f>INDEX(Run_Metrics!$F:$F,D902)</x:f>
        <x:v>50</x:v>
      </x:c>
      <x:c r="G902" t="n">
        <x:f>INDEX(Run_Metrics!$G:$G,D902)</x:f>
        <x:v>1.54</x:v>
      </x:c>
      <x:c r="H902" t="str">
        <x:f>INDEX(Run_Metrics!$I:$I,D902)</x:f>
      </x:c>
      <x:c r="I902" t="n">
        <x:f>IF(F902="","",F902-(E902-1))</x:f>
        <x:v>11</x:v>
      </x:c>
      <x:c r="J902" t="n">
        <x:f>IF(I902&gt;0,1,0)</x:f>
        <x:v>1</x:v>
      </x:c>
      <x:c r="K902" t="n">
        <x:f>IF(OR(J902=0,G902="",G902=0),"",I902/G902)</x:f>
        <x:v>7.142857142857142</x:v>
      </x:c>
      <x:c r="L902" t="n">
        <x:f>IF(OR(J902=0,I902=0,G902=""),"",G902/I902)</x:f>
        <x:v>0.14</x:v>
      </x:c>
      <x:c r="M902" t="str">
        <x:f>IF(OR(J902=0,G902="",H902="",G902=0,H902=0),"",I902/(G902*H902))</x:f>
      </x:c>
      <x:c r="N902" t="n">
        <x:f>IF(K902="","",K902/_xlfn.MAXIFS($K:$K,$E:$E,E902))</x:f>
        <x:v>0.13265306122448978</x:v>
      </x:c>
      <x:c r="O902" t="str">
        <x:f>IF(M902="","",M902/_xlfn.MAXIFS($M:$M,$E:$E,E902))</x:f>
      </x:c>
      <x:c r="P902" t="str">
        <x:f>IF(OR(N902="",O902=""),"",SQRT(N902*O902))</x:f>
      </x:c>
      <x:c r="Q902" t="str">
        <x:f>IF(OR(N902="",O902=""),"",N902^0.7*O902^0.3)</x:f>
      </x:c>
      <x:c r="R902" t="str">
        <x:f>IF(OR(N902="",O902=""),"",N902^0.3*O902^0.7)</x:f>
      </x:c>
    </x:row>
    <x:row r="903" s="14" customFormat="1">
      <x:c r="A903" t="inlineStr">
        <x:is>
          <x:t xml:space="preserve">openai|gpt-6-astra|medium|reasoning|fallback-na|aa-v4.3.2|snapshot-2026-10-16</x:t>
        </x:is>
      </x:c>
      <x:c r="B903" t="inlineStr">
        <x:is>
          <x:t xml:space="preserve">openai|gpt-6-astra|medium|reasoning|fallback-na</x:t>
        </x:is>
      </x:c>
      <x:c r="C903" t="inlineStr">
        <x:is>
          <x:t xml:space="preserve">AA|v4.3.2</x:t>
        </x:is>
      </x:c>
      <x:c r="D903" t="n">
        <x:v>114</x:v>
      </x:c>
      <x:c r="E903" t="n">
        <x:v>45</x:v>
      </x:c>
      <x:c r="F903" t="n">
        <x:f>INDEX(Run_Metrics!$F:$F,D903)</x:f>
        <x:v>50</x:v>
      </x:c>
      <x:c r="G903" t="n">
        <x:f>INDEX(Run_Metrics!$G:$G,D903)</x:f>
        <x:v>1.54</x:v>
      </x:c>
      <x:c r="H903" t="str">
        <x:f>INDEX(Run_Metrics!$I:$I,D903)</x:f>
      </x:c>
      <x:c r="I903" t="n">
        <x:f>IF(F903="","",F903-(E903-1))</x:f>
        <x:v>6</x:v>
      </x:c>
      <x:c r="J903" t="n">
        <x:f>IF(I903&gt;0,1,0)</x:f>
        <x:v>1</x:v>
      </x:c>
      <x:c r="K903" t="n">
        <x:f>IF(OR(J903=0,G903="",G903=0),"",I903/G903)</x:f>
        <x:v>3.896103896103896</x:v>
      </x:c>
      <x:c r="L903" t="n">
        <x:f>IF(OR(J903=0,I903=0,G903=""),"",G903/I903)</x:f>
        <x:v>0.25666666666666665</x:v>
      </x:c>
      <x:c r="M903" t="str">
        <x:f>IF(OR(J903=0,G903="",H903="",G903=0,H903=0),"",I903/(G903*H903))</x:f>
      </x:c>
      <x:c r="N903" t="n">
        <x:f>IF(K903="","",K903/_xlfn.MAXIFS($K:$K,$E:$E,E903))</x:f>
        <x:v>0.20454545454545456</x:v>
      </x:c>
      <x:c r="O903" t="str">
        <x:f>IF(M903="","",M903/_xlfn.MAXIFS($M:$M,$E:$E,E903))</x:f>
      </x:c>
      <x:c r="P903" t="str">
        <x:f>IF(OR(N903="",O903=""),"",SQRT(N903*O903))</x:f>
      </x:c>
      <x:c r="Q903" t="str">
        <x:f>IF(OR(N903="",O903=""),"",N903^0.7*O903^0.3)</x:f>
      </x:c>
      <x:c r="R903" t="str">
        <x:f>IF(OR(N903="",O903=""),"",N903^0.3*O903^0.7)</x:f>
      </x:c>
    </x:row>
    <x:row r="904" s="14" customFormat="1">
      <x:c r="A904" t="inlineStr">
        <x:is>
          <x:t xml:space="preserve">openai|gpt-6-astra|medium|reasoning|fallback-na|aa-v4.3.2|snapshot-2026-10-16</x:t>
        </x:is>
      </x:c>
      <x:c r="B904" t="inlineStr">
        <x:is>
          <x:t xml:space="preserve">openai|gpt-6-astra|medium|reasoning|fallback-na</x:t>
        </x:is>
      </x:c>
      <x:c r="C904" t="inlineStr">
        <x:is>
          <x:t xml:space="preserve">AA|v4.3.2</x:t>
        </x:is>
      </x:c>
      <x:c r="D904" t="n">
        <x:v>114</x:v>
      </x:c>
      <x:c r="E904" t="n">
        <x:v>50</x:v>
      </x:c>
      <x:c r="F904" t="n">
        <x:f>INDEX(Run_Metrics!$F:$F,D904)</x:f>
        <x:v>50</x:v>
      </x:c>
      <x:c r="G904" t="n">
        <x:f>INDEX(Run_Metrics!$G:$G,D904)</x:f>
        <x:v>1.54</x:v>
      </x:c>
      <x:c r="H904" t="str">
        <x:f>INDEX(Run_Metrics!$I:$I,D904)</x:f>
      </x:c>
      <x:c r="I904" t="n">
        <x:f>IF(F904="","",F904-(E904-1))</x:f>
        <x:v>1</x:v>
      </x:c>
      <x:c r="J904" t="n">
        <x:f>IF(I904&gt;0,1,0)</x:f>
        <x:v>1</x:v>
      </x:c>
      <x:c r="K904" t="n">
        <x:f>IF(OR(J904=0,G904="",G904=0),"",I904/G904)</x:f>
        <x:v>0.6493506493506493</x:v>
      </x:c>
      <x:c r="L904" t="n">
        <x:f>IF(OR(J904=0,I904=0,G904=""),"",G904/I904)</x:f>
        <x:v>1.54</x:v>
      </x:c>
      <x:c r="M904" t="str">
        <x:f>IF(OR(J904=0,G904="",H904="",G904=0,H904=0),"",I904/(G904*H904))</x:f>
      </x:c>
      <x:c r="N904" t="n">
        <x:f>IF(K904="","",K904/_xlfn.MAXIFS($K:$K,$E:$E,E904))</x:f>
        <x:v>0.12662337662337664</x:v>
      </x:c>
      <x:c r="O904" t="str">
        <x:f>IF(M904="","",M904/_xlfn.MAXIFS($M:$M,$E:$E,E904))</x:f>
      </x:c>
      <x:c r="P904" t="str">
        <x:f>IF(OR(N904="",O904=""),"",SQRT(N904*O904))</x:f>
      </x:c>
      <x:c r="Q904" t="str">
        <x:f>IF(OR(N904="",O904=""),"",N904^0.7*O904^0.3)</x:f>
      </x:c>
      <x:c r="R904" t="str">
        <x:f>IF(OR(N904="",O904=""),"",N904^0.3*O904^0.7)</x:f>
      </x:c>
    </x:row>
    <x:row r="905" s="14" customFormat="1">
      <x:c r="A905" t="inlineStr">
        <x:is>
          <x:t xml:space="preserve">openai|gpt-6-astra|medium|reasoning|fallback-na|aa-v4.3.2|snapshot-2026-10-16</x:t>
        </x:is>
      </x:c>
      <x:c r="B905" t="inlineStr">
        <x:is>
          <x:t xml:space="preserve">openai|gpt-6-astra|medium|reasoning|fallback-na</x:t>
        </x:is>
      </x:c>
      <x:c r="C905" t="inlineStr">
        <x:is>
          <x:t xml:space="preserve">AA|v4.3.2</x:t>
        </x:is>
      </x:c>
      <x:c r="D905" t="n">
        <x:v>114</x:v>
      </x:c>
      <x:c r="E905" t="n">
        <x:v>60</x:v>
      </x:c>
      <x:c r="F905" t="n">
        <x:f>INDEX(Run_Metrics!$F:$F,D905)</x:f>
        <x:v>50</x:v>
      </x:c>
      <x:c r="G905" t="n">
        <x:f>INDEX(Run_Metrics!$G:$G,D905)</x:f>
        <x:v>1.54</x:v>
      </x:c>
      <x:c r="H905" t="str">
        <x:f>INDEX(Run_Metrics!$I:$I,D905)</x:f>
      </x:c>
      <x:c r="I905" t="n">
        <x:f>IF(F905="","",F905-(E905-1))</x:f>
        <x:v>-9</x:v>
      </x:c>
      <x:c r="J905" t="n">
        <x:f>IF(I905&gt;0,1,0)</x:f>
        <x:v>0</x:v>
      </x:c>
      <x:c r="K905" t="str">
        <x:f>IF(OR(J905=0,G905="",G905=0),"",I905/G905)</x:f>
      </x:c>
      <x:c r="L905" t="str">
        <x:f>IF(OR(J905=0,I905=0,G905=""),"",G905/I905)</x:f>
      </x:c>
      <x:c r="M905" t="str">
        <x:f>IF(OR(J905=0,G905="",H905="",G905=0,H905=0),"",I905/(G905*H905))</x:f>
      </x:c>
      <x:c r="N905" t="str">
        <x:f>IF(K905="","",K905/_xlfn.MAXIFS($K:$K,$E:$E,E905))</x:f>
      </x:c>
      <x:c r="O905" t="str">
        <x:f>IF(M905="","",M905/_xlfn.MAXIFS($M:$M,$E:$E,E905))</x:f>
      </x:c>
      <x:c r="P905" t="str">
        <x:f>IF(OR(N905="",O905=""),"",SQRT(N905*O905))</x:f>
      </x:c>
      <x:c r="Q905" t="str">
        <x:f>IF(OR(N905="",O905=""),"",N905^0.7*O905^0.3)</x:f>
      </x:c>
      <x:c r="R905" t="str">
        <x:f>IF(OR(N905="",O905=""),"",N905^0.3*O905^0.7)</x:f>
      </x:c>
    </x:row>
    <x:row r="906" s="14" customFormat="1">
      <x:c r="A906" t="inlineStr">
        <x:is>
          <x:t xml:space="preserve">openai|gpt-6-astra|low|reasoning|fallback-na|aa-v4.3.2|snapshot-2026-10-16</x:t>
        </x:is>
      </x:c>
      <x:c r="B906" t="inlineStr">
        <x:is>
          <x:t xml:space="preserve">openai|gpt-6-astra|low|reasoning|fallback-na</x:t>
        </x:is>
      </x:c>
      <x:c r="C906" t="inlineStr">
        <x:is>
          <x:t xml:space="preserve">AA|v4.3.2</x:t>
        </x:is>
      </x:c>
      <x:c r="D906" t="n">
        <x:v>115</x:v>
      </x:c>
      <x:c r="E906" t="n">
        <x:v>10</x:v>
      </x:c>
      <x:c r="F906" t="n">
        <x:f>INDEX(Run_Metrics!$F:$F,D906)</x:f>
        <x:v>46</x:v>
      </x:c>
      <x:c r="G906" t="n">
        <x:f>INDEX(Run_Metrics!$G:$G,D906)</x:f>
        <x:v>0.82</x:v>
      </x:c>
      <x:c r="H906" t="str">
        <x:f>INDEX(Run_Metrics!$I:$I,D906)</x:f>
      </x:c>
      <x:c r="I906" t="n">
        <x:f>IF(F906="","",F906-(E906-1))</x:f>
        <x:v>37</x:v>
      </x:c>
      <x:c r="J906" t="n">
        <x:f>IF(I906&gt;0,1,0)</x:f>
        <x:v>1</x:v>
      </x:c>
      <x:c r="K906" t="n">
        <x:f>IF(OR(J906=0,G906="",G906=0),"",I906/G906)</x:f>
        <x:v>45.1219512195122</x:v>
      </x:c>
      <x:c r="L906" t="n">
        <x:f>IF(OR(J906=0,I906=0,G906=""),"",G906/I906)</x:f>
        <x:v>0.02216216216216216</x:v>
      </x:c>
      <x:c r="M906" t="str">
        <x:f>IF(OR(J906=0,G906="",H906="",G906=0,H906=0),"",I906/(G906*H906))</x:f>
      </x:c>
      <x:c r="N906" t="n">
        <x:f>IF(K906="","",K906/_xlfn.MAXIFS($K:$K,$E:$E,E906))</x:f>
        <x:v>0.015619136960600374</x:v>
      </x:c>
      <x:c r="O906" t="str">
        <x:f>IF(M906="","",M906/_xlfn.MAXIFS($M:$M,$E:$E,E906))</x:f>
      </x:c>
      <x:c r="P906" t="str">
        <x:f>IF(OR(N906="",O906=""),"",SQRT(N906*O906))</x:f>
      </x:c>
      <x:c r="Q906" t="str">
        <x:f>IF(OR(N906="",O906=""),"",N906^0.7*O906^0.3)</x:f>
      </x:c>
      <x:c r="R906" t="str">
        <x:f>IF(OR(N906="",O906=""),"",N906^0.3*O906^0.7)</x:f>
      </x:c>
    </x:row>
    <x:row r="907" s="14" customFormat="1">
      <x:c r="A907" t="inlineStr">
        <x:is>
          <x:t xml:space="preserve">openai|gpt-6-astra|low|reasoning|fallback-na|aa-v4.3.2|snapshot-2026-10-16</x:t>
        </x:is>
      </x:c>
      <x:c r="B907" t="inlineStr">
        <x:is>
          <x:t xml:space="preserve">openai|gpt-6-astra|low|reasoning|fallback-na</x:t>
        </x:is>
      </x:c>
      <x:c r="C907" t="inlineStr">
        <x:is>
          <x:t xml:space="preserve">AA|v4.3.2</x:t>
        </x:is>
      </x:c>
      <x:c r="D907" t="n">
        <x:v>115</x:v>
      </x:c>
      <x:c r="E907" t="n">
        <x:v>20</x:v>
      </x:c>
      <x:c r="F907" t="n">
        <x:f>INDEX(Run_Metrics!$F:$F,D907)</x:f>
        <x:v>46</x:v>
      </x:c>
      <x:c r="G907" t="n">
        <x:f>INDEX(Run_Metrics!$G:$G,D907)</x:f>
        <x:v>0.82</x:v>
      </x:c>
      <x:c r="H907" t="str">
        <x:f>INDEX(Run_Metrics!$I:$I,D907)</x:f>
      </x:c>
      <x:c r="I907" t="n">
        <x:f>IF(F907="","",F907-(E907-1))</x:f>
        <x:v>27</x:v>
      </x:c>
      <x:c r="J907" t="n">
        <x:f>IF(I907&gt;0,1,0)</x:f>
        <x:v>1</x:v>
      </x:c>
      <x:c r="K907" t="n">
        <x:f>IF(OR(J907=0,G907="",G907=0),"",I907/G907)</x:f>
        <x:v>32.926829268292686</x:v>
      </x:c>
      <x:c r="L907" t="n">
        <x:f>IF(OR(J907=0,I907=0,G907=""),"",G907/I907)</x:f>
        <x:v>0.030370370370370367</x:v>
      </x:c>
      <x:c r="M907" t="str">
        <x:f>IF(OR(J907=0,G907="",H907="",G907=0,H907=0),"",I907/(G907*H907))</x:f>
      </x:c>
      <x:c r="N907" t="n">
        <x:f>IF(K907="","",K907/_xlfn.MAXIFS($K:$K,$E:$E,E907))</x:f>
        <x:v>0.04939024390243902</x:v>
      </x:c>
      <x:c r="O907" t="str">
        <x:f>IF(M907="","",M907/_xlfn.MAXIFS($M:$M,$E:$E,E907))</x:f>
      </x:c>
      <x:c r="P907" t="str">
        <x:f>IF(OR(N907="",O907=""),"",SQRT(N907*O907))</x:f>
      </x:c>
      <x:c r="Q907" t="str">
        <x:f>IF(OR(N907="",O907=""),"",N907^0.7*O907^0.3)</x:f>
      </x:c>
      <x:c r="R907" t="str">
        <x:f>IF(OR(N907="",O907=""),"",N907^0.3*O907^0.7)</x:f>
      </x:c>
    </x:row>
    <x:row r="908" s="14" customFormat="1">
      <x:c r="A908" t="inlineStr">
        <x:is>
          <x:t xml:space="preserve">openai|gpt-6-astra|low|reasoning|fallback-na|aa-v4.3.2|snapshot-2026-10-16</x:t>
        </x:is>
      </x:c>
      <x:c r="B908" t="inlineStr">
        <x:is>
          <x:t xml:space="preserve">openai|gpt-6-astra|low|reasoning|fallback-na</x:t>
        </x:is>
      </x:c>
      <x:c r="C908" t="inlineStr">
        <x:is>
          <x:t xml:space="preserve">AA|v4.3.2</x:t>
        </x:is>
      </x:c>
      <x:c r="D908" t="n">
        <x:v>115</x:v>
      </x:c>
      <x:c r="E908" t="n">
        <x:v>30</x:v>
      </x:c>
      <x:c r="F908" t="n">
        <x:f>INDEX(Run_Metrics!$F:$F,D908)</x:f>
        <x:v>46</x:v>
      </x:c>
      <x:c r="G908" t="n">
        <x:f>INDEX(Run_Metrics!$G:$G,D908)</x:f>
        <x:v>0.82</x:v>
      </x:c>
      <x:c r="H908" t="str">
        <x:f>INDEX(Run_Metrics!$I:$I,D908)</x:f>
      </x:c>
      <x:c r="I908" t="n">
        <x:f>IF(F908="","",F908-(E908-1))</x:f>
        <x:v>17</x:v>
      </x:c>
      <x:c r="J908" t="n">
        <x:f>IF(I908&gt;0,1,0)</x:f>
        <x:v>1</x:v>
      </x:c>
      <x:c r="K908" t="n">
        <x:f>IF(OR(J908=0,G908="",G908=0),"",I908/G908)</x:f>
        <x:v>20.731707317073173</x:v>
      </x:c>
      <x:c r="L908" t="n">
        <x:f>IF(OR(J908=0,I908=0,G908=""),"",G908/I908)</x:f>
        <x:v>0.04823529411764706</x:v>
      </x:c>
      <x:c r="M908" t="str">
        <x:f>IF(OR(J908=0,G908="",H908="",G908=0,H908=0),"",I908/(G908*H908))</x:f>
      </x:c>
      <x:c r="N908" t="n">
        <x:f>IF(K908="","",K908/_xlfn.MAXIFS($K:$K,$E:$E,E908))</x:f>
        <x:v>0.13821138211382114</x:v>
      </x:c>
      <x:c r="O908" t="str">
        <x:f>IF(M908="","",M908/_xlfn.MAXIFS($M:$M,$E:$E,E908))</x:f>
      </x:c>
      <x:c r="P908" t="str">
        <x:f>IF(OR(N908="",O908=""),"",SQRT(N908*O908))</x:f>
      </x:c>
      <x:c r="Q908" t="str">
        <x:f>IF(OR(N908="",O908=""),"",N908^0.7*O908^0.3)</x:f>
      </x:c>
      <x:c r="R908" t="str">
        <x:f>IF(OR(N908="",O908=""),"",N908^0.3*O908^0.7)</x:f>
      </x:c>
    </x:row>
    <x:row r="909" s="14" customFormat="1">
      <x:c r="A909" t="inlineStr">
        <x:is>
          <x:t xml:space="preserve">openai|gpt-6-astra|low|reasoning|fallback-na|aa-v4.3.2|snapshot-2026-10-16</x:t>
        </x:is>
      </x:c>
      <x:c r="B909" t="inlineStr">
        <x:is>
          <x:t xml:space="preserve">openai|gpt-6-astra|low|reasoning|fallback-na</x:t>
        </x:is>
      </x:c>
      <x:c r="C909" t="inlineStr">
        <x:is>
          <x:t xml:space="preserve">AA|v4.3.2</x:t>
        </x:is>
      </x:c>
      <x:c r="D909" t="n">
        <x:v>115</x:v>
      </x:c>
      <x:c r="E909" t="n">
        <x:v>35</x:v>
      </x:c>
      <x:c r="F909" t="n">
        <x:f>INDEX(Run_Metrics!$F:$F,D909)</x:f>
        <x:v>46</x:v>
      </x:c>
      <x:c r="G909" t="n">
        <x:f>INDEX(Run_Metrics!$G:$G,D909)</x:f>
        <x:v>0.82</x:v>
      </x:c>
      <x:c r="H909" t="str">
        <x:f>INDEX(Run_Metrics!$I:$I,D909)</x:f>
      </x:c>
      <x:c r="I909" t="n">
        <x:f>IF(F909="","",F909-(E909-1))</x:f>
        <x:v>12</x:v>
      </x:c>
      <x:c r="J909" t="n">
        <x:f>IF(I909&gt;0,1,0)</x:f>
        <x:v>1</x:v>
      </x:c>
      <x:c r="K909" t="n">
        <x:f>IF(OR(J909=0,G909="",G909=0),"",I909/G909)</x:f>
        <x:v>14.634146341463415</x:v>
      </x:c>
      <x:c r="L909" t="n">
        <x:f>IF(OR(J909=0,I909=0,G909=""),"",G909/I909)</x:f>
        <x:v>0.06833333333333333</x:v>
      </x:c>
      <x:c r="M909" t="str">
        <x:f>IF(OR(J909=0,G909="",H909="",G909=0,H909=0),"",I909/(G909*H909))</x:f>
      </x:c>
      <x:c r="N909" t="n">
        <x:f>IF(K909="","",K909/_xlfn.MAXIFS($K:$K,$E:$E,E909))</x:f>
        <x:v>0.15853658536585366</x:v>
      </x:c>
      <x:c r="O909" t="str">
        <x:f>IF(M909="","",M909/_xlfn.MAXIFS($M:$M,$E:$E,E909))</x:f>
      </x:c>
      <x:c r="P909" t="str">
        <x:f>IF(OR(N909="",O909=""),"",SQRT(N909*O909))</x:f>
      </x:c>
      <x:c r="Q909" t="str">
        <x:f>IF(OR(N909="",O909=""),"",N909^0.7*O909^0.3)</x:f>
      </x:c>
      <x:c r="R909" t="str">
        <x:f>IF(OR(N909="",O909=""),"",N909^0.3*O909^0.7)</x:f>
      </x:c>
    </x:row>
    <x:row r="910" s="14" customFormat="1">
      <x:c r="A910" t="inlineStr">
        <x:is>
          <x:t xml:space="preserve">openai|gpt-6-astra|low|reasoning|fallback-na|aa-v4.3.2|snapshot-2026-10-16</x:t>
        </x:is>
      </x:c>
      <x:c r="B910" t="inlineStr">
        <x:is>
          <x:t xml:space="preserve">openai|gpt-6-astra|low|reasoning|fallback-na</x:t>
        </x:is>
      </x:c>
      <x:c r="C910" t="inlineStr">
        <x:is>
          <x:t xml:space="preserve">AA|v4.3.2</x:t>
        </x:is>
      </x:c>
      <x:c r="D910" t="n">
        <x:v>115</x:v>
      </x:c>
      <x:c r="E910" t="n">
        <x:v>40</x:v>
      </x:c>
      <x:c r="F910" t="n">
        <x:f>INDEX(Run_Metrics!$F:$F,D910)</x:f>
        <x:v>46</x:v>
      </x:c>
      <x:c r="G910" t="n">
        <x:f>INDEX(Run_Metrics!$G:$G,D910)</x:f>
        <x:v>0.82</x:v>
      </x:c>
      <x:c r="H910" t="str">
        <x:f>INDEX(Run_Metrics!$I:$I,D910)</x:f>
      </x:c>
      <x:c r="I910" t="n">
        <x:f>IF(F910="","",F910-(E910-1))</x:f>
        <x:v>7</x:v>
      </x:c>
      <x:c r="J910" t="n">
        <x:f>IF(I910&gt;0,1,0)</x:f>
        <x:v>1</x:v>
      </x:c>
      <x:c r="K910" t="n">
        <x:f>IF(OR(J910=0,G910="",G910=0),"",I910/G910)</x:f>
        <x:v>8.536585365853659</x:v>
      </x:c>
      <x:c r="L910" t="n">
        <x:f>IF(OR(J910=0,I910=0,G910=""),"",G910/I910)</x:f>
        <x:v>0.11714285714285713</x:v>
      </x:c>
      <x:c r="M910" t="str">
        <x:f>IF(OR(J910=0,G910="",H910="",G910=0,H910=0),"",I910/(G910*H910))</x:f>
      </x:c>
      <x:c r="N910" t="n">
        <x:f>IF(K910="","",K910/_xlfn.MAXIFS($K:$K,$E:$E,E910))</x:f>
        <x:v>0.15853658536585366</x:v>
      </x:c>
      <x:c r="O910" t="str">
        <x:f>IF(M910="","",M910/_xlfn.MAXIFS($M:$M,$E:$E,E910))</x:f>
      </x:c>
      <x:c r="P910" t="str">
        <x:f>IF(OR(N910="",O910=""),"",SQRT(N910*O910))</x:f>
      </x:c>
      <x:c r="Q910" t="str">
        <x:f>IF(OR(N910="",O910=""),"",N910^0.7*O910^0.3)</x:f>
      </x:c>
      <x:c r="R910" t="str">
        <x:f>IF(OR(N910="",O910=""),"",N910^0.3*O910^0.7)</x:f>
      </x:c>
    </x:row>
    <x:row r="911" s="14" customFormat="1">
      <x:c r="A911" t="inlineStr">
        <x:is>
          <x:t xml:space="preserve">openai|gpt-6-astra|low|reasoning|fallback-na|aa-v4.3.2|snapshot-2026-10-16</x:t>
        </x:is>
      </x:c>
      <x:c r="B911" t="inlineStr">
        <x:is>
          <x:t xml:space="preserve">openai|gpt-6-astra|low|reasoning|fallback-na</x:t>
        </x:is>
      </x:c>
      <x:c r="C911" t="inlineStr">
        <x:is>
          <x:t xml:space="preserve">AA|v4.3.2</x:t>
        </x:is>
      </x:c>
      <x:c r="D911" t="n">
        <x:v>115</x:v>
      </x:c>
      <x:c r="E911" t="n">
        <x:v>45</x:v>
      </x:c>
      <x:c r="F911" t="n">
        <x:f>INDEX(Run_Metrics!$F:$F,D911)</x:f>
        <x:v>46</x:v>
      </x:c>
      <x:c r="G911" t="n">
        <x:f>INDEX(Run_Metrics!$G:$G,D911)</x:f>
        <x:v>0.82</x:v>
      </x:c>
      <x:c r="H911" t="str">
        <x:f>INDEX(Run_Metrics!$I:$I,D911)</x:f>
      </x:c>
      <x:c r="I911" t="n">
        <x:f>IF(F911="","",F911-(E911-1))</x:f>
        <x:v>2</x:v>
      </x:c>
      <x:c r="J911" t="n">
        <x:f>IF(I911&gt;0,1,0)</x:f>
        <x:v>1</x:v>
      </x:c>
      <x:c r="K911" t="n">
        <x:f>IF(OR(J911=0,G911="",G911=0),"",I911/G911)</x:f>
        <x:v>2.4390243902439024</x:v>
      </x:c>
      <x:c r="L911" t="n">
        <x:f>IF(OR(J911=0,I911=0,G911=""),"",G911/I911)</x:f>
        <x:v>0.41</x:v>
      </x:c>
      <x:c r="M911" t="str">
        <x:f>IF(OR(J911=0,G911="",H911="",G911=0,H911=0),"",I911/(G911*H911))</x:f>
      </x:c>
      <x:c r="N911" t="n">
        <x:f>IF(K911="","",K911/_xlfn.MAXIFS($K:$K,$E:$E,E911))</x:f>
        <x:v>0.12804878048780488</x:v>
      </x:c>
      <x:c r="O911" t="str">
        <x:f>IF(M911="","",M911/_xlfn.MAXIFS($M:$M,$E:$E,E911))</x:f>
      </x:c>
      <x:c r="P911" t="str">
        <x:f>IF(OR(N911="",O911=""),"",SQRT(N911*O911))</x:f>
      </x:c>
      <x:c r="Q911" t="str">
        <x:f>IF(OR(N911="",O911=""),"",N911^0.7*O911^0.3)</x:f>
      </x:c>
      <x:c r="R911" t="str">
        <x:f>IF(OR(N911="",O911=""),"",N911^0.3*O911^0.7)</x:f>
      </x:c>
    </x:row>
    <x:row r="912" s="14" customFormat="1">
      <x:c r="A912" t="inlineStr">
        <x:is>
          <x:t xml:space="preserve">openai|gpt-6-astra|low|reasoning|fallback-na|aa-v4.3.2|snapshot-2026-10-16</x:t>
        </x:is>
      </x:c>
      <x:c r="B912" t="inlineStr">
        <x:is>
          <x:t xml:space="preserve">openai|gpt-6-astra|low|reasoning|fallback-na</x:t>
        </x:is>
      </x:c>
      <x:c r="C912" t="inlineStr">
        <x:is>
          <x:t xml:space="preserve">AA|v4.3.2</x:t>
        </x:is>
      </x:c>
      <x:c r="D912" t="n">
        <x:v>115</x:v>
      </x:c>
      <x:c r="E912" t="n">
        <x:v>50</x:v>
      </x:c>
      <x:c r="F912" t="n">
        <x:f>INDEX(Run_Metrics!$F:$F,D912)</x:f>
        <x:v>46</x:v>
      </x:c>
      <x:c r="G912" t="n">
        <x:f>INDEX(Run_Metrics!$G:$G,D912)</x:f>
        <x:v>0.82</x:v>
      </x:c>
      <x:c r="H912" t="str">
        <x:f>INDEX(Run_Metrics!$I:$I,D912)</x:f>
      </x:c>
      <x:c r="I912" t="n">
        <x:f>IF(F912="","",F912-(E912-1))</x:f>
        <x:v>-3</x:v>
      </x:c>
      <x:c r="J912" t="n">
        <x:f>IF(I912&gt;0,1,0)</x:f>
        <x:v>0</x:v>
      </x:c>
      <x:c r="K912" t="str">
        <x:f>IF(OR(J912=0,G912="",G912=0),"",I912/G912)</x:f>
      </x:c>
      <x:c r="L912" t="str">
        <x:f>IF(OR(J912=0,I912=0,G912=""),"",G912/I912)</x:f>
      </x:c>
      <x:c r="M912" t="str">
        <x:f>IF(OR(J912=0,G912="",H912="",G912=0,H912=0),"",I912/(G912*H912))</x:f>
      </x:c>
      <x:c r="N912" t="str">
        <x:f>IF(K912="","",K912/_xlfn.MAXIFS($K:$K,$E:$E,E912))</x:f>
      </x:c>
      <x:c r="O912" t="str">
        <x:f>IF(M912="","",M912/_xlfn.MAXIFS($M:$M,$E:$E,E912))</x:f>
      </x:c>
      <x:c r="P912" t="str">
        <x:f>IF(OR(N912="",O912=""),"",SQRT(N912*O912))</x:f>
      </x:c>
      <x:c r="Q912" t="str">
        <x:f>IF(OR(N912="",O912=""),"",N912^0.7*O912^0.3)</x:f>
      </x:c>
      <x:c r="R912" t="str">
        <x:f>IF(OR(N912="",O912=""),"",N912^0.3*O912^0.7)</x:f>
      </x:c>
    </x:row>
    <x:row r="913" s="14" customFormat="1">
      <x:c r="A913" t="inlineStr">
        <x:is>
          <x:t xml:space="preserve">openai|gpt-6-astra|low|reasoning|fallback-na|aa-v4.3.2|snapshot-2026-10-16</x:t>
        </x:is>
      </x:c>
      <x:c r="B913" t="inlineStr">
        <x:is>
          <x:t xml:space="preserve">openai|gpt-6-astra|low|reasoning|fallback-na</x:t>
        </x:is>
      </x:c>
      <x:c r="C913" t="inlineStr">
        <x:is>
          <x:t xml:space="preserve">AA|v4.3.2</x:t>
        </x:is>
      </x:c>
      <x:c r="D913" t="n">
        <x:v>115</x:v>
      </x:c>
      <x:c r="E913" t="n">
        <x:v>60</x:v>
      </x:c>
      <x:c r="F913" t="n">
        <x:f>INDEX(Run_Metrics!$F:$F,D913)</x:f>
        <x:v>46</x:v>
      </x:c>
      <x:c r="G913" t="n">
        <x:f>INDEX(Run_Metrics!$G:$G,D913)</x:f>
        <x:v>0.82</x:v>
      </x:c>
      <x:c r="H913" t="str">
        <x:f>INDEX(Run_Metrics!$I:$I,D913)</x:f>
      </x:c>
      <x:c r="I913" t="n">
        <x:f>IF(F913="","",F913-(E913-1))</x:f>
        <x:v>-13</x:v>
      </x:c>
      <x:c r="J913" t="n">
        <x:f>IF(I913&gt;0,1,0)</x:f>
        <x:v>0</x:v>
      </x:c>
      <x:c r="K913" t="str">
        <x:f>IF(OR(J913=0,G913="",G913=0),"",I913/G913)</x:f>
      </x:c>
      <x:c r="L913" t="str">
        <x:f>IF(OR(J913=0,I913=0,G913=""),"",G913/I913)</x:f>
      </x:c>
      <x:c r="M913" t="str">
        <x:f>IF(OR(J913=0,G913="",H913="",G913=0,H913=0),"",I913/(G913*H913))</x:f>
      </x:c>
      <x:c r="N913" t="str">
        <x:f>IF(K913="","",K913/_xlfn.MAXIFS($K:$K,$E:$E,E913))</x:f>
      </x:c>
      <x:c r="O913" t="str">
        <x:f>IF(M913="","",M913/_xlfn.MAXIFS($M:$M,$E:$E,E913))</x:f>
      </x:c>
      <x:c r="P913" t="str">
        <x:f>IF(OR(N913="",O913=""),"",SQRT(N913*O913))</x:f>
      </x:c>
      <x:c r="Q913" t="str">
        <x:f>IF(OR(N913="",O913=""),"",N913^0.7*O913^0.3)</x:f>
      </x:c>
      <x:c r="R913" t="str">
        <x:f>IF(OR(N913="",O913=""),"",N913^0.3*O913^0.7)</x:f>
      </x:c>
    </x:row>
    <x:row r="914" s="14" customFormat="1">
      <x:c r="A914" t="inlineStr">
        <x:is>
          <x:t xml:space="preserve">openai|gpt-6-luna|xhigh|reasoning|fallback-na|aa-v4.3.2|snapshot-2026-10-16</x:t>
        </x:is>
      </x:c>
      <x:c r="B914" t="inlineStr">
        <x:is>
          <x:t xml:space="preserve">openai|gpt-6-luna|xhigh|reasoning|fallback-na</x:t>
        </x:is>
      </x:c>
      <x:c r="C914" t="inlineStr">
        <x:is>
          <x:t xml:space="preserve">AA|v4.3.2</x:t>
        </x:is>
      </x:c>
      <x:c r="D914" t="n">
        <x:v>116</x:v>
      </x:c>
      <x:c r="E914" t="n">
        <x:v>10</x:v>
      </x:c>
      <x:c r="F914" t="n">
        <x:f>INDEX(Run_Metrics!$F:$F,D914)</x:f>
        <x:v>35</x:v>
      </x:c>
      <x:c r="G914" t="n">
        <x:f>INDEX(Run_Metrics!$G:$G,D914)</x:f>
        <x:v>0.04</x:v>
      </x:c>
      <x:c r="H914" t="str">
        <x:f>INDEX(Run_Metrics!$I:$I,D914)</x:f>
      </x:c>
      <x:c r="I914" t="n">
        <x:f>IF(F914="","",F914-(E914-1))</x:f>
        <x:v>26</x:v>
      </x:c>
      <x:c r="J914" t="n">
        <x:f>IF(I914&gt;0,1,0)</x:f>
        <x:v>1</x:v>
      </x:c>
      <x:c r="K914" t="n">
        <x:f>IF(OR(J914=0,G914="",G914=0),"",I914/G914)</x:f>
        <x:v>650</x:v>
      </x:c>
      <x:c r="L914" t="n">
        <x:f>IF(OR(J914=0,I914=0,G914=""),"",G914/I914)</x:f>
        <x:v>0.0015384615384615385</x:v>
      </x:c>
      <x:c r="M914" t="str">
        <x:f>IF(OR(J914=0,G914="",H914="",G914=0,H914=0),"",I914/(G914*H914))</x:f>
      </x:c>
      <x:c r="N914" t="n">
        <x:f>IF(K914="","",K914/_xlfn.MAXIFS($K:$K,$E:$E,E914))</x:f>
        <x:v>0.22499999999999998</x:v>
      </x:c>
      <x:c r="O914" t="str">
        <x:f>IF(M914="","",M914/_xlfn.MAXIFS($M:$M,$E:$E,E914))</x:f>
      </x:c>
      <x:c r="P914" t="str">
        <x:f>IF(OR(N914="",O914=""),"",SQRT(N914*O914))</x:f>
      </x:c>
      <x:c r="Q914" t="str">
        <x:f>IF(OR(N914="",O914=""),"",N914^0.7*O914^0.3)</x:f>
      </x:c>
      <x:c r="R914" t="str">
        <x:f>IF(OR(N914="",O914=""),"",N914^0.3*O914^0.7)</x:f>
      </x:c>
    </x:row>
    <x:row r="915" s="14" customFormat="1">
      <x:c r="A915" t="inlineStr">
        <x:is>
          <x:t xml:space="preserve">openai|gpt-6-luna|xhigh|reasoning|fallback-na|aa-v4.3.2|snapshot-2026-10-16</x:t>
        </x:is>
      </x:c>
      <x:c r="B915" t="inlineStr">
        <x:is>
          <x:t xml:space="preserve">openai|gpt-6-luna|xhigh|reasoning|fallback-na</x:t>
        </x:is>
      </x:c>
      <x:c r="C915" t="inlineStr">
        <x:is>
          <x:t xml:space="preserve">AA|v4.3.2</x:t>
        </x:is>
      </x:c>
      <x:c r="D915" t="n">
        <x:v>116</x:v>
      </x:c>
      <x:c r="E915" t="n">
        <x:v>20</x:v>
      </x:c>
      <x:c r="F915" t="n">
        <x:f>INDEX(Run_Metrics!$F:$F,D915)</x:f>
        <x:v>35</x:v>
      </x:c>
      <x:c r="G915" t="n">
        <x:f>INDEX(Run_Metrics!$G:$G,D915)</x:f>
        <x:v>0.04</x:v>
      </x:c>
      <x:c r="H915" t="str">
        <x:f>INDEX(Run_Metrics!$I:$I,D915)</x:f>
      </x:c>
      <x:c r="I915" t="n">
        <x:f>IF(F915="","",F915-(E915-1))</x:f>
        <x:v>16</x:v>
      </x:c>
      <x:c r="J915" t="n">
        <x:f>IF(I915&gt;0,1,0)</x:f>
        <x:v>1</x:v>
      </x:c>
      <x:c r="K915" t="n">
        <x:f>IF(OR(J915=0,G915="",G915=0),"",I915/G915)</x:f>
        <x:v>400</x:v>
      </x:c>
      <x:c r="L915" t="n">
        <x:f>IF(OR(J915=0,I915=0,G915=""),"",G915/I915)</x:f>
        <x:v>0.0025</x:v>
      </x:c>
      <x:c r="M915" t="str">
        <x:f>IF(OR(J915=0,G915="",H915="",G915=0,H915=0),"",I915/(G915*H915))</x:f>
      </x:c>
      <x:c r="N915" t="n">
        <x:f>IF(K915="","",K915/_xlfn.MAXIFS($K:$K,$E:$E,E915))</x:f>
        <x:v>0.6</x:v>
      </x:c>
      <x:c r="O915" t="str">
        <x:f>IF(M915="","",M915/_xlfn.MAXIFS($M:$M,$E:$E,E915))</x:f>
      </x:c>
      <x:c r="P915" t="str">
        <x:f>IF(OR(N915="",O915=""),"",SQRT(N915*O915))</x:f>
      </x:c>
      <x:c r="Q915" t="str">
        <x:f>IF(OR(N915="",O915=""),"",N915^0.7*O915^0.3)</x:f>
      </x:c>
      <x:c r="R915" t="str">
        <x:f>IF(OR(N915="",O915=""),"",N915^0.3*O915^0.7)</x:f>
      </x:c>
    </x:row>
    <x:row r="916" s="14" customFormat="1">
      <x:c r="A916" t="inlineStr">
        <x:is>
          <x:t xml:space="preserve">openai|gpt-6-luna|xhigh|reasoning|fallback-na|aa-v4.3.2|snapshot-2026-10-16</x:t>
        </x:is>
      </x:c>
      <x:c r="B916" t="inlineStr">
        <x:is>
          <x:t xml:space="preserve">openai|gpt-6-luna|xhigh|reasoning|fallback-na</x:t>
        </x:is>
      </x:c>
      <x:c r="C916" t="inlineStr">
        <x:is>
          <x:t xml:space="preserve">AA|v4.3.2</x:t>
        </x:is>
      </x:c>
      <x:c r="D916" t="n">
        <x:v>116</x:v>
      </x:c>
      <x:c r="E916" t="n">
        <x:v>30</x:v>
      </x:c>
      <x:c r="F916" t="n">
        <x:f>INDEX(Run_Metrics!$F:$F,D916)</x:f>
        <x:v>35</x:v>
      </x:c>
      <x:c r="G916" t="n">
        <x:f>INDEX(Run_Metrics!$G:$G,D916)</x:f>
        <x:v>0.04</x:v>
      </x:c>
      <x:c r="H916" t="str">
        <x:f>INDEX(Run_Metrics!$I:$I,D916)</x:f>
      </x:c>
      <x:c r="I916" t="n">
        <x:f>IF(F916="","",F916-(E916-1))</x:f>
        <x:v>6</x:v>
      </x:c>
      <x:c r="J916" t="n">
        <x:f>IF(I916&gt;0,1,0)</x:f>
        <x:v>1</x:v>
      </x:c>
      <x:c r="K916" t="n">
        <x:f>IF(OR(J916=0,G916="",G916=0),"",I916/G916)</x:f>
        <x:v>150</x:v>
      </x:c>
      <x:c r="L916" t="n">
        <x:f>IF(OR(J916=0,I916=0,G916=""),"",G916/I916)</x:f>
        <x:v>0.006666666666666667</x:v>
      </x:c>
      <x:c r="M916" t="str">
        <x:f>IF(OR(J916=0,G916="",H916="",G916=0,H916=0),"",I916/(G916*H916))</x:f>
      </x:c>
      <x:c r="N916" t="n">
        <x:f>IF(K916="","",K916/_xlfn.MAXIFS($K:$K,$E:$E,E916))</x:f>
        <x:v>1</x:v>
      </x:c>
      <x:c r="O916" t="str">
        <x:f>IF(M916="","",M916/_xlfn.MAXIFS($M:$M,$E:$E,E916))</x:f>
      </x:c>
      <x:c r="P916" t="str">
        <x:f>IF(OR(N916="",O916=""),"",SQRT(N916*O916))</x:f>
      </x:c>
      <x:c r="Q916" t="str">
        <x:f>IF(OR(N916="",O916=""),"",N916^0.7*O916^0.3)</x:f>
      </x:c>
      <x:c r="R916" t="str">
        <x:f>IF(OR(N916="",O916=""),"",N916^0.3*O916^0.7)</x:f>
      </x:c>
    </x:row>
    <x:row r="917" s="14" customFormat="1">
      <x:c r="A917" t="inlineStr">
        <x:is>
          <x:t xml:space="preserve">openai|gpt-6-luna|xhigh|reasoning|fallback-na|aa-v4.3.2|snapshot-2026-10-16</x:t>
        </x:is>
      </x:c>
      <x:c r="B917" t="inlineStr">
        <x:is>
          <x:t xml:space="preserve">openai|gpt-6-luna|xhigh|reasoning|fallback-na</x:t>
        </x:is>
      </x:c>
      <x:c r="C917" t="inlineStr">
        <x:is>
          <x:t xml:space="preserve">AA|v4.3.2</x:t>
        </x:is>
      </x:c>
      <x:c r="D917" t="n">
        <x:v>116</x:v>
      </x:c>
      <x:c r="E917" t="n">
        <x:v>35</x:v>
      </x:c>
      <x:c r="F917" t="n">
        <x:f>INDEX(Run_Metrics!$F:$F,D917)</x:f>
        <x:v>35</x:v>
      </x:c>
      <x:c r="G917" t="n">
        <x:f>INDEX(Run_Metrics!$G:$G,D917)</x:f>
        <x:v>0.04</x:v>
      </x:c>
      <x:c r="H917" t="str">
        <x:f>INDEX(Run_Metrics!$I:$I,D917)</x:f>
      </x:c>
      <x:c r="I917" t="n">
        <x:f>IF(F917="","",F917-(E917-1))</x:f>
        <x:v>1</x:v>
      </x:c>
      <x:c r="J917" t="n">
        <x:f>IF(I917&gt;0,1,0)</x:f>
        <x:v>1</x:v>
      </x:c>
      <x:c r="K917" t="n">
        <x:f>IF(OR(J917=0,G917="",G917=0),"",I917/G917)</x:f>
        <x:v>25</x:v>
      </x:c>
      <x:c r="L917" t="n">
        <x:f>IF(OR(J917=0,I917=0,G917=""),"",G917/I917)</x:f>
        <x:v>0.04</x:v>
      </x:c>
      <x:c r="M917" t="str">
        <x:f>IF(OR(J917=0,G917="",H917="",G917=0,H917=0),"",I917/(G917*H917))</x:f>
      </x:c>
      <x:c r="N917" t="n">
        <x:f>IF(K917="","",K917/_xlfn.MAXIFS($K:$K,$E:$E,E917))</x:f>
        <x:v>0.2708333333333333</x:v>
      </x:c>
      <x:c r="O917" t="str">
        <x:f>IF(M917="","",M917/_xlfn.MAXIFS($M:$M,$E:$E,E917))</x:f>
      </x:c>
      <x:c r="P917" t="str">
        <x:f>IF(OR(N917="",O917=""),"",SQRT(N917*O917))</x:f>
      </x:c>
      <x:c r="Q917" t="str">
        <x:f>IF(OR(N917="",O917=""),"",N917^0.7*O917^0.3)</x:f>
      </x:c>
      <x:c r="R917" t="str">
        <x:f>IF(OR(N917="",O917=""),"",N917^0.3*O917^0.7)</x:f>
      </x:c>
    </x:row>
    <x:row r="918" s="14" customFormat="1">
      <x:c r="A918" t="inlineStr">
        <x:is>
          <x:t xml:space="preserve">openai|gpt-6-luna|xhigh|reasoning|fallback-na|aa-v4.3.2|snapshot-2026-10-16</x:t>
        </x:is>
      </x:c>
      <x:c r="B918" t="inlineStr">
        <x:is>
          <x:t xml:space="preserve">openai|gpt-6-luna|xhigh|reasoning|fallback-na</x:t>
        </x:is>
      </x:c>
      <x:c r="C918" t="inlineStr">
        <x:is>
          <x:t xml:space="preserve">AA|v4.3.2</x:t>
        </x:is>
      </x:c>
      <x:c r="D918" t="n">
        <x:v>116</x:v>
      </x:c>
      <x:c r="E918" t="n">
        <x:v>40</x:v>
      </x:c>
      <x:c r="F918" t="n">
        <x:f>INDEX(Run_Metrics!$F:$F,D918)</x:f>
        <x:v>35</x:v>
      </x:c>
      <x:c r="G918" t="n">
        <x:f>INDEX(Run_Metrics!$G:$G,D918)</x:f>
        <x:v>0.04</x:v>
      </x:c>
      <x:c r="H918" t="str">
        <x:f>INDEX(Run_Metrics!$I:$I,D918)</x:f>
      </x:c>
      <x:c r="I918" t="n">
        <x:f>IF(F918="","",F918-(E918-1))</x:f>
        <x:v>-4</x:v>
      </x:c>
      <x:c r="J918" t="n">
        <x:f>IF(I918&gt;0,1,0)</x:f>
        <x:v>0</x:v>
      </x:c>
      <x:c r="K918" t="str">
        <x:f>IF(OR(J918=0,G918="",G918=0),"",I918/G918)</x:f>
      </x:c>
      <x:c r="L918" t="str">
        <x:f>IF(OR(J918=0,I918=0,G918=""),"",G918/I918)</x:f>
      </x:c>
      <x:c r="M918" t="str">
        <x:f>IF(OR(J918=0,G918="",H918="",G918=0,H918=0),"",I918/(G918*H918))</x:f>
      </x:c>
      <x:c r="N918" t="str">
        <x:f>IF(K918="","",K918/_xlfn.MAXIFS($K:$K,$E:$E,E918))</x:f>
      </x:c>
      <x:c r="O918" t="str">
        <x:f>IF(M918="","",M918/_xlfn.MAXIFS($M:$M,$E:$E,E918))</x:f>
      </x:c>
      <x:c r="P918" t="str">
        <x:f>IF(OR(N918="",O918=""),"",SQRT(N918*O918))</x:f>
      </x:c>
      <x:c r="Q918" t="str">
        <x:f>IF(OR(N918="",O918=""),"",N918^0.7*O918^0.3)</x:f>
      </x:c>
      <x:c r="R918" t="str">
        <x:f>IF(OR(N918="",O918=""),"",N918^0.3*O918^0.7)</x:f>
      </x:c>
    </x:row>
    <x:row r="919" s="14" customFormat="1">
      <x:c r="A919" t="inlineStr">
        <x:is>
          <x:t xml:space="preserve">openai|gpt-6-luna|xhigh|reasoning|fallback-na|aa-v4.3.2|snapshot-2026-10-16</x:t>
        </x:is>
      </x:c>
      <x:c r="B919" t="inlineStr">
        <x:is>
          <x:t xml:space="preserve">openai|gpt-6-luna|xhigh|reasoning|fallback-na</x:t>
        </x:is>
      </x:c>
      <x:c r="C919" t="inlineStr">
        <x:is>
          <x:t xml:space="preserve">AA|v4.3.2</x:t>
        </x:is>
      </x:c>
      <x:c r="D919" t="n">
        <x:v>116</x:v>
      </x:c>
      <x:c r="E919" t="n">
        <x:v>45</x:v>
      </x:c>
      <x:c r="F919" t="n">
        <x:f>INDEX(Run_Metrics!$F:$F,D919)</x:f>
        <x:v>35</x:v>
      </x:c>
      <x:c r="G919" t="n">
        <x:f>INDEX(Run_Metrics!$G:$G,D919)</x:f>
        <x:v>0.04</x:v>
      </x:c>
      <x:c r="H919" t="str">
        <x:f>INDEX(Run_Metrics!$I:$I,D919)</x:f>
      </x:c>
      <x:c r="I919" t="n">
        <x:f>IF(F919="","",F919-(E919-1))</x:f>
        <x:v>-9</x:v>
      </x:c>
      <x:c r="J919" t="n">
        <x:f>IF(I919&gt;0,1,0)</x:f>
        <x:v>0</x:v>
      </x:c>
      <x:c r="K919" t="str">
        <x:f>IF(OR(J919=0,G919="",G919=0),"",I919/G919)</x:f>
      </x:c>
      <x:c r="L919" t="str">
        <x:f>IF(OR(J919=0,I919=0,G919=""),"",G919/I919)</x:f>
      </x:c>
      <x:c r="M919" t="str">
        <x:f>IF(OR(J919=0,G919="",H919="",G919=0,H919=0),"",I919/(G919*H919))</x:f>
      </x:c>
      <x:c r="N919" t="str">
        <x:f>IF(K919="","",K919/_xlfn.MAXIFS($K:$K,$E:$E,E919))</x:f>
      </x:c>
      <x:c r="O919" t="str">
        <x:f>IF(M919="","",M919/_xlfn.MAXIFS($M:$M,$E:$E,E919))</x:f>
      </x:c>
      <x:c r="P919" t="str">
        <x:f>IF(OR(N919="",O919=""),"",SQRT(N919*O919))</x:f>
      </x:c>
      <x:c r="Q919" t="str">
        <x:f>IF(OR(N919="",O919=""),"",N919^0.7*O919^0.3)</x:f>
      </x:c>
      <x:c r="R919" t="str">
        <x:f>IF(OR(N919="",O919=""),"",N919^0.3*O919^0.7)</x:f>
      </x:c>
    </x:row>
    <x:row r="920" s="14" customFormat="1">
      <x:c r="A920" t="inlineStr">
        <x:is>
          <x:t xml:space="preserve">openai|gpt-6-luna|xhigh|reasoning|fallback-na|aa-v4.3.2|snapshot-2026-10-16</x:t>
        </x:is>
      </x:c>
      <x:c r="B920" t="inlineStr">
        <x:is>
          <x:t xml:space="preserve">openai|gpt-6-luna|xhigh|reasoning|fallback-na</x:t>
        </x:is>
      </x:c>
      <x:c r="C920" t="inlineStr">
        <x:is>
          <x:t xml:space="preserve">AA|v4.3.2</x:t>
        </x:is>
      </x:c>
      <x:c r="D920" t="n">
        <x:v>116</x:v>
      </x:c>
      <x:c r="E920" t="n">
        <x:v>50</x:v>
      </x:c>
      <x:c r="F920" t="n">
        <x:f>INDEX(Run_Metrics!$F:$F,D920)</x:f>
        <x:v>35</x:v>
      </x:c>
      <x:c r="G920" t="n">
        <x:f>INDEX(Run_Metrics!$G:$G,D920)</x:f>
        <x:v>0.04</x:v>
      </x:c>
      <x:c r="H920" t="str">
        <x:f>INDEX(Run_Metrics!$I:$I,D920)</x:f>
      </x:c>
      <x:c r="I920" t="n">
        <x:f>IF(F920="","",F920-(E920-1))</x:f>
        <x:v>-14</x:v>
      </x:c>
      <x:c r="J920" t="n">
        <x:f>IF(I920&gt;0,1,0)</x:f>
        <x:v>0</x:v>
      </x:c>
      <x:c r="K920" t="str">
        <x:f>IF(OR(J920=0,G920="",G920=0),"",I920/G920)</x:f>
      </x:c>
      <x:c r="L920" t="str">
        <x:f>IF(OR(J920=0,I920=0,G920=""),"",G920/I920)</x:f>
      </x:c>
      <x:c r="M920" t="str">
        <x:f>IF(OR(J920=0,G920="",H920="",G920=0,H920=0),"",I920/(G920*H920))</x:f>
      </x:c>
      <x:c r="N920" t="str">
        <x:f>IF(K920="","",K920/_xlfn.MAXIFS($K:$K,$E:$E,E920))</x:f>
      </x:c>
      <x:c r="O920" t="str">
        <x:f>IF(M920="","",M920/_xlfn.MAXIFS($M:$M,$E:$E,E920))</x:f>
      </x:c>
      <x:c r="P920" t="str">
        <x:f>IF(OR(N920="",O920=""),"",SQRT(N920*O920))</x:f>
      </x:c>
      <x:c r="Q920" t="str">
        <x:f>IF(OR(N920="",O920=""),"",N920^0.7*O920^0.3)</x:f>
      </x:c>
      <x:c r="R920" t="str">
        <x:f>IF(OR(N920="",O920=""),"",N920^0.3*O920^0.7)</x:f>
      </x:c>
    </x:row>
    <x:row r="921" s="14" customFormat="1">
      <x:c r="A921" t="inlineStr">
        <x:is>
          <x:t xml:space="preserve">openai|gpt-6-luna|xhigh|reasoning|fallback-na|aa-v4.3.2|snapshot-2026-10-16</x:t>
        </x:is>
      </x:c>
      <x:c r="B921" t="inlineStr">
        <x:is>
          <x:t xml:space="preserve">openai|gpt-6-luna|xhigh|reasoning|fallback-na</x:t>
        </x:is>
      </x:c>
      <x:c r="C921" t="inlineStr">
        <x:is>
          <x:t xml:space="preserve">AA|v4.3.2</x:t>
        </x:is>
      </x:c>
      <x:c r="D921" t="n">
        <x:v>116</x:v>
      </x:c>
      <x:c r="E921" t="n">
        <x:v>60</x:v>
      </x:c>
      <x:c r="F921" t="n">
        <x:f>INDEX(Run_Metrics!$F:$F,D921)</x:f>
        <x:v>35</x:v>
      </x:c>
      <x:c r="G921" t="n">
        <x:f>INDEX(Run_Metrics!$G:$G,D921)</x:f>
        <x:v>0.04</x:v>
      </x:c>
      <x:c r="H921" t="str">
        <x:f>INDEX(Run_Metrics!$I:$I,D921)</x:f>
      </x:c>
      <x:c r="I921" t="n">
        <x:f>IF(F921="","",F921-(E921-1))</x:f>
        <x:v>-24</x:v>
      </x:c>
      <x:c r="J921" t="n">
        <x:f>IF(I921&gt;0,1,0)</x:f>
        <x:v>0</x:v>
      </x:c>
      <x:c r="K921" t="str">
        <x:f>IF(OR(J921=0,G921="",G921=0),"",I921/G921)</x:f>
      </x:c>
      <x:c r="L921" t="str">
        <x:f>IF(OR(J921=0,I921=0,G921=""),"",G921/I921)</x:f>
      </x:c>
      <x:c r="M921" t="str">
        <x:f>IF(OR(J921=0,G921="",H921="",G921=0,H921=0),"",I921/(G921*H921))</x:f>
      </x:c>
      <x:c r="N921" t="str">
        <x:f>IF(K921="","",K921/_xlfn.MAXIFS($K:$K,$E:$E,E921))</x:f>
      </x:c>
      <x:c r="O921" t="str">
        <x:f>IF(M921="","",M921/_xlfn.MAXIFS($M:$M,$E:$E,E921))</x:f>
      </x:c>
      <x:c r="P921" t="str">
        <x:f>IF(OR(N921="",O921=""),"",SQRT(N921*O921))</x:f>
      </x:c>
      <x:c r="Q921" t="str">
        <x:f>IF(OR(N921="",O921=""),"",N921^0.7*O921^0.3)</x:f>
      </x:c>
      <x:c r="R921" t="str">
        <x:f>IF(OR(N921="",O921=""),"",N921^0.3*O921^0.7)</x:f>
      </x:c>
    </x:row>
    <x:row r="922" s="14" customFormat="1">
      <x:c r="A922" t="inlineStr">
        <x:is>
          <x:t xml:space="preserve">openai|gpt-6-luna|high|reasoning|fallback-na|aa-v4.3.2|snapshot-2026-10-16</x:t>
        </x:is>
      </x:c>
      <x:c r="B922" t="inlineStr">
        <x:is>
          <x:t xml:space="preserve">openai|gpt-6-luna|high|reasoning|fallback-na</x:t>
        </x:is>
      </x:c>
      <x:c r="C922" t="inlineStr">
        <x:is>
          <x:t xml:space="preserve">AA|v4.3.2</x:t>
        </x:is>
      </x:c>
      <x:c r="D922" t="n">
        <x:v>117</x:v>
      </x:c>
      <x:c r="E922" t="n">
        <x:v>10</x:v>
      </x:c>
      <x:c r="F922" t="n">
        <x:f>INDEX(Run_Metrics!$F:$F,D922)</x:f>
        <x:v>33</x:v>
      </x:c>
      <x:c r="G922" t="n">
        <x:f>INDEX(Run_Metrics!$G:$G,D922)</x:f>
        <x:v>0.03</x:v>
      </x:c>
      <x:c r="H922" t="str">
        <x:f>INDEX(Run_Metrics!$I:$I,D922)</x:f>
      </x:c>
      <x:c r="I922" t="n">
        <x:f>IF(F922="","",F922-(E922-1))</x:f>
        <x:v>24</x:v>
      </x:c>
      <x:c r="J922" t="n">
        <x:f>IF(I922&gt;0,1,0)</x:f>
        <x:v>1</x:v>
      </x:c>
      <x:c r="K922" t="n">
        <x:f>IF(OR(J922=0,G922="",G922=0),"",I922/G922)</x:f>
        <x:v>800</x:v>
      </x:c>
      <x:c r="L922" t="n">
        <x:f>IF(OR(J922=0,I922=0,G922=""),"",G922/I922)</x:f>
        <x:v>0.00125</x:v>
      </x:c>
      <x:c r="M922" t="str">
        <x:f>IF(OR(J922=0,G922="",H922="",G922=0,H922=0),"",I922/(G922*H922))</x:f>
      </x:c>
      <x:c r="N922" t="n">
        <x:f>IF(K922="","",K922/_xlfn.MAXIFS($K:$K,$E:$E,E922))</x:f>
        <x:v>0.2769230769230769</x:v>
      </x:c>
      <x:c r="O922" t="str">
        <x:f>IF(M922="","",M922/_xlfn.MAXIFS($M:$M,$E:$E,E922))</x:f>
      </x:c>
      <x:c r="P922" t="str">
        <x:f>IF(OR(N922="",O922=""),"",SQRT(N922*O922))</x:f>
      </x:c>
      <x:c r="Q922" t="str">
        <x:f>IF(OR(N922="",O922=""),"",N922^0.7*O922^0.3)</x:f>
      </x:c>
      <x:c r="R922" t="str">
        <x:f>IF(OR(N922="",O922=""),"",N922^0.3*O922^0.7)</x:f>
      </x:c>
    </x:row>
    <x:row r="923" s="14" customFormat="1">
      <x:c r="A923" t="inlineStr">
        <x:is>
          <x:t xml:space="preserve">openai|gpt-6-luna|high|reasoning|fallback-na|aa-v4.3.2|snapshot-2026-10-16</x:t>
        </x:is>
      </x:c>
      <x:c r="B923" t="inlineStr">
        <x:is>
          <x:t xml:space="preserve">openai|gpt-6-luna|high|reasoning|fallback-na</x:t>
        </x:is>
      </x:c>
      <x:c r="C923" t="inlineStr">
        <x:is>
          <x:t xml:space="preserve">AA|v4.3.2</x:t>
        </x:is>
      </x:c>
      <x:c r="D923" t="n">
        <x:v>117</x:v>
      </x:c>
      <x:c r="E923" t="n">
        <x:v>20</x:v>
      </x:c>
      <x:c r="F923" t="n">
        <x:f>INDEX(Run_Metrics!$F:$F,D923)</x:f>
        <x:v>33</x:v>
      </x:c>
      <x:c r="G923" t="n">
        <x:f>INDEX(Run_Metrics!$G:$G,D923)</x:f>
        <x:v>0.03</x:v>
      </x:c>
      <x:c r="H923" t="str">
        <x:f>INDEX(Run_Metrics!$I:$I,D923)</x:f>
      </x:c>
      <x:c r="I923" t="n">
        <x:f>IF(F923="","",F923-(E923-1))</x:f>
        <x:v>14</x:v>
      </x:c>
      <x:c r="J923" t="n">
        <x:f>IF(I923&gt;0,1,0)</x:f>
        <x:v>1</x:v>
      </x:c>
      <x:c r="K923" t="n">
        <x:f>IF(OR(J923=0,G923="",G923=0),"",I923/G923)</x:f>
        <x:v>466.6666666666667</x:v>
      </x:c>
      <x:c r="L923" t="n">
        <x:f>IF(OR(J923=0,I923=0,G923=""),"",G923/I923)</x:f>
        <x:v>0.002142857142857143</x:v>
      </x:c>
      <x:c r="M923" t="str">
        <x:f>IF(OR(J923=0,G923="",H923="",G923=0,H923=0),"",I923/(G923*H923))</x:f>
      </x:c>
      <x:c r="N923" t="n">
        <x:f>IF(K923="","",K923/_xlfn.MAXIFS($K:$K,$E:$E,E923))</x:f>
        <x:v>0.7</x:v>
      </x:c>
      <x:c r="O923" t="str">
        <x:f>IF(M923="","",M923/_xlfn.MAXIFS($M:$M,$E:$E,E923))</x:f>
      </x:c>
      <x:c r="P923" t="str">
        <x:f>IF(OR(N923="",O923=""),"",SQRT(N923*O923))</x:f>
      </x:c>
      <x:c r="Q923" t="str">
        <x:f>IF(OR(N923="",O923=""),"",N923^0.7*O923^0.3)</x:f>
      </x:c>
      <x:c r="R923" t="str">
        <x:f>IF(OR(N923="",O923=""),"",N923^0.3*O923^0.7)</x:f>
      </x:c>
    </x:row>
    <x:row r="924" s="14" customFormat="1">
      <x:c r="A924" t="inlineStr">
        <x:is>
          <x:t xml:space="preserve">openai|gpt-6-luna|high|reasoning|fallback-na|aa-v4.3.2|snapshot-2026-10-16</x:t>
        </x:is>
      </x:c>
      <x:c r="B924" t="inlineStr">
        <x:is>
          <x:t xml:space="preserve">openai|gpt-6-luna|high|reasoning|fallback-na</x:t>
        </x:is>
      </x:c>
      <x:c r="C924" t="inlineStr">
        <x:is>
          <x:t xml:space="preserve">AA|v4.3.2</x:t>
        </x:is>
      </x:c>
      <x:c r="D924" t="n">
        <x:v>117</x:v>
      </x:c>
      <x:c r="E924" t="n">
        <x:v>30</x:v>
      </x:c>
      <x:c r="F924" t="n">
        <x:f>INDEX(Run_Metrics!$F:$F,D924)</x:f>
        <x:v>33</x:v>
      </x:c>
      <x:c r="G924" t="n">
        <x:f>INDEX(Run_Metrics!$G:$G,D924)</x:f>
        <x:v>0.03</x:v>
      </x:c>
      <x:c r="H924" t="str">
        <x:f>INDEX(Run_Metrics!$I:$I,D924)</x:f>
      </x:c>
      <x:c r="I924" t="n">
        <x:f>IF(F924="","",F924-(E924-1))</x:f>
        <x:v>4</x:v>
      </x:c>
      <x:c r="J924" t="n">
        <x:f>IF(I924&gt;0,1,0)</x:f>
        <x:v>1</x:v>
      </x:c>
      <x:c r="K924" t="n">
        <x:f>IF(OR(J924=0,G924="",G924=0),"",I924/G924)</x:f>
        <x:v>133.33333333333334</x:v>
      </x:c>
      <x:c r="L924" t="n">
        <x:f>IF(OR(J924=0,I924=0,G924=""),"",G924/I924)</x:f>
        <x:v>0.0075</x:v>
      </x:c>
      <x:c r="M924" t="str">
        <x:f>IF(OR(J924=0,G924="",H924="",G924=0,H924=0),"",I924/(G924*H924))</x:f>
      </x:c>
      <x:c r="N924" t="n">
        <x:f>IF(K924="","",K924/_xlfn.MAXIFS($K:$K,$E:$E,E924))</x:f>
        <x:v>0.888888888888889</x:v>
      </x:c>
      <x:c r="O924" t="str">
        <x:f>IF(M924="","",M924/_xlfn.MAXIFS($M:$M,$E:$E,E924))</x:f>
      </x:c>
      <x:c r="P924" t="str">
        <x:f>IF(OR(N924="",O924=""),"",SQRT(N924*O924))</x:f>
      </x:c>
      <x:c r="Q924" t="str">
        <x:f>IF(OR(N924="",O924=""),"",N924^0.7*O924^0.3)</x:f>
      </x:c>
      <x:c r="R924" t="str">
        <x:f>IF(OR(N924="",O924=""),"",N924^0.3*O924^0.7)</x:f>
      </x:c>
    </x:row>
    <x:row r="925" s="14" customFormat="1">
      <x:c r="A925" t="inlineStr">
        <x:is>
          <x:t xml:space="preserve">openai|gpt-6-luna|high|reasoning|fallback-na|aa-v4.3.2|snapshot-2026-10-16</x:t>
        </x:is>
      </x:c>
      <x:c r="B925" t="inlineStr">
        <x:is>
          <x:t xml:space="preserve">openai|gpt-6-luna|high|reasoning|fallback-na</x:t>
        </x:is>
      </x:c>
      <x:c r="C925" t="inlineStr">
        <x:is>
          <x:t xml:space="preserve">AA|v4.3.2</x:t>
        </x:is>
      </x:c>
      <x:c r="D925" t="n">
        <x:v>117</x:v>
      </x:c>
      <x:c r="E925" t="n">
        <x:v>35</x:v>
      </x:c>
      <x:c r="F925" t="n">
        <x:f>INDEX(Run_Metrics!$F:$F,D925)</x:f>
        <x:v>33</x:v>
      </x:c>
      <x:c r="G925" t="n">
        <x:f>INDEX(Run_Metrics!$G:$G,D925)</x:f>
        <x:v>0.03</x:v>
      </x:c>
      <x:c r="H925" t="str">
        <x:f>INDEX(Run_Metrics!$I:$I,D925)</x:f>
      </x:c>
      <x:c r="I925" t="n">
        <x:f>IF(F925="","",F925-(E925-1))</x:f>
        <x:v>-1</x:v>
      </x:c>
      <x:c r="J925" t="n">
        <x:f>IF(I925&gt;0,1,0)</x:f>
        <x:v>0</x:v>
      </x:c>
      <x:c r="K925" t="str">
        <x:f>IF(OR(J925=0,G925="",G925=0),"",I925/G925)</x:f>
      </x:c>
      <x:c r="L925" t="str">
        <x:f>IF(OR(J925=0,I925=0,G925=""),"",G925/I925)</x:f>
      </x:c>
      <x:c r="M925" t="str">
        <x:f>IF(OR(J925=0,G925="",H925="",G925=0,H925=0),"",I925/(G925*H925))</x:f>
      </x:c>
      <x:c r="N925" t="str">
        <x:f>IF(K925="","",K925/_xlfn.MAXIFS($K:$K,$E:$E,E925))</x:f>
      </x:c>
      <x:c r="O925" t="str">
        <x:f>IF(M925="","",M925/_xlfn.MAXIFS($M:$M,$E:$E,E925))</x:f>
      </x:c>
      <x:c r="P925" t="str">
        <x:f>IF(OR(N925="",O925=""),"",SQRT(N925*O925))</x:f>
      </x:c>
      <x:c r="Q925" t="str">
        <x:f>IF(OR(N925="",O925=""),"",N925^0.7*O925^0.3)</x:f>
      </x:c>
      <x:c r="R925" t="str">
        <x:f>IF(OR(N925="",O925=""),"",N925^0.3*O925^0.7)</x:f>
      </x:c>
    </x:row>
    <x:row r="926" s="14" customFormat="1">
      <x:c r="A926" t="inlineStr">
        <x:is>
          <x:t xml:space="preserve">openai|gpt-6-luna|high|reasoning|fallback-na|aa-v4.3.2|snapshot-2026-10-16</x:t>
        </x:is>
      </x:c>
      <x:c r="B926" t="inlineStr">
        <x:is>
          <x:t xml:space="preserve">openai|gpt-6-luna|high|reasoning|fallback-na</x:t>
        </x:is>
      </x:c>
      <x:c r="C926" t="inlineStr">
        <x:is>
          <x:t xml:space="preserve">AA|v4.3.2</x:t>
        </x:is>
      </x:c>
      <x:c r="D926" t="n">
        <x:v>117</x:v>
      </x:c>
      <x:c r="E926" t="n">
        <x:v>40</x:v>
      </x:c>
      <x:c r="F926" t="n">
        <x:f>INDEX(Run_Metrics!$F:$F,D926)</x:f>
        <x:v>33</x:v>
      </x:c>
      <x:c r="G926" t="n">
        <x:f>INDEX(Run_Metrics!$G:$G,D926)</x:f>
        <x:v>0.03</x:v>
      </x:c>
      <x:c r="H926" t="str">
        <x:f>INDEX(Run_Metrics!$I:$I,D926)</x:f>
      </x:c>
      <x:c r="I926" t="n">
        <x:f>IF(F926="","",F926-(E926-1))</x:f>
        <x:v>-6</x:v>
      </x:c>
      <x:c r="J926" t="n">
        <x:f>IF(I926&gt;0,1,0)</x:f>
        <x:v>0</x:v>
      </x:c>
      <x:c r="K926" t="str">
        <x:f>IF(OR(J926=0,G926="",G926=0),"",I926/G926)</x:f>
      </x:c>
      <x:c r="L926" t="str">
        <x:f>IF(OR(J926=0,I926=0,G926=""),"",G926/I926)</x:f>
      </x:c>
      <x:c r="M926" t="str">
        <x:f>IF(OR(J926=0,G926="",H926="",G926=0,H926=0),"",I926/(G926*H926))</x:f>
      </x:c>
      <x:c r="N926" t="str">
        <x:f>IF(K926="","",K926/_xlfn.MAXIFS($K:$K,$E:$E,E926))</x:f>
      </x:c>
      <x:c r="O926" t="str">
        <x:f>IF(M926="","",M926/_xlfn.MAXIFS($M:$M,$E:$E,E926))</x:f>
      </x:c>
      <x:c r="P926" t="str">
        <x:f>IF(OR(N926="",O926=""),"",SQRT(N926*O926))</x:f>
      </x:c>
      <x:c r="Q926" t="str">
        <x:f>IF(OR(N926="",O926=""),"",N926^0.7*O926^0.3)</x:f>
      </x:c>
      <x:c r="R926" t="str">
        <x:f>IF(OR(N926="",O926=""),"",N926^0.3*O926^0.7)</x:f>
      </x:c>
    </x:row>
    <x:row r="927" s="14" customFormat="1">
      <x:c r="A927" t="inlineStr">
        <x:is>
          <x:t xml:space="preserve">openai|gpt-6-luna|high|reasoning|fallback-na|aa-v4.3.2|snapshot-2026-10-16</x:t>
        </x:is>
      </x:c>
      <x:c r="B927" t="inlineStr">
        <x:is>
          <x:t xml:space="preserve">openai|gpt-6-luna|high|reasoning|fallback-na</x:t>
        </x:is>
      </x:c>
      <x:c r="C927" t="inlineStr">
        <x:is>
          <x:t xml:space="preserve">AA|v4.3.2</x:t>
        </x:is>
      </x:c>
      <x:c r="D927" t="n">
        <x:v>117</x:v>
      </x:c>
      <x:c r="E927" t="n">
        <x:v>45</x:v>
      </x:c>
      <x:c r="F927" t="n">
        <x:f>INDEX(Run_Metrics!$F:$F,D927)</x:f>
        <x:v>33</x:v>
      </x:c>
      <x:c r="G927" t="n">
        <x:f>INDEX(Run_Metrics!$G:$G,D927)</x:f>
        <x:v>0.03</x:v>
      </x:c>
      <x:c r="H927" t="str">
        <x:f>INDEX(Run_Metrics!$I:$I,D927)</x:f>
      </x:c>
      <x:c r="I927" t="n">
        <x:f>IF(F927="","",F927-(E927-1))</x:f>
        <x:v>-11</x:v>
      </x:c>
      <x:c r="J927" t="n">
        <x:f>IF(I927&gt;0,1,0)</x:f>
        <x:v>0</x:v>
      </x:c>
      <x:c r="K927" t="str">
        <x:f>IF(OR(J927=0,G927="",G927=0),"",I927/G927)</x:f>
      </x:c>
      <x:c r="L927" t="str">
        <x:f>IF(OR(J927=0,I927=0,G927=""),"",G927/I927)</x:f>
      </x:c>
      <x:c r="M927" t="str">
        <x:f>IF(OR(J927=0,G927="",H927="",G927=0,H927=0),"",I927/(G927*H927))</x:f>
      </x:c>
      <x:c r="N927" t="str">
        <x:f>IF(K927="","",K927/_xlfn.MAXIFS($K:$K,$E:$E,E927))</x:f>
      </x:c>
      <x:c r="O927" t="str">
        <x:f>IF(M927="","",M927/_xlfn.MAXIFS($M:$M,$E:$E,E927))</x:f>
      </x:c>
      <x:c r="P927" t="str">
        <x:f>IF(OR(N927="",O927=""),"",SQRT(N927*O927))</x:f>
      </x:c>
      <x:c r="Q927" t="str">
        <x:f>IF(OR(N927="",O927=""),"",N927^0.7*O927^0.3)</x:f>
      </x:c>
      <x:c r="R927" t="str">
        <x:f>IF(OR(N927="",O927=""),"",N927^0.3*O927^0.7)</x:f>
      </x:c>
    </x:row>
    <x:row r="928" s="14" customFormat="1">
      <x:c r="A928" t="inlineStr">
        <x:is>
          <x:t xml:space="preserve">openai|gpt-6-luna|high|reasoning|fallback-na|aa-v4.3.2|snapshot-2026-10-16</x:t>
        </x:is>
      </x:c>
      <x:c r="B928" t="inlineStr">
        <x:is>
          <x:t xml:space="preserve">openai|gpt-6-luna|high|reasoning|fallback-na</x:t>
        </x:is>
      </x:c>
      <x:c r="C928" t="inlineStr">
        <x:is>
          <x:t xml:space="preserve">AA|v4.3.2</x:t>
        </x:is>
      </x:c>
      <x:c r="D928" t="n">
        <x:v>117</x:v>
      </x:c>
      <x:c r="E928" t="n">
        <x:v>50</x:v>
      </x:c>
      <x:c r="F928" t="n">
        <x:f>INDEX(Run_Metrics!$F:$F,D928)</x:f>
        <x:v>33</x:v>
      </x:c>
      <x:c r="G928" t="n">
        <x:f>INDEX(Run_Metrics!$G:$G,D928)</x:f>
        <x:v>0.03</x:v>
      </x:c>
      <x:c r="H928" t="str">
        <x:f>INDEX(Run_Metrics!$I:$I,D928)</x:f>
      </x:c>
      <x:c r="I928" t="n">
        <x:f>IF(F928="","",F928-(E928-1))</x:f>
        <x:v>-16</x:v>
      </x:c>
      <x:c r="J928" t="n">
        <x:f>IF(I928&gt;0,1,0)</x:f>
        <x:v>0</x:v>
      </x:c>
      <x:c r="K928" t="str">
        <x:f>IF(OR(J928=0,G928="",G928=0),"",I928/G928)</x:f>
      </x:c>
      <x:c r="L928" t="str">
        <x:f>IF(OR(J928=0,I928=0,G928=""),"",G928/I928)</x:f>
      </x:c>
      <x:c r="M928" t="str">
        <x:f>IF(OR(J928=0,G928="",H928="",G928=0,H928=0),"",I928/(G928*H928))</x:f>
      </x:c>
      <x:c r="N928" t="str">
        <x:f>IF(K928="","",K928/_xlfn.MAXIFS($K:$K,$E:$E,E928))</x:f>
      </x:c>
      <x:c r="O928" t="str">
        <x:f>IF(M928="","",M928/_xlfn.MAXIFS($M:$M,$E:$E,E928))</x:f>
      </x:c>
      <x:c r="P928" t="str">
        <x:f>IF(OR(N928="",O928=""),"",SQRT(N928*O928))</x:f>
      </x:c>
      <x:c r="Q928" t="str">
        <x:f>IF(OR(N928="",O928=""),"",N928^0.7*O928^0.3)</x:f>
      </x:c>
      <x:c r="R928" t="str">
        <x:f>IF(OR(N928="",O928=""),"",N928^0.3*O928^0.7)</x:f>
      </x:c>
    </x:row>
    <x:row r="929" s="14" customFormat="1">
      <x:c r="A929" t="inlineStr">
        <x:is>
          <x:t xml:space="preserve">openai|gpt-6-luna|high|reasoning|fallback-na|aa-v4.3.2|snapshot-2026-10-16</x:t>
        </x:is>
      </x:c>
      <x:c r="B929" t="inlineStr">
        <x:is>
          <x:t xml:space="preserve">openai|gpt-6-luna|high|reasoning|fallback-na</x:t>
        </x:is>
      </x:c>
      <x:c r="C929" t="inlineStr">
        <x:is>
          <x:t xml:space="preserve">AA|v4.3.2</x:t>
        </x:is>
      </x:c>
      <x:c r="D929" t="n">
        <x:v>117</x:v>
      </x:c>
      <x:c r="E929" t="n">
        <x:v>60</x:v>
      </x:c>
      <x:c r="F929" t="n">
        <x:f>INDEX(Run_Metrics!$F:$F,D929)</x:f>
        <x:v>33</x:v>
      </x:c>
      <x:c r="G929" t="n">
        <x:f>INDEX(Run_Metrics!$G:$G,D929)</x:f>
        <x:v>0.03</x:v>
      </x:c>
      <x:c r="H929" t="str">
        <x:f>INDEX(Run_Metrics!$I:$I,D929)</x:f>
      </x:c>
      <x:c r="I929" t="n">
        <x:f>IF(F929="","",F929-(E929-1))</x:f>
        <x:v>-26</x:v>
      </x:c>
      <x:c r="J929" t="n">
        <x:f>IF(I929&gt;0,1,0)</x:f>
        <x:v>0</x:v>
      </x:c>
      <x:c r="K929" t="str">
        <x:f>IF(OR(J929=0,G929="",G929=0),"",I929/G929)</x:f>
      </x:c>
      <x:c r="L929" t="str">
        <x:f>IF(OR(J929=0,I929=0,G929=""),"",G929/I929)</x:f>
      </x:c>
      <x:c r="M929" t="str">
        <x:f>IF(OR(J929=0,G929="",H929="",G929=0,H929=0),"",I929/(G929*H929))</x:f>
      </x:c>
      <x:c r="N929" t="str">
        <x:f>IF(K929="","",K929/_xlfn.MAXIFS($K:$K,$E:$E,E929))</x:f>
      </x:c>
      <x:c r="O929" t="str">
        <x:f>IF(M929="","",M929/_xlfn.MAXIFS($M:$M,$E:$E,E929))</x:f>
      </x:c>
      <x:c r="P929" t="str">
        <x:f>IF(OR(N929="",O929=""),"",SQRT(N929*O929))</x:f>
      </x:c>
      <x:c r="Q929" t="str">
        <x:f>IF(OR(N929="",O929=""),"",N929^0.7*O929^0.3)</x:f>
      </x:c>
      <x:c r="R929" t="str">
        <x:f>IF(OR(N929="",O929=""),"",N929^0.3*O929^0.7)</x:f>
      </x:c>
    </x:row>
    <x:row r="930" s="14" customFormat="1">
      <x:c r="A930" t="inlineStr">
        <x:is>
          <x:t xml:space="preserve">openai|gpt-6-luna|medium|reasoning|fallback-na|aa-v4.3.2|snapshot-2026-10-16</x:t>
        </x:is>
      </x:c>
      <x:c r="B930" t="inlineStr">
        <x:is>
          <x:t xml:space="preserve">openai|gpt-6-luna|medium|reasoning|fallback-na</x:t>
        </x:is>
      </x:c>
      <x:c r="C930" t="inlineStr">
        <x:is>
          <x:t xml:space="preserve">AA|v4.3.2</x:t>
        </x:is>
      </x:c>
      <x:c r="D930" t="n">
        <x:v>118</x:v>
      </x:c>
      <x:c r="E930" t="n">
        <x:v>10</x:v>
      </x:c>
      <x:c r="F930" t="n">
        <x:f>INDEX(Run_Metrics!$F:$F,D930)</x:f>
        <x:v>30</x:v>
      </x:c>
      <x:c r="G930" t="n">
        <x:f>INDEX(Run_Metrics!$G:$G,D930)</x:f>
        <x:v>0.02</x:v>
      </x:c>
      <x:c r="H930" t="str">
        <x:f>INDEX(Run_Metrics!$I:$I,D930)</x:f>
      </x:c>
      <x:c r="I930" t="n">
        <x:f>IF(F930="","",F930-(E930-1))</x:f>
        <x:v>21</x:v>
      </x:c>
      <x:c r="J930" t="n">
        <x:f>IF(I930&gt;0,1,0)</x:f>
        <x:v>1</x:v>
      </x:c>
      <x:c r="K930" t="n">
        <x:f>IF(OR(J930=0,G930="",G930=0),"",I930/G930)</x:f>
        <x:v>1050</x:v>
      </x:c>
      <x:c r="L930" t="n">
        <x:f>IF(OR(J930=0,I930=0,G930=""),"",G930/I930)</x:f>
        <x:v>0.0009523809523809524</x:v>
      </x:c>
      <x:c r="M930" t="str">
        <x:f>IF(OR(J930=0,G930="",H930="",G930=0,H930=0),"",I930/(G930*H930))</x:f>
      </x:c>
      <x:c r="N930" t="n">
        <x:f>IF(K930="","",K930/_xlfn.MAXIFS($K:$K,$E:$E,E930))</x:f>
        <x:v>0.36346153846153845</x:v>
      </x:c>
      <x:c r="O930" t="str">
        <x:f>IF(M930="","",M930/_xlfn.MAXIFS($M:$M,$E:$E,E930))</x:f>
      </x:c>
      <x:c r="P930" t="str">
        <x:f>IF(OR(N930="",O930=""),"",SQRT(N930*O930))</x:f>
      </x:c>
      <x:c r="Q930" t="str">
        <x:f>IF(OR(N930="",O930=""),"",N930^0.7*O930^0.3)</x:f>
      </x:c>
      <x:c r="R930" t="str">
        <x:f>IF(OR(N930="",O930=""),"",N930^0.3*O930^0.7)</x:f>
      </x:c>
    </x:row>
    <x:row r="931" s="14" customFormat="1">
      <x:c r="A931" t="inlineStr">
        <x:is>
          <x:t xml:space="preserve">openai|gpt-6-luna|medium|reasoning|fallback-na|aa-v4.3.2|snapshot-2026-10-16</x:t>
        </x:is>
      </x:c>
      <x:c r="B931" t="inlineStr">
        <x:is>
          <x:t xml:space="preserve">openai|gpt-6-luna|medium|reasoning|fallback-na</x:t>
        </x:is>
      </x:c>
      <x:c r="C931" t="inlineStr">
        <x:is>
          <x:t xml:space="preserve">AA|v4.3.2</x:t>
        </x:is>
      </x:c>
      <x:c r="D931" t="n">
        <x:v>118</x:v>
      </x:c>
      <x:c r="E931" t="n">
        <x:v>20</x:v>
      </x:c>
      <x:c r="F931" t="n">
        <x:f>INDEX(Run_Metrics!$F:$F,D931)</x:f>
        <x:v>30</x:v>
      </x:c>
      <x:c r="G931" t="n">
        <x:f>INDEX(Run_Metrics!$G:$G,D931)</x:f>
        <x:v>0.02</x:v>
      </x:c>
      <x:c r="H931" t="str">
        <x:f>INDEX(Run_Metrics!$I:$I,D931)</x:f>
      </x:c>
      <x:c r="I931" t="n">
        <x:f>IF(F931="","",F931-(E931-1))</x:f>
        <x:v>11</x:v>
      </x:c>
      <x:c r="J931" t="n">
        <x:f>IF(I931&gt;0,1,0)</x:f>
        <x:v>1</x:v>
      </x:c>
      <x:c r="K931" t="n">
        <x:f>IF(OR(J931=0,G931="",G931=0),"",I931/G931)</x:f>
        <x:v>550</x:v>
      </x:c>
      <x:c r="L931" t="n">
        <x:f>IF(OR(J931=0,I931=0,G931=""),"",G931/I931)</x:f>
        <x:v>0.0018181818181818182</x:v>
      </x:c>
      <x:c r="M931" t="str">
        <x:f>IF(OR(J931=0,G931="",H931="",G931=0,H931=0),"",I931/(G931*H931))</x:f>
      </x:c>
      <x:c r="N931" t="n">
        <x:f>IF(K931="","",K931/_xlfn.MAXIFS($K:$K,$E:$E,E931))</x:f>
        <x:v>0.825</x:v>
      </x:c>
      <x:c r="O931" t="str">
        <x:f>IF(M931="","",M931/_xlfn.MAXIFS($M:$M,$E:$E,E931))</x:f>
      </x:c>
      <x:c r="P931" t="str">
        <x:f>IF(OR(N931="",O931=""),"",SQRT(N931*O931))</x:f>
      </x:c>
      <x:c r="Q931" t="str">
        <x:f>IF(OR(N931="",O931=""),"",N931^0.7*O931^0.3)</x:f>
      </x:c>
      <x:c r="R931" t="str">
        <x:f>IF(OR(N931="",O931=""),"",N931^0.3*O931^0.7)</x:f>
      </x:c>
    </x:row>
    <x:row r="932" s="14" customFormat="1">
      <x:c r="A932" t="inlineStr">
        <x:is>
          <x:t xml:space="preserve">openai|gpt-6-luna|medium|reasoning|fallback-na|aa-v4.3.2|snapshot-2026-10-16</x:t>
        </x:is>
      </x:c>
      <x:c r="B932" t="inlineStr">
        <x:is>
          <x:t xml:space="preserve">openai|gpt-6-luna|medium|reasoning|fallback-na</x:t>
        </x:is>
      </x:c>
      <x:c r="C932" t="inlineStr">
        <x:is>
          <x:t xml:space="preserve">AA|v4.3.2</x:t>
        </x:is>
      </x:c>
      <x:c r="D932" t="n">
        <x:v>118</x:v>
      </x:c>
      <x:c r="E932" t="n">
        <x:v>30</x:v>
      </x:c>
      <x:c r="F932" t="n">
        <x:f>INDEX(Run_Metrics!$F:$F,D932)</x:f>
        <x:v>30</x:v>
      </x:c>
      <x:c r="G932" t="n">
        <x:f>INDEX(Run_Metrics!$G:$G,D932)</x:f>
        <x:v>0.02</x:v>
      </x:c>
      <x:c r="H932" t="str">
        <x:f>INDEX(Run_Metrics!$I:$I,D932)</x:f>
      </x:c>
      <x:c r="I932" t="n">
        <x:f>IF(F932="","",F932-(E932-1))</x:f>
        <x:v>1</x:v>
      </x:c>
      <x:c r="J932" t="n">
        <x:f>IF(I932&gt;0,1,0)</x:f>
        <x:v>1</x:v>
      </x:c>
      <x:c r="K932" t="n">
        <x:f>IF(OR(J932=0,G932="",G932=0),"",I932/G932)</x:f>
        <x:v>50</x:v>
      </x:c>
      <x:c r="L932" t="n">
        <x:f>IF(OR(J932=0,I932=0,G932=""),"",G932/I932)</x:f>
        <x:v>0.02</x:v>
      </x:c>
      <x:c r="M932" t="str">
        <x:f>IF(OR(J932=0,G932="",H932="",G932=0,H932=0),"",I932/(G932*H932))</x:f>
      </x:c>
      <x:c r="N932" t="n">
        <x:f>IF(K932="","",K932/_xlfn.MAXIFS($K:$K,$E:$E,E932))</x:f>
        <x:v>0.3333333333333333</x:v>
      </x:c>
      <x:c r="O932" t="str">
        <x:f>IF(M932="","",M932/_xlfn.MAXIFS($M:$M,$E:$E,E932))</x:f>
      </x:c>
      <x:c r="P932" t="str">
        <x:f>IF(OR(N932="",O932=""),"",SQRT(N932*O932))</x:f>
      </x:c>
      <x:c r="Q932" t="str">
        <x:f>IF(OR(N932="",O932=""),"",N932^0.7*O932^0.3)</x:f>
      </x:c>
      <x:c r="R932" t="str">
        <x:f>IF(OR(N932="",O932=""),"",N932^0.3*O932^0.7)</x:f>
      </x:c>
    </x:row>
    <x:row r="933" s="14" customFormat="1">
      <x:c r="A933" t="inlineStr">
        <x:is>
          <x:t xml:space="preserve">openai|gpt-6-luna|medium|reasoning|fallback-na|aa-v4.3.2|snapshot-2026-10-16</x:t>
        </x:is>
      </x:c>
      <x:c r="B933" t="inlineStr">
        <x:is>
          <x:t xml:space="preserve">openai|gpt-6-luna|medium|reasoning|fallback-na</x:t>
        </x:is>
      </x:c>
      <x:c r="C933" t="inlineStr">
        <x:is>
          <x:t xml:space="preserve">AA|v4.3.2</x:t>
        </x:is>
      </x:c>
      <x:c r="D933" t="n">
        <x:v>118</x:v>
      </x:c>
      <x:c r="E933" t="n">
        <x:v>35</x:v>
      </x:c>
      <x:c r="F933" t="n">
        <x:f>INDEX(Run_Metrics!$F:$F,D933)</x:f>
        <x:v>30</x:v>
      </x:c>
      <x:c r="G933" t="n">
        <x:f>INDEX(Run_Metrics!$G:$G,D933)</x:f>
        <x:v>0.02</x:v>
      </x:c>
      <x:c r="H933" t="str">
        <x:f>INDEX(Run_Metrics!$I:$I,D933)</x:f>
      </x:c>
      <x:c r="I933" t="n">
        <x:f>IF(F933="","",F933-(E933-1))</x:f>
        <x:v>-4</x:v>
      </x:c>
      <x:c r="J933" t="n">
        <x:f>IF(I933&gt;0,1,0)</x:f>
        <x:v>0</x:v>
      </x:c>
      <x:c r="K933" t="str">
        <x:f>IF(OR(J933=0,G933="",G933=0),"",I933/G933)</x:f>
      </x:c>
      <x:c r="L933" t="str">
        <x:f>IF(OR(J933=0,I933=0,G933=""),"",G933/I933)</x:f>
      </x:c>
      <x:c r="M933" t="str">
        <x:f>IF(OR(J933=0,G933="",H933="",G933=0,H933=0),"",I933/(G933*H933))</x:f>
      </x:c>
      <x:c r="N933" t="str">
        <x:f>IF(K933="","",K933/_xlfn.MAXIFS($K:$K,$E:$E,E933))</x:f>
      </x:c>
      <x:c r="O933" t="str">
        <x:f>IF(M933="","",M933/_xlfn.MAXIFS($M:$M,$E:$E,E933))</x:f>
      </x:c>
      <x:c r="P933" t="str">
        <x:f>IF(OR(N933="",O933=""),"",SQRT(N933*O933))</x:f>
      </x:c>
      <x:c r="Q933" t="str">
        <x:f>IF(OR(N933="",O933=""),"",N933^0.7*O933^0.3)</x:f>
      </x:c>
      <x:c r="R933" t="str">
        <x:f>IF(OR(N933="",O933=""),"",N933^0.3*O933^0.7)</x:f>
      </x:c>
    </x:row>
    <x:row r="934" s="14" customFormat="1">
      <x:c r="A934" t="inlineStr">
        <x:is>
          <x:t xml:space="preserve">openai|gpt-6-luna|medium|reasoning|fallback-na|aa-v4.3.2|snapshot-2026-10-16</x:t>
        </x:is>
      </x:c>
      <x:c r="B934" t="inlineStr">
        <x:is>
          <x:t xml:space="preserve">openai|gpt-6-luna|medium|reasoning|fallback-na</x:t>
        </x:is>
      </x:c>
      <x:c r="C934" t="inlineStr">
        <x:is>
          <x:t xml:space="preserve">AA|v4.3.2</x:t>
        </x:is>
      </x:c>
      <x:c r="D934" t="n">
        <x:v>118</x:v>
      </x:c>
      <x:c r="E934" t="n">
        <x:v>40</x:v>
      </x:c>
      <x:c r="F934" t="n">
        <x:f>INDEX(Run_Metrics!$F:$F,D934)</x:f>
        <x:v>30</x:v>
      </x:c>
      <x:c r="G934" t="n">
        <x:f>INDEX(Run_Metrics!$G:$G,D934)</x:f>
        <x:v>0.02</x:v>
      </x:c>
      <x:c r="H934" t="str">
        <x:f>INDEX(Run_Metrics!$I:$I,D934)</x:f>
      </x:c>
      <x:c r="I934" t="n">
        <x:f>IF(F934="","",F934-(E934-1))</x:f>
        <x:v>-9</x:v>
      </x:c>
      <x:c r="J934" t="n">
        <x:f>IF(I934&gt;0,1,0)</x:f>
        <x:v>0</x:v>
      </x:c>
      <x:c r="K934" t="str">
        <x:f>IF(OR(J934=0,G934="",G934=0),"",I934/G934)</x:f>
      </x:c>
      <x:c r="L934" t="str">
        <x:f>IF(OR(J934=0,I934=0,G934=""),"",G934/I934)</x:f>
      </x:c>
      <x:c r="M934" t="str">
        <x:f>IF(OR(J934=0,G934="",H934="",G934=0,H934=0),"",I934/(G934*H934))</x:f>
      </x:c>
      <x:c r="N934" t="str">
        <x:f>IF(K934="","",K934/_xlfn.MAXIFS($K:$K,$E:$E,E934))</x:f>
      </x:c>
      <x:c r="O934" t="str">
        <x:f>IF(M934="","",M934/_xlfn.MAXIFS($M:$M,$E:$E,E934))</x:f>
      </x:c>
      <x:c r="P934" t="str">
        <x:f>IF(OR(N934="",O934=""),"",SQRT(N934*O934))</x:f>
      </x:c>
      <x:c r="Q934" t="str">
        <x:f>IF(OR(N934="",O934=""),"",N934^0.7*O934^0.3)</x:f>
      </x:c>
      <x:c r="R934" t="str">
        <x:f>IF(OR(N934="",O934=""),"",N934^0.3*O934^0.7)</x:f>
      </x:c>
    </x:row>
    <x:row r="935" s="14" customFormat="1">
      <x:c r="A935" t="inlineStr">
        <x:is>
          <x:t xml:space="preserve">openai|gpt-6-luna|medium|reasoning|fallback-na|aa-v4.3.2|snapshot-2026-10-16</x:t>
        </x:is>
      </x:c>
      <x:c r="B935" t="inlineStr">
        <x:is>
          <x:t xml:space="preserve">openai|gpt-6-luna|medium|reasoning|fallback-na</x:t>
        </x:is>
      </x:c>
      <x:c r="C935" t="inlineStr">
        <x:is>
          <x:t xml:space="preserve">AA|v4.3.2</x:t>
        </x:is>
      </x:c>
      <x:c r="D935" t="n">
        <x:v>118</x:v>
      </x:c>
      <x:c r="E935" t="n">
        <x:v>45</x:v>
      </x:c>
      <x:c r="F935" t="n">
        <x:f>INDEX(Run_Metrics!$F:$F,D935)</x:f>
        <x:v>30</x:v>
      </x:c>
      <x:c r="G935" t="n">
        <x:f>INDEX(Run_Metrics!$G:$G,D935)</x:f>
        <x:v>0.02</x:v>
      </x:c>
      <x:c r="H935" t="str">
        <x:f>INDEX(Run_Metrics!$I:$I,D935)</x:f>
      </x:c>
      <x:c r="I935" t="n">
        <x:f>IF(F935="","",F935-(E935-1))</x:f>
        <x:v>-14</x:v>
      </x:c>
      <x:c r="J935" t="n">
        <x:f>IF(I935&gt;0,1,0)</x:f>
        <x:v>0</x:v>
      </x:c>
      <x:c r="K935" t="str">
        <x:f>IF(OR(J935=0,G935="",G935=0),"",I935/G935)</x:f>
      </x:c>
      <x:c r="L935" t="str">
        <x:f>IF(OR(J935=0,I935=0,G935=""),"",G935/I935)</x:f>
      </x:c>
      <x:c r="M935" t="str">
        <x:f>IF(OR(J935=0,G935="",H935="",G935=0,H935=0),"",I935/(G935*H935))</x:f>
      </x:c>
      <x:c r="N935" t="str">
        <x:f>IF(K935="","",K935/_xlfn.MAXIFS($K:$K,$E:$E,E935))</x:f>
      </x:c>
      <x:c r="O935" t="str">
        <x:f>IF(M935="","",M935/_xlfn.MAXIFS($M:$M,$E:$E,E935))</x:f>
      </x:c>
      <x:c r="P935" t="str">
        <x:f>IF(OR(N935="",O935=""),"",SQRT(N935*O935))</x:f>
      </x:c>
      <x:c r="Q935" t="str">
        <x:f>IF(OR(N935="",O935=""),"",N935^0.7*O935^0.3)</x:f>
      </x:c>
      <x:c r="R935" t="str">
        <x:f>IF(OR(N935="",O935=""),"",N935^0.3*O935^0.7)</x:f>
      </x:c>
    </x:row>
    <x:row r="936" s="14" customFormat="1">
      <x:c r="A936" t="inlineStr">
        <x:is>
          <x:t xml:space="preserve">openai|gpt-6-luna|medium|reasoning|fallback-na|aa-v4.3.2|snapshot-2026-10-16</x:t>
        </x:is>
      </x:c>
      <x:c r="B936" t="inlineStr">
        <x:is>
          <x:t xml:space="preserve">openai|gpt-6-luna|medium|reasoning|fallback-na</x:t>
        </x:is>
      </x:c>
      <x:c r="C936" t="inlineStr">
        <x:is>
          <x:t xml:space="preserve">AA|v4.3.2</x:t>
        </x:is>
      </x:c>
      <x:c r="D936" t="n">
        <x:v>118</x:v>
      </x:c>
      <x:c r="E936" t="n">
        <x:v>50</x:v>
      </x:c>
      <x:c r="F936" t="n">
        <x:f>INDEX(Run_Metrics!$F:$F,D936)</x:f>
        <x:v>30</x:v>
      </x:c>
      <x:c r="G936" t="n">
        <x:f>INDEX(Run_Metrics!$G:$G,D936)</x:f>
        <x:v>0.02</x:v>
      </x:c>
      <x:c r="H936" t="str">
        <x:f>INDEX(Run_Metrics!$I:$I,D936)</x:f>
      </x:c>
      <x:c r="I936" t="n">
        <x:f>IF(F936="","",F936-(E936-1))</x:f>
        <x:v>-19</x:v>
      </x:c>
      <x:c r="J936" t="n">
        <x:f>IF(I936&gt;0,1,0)</x:f>
        <x:v>0</x:v>
      </x:c>
      <x:c r="K936" t="str">
        <x:f>IF(OR(J936=0,G936="",G936=0),"",I936/G936)</x:f>
      </x:c>
      <x:c r="L936" t="str">
        <x:f>IF(OR(J936=0,I936=0,G936=""),"",G936/I936)</x:f>
      </x:c>
      <x:c r="M936" t="str">
        <x:f>IF(OR(J936=0,G936="",H936="",G936=0,H936=0),"",I936/(G936*H936))</x:f>
      </x:c>
      <x:c r="N936" t="str">
        <x:f>IF(K936="","",K936/_xlfn.MAXIFS($K:$K,$E:$E,E936))</x:f>
      </x:c>
      <x:c r="O936" t="str">
        <x:f>IF(M936="","",M936/_xlfn.MAXIFS($M:$M,$E:$E,E936))</x:f>
      </x:c>
      <x:c r="P936" t="str">
        <x:f>IF(OR(N936="",O936=""),"",SQRT(N936*O936))</x:f>
      </x:c>
      <x:c r="Q936" t="str">
        <x:f>IF(OR(N936="",O936=""),"",N936^0.7*O936^0.3)</x:f>
      </x:c>
      <x:c r="R936" t="str">
        <x:f>IF(OR(N936="",O936=""),"",N936^0.3*O936^0.7)</x:f>
      </x:c>
    </x:row>
    <x:row r="937" s="14" customFormat="1">
      <x:c r="A937" t="inlineStr">
        <x:is>
          <x:t xml:space="preserve">openai|gpt-6-luna|medium|reasoning|fallback-na|aa-v4.3.2|snapshot-2026-10-16</x:t>
        </x:is>
      </x:c>
      <x:c r="B937" t="inlineStr">
        <x:is>
          <x:t xml:space="preserve">openai|gpt-6-luna|medium|reasoning|fallback-na</x:t>
        </x:is>
      </x:c>
      <x:c r="C937" t="inlineStr">
        <x:is>
          <x:t xml:space="preserve">AA|v4.3.2</x:t>
        </x:is>
      </x:c>
      <x:c r="D937" t="n">
        <x:v>118</x:v>
      </x:c>
      <x:c r="E937" t="n">
        <x:v>60</x:v>
      </x:c>
      <x:c r="F937" t="n">
        <x:f>INDEX(Run_Metrics!$F:$F,D937)</x:f>
        <x:v>30</x:v>
      </x:c>
      <x:c r="G937" t="n">
        <x:f>INDEX(Run_Metrics!$G:$G,D937)</x:f>
        <x:v>0.02</x:v>
      </x:c>
      <x:c r="H937" t="str">
        <x:f>INDEX(Run_Metrics!$I:$I,D937)</x:f>
      </x:c>
      <x:c r="I937" t="n">
        <x:f>IF(F937="","",F937-(E937-1))</x:f>
        <x:v>-29</x:v>
      </x:c>
      <x:c r="J937" t="n">
        <x:f>IF(I937&gt;0,1,0)</x:f>
        <x:v>0</x:v>
      </x:c>
      <x:c r="K937" t="str">
        <x:f>IF(OR(J937=0,G937="",G937=0),"",I937/G937)</x:f>
      </x:c>
      <x:c r="L937" t="str">
        <x:f>IF(OR(J937=0,I937=0,G937=""),"",G937/I937)</x:f>
      </x:c>
      <x:c r="M937" t="str">
        <x:f>IF(OR(J937=0,G937="",H937="",G937=0,H937=0),"",I937/(G937*H937))</x:f>
      </x:c>
      <x:c r="N937" t="str">
        <x:f>IF(K937="","",K937/_xlfn.MAXIFS($K:$K,$E:$E,E937))</x:f>
      </x:c>
      <x:c r="O937" t="str">
        <x:f>IF(M937="","",M937/_xlfn.MAXIFS($M:$M,$E:$E,E937))</x:f>
      </x:c>
      <x:c r="P937" t="str">
        <x:f>IF(OR(N937="",O937=""),"",SQRT(N937*O937))</x:f>
      </x:c>
      <x:c r="Q937" t="str">
        <x:f>IF(OR(N937="",O937=""),"",N937^0.7*O937^0.3)</x:f>
      </x:c>
      <x:c r="R937" t="str">
        <x:f>IF(OR(N937="",O937=""),"",N937^0.3*O937^0.7)</x:f>
      </x:c>
    </x:row>
    <x:row r="938" s="14" customFormat="1">
      <x:c r="A938" t="inlineStr">
        <x:is>
          <x:t xml:space="preserve">openai|gpt-6-luna|low|reasoning|fallback-na|aa-v4.3.2|snapshot-2026-10-16</x:t>
        </x:is>
      </x:c>
      <x:c r="B938" t="inlineStr">
        <x:is>
          <x:t xml:space="preserve">openai|gpt-6-luna|low|reasoning|fallback-na</x:t>
        </x:is>
      </x:c>
      <x:c r="C938" t="inlineStr">
        <x:is>
          <x:t xml:space="preserve">AA|v4.3.2</x:t>
        </x:is>
      </x:c>
      <x:c r="D938" t="n">
        <x:v>119</x:v>
      </x:c>
      <x:c r="E938" t="n">
        <x:v>10</x:v>
      </x:c>
      <x:c r="F938" t="n">
        <x:f>INDEX(Run_Metrics!$F:$F,D938)</x:f>
        <x:v>22</x:v>
      </x:c>
      <x:c r="G938" t="n">
        <x:f>INDEX(Run_Metrics!$G:$G,D938)</x:f>
        <x:v>0.0045</x:v>
      </x:c>
      <x:c r="H938" t="str">
        <x:f>INDEX(Run_Metrics!$I:$I,D938)</x:f>
      </x:c>
      <x:c r="I938" t="n">
        <x:f>IF(F938="","",F938-(E938-1))</x:f>
        <x:v>13</x:v>
      </x:c>
      <x:c r="J938" t="n">
        <x:f>IF(I938&gt;0,1,0)</x:f>
        <x:v>1</x:v>
      </x:c>
      <x:c r="K938" t="n">
        <x:f>IF(OR(J938=0,G938="",G938=0),"",I938/G938)</x:f>
        <x:v>2888.888888888889</x:v>
      </x:c>
      <x:c r="L938" t="n">
        <x:f>IF(OR(J938=0,I938=0,G938=""),"",G938/I938)</x:f>
        <x:v>0.00034615384615384613</x:v>
      </x:c>
      <x:c r="M938" t="str">
        <x:f>IF(OR(J938=0,G938="",H938="",G938=0,H938=0),"",I938/(G938*H938))</x:f>
      </x:c>
      <x:c r="N938" t="n">
        <x:f>IF(K938="","",K938/_xlfn.MAXIFS($K:$K,$E:$E,E938))</x:f>
        <x:v>1</x:v>
      </x:c>
      <x:c r="O938" t="str">
        <x:f>IF(M938="","",M938/_xlfn.MAXIFS($M:$M,$E:$E,E938))</x:f>
      </x:c>
      <x:c r="P938" t="str">
        <x:f>IF(OR(N938="",O938=""),"",SQRT(N938*O938))</x:f>
      </x:c>
      <x:c r="Q938" t="str">
        <x:f>IF(OR(N938="",O938=""),"",N938^0.7*O938^0.3)</x:f>
      </x:c>
      <x:c r="R938" t="str">
        <x:f>IF(OR(N938="",O938=""),"",N938^0.3*O938^0.7)</x:f>
      </x:c>
    </x:row>
    <x:row r="939" s="14" customFormat="1">
      <x:c r="A939" t="inlineStr">
        <x:is>
          <x:t xml:space="preserve">openai|gpt-6-luna|low|reasoning|fallback-na|aa-v4.3.2|snapshot-2026-10-16</x:t>
        </x:is>
      </x:c>
      <x:c r="B939" t="inlineStr">
        <x:is>
          <x:t xml:space="preserve">openai|gpt-6-luna|low|reasoning|fallback-na</x:t>
        </x:is>
      </x:c>
      <x:c r="C939" t="inlineStr">
        <x:is>
          <x:t xml:space="preserve">AA|v4.3.2</x:t>
        </x:is>
      </x:c>
      <x:c r="D939" t="n">
        <x:v>119</x:v>
      </x:c>
      <x:c r="E939" t="n">
        <x:v>20</x:v>
      </x:c>
      <x:c r="F939" t="n">
        <x:f>INDEX(Run_Metrics!$F:$F,D939)</x:f>
        <x:v>22</x:v>
      </x:c>
      <x:c r="G939" t="n">
        <x:f>INDEX(Run_Metrics!$G:$G,D939)</x:f>
        <x:v>0.0045</x:v>
      </x:c>
      <x:c r="H939" t="str">
        <x:f>INDEX(Run_Metrics!$I:$I,D939)</x:f>
      </x:c>
      <x:c r="I939" t="n">
        <x:f>IF(F939="","",F939-(E939-1))</x:f>
        <x:v>3</x:v>
      </x:c>
      <x:c r="J939" t="n">
        <x:f>IF(I939&gt;0,1,0)</x:f>
        <x:v>1</x:v>
      </x:c>
      <x:c r="K939" t="n">
        <x:f>IF(OR(J939=0,G939="",G939=0),"",I939/G939)</x:f>
        <x:v>666.6666666666667</x:v>
      </x:c>
      <x:c r="L939" t="n">
        <x:f>IF(OR(J939=0,I939=0,G939=""),"",G939/I939)</x:f>
        <x:v>0.0014999999999999998</x:v>
      </x:c>
      <x:c r="M939" t="str">
        <x:f>IF(OR(J939=0,G939="",H939="",G939=0,H939=0),"",I939/(G939*H939))</x:f>
      </x:c>
      <x:c r="N939" t="n">
        <x:f>IF(K939="","",K939/_xlfn.MAXIFS($K:$K,$E:$E,E939))</x:f>
        <x:v>1</x:v>
      </x:c>
      <x:c r="O939" t="str">
        <x:f>IF(M939="","",M939/_xlfn.MAXIFS($M:$M,$E:$E,E939))</x:f>
      </x:c>
      <x:c r="P939" t="str">
        <x:f>IF(OR(N939="",O939=""),"",SQRT(N939*O939))</x:f>
      </x:c>
      <x:c r="Q939" t="str">
        <x:f>IF(OR(N939="",O939=""),"",N939^0.7*O939^0.3)</x:f>
      </x:c>
      <x:c r="R939" t="str">
        <x:f>IF(OR(N939="",O939=""),"",N939^0.3*O939^0.7)</x:f>
      </x:c>
    </x:row>
    <x:row r="940" s="14" customFormat="1">
      <x:c r="A940" t="inlineStr">
        <x:is>
          <x:t xml:space="preserve">openai|gpt-6-luna|low|reasoning|fallback-na|aa-v4.3.2|snapshot-2026-10-16</x:t>
        </x:is>
      </x:c>
      <x:c r="B940" t="inlineStr">
        <x:is>
          <x:t xml:space="preserve">openai|gpt-6-luna|low|reasoning|fallback-na</x:t>
        </x:is>
      </x:c>
      <x:c r="C940" t="inlineStr">
        <x:is>
          <x:t xml:space="preserve">AA|v4.3.2</x:t>
        </x:is>
      </x:c>
      <x:c r="D940" t="n">
        <x:v>119</x:v>
      </x:c>
      <x:c r="E940" t="n">
        <x:v>30</x:v>
      </x:c>
      <x:c r="F940" t="n">
        <x:f>INDEX(Run_Metrics!$F:$F,D940)</x:f>
        <x:v>22</x:v>
      </x:c>
      <x:c r="G940" t="n">
        <x:f>INDEX(Run_Metrics!$G:$G,D940)</x:f>
        <x:v>0.0045</x:v>
      </x:c>
      <x:c r="H940" t="str">
        <x:f>INDEX(Run_Metrics!$I:$I,D940)</x:f>
      </x:c>
      <x:c r="I940" t="n">
        <x:f>IF(F940="","",F940-(E940-1))</x:f>
        <x:v>-7</x:v>
      </x:c>
      <x:c r="J940" t="n">
        <x:f>IF(I940&gt;0,1,0)</x:f>
        <x:v>0</x:v>
      </x:c>
      <x:c r="K940" t="str">
        <x:f>IF(OR(J940=0,G940="",G940=0),"",I940/G940)</x:f>
      </x:c>
      <x:c r="L940" t="str">
        <x:f>IF(OR(J940=0,I940=0,G940=""),"",G940/I940)</x:f>
      </x:c>
      <x:c r="M940" t="str">
        <x:f>IF(OR(J940=0,G940="",H940="",G940=0,H940=0),"",I940/(G940*H940))</x:f>
      </x:c>
      <x:c r="N940" t="str">
        <x:f>IF(K940="","",K940/_xlfn.MAXIFS($K:$K,$E:$E,E940))</x:f>
      </x:c>
      <x:c r="O940" t="str">
        <x:f>IF(M940="","",M940/_xlfn.MAXIFS($M:$M,$E:$E,E940))</x:f>
      </x:c>
      <x:c r="P940" t="str">
        <x:f>IF(OR(N940="",O940=""),"",SQRT(N940*O940))</x:f>
      </x:c>
      <x:c r="Q940" t="str">
        <x:f>IF(OR(N940="",O940=""),"",N940^0.7*O940^0.3)</x:f>
      </x:c>
      <x:c r="R940" t="str">
        <x:f>IF(OR(N940="",O940=""),"",N940^0.3*O940^0.7)</x:f>
      </x:c>
    </x:row>
    <x:row r="941" s="14" customFormat="1">
      <x:c r="A941" t="inlineStr">
        <x:is>
          <x:t xml:space="preserve">openai|gpt-6-luna|low|reasoning|fallback-na|aa-v4.3.2|snapshot-2026-10-16</x:t>
        </x:is>
      </x:c>
      <x:c r="B941" t="inlineStr">
        <x:is>
          <x:t xml:space="preserve">openai|gpt-6-luna|low|reasoning|fallback-na</x:t>
        </x:is>
      </x:c>
      <x:c r="C941" t="inlineStr">
        <x:is>
          <x:t xml:space="preserve">AA|v4.3.2</x:t>
        </x:is>
      </x:c>
      <x:c r="D941" t="n">
        <x:v>119</x:v>
      </x:c>
      <x:c r="E941" t="n">
        <x:v>35</x:v>
      </x:c>
      <x:c r="F941" t="n">
        <x:f>INDEX(Run_Metrics!$F:$F,D941)</x:f>
        <x:v>22</x:v>
      </x:c>
      <x:c r="G941" t="n">
        <x:f>INDEX(Run_Metrics!$G:$G,D941)</x:f>
        <x:v>0.0045</x:v>
      </x:c>
      <x:c r="H941" t="str">
        <x:f>INDEX(Run_Metrics!$I:$I,D941)</x:f>
      </x:c>
      <x:c r="I941" t="n">
        <x:f>IF(F941="","",F941-(E941-1))</x:f>
        <x:v>-12</x:v>
      </x:c>
      <x:c r="J941" t="n">
        <x:f>IF(I941&gt;0,1,0)</x:f>
        <x:v>0</x:v>
      </x:c>
      <x:c r="K941" t="str">
        <x:f>IF(OR(J941=0,G941="",G941=0),"",I941/G941)</x:f>
      </x:c>
      <x:c r="L941" t="str">
        <x:f>IF(OR(J941=0,I941=0,G941=""),"",G941/I941)</x:f>
      </x:c>
      <x:c r="M941" t="str">
        <x:f>IF(OR(J941=0,G941="",H941="",G941=0,H941=0),"",I941/(G941*H941))</x:f>
      </x:c>
      <x:c r="N941" t="str">
        <x:f>IF(K941="","",K941/_xlfn.MAXIFS($K:$K,$E:$E,E941))</x:f>
      </x:c>
      <x:c r="O941" t="str">
        <x:f>IF(M941="","",M941/_xlfn.MAXIFS($M:$M,$E:$E,E941))</x:f>
      </x:c>
      <x:c r="P941" t="str">
        <x:f>IF(OR(N941="",O941=""),"",SQRT(N941*O941))</x:f>
      </x:c>
      <x:c r="Q941" t="str">
        <x:f>IF(OR(N941="",O941=""),"",N941^0.7*O941^0.3)</x:f>
      </x:c>
      <x:c r="R941" t="str">
        <x:f>IF(OR(N941="",O941=""),"",N941^0.3*O941^0.7)</x:f>
      </x:c>
    </x:row>
    <x:row r="942" s="14" customFormat="1">
      <x:c r="A942" t="inlineStr">
        <x:is>
          <x:t xml:space="preserve">openai|gpt-6-luna|low|reasoning|fallback-na|aa-v4.3.2|snapshot-2026-10-16</x:t>
        </x:is>
      </x:c>
      <x:c r="B942" t="inlineStr">
        <x:is>
          <x:t xml:space="preserve">openai|gpt-6-luna|low|reasoning|fallback-na</x:t>
        </x:is>
      </x:c>
      <x:c r="C942" t="inlineStr">
        <x:is>
          <x:t xml:space="preserve">AA|v4.3.2</x:t>
        </x:is>
      </x:c>
      <x:c r="D942" t="n">
        <x:v>119</x:v>
      </x:c>
      <x:c r="E942" t="n">
        <x:v>40</x:v>
      </x:c>
      <x:c r="F942" t="n">
        <x:f>INDEX(Run_Metrics!$F:$F,D942)</x:f>
        <x:v>22</x:v>
      </x:c>
      <x:c r="G942" t="n">
        <x:f>INDEX(Run_Metrics!$G:$G,D942)</x:f>
        <x:v>0.0045</x:v>
      </x:c>
      <x:c r="H942" t="str">
        <x:f>INDEX(Run_Metrics!$I:$I,D942)</x:f>
      </x:c>
      <x:c r="I942" t="n">
        <x:f>IF(F942="","",F942-(E942-1))</x:f>
        <x:v>-17</x:v>
      </x:c>
      <x:c r="J942" t="n">
        <x:f>IF(I942&gt;0,1,0)</x:f>
        <x:v>0</x:v>
      </x:c>
      <x:c r="K942" t="str">
        <x:f>IF(OR(J942=0,G942="",G942=0),"",I942/G942)</x:f>
      </x:c>
      <x:c r="L942" t="str">
        <x:f>IF(OR(J942=0,I942=0,G942=""),"",G942/I942)</x:f>
      </x:c>
      <x:c r="M942" t="str">
        <x:f>IF(OR(J942=0,G942="",H942="",G942=0,H942=0),"",I942/(G942*H942))</x:f>
      </x:c>
      <x:c r="N942" t="str">
        <x:f>IF(K942="","",K942/_xlfn.MAXIFS($K:$K,$E:$E,E942))</x:f>
      </x:c>
      <x:c r="O942" t="str">
        <x:f>IF(M942="","",M942/_xlfn.MAXIFS($M:$M,$E:$E,E942))</x:f>
      </x:c>
      <x:c r="P942" t="str">
        <x:f>IF(OR(N942="",O942=""),"",SQRT(N942*O942))</x:f>
      </x:c>
      <x:c r="Q942" t="str">
        <x:f>IF(OR(N942="",O942=""),"",N942^0.7*O942^0.3)</x:f>
      </x:c>
      <x:c r="R942" t="str">
        <x:f>IF(OR(N942="",O942=""),"",N942^0.3*O942^0.7)</x:f>
      </x:c>
    </x:row>
    <x:row r="943" s="14" customFormat="1">
      <x:c r="A943" t="inlineStr">
        <x:is>
          <x:t xml:space="preserve">openai|gpt-6-luna|low|reasoning|fallback-na|aa-v4.3.2|snapshot-2026-10-16</x:t>
        </x:is>
      </x:c>
      <x:c r="B943" t="inlineStr">
        <x:is>
          <x:t xml:space="preserve">openai|gpt-6-luna|low|reasoning|fallback-na</x:t>
        </x:is>
      </x:c>
      <x:c r="C943" t="inlineStr">
        <x:is>
          <x:t xml:space="preserve">AA|v4.3.2</x:t>
        </x:is>
      </x:c>
      <x:c r="D943" t="n">
        <x:v>119</x:v>
      </x:c>
      <x:c r="E943" t="n">
        <x:v>45</x:v>
      </x:c>
      <x:c r="F943" t="n">
        <x:f>INDEX(Run_Metrics!$F:$F,D943)</x:f>
        <x:v>22</x:v>
      </x:c>
      <x:c r="G943" t="n">
        <x:f>INDEX(Run_Metrics!$G:$G,D943)</x:f>
        <x:v>0.0045</x:v>
      </x:c>
      <x:c r="H943" t="str">
        <x:f>INDEX(Run_Metrics!$I:$I,D943)</x:f>
      </x:c>
      <x:c r="I943" t="n">
        <x:f>IF(F943="","",F943-(E943-1))</x:f>
        <x:v>-22</x:v>
      </x:c>
      <x:c r="J943" t="n">
        <x:f>IF(I943&gt;0,1,0)</x:f>
        <x:v>0</x:v>
      </x:c>
      <x:c r="K943" t="str">
        <x:f>IF(OR(J943=0,G943="",G943=0),"",I943/G943)</x:f>
      </x:c>
      <x:c r="L943" t="str">
        <x:f>IF(OR(J943=0,I943=0,G943=""),"",G943/I943)</x:f>
      </x:c>
      <x:c r="M943" t="str">
        <x:f>IF(OR(J943=0,G943="",H943="",G943=0,H943=0),"",I943/(G943*H943))</x:f>
      </x:c>
      <x:c r="N943" t="str">
        <x:f>IF(K943="","",K943/_xlfn.MAXIFS($K:$K,$E:$E,E943))</x:f>
      </x:c>
      <x:c r="O943" t="str">
        <x:f>IF(M943="","",M943/_xlfn.MAXIFS($M:$M,$E:$E,E943))</x:f>
      </x:c>
      <x:c r="P943" t="str">
        <x:f>IF(OR(N943="",O943=""),"",SQRT(N943*O943))</x:f>
      </x:c>
      <x:c r="Q943" t="str">
        <x:f>IF(OR(N943="",O943=""),"",N943^0.7*O943^0.3)</x:f>
      </x:c>
      <x:c r="R943" t="str">
        <x:f>IF(OR(N943="",O943=""),"",N943^0.3*O943^0.7)</x:f>
      </x:c>
    </x:row>
    <x:row r="944" s="14" customFormat="1">
      <x:c r="A944" t="inlineStr">
        <x:is>
          <x:t xml:space="preserve">openai|gpt-6-luna|low|reasoning|fallback-na|aa-v4.3.2|snapshot-2026-10-16</x:t>
        </x:is>
      </x:c>
      <x:c r="B944" t="inlineStr">
        <x:is>
          <x:t xml:space="preserve">openai|gpt-6-luna|low|reasoning|fallback-na</x:t>
        </x:is>
      </x:c>
      <x:c r="C944" t="inlineStr">
        <x:is>
          <x:t xml:space="preserve">AA|v4.3.2</x:t>
        </x:is>
      </x:c>
      <x:c r="D944" t="n">
        <x:v>119</x:v>
      </x:c>
      <x:c r="E944" t="n">
        <x:v>50</x:v>
      </x:c>
      <x:c r="F944" t="n">
        <x:f>INDEX(Run_Metrics!$F:$F,D944)</x:f>
        <x:v>22</x:v>
      </x:c>
      <x:c r="G944" t="n">
        <x:f>INDEX(Run_Metrics!$G:$G,D944)</x:f>
        <x:v>0.0045</x:v>
      </x:c>
      <x:c r="H944" t="str">
        <x:f>INDEX(Run_Metrics!$I:$I,D944)</x:f>
      </x:c>
      <x:c r="I944" t="n">
        <x:f>IF(F944="","",F944-(E944-1))</x:f>
        <x:v>-27</x:v>
      </x:c>
      <x:c r="J944" t="n">
        <x:f>IF(I944&gt;0,1,0)</x:f>
        <x:v>0</x:v>
      </x:c>
      <x:c r="K944" t="str">
        <x:f>IF(OR(J944=0,G944="",G944=0),"",I944/G944)</x:f>
      </x:c>
      <x:c r="L944" t="str">
        <x:f>IF(OR(J944=0,I944=0,G944=""),"",G944/I944)</x:f>
      </x:c>
      <x:c r="M944" t="str">
        <x:f>IF(OR(J944=0,G944="",H944="",G944=0,H944=0),"",I944/(G944*H944))</x:f>
      </x:c>
      <x:c r="N944" t="str">
        <x:f>IF(K944="","",K944/_xlfn.MAXIFS($K:$K,$E:$E,E944))</x:f>
      </x:c>
      <x:c r="O944" t="str">
        <x:f>IF(M944="","",M944/_xlfn.MAXIFS($M:$M,$E:$E,E944))</x:f>
      </x:c>
      <x:c r="P944" t="str">
        <x:f>IF(OR(N944="",O944=""),"",SQRT(N944*O944))</x:f>
      </x:c>
      <x:c r="Q944" t="str">
        <x:f>IF(OR(N944="",O944=""),"",N944^0.7*O944^0.3)</x:f>
      </x:c>
      <x:c r="R944" t="str">
        <x:f>IF(OR(N944="",O944=""),"",N944^0.3*O944^0.7)</x:f>
      </x:c>
    </x:row>
    <x:row r="945" s="14" customFormat="1">
      <x:c r="A945" t="inlineStr">
        <x:is>
          <x:t xml:space="preserve">openai|gpt-6-luna|low|reasoning|fallback-na|aa-v4.3.2|snapshot-2026-10-16</x:t>
        </x:is>
      </x:c>
      <x:c r="B945" t="inlineStr">
        <x:is>
          <x:t xml:space="preserve">openai|gpt-6-luna|low|reasoning|fallback-na</x:t>
        </x:is>
      </x:c>
      <x:c r="C945" t="inlineStr">
        <x:is>
          <x:t xml:space="preserve">AA|v4.3.2</x:t>
        </x:is>
      </x:c>
      <x:c r="D945" t="n">
        <x:v>119</x:v>
      </x:c>
      <x:c r="E945" t="n">
        <x:v>60</x:v>
      </x:c>
      <x:c r="F945" t="n">
        <x:f>INDEX(Run_Metrics!$F:$F,D945)</x:f>
        <x:v>22</x:v>
      </x:c>
      <x:c r="G945" t="n">
        <x:f>INDEX(Run_Metrics!$G:$G,D945)</x:f>
        <x:v>0.0045</x:v>
      </x:c>
      <x:c r="H945" t="str">
        <x:f>INDEX(Run_Metrics!$I:$I,D945)</x:f>
      </x:c>
      <x:c r="I945" t="n">
        <x:f>IF(F945="","",F945-(E945-1))</x:f>
        <x:v>-37</x:v>
      </x:c>
      <x:c r="J945" t="n">
        <x:f>IF(I945&gt;0,1,0)</x:f>
        <x:v>0</x:v>
      </x:c>
      <x:c r="K945" t="str">
        <x:f>IF(OR(J945=0,G945="",G945=0),"",I945/G945)</x:f>
      </x:c>
      <x:c r="L945" t="str">
        <x:f>IF(OR(J945=0,I945=0,G945=""),"",G945/I945)</x:f>
      </x:c>
      <x:c r="M945" t="str">
        <x:f>IF(OR(J945=0,G945="",H945="",G945=0,H945=0),"",I945/(G945*H945))</x:f>
      </x:c>
      <x:c r="N945" t="str">
        <x:f>IF(K945="","",K945/_xlfn.MAXIFS($K:$K,$E:$E,E945))</x:f>
      </x:c>
      <x:c r="O945" t="str">
        <x:f>IF(M945="","",M945/_xlfn.MAXIFS($M:$M,$E:$E,E945))</x:f>
      </x:c>
      <x:c r="P945" t="str">
        <x:f>IF(OR(N945="",O945=""),"",SQRT(N945*O945))</x:f>
      </x:c>
      <x:c r="Q945" t="str">
        <x:f>IF(OR(N945="",O945=""),"",N945^0.7*O945^0.3)</x:f>
      </x:c>
      <x:c r="R945" t="str">
        <x:f>IF(OR(N945="",O945=""),"",N945^0.3*O945^0.7)</x:f>
      </x:c>
    </x:row>
    <x:row r="946" s="14" customFormat="1">
      <x:c r="A946" t="inlineStr">
        <x:is>
          <x:t xml:space="preserve">openai|gpt-6-luna|non-reasoning|nonreasoning|fallback-na|aa-v4.3.2|snapshot-2026-10-16</x:t>
        </x:is>
      </x:c>
      <x:c r="B946" t="inlineStr">
        <x:is>
          <x:t xml:space="preserve">openai|gpt-6-luna|non-reasoning|nonreasoning|fallback-na</x:t>
        </x:is>
      </x:c>
      <x:c r="C946" t="inlineStr">
        <x:is>
          <x:t xml:space="preserve">AA|v4.3.2</x:t>
        </x:is>
      </x:c>
      <x:c r="D946" t="n">
        <x:v>120</x:v>
      </x:c>
      <x:c r="E946" t="n">
        <x:v>10</x:v>
      </x:c>
      <x:c r="F946" t="n">
        <x:f>INDEX(Run_Metrics!$F:$F,D946)</x:f>
        <x:v>18</x:v>
      </x:c>
      <x:c r="G946" t="n">
        <x:f>INDEX(Run_Metrics!$G:$G,D946)</x:f>
        <x:v>0.01</x:v>
      </x:c>
      <x:c r="H946" t="str">
        <x:f>INDEX(Run_Metrics!$I:$I,D946)</x:f>
      </x:c>
      <x:c r="I946" t="n">
        <x:f>IF(F946="","",F946-(E946-1))</x:f>
        <x:v>9</x:v>
      </x:c>
      <x:c r="J946" t="n">
        <x:f>IF(I946&gt;0,1,0)</x:f>
        <x:v>1</x:v>
      </x:c>
      <x:c r="K946" t="n">
        <x:f>IF(OR(J946=0,G946="",G946=0),"",I946/G946)</x:f>
        <x:v>900</x:v>
      </x:c>
      <x:c r="L946" t="n">
        <x:f>IF(OR(J946=0,I946=0,G946=""),"",G946/I946)</x:f>
        <x:v>0.0011111111111111111</x:v>
      </x:c>
      <x:c r="M946" t="str">
        <x:f>IF(OR(J946=0,G946="",H946="",G946=0,H946=0),"",I946/(G946*H946))</x:f>
      </x:c>
      <x:c r="N946" t="n">
        <x:f>IF(K946="","",K946/_xlfn.MAXIFS($K:$K,$E:$E,E946))</x:f>
        <x:v>0.3115384615384615</x:v>
      </x:c>
      <x:c r="O946" t="str">
        <x:f>IF(M946="","",M946/_xlfn.MAXIFS($M:$M,$E:$E,E946))</x:f>
      </x:c>
      <x:c r="P946" t="str">
        <x:f>IF(OR(N946="",O946=""),"",SQRT(N946*O946))</x:f>
      </x:c>
      <x:c r="Q946" t="str">
        <x:f>IF(OR(N946="",O946=""),"",N946^0.7*O946^0.3)</x:f>
      </x:c>
      <x:c r="R946" t="str">
        <x:f>IF(OR(N946="",O946=""),"",N946^0.3*O946^0.7)</x:f>
      </x:c>
    </x:row>
    <x:row r="947" s="14" customFormat="1">
      <x:c r="A947" t="inlineStr">
        <x:is>
          <x:t xml:space="preserve">openai|gpt-6-luna|non-reasoning|nonreasoning|fallback-na|aa-v4.3.2|snapshot-2026-10-16</x:t>
        </x:is>
      </x:c>
      <x:c r="B947" t="inlineStr">
        <x:is>
          <x:t xml:space="preserve">openai|gpt-6-luna|non-reasoning|nonreasoning|fallback-na</x:t>
        </x:is>
      </x:c>
      <x:c r="C947" t="inlineStr">
        <x:is>
          <x:t xml:space="preserve">AA|v4.3.2</x:t>
        </x:is>
      </x:c>
      <x:c r="D947" t="n">
        <x:v>120</x:v>
      </x:c>
      <x:c r="E947" t="n">
        <x:v>20</x:v>
      </x:c>
      <x:c r="F947" t="n">
        <x:f>INDEX(Run_Metrics!$F:$F,D947)</x:f>
        <x:v>18</x:v>
      </x:c>
      <x:c r="G947" t="n">
        <x:f>INDEX(Run_Metrics!$G:$G,D947)</x:f>
        <x:v>0.01</x:v>
      </x:c>
      <x:c r="H947" t="str">
        <x:f>INDEX(Run_Metrics!$I:$I,D947)</x:f>
      </x:c>
      <x:c r="I947" t="n">
        <x:f>IF(F947="","",F947-(E947-1))</x:f>
        <x:v>-1</x:v>
      </x:c>
      <x:c r="J947" t="n">
        <x:f>IF(I947&gt;0,1,0)</x:f>
        <x:v>0</x:v>
      </x:c>
      <x:c r="K947" t="str">
        <x:f>IF(OR(J947=0,G947="",G947=0),"",I947/G947)</x:f>
      </x:c>
      <x:c r="L947" t="str">
        <x:f>IF(OR(J947=0,I947=0,G947=""),"",G947/I947)</x:f>
      </x:c>
      <x:c r="M947" t="str">
        <x:f>IF(OR(J947=0,G947="",H947="",G947=0,H947=0),"",I947/(G947*H947))</x:f>
      </x:c>
      <x:c r="N947" t="str">
        <x:f>IF(K947="","",K947/_xlfn.MAXIFS($K:$K,$E:$E,E947))</x:f>
      </x:c>
      <x:c r="O947" t="str">
        <x:f>IF(M947="","",M947/_xlfn.MAXIFS($M:$M,$E:$E,E947))</x:f>
      </x:c>
      <x:c r="P947" t="str">
        <x:f>IF(OR(N947="",O947=""),"",SQRT(N947*O947))</x:f>
      </x:c>
      <x:c r="Q947" t="str">
        <x:f>IF(OR(N947="",O947=""),"",N947^0.7*O947^0.3)</x:f>
      </x:c>
      <x:c r="R947" t="str">
        <x:f>IF(OR(N947="",O947=""),"",N947^0.3*O947^0.7)</x:f>
      </x:c>
    </x:row>
    <x:row r="948" s="14" customFormat="1">
      <x:c r="A948" t="inlineStr">
        <x:is>
          <x:t xml:space="preserve">openai|gpt-6-luna|non-reasoning|nonreasoning|fallback-na|aa-v4.3.2|snapshot-2026-10-16</x:t>
        </x:is>
      </x:c>
      <x:c r="B948" t="inlineStr">
        <x:is>
          <x:t xml:space="preserve">openai|gpt-6-luna|non-reasoning|nonreasoning|fallback-na</x:t>
        </x:is>
      </x:c>
      <x:c r="C948" t="inlineStr">
        <x:is>
          <x:t xml:space="preserve">AA|v4.3.2</x:t>
        </x:is>
      </x:c>
      <x:c r="D948" t="n">
        <x:v>120</x:v>
      </x:c>
      <x:c r="E948" t="n">
        <x:v>30</x:v>
      </x:c>
      <x:c r="F948" t="n">
        <x:f>INDEX(Run_Metrics!$F:$F,D948)</x:f>
        <x:v>18</x:v>
      </x:c>
      <x:c r="G948" t="n">
        <x:f>INDEX(Run_Metrics!$G:$G,D948)</x:f>
        <x:v>0.01</x:v>
      </x:c>
      <x:c r="H948" t="str">
        <x:f>INDEX(Run_Metrics!$I:$I,D948)</x:f>
      </x:c>
      <x:c r="I948" t="n">
        <x:f>IF(F948="","",F948-(E948-1))</x:f>
        <x:v>-11</x:v>
      </x:c>
      <x:c r="J948" t="n">
        <x:f>IF(I948&gt;0,1,0)</x:f>
        <x:v>0</x:v>
      </x:c>
      <x:c r="K948" t="str">
        <x:f>IF(OR(J948=0,G948="",G948=0),"",I948/G948)</x:f>
      </x:c>
      <x:c r="L948" t="str">
        <x:f>IF(OR(J948=0,I948=0,G948=""),"",G948/I948)</x:f>
      </x:c>
      <x:c r="M948" t="str">
        <x:f>IF(OR(J948=0,G948="",H948="",G948=0,H948=0),"",I948/(G948*H948))</x:f>
      </x:c>
      <x:c r="N948" t="str">
        <x:f>IF(K948="","",K948/_xlfn.MAXIFS($K:$K,$E:$E,E948))</x:f>
      </x:c>
      <x:c r="O948" t="str">
        <x:f>IF(M948="","",M948/_xlfn.MAXIFS($M:$M,$E:$E,E948))</x:f>
      </x:c>
      <x:c r="P948" t="str">
        <x:f>IF(OR(N948="",O948=""),"",SQRT(N948*O948))</x:f>
      </x:c>
      <x:c r="Q948" t="str">
        <x:f>IF(OR(N948="",O948=""),"",N948^0.7*O948^0.3)</x:f>
      </x:c>
      <x:c r="R948" t="str">
        <x:f>IF(OR(N948="",O948=""),"",N948^0.3*O948^0.7)</x:f>
      </x:c>
    </x:row>
    <x:row r="949" s="14" customFormat="1">
      <x:c r="A949" t="inlineStr">
        <x:is>
          <x:t xml:space="preserve">openai|gpt-6-luna|non-reasoning|nonreasoning|fallback-na|aa-v4.3.2|snapshot-2026-10-16</x:t>
        </x:is>
      </x:c>
      <x:c r="B949" t="inlineStr">
        <x:is>
          <x:t xml:space="preserve">openai|gpt-6-luna|non-reasoning|nonreasoning|fallback-na</x:t>
        </x:is>
      </x:c>
      <x:c r="C949" t="inlineStr">
        <x:is>
          <x:t xml:space="preserve">AA|v4.3.2</x:t>
        </x:is>
      </x:c>
      <x:c r="D949" t="n">
        <x:v>120</x:v>
      </x:c>
      <x:c r="E949" t="n">
        <x:v>35</x:v>
      </x:c>
      <x:c r="F949" t="n">
        <x:f>INDEX(Run_Metrics!$F:$F,D949)</x:f>
        <x:v>18</x:v>
      </x:c>
      <x:c r="G949" t="n">
        <x:f>INDEX(Run_Metrics!$G:$G,D949)</x:f>
        <x:v>0.01</x:v>
      </x:c>
      <x:c r="H949" t="str">
        <x:f>INDEX(Run_Metrics!$I:$I,D949)</x:f>
      </x:c>
      <x:c r="I949" t="n">
        <x:f>IF(F949="","",F949-(E949-1))</x:f>
        <x:v>-16</x:v>
      </x:c>
      <x:c r="J949" t="n">
        <x:f>IF(I949&gt;0,1,0)</x:f>
        <x:v>0</x:v>
      </x:c>
      <x:c r="K949" t="str">
        <x:f>IF(OR(J949=0,G949="",G949=0),"",I949/G949)</x:f>
      </x:c>
      <x:c r="L949" t="str">
        <x:f>IF(OR(J949=0,I949=0,G949=""),"",G949/I949)</x:f>
      </x:c>
      <x:c r="M949" t="str">
        <x:f>IF(OR(J949=0,G949="",H949="",G949=0,H949=0),"",I949/(G949*H949))</x:f>
      </x:c>
      <x:c r="N949" t="str">
        <x:f>IF(K949="","",K949/_xlfn.MAXIFS($K:$K,$E:$E,E949))</x:f>
      </x:c>
      <x:c r="O949" t="str">
        <x:f>IF(M949="","",M949/_xlfn.MAXIFS($M:$M,$E:$E,E949))</x:f>
      </x:c>
      <x:c r="P949" t="str">
        <x:f>IF(OR(N949="",O949=""),"",SQRT(N949*O949))</x:f>
      </x:c>
      <x:c r="Q949" t="str">
        <x:f>IF(OR(N949="",O949=""),"",N949^0.7*O949^0.3)</x:f>
      </x:c>
      <x:c r="R949" t="str">
        <x:f>IF(OR(N949="",O949=""),"",N949^0.3*O949^0.7)</x:f>
      </x:c>
    </x:row>
    <x:row r="950" s="14" customFormat="1">
      <x:c r="A950" t="inlineStr">
        <x:is>
          <x:t xml:space="preserve">openai|gpt-6-luna|non-reasoning|nonreasoning|fallback-na|aa-v4.3.2|snapshot-2026-10-16</x:t>
        </x:is>
      </x:c>
      <x:c r="B950" t="inlineStr">
        <x:is>
          <x:t xml:space="preserve">openai|gpt-6-luna|non-reasoning|nonreasoning|fallback-na</x:t>
        </x:is>
      </x:c>
      <x:c r="C950" t="inlineStr">
        <x:is>
          <x:t xml:space="preserve">AA|v4.3.2</x:t>
        </x:is>
      </x:c>
      <x:c r="D950" t="n">
        <x:v>120</x:v>
      </x:c>
      <x:c r="E950" t="n">
        <x:v>40</x:v>
      </x:c>
      <x:c r="F950" t="n">
        <x:f>INDEX(Run_Metrics!$F:$F,D950)</x:f>
        <x:v>18</x:v>
      </x:c>
      <x:c r="G950" t="n">
        <x:f>INDEX(Run_Metrics!$G:$G,D950)</x:f>
        <x:v>0.01</x:v>
      </x:c>
      <x:c r="H950" t="str">
        <x:f>INDEX(Run_Metrics!$I:$I,D950)</x:f>
      </x:c>
      <x:c r="I950" t="n">
        <x:f>IF(F950="","",F950-(E950-1))</x:f>
        <x:v>-21</x:v>
      </x:c>
      <x:c r="J950" t="n">
        <x:f>IF(I950&gt;0,1,0)</x:f>
        <x:v>0</x:v>
      </x:c>
      <x:c r="K950" t="str">
        <x:f>IF(OR(J950=0,G950="",G950=0),"",I950/G950)</x:f>
      </x:c>
      <x:c r="L950" t="str">
        <x:f>IF(OR(J950=0,I950=0,G950=""),"",G950/I950)</x:f>
      </x:c>
      <x:c r="M950" t="str">
        <x:f>IF(OR(J950=0,G950="",H950="",G950=0,H950=0),"",I950/(G950*H950))</x:f>
      </x:c>
      <x:c r="N950" t="str">
        <x:f>IF(K950="","",K950/_xlfn.MAXIFS($K:$K,$E:$E,E950))</x:f>
      </x:c>
      <x:c r="O950" t="str">
        <x:f>IF(M950="","",M950/_xlfn.MAXIFS($M:$M,$E:$E,E950))</x:f>
      </x:c>
      <x:c r="P950" t="str">
        <x:f>IF(OR(N950="",O950=""),"",SQRT(N950*O950))</x:f>
      </x:c>
      <x:c r="Q950" t="str">
        <x:f>IF(OR(N950="",O950=""),"",N950^0.7*O950^0.3)</x:f>
      </x:c>
      <x:c r="R950" t="str">
        <x:f>IF(OR(N950="",O950=""),"",N950^0.3*O950^0.7)</x:f>
      </x:c>
    </x:row>
    <x:row r="951" s="14" customFormat="1">
      <x:c r="A951" t="inlineStr">
        <x:is>
          <x:t xml:space="preserve">openai|gpt-6-luna|non-reasoning|nonreasoning|fallback-na|aa-v4.3.2|snapshot-2026-10-16</x:t>
        </x:is>
      </x:c>
      <x:c r="B951" t="inlineStr">
        <x:is>
          <x:t xml:space="preserve">openai|gpt-6-luna|non-reasoning|nonreasoning|fallback-na</x:t>
        </x:is>
      </x:c>
      <x:c r="C951" t="inlineStr">
        <x:is>
          <x:t xml:space="preserve">AA|v4.3.2</x:t>
        </x:is>
      </x:c>
      <x:c r="D951" t="n">
        <x:v>120</x:v>
      </x:c>
      <x:c r="E951" t="n">
        <x:v>45</x:v>
      </x:c>
      <x:c r="F951" t="n">
        <x:f>INDEX(Run_Metrics!$F:$F,D951)</x:f>
        <x:v>18</x:v>
      </x:c>
      <x:c r="G951" t="n">
        <x:f>INDEX(Run_Metrics!$G:$G,D951)</x:f>
        <x:v>0.01</x:v>
      </x:c>
      <x:c r="H951" t="str">
        <x:f>INDEX(Run_Metrics!$I:$I,D951)</x:f>
      </x:c>
      <x:c r="I951" t="n">
        <x:f>IF(F951="","",F951-(E951-1))</x:f>
        <x:v>-26</x:v>
      </x:c>
      <x:c r="J951" t="n">
        <x:f>IF(I951&gt;0,1,0)</x:f>
        <x:v>0</x:v>
      </x:c>
      <x:c r="K951" t="str">
        <x:f>IF(OR(J951=0,G951="",G951=0),"",I951/G951)</x:f>
      </x:c>
      <x:c r="L951" t="str">
        <x:f>IF(OR(J951=0,I951=0,G951=""),"",G951/I951)</x:f>
      </x:c>
      <x:c r="M951" t="str">
        <x:f>IF(OR(J951=0,G951="",H951="",G951=0,H951=0),"",I951/(G951*H951))</x:f>
      </x:c>
      <x:c r="N951" t="str">
        <x:f>IF(K951="","",K951/_xlfn.MAXIFS($K:$K,$E:$E,E951))</x:f>
      </x:c>
      <x:c r="O951" t="str">
        <x:f>IF(M951="","",M951/_xlfn.MAXIFS($M:$M,$E:$E,E951))</x:f>
      </x:c>
      <x:c r="P951" t="str">
        <x:f>IF(OR(N951="",O951=""),"",SQRT(N951*O951))</x:f>
      </x:c>
      <x:c r="Q951" t="str">
        <x:f>IF(OR(N951="",O951=""),"",N951^0.7*O951^0.3)</x:f>
      </x:c>
      <x:c r="R951" t="str">
        <x:f>IF(OR(N951="",O951=""),"",N951^0.3*O951^0.7)</x:f>
      </x:c>
    </x:row>
    <x:row r="952" s="14" customFormat="1">
      <x:c r="A952" t="inlineStr">
        <x:is>
          <x:t xml:space="preserve">openai|gpt-6-luna|non-reasoning|nonreasoning|fallback-na|aa-v4.3.2|snapshot-2026-10-16</x:t>
        </x:is>
      </x:c>
      <x:c r="B952" t="inlineStr">
        <x:is>
          <x:t xml:space="preserve">openai|gpt-6-luna|non-reasoning|nonreasoning|fallback-na</x:t>
        </x:is>
      </x:c>
      <x:c r="C952" t="inlineStr">
        <x:is>
          <x:t xml:space="preserve">AA|v4.3.2</x:t>
        </x:is>
      </x:c>
      <x:c r="D952" t="n">
        <x:v>120</x:v>
      </x:c>
      <x:c r="E952" t="n">
        <x:v>50</x:v>
      </x:c>
      <x:c r="F952" t="n">
        <x:f>INDEX(Run_Metrics!$F:$F,D952)</x:f>
        <x:v>18</x:v>
      </x:c>
      <x:c r="G952" t="n">
        <x:f>INDEX(Run_Metrics!$G:$G,D952)</x:f>
        <x:v>0.01</x:v>
      </x:c>
      <x:c r="H952" t="str">
        <x:f>INDEX(Run_Metrics!$I:$I,D952)</x:f>
      </x:c>
      <x:c r="I952" t="n">
        <x:f>IF(F952="","",F952-(E952-1))</x:f>
        <x:v>-31</x:v>
      </x:c>
      <x:c r="J952" t="n">
        <x:f>IF(I952&gt;0,1,0)</x:f>
        <x:v>0</x:v>
      </x:c>
      <x:c r="K952" t="str">
        <x:f>IF(OR(J952=0,G952="",G952=0),"",I952/G952)</x:f>
      </x:c>
      <x:c r="L952" t="str">
        <x:f>IF(OR(J952=0,I952=0,G952=""),"",G952/I952)</x:f>
      </x:c>
      <x:c r="M952" t="str">
        <x:f>IF(OR(J952=0,G952="",H952="",G952=0,H952=0),"",I952/(G952*H952))</x:f>
      </x:c>
      <x:c r="N952" t="str">
        <x:f>IF(K952="","",K952/_xlfn.MAXIFS($K:$K,$E:$E,E952))</x:f>
      </x:c>
      <x:c r="O952" t="str">
        <x:f>IF(M952="","",M952/_xlfn.MAXIFS($M:$M,$E:$E,E952))</x:f>
      </x:c>
      <x:c r="P952" t="str">
        <x:f>IF(OR(N952="",O952=""),"",SQRT(N952*O952))</x:f>
      </x:c>
      <x:c r="Q952" t="str">
        <x:f>IF(OR(N952="",O952=""),"",N952^0.7*O952^0.3)</x:f>
      </x:c>
      <x:c r="R952" t="str">
        <x:f>IF(OR(N952="",O952=""),"",N952^0.3*O952^0.7)</x:f>
      </x:c>
    </x:row>
    <x:row r="953" s="14" customFormat="1">
      <x:c r="A953" t="inlineStr">
        <x:is>
          <x:t xml:space="preserve">openai|gpt-6-luna|non-reasoning|nonreasoning|fallback-na|aa-v4.3.2|snapshot-2026-10-16</x:t>
        </x:is>
      </x:c>
      <x:c r="B953" t="inlineStr">
        <x:is>
          <x:t xml:space="preserve">openai|gpt-6-luna|non-reasoning|nonreasoning|fallback-na</x:t>
        </x:is>
      </x:c>
      <x:c r="C953" t="inlineStr">
        <x:is>
          <x:t xml:space="preserve">AA|v4.3.2</x:t>
        </x:is>
      </x:c>
      <x:c r="D953" t="n">
        <x:v>120</x:v>
      </x:c>
      <x:c r="E953" t="n">
        <x:v>60</x:v>
      </x:c>
      <x:c r="F953" t="n">
        <x:f>INDEX(Run_Metrics!$F:$F,D953)</x:f>
        <x:v>18</x:v>
      </x:c>
      <x:c r="G953" t="n">
        <x:f>INDEX(Run_Metrics!$G:$G,D953)</x:f>
        <x:v>0.01</x:v>
      </x:c>
      <x:c r="H953" t="str">
        <x:f>INDEX(Run_Metrics!$I:$I,D953)</x:f>
      </x:c>
      <x:c r="I953" t="n">
        <x:f>IF(F953="","",F953-(E953-1))</x:f>
        <x:v>-41</x:v>
      </x:c>
      <x:c r="J953" t="n">
        <x:f>IF(I953&gt;0,1,0)</x:f>
        <x:v>0</x:v>
      </x:c>
      <x:c r="K953" t="str">
        <x:f>IF(OR(J953=0,G953="",G953=0),"",I953/G953)</x:f>
      </x:c>
      <x:c r="L953" t="str">
        <x:f>IF(OR(J953=0,I953=0,G953=""),"",G953/I953)</x:f>
      </x:c>
      <x:c r="M953" t="str">
        <x:f>IF(OR(J953=0,G953="",H953="",G953=0,H953=0),"",I953/(G953*H953))</x:f>
      </x:c>
      <x:c r="N953" t="str">
        <x:f>IF(K953="","",K953/_xlfn.MAXIFS($K:$K,$E:$E,E953))</x:f>
      </x:c>
      <x:c r="O953" t="str">
        <x:f>IF(M953="","",M953/_xlfn.MAXIFS($M:$M,$E:$E,E953))</x:f>
      </x:c>
      <x:c r="P953" t="str">
        <x:f>IF(OR(N953="",O953=""),"",SQRT(N953*O953))</x:f>
      </x:c>
      <x:c r="Q953" t="str">
        <x:f>IF(OR(N953="",O953=""),"",N953^0.7*O953^0.3)</x:f>
      </x:c>
      <x:c r="R953" t="str">
        <x:f>IF(OR(N953="",O953=""),"",N953^0.3*O953^0.7)</x:f>
      </x:c>
    </x:row>
    <x:row r="954" s="14" customFormat="1">
      <x:c r="A954" t="inlineStr">
        <x:is>
          <x:t xml:space="preserve">anthropic|claude-opus-5.5|max|reasoning|fallback-true|aa-v4.3.2|snapshot-2026-10-16</x:t>
        </x:is>
      </x:c>
      <x:c r="B954" t="inlineStr">
        <x:is>
          <x:t xml:space="preserve">anthropic|claude-opus-5.5|max|reasoning|fallback-true</x:t>
        </x:is>
      </x:c>
      <x:c r="C954" t="inlineStr">
        <x:is>
          <x:t xml:space="preserve">AA|v4.3.2</x:t>
        </x:is>
      </x:c>
      <x:c r="D954" t="n">
        <x:v>121</x:v>
      </x:c>
      <x:c r="E954" t="n">
        <x:v>10</x:v>
      </x:c>
      <x:c r="F954" t="n">
        <x:f>INDEX(Run_Metrics!$F:$F,D954)</x:f>
        <x:v>58</x:v>
      </x:c>
      <x:c r="G954" t="n">
        <x:f>INDEX(Run_Metrics!$G:$G,D954)</x:f>
        <x:v>5.98</x:v>
      </x:c>
      <x:c r="H954" t="str">
        <x:f>INDEX(Run_Metrics!$I:$I,D954)</x:f>
      </x:c>
      <x:c r="I954" t="n">
        <x:f>IF(F954="","",F954-(E954-1))</x:f>
        <x:v>49</x:v>
      </x:c>
      <x:c r="J954" t="n">
        <x:f>IF(I954&gt;0,1,0)</x:f>
        <x:v>1</x:v>
      </x:c>
      <x:c r="K954" t="n">
        <x:f>IF(OR(J954=0,G954="",G954=0),"",I954/G954)</x:f>
        <x:v>8.193979933110366</x:v>
      </x:c>
      <x:c r="L954" t="n">
        <x:f>IF(OR(J954=0,I954=0,G954=""),"",G954/I954)</x:f>
        <x:v>0.12204081632653062</x:v>
      </x:c>
      <x:c r="M954" t="str">
        <x:f>IF(OR(J954=0,G954="",H954="",G954=0,H954=0),"",I954/(G954*H954))</x:f>
      </x:c>
      <x:c r="N954" t="n">
        <x:f>IF(K954="","",K954/_xlfn.MAXIFS($K:$K,$E:$E,E954))</x:f>
        <x:v>0.002836377669153588</x:v>
      </x:c>
      <x:c r="O954" t="str">
        <x:f>IF(M954="","",M954/_xlfn.MAXIFS($M:$M,$E:$E,E954))</x:f>
      </x:c>
      <x:c r="P954" t="str">
        <x:f>IF(OR(N954="",O954=""),"",SQRT(N954*O954))</x:f>
      </x:c>
      <x:c r="Q954" t="str">
        <x:f>IF(OR(N954="",O954=""),"",N954^0.7*O954^0.3)</x:f>
      </x:c>
      <x:c r="R954" t="str">
        <x:f>IF(OR(N954="",O954=""),"",N954^0.3*O954^0.7)</x:f>
      </x:c>
    </x:row>
    <x:row r="955" s="14" customFormat="1">
      <x:c r="A955" t="inlineStr">
        <x:is>
          <x:t xml:space="preserve">anthropic|claude-opus-5.5|max|reasoning|fallback-true|aa-v4.3.2|snapshot-2026-10-16</x:t>
        </x:is>
      </x:c>
      <x:c r="B955" t="inlineStr">
        <x:is>
          <x:t xml:space="preserve">anthropic|claude-opus-5.5|max|reasoning|fallback-true</x:t>
        </x:is>
      </x:c>
      <x:c r="C955" t="inlineStr">
        <x:is>
          <x:t xml:space="preserve">AA|v4.3.2</x:t>
        </x:is>
      </x:c>
      <x:c r="D955" t="n">
        <x:v>121</x:v>
      </x:c>
      <x:c r="E955" t="n">
        <x:v>20</x:v>
      </x:c>
      <x:c r="F955" t="n">
        <x:f>INDEX(Run_Metrics!$F:$F,D955)</x:f>
        <x:v>58</x:v>
      </x:c>
      <x:c r="G955" t="n">
        <x:f>INDEX(Run_Metrics!$G:$G,D955)</x:f>
        <x:v>5.98</x:v>
      </x:c>
      <x:c r="H955" t="str">
        <x:f>INDEX(Run_Metrics!$I:$I,D955)</x:f>
      </x:c>
      <x:c r="I955" t="n">
        <x:f>IF(F955="","",F955-(E955-1))</x:f>
        <x:v>39</x:v>
      </x:c>
      <x:c r="J955" t="n">
        <x:f>IF(I955&gt;0,1,0)</x:f>
        <x:v>1</x:v>
      </x:c>
      <x:c r="K955" t="n">
        <x:f>IF(OR(J955=0,G955="",G955=0),"",I955/G955)</x:f>
        <x:v>6.521739130434782</x:v>
      </x:c>
      <x:c r="L955" t="n">
        <x:f>IF(OR(J955=0,I955=0,G955=""),"",G955/I955)</x:f>
        <x:v>0.15333333333333335</x:v>
      </x:c>
      <x:c r="M955" t="str">
        <x:f>IF(OR(J955=0,G955="",H955="",G955=0,H955=0),"",I955/(G955*H955))</x:f>
      </x:c>
      <x:c r="N955" t="n">
        <x:f>IF(K955="","",K955/_xlfn.MAXIFS($K:$K,$E:$E,E955))</x:f>
        <x:v>0.009782608695652173</x:v>
      </x:c>
      <x:c r="O955" t="str">
        <x:f>IF(M955="","",M955/_xlfn.MAXIFS($M:$M,$E:$E,E955))</x:f>
      </x:c>
      <x:c r="P955" t="str">
        <x:f>IF(OR(N955="",O955=""),"",SQRT(N955*O955))</x:f>
      </x:c>
      <x:c r="Q955" t="str">
        <x:f>IF(OR(N955="",O955=""),"",N955^0.7*O955^0.3)</x:f>
      </x:c>
      <x:c r="R955" t="str">
        <x:f>IF(OR(N955="",O955=""),"",N955^0.3*O955^0.7)</x:f>
      </x:c>
    </x:row>
    <x:row r="956" s="14" customFormat="1">
      <x:c r="A956" t="inlineStr">
        <x:is>
          <x:t xml:space="preserve">anthropic|claude-opus-5.5|max|reasoning|fallback-true|aa-v4.3.2|snapshot-2026-10-16</x:t>
        </x:is>
      </x:c>
      <x:c r="B956" t="inlineStr">
        <x:is>
          <x:t xml:space="preserve">anthropic|claude-opus-5.5|max|reasoning|fallback-true</x:t>
        </x:is>
      </x:c>
      <x:c r="C956" t="inlineStr">
        <x:is>
          <x:t xml:space="preserve">AA|v4.3.2</x:t>
        </x:is>
      </x:c>
      <x:c r="D956" t="n">
        <x:v>121</x:v>
      </x:c>
      <x:c r="E956" t="n">
        <x:v>30</x:v>
      </x:c>
      <x:c r="F956" t="n">
        <x:f>INDEX(Run_Metrics!$F:$F,D956)</x:f>
        <x:v>58</x:v>
      </x:c>
      <x:c r="G956" t="n">
        <x:f>INDEX(Run_Metrics!$G:$G,D956)</x:f>
        <x:v>5.98</x:v>
      </x:c>
      <x:c r="H956" t="str">
        <x:f>INDEX(Run_Metrics!$I:$I,D956)</x:f>
      </x:c>
      <x:c r="I956" t="n">
        <x:f>IF(F956="","",F956-(E956-1))</x:f>
        <x:v>29</x:v>
      </x:c>
      <x:c r="J956" t="n">
        <x:f>IF(I956&gt;0,1,0)</x:f>
        <x:v>1</x:v>
      </x:c>
      <x:c r="K956" t="n">
        <x:f>IF(OR(J956=0,G956="",G956=0),"",I956/G956)</x:f>
        <x:v>4.849498327759197</x:v>
      </x:c>
      <x:c r="L956" t="n">
        <x:f>IF(OR(J956=0,I956=0,G956=""),"",G956/I956)</x:f>
        <x:v>0.20620689655172414</x:v>
      </x:c>
      <x:c r="M956" t="str">
        <x:f>IF(OR(J956=0,G956="",H956="",G956=0,H956=0),"",I956/(G956*H956))</x:f>
      </x:c>
      <x:c r="N956" t="n">
        <x:f>IF(K956="","",K956/_xlfn.MAXIFS($K:$K,$E:$E,E956))</x:f>
        <x:v>0.032329988851727984</x:v>
      </x:c>
      <x:c r="O956" t="str">
        <x:f>IF(M956="","",M956/_xlfn.MAXIFS($M:$M,$E:$E,E956))</x:f>
      </x:c>
      <x:c r="P956" t="str">
        <x:f>IF(OR(N956="",O956=""),"",SQRT(N956*O956))</x:f>
      </x:c>
      <x:c r="Q956" t="str">
        <x:f>IF(OR(N956="",O956=""),"",N956^0.7*O956^0.3)</x:f>
      </x:c>
      <x:c r="R956" t="str">
        <x:f>IF(OR(N956="",O956=""),"",N956^0.3*O956^0.7)</x:f>
      </x:c>
    </x:row>
    <x:row r="957" s="14" customFormat="1">
      <x:c r="A957" t="inlineStr">
        <x:is>
          <x:t xml:space="preserve">anthropic|claude-opus-5.5|max|reasoning|fallback-true|aa-v4.3.2|snapshot-2026-10-16</x:t>
        </x:is>
      </x:c>
      <x:c r="B957" t="inlineStr">
        <x:is>
          <x:t xml:space="preserve">anthropic|claude-opus-5.5|max|reasoning|fallback-true</x:t>
        </x:is>
      </x:c>
      <x:c r="C957" t="inlineStr">
        <x:is>
          <x:t xml:space="preserve">AA|v4.3.2</x:t>
        </x:is>
      </x:c>
      <x:c r="D957" t="n">
        <x:v>121</x:v>
      </x:c>
      <x:c r="E957" t="n">
        <x:v>35</x:v>
      </x:c>
      <x:c r="F957" t="n">
        <x:f>INDEX(Run_Metrics!$F:$F,D957)</x:f>
        <x:v>58</x:v>
      </x:c>
      <x:c r="G957" t="n">
        <x:f>INDEX(Run_Metrics!$G:$G,D957)</x:f>
        <x:v>5.98</x:v>
      </x:c>
      <x:c r="H957" t="str">
        <x:f>INDEX(Run_Metrics!$I:$I,D957)</x:f>
      </x:c>
      <x:c r="I957" t="n">
        <x:f>IF(F957="","",F957-(E957-1))</x:f>
        <x:v>24</x:v>
      </x:c>
      <x:c r="J957" t="n">
        <x:f>IF(I957&gt;0,1,0)</x:f>
        <x:v>1</x:v>
      </x:c>
      <x:c r="K957" t="n">
        <x:f>IF(OR(J957=0,G957="",G957=0),"",I957/G957)</x:f>
        <x:v>4.013377926421405</x:v>
      </x:c>
      <x:c r="L957" t="n">
        <x:f>IF(OR(J957=0,I957=0,G957=""),"",G957/I957)</x:f>
        <x:v>0.24916666666666668</x:v>
      </x:c>
      <x:c r="M957" t="str">
        <x:f>IF(OR(J957=0,G957="",H957="",G957=0,H957=0),"",I957/(G957*H957))</x:f>
      </x:c>
      <x:c r="N957" t="n">
        <x:f>IF(K957="","",K957/_xlfn.MAXIFS($K:$K,$E:$E,E957))</x:f>
        <x:v>0.043478260869565216</x:v>
      </x:c>
      <x:c r="O957" t="str">
        <x:f>IF(M957="","",M957/_xlfn.MAXIFS($M:$M,$E:$E,E957))</x:f>
      </x:c>
      <x:c r="P957" t="str">
        <x:f>IF(OR(N957="",O957=""),"",SQRT(N957*O957))</x:f>
      </x:c>
      <x:c r="Q957" t="str">
        <x:f>IF(OR(N957="",O957=""),"",N957^0.7*O957^0.3)</x:f>
      </x:c>
      <x:c r="R957" t="str">
        <x:f>IF(OR(N957="",O957=""),"",N957^0.3*O957^0.7)</x:f>
      </x:c>
    </x:row>
    <x:row r="958" s="14" customFormat="1">
      <x:c r="A958" t="inlineStr">
        <x:is>
          <x:t xml:space="preserve">anthropic|claude-opus-5.5|max|reasoning|fallback-true|aa-v4.3.2|snapshot-2026-10-16</x:t>
        </x:is>
      </x:c>
      <x:c r="B958" t="inlineStr">
        <x:is>
          <x:t xml:space="preserve">anthropic|claude-opus-5.5|max|reasoning|fallback-true</x:t>
        </x:is>
      </x:c>
      <x:c r="C958" t="inlineStr">
        <x:is>
          <x:t xml:space="preserve">AA|v4.3.2</x:t>
        </x:is>
      </x:c>
      <x:c r="D958" t="n">
        <x:v>121</x:v>
      </x:c>
      <x:c r="E958" t="n">
        <x:v>40</x:v>
      </x:c>
      <x:c r="F958" t="n">
        <x:f>INDEX(Run_Metrics!$F:$F,D958)</x:f>
        <x:v>58</x:v>
      </x:c>
      <x:c r="G958" t="n">
        <x:f>INDEX(Run_Metrics!$G:$G,D958)</x:f>
        <x:v>5.98</x:v>
      </x:c>
      <x:c r="H958" t="str">
        <x:f>INDEX(Run_Metrics!$I:$I,D958)</x:f>
      </x:c>
      <x:c r="I958" t="n">
        <x:f>IF(F958="","",F958-(E958-1))</x:f>
        <x:v>19</x:v>
      </x:c>
      <x:c r="J958" t="n">
        <x:f>IF(I958&gt;0,1,0)</x:f>
        <x:v>1</x:v>
      </x:c>
      <x:c r="K958" t="n">
        <x:f>IF(OR(J958=0,G958="",G958=0),"",I958/G958)</x:f>
        <x:v>3.1772575250836117</x:v>
      </x:c>
      <x:c r="L958" t="n">
        <x:f>IF(OR(J958=0,I958=0,G958=""),"",G958/I958)</x:f>
        <x:v>0.3147368421052632</x:v>
      </x:c>
      <x:c r="M958" t="str">
        <x:f>IF(OR(J958=0,G958="",H958="",G958=0,H958=0),"",I958/(G958*H958))</x:f>
      </x:c>
      <x:c r="N958" t="n">
        <x:f>IF(K958="","",K958/_xlfn.MAXIFS($K:$K,$E:$E,E958))</x:f>
        <x:v>0.05900621118012422</x:v>
      </x:c>
      <x:c r="O958" t="str">
        <x:f>IF(M958="","",M958/_xlfn.MAXIFS($M:$M,$E:$E,E958))</x:f>
      </x:c>
      <x:c r="P958" t="str">
        <x:f>IF(OR(N958="",O958=""),"",SQRT(N958*O958))</x:f>
      </x:c>
      <x:c r="Q958" t="str">
        <x:f>IF(OR(N958="",O958=""),"",N958^0.7*O958^0.3)</x:f>
      </x:c>
      <x:c r="R958" t="str">
        <x:f>IF(OR(N958="",O958=""),"",N958^0.3*O958^0.7)</x:f>
      </x:c>
    </x:row>
    <x:row r="959" s="14" customFormat="1">
      <x:c r="A959" t="inlineStr">
        <x:is>
          <x:t xml:space="preserve">anthropic|claude-opus-5.5|max|reasoning|fallback-true|aa-v4.3.2|snapshot-2026-10-16</x:t>
        </x:is>
      </x:c>
      <x:c r="B959" t="inlineStr">
        <x:is>
          <x:t xml:space="preserve">anthropic|claude-opus-5.5|max|reasoning|fallback-true</x:t>
        </x:is>
      </x:c>
      <x:c r="C959" t="inlineStr">
        <x:is>
          <x:t xml:space="preserve">AA|v4.3.2</x:t>
        </x:is>
      </x:c>
      <x:c r="D959" t="n">
        <x:v>121</x:v>
      </x:c>
      <x:c r="E959" t="n">
        <x:v>45</x:v>
      </x:c>
      <x:c r="F959" t="n">
        <x:f>INDEX(Run_Metrics!$F:$F,D959)</x:f>
        <x:v>58</x:v>
      </x:c>
      <x:c r="G959" t="n">
        <x:f>INDEX(Run_Metrics!$G:$G,D959)</x:f>
        <x:v>5.98</x:v>
      </x:c>
      <x:c r="H959" t="str">
        <x:f>INDEX(Run_Metrics!$I:$I,D959)</x:f>
      </x:c>
      <x:c r="I959" t="n">
        <x:f>IF(F959="","",F959-(E959-1))</x:f>
        <x:v>14</x:v>
      </x:c>
      <x:c r="J959" t="n">
        <x:f>IF(I959&gt;0,1,0)</x:f>
        <x:v>1</x:v>
      </x:c>
      <x:c r="K959" t="n">
        <x:f>IF(OR(J959=0,G959="",G959=0),"",I959/G959)</x:f>
        <x:v>2.341137123745819</x:v>
      </x:c>
      <x:c r="L959" t="n">
        <x:f>IF(OR(J959=0,I959=0,G959=""),"",G959/I959)</x:f>
        <x:v>0.42714285714285716</x:v>
      </x:c>
      <x:c r="M959" t="str">
        <x:f>IF(OR(J959=0,G959="",H959="",G959=0,H959=0),"",I959/(G959*H959))</x:f>
      </x:c>
      <x:c r="N959" t="n">
        <x:f>IF(K959="","",K959/_xlfn.MAXIFS($K:$K,$E:$E,E959))</x:f>
        <x:v>0.1229096989966555</x:v>
      </x:c>
      <x:c r="O959" t="str">
        <x:f>IF(M959="","",M959/_xlfn.MAXIFS($M:$M,$E:$E,E959))</x:f>
      </x:c>
      <x:c r="P959" t="str">
        <x:f>IF(OR(N959="",O959=""),"",SQRT(N959*O959))</x:f>
      </x:c>
      <x:c r="Q959" t="str">
        <x:f>IF(OR(N959="",O959=""),"",N959^0.7*O959^0.3)</x:f>
      </x:c>
      <x:c r="R959" t="str">
        <x:f>IF(OR(N959="",O959=""),"",N959^0.3*O959^0.7)</x:f>
      </x:c>
    </x:row>
    <x:row r="960" s="14" customFormat="1">
      <x:c r="A960" t="inlineStr">
        <x:is>
          <x:t xml:space="preserve">anthropic|claude-opus-5.5|max|reasoning|fallback-true|aa-v4.3.2|snapshot-2026-10-16</x:t>
        </x:is>
      </x:c>
      <x:c r="B960" t="inlineStr">
        <x:is>
          <x:t xml:space="preserve">anthropic|claude-opus-5.5|max|reasoning|fallback-true</x:t>
        </x:is>
      </x:c>
      <x:c r="C960" t="inlineStr">
        <x:is>
          <x:t xml:space="preserve">AA|v4.3.2</x:t>
        </x:is>
      </x:c>
      <x:c r="D960" t="n">
        <x:v>121</x:v>
      </x:c>
      <x:c r="E960" t="n">
        <x:v>50</x:v>
      </x:c>
      <x:c r="F960" t="n">
        <x:f>INDEX(Run_Metrics!$F:$F,D960)</x:f>
        <x:v>58</x:v>
      </x:c>
      <x:c r="G960" t="n">
        <x:f>INDEX(Run_Metrics!$G:$G,D960)</x:f>
        <x:v>5.98</x:v>
      </x:c>
      <x:c r="H960" t="str">
        <x:f>INDEX(Run_Metrics!$I:$I,D960)</x:f>
      </x:c>
      <x:c r="I960" t="n">
        <x:f>IF(F960="","",F960-(E960-1))</x:f>
        <x:v>9</x:v>
      </x:c>
      <x:c r="J960" t="n">
        <x:f>IF(I960&gt;0,1,0)</x:f>
        <x:v>1</x:v>
      </x:c>
      <x:c r="K960" t="n">
        <x:f>IF(OR(J960=0,G960="",G960=0),"",I960/G960)</x:f>
        <x:v>1.5050167224080266</x:v>
      </x:c>
      <x:c r="L960" t="n">
        <x:f>IF(OR(J960=0,I960=0,G960=""),"",G960/I960)</x:f>
        <x:v>0.6644444444444445</x:v>
      </x:c>
      <x:c r="M960" t="str">
        <x:f>IF(OR(J960=0,G960="",H960="",G960=0,H960=0),"",I960/(G960*H960))</x:f>
      </x:c>
      <x:c r="N960" t="n">
        <x:f>IF(K960="","",K960/_xlfn.MAXIFS($K:$K,$E:$E,E960))</x:f>
        <x:v>0.29347826086956524</x:v>
      </x:c>
      <x:c r="O960" t="str">
        <x:f>IF(M960="","",M960/_xlfn.MAXIFS($M:$M,$E:$E,E960))</x:f>
      </x:c>
      <x:c r="P960" t="str">
        <x:f>IF(OR(N960="",O960=""),"",SQRT(N960*O960))</x:f>
      </x:c>
      <x:c r="Q960" t="str">
        <x:f>IF(OR(N960="",O960=""),"",N960^0.7*O960^0.3)</x:f>
      </x:c>
      <x:c r="R960" t="str">
        <x:f>IF(OR(N960="",O960=""),"",N960^0.3*O960^0.7)</x:f>
      </x:c>
    </x:row>
    <x:row r="961" s="14" customFormat="1">
      <x:c r="A961" t="inlineStr">
        <x:is>
          <x:t xml:space="preserve">anthropic|claude-opus-5.5|max|reasoning|fallback-true|aa-v4.3.2|snapshot-2026-10-16</x:t>
        </x:is>
      </x:c>
      <x:c r="B961" t="inlineStr">
        <x:is>
          <x:t xml:space="preserve">anthropic|claude-opus-5.5|max|reasoning|fallback-true</x:t>
        </x:is>
      </x:c>
      <x:c r="C961" t="inlineStr">
        <x:is>
          <x:t xml:space="preserve">AA|v4.3.2</x:t>
        </x:is>
      </x:c>
      <x:c r="D961" t="n">
        <x:v>121</x:v>
      </x:c>
      <x:c r="E961" t="n">
        <x:v>60</x:v>
      </x:c>
      <x:c r="F961" t="n">
        <x:f>INDEX(Run_Metrics!$F:$F,D961)</x:f>
        <x:v>58</x:v>
      </x:c>
      <x:c r="G961" t="n">
        <x:f>INDEX(Run_Metrics!$G:$G,D961)</x:f>
        <x:v>5.98</x:v>
      </x:c>
      <x:c r="H961" t="str">
        <x:f>INDEX(Run_Metrics!$I:$I,D961)</x:f>
      </x:c>
      <x:c r="I961" t="n">
        <x:f>IF(F961="","",F961-(E961-1))</x:f>
        <x:v>-1</x:v>
      </x:c>
      <x:c r="J961" t="n">
        <x:f>IF(I961&gt;0,1,0)</x:f>
        <x:v>0</x:v>
      </x:c>
      <x:c r="K961" t="str">
        <x:f>IF(OR(J961=0,G961="",G961=0),"",I961/G961)</x:f>
      </x:c>
      <x:c r="L961" t="str">
        <x:f>IF(OR(J961=0,I961=0,G961=""),"",G961/I961)</x:f>
      </x:c>
      <x:c r="M961" t="str">
        <x:f>IF(OR(J961=0,G961="",H961="",G961=0,H961=0),"",I961/(G961*H961))</x:f>
      </x:c>
      <x:c r="N961" t="str">
        <x:f>IF(K961="","",K961/_xlfn.MAXIFS($K:$K,$E:$E,E961))</x:f>
      </x:c>
      <x:c r="O961" t="str">
        <x:f>IF(M961="","",M961/_xlfn.MAXIFS($M:$M,$E:$E,E961))</x:f>
      </x:c>
      <x:c r="P961" t="str">
        <x:f>IF(OR(N961="",O961=""),"",SQRT(N961*O961))</x:f>
      </x:c>
      <x:c r="Q961" t="str">
        <x:f>IF(OR(N961="",O961=""),"",N961^0.7*O961^0.3)</x:f>
      </x:c>
      <x:c r="R961" t="str">
        <x:f>IF(OR(N961="",O961=""),"",N961^0.3*O961^0.7)</x:f>
      </x:c>
    </x:row>
    <x:row r="962" s="14" customFormat="1">
      <x:c r="A962" t="inlineStr">
        <x:is>
          <x:t xml:space="preserve">anthropic|claude-opus-5.5|xhigh|reasoning|fallback-true|aa-v4.3.2|snapshot-2026-10-16</x:t>
        </x:is>
      </x:c>
      <x:c r="B962" t="inlineStr">
        <x:is>
          <x:t xml:space="preserve">anthropic|claude-opus-5.5|xhigh|reasoning|fallback-true</x:t>
        </x:is>
      </x:c>
      <x:c r="C962" t="inlineStr">
        <x:is>
          <x:t xml:space="preserve">AA|v4.3.2</x:t>
        </x:is>
      </x:c>
      <x:c r="D962" t="n">
        <x:v>122</x:v>
      </x:c>
      <x:c r="E962" t="n">
        <x:v>10</x:v>
      </x:c>
      <x:c r="F962" t="n">
        <x:f>INDEX(Run_Metrics!$F:$F,D962)</x:f>
        <x:v>56</x:v>
      </x:c>
      <x:c r="G962" t="n">
        <x:f>INDEX(Run_Metrics!$G:$G,D962)</x:f>
        <x:v>3.46</x:v>
      </x:c>
      <x:c r="H962" t="str">
        <x:f>INDEX(Run_Metrics!$I:$I,D962)</x:f>
      </x:c>
      <x:c r="I962" t="n">
        <x:f>IF(F962="","",F962-(E962-1))</x:f>
        <x:v>47</x:v>
      </x:c>
      <x:c r="J962" t="n">
        <x:f>IF(I962&gt;0,1,0)</x:f>
        <x:v>1</x:v>
      </x:c>
      <x:c r="K962" t="n">
        <x:f>IF(OR(J962=0,G962="",G962=0),"",I962/G962)</x:f>
        <x:v>13.583815028901734</x:v>
      </x:c>
      <x:c r="L962" t="n">
        <x:f>IF(OR(J962=0,I962=0,G962=""),"",G962/I962)</x:f>
        <x:v>0.07361702127659574</x:v>
      </x:c>
      <x:c r="M962" t="str">
        <x:f>IF(OR(J962=0,G962="",H962="",G962=0,H962=0),"",I962/(G962*H962))</x:f>
      </x:c>
      <x:c r="N962" t="n">
        <x:f>IF(K962="","",K962/_xlfn.MAXIFS($K:$K,$E:$E,E962))</x:f>
        <x:v>0.004702089817696754</x:v>
      </x:c>
      <x:c r="O962" t="str">
        <x:f>IF(M962="","",M962/_xlfn.MAXIFS($M:$M,$E:$E,E962))</x:f>
      </x:c>
      <x:c r="P962" t="str">
        <x:f>IF(OR(N962="",O962=""),"",SQRT(N962*O962))</x:f>
      </x:c>
      <x:c r="Q962" t="str">
        <x:f>IF(OR(N962="",O962=""),"",N962^0.7*O962^0.3)</x:f>
      </x:c>
      <x:c r="R962" t="str">
        <x:f>IF(OR(N962="",O962=""),"",N962^0.3*O962^0.7)</x:f>
      </x:c>
    </x:row>
    <x:row r="963" s="14" customFormat="1">
      <x:c r="A963" t="inlineStr">
        <x:is>
          <x:t xml:space="preserve">anthropic|claude-opus-5.5|xhigh|reasoning|fallback-true|aa-v4.3.2|snapshot-2026-10-16</x:t>
        </x:is>
      </x:c>
      <x:c r="B963" t="inlineStr">
        <x:is>
          <x:t xml:space="preserve">anthropic|claude-opus-5.5|xhigh|reasoning|fallback-true</x:t>
        </x:is>
      </x:c>
      <x:c r="C963" t="inlineStr">
        <x:is>
          <x:t xml:space="preserve">AA|v4.3.2</x:t>
        </x:is>
      </x:c>
      <x:c r="D963" t="n">
        <x:v>122</x:v>
      </x:c>
      <x:c r="E963" t="n">
        <x:v>20</x:v>
      </x:c>
      <x:c r="F963" t="n">
        <x:f>INDEX(Run_Metrics!$F:$F,D963)</x:f>
        <x:v>56</x:v>
      </x:c>
      <x:c r="G963" t="n">
        <x:f>INDEX(Run_Metrics!$G:$G,D963)</x:f>
        <x:v>3.46</x:v>
      </x:c>
      <x:c r="H963" t="str">
        <x:f>INDEX(Run_Metrics!$I:$I,D963)</x:f>
      </x:c>
      <x:c r="I963" t="n">
        <x:f>IF(F963="","",F963-(E963-1))</x:f>
        <x:v>37</x:v>
      </x:c>
      <x:c r="J963" t="n">
        <x:f>IF(I963&gt;0,1,0)</x:f>
        <x:v>1</x:v>
      </x:c>
      <x:c r="K963" t="n">
        <x:f>IF(OR(J963=0,G963="",G963=0),"",I963/G963)</x:f>
        <x:v>10.69364161849711</x:v>
      </x:c>
      <x:c r="L963" t="n">
        <x:f>IF(OR(J963=0,I963=0,G963=""),"",G963/I963)</x:f>
        <x:v>0.09351351351351352</x:v>
      </x:c>
      <x:c r="M963" t="str">
        <x:f>IF(OR(J963=0,G963="",H963="",G963=0,H963=0),"",I963/(G963*H963))</x:f>
      </x:c>
      <x:c r="N963" t="n">
        <x:f>IF(K963="","",K963/_xlfn.MAXIFS($K:$K,$E:$E,E963))</x:f>
        <x:v>0.016040462427745664</x:v>
      </x:c>
      <x:c r="O963" t="str">
        <x:f>IF(M963="","",M963/_xlfn.MAXIFS($M:$M,$E:$E,E963))</x:f>
      </x:c>
      <x:c r="P963" t="str">
        <x:f>IF(OR(N963="",O963=""),"",SQRT(N963*O963))</x:f>
      </x:c>
      <x:c r="Q963" t="str">
        <x:f>IF(OR(N963="",O963=""),"",N963^0.7*O963^0.3)</x:f>
      </x:c>
      <x:c r="R963" t="str">
        <x:f>IF(OR(N963="",O963=""),"",N963^0.3*O963^0.7)</x:f>
      </x:c>
    </x:row>
    <x:row r="964" s="14" customFormat="1">
      <x:c r="A964" t="inlineStr">
        <x:is>
          <x:t xml:space="preserve">anthropic|claude-opus-5.5|xhigh|reasoning|fallback-true|aa-v4.3.2|snapshot-2026-10-16</x:t>
        </x:is>
      </x:c>
      <x:c r="B964" t="inlineStr">
        <x:is>
          <x:t xml:space="preserve">anthropic|claude-opus-5.5|xhigh|reasoning|fallback-true</x:t>
        </x:is>
      </x:c>
      <x:c r="C964" t="inlineStr">
        <x:is>
          <x:t xml:space="preserve">AA|v4.3.2</x:t>
        </x:is>
      </x:c>
      <x:c r="D964" t="n">
        <x:v>122</x:v>
      </x:c>
      <x:c r="E964" t="n">
        <x:v>30</x:v>
      </x:c>
      <x:c r="F964" t="n">
        <x:f>INDEX(Run_Metrics!$F:$F,D964)</x:f>
        <x:v>56</x:v>
      </x:c>
      <x:c r="G964" t="n">
        <x:f>INDEX(Run_Metrics!$G:$G,D964)</x:f>
        <x:v>3.46</x:v>
      </x:c>
      <x:c r="H964" t="str">
        <x:f>INDEX(Run_Metrics!$I:$I,D964)</x:f>
      </x:c>
      <x:c r="I964" t="n">
        <x:f>IF(F964="","",F964-(E964-1))</x:f>
        <x:v>27</x:v>
      </x:c>
      <x:c r="J964" t="n">
        <x:f>IF(I964&gt;0,1,0)</x:f>
        <x:v>1</x:v>
      </x:c>
      <x:c r="K964" t="n">
        <x:f>IF(OR(J964=0,G964="",G964=0),"",I964/G964)</x:f>
        <x:v>7.803468208092486</x:v>
      </x:c>
      <x:c r="L964" t="n">
        <x:f>IF(OR(J964=0,I964=0,G964=""),"",G964/I964)</x:f>
        <x:v>0.12814814814814815</x:v>
      </x:c>
      <x:c r="M964" t="str">
        <x:f>IF(OR(J964=0,G964="",H964="",G964=0,H964=0),"",I964/(G964*H964))</x:f>
      </x:c>
      <x:c r="N964" t="n">
        <x:f>IF(K964="","",K964/_xlfn.MAXIFS($K:$K,$E:$E,E964))</x:f>
        <x:v>0.05202312138728324</x:v>
      </x:c>
      <x:c r="O964" t="str">
        <x:f>IF(M964="","",M964/_xlfn.MAXIFS($M:$M,$E:$E,E964))</x:f>
      </x:c>
      <x:c r="P964" t="str">
        <x:f>IF(OR(N964="",O964=""),"",SQRT(N964*O964))</x:f>
      </x:c>
      <x:c r="Q964" t="str">
        <x:f>IF(OR(N964="",O964=""),"",N964^0.7*O964^0.3)</x:f>
      </x:c>
      <x:c r="R964" t="str">
        <x:f>IF(OR(N964="",O964=""),"",N964^0.3*O964^0.7)</x:f>
      </x:c>
    </x:row>
    <x:row r="965" s="14" customFormat="1">
      <x:c r="A965" t="inlineStr">
        <x:is>
          <x:t xml:space="preserve">anthropic|claude-opus-5.5|xhigh|reasoning|fallback-true|aa-v4.3.2|snapshot-2026-10-16</x:t>
        </x:is>
      </x:c>
      <x:c r="B965" t="inlineStr">
        <x:is>
          <x:t xml:space="preserve">anthropic|claude-opus-5.5|xhigh|reasoning|fallback-true</x:t>
        </x:is>
      </x:c>
      <x:c r="C965" t="inlineStr">
        <x:is>
          <x:t xml:space="preserve">AA|v4.3.2</x:t>
        </x:is>
      </x:c>
      <x:c r="D965" t="n">
        <x:v>122</x:v>
      </x:c>
      <x:c r="E965" t="n">
        <x:v>35</x:v>
      </x:c>
      <x:c r="F965" t="n">
        <x:f>INDEX(Run_Metrics!$F:$F,D965)</x:f>
        <x:v>56</x:v>
      </x:c>
      <x:c r="G965" t="n">
        <x:f>INDEX(Run_Metrics!$G:$G,D965)</x:f>
        <x:v>3.46</x:v>
      </x:c>
      <x:c r="H965" t="str">
        <x:f>INDEX(Run_Metrics!$I:$I,D965)</x:f>
      </x:c>
      <x:c r="I965" t="n">
        <x:f>IF(F965="","",F965-(E965-1))</x:f>
        <x:v>22</x:v>
      </x:c>
      <x:c r="J965" t="n">
        <x:f>IF(I965&gt;0,1,0)</x:f>
        <x:v>1</x:v>
      </x:c>
      <x:c r="K965" t="n">
        <x:f>IF(OR(J965=0,G965="",G965=0),"",I965/G965)</x:f>
        <x:v>6.358381502890174</x:v>
      </x:c>
      <x:c r="L965" t="n">
        <x:f>IF(OR(J965=0,I965=0,G965=""),"",G965/I965)</x:f>
        <x:v>0.15727272727272726</x:v>
      </x:c>
      <x:c r="M965" t="str">
        <x:f>IF(OR(J965=0,G965="",H965="",G965=0,H965=0),"",I965/(G965*H965))</x:f>
      </x:c>
      <x:c r="N965" t="n">
        <x:f>IF(K965="","",K965/_xlfn.MAXIFS($K:$K,$E:$E,E965))</x:f>
        <x:v>0.06888246628131021</x:v>
      </x:c>
      <x:c r="O965" t="str">
        <x:f>IF(M965="","",M965/_xlfn.MAXIFS($M:$M,$E:$E,E965))</x:f>
      </x:c>
      <x:c r="P965" t="str">
        <x:f>IF(OR(N965="",O965=""),"",SQRT(N965*O965))</x:f>
      </x:c>
      <x:c r="Q965" t="str">
        <x:f>IF(OR(N965="",O965=""),"",N965^0.7*O965^0.3)</x:f>
      </x:c>
      <x:c r="R965" t="str">
        <x:f>IF(OR(N965="",O965=""),"",N965^0.3*O965^0.7)</x:f>
      </x:c>
    </x:row>
    <x:row r="966" s="14" customFormat="1">
      <x:c r="A966" t="inlineStr">
        <x:is>
          <x:t xml:space="preserve">anthropic|claude-opus-5.5|xhigh|reasoning|fallback-true|aa-v4.3.2|snapshot-2026-10-16</x:t>
        </x:is>
      </x:c>
      <x:c r="B966" t="inlineStr">
        <x:is>
          <x:t xml:space="preserve">anthropic|claude-opus-5.5|xhigh|reasoning|fallback-true</x:t>
        </x:is>
      </x:c>
      <x:c r="C966" t="inlineStr">
        <x:is>
          <x:t xml:space="preserve">AA|v4.3.2</x:t>
        </x:is>
      </x:c>
      <x:c r="D966" t="n">
        <x:v>122</x:v>
      </x:c>
      <x:c r="E966" t="n">
        <x:v>40</x:v>
      </x:c>
      <x:c r="F966" t="n">
        <x:f>INDEX(Run_Metrics!$F:$F,D966)</x:f>
        <x:v>56</x:v>
      </x:c>
      <x:c r="G966" t="n">
        <x:f>INDEX(Run_Metrics!$G:$G,D966)</x:f>
        <x:v>3.46</x:v>
      </x:c>
      <x:c r="H966" t="str">
        <x:f>INDEX(Run_Metrics!$I:$I,D966)</x:f>
      </x:c>
      <x:c r="I966" t="n">
        <x:f>IF(F966="","",F966-(E966-1))</x:f>
        <x:v>17</x:v>
      </x:c>
      <x:c r="J966" t="n">
        <x:f>IF(I966&gt;0,1,0)</x:f>
        <x:v>1</x:v>
      </x:c>
      <x:c r="K966" t="n">
        <x:f>IF(OR(J966=0,G966="",G966=0),"",I966/G966)</x:f>
        <x:v>4.913294797687861</x:v>
      </x:c>
      <x:c r="L966" t="n">
        <x:f>IF(OR(J966=0,I966=0,G966=""),"",G966/I966)</x:f>
        <x:v>0.20352941176470588</x:v>
      </x:c>
      <x:c r="M966" t="str">
        <x:f>IF(OR(J966=0,G966="",H966="",G966=0,H966=0),"",I966/(G966*H966))</x:f>
      </x:c>
      <x:c r="N966" t="n">
        <x:f>IF(K966="","",K966/_xlfn.MAXIFS($K:$K,$E:$E,E966))</x:f>
        <x:v>0.09124690338563171</x:v>
      </x:c>
      <x:c r="O966" t="str">
        <x:f>IF(M966="","",M966/_xlfn.MAXIFS($M:$M,$E:$E,E966))</x:f>
      </x:c>
      <x:c r="P966" t="str">
        <x:f>IF(OR(N966="",O966=""),"",SQRT(N966*O966))</x:f>
      </x:c>
      <x:c r="Q966" t="str">
        <x:f>IF(OR(N966="",O966=""),"",N966^0.7*O966^0.3)</x:f>
      </x:c>
      <x:c r="R966" t="str">
        <x:f>IF(OR(N966="",O966=""),"",N966^0.3*O966^0.7)</x:f>
      </x:c>
    </x:row>
    <x:row r="967" s="14" customFormat="1">
      <x:c r="A967" t="inlineStr">
        <x:is>
          <x:t xml:space="preserve">anthropic|claude-opus-5.5|xhigh|reasoning|fallback-true|aa-v4.3.2|snapshot-2026-10-16</x:t>
        </x:is>
      </x:c>
      <x:c r="B967" t="inlineStr">
        <x:is>
          <x:t xml:space="preserve">anthropic|claude-opus-5.5|xhigh|reasoning|fallback-true</x:t>
        </x:is>
      </x:c>
      <x:c r="C967" t="inlineStr">
        <x:is>
          <x:t xml:space="preserve">AA|v4.3.2</x:t>
        </x:is>
      </x:c>
      <x:c r="D967" t="n">
        <x:v>122</x:v>
      </x:c>
      <x:c r="E967" t="n">
        <x:v>45</x:v>
      </x:c>
      <x:c r="F967" t="n">
        <x:f>INDEX(Run_Metrics!$F:$F,D967)</x:f>
        <x:v>56</x:v>
      </x:c>
      <x:c r="G967" t="n">
        <x:f>INDEX(Run_Metrics!$G:$G,D967)</x:f>
        <x:v>3.46</x:v>
      </x:c>
      <x:c r="H967" t="str">
        <x:f>INDEX(Run_Metrics!$I:$I,D967)</x:f>
      </x:c>
      <x:c r="I967" t="n">
        <x:f>IF(F967="","",F967-(E967-1))</x:f>
        <x:v>12</x:v>
      </x:c>
      <x:c r="J967" t="n">
        <x:f>IF(I967&gt;0,1,0)</x:f>
        <x:v>1</x:v>
      </x:c>
      <x:c r="K967" t="n">
        <x:f>IF(OR(J967=0,G967="",G967=0),"",I967/G967)</x:f>
        <x:v>3.468208092485549</x:v>
      </x:c>
      <x:c r="L967" t="n">
        <x:f>IF(OR(J967=0,I967=0,G967=""),"",G967/I967)</x:f>
        <x:v>0.28833333333333333</x:v>
      </x:c>
      <x:c r="M967" t="str">
        <x:f>IF(OR(J967=0,G967="",H967="",G967=0,H967=0),"",I967/(G967*H967))</x:f>
      </x:c>
      <x:c r="N967" t="n">
        <x:f>IF(K967="","",K967/_xlfn.MAXIFS($K:$K,$E:$E,E967))</x:f>
        <x:v>0.18208092485549132</x:v>
      </x:c>
      <x:c r="O967" t="str">
        <x:f>IF(M967="","",M967/_xlfn.MAXIFS($M:$M,$E:$E,E967))</x:f>
      </x:c>
      <x:c r="P967" t="str">
        <x:f>IF(OR(N967="",O967=""),"",SQRT(N967*O967))</x:f>
      </x:c>
      <x:c r="Q967" t="str">
        <x:f>IF(OR(N967="",O967=""),"",N967^0.7*O967^0.3)</x:f>
      </x:c>
      <x:c r="R967" t="str">
        <x:f>IF(OR(N967="",O967=""),"",N967^0.3*O967^0.7)</x:f>
      </x:c>
    </x:row>
    <x:row r="968" s="14" customFormat="1">
      <x:c r="A968" t="inlineStr">
        <x:is>
          <x:t xml:space="preserve">anthropic|claude-opus-5.5|xhigh|reasoning|fallback-true|aa-v4.3.2|snapshot-2026-10-16</x:t>
        </x:is>
      </x:c>
      <x:c r="B968" t="inlineStr">
        <x:is>
          <x:t xml:space="preserve">anthropic|claude-opus-5.5|xhigh|reasoning|fallback-true</x:t>
        </x:is>
      </x:c>
      <x:c r="C968" t="inlineStr">
        <x:is>
          <x:t xml:space="preserve">AA|v4.3.2</x:t>
        </x:is>
      </x:c>
      <x:c r="D968" t="n">
        <x:v>122</x:v>
      </x:c>
      <x:c r="E968" t="n">
        <x:v>50</x:v>
      </x:c>
      <x:c r="F968" t="n">
        <x:f>INDEX(Run_Metrics!$F:$F,D968)</x:f>
        <x:v>56</x:v>
      </x:c>
      <x:c r="G968" t="n">
        <x:f>INDEX(Run_Metrics!$G:$G,D968)</x:f>
        <x:v>3.46</x:v>
      </x:c>
      <x:c r="H968" t="str">
        <x:f>INDEX(Run_Metrics!$I:$I,D968)</x:f>
      </x:c>
      <x:c r="I968" t="n">
        <x:f>IF(F968="","",F968-(E968-1))</x:f>
        <x:v>7</x:v>
      </x:c>
      <x:c r="J968" t="n">
        <x:f>IF(I968&gt;0,1,0)</x:f>
        <x:v>1</x:v>
      </x:c>
      <x:c r="K968" t="n">
        <x:f>IF(OR(J968=0,G968="",G968=0),"",I968/G968)</x:f>
        <x:v>2.023121387283237</x:v>
      </x:c>
      <x:c r="L968" t="n">
        <x:f>IF(OR(J968=0,I968=0,G968=""),"",G968/I968)</x:f>
        <x:v>0.4942857142857143</x:v>
      </x:c>
      <x:c r="M968" t="str">
        <x:f>IF(OR(J968=0,G968="",H968="",G968=0,H968=0),"",I968/(G968*H968))</x:f>
      </x:c>
      <x:c r="N968" t="n">
        <x:f>IF(K968="","",K968/_xlfn.MAXIFS($K:$K,$E:$E,E968))</x:f>
        <x:v>0.3945086705202313</x:v>
      </x:c>
      <x:c r="O968" t="str">
        <x:f>IF(M968="","",M968/_xlfn.MAXIFS($M:$M,$E:$E,E968))</x:f>
      </x:c>
      <x:c r="P968" t="str">
        <x:f>IF(OR(N968="",O968=""),"",SQRT(N968*O968))</x:f>
      </x:c>
      <x:c r="Q968" t="str">
        <x:f>IF(OR(N968="",O968=""),"",N968^0.7*O968^0.3)</x:f>
      </x:c>
      <x:c r="R968" t="str">
        <x:f>IF(OR(N968="",O968=""),"",N968^0.3*O968^0.7)</x:f>
      </x:c>
    </x:row>
    <x:row r="969" s="14" customFormat="1">
      <x:c r="A969" t="inlineStr">
        <x:is>
          <x:t xml:space="preserve">anthropic|claude-opus-5.5|xhigh|reasoning|fallback-true|aa-v4.3.2|snapshot-2026-10-16</x:t>
        </x:is>
      </x:c>
      <x:c r="B969" t="inlineStr">
        <x:is>
          <x:t xml:space="preserve">anthropic|claude-opus-5.5|xhigh|reasoning|fallback-true</x:t>
        </x:is>
      </x:c>
      <x:c r="C969" t="inlineStr">
        <x:is>
          <x:t xml:space="preserve">AA|v4.3.2</x:t>
        </x:is>
      </x:c>
      <x:c r="D969" t="n">
        <x:v>122</x:v>
      </x:c>
      <x:c r="E969" t="n">
        <x:v>60</x:v>
      </x:c>
      <x:c r="F969" t="n">
        <x:f>INDEX(Run_Metrics!$F:$F,D969)</x:f>
        <x:v>56</x:v>
      </x:c>
      <x:c r="G969" t="n">
        <x:f>INDEX(Run_Metrics!$G:$G,D969)</x:f>
        <x:v>3.46</x:v>
      </x:c>
      <x:c r="H969" t="str">
        <x:f>INDEX(Run_Metrics!$I:$I,D969)</x:f>
      </x:c>
      <x:c r="I969" t="n">
        <x:f>IF(F969="","",F969-(E969-1))</x:f>
        <x:v>-3</x:v>
      </x:c>
      <x:c r="J969" t="n">
        <x:f>IF(I969&gt;0,1,0)</x:f>
        <x:v>0</x:v>
      </x:c>
      <x:c r="K969" t="str">
        <x:f>IF(OR(J969=0,G969="",G969=0),"",I969/G969)</x:f>
      </x:c>
      <x:c r="L969" t="str">
        <x:f>IF(OR(J969=0,I969=0,G969=""),"",G969/I969)</x:f>
      </x:c>
      <x:c r="M969" t="str">
        <x:f>IF(OR(J969=0,G969="",H969="",G969=0,H969=0),"",I969/(G969*H969))</x:f>
      </x:c>
      <x:c r="N969" t="str">
        <x:f>IF(K969="","",K969/_xlfn.MAXIFS($K:$K,$E:$E,E969))</x:f>
      </x:c>
      <x:c r="O969" t="str">
        <x:f>IF(M969="","",M969/_xlfn.MAXIFS($M:$M,$E:$E,E969))</x:f>
      </x:c>
      <x:c r="P969" t="str">
        <x:f>IF(OR(N969="",O969=""),"",SQRT(N969*O969))</x:f>
      </x:c>
      <x:c r="Q969" t="str">
        <x:f>IF(OR(N969="",O969=""),"",N969^0.7*O969^0.3)</x:f>
      </x:c>
      <x:c r="R969" t="str">
        <x:f>IF(OR(N969="",O969=""),"",N969^0.3*O969^0.7)</x:f>
      </x:c>
    </x:row>
    <x:row r="970" s="14" customFormat="1">
      <x:c r="A970" t="inlineStr">
        <x:is>
          <x:t xml:space="preserve">anthropic|claude-opus-5.5|high|reasoning|fallback-true|aa-v4.3.2|snapshot-2026-10-16</x:t>
        </x:is>
      </x:c>
      <x:c r="B970" t="inlineStr">
        <x:is>
          <x:t xml:space="preserve">anthropic|claude-opus-5.5|high|reasoning|fallback-true</x:t>
        </x:is>
      </x:c>
      <x:c r="C970" t="inlineStr">
        <x:is>
          <x:t xml:space="preserve">AA|v4.3.2</x:t>
        </x:is>
      </x:c>
      <x:c r="D970" t="n">
        <x:v>123</x:v>
      </x:c>
      <x:c r="E970" t="n">
        <x:v>10</x:v>
      </x:c>
      <x:c r="F970" t="n">
        <x:f>INDEX(Run_Metrics!$F:$F,D970)</x:f>
        <x:v>54</x:v>
      </x:c>
      <x:c r="G970" t="n">
        <x:f>INDEX(Run_Metrics!$G:$G,D970)</x:f>
        <x:v>1.82</x:v>
      </x:c>
      <x:c r="H970" t="str">
        <x:f>INDEX(Run_Metrics!$I:$I,D970)</x:f>
      </x:c>
      <x:c r="I970" t="n">
        <x:f>IF(F970="","",F970-(E970-1))</x:f>
        <x:v>45</x:v>
      </x:c>
      <x:c r="J970" t="n">
        <x:f>IF(I970&gt;0,1,0)</x:f>
        <x:v>1</x:v>
      </x:c>
      <x:c r="K970" t="n">
        <x:f>IF(OR(J970=0,G970="",G970=0),"",I970/G970)</x:f>
        <x:v>24.725274725274723</x:v>
      </x:c>
      <x:c r="L970" t="n">
        <x:f>IF(OR(J970=0,I970=0,G970=""),"",G970/I970)</x:f>
        <x:v>0.04044444444444444</x:v>
      </x:c>
      <x:c r="M970" t="str">
        <x:f>IF(OR(J970=0,G970="",H970="",G970=0,H970=0),"",I970/(G970*H970))</x:f>
      </x:c>
      <x:c r="N970" t="n">
        <x:f>IF(K970="","",K970/_xlfn.MAXIFS($K:$K,$E:$E,E970))</x:f>
        <x:v>0.008558748943364326</x:v>
      </x:c>
      <x:c r="O970" t="str">
        <x:f>IF(M970="","",M970/_xlfn.MAXIFS($M:$M,$E:$E,E970))</x:f>
      </x:c>
      <x:c r="P970" t="str">
        <x:f>IF(OR(N970="",O970=""),"",SQRT(N970*O970))</x:f>
      </x:c>
      <x:c r="Q970" t="str">
        <x:f>IF(OR(N970="",O970=""),"",N970^0.7*O970^0.3)</x:f>
      </x:c>
      <x:c r="R970" t="str">
        <x:f>IF(OR(N970="",O970=""),"",N970^0.3*O970^0.7)</x:f>
      </x:c>
    </x:row>
    <x:row r="971" s="14" customFormat="1">
      <x:c r="A971" t="inlineStr">
        <x:is>
          <x:t xml:space="preserve">anthropic|claude-opus-5.5|high|reasoning|fallback-true|aa-v4.3.2|snapshot-2026-10-16</x:t>
        </x:is>
      </x:c>
      <x:c r="B971" t="inlineStr">
        <x:is>
          <x:t xml:space="preserve">anthropic|claude-opus-5.5|high|reasoning|fallback-true</x:t>
        </x:is>
      </x:c>
      <x:c r="C971" t="inlineStr">
        <x:is>
          <x:t xml:space="preserve">AA|v4.3.2</x:t>
        </x:is>
      </x:c>
      <x:c r="D971" t="n">
        <x:v>123</x:v>
      </x:c>
      <x:c r="E971" t="n">
        <x:v>20</x:v>
      </x:c>
      <x:c r="F971" t="n">
        <x:f>INDEX(Run_Metrics!$F:$F,D971)</x:f>
        <x:v>54</x:v>
      </x:c>
      <x:c r="G971" t="n">
        <x:f>INDEX(Run_Metrics!$G:$G,D971)</x:f>
        <x:v>1.82</x:v>
      </x:c>
      <x:c r="H971" t="str">
        <x:f>INDEX(Run_Metrics!$I:$I,D971)</x:f>
      </x:c>
      <x:c r="I971" t="n">
        <x:f>IF(F971="","",F971-(E971-1))</x:f>
        <x:v>35</x:v>
      </x:c>
      <x:c r="J971" t="n">
        <x:f>IF(I971&gt;0,1,0)</x:f>
        <x:v>1</x:v>
      </x:c>
      <x:c r="K971" t="n">
        <x:f>IF(OR(J971=0,G971="",G971=0),"",I971/G971)</x:f>
        <x:v>19.23076923076923</x:v>
      </x:c>
      <x:c r="L971" t="n">
        <x:f>IF(OR(J971=0,I971=0,G971=""),"",G971/I971)</x:f>
        <x:v>0.052000000000000005</x:v>
      </x:c>
      <x:c r="M971" t="str">
        <x:f>IF(OR(J971=0,G971="",H971="",G971=0,H971=0),"",I971/(G971*H971))</x:f>
      </x:c>
      <x:c r="N971" t="n">
        <x:f>IF(K971="","",K971/_xlfn.MAXIFS($K:$K,$E:$E,E971))</x:f>
        <x:v>0.02884615384615384</x:v>
      </x:c>
      <x:c r="O971" t="str">
        <x:f>IF(M971="","",M971/_xlfn.MAXIFS($M:$M,$E:$E,E971))</x:f>
      </x:c>
      <x:c r="P971" t="str">
        <x:f>IF(OR(N971="",O971=""),"",SQRT(N971*O971))</x:f>
      </x:c>
      <x:c r="Q971" t="str">
        <x:f>IF(OR(N971="",O971=""),"",N971^0.7*O971^0.3)</x:f>
      </x:c>
      <x:c r="R971" t="str">
        <x:f>IF(OR(N971="",O971=""),"",N971^0.3*O971^0.7)</x:f>
      </x:c>
    </x:row>
    <x:row r="972" s="14" customFormat="1">
      <x:c r="A972" t="inlineStr">
        <x:is>
          <x:t xml:space="preserve">anthropic|claude-opus-5.5|high|reasoning|fallback-true|aa-v4.3.2|snapshot-2026-10-16</x:t>
        </x:is>
      </x:c>
      <x:c r="B972" t="inlineStr">
        <x:is>
          <x:t xml:space="preserve">anthropic|claude-opus-5.5|high|reasoning|fallback-true</x:t>
        </x:is>
      </x:c>
      <x:c r="C972" t="inlineStr">
        <x:is>
          <x:t xml:space="preserve">AA|v4.3.2</x:t>
        </x:is>
      </x:c>
      <x:c r="D972" t="n">
        <x:v>123</x:v>
      </x:c>
      <x:c r="E972" t="n">
        <x:v>30</x:v>
      </x:c>
      <x:c r="F972" t="n">
        <x:f>INDEX(Run_Metrics!$F:$F,D972)</x:f>
        <x:v>54</x:v>
      </x:c>
      <x:c r="G972" t="n">
        <x:f>INDEX(Run_Metrics!$G:$G,D972)</x:f>
        <x:v>1.82</x:v>
      </x:c>
      <x:c r="H972" t="str">
        <x:f>INDEX(Run_Metrics!$I:$I,D972)</x:f>
      </x:c>
      <x:c r="I972" t="n">
        <x:f>IF(F972="","",F972-(E972-1))</x:f>
        <x:v>25</x:v>
      </x:c>
      <x:c r="J972" t="n">
        <x:f>IF(I972&gt;0,1,0)</x:f>
        <x:v>1</x:v>
      </x:c>
      <x:c r="K972" t="n">
        <x:f>IF(OR(J972=0,G972="",G972=0),"",I972/G972)</x:f>
        <x:v>13.736263736263735</x:v>
      </x:c>
      <x:c r="L972" t="n">
        <x:f>IF(OR(J972=0,I972=0,G972=""),"",G972/I972)</x:f>
        <x:v>0.0728</x:v>
      </x:c>
      <x:c r="M972" t="str">
        <x:f>IF(OR(J972=0,G972="",H972="",G972=0,H972=0),"",I972/(G972*H972))</x:f>
      </x:c>
      <x:c r="N972" t="n">
        <x:f>IF(K972="","",K972/_xlfn.MAXIFS($K:$K,$E:$E,E972))</x:f>
        <x:v>0.09157509157509157</x:v>
      </x:c>
      <x:c r="O972" t="str">
        <x:f>IF(M972="","",M972/_xlfn.MAXIFS($M:$M,$E:$E,E972))</x:f>
      </x:c>
      <x:c r="P972" t="str">
        <x:f>IF(OR(N972="",O972=""),"",SQRT(N972*O972))</x:f>
      </x:c>
      <x:c r="Q972" t="str">
        <x:f>IF(OR(N972="",O972=""),"",N972^0.7*O972^0.3)</x:f>
      </x:c>
      <x:c r="R972" t="str">
        <x:f>IF(OR(N972="",O972=""),"",N972^0.3*O972^0.7)</x:f>
      </x:c>
    </x:row>
    <x:row r="973" s="14" customFormat="1">
      <x:c r="A973" t="inlineStr">
        <x:is>
          <x:t xml:space="preserve">anthropic|claude-opus-5.5|high|reasoning|fallback-true|aa-v4.3.2|snapshot-2026-10-16</x:t>
        </x:is>
      </x:c>
      <x:c r="B973" t="inlineStr">
        <x:is>
          <x:t xml:space="preserve">anthropic|claude-opus-5.5|high|reasoning|fallback-true</x:t>
        </x:is>
      </x:c>
      <x:c r="C973" t="inlineStr">
        <x:is>
          <x:t xml:space="preserve">AA|v4.3.2</x:t>
        </x:is>
      </x:c>
      <x:c r="D973" t="n">
        <x:v>123</x:v>
      </x:c>
      <x:c r="E973" t="n">
        <x:v>35</x:v>
      </x:c>
      <x:c r="F973" t="n">
        <x:f>INDEX(Run_Metrics!$F:$F,D973)</x:f>
        <x:v>54</x:v>
      </x:c>
      <x:c r="G973" t="n">
        <x:f>INDEX(Run_Metrics!$G:$G,D973)</x:f>
        <x:v>1.82</x:v>
      </x:c>
      <x:c r="H973" t="str">
        <x:f>INDEX(Run_Metrics!$I:$I,D973)</x:f>
      </x:c>
      <x:c r="I973" t="n">
        <x:f>IF(F973="","",F973-(E973-1))</x:f>
        <x:v>20</x:v>
      </x:c>
      <x:c r="J973" t="n">
        <x:f>IF(I973&gt;0,1,0)</x:f>
        <x:v>1</x:v>
      </x:c>
      <x:c r="K973" t="n">
        <x:f>IF(OR(J973=0,G973="",G973=0),"",I973/G973)</x:f>
        <x:v>10.989010989010989</x:v>
      </x:c>
      <x:c r="L973" t="n">
        <x:f>IF(OR(J973=0,I973=0,G973=""),"",G973/I973)</x:f>
        <x:v>0.091</x:v>
      </x:c>
      <x:c r="M973" t="str">
        <x:f>IF(OR(J973=0,G973="",H973="",G973=0,H973=0),"",I973/(G973*H973))</x:f>
      </x:c>
      <x:c r="N973" t="n">
        <x:f>IF(K973="","",K973/_xlfn.MAXIFS($K:$K,$E:$E,E973))</x:f>
        <x:v>0.11904761904761905</x:v>
      </x:c>
      <x:c r="O973" t="str">
        <x:f>IF(M973="","",M973/_xlfn.MAXIFS($M:$M,$E:$E,E973))</x:f>
      </x:c>
      <x:c r="P973" t="str">
        <x:f>IF(OR(N973="",O973=""),"",SQRT(N973*O973))</x:f>
      </x:c>
      <x:c r="Q973" t="str">
        <x:f>IF(OR(N973="",O973=""),"",N973^0.7*O973^0.3)</x:f>
      </x:c>
      <x:c r="R973" t="str">
        <x:f>IF(OR(N973="",O973=""),"",N973^0.3*O973^0.7)</x:f>
      </x:c>
    </x:row>
    <x:row r="974" s="14" customFormat="1">
      <x:c r="A974" t="inlineStr">
        <x:is>
          <x:t xml:space="preserve">anthropic|claude-opus-5.5|high|reasoning|fallback-true|aa-v4.3.2|snapshot-2026-10-16</x:t>
        </x:is>
      </x:c>
      <x:c r="B974" t="inlineStr">
        <x:is>
          <x:t xml:space="preserve">anthropic|claude-opus-5.5|high|reasoning|fallback-true</x:t>
        </x:is>
      </x:c>
      <x:c r="C974" t="inlineStr">
        <x:is>
          <x:t xml:space="preserve">AA|v4.3.2</x:t>
        </x:is>
      </x:c>
      <x:c r="D974" t="n">
        <x:v>123</x:v>
      </x:c>
      <x:c r="E974" t="n">
        <x:v>40</x:v>
      </x:c>
      <x:c r="F974" t="n">
        <x:f>INDEX(Run_Metrics!$F:$F,D974)</x:f>
        <x:v>54</x:v>
      </x:c>
      <x:c r="G974" t="n">
        <x:f>INDEX(Run_Metrics!$G:$G,D974)</x:f>
        <x:v>1.82</x:v>
      </x:c>
      <x:c r="H974" t="str">
        <x:f>INDEX(Run_Metrics!$I:$I,D974)</x:f>
      </x:c>
      <x:c r="I974" t="n">
        <x:f>IF(F974="","",F974-(E974-1))</x:f>
        <x:v>15</x:v>
      </x:c>
      <x:c r="J974" t="n">
        <x:f>IF(I974&gt;0,1,0)</x:f>
        <x:v>1</x:v>
      </x:c>
      <x:c r="K974" t="n">
        <x:f>IF(OR(J974=0,G974="",G974=0),"",I974/G974)</x:f>
        <x:v>8.241758241758241</x:v>
      </x:c>
      <x:c r="L974" t="n">
        <x:f>IF(OR(J974=0,I974=0,G974=""),"",G974/I974)</x:f>
        <x:v>0.12133333333333333</x:v>
      </x:c>
      <x:c r="M974" t="str">
        <x:f>IF(OR(J974=0,G974="",H974="",G974=0,H974=0),"",I974/(G974*H974))</x:f>
      </x:c>
      <x:c r="N974" t="n">
        <x:f>IF(K974="","",K974/_xlfn.MAXIFS($K:$K,$E:$E,E974))</x:f>
        <x:v>0.1530612244897959</x:v>
      </x:c>
      <x:c r="O974" t="str">
        <x:f>IF(M974="","",M974/_xlfn.MAXIFS($M:$M,$E:$E,E974))</x:f>
      </x:c>
      <x:c r="P974" t="str">
        <x:f>IF(OR(N974="",O974=""),"",SQRT(N974*O974))</x:f>
      </x:c>
      <x:c r="Q974" t="str">
        <x:f>IF(OR(N974="",O974=""),"",N974^0.7*O974^0.3)</x:f>
      </x:c>
      <x:c r="R974" t="str">
        <x:f>IF(OR(N974="",O974=""),"",N974^0.3*O974^0.7)</x:f>
      </x:c>
    </x:row>
    <x:row r="975" s="14" customFormat="1">
      <x:c r="A975" t="inlineStr">
        <x:is>
          <x:t xml:space="preserve">anthropic|claude-opus-5.5|high|reasoning|fallback-true|aa-v4.3.2|snapshot-2026-10-16</x:t>
        </x:is>
      </x:c>
      <x:c r="B975" t="inlineStr">
        <x:is>
          <x:t xml:space="preserve">anthropic|claude-opus-5.5|high|reasoning|fallback-true</x:t>
        </x:is>
      </x:c>
      <x:c r="C975" t="inlineStr">
        <x:is>
          <x:t xml:space="preserve">AA|v4.3.2</x:t>
        </x:is>
      </x:c>
      <x:c r="D975" t="n">
        <x:v>123</x:v>
      </x:c>
      <x:c r="E975" t="n">
        <x:v>45</x:v>
      </x:c>
      <x:c r="F975" t="n">
        <x:f>INDEX(Run_Metrics!$F:$F,D975)</x:f>
        <x:v>54</x:v>
      </x:c>
      <x:c r="G975" t="n">
        <x:f>INDEX(Run_Metrics!$G:$G,D975)</x:f>
        <x:v>1.82</x:v>
      </x:c>
      <x:c r="H975" t="str">
        <x:f>INDEX(Run_Metrics!$I:$I,D975)</x:f>
      </x:c>
      <x:c r="I975" t="n">
        <x:f>IF(F975="","",F975-(E975-1))</x:f>
        <x:v>10</x:v>
      </x:c>
      <x:c r="J975" t="n">
        <x:f>IF(I975&gt;0,1,0)</x:f>
        <x:v>1</x:v>
      </x:c>
      <x:c r="K975" t="n">
        <x:f>IF(OR(J975=0,G975="",G975=0),"",I975/G975)</x:f>
        <x:v>5.4945054945054945</x:v>
      </x:c>
      <x:c r="L975" t="n">
        <x:f>IF(OR(J975=0,I975=0,G975=""),"",G975/I975)</x:f>
        <x:v>0.182</x:v>
      </x:c>
      <x:c r="M975" t="str">
        <x:f>IF(OR(J975=0,G975="",H975="",G975=0,H975=0),"",I975/(G975*H975))</x:f>
      </x:c>
      <x:c r="N975" t="n">
        <x:f>IF(K975="","",K975/_xlfn.MAXIFS($K:$K,$E:$E,E975))</x:f>
        <x:v>0.2884615384615385</x:v>
      </x:c>
      <x:c r="O975" t="str">
        <x:f>IF(M975="","",M975/_xlfn.MAXIFS($M:$M,$E:$E,E975))</x:f>
      </x:c>
      <x:c r="P975" t="str">
        <x:f>IF(OR(N975="",O975=""),"",SQRT(N975*O975))</x:f>
      </x:c>
      <x:c r="Q975" t="str">
        <x:f>IF(OR(N975="",O975=""),"",N975^0.7*O975^0.3)</x:f>
      </x:c>
      <x:c r="R975" t="str">
        <x:f>IF(OR(N975="",O975=""),"",N975^0.3*O975^0.7)</x:f>
      </x:c>
    </x:row>
    <x:row r="976" s="14" customFormat="1">
      <x:c r="A976" t="inlineStr">
        <x:is>
          <x:t xml:space="preserve">anthropic|claude-opus-5.5|high|reasoning|fallback-true|aa-v4.3.2|snapshot-2026-10-16</x:t>
        </x:is>
      </x:c>
      <x:c r="B976" t="inlineStr">
        <x:is>
          <x:t xml:space="preserve">anthropic|claude-opus-5.5|high|reasoning|fallback-true</x:t>
        </x:is>
      </x:c>
      <x:c r="C976" t="inlineStr">
        <x:is>
          <x:t xml:space="preserve">AA|v4.3.2</x:t>
        </x:is>
      </x:c>
      <x:c r="D976" t="n">
        <x:v>123</x:v>
      </x:c>
      <x:c r="E976" t="n">
        <x:v>50</x:v>
      </x:c>
      <x:c r="F976" t="n">
        <x:f>INDEX(Run_Metrics!$F:$F,D976)</x:f>
        <x:v>54</x:v>
      </x:c>
      <x:c r="G976" t="n">
        <x:f>INDEX(Run_Metrics!$G:$G,D976)</x:f>
        <x:v>1.82</x:v>
      </x:c>
      <x:c r="H976" t="str">
        <x:f>INDEX(Run_Metrics!$I:$I,D976)</x:f>
      </x:c>
      <x:c r="I976" t="n">
        <x:f>IF(F976="","",F976-(E976-1))</x:f>
        <x:v>5</x:v>
      </x:c>
      <x:c r="J976" t="n">
        <x:f>IF(I976&gt;0,1,0)</x:f>
        <x:v>1</x:v>
      </x:c>
      <x:c r="K976" t="n">
        <x:f>IF(OR(J976=0,G976="",G976=0),"",I976/G976)</x:f>
        <x:v>2.7472527472527473</x:v>
      </x:c>
      <x:c r="L976" t="n">
        <x:f>IF(OR(J976=0,I976=0,G976=""),"",G976/I976)</x:f>
        <x:v>0.364</x:v>
      </x:c>
      <x:c r="M976" t="str">
        <x:f>IF(OR(J976=0,G976="",H976="",G976=0,H976=0),"",I976/(G976*H976))</x:f>
      </x:c>
      <x:c r="N976" t="n">
        <x:f>IF(K976="","",K976/_xlfn.MAXIFS($K:$K,$E:$E,E976))</x:f>
        <x:v>0.5357142857142858</x:v>
      </x:c>
      <x:c r="O976" t="str">
        <x:f>IF(M976="","",M976/_xlfn.MAXIFS($M:$M,$E:$E,E976))</x:f>
      </x:c>
      <x:c r="P976" t="str">
        <x:f>IF(OR(N976="",O976=""),"",SQRT(N976*O976))</x:f>
      </x:c>
      <x:c r="Q976" t="str">
        <x:f>IF(OR(N976="",O976=""),"",N976^0.7*O976^0.3)</x:f>
      </x:c>
      <x:c r="R976" t="str">
        <x:f>IF(OR(N976="",O976=""),"",N976^0.3*O976^0.7)</x:f>
      </x:c>
    </x:row>
    <x:row r="977" s="14" customFormat="1">
      <x:c r="A977" t="inlineStr">
        <x:is>
          <x:t xml:space="preserve">anthropic|claude-opus-5.5|high|reasoning|fallback-true|aa-v4.3.2|snapshot-2026-10-16</x:t>
        </x:is>
      </x:c>
      <x:c r="B977" t="inlineStr">
        <x:is>
          <x:t xml:space="preserve">anthropic|claude-opus-5.5|high|reasoning|fallback-true</x:t>
        </x:is>
      </x:c>
      <x:c r="C977" t="inlineStr">
        <x:is>
          <x:t xml:space="preserve">AA|v4.3.2</x:t>
        </x:is>
      </x:c>
      <x:c r="D977" t="n">
        <x:v>123</x:v>
      </x:c>
      <x:c r="E977" t="n">
        <x:v>60</x:v>
      </x:c>
      <x:c r="F977" t="n">
        <x:f>INDEX(Run_Metrics!$F:$F,D977)</x:f>
        <x:v>54</x:v>
      </x:c>
      <x:c r="G977" t="n">
        <x:f>INDEX(Run_Metrics!$G:$G,D977)</x:f>
        <x:v>1.82</x:v>
      </x:c>
      <x:c r="H977" t="str">
        <x:f>INDEX(Run_Metrics!$I:$I,D977)</x:f>
      </x:c>
      <x:c r="I977" t="n">
        <x:f>IF(F977="","",F977-(E977-1))</x:f>
        <x:v>-5</x:v>
      </x:c>
      <x:c r="J977" t="n">
        <x:f>IF(I977&gt;0,1,0)</x:f>
        <x:v>0</x:v>
      </x:c>
      <x:c r="K977" t="str">
        <x:f>IF(OR(J977=0,G977="",G977=0),"",I977/G977)</x:f>
      </x:c>
      <x:c r="L977" t="str">
        <x:f>IF(OR(J977=0,I977=0,G977=""),"",G977/I977)</x:f>
      </x:c>
      <x:c r="M977" t="str">
        <x:f>IF(OR(J977=0,G977="",H977="",G977=0,H977=0),"",I977/(G977*H977))</x:f>
      </x:c>
      <x:c r="N977" t="str">
        <x:f>IF(K977="","",K977/_xlfn.MAXIFS($K:$K,$E:$E,E977))</x:f>
      </x:c>
      <x:c r="O977" t="str">
        <x:f>IF(M977="","",M977/_xlfn.MAXIFS($M:$M,$E:$E,E977))</x:f>
      </x:c>
      <x:c r="P977" t="str">
        <x:f>IF(OR(N977="",O977=""),"",SQRT(N977*O977))</x:f>
      </x:c>
      <x:c r="Q977" t="str">
        <x:f>IF(OR(N977="",O977=""),"",N977^0.7*O977^0.3)</x:f>
      </x:c>
      <x:c r="R977" t="str">
        <x:f>IF(OR(N977="",O977=""),"",N977^0.3*O977^0.7)</x:f>
      </x:c>
    </x:row>
    <x:row r="978" s="14" customFormat="1">
      <x:c r="A978" t="inlineStr">
        <x:is>
          <x:t xml:space="preserve">anthropic|claude-opus-5.5|medium|reasoning|fallback-true|aa-v4.3.2|snapshot-2026-10-16</x:t>
        </x:is>
      </x:c>
      <x:c r="B978" t="inlineStr">
        <x:is>
          <x:t xml:space="preserve">anthropic|claude-opus-5.5|medium|reasoning|fallback-true</x:t>
        </x:is>
      </x:c>
      <x:c r="C978" t="inlineStr">
        <x:is>
          <x:t xml:space="preserve">AA|v4.3.2</x:t>
        </x:is>
      </x:c>
      <x:c r="D978" t="n">
        <x:v>124</x:v>
      </x:c>
      <x:c r="E978" t="n">
        <x:v>10</x:v>
      </x:c>
      <x:c r="F978" t="n">
        <x:f>INDEX(Run_Metrics!$F:$F,D978)</x:f>
        <x:v>51</x:v>
      </x:c>
      <x:c r="G978" t="n">
        <x:f>INDEX(Run_Metrics!$G:$G,D978)</x:f>
        <x:v>1.34</x:v>
      </x:c>
      <x:c r="H978" t="str">
        <x:f>INDEX(Run_Metrics!$I:$I,D978)</x:f>
      </x:c>
      <x:c r="I978" t="n">
        <x:f>IF(F978="","",F978-(E978-1))</x:f>
        <x:v>42</x:v>
      </x:c>
      <x:c r="J978" t="n">
        <x:f>IF(I978&gt;0,1,0)</x:f>
        <x:v>1</x:v>
      </x:c>
      <x:c r="K978" t="n">
        <x:f>IF(OR(J978=0,G978="",G978=0),"",I978/G978)</x:f>
        <x:v>31.34328358208955</x:v>
      </x:c>
      <x:c r="L978" t="n">
        <x:f>IF(OR(J978=0,I978=0,G978=""),"",G978/I978)</x:f>
        <x:v>0.03190476190476191</x:v>
      </x:c>
      <x:c r="M978" t="str">
        <x:f>IF(OR(J978=0,G978="",H978="",G978=0,H978=0),"",I978/(G978*H978))</x:f>
      </x:c>
      <x:c r="N978" t="n">
        <x:f>IF(K978="","",K978/_xlfn.MAXIFS($K:$K,$E:$E,E978))</x:f>
        <x:v>0.010849598163030997</x:v>
      </x:c>
      <x:c r="O978" t="str">
        <x:f>IF(M978="","",M978/_xlfn.MAXIFS($M:$M,$E:$E,E978))</x:f>
      </x:c>
      <x:c r="P978" t="str">
        <x:f>IF(OR(N978="",O978=""),"",SQRT(N978*O978))</x:f>
      </x:c>
      <x:c r="Q978" t="str">
        <x:f>IF(OR(N978="",O978=""),"",N978^0.7*O978^0.3)</x:f>
      </x:c>
      <x:c r="R978" t="str">
        <x:f>IF(OR(N978="",O978=""),"",N978^0.3*O978^0.7)</x:f>
      </x:c>
    </x:row>
    <x:row r="979" s="14" customFormat="1">
      <x:c r="A979" t="inlineStr">
        <x:is>
          <x:t xml:space="preserve">anthropic|claude-opus-5.5|medium|reasoning|fallback-true|aa-v4.3.2|snapshot-2026-10-16</x:t>
        </x:is>
      </x:c>
      <x:c r="B979" t="inlineStr">
        <x:is>
          <x:t xml:space="preserve">anthropic|claude-opus-5.5|medium|reasoning|fallback-true</x:t>
        </x:is>
      </x:c>
      <x:c r="C979" t="inlineStr">
        <x:is>
          <x:t xml:space="preserve">AA|v4.3.2</x:t>
        </x:is>
      </x:c>
      <x:c r="D979" t="n">
        <x:v>124</x:v>
      </x:c>
      <x:c r="E979" t="n">
        <x:v>20</x:v>
      </x:c>
      <x:c r="F979" t="n">
        <x:f>INDEX(Run_Metrics!$F:$F,D979)</x:f>
        <x:v>51</x:v>
      </x:c>
      <x:c r="G979" t="n">
        <x:f>INDEX(Run_Metrics!$G:$G,D979)</x:f>
        <x:v>1.34</x:v>
      </x:c>
      <x:c r="H979" t="str">
        <x:f>INDEX(Run_Metrics!$I:$I,D979)</x:f>
      </x:c>
      <x:c r="I979" t="n">
        <x:f>IF(F979="","",F979-(E979-1))</x:f>
        <x:v>32</x:v>
      </x:c>
      <x:c r="J979" t="n">
        <x:f>IF(I979&gt;0,1,0)</x:f>
        <x:v>1</x:v>
      </x:c>
      <x:c r="K979" t="n">
        <x:f>IF(OR(J979=0,G979="",G979=0),"",I979/G979)</x:f>
        <x:v>23.88059701492537</x:v>
      </x:c>
      <x:c r="L979" t="n">
        <x:f>IF(OR(J979=0,I979=0,G979=""),"",G979/I979)</x:f>
        <x:v>0.041875</x:v>
      </x:c>
      <x:c r="M979" t="str">
        <x:f>IF(OR(J979=0,G979="",H979="",G979=0,H979=0),"",I979/(G979*H979))</x:f>
      </x:c>
      <x:c r="N979" t="n">
        <x:f>IF(K979="","",K979/_xlfn.MAXIFS($K:$K,$E:$E,E979))</x:f>
        <x:v>0.035820895522388055</x:v>
      </x:c>
      <x:c r="O979" t="str">
        <x:f>IF(M979="","",M979/_xlfn.MAXIFS($M:$M,$E:$E,E979))</x:f>
      </x:c>
      <x:c r="P979" t="str">
        <x:f>IF(OR(N979="",O979=""),"",SQRT(N979*O979))</x:f>
      </x:c>
      <x:c r="Q979" t="str">
        <x:f>IF(OR(N979="",O979=""),"",N979^0.7*O979^0.3)</x:f>
      </x:c>
      <x:c r="R979" t="str">
        <x:f>IF(OR(N979="",O979=""),"",N979^0.3*O979^0.7)</x:f>
      </x:c>
    </x:row>
    <x:row r="980" s="14" customFormat="1">
      <x:c r="A980" t="inlineStr">
        <x:is>
          <x:t xml:space="preserve">anthropic|claude-opus-5.5|medium|reasoning|fallback-true|aa-v4.3.2|snapshot-2026-10-16</x:t>
        </x:is>
      </x:c>
      <x:c r="B980" t="inlineStr">
        <x:is>
          <x:t xml:space="preserve">anthropic|claude-opus-5.5|medium|reasoning|fallback-true</x:t>
        </x:is>
      </x:c>
      <x:c r="C980" t="inlineStr">
        <x:is>
          <x:t xml:space="preserve">AA|v4.3.2</x:t>
        </x:is>
      </x:c>
      <x:c r="D980" t="n">
        <x:v>124</x:v>
      </x:c>
      <x:c r="E980" t="n">
        <x:v>30</x:v>
      </x:c>
      <x:c r="F980" t="n">
        <x:f>INDEX(Run_Metrics!$F:$F,D980)</x:f>
        <x:v>51</x:v>
      </x:c>
      <x:c r="G980" t="n">
        <x:f>INDEX(Run_Metrics!$G:$G,D980)</x:f>
        <x:v>1.34</x:v>
      </x:c>
      <x:c r="H980" t="str">
        <x:f>INDEX(Run_Metrics!$I:$I,D980)</x:f>
      </x:c>
      <x:c r="I980" t="n">
        <x:f>IF(F980="","",F980-(E980-1))</x:f>
        <x:v>22</x:v>
      </x:c>
      <x:c r="J980" t="n">
        <x:f>IF(I980&gt;0,1,0)</x:f>
        <x:v>1</x:v>
      </x:c>
      <x:c r="K980" t="n">
        <x:f>IF(OR(J980=0,G980="",G980=0),"",I980/G980)</x:f>
        <x:v>16.417910447761194</x:v>
      </x:c>
      <x:c r="L980" t="n">
        <x:f>IF(OR(J980=0,I980=0,G980=""),"",G980/I980)</x:f>
        <x:v>0.06090909090909091</x:v>
      </x:c>
      <x:c r="M980" t="str">
        <x:f>IF(OR(J980=0,G980="",H980="",G980=0,H980=0),"",I980/(G980*H980))</x:f>
      </x:c>
      <x:c r="N980" t="n">
        <x:f>IF(K980="","",K980/_xlfn.MAXIFS($K:$K,$E:$E,E980))</x:f>
        <x:v>0.10945273631840796</x:v>
      </x:c>
      <x:c r="O980" t="str">
        <x:f>IF(M980="","",M980/_xlfn.MAXIFS($M:$M,$E:$E,E980))</x:f>
      </x:c>
      <x:c r="P980" t="str">
        <x:f>IF(OR(N980="",O980=""),"",SQRT(N980*O980))</x:f>
      </x:c>
      <x:c r="Q980" t="str">
        <x:f>IF(OR(N980="",O980=""),"",N980^0.7*O980^0.3)</x:f>
      </x:c>
      <x:c r="R980" t="str">
        <x:f>IF(OR(N980="",O980=""),"",N980^0.3*O980^0.7)</x:f>
      </x:c>
    </x:row>
    <x:row r="981" s="14" customFormat="1">
      <x:c r="A981" t="inlineStr">
        <x:is>
          <x:t xml:space="preserve">anthropic|claude-opus-5.5|medium|reasoning|fallback-true|aa-v4.3.2|snapshot-2026-10-16</x:t>
        </x:is>
      </x:c>
      <x:c r="B981" t="inlineStr">
        <x:is>
          <x:t xml:space="preserve">anthropic|claude-opus-5.5|medium|reasoning|fallback-true</x:t>
        </x:is>
      </x:c>
      <x:c r="C981" t="inlineStr">
        <x:is>
          <x:t xml:space="preserve">AA|v4.3.2</x:t>
        </x:is>
      </x:c>
      <x:c r="D981" t="n">
        <x:v>124</x:v>
      </x:c>
      <x:c r="E981" t="n">
        <x:v>35</x:v>
      </x:c>
      <x:c r="F981" t="n">
        <x:f>INDEX(Run_Metrics!$F:$F,D981)</x:f>
        <x:v>51</x:v>
      </x:c>
      <x:c r="G981" t="n">
        <x:f>INDEX(Run_Metrics!$G:$G,D981)</x:f>
        <x:v>1.34</x:v>
      </x:c>
      <x:c r="H981" t="str">
        <x:f>INDEX(Run_Metrics!$I:$I,D981)</x:f>
      </x:c>
      <x:c r="I981" t="n">
        <x:f>IF(F981="","",F981-(E981-1))</x:f>
        <x:v>17</x:v>
      </x:c>
      <x:c r="J981" t="n">
        <x:f>IF(I981&gt;0,1,0)</x:f>
        <x:v>1</x:v>
      </x:c>
      <x:c r="K981" t="n">
        <x:f>IF(OR(J981=0,G981="",G981=0),"",I981/G981)</x:f>
        <x:v>12.686567164179104</x:v>
      </x:c>
      <x:c r="L981" t="n">
        <x:f>IF(OR(J981=0,I981=0,G981=""),"",G981/I981)</x:f>
        <x:v>0.07882352941176471</x:v>
      </x:c>
      <x:c r="M981" t="str">
        <x:f>IF(OR(J981=0,G981="",H981="",G981=0,H981=0),"",I981/(G981*H981))</x:f>
      </x:c>
      <x:c r="N981" t="n">
        <x:f>IF(K981="","",K981/_xlfn.MAXIFS($K:$K,$E:$E,E981))</x:f>
        <x:v>0.13743781094527363</x:v>
      </x:c>
      <x:c r="O981" t="str">
        <x:f>IF(M981="","",M981/_xlfn.MAXIFS($M:$M,$E:$E,E981))</x:f>
      </x:c>
      <x:c r="P981" t="str">
        <x:f>IF(OR(N981="",O981=""),"",SQRT(N981*O981))</x:f>
      </x:c>
      <x:c r="Q981" t="str">
        <x:f>IF(OR(N981="",O981=""),"",N981^0.7*O981^0.3)</x:f>
      </x:c>
      <x:c r="R981" t="str">
        <x:f>IF(OR(N981="",O981=""),"",N981^0.3*O981^0.7)</x:f>
      </x:c>
    </x:row>
    <x:row r="982" s="14" customFormat="1">
      <x:c r="A982" t="inlineStr">
        <x:is>
          <x:t xml:space="preserve">anthropic|claude-opus-5.5|medium|reasoning|fallback-true|aa-v4.3.2|snapshot-2026-10-16</x:t>
        </x:is>
      </x:c>
      <x:c r="B982" t="inlineStr">
        <x:is>
          <x:t xml:space="preserve">anthropic|claude-opus-5.5|medium|reasoning|fallback-true</x:t>
        </x:is>
      </x:c>
      <x:c r="C982" t="inlineStr">
        <x:is>
          <x:t xml:space="preserve">AA|v4.3.2</x:t>
        </x:is>
      </x:c>
      <x:c r="D982" t="n">
        <x:v>124</x:v>
      </x:c>
      <x:c r="E982" t="n">
        <x:v>40</x:v>
      </x:c>
      <x:c r="F982" t="n">
        <x:f>INDEX(Run_Metrics!$F:$F,D982)</x:f>
        <x:v>51</x:v>
      </x:c>
      <x:c r="G982" t="n">
        <x:f>INDEX(Run_Metrics!$G:$G,D982)</x:f>
        <x:v>1.34</x:v>
      </x:c>
      <x:c r="H982" t="str">
        <x:f>INDEX(Run_Metrics!$I:$I,D982)</x:f>
      </x:c>
      <x:c r="I982" t="n">
        <x:f>IF(F982="","",F982-(E982-1))</x:f>
        <x:v>12</x:v>
      </x:c>
      <x:c r="J982" t="n">
        <x:f>IF(I982&gt;0,1,0)</x:f>
        <x:v>1</x:v>
      </x:c>
      <x:c r="K982" t="n">
        <x:f>IF(OR(J982=0,G982="",G982=0),"",I982/G982)</x:f>
        <x:v>8.955223880597014</x:v>
      </x:c>
      <x:c r="L982" t="n">
        <x:f>IF(OR(J982=0,I982=0,G982=""),"",G982/I982)</x:f>
        <x:v>0.11166666666666668</x:v>
      </x:c>
      <x:c r="M982" t="str">
        <x:f>IF(OR(J982=0,G982="",H982="",G982=0,H982=0),"",I982/(G982*H982))</x:f>
      </x:c>
      <x:c r="N982" t="n">
        <x:f>IF(K982="","",K982/_xlfn.MAXIFS($K:$K,$E:$E,E982))</x:f>
        <x:v>0.16631130063965882</x:v>
      </x:c>
      <x:c r="O982" t="str">
        <x:f>IF(M982="","",M982/_xlfn.MAXIFS($M:$M,$E:$E,E982))</x:f>
      </x:c>
      <x:c r="P982" t="str">
        <x:f>IF(OR(N982="",O982=""),"",SQRT(N982*O982))</x:f>
      </x:c>
      <x:c r="Q982" t="str">
        <x:f>IF(OR(N982="",O982=""),"",N982^0.7*O982^0.3)</x:f>
      </x:c>
      <x:c r="R982" t="str">
        <x:f>IF(OR(N982="",O982=""),"",N982^0.3*O982^0.7)</x:f>
      </x:c>
    </x:row>
    <x:row r="983" s="14" customFormat="1">
      <x:c r="A983" t="inlineStr">
        <x:is>
          <x:t xml:space="preserve">anthropic|claude-opus-5.5|medium|reasoning|fallback-true|aa-v4.3.2|snapshot-2026-10-16</x:t>
        </x:is>
      </x:c>
      <x:c r="B983" t="inlineStr">
        <x:is>
          <x:t xml:space="preserve">anthropic|claude-opus-5.5|medium|reasoning|fallback-true</x:t>
        </x:is>
      </x:c>
      <x:c r="C983" t="inlineStr">
        <x:is>
          <x:t xml:space="preserve">AA|v4.3.2</x:t>
        </x:is>
      </x:c>
      <x:c r="D983" t="n">
        <x:v>124</x:v>
      </x:c>
      <x:c r="E983" t="n">
        <x:v>45</x:v>
      </x:c>
      <x:c r="F983" t="n">
        <x:f>INDEX(Run_Metrics!$F:$F,D983)</x:f>
        <x:v>51</x:v>
      </x:c>
      <x:c r="G983" t="n">
        <x:f>INDEX(Run_Metrics!$G:$G,D983)</x:f>
        <x:v>1.34</x:v>
      </x:c>
      <x:c r="H983" t="str">
        <x:f>INDEX(Run_Metrics!$I:$I,D983)</x:f>
      </x:c>
      <x:c r="I983" t="n">
        <x:f>IF(F983="","",F983-(E983-1))</x:f>
        <x:v>7</x:v>
      </x:c>
      <x:c r="J983" t="n">
        <x:f>IF(I983&gt;0,1,0)</x:f>
        <x:v>1</x:v>
      </x:c>
      <x:c r="K983" t="n">
        <x:f>IF(OR(J983=0,G983="",G983=0),"",I983/G983)</x:f>
        <x:v>5.223880597014925</x:v>
      </x:c>
      <x:c r="L983" t="n">
        <x:f>IF(OR(J983=0,I983=0,G983=""),"",G983/I983)</x:f>
        <x:v>0.19142857142857145</x:v>
      </x:c>
      <x:c r="M983" t="str">
        <x:f>IF(OR(J983=0,G983="",H983="",G983=0,H983=0),"",I983/(G983*H983))</x:f>
      </x:c>
      <x:c r="N983" t="n">
        <x:f>IF(K983="","",K983/_xlfn.MAXIFS($K:$K,$E:$E,E983))</x:f>
        <x:v>0.27425373134328357</x:v>
      </x:c>
      <x:c r="O983" t="str">
        <x:f>IF(M983="","",M983/_xlfn.MAXIFS($M:$M,$E:$E,E983))</x:f>
      </x:c>
      <x:c r="P983" t="str">
        <x:f>IF(OR(N983="",O983=""),"",SQRT(N983*O983))</x:f>
      </x:c>
      <x:c r="Q983" t="str">
        <x:f>IF(OR(N983="",O983=""),"",N983^0.7*O983^0.3)</x:f>
      </x:c>
      <x:c r="R983" t="str">
        <x:f>IF(OR(N983="",O983=""),"",N983^0.3*O983^0.7)</x:f>
      </x:c>
    </x:row>
    <x:row r="984" s="14" customFormat="1">
      <x:c r="A984" t="inlineStr">
        <x:is>
          <x:t xml:space="preserve">anthropic|claude-opus-5.5|medium|reasoning|fallback-true|aa-v4.3.2|snapshot-2026-10-16</x:t>
        </x:is>
      </x:c>
      <x:c r="B984" t="inlineStr">
        <x:is>
          <x:t xml:space="preserve">anthropic|claude-opus-5.5|medium|reasoning|fallback-true</x:t>
        </x:is>
      </x:c>
      <x:c r="C984" t="inlineStr">
        <x:is>
          <x:t xml:space="preserve">AA|v4.3.2</x:t>
        </x:is>
      </x:c>
      <x:c r="D984" t="n">
        <x:v>124</x:v>
      </x:c>
      <x:c r="E984" t="n">
        <x:v>50</x:v>
      </x:c>
      <x:c r="F984" t="n">
        <x:f>INDEX(Run_Metrics!$F:$F,D984)</x:f>
        <x:v>51</x:v>
      </x:c>
      <x:c r="G984" t="n">
        <x:f>INDEX(Run_Metrics!$G:$G,D984)</x:f>
        <x:v>1.34</x:v>
      </x:c>
      <x:c r="H984" t="str">
        <x:f>INDEX(Run_Metrics!$I:$I,D984)</x:f>
      </x:c>
      <x:c r="I984" t="n">
        <x:f>IF(F984="","",F984-(E984-1))</x:f>
        <x:v>2</x:v>
      </x:c>
      <x:c r="J984" t="n">
        <x:f>IF(I984&gt;0,1,0)</x:f>
        <x:v>1</x:v>
      </x:c>
      <x:c r="K984" t="n">
        <x:f>IF(OR(J984=0,G984="",G984=0),"",I984/G984)</x:f>
        <x:v>1.4925373134328357</x:v>
      </x:c>
      <x:c r="L984" t="n">
        <x:f>IF(OR(J984=0,I984=0,G984=""),"",G984/I984)</x:f>
        <x:v>0.67</x:v>
      </x:c>
      <x:c r="M984" t="str">
        <x:f>IF(OR(J984=0,G984="",H984="",G984=0,H984=0),"",I984/(G984*H984))</x:f>
      </x:c>
      <x:c r="N984" t="n">
        <x:f>IF(K984="","",K984/_xlfn.MAXIFS($K:$K,$E:$E,E984))</x:f>
        <x:v>0.291044776119403</x:v>
      </x:c>
      <x:c r="O984" t="str">
        <x:f>IF(M984="","",M984/_xlfn.MAXIFS($M:$M,$E:$E,E984))</x:f>
      </x:c>
      <x:c r="P984" t="str">
        <x:f>IF(OR(N984="",O984=""),"",SQRT(N984*O984))</x:f>
      </x:c>
      <x:c r="Q984" t="str">
        <x:f>IF(OR(N984="",O984=""),"",N984^0.7*O984^0.3)</x:f>
      </x:c>
      <x:c r="R984" t="str">
        <x:f>IF(OR(N984="",O984=""),"",N984^0.3*O984^0.7)</x:f>
      </x:c>
    </x:row>
    <x:row r="985" s="14" customFormat="1">
      <x:c r="A985" t="inlineStr">
        <x:is>
          <x:t xml:space="preserve">anthropic|claude-opus-5.5|medium|reasoning|fallback-true|aa-v4.3.2|snapshot-2026-10-16</x:t>
        </x:is>
      </x:c>
      <x:c r="B985" t="inlineStr">
        <x:is>
          <x:t xml:space="preserve">anthropic|claude-opus-5.5|medium|reasoning|fallback-true</x:t>
        </x:is>
      </x:c>
      <x:c r="C985" t="inlineStr">
        <x:is>
          <x:t xml:space="preserve">AA|v4.3.2</x:t>
        </x:is>
      </x:c>
      <x:c r="D985" t="n">
        <x:v>124</x:v>
      </x:c>
      <x:c r="E985" t="n">
        <x:v>60</x:v>
      </x:c>
      <x:c r="F985" t="n">
        <x:f>INDEX(Run_Metrics!$F:$F,D985)</x:f>
        <x:v>51</x:v>
      </x:c>
      <x:c r="G985" t="n">
        <x:f>INDEX(Run_Metrics!$G:$G,D985)</x:f>
        <x:v>1.34</x:v>
      </x:c>
      <x:c r="H985" t="str">
        <x:f>INDEX(Run_Metrics!$I:$I,D985)</x:f>
      </x:c>
      <x:c r="I985" t="n">
        <x:f>IF(F985="","",F985-(E985-1))</x:f>
        <x:v>-8</x:v>
      </x:c>
      <x:c r="J985" t="n">
        <x:f>IF(I985&gt;0,1,0)</x:f>
        <x:v>0</x:v>
      </x:c>
      <x:c r="K985" t="str">
        <x:f>IF(OR(J985=0,G985="",G985=0),"",I985/G985)</x:f>
      </x:c>
      <x:c r="L985" t="str">
        <x:f>IF(OR(J985=0,I985=0,G985=""),"",G985/I985)</x:f>
      </x:c>
      <x:c r="M985" t="str">
        <x:f>IF(OR(J985=0,G985="",H985="",G985=0,H985=0),"",I985/(G985*H985))</x:f>
      </x:c>
      <x:c r="N985" t="str">
        <x:f>IF(K985="","",K985/_xlfn.MAXIFS($K:$K,$E:$E,E985))</x:f>
      </x:c>
      <x:c r="O985" t="str">
        <x:f>IF(M985="","",M985/_xlfn.MAXIFS($M:$M,$E:$E,E985))</x:f>
      </x:c>
      <x:c r="P985" t="str">
        <x:f>IF(OR(N985="",O985=""),"",SQRT(N985*O985))</x:f>
      </x:c>
      <x:c r="Q985" t="str">
        <x:f>IF(OR(N985="",O985=""),"",N985^0.7*O985^0.3)</x:f>
      </x:c>
      <x:c r="R985" t="str">
        <x:f>IF(OR(N985="",O985=""),"",N985^0.3*O985^0.7)</x:f>
      </x:c>
    </x:row>
    <x:row r="986" s="14" customFormat="1">
      <x:c r="A986" t="inlineStr">
        <x:is>
          <x:t xml:space="preserve">anthropic|claude-opus-5.5|low|reasoning|fallback-true|aa-v4.3.2|snapshot-2026-10-16</x:t>
        </x:is>
      </x:c>
      <x:c r="B986" t="inlineStr">
        <x:is>
          <x:t xml:space="preserve">anthropic|claude-opus-5.5|low|reasoning|fallback-true</x:t>
        </x:is>
      </x:c>
      <x:c r="C986" t="inlineStr">
        <x:is>
          <x:t xml:space="preserve">AA|v4.3.2</x:t>
        </x:is>
      </x:c>
      <x:c r="D986" t="n">
        <x:v>125</x:v>
      </x:c>
      <x:c r="E986" t="n">
        <x:v>10</x:v>
      </x:c>
      <x:c r="F986" t="n">
        <x:f>INDEX(Run_Metrics!$F:$F,D986)</x:f>
        <x:v>42</x:v>
      </x:c>
      <x:c r="G986" t="n">
        <x:f>INDEX(Run_Metrics!$G:$G,D986)</x:f>
        <x:v>0.55</x:v>
      </x:c>
      <x:c r="H986" t="str">
        <x:f>INDEX(Run_Metrics!$I:$I,D986)</x:f>
      </x:c>
      <x:c r="I986" t="n">
        <x:f>IF(F986="","",F986-(E986-1))</x:f>
        <x:v>33</x:v>
      </x:c>
      <x:c r="J986" t="n">
        <x:f>IF(I986&gt;0,1,0)</x:f>
        <x:v>1</x:v>
      </x:c>
      <x:c r="K986" t="n">
        <x:f>IF(OR(J986=0,G986="",G986=0),"",I986/G986)</x:f>
        <x:v>59.99999999999999</x:v>
      </x:c>
      <x:c r="L986" t="n">
        <x:f>IF(OR(J986=0,I986=0,G986=""),"",G986/I986)</x:f>
        <x:v>0.016666666666666666</x:v>
      </x:c>
      <x:c r="M986" t="str">
        <x:f>IF(OR(J986=0,G986="",H986="",G986=0,H986=0),"",I986/(G986*H986))</x:f>
      </x:c>
      <x:c r="N986" t="n">
        <x:f>IF(K986="","",K986/_xlfn.MAXIFS($K:$K,$E:$E,E986))</x:f>
        <x:v>0.020769230769230766</x:v>
      </x:c>
      <x:c r="O986" t="str">
        <x:f>IF(M986="","",M986/_xlfn.MAXIFS($M:$M,$E:$E,E986))</x:f>
      </x:c>
      <x:c r="P986" t="str">
        <x:f>IF(OR(N986="",O986=""),"",SQRT(N986*O986))</x:f>
      </x:c>
      <x:c r="Q986" t="str">
        <x:f>IF(OR(N986="",O986=""),"",N986^0.7*O986^0.3)</x:f>
      </x:c>
      <x:c r="R986" t="str">
        <x:f>IF(OR(N986="",O986=""),"",N986^0.3*O986^0.7)</x:f>
      </x:c>
    </x:row>
    <x:row r="987" s="14" customFormat="1">
      <x:c r="A987" t="inlineStr">
        <x:is>
          <x:t xml:space="preserve">anthropic|claude-opus-5.5|low|reasoning|fallback-true|aa-v4.3.2|snapshot-2026-10-16</x:t>
        </x:is>
      </x:c>
      <x:c r="B987" t="inlineStr">
        <x:is>
          <x:t xml:space="preserve">anthropic|claude-opus-5.5|low|reasoning|fallback-true</x:t>
        </x:is>
      </x:c>
      <x:c r="C987" t="inlineStr">
        <x:is>
          <x:t xml:space="preserve">AA|v4.3.2</x:t>
        </x:is>
      </x:c>
      <x:c r="D987" t="n">
        <x:v>125</x:v>
      </x:c>
      <x:c r="E987" t="n">
        <x:v>20</x:v>
      </x:c>
      <x:c r="F987" t="n">
        <x:f>INDEX(Run_Metrics!$F:$F,D987)</x:f>
        <x:v>42</x:v>
      </x:c>
      <x:c r="G987" t="n">
        <x:f>INDEX(Run_Metrics!$G:$G,D987)</x:f>
        <x:v>0.55</x:v>
      </x:c>
      <x:c r="H987" t="str">
        <x:f>INDEX(Run_Metrics!$I:$I,D987)</x:f>
      </x:c>
      <x:c r="I987" t="n">
        <x:f>IF(F987="","",F987-(E987-1))</x:f>
        <x:v>23</x:v>
      </x:c>
      <x:c r="J987" t="n">
        <x:f>IF(I987&gt;0,1,0)</x:f>
        <x:v>1</x:v>
      </x:c>
      <x:c r="K987" t="n">
        <x:f>IF(OR(J987=0,G987="",G987=0),"",I987/G987)</x:f>
        <x:v>41.81818181818181</x:v>
      </x:c>
      <x:c r="L987" t="n">
        <x:f>IF(OR(J987=0,I987=0,G987=""),"",G987/I987)</x:f>
        <x:v>0.02391304347826087</x:v>
      </x:c>
      <x:c r="M987" t="str">
        <x:f>IF(OR(J987=0,G987="",H987="",G987=0,H987=0),"",I987/(G987*H987))</x:f>
      </x:c>
      <x:c r="N987" t="n">
        <x:f>IF(K987="","",K987/_xlfn.MAXIFS($K:$K,$E:$E,E987))</x:f>
        <x:v>0.06272727272727271</x:v>
      </x:c>
      <x:c r="O987" t="str">
        <x:f>IF(M987="","",M987/_xlfn.MAXIFS($M:$M,$E:$E,E987))</x:f>
      </x:c>
      <x:c r="P987" t="str">
        <x:f>IF(OR(N987="",O987=""),"",SQRT(N987*O987))</x:f>
      </x:c>
      <x:c r="Q987" t="str">
        <x:f>IF(OR(N987="",O987=""),"",N987^0.7*O987^0.3)</x:f>
      </x:c>
      <x:c r="R987" t="str">
        <x:f>IF(OR(N987="",O987=""),"",N987^0.3*O987^0.7)</x:f>
      </x:c>
    </x:row>
    <x:row r="988" s="14" customFormat="1">
      <x:c r="A988" t="inlineStr">
        <x:is>
          <x:t xml:space="preserve">anthropic|claude-opus-5.5|low|reasoning|fallback-true|aa-v4.3.2|snapshot-2026-10-16</x:t>
        </x:is>
      </x:c>
      <x:c r="B988" t="inlineStr">
        <x:is>
          <x:t xml:space="preserve">anthropic|claude-opus-5.5|low|reasoning|fallback-true</x:t>
        </x:is>
      </x:c>
      <x:c r="C988" t="inlineStr">
        <x:is>
          <x:t xml:space="preserve">AA|v4.3.2</x:t>
        </x:is>
      </x:c>
      <x:c r="D988" t="n">
        <x:v>125</x:v>
      </x:c>
      <x:c r="E988" t="n">
        <x:v>30</x:v>
      </x:c>
      <x:c r="F988" t="n">
        <x:f>INDEX(Run_Metrics!$F:$F,D988)</x:f>
        <x:v>42</x:v>
      </x:c>
      <x:c r="G988" t="n">
        <x:f>INDEX(Run_Metrics!$G:$G,D988)</x:f>
        <x:v>0.55</x:v>
      </x:c>
      <x:c r="H988" t="str">
        <x:f>INDEX(Run_Metrics!$I:$I,D988)</x:f>
      </x:c>
      <x:c r="I988" t="n">
        <x:f>IF(F988="","",F988-(E988-1))</x:f>
        <x:v>13</x:v>
      </x:c>
      <x:c r="J988" t="n">
        <x:f>IF(I988&gt;0,1,0)</x:f>
        <x:v>1</x:v>
      </x:c>
      <x:c r="K988" t="n">
        <x:f>IF(OR(J988=0,G988="",G988=0),"",I988/G988)</x:f>
        <x:v>23.636363636363633</x:v>
      </x:c>
      <x:c r="L988" t="n">
        <x:f>IF(OR(J988=0,I988=0,G988=""),"",G988/I988)</x:f>
        <x:v>0.04230769230769231</x:v>
      </x:c>
      <x:c r="M988" t="str">
        <x:f>IF(OR(J988=0,G988="",H988="",G988=0,H988=0),"",I988/(G988*H988))</x:f>
      </x:c>
      <x:c r="N988" t="n">
        <x:f>IF(K988="","",K988/_xlfn.MAXIFS($K:$K,$E:$E,E988))</x:f>
        <x:v>0.15757575757575756</x:v>
      </x:c>
      <x:c r="O988" t="str">
        <x:f>IF(M988="","",M988/_xlfn.MAXIFS($M:$M,$E:$E,E988))</x:f>
      </x:c>
      <x:c r="P988" t="str">
        <x:f>IF(OR(N988="",O988=""),"",SQRT(N988*O988))</x:f>
      </x:c>
      <x:c r="Q988" t="str">
        <x:f>IF(OR(N988="",O988=""),"",N988^0.7*O988^0.3)</x:f>
      </x:c>
      <x:c r="R988" t="str">
        <x:f>IF(OR(N988="",O988=""),"",N988^0.3*O988^0.7)</x:f>
      </x:c>
    </x:row>
    <x:row r="989" s="14" customFormat="1">
      <x:c r="A989" t="inlineStr">
        <x:is>
          <x:t xml:space="preserve">anthropic|claude-opus-5.5|low|reasoning|fallback-true|aa-v4.3.2|snapshot-2026-10-16</x:t>
        </x:is>
      </x:c>
      <x:c r="B989" t="inlineStr">
        <x:is>
          <x:t xml:space="preserve">anthropic|claude-opus-5.5|low|reasoning|fallback-true</x:t>
        </x:is>
      </x:c>
      <x:c r="C989" t="inlineStr">
        <x:is>
          <x:t xml:space="preserve">AA|v4.3.2</x:t>
        </x:is>
      </x:c>
      <x:c r="D989" t="n">
        <x:v>125</x:v>
      </x:c>
      <x:c r="E989" t="n">
        <x:v>35</x:v>
      </x:c>
      <x:c r="F989" t="n">
        <x:f>INDEX(Run_Metrics!$F:$F,D989)</x:f>
        <x:v>42</x:v>
      </x:c>
      <x:c r="G989" t="n">
        <x:f>INDEX(Run_Metrics!$G:$G,D989)</x:f>
        <x:v>0.55</x:v>
      </x:c>
      <x:c r="H989" t="str">
        <x:f>INDEX(Run_Metrics!$I:$I,D989)</x:f>
      </x:c>
      <x:c r="I989" t="n">
        <x:f>IF(F989="","",F989-(E989-1))</x:f>
        <x:v>8</x:v>
      </x:c>
      <x:c r="J989" t="n">
        <x:f>IF(I989&gt;0,1,0)</x:f>
        <x:v>1</x:v>
      </x:c>
      <x:c r="K989" t="n">
        <x:f>IF(OR(J989=0,G989="",G989=0),"",I989/G989)</x:f>
        <x:v>14.545454545454545</x:v>
      </x:c>
      <x:c r="L989" t="n">
        <x:f>IF(OR(J989=0,I989=0,G989=""),"",G989/I989)</x:f>
        <x:v>0.06875</x:v>
      </x:c>
      <x:c r="M989" t="str">
        <x:f>IF(OR(J989=0,G989="",H989="",G989=0,H989=0),"",I989/(G989*H989))</x:f>
      </x:c>
      <x:c r="N989" t="n">
        <x:f>IF(K989="","",K989/_xlfn.MAXIFS($K:$K,$E:$E,E989))</x:f>
        <x:v>0.15757575757575756</x:v>
      </x:c>
      <x:c r="O989" t="str">
        <x:f>IF(M989="","",M989/_xlfn.MAXIFS($M:$M,$E:$E,E989))</x:f>
      </x:c>
      <x:c r="P989" t="str">
        <x:f>IF(OR(N989="",O989=""),"",SQRT(N989*O989))</x:f>
      </x:c>
      <x:c r="Q989" t="str">
        <x:f>IF(OR(N989="",O989=""),"",N989^0.7*O989^0.3)</x:f>
      </x:c>
      <x:c r="R989" t="str">
        <x:f>IF(OR(N989="",O989=""),"",N989^0.3*O989^0.7)</x:f>
      </x:c>
    </x:row>
    <x:row r="990" s="14" customFormat="1">
      <x:c r="A990" t="inlineStr">
        <x:is>
          <x:t xml:space="preserve">anthropic|claude-opus-5.5|low|reasoning|fallback-true|aa-v4.3.2|snapshot-2026-10-16</x:t>
        </x:is>
      </x:c>
      <x:c r="B990" t="inlineStr">
        <x:is>
          <x:t xml:space="preserve">anthropic|claude-opus-5.5|low|reasoning|fallback-true</x:t>
        </x:is>
      </x:c>
      <x:c r="C990" t="inlineStr">
        <x:is>
          <x:t xml:space="preserve">AA|v4.3.2</x:t>
        </x:is>
      </x:c>
      <x:c r="D990" t="n">
        <x:v>125</x:v>
      </x:c>
      <x:c r="E990" t="n">
        <x:v>40</x:v>
      </x:c>
      <x:c r="F990" t="n">
        <x:f>INDEX(Run_Metrics!$F:$F,D990)</x:f>
        <x:v>42</x:v>
      </x:c>
      <x:c r="G990" t="n">
        <x:f>INDEX(Run_Metrics!$G:$G,D990)</x:f>
        <x:v>0.55</x:v>
      </x:c>
      <x:c r="H990" t="str">
        <x:f>INDEX(Run_Metrics!$I:$I,D990)</x:f>
      </x:c>
      <x:c r="I990" t="n">
        <x:f>IF(F990="","",F990-(E990-1))</x:f>
        <x:v>3</x:v>
      </x:c>
      <x:c r="J990" t="n">
        <x:f>IF(I990&gt;0,1,0)</x:f>
        <x:v>1</x:v>
      </x:c>
      <x:c r="K990" t="n">
        <x:f>IF(OR(J990=0,G990="",G990=0),"",I990/G990)</x:f>
        <x:v>5.454545454545454</x:v>
      </x:c>
      <x:c r="L990" t="n">
        <x:f>IF(OR(J990=0,I990=0,G990=""),"",G990/I990)</x:f>
        <x:v>0.18333333333333335</x:v>
      </x:c>
      <x:c r="M990" t="str">
        <x:f>IF(OR(J990=0,G990="",H990="",G990=0,H990=0),"",I990/(G990*H990))</x:f>
      </x:c>
      <x:c r="N990" t="n">
        <x:f>IF(K990="","",K990/_xlfn.MAXIFS($K:$K,$E:$E,E990))</x:f>
        <x:v>0.10129870129870129</x:v>
      </x:c>
      <x:c r="O990" t="str">
        <x:f>IF(M990="","",M990/_xlfn.MAXIFS($M:$M,$E:$E,E990))</x:f>
      </x:c>
      <x:c r="P990" t="str">
        <x:f>IF(OR(N990="",O990=""),"",SQRT(N990*O990))</x:f>
      </x:c>
      <x:c r="Q990" t="str">
        <x:f>IF(OR(N990="",O990=""),"",N990^0.7*O990^0.3)</x:f>
      </x:c>
      <x:c r="R990" t="str">
        <x:f>IF(OR(N990="",O990=""),"",N990^0.3*O990^0.7)</x:f>
      </x:c>
    </x:row>
    <x:row r="991" s="14" customFormat="1">
      <x:c r="A991" t="inlineStr">
        <x:is>
          <x:t xml:space="preserve">anthropic|claude-opus-5.5|low|reasoning|fallback-true|aa-v4.3.2|snapshot-2026-10-16</x:t>
        </x:is>
      </x:c>
      <x:c r="B991" t="inlineStr">
        <x:is>
          <x:t xml:space="preserve">anthropic|claude-opus-5.5|low|reasoning|fallback-true</x:t>
        </x:is>
      </x:c>
      <x:c r="C991" t="inlineStr">
        <x:is>
          <x:t xml:space="preserve">AA|v4.3.2</x:t>
        </x:is>
      </x:c>
      <x:c r="D991" t="n">
        <x:v>125</x:v>
      </x:c>
      <x:c r="E991" t="n">
        <x:v>45</x:v>
      </x:c>
      <x:c r="F991" t="n">
        <x:f>INDEX(Run_Metrics!$F:$F,D991)</x:f>
        <x:v>42</x:v>
      </x:c>
      <x:c r="G991" t="n">
        <x:f>INDEX(Run_Metrics!$G:$G,D991)</x:f>
        <x:v>0.55</x:v>
      </x:c>
      <x:c r="H991" t="str">
        <x:f>INDEX(Run_Metrics!$I:$I,D991)</x:f>
      </x:c>
      <x:c r="I991" t="n">
        <x:f>IF(F991="","",F991-(E991-1))</x:f>
        <x:v>-2</x:v>
      </x:c>
      <x:c r="J991" t="n">
        <x:f>IF(I991&gt;0,1,0)</x:f>
        <x:v>0</x:v>
      </x:c>
      <x:c r="K991" t="str">
        <x:f>IF(OR(J991=0,G991="",G991=0),"",I991/G991)</x:f>
      </x:c>
      <x:c r="L991" t="str">
        <x:f>IF(OR(J991=0,I991=0,G991=""),"",G991/I991)</x:f>
      </x:c>
      <x:c r="M991" t="str">
        <x:f>IF(OR(J991=0,G991="",H991="",G991=0,H991=0),"",I991/(G991*H991))</x:f>
      </x:c>
      <x:c r="N991" t="str">
        <x:f>IF(K991="","",K991/_xlfn.MAXIFS($K:$K,$E:$E,E991))</x:f>
      </x:c>
      <x:c r="O991" t="str">
        <x:f>IF(M991="","",M991/_xlfn.MAXIFS($M:$M,$E:$E,E991))</x:f>
      </x:c>
      <x:c r="P991" t="str">
        <x:f>IF(OR(N991="",O991=""),"",SQRT(N991*O991))</x:f>
      </x:c>
      <x:c r="Q991" t="str">
        <x:f>IF(OR(N991="",O991=""),"",N991^0.7*O991^0.3)</x:f>
      </x:c>
      <x:c r="R991" t="str">
        <x:f>IF(OR(N991="",O991=""),"",N991^0.3*O991^0.7)</x:f>
      </x:c>
    </x:row>
    <x:row r="992" s="14" customFormat="1">
      <x:c r="A992" t="inlineStr">
        <x:is>
          <x:t xml:space="preserve">anthropic|claude-opus-5.5|low|reasoning|fallback-true|aa-v4.3.2|snapshot-2026-10-16</x:t>
        </x:is>
      </x:c>
      <x:c r="B992" t="inlineStr">
        <x:is>
          <x:t xml:space="preserve">anthropic|claude-opus-5.5|low|reasoning|fallback-true</x:t>
        </x:is>
      </x:c>
      <x:c r="C992" t="inlineStr">
        <x:is>
          <x:t xml:space="preserve">AA|v4.3.2</x:t>
        </x:is>
      </x:c>
      <x:c r="D992" t="n">
        <x:v>125</x:v>
      </x:c>
      <x:c r="E992" t="n">
        <x:v>50</x:v>
      </x:c>
      <x:c r="F992" t="n">
        <x:f>INDEX(Run_Metrics!$F:$F,D992)</x:f>
        <x:v>42</x:v>
      </x:c>
      <x:c r="G992" t="n">
        <x:f>INDEX(Run_Metrics!$G:$G,D992)</x:f>
        <x:v>0.55</x:v>
      </x:c>
      <x:c r="H992" t="str">
        <x:f>INDEX(Run_Metrics!$I:$I,D992)</x:f>
      </x:c>
      <x:c r="I992" t="n">
        <x:f>IF(F992="","",F992-(E992-1))</x:f>
        <x:v>-7</x:v>
      </x:c>
      <x:c r="J992" t="n">
        <x:f>IF(I992&gt;0,1,0)</x:f>
        <x:v>0</x:v>
      </x:c>
      <x:c r="K992" t="str">
        <x:f>IF(OR(J992=0,G992="",G992=0),"",I992/G992)</x:f>
      </x:c>
      <x:c r="L992" t="str">
        <x:f>IF(OR(J992=0,I992=0,G992=""),"",G992/I992)</x:f>
      </x:c>
      <x:c r="M992" t="str">
        <x:f>IF(OR(J992=0,G992="",H992="",G992=0,H992=0),"",I992/(G992*H992))</x:f>
      </x:c>
      <x:c r="N992" t="str">
        <x:f>IF(K992="","",K992/_xlfn.MAXIFS($K:$K,$E:$E,E992))</x:f>
      </x:c>
      <x:c r="O992" t="str">
        <x:f>IF(M992="","",M992/_xlfn.MAXIFS($M:$M,$E:$E,E992))</x:f>
      </x:c>
      <x:c r="P992" t="str">
        <x:f>IF(OR(N992="",O992=""),"",SQRT(N992*O992))</x:f>
      </x:c>
      <x:c r="Q992" t="str">
        <x:f>IF(OR(N992="",O992=""),"",N992^0.7*O992^0.3)</x:f>
      </x:c>
      <x:c r="R992" t="str">
        <x:f>IF(OR(N992="",O992=""),"",N992^0.3*O992^0.7)</x:f>
      </x:c>
    </x:row>
    <x:row r="993" s="14" customFormat="1">
      <x:c r="A993" t="inlineStr">
        <x:is>
          <x:t xml:space="preserve">anthropic|claude-opus-5.5|low|reasoning|fallback-true|aa-v4.3.2|snapshot-2026-10-16</x:t>
        </x:is>
      </x:c>
      <x:c r="B993" t="inlineStr">
        <x:is>
          <x:t xml:space="preserve">anthropic|claude-opus-5.5|low|reasoning|fallback-true</x:t>
        </x:is>
      </x:c>
      <x:c r="C993" t="inlineStr">
        <x:is>
          <x:t xml:space="preserve">AA|v4.3.2</x:t>
        </x:is>
      </x:c>
      <x:c r="D993" t="n">
        <x:v>125</x:v>
      </x:c>
      <x:c r="E993" t="n">
        <x:v>60</x:v>
      </x:c>
      <x:c r="F993" t="n">
        <x:f>INDEX(Run_Metrics!$F:$F,D993)</x:f>
        <x:v>42</x:v>
      </x:c>
      <x:c r="G993" t="n">
        <x:f>INDEX(Run_Metrics!$G:$G,D993)</x:f>
        <x:v>0.55</x:v>
      </x:c>
      <x:c r="H993" t="str">
        <x:f>INDEX(Run_Metrics!$I:$I,D993)</x:f>
      </x:c>
      <x:c r="I993" t="n">
        <x:f>IF(F993="","",F993-(E993-1))</x:f>
        <x:v>-17</x:v>
      </x:c>
      <x:c r="J993" t="n">
        <x:f>IF(I993&gt;0,1,0)</x:f>
        <x:v>0</x:v>
      </x:c>
      <x:c r="K993" t="str">
        <x:f>IF(OR(J993=0,G993="",G993=0),"",I993/G993)</x:f>
      </x:c>
      <x:c r="L993" t="str">
        <x:f>IF(OR(J993=0,I993=0,G993=""),"",G993/I993)</x:f>
      </x:c>
      <x:c r="M993" t="str">
        <x:f>IF(OR(J993=0,G993="",H993="",G993=0,H993=0),"",I993/(G993*H993))</x:f>
      </x:c>
      <x:c r="N993" t="str">
        <x:f>IF(K993="","",K993/_xlfn.MAXIFS($K:$K,$E:$E,E993))</x:f>
      </x:c>
      <x:c r="O993" t="str">
        <x:f>IF(M993="","",M993/_xlfn.MAXIFS($M:$M,$E:$E,E993))</x:f>
      </x:c>
      <x:c r="P993" t="str">
        <x:f>IF(OR(N993="",O993=""),"",SQRT(N993*O993))</x:f>
      </x:c>
      <x:c r="Q993" t="str">
        <x:f>IF(OR(N993="",O993=""),"",N993^0.7*O993^0.3)</x:f>
      </x:c>
      <x:c r="R993" t="str">
        <x:f>IF(OR(N993="",O993=""),"",N993^0.3*O993^0.7)</x:f>
      </x:c>
    </x:row>
    <x:row r="994" s="14" customFormat="1">
      <x:c r="A994" t="inlineStr">
        <x:is>
          <x:t xml:space="preserve">anthropic|claude-sonnet-5.5|xhigh|reasoning|fallback-true|aa-v4.3.2|snapshot-2026-10-16</x:t>
        </x:is>
      </x:c>
      <x:c r="B994" t="inlineStr">
        <x:is>
          <x:t xml:space="preserve">anthropic|claude-sonnet-5.5|xhigh|reasoning|fallback-true</x:t>
        </x:is>
      </x:c>
      <x:c r="C994" t="inlineStr">
        <x:is>
          <x:t xml:space="preserve">AA|v4.3.2</x:t>
        </x:is>
      </x:c>
      <x:c r="D994" t="n">
        <x:v>126</x:v>
      </x:c>
      <x:c r="E994" t="n">
        <x:v>10</x:v>
      </x:c>
      <x:c r="F994" t="n">
        <x:f>INDEX(Run_Metrics!$F:$F,D994)</x:f>
        <x:v>52</x:v>
      </x:c>
      <x:c r="G994" t="n">
        <x:f>INDEX(Run_Metrics!$G:$G,D994)</x:f>
        <x:v>2.01</x:v>
      </x:c>
      <x:c r="H994" t="str">
        <x:f>INDEX(Run_Metrics!$I:$I,D994)</x:f>
      </x:c>
      <x:c r="I994" t="n">
        <x:f>IF(F994="","",F994-(E994-1))</x:f>
        <x:v>43</x:v>
      </x:c>
      <x:c r="J994" t="n">
        <x:f>IF(I994&gt;0,1,0)</x:f>
        <x:v>1</x:v>
      </x:c>
      <x:c r="K994" t="n">
        <x:f>IF(OR(J994=0,G994="",G994=0),"",I994/G994)</x:f>
        <x:v>21.39303482587065</x:v>
      </x:c>
      <x:c r="L994" t="n">
        <x:f>IF(OR(J994=0,I994=0,G994=""),"",G994/I994)</x:f>
        <x:v>0.04674418604651162</x:v>
      </x:c>
      <x:c r="M994" t="str">
        <x:f>IF(OR(J994=0,G994="",H994="",G994=0,H994=0),"",I994/(G994*H994))</x:f>
      </x:c>
      <x:c r="N994" t="n">
        <x:f>IF(K994="","",K994/_xlfn.MAXIFS($K:$K,$E:$E,E994))</x:f>
        <x:v>0.007405281285878302</x:v>
      </x:c>
      <x:c r="O994" t="str">
        <x:f>IF(M994="","",M994/_xlfn.MAXIFS($M:$M,$E:$E,E994))</x:f>
      </x:c>
      <x:c r="P994" t="str">
        <x:f>IF(OR(N994="",O994=""),"",SQRT(N994*O994))</x:f>
      </x:c>
      <x:c r="Q994" t="str">
        <x:f>IF(OR(N994="",O994=""),"",N994^0.7*O994^0.3)</x:f>
      </x:c>
      <x:c r="R994" t="str">
        <x:f>IF(OR(N994="",O994=""),"",N994^0.3*O994^0.7)</x:f>
      </x:c>
    </x:row>
    <x:row r="995" s="14" customFormat="1">
      <x:c r="A995" t="inlineStr">
        <x:is>
          <x:t xml:space="preserve">anthropic|claude-sonnet-5.5|xhigh|reasoning|fallback-true|aa-v4.3.2|snapshot-2026-10-16</x:t>
        </x:is>
      </x:c>
      <x:c r="B995" t="inlineStr">
        <x:is>
          <x:t xml:space="preserve">anthropic|claude-sonnet-5.5|xhigh|reasoning|fallback-true</x:t>
        </x:is>
      </x:c>
      <x:c r="C995" t="inlineStr">
        <x:is>
          <x:t xml:space="preserve">AA|v4.3.2</x:t>
        </x:is>
      </x:c>
      <x:c r="D995" t="n">
        <x:v>126</x:v>
      </x:c>
      <x:c r="E995" t="n">
        <x:v>20</x:v>
      </x:c>
      <x:c r="F995" t="n">
        <x:f>INDEX(Run_Metrics!$F:$F,D995)</x:f>
        <x:v>52</x:v>
      </x:c>
      <x:c r="G995" t="n">
        <x:f>INDEX(Run_Metrics!$G:$G,D995)</x:f>
        <x:v>2.01</x:v>
      </x:c>
      <x:c r="H995" t="str">
        <x:f>INDEX(Run_Metrics!$I:$I,D995)</x:f>
      </x:c>
      <x:c r="I995" t="n">
        <x:f>IF(F995="","",F995-(E995-1))</x:f>
        <x:v>33</x:v>
      </x:c>
      <x:c r="J995" t="n">
        <x:f>IF(I995&gt;0,1,0)</x:f>
        <x:v>1</x:v>
      </x:c>
      <x:c r="K995" t="n">
        <x:f>IF(OR(J995=0,G995="",G995=0),"",I995/G995)</x:f>
        <x:v>16.417910447761194</x:v>
      </x:c>
      <x:c r="L995" t="n">
        <x:f>IF(OR(J995=0,I995=0,G995=""),"",G995/I995)</x:f>
        <x:v>0.060909090909090906</x:v>
      </x:c>
      <x:c r="M995" t="str">
        <x:f>IF(OR(J995=0,G995="",H995="",G995=0,H995=0),"",I995/(G995*H995))</x:f>
      </x:c>
      <x:c r="N995" t="n">
        <x:f>IF(K995="","",K995/_xlfn.MAXIFS($K:$K,$E:$E,E995))</x:f>
        <x:v>0.02462686567164179</x:v>
      </x:c>
      <x:c r="O995" t="str">
        <x:f>IF(M995="","",M995/_xlfn.MAXIFS($M:$M,$E:$E,E995))</x:f>
      </x:c>
      <x:c r="P995" t="str">
        <x:f>IF(OR(N995="",O995=""),"",SQRT(N995*O995))</x:f>
      </x:c>
      <x:c r="Q995" t="str">
        <x:f>IF(OR(N995="",O995=""),"",N995^0.7*O995^0.3)</x:f>
      </x:c>
      <x:c r="R995" t="str">
        <x:f>IF(OR(N995="",O995=""),"",N995^0.3*O995^0.7)</x:f>
      </x:c>
    </x:row>
    <x:row r="996" s="14" customFormat="1">
      <x:c r="A996" t="inlineStr">
        <x:is>
          <x:t xml:space="preserve">anthropic|claude-sonnet-5.5|xhigh|reasoning|fallback-true|aa-v4.3.2|snapshot-2026-10-16</x:t>
        </x:is>
      </x:c>
      <x:c r="B996" t="inlineStr">
        <x:is>
          <x:t xml:space="preserve">anthropic|claude-sonnet-5.5|xhigh|reasoning|fallback-true</x:t>
        </x:is>
      </x:c>
      <x:c r="C996" t="inlineStr">
        <x:is>
          <x:t xml:space="preserve">AA|v4.3.2</x:t>
        </x:is>
      </x:c>
      <x:c r="D996" t="n">
        <x:v>126</x:v>
      </x:c>
      <x:c r="E996" t="n">
        <x:v>30</x:v>
      </x:c>
      <x:c r="F996" t="n">
        <x:f>INDEX(Run_Metrics!$F:$F,D996)</x:f>
        <x:v>52</x:v>
      </x:c>
      <x:c r="G996" t="n">
        <x:f>INDEX(Run_Metrics!$G:$G,D996)</x:f>
        <x:v>2.01</x:v>
      </x:c>
      <x:c r="H996" t="str">
        <x:f>INDEX(Run_Metrics!$I:$I,D996)</x:f>
      </x:c>
      <x:c r="I996" t="n">
        <x:f>IF(F996="","",F996-(E996-1))</x:f>
        <x:v>23</x:v>
      </x:c>
      <x:c r="J996" t="n">
        <x:f>IF(I996&gt;0,1,0)</x:f>
        <x:v>1</x:v>
      </x:c>
      <x:c r="K996" t="n">
        <x:f>IF(OR(J996=0,G996="",G996=0),"",I996/G996)</x:f>
        <x:v>11.442786069651742</x:v>
      </x:c>
      <x:c r="L996" t="n">
        <x:f>IF(OR(J996=0,I996=0,G996=""),"",G996/I996)</x:f>
        <x:v>0.08739130434782608</x:v>
      </x:c>
      <x:c r="M996" t="str">
        <x:f>IF(OR(J996=0,G996="",H996="",G996=0,H996=0),"",I996/(G996*H996))</x:f>
      </x:c>
      <x:c r="N996" t="n">
        <x:f>IF(K996="","",K996/_xlfn.MAXIFS($K:$K,$E:$E,E996))</x:f>
        <x:v>0.07628524046434494</x:v>
      </x:c>
      <x:c r="O996" t="str">
        <x:f>IF(M996="","",M996/_xlfn.MAXIFS($M:$M,$E:$E,E996))</x:f>
      </x:c>
      <x:c r="P996" t="str">
        <x:f>IF(OR(N996="",O996=""),"",SQRT(N996*O996))</x:f>
      </x:c>
      <x:c r="Q996" t="str">
        <x:f>IF(OR(N996="",O996=""),"",N996^0.7*O996^0.3)</x:f>
      </x:c>
      <x:c r="R996" t="str">
        <x:f>IF(OR(N996="",O996=""),"",N996^0.3*O996^0.7)</x:f>
      </x:c>
    </x:row>
    <x:row r="997" s="14" customFormat="1">
      <x:c r="A997" t="inlineStr">
        <x:is>
          <x:t xml:space="preserve">anthropic|claude-sonnet-5.5|xhigh|reasoning|fallback-true|aa-v4.3.2|snapshot-2026-10-16</x:t>
        </x:is>
      </x:c>
      <x:c r="B997" t="inlineStr">
        <x:is>
          <x:t xml:space="preserve">anthropic|claude-sonnet-5.5|xhigh|reasoning|fallback-true</x:t>
        </x:is>
      </x:c>
      <x:c r="C997" t="inlineStr">
        <x:is>
          <x:t xml:space="preserve">AA|v4.3.2</x:t>
        </x:is>
      </x:c>
      <x:c r="D997" t="n">
        <x:v>126</x:v>
      </x:c>
      <x:c r="E997" t="n">
        <x:v>35</x:v>
      </x:c>
      <x:c r="F997" t="n">
        <x:f>INDEX(Run_Metrics!$F:$F,D997)</x:f>
        <x:v>52</x:v>
      </x:c>
      <x:c r="G997" t="n">
        <x:f>INDEX(Run_Metrics!$G:$G,D997)</x:f>
        <x:v>2.01</x:v>
      </x:c>
      <x:c r="H997" t="str">
        <x:f>INDEX(Run_Metrics!$I:$I,D997)</x:f>
      </x:c>
      <x:c r="I997" t="n">
        <x:f>IF(F997="","",F997-(E997-1))</x:f>
        <x:v>18</x:v>
      </x:c>
      <x:c r="J997" t="n">
        <x:f>IF(I997&gt;0,1,0)</x:f>
        <x:v>1</x:v>
      </x:c>
      <x:c r="K997" t="n">
        <x:f>IF(OR(J997=0,G997="",G997=0),"",I997/G997)</x:f>
        <x:v>8.955223880597016</x:v>
      </x:c>
      <x:c r="L997" t="n">
        <x:f>IF(OR(J997=0,I997=0,G997=""),"",G997/I997)</x:f>
        <x:v>0.11166666666666665</x:v>
      </x:c>
      <x:c r="M997" t="str">
        <x:f>IF(OR(J997=0,G997="",H997="",G997=0,H997=0),"",I997/(G997*H997))</x:f>
      </x:c>
      <x:c r="N997" t="n">
        <x:f>IF(K997="","",K997/_xlfn.MAXIFS($K:$K,$E:$E,E997))</x:f>
        <x:v>0.09701492537313434</x:v>
      </x:c>
      <x:c r="O997" t="str">
        <x:f>IF(M997="","",M997/_xlfn.MAXIFS($M:$M,$E:$E,E997))</x:f>
      </x:c>
      <x:c r="P997" t="str">
        <x:f>IF(OR(N997="",O997=""),"",SQRT(N997*O997))</x:f>
      </x:c>
      <x:c r="Q997" t="str">
        <x:f>IF(OR(N997="",O997=""),"",N997^0.7*O997^0.3)</x:f>
      </x:c>
      <x:c r="R997" t="str">
        <x:f>IF(OR(N997="",O997=""),"",N997^0.3*O997^0.7)</x:f>
      </x:c>
    </x:row>
    <x:row r="998" s="14" customFormat="1">
      <x:c r="A998" t="inlineStr">
        <x:is>
          <x:t xml:space="preserve">anthropic|claude-sonnet-5.5|xhigh|reasoning|fallback-true|aa-v4.3.2|snapshot-2026-10-16</x:t>
        </x:is>
      </x:c>
      <x:c r="B998" t="inlineStr">
        <x:is>
          <x:t xml:space="preserve">anthropic|claude-sonnet-5.5|xhigh|reasoning|fallback-true</x:t>
        </x:is>
      </x:c>
      <x:c r="C998" t="inlineStr">
        <x:is>
          <x:t xml:space="preserve">AA|v4.3.2</x:t>
        </x:is>
      </x:c>
      <x:c r="D998" t="n">
        <x:v>126</x:v>
      </x:c>
      <x:c r="E998" t="n">
        <x:v>40</x:v>
      </x:c>
      <x:c r="F998" t="n">
        <x:f>INDEX(Run_Metrics!$F:$F,D998)</x:f>
        <x:v>52</x:v>
      </x:c>
      <x:c r="G998" t="n">
        <x:f>INDEX(Run_Metrics!$G:$G,D998)</x:f>
        <x:v>2.01</x:v>
      </x:c>
      <x:c r="H998" t="str">
        <x:f>INDEX(Run_Metrics!$I:$I,D998)</x:f>
      </x:c>
      <x:c r="I998" t="n">
        <x:f>IF(F998="","",F998-(E998-1))</x:f>
        <x:v>13</x:v>
      </x:c>
      <x:c r="J998" t="n">
        <x:f>IF(I998&gt;0,1,0)</x:f>
        <x:v>1</x:v>
      </x:c>
      <x:c r="K998" t="n">
        <x:f>IF(OR(J998=0,G998="",G998=0),"",I998/G998)</x:f>
        <x:v>6.467661691542289</x:v>
      </x:c>
      <x:c r="L998" t="n">
        <x:f>IF(OR(J998=0,I998=0,G998=""),"",G998/I998)</x:f>
        <x:v>0.1546153846153846</x:v>
      </x:c>
      <x:c r="M998" t="str">
        <x:f>IF(OR(J998=0,G998="",H998="",G998=0,H998=0),"",I998/(G998*H998))</x:f>
      </x:c>
      <x:c r="N998" t="n">
        <x:f>IF(K998="","",K998/_xlfn.MAXIFS($K:$K,$E:$E,E998))</x:f>
        <x:v>0.12011371712864251</x:v>
      </x:c>
      <x:c r="O998" t="str">
        <x:f>IF(M998="","",M998/_xlfn.MAXIFS($M:$M,$E:$E,E998))</x:f>
      </x:c>
      <x:c r="P998" t="str">
        <x:f>IF(OR(N998="",O998=""),"",SQRT(N998*O998))</x:f>
      </x:c>
      <x:c r="Q998" t="str">
        <x:f>IF(OR(N998="",O998=""),"",N998^0.7*O998^0.3)</x:f>
      </x:c>
      <x:c r="R998" t="str">
        <x:f>IF(OR(N998="",O998=""),"",N998^0.3*O998^0.7)</x:f>
      </x:c>
    </x:row>
    <x:row r="999" s="14" customFormat="1">
      <x:c r="A999" t="inlineStr">
        <x:is>
          <x:t xml:space="preserve">anthropic|claude-sonnet-5.5|xhigh|reasoning|fallback-true|aa-v4.3.2|snapshot-2026-10-16</x:t>
        </x:is>
      </x:c>
      <x:c r="B999" t="inlineStr">
        <x:is>
          <x:t xml:space="preserve">anthropic|claude-sonnet-5.5|xhigh|reasoning|fallback-true</x:t>
        </x:is>
      </x:c>
      <x:c r="C999" t="inlineStr">
        <x:is>
          <x:t xml:space="preserve">AA|v4.3.2</x:t>
        </x:is>
      </x:c>
      <x:c r="D999" t="n">
        <x:v>126</x:v>
      </x:c>
      <x:c r="E999" t="n">
        <x:v>45</x:v>
      </x:c>
      <x:c r="F999" t="n">
        <x:f>INDEX(Run_Metrics!$F:$F,D999)</x:f>
        <x:v>52</x:v>
      </x:c>
      <x:c r="G999" t="n">
        <x:f>INDEX(Run_Metrics!$G:$G,D999)</x:f>
        <x:v>2.01</x:v>
      </x:c>
      <x:c r="H999" t="str">
        <x:f>INDEX(Run_Metrics!$I:$I,D999)</x:f>
      </x:c>
      <x:c r="I999" t="n">
        <x:f>IF(F999="","",F999-(E999-1))</x:f>
        <x:v>8</x:v>
      </x:c>
      <x:c r="J999" t="n">
        <x:f>IF(I999&gt;0,1,0)</x:f>
        <x:v>1</x:v>
      </x:c>
      <x:c r="K999" t="n">
        <x:f>IF(OR(J999=0,G999="",G999=0),"",I999/G999)</x:f>
        <x:v>3.9800995024875627</x:v>
      </x:c>
      <x:c r="L999" t="n">
        <x:f>IF(OR(J999=0,I999=0,G999=""),"",G999/I999)</x:f>
        <x:v>0.25125</x:v>
      </x:c>
      <x:c r="M999" t="str">
        <x:f>IF(OR(J999=0,G999="",H999="",G999=0,H999=0),"",I999/(G999*H999))</x:f>
      </x:c>
      <x:c r="N999" t="n">
        <x:f>IF(K999="","",K999/_xlfn.MAXIFS($K:$K,$E:$E,E999))</x:f>
        <x:v>0.20895522388059704</x:v>
      </x:c>
      <x:c r="O999" t="str">
        <x:f>IF(M999="","",M999/_xlfn.MAXIFS($M:$M,$E:$E,E999))</x:f>
      </x:c>
      <x:c r="P999" t="str">
        <x:f>IF(OR(N999="",O999=""),"",SQRT(N999*O999))</x:f>
      </x:c>
      <x:c r="Q999" t="str">
        <x:f>IF(OR(N999="",O999=""),"",N999^0.7*O999^0.3)</x:f>
      </x:c>
      <x:c r="R999" t="str">
        <x:f>IF(OR(N999="",O999=""),"",N999^0.3*O999^0.7)</x:f>
      </x:c>
    </x:row>
    <x:row r="1000" s="14" customFormat="1">
      <x:c r="A1000" t="inlineStr">
        <x:is>
          <x:t xml:space="preserve">anthropic|claude-sonnet-5.5|xhigh|reasoning|fallback-true|aa-v4.3.2|snapshot-2026-10-16</x:t>
        </x:is>
      </x:c>
      <x:c r="B1000" t="inlineStr">
        <x:is>
          <x:t xml:space="preserve">anthropic|claude-sonnet-5.5|xhigh|reasoning|fallback-true</x:t>
        </x:is>
      </x:c>
      <x:c r="C1000" t="inlineStr">
        <x:is>
          <x:t xml:space="preserve">AA|v4.3.2</x:t>
        </x:is>
      </x:c>
      <x:c r="D1000" t="n">
        <x:v>126</x:v>
      </x:c>
      <x:c r="E1000" t="n">
        <x:v>50</x:v>
      </x:c>
      <x:c r="F1000" t="n">
        <x:f>INDEX(Run_Metrics!$F:$F,D1000)</x:f>
        <x:v>52</x:v>
      </x:c>
      <x:c r="G1000" t="n">
        <x:f>INDEX(Run_Metrics!$G:$G,D1000)</x:f>
        <x:v>2.01</x:v>
      </x:c>
      <x:c r="H1000" t="str">
        <x:f>INDEX(Run_Metrics!$I:$I,D1000)</x:f>
      </x:c>
      <x:c r="I1000" t="n">
        <x:f>IF(F1000="","",F1000-(E1000-1))</x:f>
        <x:v>3</x:v>
      </x:c>
      <x:c r="J1000" t="n">
        <x:f>IF(I1000&gt;0,1,0)</x:f>
        <x:v>1</x:v>
      </x:c>
      <x:c r="K1000" t="n">
        <x:f>IF(OR(J1000=0,G1000="",G1000=0),"",I1000/G1000)</x:f>
        <x:v>1.492537313432836</x:v>
      </x:c>
      <x:c r="L1000" t="n">
        <x:f>IF(OR(J1000=0,I1000=0,G1000=""),"",G1000/I1000)</x:f>
        <x:v>0.6699999999999999</x:v>
      </x:c>
      <x:c r="M1000" t="str">
        <x:f>IF(OR(J1000=0,G1000="",H1000="",G1000=0,H1000=0),"",I1000/(G1000*H1000))</x:f>
      </x:c>
      <x:c r="N1000" t="n">
        <x:f>IF(K1000="","",K1000/_xlfn.MAXIFS($K:$K,$E:$E,E1000))</x:f>
        <x:v>0.29104477611940305</x:v>
      </x:c>
      <x:c r="O1000" t="str">
        <x:f>IF(M1000="","",M1000/_xlfn.MAXIFS($M:$M,$E:$E,E1000))</x:f>
      </x:c>
      <x:c r="P1000" t="str">
        <x:f>IF(OR(N1000="",O1000=""),"",SQRT(N1000*O1000))</x:f>
      </x:c>
      <x:c r="Q1000" t="str">
        <x:f>IF(OR(N1000="",O1000=""),"",N1000^0.7*O1000^0.3)</x:f>
      </x:c>
      <x:c r="R1000" t="str">
        <x:f>IF(OR(N1000="",O1000=""),"",N1000^0.3*O1000^0.7)</x:f>
      </x:c>
    </x:row>
    <x:row r="1001" s="14" customFormat="1">
      <x:c r="A1001" t="inlineStr">
        <x:is>
          <x:t xml:space="preserve">anthropic|claude-sonnet-5.5|xhigh|reasoning|fallback-true|aa-v4.3.2|snapshot-2026-10-16</x:t>
        </x:is>
      </x:c>
      <x:c r="B1001" t="inlineStr">
        <x:is>
          <x:t xml:space="preserve">anthropic|claude-sonnet-5.5|xhigh|reasoning|fallback-true</x:t>
        </x:is>
      </x:c>
      <x:c r="C1001" t="inlineStr">
        <x:is>
          <x:t xml:space="preserve">AA|v4.3.2</x:t>
        </x:is>
      </x:c>
      <x:c r="D1001" t="n">
        <x:v>126</x:v>
      </x:c>
      <x:c r="E1001" t="n">
        <x:v>60</x:v>
      </x:c>
      <x:c r="F1001" t="n">
        <x:f>INDEX(Run_Metrics!$F:$F,D1001)</x:f>
        <x:v>52</x:v>
      </x:c>
      <x:c r="G1001" t="n">
        <x:f>INDEX(Run_Metrics!$G:$G,D1001)</x:f>
        <x:v>2.01</x:v>
      </x:c>
      <x:c r="H1001" t="str">
        <x:f>INDEX(Run_Metrics!$I:$I,D1001)</x:f>
      </x:c>
      <x:c r="I1001" t="n">
        <x:f>IF(F1001="","",F1001-(E1001-1))</x:f>
        <x:v>-7</x:v>
      </x:c>
      <x:c r="J1001" t="n">
        <x:f>IF(I1001&gt;0,1,0)</x:f>
        <x:v>0</x:v>
      </x:c>
      <x:c r="K1001" t="str">
        <x:f>IF(OR(J1001=0,G1001="",G1001=0),"",I1001/G1001)</x:f>
      </x:c>
      <x:c r="L1001" t="str">
        <x:f>IF(OR(J1001=0,I1001=0,G1001=""),"",G1001/I1001)</x:f>
      </x:c>
      <x:c r="M1001" t="str">
        <x:f>IF(OR(J1001=0,G1001="",H1001="",G1001=0,H1001=0),"",I1001/(G1001*H1001))</x:f>
      </x:c>
      <x:c r="N1001" t="str">
        <x:f>IF(K1001="","",K1001/_xlfn.MAXIFS($K:$K,$E:$E,E1001))</x:f>
      </x:c>
      <x:c r="O1001" t="str">
        <x:f>IF(M1001="","",M1001/_xlfn.MAXIFS($M:$M,$E:$E,E1001))</x:f>
      </x:c>
      <x:c r="P1001" t="str">
        <x:f>IF(OR(N1001="",O1001=""),"",SQRT(N1001*O1001))</x:f>
      </x:c>
      <x:c r="Q1001" t="str">
        <x:f>IF(OR(N1001="",O1001=""),"",N1001^0.7*O1001^0.3)</x:f>
      </x:c>
      <x:c r="R1001" t="str">
        <x:f>IF(OR(N1001="",O1001=""),"",N1001^0.3*O1001^0.7)</x:f>
      </x:c>
    </x:row>
    <x:row r="1002" s="14" customFormat="1">
      <x:c r="A1002" t="inlineStr">
        <x:is>
          <x:t xml:space="preserve">anthropic|claude-sonnet-5.5|high|reasoning|fallback-true|aa-v4.3.2|snapshot-2026-10-16</x:t>
        </x:is>
      </x:c>
      <x:c r="B1002" t="inlineStr">
        <x:is>
          <x:t xml:space="preserve">anthropic|claude-sonnet-5.5|high|reasoning|fallback-true</x:t>
        </x:is>
      </x:c>
      <x:c r="C1002" t="inlineStr">
        <x:is>
          <x:t xml:space="preserve">AA|v4.3.2</x:t>
        </x:is>
      </x:c>
      <x:c r="D1002" t="n">
        <x:v>127</x:v>
      </x:c>
      <x:c r="E1002" t="n">
        <x:v>10</x:v>
      </x:c>
      <x:c r="F1002" t="n">
        <x:f>INDEX(Run_Metrics!$F:$F,D1002)</x:f>
        <x:v>47</x:v>
      </x:c>
      <x:c r="G1002" t="n">
        <x:f>INDEX(Run_Metrics!$G:$G,D1002)</x:f>
        <x:v>0.88</x:v>
      </x:c>
      <x:c r="H1002" t="str">
        <x:f>INDEX(Run_Metrics!$I:$I,D1002)</x:f>
      </x:c>
      <x:c r="I1002" t="n">
        <x:f>IF(F1002="","",F1002-(E1002-1))</x:f>
        <x:v>38</x:v>
      </x:c>
      <x:c r="J1002" t="n">
        <x:f>IF(I1002&gt;0,1,0)</x:f>
        <x:v>1</x:v>
      </x:c>
      <x:c r="K1002" t="n">
        <x:f>IF(OR(J1002=0,G1002="",G1002=0),"",I1002/G1002)</x:f>
        <x:v>43.18181818181818</x:v>
      </x:c>
      <x:c r="L1002" t="n">
        <x:f>IF(OR(J1002=0,I1002=0,G1002=""),"",G1002/I1002)</x:f>
        <x:v>0.023157894736842106</x:v>
      </x:c>
      <x:c r="M1002" t="str">
        <x:f>IF(OR(J1002=0,G1002="",H1002="",G1002=0,H1002=0),"",I1002/(G1002*H1002))</x:f>
      </x:c>
      <x:c r="N1002" t="n">
        <x:f>IF(K1002="","",K1002/_xlfn.MAXIFS($K:$K,$E:$E,E1002))</x:f>
        <x:v>0.014947552447552446</x:v>
      </x:c>
      <x:c r="O1002" t="str">
        <x:f>IF(M1002="","",M1002/_xlfn.MAXIFS($M:$M,$E:$E,E1002))</x:f>
      </x:c>
      <x:c r="P1002" t="str">
        <x:f>IF(OR(N1002="",O1002=""),"",SQRT(N1002*O1002))</x:f>
      </x:c>
      <x:c r="Q1002" t="str">
        <x:f>IF(OR(N1002="",O1002=""),"",N1002^0.7*O1002^0.3)</x:f>
      </x:c>
      <x:c r="R1002" t="str">
        <x:f>IF(OR(N1002="",O1002=""),"",N1002^0.3*O1002^0.7)</x:f>
      </x:c>
    </x:row>
    <x:row r="1003" s="14" customFormat="1">
      <x:c r="A1003" t="inlineStr">
        <x:is>
          <x:t xml:space="preserve">anthropic|claude-sonnet-5.5|high|reasoning|fallback-true|aa-v4.3.2|snapshot-2026-10-16</x:t>
        </x:is>
      </x:c>
      <x:c r="B1003" t="inlineStr">
        <x:is>
          <x:t xml:space="preserve">anthropic|claude-sonnet-5.5|high|reasoning|fallback-true</x:t>
        </x:is>
      </x:c>
      <x:c r="C1003" t="inlineStr">
        <x:is>
          <x:t xml:space="preserve">AA|v4.3.2</x:t>
        </x:is>
      </x:c>
      <x:c r="D1003" t="n">
        <x:v>127</x:v>
      </x:c>
      <x:c r="E1003" t="n">
        <x:v>20</x:v>
      </x:c>
      <x:c r="F1003" t="n">
        <x:f>INDEX(Run_Metrics!$F:$F,D1003)</x:f>
        <x:v>47</x:v>
      </x:c>
      <x:c r="G1003" t="n">
        <x:f>INDEX(Run_Metrics!$G:$G,D1003)</x:f>
        <x:v>0.88</x:v>
      </x:c>
      <x:c r="H1003" t="str">
        <x:f>INDEX(Run_Metrics!$I:$I,D1003)</x:f>
      </x:c>
      <x:c r="I1003" t="n">
        <x:f>IF(F1003="","",F1003-(E1003-1))</x:f>
        <x:v>28</x:v>
      </x:c>
      <x:c r="J1003" t="n">
        <x:f>IF(I1003&gt;0,1,0)</x:f>
        <x:v>1</x:v>
      </x:c>
      <x:c r="K1003" t="n">
        <x:f>IF(OR(J1003=0,G1003="",G1003=0),"",I1003/G1003)</x:f>
        <x:v>31.818181818181817</x:v>
      </x:c>
      <x:c r="L1003" t="n">
        <x:f>IF(OR(J1003=0,I1003=0,G1003=""),"",G1003/I1003)</x:f>
        <x:v>0.03142857142857143</x:v>
      </x:c>
      <x:c r="M1003" t="str">
        <x:f>IF(OR(J1003=0,G1003="",H1003="",G1003=0,H1003=0),"",I1003/(G1003*H1003))</x:f>
      </x:c>
      <x:c r="N1003" t="n">
        <x:f>IF(K1003="","",K1003/_xlfn.MAXIFS($K:$K,$E:$E,E1003))</x:f>
        <x:v>0.04772727272727272</x:v>
      </x:c>
      <x:c r="O1003" t="str">
        <x:f>IF(M1003="","",M1003/_xlfn.MAXIFS($M:$M,$E:$E,E1003))</x:f>
      </x:c>
      <x:c r="P1003" t="str">
        <x:f>IF(OR(N1003="",O1003=""),"",SQRT(N1003*O1003))</x:f>
      </x:c>
      <x:c r="Q1003" t="str">
        <x:f>IF(OR(N1003="",O1003=""),"",N1003^0.7*O1003^0.3)</x:f>
      </x:c>
      <x:c r="R1003" t="str">
        <x:f>IF(OR(N1003="",O1003=""),"",N1003^0.3*O1003^0.7)</x:f>
      </x:c>
    </x:row>
    <x:row r="1004" s="14" customFormat="1">
      <x:c r="A1004" t="inlineStr">
        <x:is>
          <x:t xml:space="preserve">anthropic|claude-sonnet-5.5|high|reasoning|fallback-true|aa-v4.3.2|snapshot-2026-10-16</x:t>
        </x:is>
      </x:c>
      <x:c r="B1004" t="inlineStr">
        <x:is>
          <x:t xml:space="preserve">anthropic|claude-sonnet-5.5|high|reasoning|fallback-true</x:t>
        </x:is>
      </x:c>
      <x:c r="C1004" t="inlineStr">
        <x:is>
          <x:t xml:space="preserve">AA|v4.3.2</x:t>
        </x:is>
      </x:c>
      <x:c r="D1004" t="n">
        <x:v>127</x:v>
      </x:c>
      <x:c r="E1004" t="n">
        <x:v>30</x:v>
      </x:c>
      <x:c r="F1004" t="n">
        <x:f>INDEX(Run_Metrics!$F:$F,D1004)</x:f>
        <x:v>47</x:v>
      </x:c>
      <x:c r="G1004" t="n">
        <x:f>INDEX(Run_Metrics!$G:$G,D1004)</x:f>
        <x:v>0.88</x:v>
      </x:c>
      <x:c r="H1004" t="str">
        <x:f>INDEX(Run_Metrics!$I:$I,D1004)</x:f>
      </x:c>
      <x:c r="I1004" t="n">
        <x:f>IF(F1004="","",F1004-(E1004-1))</x:f>
        <x:v>18</x:v>
      </x:c>
      <x:c r="J1004" t="n">
        <x:f>IF(I1004&gt;0,1,0)</x:f>
        <x:v>1</x:v>
      </x:c>
      <x:c r="K1004" t="n">
        <x:f>IF(OR(J1004=0,G1004="",G1004=0),"",I1004/G1004)</x:f>
        <x:v>20.454545454545453</x:v>
      </x:c>
      <x:c r="L1004" t="n">
        <x:f>IF(OR(J1004=0,I1004=0,G1004=""),"",G1004/I1004)</x:f>
        <x:v>0.04888888888888889</x:v>
      </x:c>
      <x:c r="M1004" t="str">
        <x:f>IF(OR(J1004=0,G1004="",H1004="",G1004=0,H1004=0),"",I1004/(G1004*H1004))</x:f>
      </x:c>
      <x:c r="N1004" t="n">
        <x:f>IF(K1004="","",K1004/_xlfn.MAXIFS($K:$K,$E:$E,E1004))</x:f>
        <x:v>0.13636363636363635</x:v>
      </x:c>
      <x:c r="O1004" t="str">
        <x:f>IF(M1004="","",M1004/_xlfn.MAXIFS($M:$M,$E:$E,E1004))</x:f>
      </x:c>
      <x:c r="P1004" t="str">
        <x:f>IF(OR(N1004="",O1004=""),"",SQRT(N1004*O1004))</x:f>
      </x:c>
      <x:c r="Q1004" t="str">
        <x:f>IF(OR(N1004="",O1004=""),"",N1004^0.7*O1004^0.3)</x:f>
      </x:c>
      <x:c r="R1004" t="str">
        <x:f>IF(OR(N1004="",O1004=""),"",N1004^0.3*O1004^0.7)</x:f>
      </x:c>
    </x:row>
    <x:row r="1005" s="14" customFormat="1">
      <x:c r="A1005" t="inlineStr">
        <x:is>
          <x:t xml:space="preserve">anthropic|claude-sonnet-5.5|high|reasoning|fallback-true|aa-v4.3.2|snapshot-2026-10-16</x:t>
        </x:is>
      </x:c>
      <x:c r="B1005" t="inlineStr">
        <x:is>
          <x:t xml:space="preserve">anthropic|claude-sonnet-5.5|high|reasoning|fallback-true</x:t>
        </x:is>
      </x:c>
      <x:c r="C1005" t="inlineStr">
        <x:is>
          <x:t xml:space="preserve">AA|v4.3.2</x:t>
        </x:is>
      </x:c>
      <x:c r="D1005" t="n">
        <x:v>127</x:v>
      </x:c>
      <x:c r="E1005" t="n">
        <x:v>35</x:v>
      </x:c>
      <x:c r="F1005" t="n">
        <x:f>INDEX(Run_Metrics!$F:$F,D1005)</x:f>
        <x:v>47</x:v>
      </x:c>
      <x:c r="G1005" t="n">
        <x:f>INDEX(Run_Metrics!$G:$G,D1005)</x:f>
        <x:v>0.88</x:v>
      </x:c>
      <x:c r="H1005" t="str">
        <x:f>INDEX(Run_Metrics!$I:$I,D1005)</x:f>
      </x:c>
      <x:c r="I1005" t="n">
        <x:f>IF(F1005="","",F1005-(E1005-1))</x:f>
        <x:v>13</x:v>
      </x:c>
      <x:c r="J1005" t="n">
        <x:f>IF(I1005&gt;0,1,0)</x:f>
        <x:v>1</x:v>
      </x:c>
      <x:c r="K1005" t="n">
        <x:f>IF(OR(J1005=0,G1005="",G1005=0),"",I1005/G1005)</x:f>
        <x:v>14.772727272727273</x:v>
      </x:c>
      <x:c r="L1005" t="n">
        <x:f>IF(OR(J1005=0,I1005=0,G1005=""),"",G1005/I1005)</x:f>
        <x:v>0.06769230769230769</x:v>
      </x:c>
      <x:c r="M1005" t="str">
        <x:f>IF(OR(J1005=0,G1005="",H1005="",G1005=0,H1005=0),"",I1005/(G1005*H1005))</x:f>
      </x:c>
      <x:c r="N1005" t="n">
        <x:f>IF(K1005="","",K1005/_xlfn.MAXIFS($K:$K,$E:$E,E1005))</x:f>
        <x:v>0.16003787878787878</x:v>
      </x:c>
      <x:c r="O1005" t="str">
        <x:f>IF(M1005="","",M1005/_xlfn.MAXIFS($M:$M,$E:$E,E1005))</x:f>
      </x:c>
      <x:c r="P1005" t="str">
        <x:f>IF(OR(N1005="",O1005=""),"",SQRT(N1005*O1005))</x:f>
      </x:c>
      <x:c r="Q1005" t="str">
        <x:f>IF(OR(N1005="",O1005=""),"",N1005^0.7*O1005^0.3)</x:f>
      </x:c>
      <x:c r="R1005" t="str">
        <x:f>IF(OR(N1005="",O1005=""),"",N1005^0.3*O1005^0.7)</x:f>
      </x:c>
    </x:row>
    <x:row r="1006" s="14" customFormat="1">
      <x:c r="A1006" t="inlineStr">
        <x:is>
          <x:t xml:space="preserve">anthropic|claude-sonnet-5.5|high|reasoning|fallback-true|aa-v4.3.2|snapshot-2026-10-16</x:t>
        </x:is>
      </x:c>
      <x:c r="B1006" t="inlineStr">
        <x:is>
          <x:t xml:space="preserve">anthropic|claude-sonnet-5.5|high|reasoning|fallback-true</x:t>
        </x:is>
      </x:c>
      <x:c r="C1006" t="inlineStr">
        <x:is>
          <x:t xml:space="preserve">AA|v4.3.2</x:t>
        </x:is>
      </x:c>
      <x:c r="D1006" t="n">
        <x:v>127</x:v>
      </x:c>
      <x:c r="E1006" t="n">
        <x:v>40</x:v>
      </x:c>
      <x:c r="F1006" t="n">
        <x:f>INDEX(Run_Metrics!$F:$F,D1006)</x:f>
        <x:v>47</x:v>
      </x:c>
      <x:c r="G1006" t="n">
        <x:f>INDEX(Run_Metrics!$G:$G,D1006)</x:f>
        <x:v>0.88</x:v>
      </x:c>
      <x:c r="H1006" t="str">
        <x:f>INDEX(Run_Metrics!$I:$I,D1006)</x:f>
      </x:c>
      <x:c r="I1006" t="n">
        <x:f>IF(F1006="","",F1006-(E1006-1))</x:f>
        <x:v>8</x:v>
      </x:c>
      <x:c r="J1006" t="n">
        <x:f>IF(I1006&gt;0,1,0)</x:f>
        <x:v>1</x:v>
      </x:c>
      <x:c r="K1006" t="n">
        <x:f>IF(OR(J1006=0,G1006="",G1006=0),"",I1006/G1006)</x:f>
        <x:v>9.090909090909092</x:v>
      </x:c>
      <x:c r="L1006" t="n">
        <x:f>IF(OR(J1006=0,I1006=0,G1006=""),"",G1006/I1006)</x:f>
        <x:v>0.11</x:v>
      </x:c>
      <x:c r="M1006" t="str">
        <x:f>IF(OR(J1006=0,G1006="",H1006="",G1006=0,H1006=0),"",I1006/(G1006*H1006))</x:f>
      </x:c>
      <x:c r="N1006" t="n">
        <x:f>IF(K1006="","",K1006/_xlfn.MAXIFS($K:$K,$E:$E,E1006))</x:f>
        <x:v>0.16883116883116883</x:v>
      </x:c>
      <x:c r="O1006" t="str">
        <x:f>IF(M1006="","",M1006/_xlfn.MAXIFS($M:$M,$E:$E,E1006))</x:f>
      </x:c>
      <x:c r="P1006" t="str">
        <x:f>IF(OR(N1006="",O1006=""),"",SQRT(N1006*O1006))</x:f>
      </x:c>
      <x:c r="Q1006" t="str">
        <x:f>IF(OR(N1006="",O1006=""),"",N1006^0.7*O1006^0.3)</x:f>
      </x:c>
      <x:c r="R1006" t="str">
        <x:f>IF(OR(N1006="",O1006=""),"",N1006^0.3*O1006^0.7)</x:f>
      </x:c>
    </x:row>
    <x:row r="1007" s="14" customFormat="1">
      <x:c r="A1007" t="inlineStr">
        <x:is>
          <x:t xml:space="preserve">anthropic|claude-sonnet-5.5|high|reasoning|fallback-true|aa-v4.3.2|snapshot-2026-10-16</x:t>
        </x:is>
      </x:c>
      <x:c r="B1007" t="inlineStr">
        <x:is>
          <x:t xml:space="preserve">anthropic|claude-sonnet-5.5|high|reasoning|fallback-true</x:t>
        </x:is>
      </x:c>
      <x:c r="C1007" t="inlineStr">
        <x:is>
          <x:t xml:space="preserve">AA|v4.3.2</x:t>
        </x:is>
      </x:c>
      <x:c r="D1007" t="n">
        <x:v>127</x:v>
      </x:c>
      <x:c r="E1007" t="n">
        <x:v>45</x:v>
      </x:c>
      <x:c r="F1007" t="n">
        <x:f>INDEX(Run_Metrics!$F:$F,D1007)</x:f>
        <x:v>47</x:v>
      </x:c>
      <x:c r="G1007" t="n">
        <x:f>INDEX(Run_Metrics!$G:$G,D1007)</x:f>
        <x:v>0.88</x:v>
      </x:c>
      <x:c r="H1007" t="str">
        <x:f>INDEX(Run_Metrics!$I:$I,D1007)</x:f>
      </x:c>
      <x:c r="I1007" t="n">
        <x:f>IF(F1007="","",F1007-(E1007-1))</x:f>
        <x:v>3</x:v>
      </x:c>
      <x:c r="J1007" t="n">
        <x:f>IF(I1007&gt;0,1,0)</x:f>
        <x:v>1</x:v>
      </x:c>
      <x:c r="K1007" t="n">
        <x:f>IF(OR(J1007=0,G1007="",G1007=0),"",I1007/G1007)</x:f>
        <x:v>3.409090909090909</x:v>
      </x:c>
      <x:c r="L1007" t="n">
        <x:f>IF(OR(J1007=0,I1007=0,G1007=""),"",G1007/I1007)</x:f>
        <x:v>0.29333333333333333</x:v>
      </x:c>
      <x:c r="M1007" t="str">
        <x:f>IF(OR(J1007=0,G1007="",H1007="",G1007=0,H1007=0),"",I1007/(G1007*H1007))</x:f>
      </x:c>
      <x:c r="N1007" t="n">
        <x:f>IF(K1007="","",K1007/_xlfn.MAXIFS($K:$K,$E:$E,E1007))</x:f>
        <x:v>0.17897727272727273</x:v>
      </x:c>
      <x:c r="O1007" t="str">
        <x:f>IF(M1007="","",M1007/_xlfn.MAXIFS($M:$M,$E:$E,E1007))</x:f>
      </x:c>
      <x:c r="P1007" t="str">
        <x:f>IF(OR(N1007="",O1007=""),"",SQRT(N1007*O1007))</x:f>
      </x:c>
      <x:c r="Q1007" t="str">
        <x:f>IF(OR(N1007="",O1007=""),"",N1007^0.7*O1007^0.3)</x:f>
      </x:c>
      <x:c r="R1007" t="str">
        <x:f>IF(OR(N1007="",O1007=""),"",N1007^0.3*O1007^0.7)</x:f>
      </x:c>
    </x:row>
    <x:row r="1008" s="14" customFormat="1">
      <x:c r="A1008" t="inlineStr">
        <x:is>
          <x:t xml:space="preserve">anthropic|claude-sonnet-5.5|high|reasoning|fallback-true|aa-v4.3.2|snapshot-2026-10-16</x:t>
        </x:is>
      </x:c>
      <x:c r="B1008" t="inlineStr">
        <x:is>
          <x:t xml:space="preserve">anthropic|claude-sonnet-5.5|high|reasoning|fallback-true</x:t>
        </x:is>
      </x:c>
      <x:c r="C1008" t="inlineStr">
        <x:is>
          <x:t xml:space="preserve">AA|v4.3.2</x:t>
        </x:is>
      </x:c>
      <x:c r="D1008" t="n">
        <x:v>127</x:v>
      </x:c>
      <x:c r="E1008" t="n">
        <x:v>50</x:v>
      </x:c>
      <x:c r="F1008" t="n">
        <x:f>INDEX(Run_Metrics!$F:$F,D1008)</x:f>
        <x:v>47</x:v>
      </x:c>
      <x:c r="G1008" t="n">
        <x:f>INDEX(Run_Metrics!$G:$G,D1008)</x:f>
        <x:v>0.88</x:v>
      </x:c>
      <x:c r="H1008" t="str">
        <x:f>INDEX(Run_Metrics!$I:$I,D1008)</x:f>
      </x:c>
      <x:c r="I1008" t="n">
        <x:f>IF(F1008="","",F1008-(E1008-1))</x:f>
        <x:v>-2</x:v>
      </x:c>
      <x:c r="J1008" t="n">
        <x:f>IF(I1008&gt;0,1,0)</x:f>
        <x:v>0</x:v>
      </x:c>
      <x:c r="K1008" t="str">
        <x:f>IF(OR(J1008=0,G1008="",G1008=0),"",I1008/G1008)</x:f>
      </x:c>
      <x:c r="L1008" t="str">
        <x:f>IF(OR(J1008=0,I1008=0,G1008=""),"",G1008/I1008)</x:f>
      </x:c>
      <x:c r="M1008" t="str">
        <x:f>IF(OR(J1008=0,G1008="",H1008="",G1008=0,H1008=0),"",I1008/(G1008*H1008))</x:f>
      </x:c>
      <x:c r="N1008" t="str">
        <x:f>IF(K1008="","",K1008/_xlfn.MAXIFS($K:$K,$E:$E,E1008))</x:f>
      </x:c>
      <x:c r="O1008" t="str">
        <x:f>IF(M1008="","",M1008/_xlfn.MAXIFS($M:$M,$E:$E,E1008))</x:f>
      </x:c>
      <x:c r="P1008" t="str">
        <x:f>IF(OR(N1008="",O1008=""),"",SQRT(N1008*O1008))</x:f>
      </x:c>
      <x:c r="Q1008" t="str">
        <x:f>IF(OR(N1008="",O1008=""),"",N1008^0.7*O1008^0.3)</x:f>
      </x:c>
      <x:c r="R1008" t="str">
        <x:f>IF(OR(N1008="",O1008=""),"",N1008^0.3*O1008^0.7)</x:f>
      </x:c>
    </x:row>
    <x:row r="1009" s="14" customFormat="1">
      <x:c r="A1009" t="inlineStr">
        <x:is>
          <x:t xml:space="preserve">anthropic|claude-sonnet-5.5|high|reasoning|fallback-true|aa-v4.3.2|snapshot-2026-10-16</x:t>
        </x:is>
      </x:c>
      <x:c r="B1009" t="inlineStr">
        <x:is>
          <x:t xml:space="preserve">anthropic|claude-sonnet-5.5|high|reasoning|fallback-true</x:t>
        </x:is>
      </x:c>
      <x:c r="C1009" t="inlineStr">
        <x:is>
          <x:t xml:space="preserve">AA|v4.3.2</x:t>
        </x:is>
      </x:c>
      <x:c r="D1009" t="n">
        <x:v>127</x:v>
      </x:c>
      <x:c r="E1009" t="n">
        <x:v>60</x:v>
      </x:c>
      <x:c r="F1009" t="n">
        <x:f>INDEX(Run_Metrics!$F:$F,D1009)</x:f>
        <x:v>47</x:v>
      </x:c>
      <x:c r="G1009" t="n">
        <x:f>INDEX(Run_Metrics!$G:$G,D1009)</x:f>
        <x:v>0.88</x:v>
      </x:c>
      <x:c r="H1009" t="str">
        <x:f>INDEX(Run_Metrics!$I:$I,D1009)</x:f>
      </x:c>
      <x:c r="I1009" t="n">
        <x:f>IF(F1009="","",F1009-(E1009-1))</x:f>
        <x:v>-12</x:v>
      </x:c>
      <x:c r="J1009" t="n">
        <x:f>IF(I1009&gt;0,1,0)</x:f>
        <x:v>0</x:v>
      </x:c>
      <x:c r="K1009" t="str">
        <x:f>IF(OR(J1009=0,G1009="",G1009=0),"",I1009/G1009)</x:f>
      </x:c>
      <x:c r="L1009" t="str">
        <x:f>IF(OR(J1009=0,I1009=0,G1009=""),"",G1009/I1009)</x:f>
      </x:c>
      <x:c r="M1009" t="str">
        <x:f>IF(OR(J1009=0,G1009="",H1009="",G1009=0,H1009=0),"",I1009/(G1009*H1009))</x:f>
      </x:c>
      <x:c r="N1009" t="str">
        <x:f>IF(K1009="","",K1009/_xlfn.MAXIFS($K:$K,$E:$E,E1009))</x:f>
      </x:c>
      <x:c r="O1009" t="str">
        <x:f>IF(M1009="","",M1009/_xlfn.MAXIFS($M:$M,$E:$E,E1009))</x:f>
      </x:c>
      <x:c r="P1009" t="str">
        <x:f>IF(OR(N1009="",O1009=""),"",SQRT(N1009*O1009))</x:f>
      </x:c>
      <x:c r="Q1009" t="str">
        <x:f>IF(OR(N1009="",O1009=""),"",N1009^0.7*O1009^0.3)</x:f>
      </x:c>
      <x:c r="R1009" t="str">
        <x:f>IF(OR(N1009="",O1009=""),"",N1009^0.3*O1009^0.7)</x:f>
      </x:c>
    </x:row>
    <x:row r="1010" s="14" customFormat="1">
      <x:c r="A1010" t="inlineStr">
        <x:is>
          <x:t xml:space="preserve">anthropic|claude-sonnet-5.5|medium|reasoning|fallback-true|aa-v4.3.2|snapshot-2026-10-16</x:t>
        </x:is>
      </x:c>
      <x:c r="B1010" t="inlineStr">
        <x:is>
          <x:t xml:space="preserve">anthropic|claude-sonnet-5.5|medium|reasoning|fallback-true</x:t>
        </x:is>
      </x:c>
      <x:c r="C1010" t="inlineStr">
        <x:is>
          <x:t xml:space="preserve">AA|v4.3.2</x:t>
        </x:is>
      </x:c>
      <x:c r="D1010" t="n">
        <x:v>128</x:v>
      </x:c>
      <x:c r="E1010" t="n">
        <x:v>10</x:v>
      </x:c>
      <x:c r="F1010" t="n">
        <x:f>INDEX(Run_Metrics!$F:$F,D1010)</x:f>
        <x:v>41</x:v>
      </x:c>
      <x:c r="G1010" t="n">
        <x:f>INDEX(Run_Metrics!$G:$G,D1010)</x:f>
        <x:v>0.48</x:v>
      </x:c>
      <x:c r="H1010" t="str">
        <x:f>INDEX(Run_Metrics!$I:$I,D1010)</x:f>
      </x:c>
      <x:c r="I1010" t="n">
        <x:f>IF(F1010="","",F1010-(E1010-1))</x:f>
        <x:v>32</x:v>
      </x:c>
      <x:c r="J1010" t="n">
        <x:f>IF(I1010&gt;0,1,0)</x:f>
        <x:v>1</x:v>
      </x:c>
      <x:c r="K1010" t="n">
        <x:f>IF(OR(J1010=0,G1010="",G1010=0),"",I1010/G1010)</x:f>
        <x:v>66.66666666666667</x:v>
      </x:c>
      <x:c r="L1010" t="n">
        <x:f>IF(OR(J1010=0,I1010=0,G1010=""),"",G1010/I1010)</x:f>
        <x:v>0.015</x:v>
      </x:c>
      <x:c r="M1010" t="str">
        <x:f>IF(OR(J1010=0,G1010="",H1010="",G1010=0,H1010=0),"",I1010/(G1010*H1010))</x:f>
      </x:c>
      <x:c r="N1010" t="n">
        <x:f>IF(K1010="","",K1010/_xlfn.MAXIFS($K:$K,$E:$E,E1010))</x:f>
        <x:v>0.023076923076923078</x:v>
      </x:c>
      <x:c r="O1010" t="str">
        <x:f>IF(M1010="","",M1010/_xlfn.MAXIFS($M:$M,$E:$E,E1010))</x:f>
      </x:c>
      <x:c r="P1010" t="str">
        <x:f>IF(OR(N1010="",O1010=""),"",SQRT(N1010*O1010))</x:f>
      </x:c>
      <x:c r="Q1010" t="str">
        <x:f>IF(OR(N1010="",O1010=""),"",N1010^0.7*O1010^0.3)</x:f>
      </x:c>
      <x:c r="R1010" t="str">
        <x:f>IF(OR(N1010="",O1010=""),"",N1010^0.3*O1010^0.7)</x:f>
      </x:c>
    </x:row>
    <x:row r="1011" s="14" customFormat="1">
      <x:c r="A1011" t="inlineStr">
        <x:is>
          <x:t xml:space="preserve">anthropic|claude-sonnet-5.5|medium|reasoning|fallback-true|aa-v4.3.2|snapshot-2026-10-16</x:t>
        </x:is>
      </x:c>
      <x:c r="B1011" t="inlineStr">
        <x:is>
          <x:t xml:space="preserve">anthropic|claude-sonnet-5.5|medium|reasoning|fallback-true</x:t>
        </x:is>
      </x:c>
      <x:c r="C1011" t="inlineStr">
        <x:is>
          <x:t xml:space="preserve">AA|v4.3.2</x:t>
        </x:is>
      </x:c>
      <x:c r="D1011" t="n">
        <x:v>128</x:v>
      </x:c>
      <x:c r="E1011" t="n">
        <x:v>20</x:v>
      </x:c>
      <x:c r="F1011" t="n">
        <x:f>INDEX(Run_Metrics!$F:$F,D1011)</x:f>
        <x:v>41</x:v>
      </x:c>
      <x:c r="G1011" t="n">
        <x:f>INDEX(Run_Metrics!$G:$G,D1011)</x:f>
        <x:v>0.48</x:v>
      </x:c>
      <x:c r="H1011" t="str">
        <x:f>INDEX(Run_Metrics!$I:$I,D1011)</x:f>
      </x:c>
      <x:c r="I1011" t="n">
        <x:f>IF(F1011="","",F1011-(E1011-1))</x:f>
        <x:v>22</x:v>
      </x:c>
      <x:c r="J1011" t="n">
        <x:f>IF(I1011&gt;0,1,0)</x:f>
        <x:v>1</x:v>
      </x:c>
      <x:c r="K1011" t="n">
        <x:f>IF(OR(J1011=0,G1011="",G1011=0),"",I1011/G1011)</x:f>
        <x:v>45.833333333333336</x:v>
      </x:c>
      <x:c r="L1011" t="n">
        <x:f>IF(OR(J1011=0,I1011=0,G1011=""),"",G1011/I1011)</x:f>
        <x:v>0.021818181818181816</x:v>
      </x:c>
      <x:c r="M1011" t="str">
        <x:f>IF(OR(J1011=0,G1011="",H1011="",G1011=0,H1011=0),"",I1011/(G1011*H1011))</x:f>
      </x:c>
      <x:c r="N1011" t="n">
        <x:f>IF(K1011="","",K1011/_xlfn.MAXIFS($K:$K,$E:$E,E1011))</x:f>
        <x:v>0.06874999999999999</x:v>
      </x:c>
      <x:c r="O1011" t="str">
        <x:f>IF(M1011="","",M1011/_xlfn.MAXIFS($M:$M,$E:$E,E1011))</x:f>
      </x:c>
      <x:c r="P1011" t="str">
        <x:f>IF(OR(N1011="",O1011=""),"",SQRT(N1011*O1011))</x:f>
      </x:c>
      <x:c r="Q1011" t="str">
        <x:f>IF(OR(N1011="",O1011=""),"",N1011^0.7*O1011^0.3)</x:f>
      </x:c>
      <x:c r="R1011" t="str">
        <x:f>IF(OR(N1011="",O1011=""),"",N1011^0.3*O1011^0.7)</x:f>
      </x:c>
    </x:row>
    <x:row r="1012" s="14" customFormat="1">
      <x:c r="A1012" t="inlineStr">
        <x:is>
          <x:t xml:space="preserve">anthropic|claude-sonnet-5.5|medium|reasoning|fallback-true|aa-v4.3.2|snapshot-2026-10-16</x:t>
        </x:is>
      </x:c>
      <x:c r="B1012" t="inlineStr">
        <x:is>
          <x:t xml:space="preserve">anthropic|claude-sonnet-5.5|medium|reasoning|fallback-true</x:t>
        </x:is>
      </x:c>
      <x:c r="C1012" t="inlineStr">
        <x:is>
          <x:t xml:space="preserve">AA|v4.3.2</x:t>
        </x:is>
      </x:c>
      <x:c r="D1012" t="n">
        <x:v>128</x:v>
      </x:c>
      <x:c r="E1012" t="n">
        <x:v>30</x:v>
      </x:c>
      <x:c r="F1012" t="n">
        <x:f>INDEX(Run_Metrics!$F:$F,D1012)</x:f>
        <x:v>41</x:v>
      </x:c>
      <x:c r="G1012" t="n">
        <x:f>INDEX(Run_Metrics!$G:$G,D1012)</x:f>
        <x:v>0.48</x:v>
      </x:c>
      <x:c r="H1012" t="str">
        <x:f>INDEX(Run_Metrics!$I:$I,D1012)</x:f>
      </x:c>
      <x:c r="I1012" t="n">
        <x:f>IF(F1012="","",F1012-(E1012-1))</x:f>
        <x:v>12</x:v>
      </x:c>
      <x:c r="J1012" t="n">
        <x:f>IF(I1012&gt;0,1,0)</x:f>
        <x:v>1</x:v>
      </x:c>
      <x:c r="K1012" t="n">
        <x:f>IF(OR(J1012=0,G1012="",G1012=0),"",I1012/G1012)</x:f>
        <x:v>25</x:v>
      </x:c>
      <x:c r="L1012" t="n">
        <x:f>IF(OR(J1012=0,I1012=0,G1012=""),"",G1012/I1012)</x:f>
        <x:v>0.04</x:v>
      </x:c>
      <x:c r="M1012" t="str">
        <x:f>IF(OR(J1012=0,G1012="",H1012="",G1012=0,H1012=0),"",I1012/(G1012*H1012))</x:f>
      </x:c>
      <x:c r="N1012" t="n">
        <x:f>IF(K1012="","",K1012/_xlfn.MAXIFS($K:$K,$E:$E,E1012))</x:f>
        <x:v>0.16666666666666666</x:v>
      </x:c>
      <x:c r="O1012" t="str">
        <x:f>IF(M1012="","",M1012/_xlfn.MAXIFS($M:$M,$E:$E,E1012))</x:f>
      </x:c>
      <x:c r="P1012" t="str">
        <x:f>IF(OR(N1012="",O1012=""),"",SQRT(N1012*O1012))</x:f>
      </x:c>
      <x:c r="Q1012" t="str">
        <x:f>IF(OR(N1012="",O1012=""),"",N1012^0.7*O1012^0.3)</x:f>
      </x:c>
      <x:c r="R1012" t="str">
        <x:f>IF(OR(N1012="",O1012=""),"",N1012^0.3*O1012^0.7)</x:f>
      </x:c>
    </x:row>
    <x:row r="1013" s="14" customFormat="1">
      <x:c r="A1013" t="inlineStr">
        <x:is>
          <x:t xml:space="preserve">anthropic|claude-sonnet-5.5|medium|reasoning|fallback-true|aa-v4.3.2|snapshot-2026-10-16</x:t>
        </x:is>
      </x:c>
      <x:c r="B1013" t="inlineStr">
        <x:is>
          <x:t xml:space="preserve">anthropic|claude-sonnet-5.5|medium|reasoning|fallback-true</x:t>
        </x:is>
      </x:c>
      <x:c r="C1013" t="inlineStr">
        <x:is>
          <x:t xml:space="preserve">AA|v4.3.2</x:t>
        </x:is>
      </x:c>
      <x:c r="D1013" t="n">
        <x:v>128</x:v>
      </x:c>
      <x:c r="E1013" t="n">
        <x:v>35</x:v>
      </x:c>
      <x:c r="F1013" t="n">
        <x:f>INDEX(Run_Metrics!$F:$F,D1013)</x:f>
        <x:v>41</x:v>
      </x:c>
      <x:c r="G1013" t="n">
        <x:f>INDEX(Run_Metrics!$G:$G,D1013)</x:f>
        <x:v>0.48</x:v>
      </x:c>
      <x:c r="H1013" t="str">
        <x:f>INDEX(Run_Metrics!$I:$I,D1013)</x:f>
      </x:c>
      <x:c r="I1013" t="n">
        <x:f>IF(F1013="","",F1013-(E1013-1))</x:f>
        <x:v>7</x:v>
      </x:c>
      <x:c r="J1013" t="n">
        <x:f>IF(I1013&gt;0,1,0)</x:f>
        <x:v>1</x:v>
      </x:c>
      <x:c r="K1013" t="n">
        <x:f>IF(OR(J1013=0,G1013="",G1013=0),"",I1013/G1013)</x:f>
        <x:v>14.583333333333334</x:v>
      </x:c>
      <x:c r="L1013" t="n">
        <x:f>IF(OR(J1013=0,I1013=0,G1013=""),"",G1013/I1013)</x:f>
        <x:v>0.06857142857142857</x:v>
      </x:c>
      <x:c r="M1013" t="str">
        <x:f>IF(OR(J1013=0,G1013="",H1013="",G1013=0,H1013=0),"",I1013/(G1013*H1013))</x:f>
      </x:c>
      <x:c r="N1013" t="n">
        <x:f>IF(K1013="","",K1013/_xlfn.MAXIFS($K:$K,$E:$E,E1013))</x:f>
        <x:v>0.15798611111111113</x:v>
      </x:c>
      <x:c r="O1013" t="str">
        <x:f>IF(M1013="","",M1013/_xlfn.MAXIFS($M:$M,$E:$E,E1013))</x:f>
      </x:c>
      <x:c r="P1013" t="str">
        <x:f>IF(OR(N1013="",O1013=""),"",SQRT(N1013*O1013))</x:f>
      </x:c>
      <x:c r="Q1013" t="str">
        <x:f>IF(OR(N1013="",O1013=""),"",N1013^0.7*O1013^0.3)</x:f>
      </x:c>
      <x:c r="R1013" t="str">
        <x:f>IF(OR(N1013="",O1013=""),"",N1013^0.3*O1013^0.7)</x:f>
      </x:c>
    </x:row>
    <x:row r="1014" s="14" customFormat="1">
      <x:c r="A1014" t="inlineStr">
        <x:is>
          <x:t xml:space="preserve">anthropic|claude-sonnet-5.5|medium|reasoning|fallback-true|aa-v4.3.2|snapshot-2026-10-16</x:t>
        </x:is>
      </x:c>
      <x:c r="B1014" t="inlineStr">
        <x:is>
          <x:t xml:space="preserve">anthropic|claude-sonnet-5.5|medium|reasoning|fallback-true</x:t>
        </x:is>
      </x:c>
      <x:c r="C1014" t="inlineStr">
        <x:is>
          <x:t xml:space="preserve">AA|v4.3.2</x:t>
        </x:is>
      </x:c>
      <x:c r="D1014" t="n">
        <x:v>128</x:v>
      </x:c>
      <x:c r="E1014" t="n">
        <x:v>40</x:v>
      </x:c>
      <x:c r="F1014" t="n">
        <x:f>INDEX(Run_Metrics!$F:$F,D1014)</x:f>
        <x:v>41</x:v>
      </x:c>
      <x:c r="G1014" t="n">
        <x:f>INDEX(Run_Metrics!$G:$G,D1014)</x:f>
        <x:v>0.48</x:v>
      </x:c>
      <x:c r="H1014" t="str">
        <x:f>INDEX(Run_Metrics!$I:$I,D1014)</x:f>
      </x:c>
      <x:c r="I1014" t="n">
        <x:f>IF(F1014="","",F1014-(E1014-1))</x:f>
        <x:v>2</x:v>
      </x:c>
      <x:c r="J1014" t="n">
        <x:f>IF(I1014&gt;0,1,0)</x:f>
        <x:v>1</x:v>
      </x:c>
      <x:c r="K1014" t="n">
        <x:f>IF(OR(J1014=0,G1014="",G1014=0),"",I1014/G1014)</x:f>
        <x:v>4.166666666666667</x:v>
      </x:c>
      <x:c r="L1014" t="n">
        <x:f>IF(OR(J1014=0,I1014=0,G1014=""),"",G1014/I1014)</x:f>
        <x:v>0.24</x:v>
      </x:c>
      <x:c r="M1014" t="str">
        <x:f>IF(OR(J1014=0,G1014="",H1014="",G1014=0,H1014=0),"",I1014/(G1014*H1014))</x:f>
      </x:c>
      <x:c r="N1014" t="n">
        <x:f>IF(K1014="","",K1014/_xlfn.MAXIFS($K:$K,$E:$E,E1014))</x:f>
        <x:v>0.07738095238095238</x:v>
      </x:c>
      <x:c r="O1014" t="str">
        <x:f>IF(M1014="","",M1014/_xlfn.MAXIFS($M:$M,$E:$E,E1014))</x:f>
      </x:c>
      <x:c r="P1014" t="str">
        <x:f>IF(OR(N1014="",O1014=""),"",SQRT(N1014*O1014))</x:f>
      </x:c>
      <x:c r="Q1014" t="str">
        <x:f>IF(OR(N1014="",O1014=""),"",N1014^0.7*O1014^0.3)</x:f>
      </x:c>
      <x:c r="R1014" t="str">
        <x:f>IF(OR(N1014="",O1014=""),"",N1014^0.3*O1014^0.7)</x:f>
      </x:c>
    </x:row>
    <x:row r="1015" s="14" customFormat="1">
      <x:c r="A1015" t="inlineStr">
        <x:is>
          <x:t xml:space="preserve">anthropic|claude-sonnet-5.5|medium|reasoning|fallback-true|aa-v4.3.2|snapshot-2026-10-16</x:t>
        </x:is>
      </x:c>
      <x:c r="B1015" t="inlineStr">
        <x:is>
          <x:t xml:space="preserve">anthropic|claude-sonnet-5.5|medium|reasoning|fallback-true</x:t>
        </x:is>
      </x:c>
      <x:c r="C1015" t="inlineStr">
        <x:is>
          <x:t xml:space="preserve">AA|v4.3.2</x:t>
        </x:is>
      </x:c>
      <x:c r="D1015" t="n">
        <x:v>128</x:v>
      </x:c>
      <x:c r="E1015" t="n">
        <x:v>45</x:v>
      </x:c>
      <x:c r="F1015" t="n">
        <x:f>INDEX(Run_Metrics!$F:$F,D1015)</x:f>
        <x:v>41</x:v>
      </x:c>
      <x:c r="G1015" t="n">
        <x:f>INDEX(Run_Metrics!$G:$G,D1015)</x:f>
        <x:v>0.48</x:v>
      </x:c>
      <x:c r="H1015" t="str">
        <x:f>INDEX(Run_Metrics!$I:$I,D1015)</x:f>
      </x:c>
      <x:c r="I1015" t="n">
        <x:f>IF(F1015="","",F1015-(E1015-1))</x:f>
        <x:v>-3</x:v>
      </x:c>
      <x:c r="J1015" t="n">
        <x:f>IF(I1015&gt;0,1,0)</x:f>
        <x:v>0</x:v>
      </x:c>
      <x:c r="K1015" t="str">
        <x:f>IF(OR(J1015=0,G1015="",G1015=0),"",I1015/G1015)</x:f>
      </x:c>
      <x:c r="L1015" t="str">
        <x:f>IF(OR(J1015=0,I1015=0,G1015=""),"",G1015/I1015)</x:f>
      </x:c>
      <x:c r="M1015" t="str">
        <x:f>IF(OR(J1015=0,G1015="",H1015="",G1015=0,H1015=0),"",I1015/(G1015*H1015))</x:f>
      </x:c>
      <x:c r="N1015" t="str">
        <x:f>IF(K1015="","",K1015/_xlfn.MAXIFS($K:$K,$E:$E,E1015))</x:f>
      </x:c>
      <x:c r="O1015" t="str">
        <x:f>IF(M1015="","",M1015/_xlfn.MAXIFS($M:$M,$E:$E,E1015))</x:f>
      </x:c>
      <x:c r="P1015" t="str">
        <x:f>IF(OR(N1015="",O1015=""),"",SQRT(N1015*O1015))</x:f>
      </x:c>
      <x:c r="Q1015" t="str">
        <x:f>IF(OR(N1015="",O1015=""),"",N1015^0.7*O1015^0.3)</x:f>
      </x:c>
      <x:c r="R1015" t="str">
        <x:f>IF(OR(N1015="",O1015=""),"",N1015^0.3*O1015^0.7)</x:f>
      </x:c>
    </x:row>
    <x:row r="1016" s="14" customFormat="1">
      <x:c r="A1016" t="inlineStr">
        <x:is>
          <x:t xml:space="preserve">anthropic|claude-sonnet-5.5|medium|reasoning|fallback-true|aa-v4.3.2|snapshot-2026-10-16</x:t>
        </x:is>
      </x:c>
      <x:c r="B1016" t="inlineStr">
        <x:is>
          <x:t xml:space="preserve">anthropic|claude-sonnet-5.5|medium|reasoning|fallback-true</x:t>
        </x:is>
      </x:c>
      <x:c r="C1016" t="inlineStr">
        <x:is>
          <x:t xml:space="preserve">AA|v4.3.2</x:t>
        </x:is>
      </x:c>
      <x:c r="D1016" t="n">
        <x:v>128</x:v>
      </x:c>
      <x:c r="E1016" t="n">
        <x:v>50</x:v>
      </x:c>
      <x:c r="F1016" t="n">
        <x:f>INDEX(Run_Metrics!$F:$F,D1016)</x:f>
        <x:v>41</x:v>
      </x:c>
      <x:c r="G1016" t="n">
        <x:f>INDEX(Run_Metrics!$G:$G,D1016)</x:f>
        <x:v>0.48</x:v>
      </x:c>
      <x:c r="H1016" t="str">
        <x:f>INDEX(Run_Metrics!$I:$I,D1016)</x:f>
      </x:c>
      <x:c r="I1016" t="n">
        <x:f>IF(F1016="","",F1016-(E1016-1))</x:f>
        <x:v>-8</x:v>
      </x:c>
      <x:c r="J1016" t="n">
        <x:f>IF(I1016&gt;0,1,0)</x:f>
        <x:v>0</x:v>
      </x:c>
      <x:c r="K1016" t="str">
        <x:f>IF(OR(J1016=0,G1016="",G1016=0),"",I1016/G1016)</x:f>
      </x:c>
      <x:c r="L1016" t="str">
        <x:f>IF(OR(J1016=0,I1016=0,G1016=""),"",G1016/I1016)</x:f>
      </x:c>
      <x:c r="M1016" t="str">
        <x:f>IF(OR(J1016=0,G1016="",H1016="",G1016=0,H1016=0),"",I1016/(G1016*H1016))</x:f>
      </x:c>
      <x:c r="N1016" t="str">
        <x:f>IF(K1016="","",K1016/_xlfn.MAXIFS($K:$K,$E:$E,E1016))</x:f>
      </x:c>
      <x:c r="O1016" t="str">
        <x:f>IF(M1016="","",M1016/_xlfn.MAXIFS($M:$M,$E:$E,E1016))</x:f>
      </x:c>
      <x:c r="P1016" t="str">
        <x:f>IF(OR(N1016="",O1016=""),"",SQRT(N1016*O1016))</x:f>
      </x:c>
      <x:c r="Q1016" t="str">
        <x:f>IF(OR(N1016="",O1016=""),"",N1016^0.7*O1016^0.3)</x:f>
      </x:c>
      <x:c r="R1016" t="str">
        <x:f>IF(OR(N1016="",O1016=""),"",N1016^0.3*O1016^0.7)</x:f>
      </x:c>
    </x:row>
    <x:row r="1017" s="14" customFormat="1">
      <x:c r="A1017" t="inlineStr">
        <x:is>
          <x:t xml:space="preserve">anthropic|claude-sonnet-5.5|medium|reasoning|fallback-true|aa-v4.3.2|snapshot-2026-10-16</x:t>
        </x:is>
      </x:c>
      <x:c r="B1017" t="inlineStr">
        <x:is>
          <x:t xml:space="preserve">anthropic|claude-sonnet-5.5|medium|reasoning|fallback-true</x:t>
        </x:is>
      </x:c>
      <x:c r="C1017" t="inlineStr">
        <x:is>
          <x:t xml:space="preserve">AA|v4.3.2</x:t>
        </x:is>
      </x:c>
      <x:c r="D1017" t="n">
        <x:v>128</x:v>
      </x:c>
      <x:c r="E1017" t="n">
        <x:v>60</x:v>
      </x:c>
      <x:c r="F1017" t="n">
        <x:f>INDEX(Run_Metrics!$F:$F,D1017)</x:f>
        <x:v>41</x:v>
      </x:c>
      <x:c r="G1017" t="n">
        <x:f>INDEX(Run_Metrics!$G:$G,D1017)</x:f>
        <x:v>0.48</x:v>
      </x:c>
      <x:c r="H1017" t="str">
        <x:f>INDEX(Run_Metrics!$I:$I,D1017)</x:f>
      </x:c>
      <x:c r="I1017" t="n">
        <x:f>IF(F1017="","",F1017-(E1017-1))</x:f>
        <x:v>-18</x:v>
      </x:c>
      <x:c r="J1017" t="n">
        <x:f>IF(I1017&gt;0,1,0)</x:f>
        <x:v>0</x:v>
      </x:c>
      <x:c r="K1017" t="str">
        <x:f>IF(OR(J1017=0,G1017="",G1017=0),"",I1017/G1017)</x:f>
      </x:c>
      <x:c r="L1017" t="str">
        <x:f>IF(OR(J1017=0,I1017=0,G1017=""),"",G1017/I1017)</x:f>
      </x:c>
      <x:c r="M1017" t="str">
        <x:f>IF(OR(J1017=0,G1017="",H1017="",G1017=0,H1017=0),"",I1017/(G1017*H1017))</x:f>
      </x:c>
      <x:c r="N1017" t="str">
        <x:f>IF(K1017="","",K1017/_xlfn.MAXIFS($K:$K,$E:$E,E1017))</x:f>
      </x:c>
      <x:c r="O1017" t="str">
        <x:f>IF(M1017="","",M1017/_xlfn.MAXIFS($M:$M,$E:$E,E1017))</x:f>
      </x:c>
      <x:c r="P1017" t="str">
        <x:f>IF(OR(N1017="",O1017=""),"",SQRT(N1017*O1017))</x:f>
      </x:c>
      <x:c r="Q1017" t="str">
        <x:f>IF(OR(N1017="",O1017=""),"",N1017^0.7*O1017^0.3)</x:f>
      </x:c>
      <x:c r="R1017" t="str">
        <x:f>IF(OR(N1017="",O1017=""),"",N1017^0.3*O1017^0.7)</x:f>
      </x:c>
    </x:row>
    <x:row r="1018" s="14" customFormat="1">
      <x:c r="A1018" t="inlineStr">
        <x:is>
          <x:t xml:space="preserve">anthropic|claude-sonnet-5.5|low|reasoning|fallback-true|aa-v4.3.2|snapshot-2026-10-16</x:t>
        </x:is>
      </x:c>
      <x:c r="B1018" t="inlineStr">
        <x:is>
          <x:t xml:space="preserve">anthropic|claude-sonnet-5.5|low|reasoning|fallback-true</x:t>
        </x:is>
      </x:c>
      <x:c r="C1018" t="inlineStr">
        <x:is>
          <x:t xml:space="preserve">AA|v4.3.2</x:t>
        </x:is>
      </x:c>
      <x:c r="D1018" t="n">
        <x:v>129</x:v>
      </x:c>
      <x:c r="E1018" t="n">
        <x:v>10</x:v>
      </x:c>
      <x:c r="F1018" t="n">
        <x:f>INDEX(Run_Metrics!$F:$F,D1018)</x:f>
        <x:v>36</x:v>
      </x:c>
      <x:c r="G1018" t="n">
        <x:f>INDEX(Run_Metrics!$G:$G,D1018)</x:f>
        <x:v>0.35</x:v>
      </x:c>
      <x:c r="H1018" t="str">
        <x:f>INDEX(Run_Metrics!$I:$I,D1018)</x:f>
      </x:c>
      <x:c r="I1018" t="n">
        <x:f>IF(F1018="","",F1018-(E1018-1))</x:f>
        <x:v>27</x:v>
      </x:c>
      <x:c r="J1018" t="n">
        <x:f>IF(I1018&gt;0,1,0)</x:f>
        <x:v>1</x:v>
      </x:c>
      <x:c r="K1018" t="n">
        <x:f>IF(OR(J1018=0,G1018="",G1018=0),"",I1018/G1018)</x:f>
        <x:v>77.14285714285715</x:v>
      </x:c>
      <x:c r="L1018" t="n">
        <x:f>IF(OR(J1018=0,I1018=0,G1018=""),"",G1018/I1018)</x:f>
        <x:v>0.012962962962962963</x:v>
      </x:c>
      <x:c r="M1018" t="str">
        <x:f>IF(OR(J1018=0,G1018="",H1018="",G1018=0,H1018=0),"",I1018/(G1018*H1018))</x:f>
      </x:c>
      <x:c r="N1018" t="n">
        <x:f>IF(K1018="","",K1018/_xlfn.MAXIFS($K:$K,$E:$E,E1018))</x:f>
        <x:v>0.026703296703296703</x:v>
      </x:c>
      <x:c r="O1018" t="str">
        <x:f>IF(M1018="","",M1018/_xlfn.MAXIFS($M:$M,$E:$E,E1018))</x:f>
      </x:c>
      <x:c r="P1018" t="str">
        <x:f>IF(OR(N1018="",O1018=""),"",SQRT(N1018*O1018))</x:f>
      </x:c>
      <x:c r="Q1018" t="str">
        <x:f>IF(OR(N1018="",O1018=""),"",N1018^0.7*O1018^0.3)</x:f>
      </x:c>
      <x:c r="R1018" t="str">
        <x:f>IF(OR(N1018="",O1018=""),"",N1018^0.3*O1018^0.7)</x:f>
      </x:c>
    </x:row>
    <x:row r="1019" s="14" customFormat="1">
      <x:c r="A1019" t="inlineStr">
        <x:is>
          <x:t xml:space="preserve">anthropic|claude-sonnet-5.5|low|reasoning|fallback-true|aa-v4.3.2|snapshot-2026-10-16</x:t>
        </x:is>
      </x:c>
      <x:c r="B1019" t="inlineStr">
        <x:is>
          <x:t xml:space="preserve">anthropic|claude-sonnet-5.5|low|reasoning|fallback-true</x:t>
        </x:is>
      </x:c>
      <x:c r="C1019" t="inlineStr">
        <x:is>
          <x:t xml:space="preserve">AA|v4.3.2</x:t>
        </x:is>
      </x:c>
      <x:c r="D1019" t="n">
        <x:v>129</x:v>
      </x:c>
      <x:c r="E1019" t="n">
        <x:v>20</x:v>
      </x:c>
      <x:c r="F1019" t="n">
        <x:f>INDEX(Run_Metrics!$F:$F,D1019)</x:f>
        <x:v>36</x:v>
      </x:c>
      <x:c r="G1019" t="n">
        <x:f>INDEX(Run_Metrics!$G:$G,D1019)</x:f>
        <x:v>0.35</x:v>
      </x:c>
      <x:c r="H1019" t="str">
        <x:f>INDEX(Run_Metrics!$I:$I,D1019)</x:f>
      </x:c>
      <x:c r="I1019" t="n">
        <x:f>IF(F1019="","",F1019-(E1019-1))</x:f>
        <x:v>17</x:v>
      </x:c>
      <x:c r="J1019" t="n">
        <x:f>IF(I1019&gt;0,1,0)</x:f>
        <x:v>1</x:v>
      </x:c>
      <x:c r="K1019" t="n">
        <x:f>IF(OR(J1019=0,G1019="",G1019=0),"",I1019/G1019)</x:f>
        <x:v>48.57142857142858</x:v>
      </x:c>
      <x:c r="L1019" t="n">
        <x:f>IF(OR(J1019=0,I1019=0,G1019=""),"",G1019/I1019)</x:f>
        <x:v>0.020588235294117647</x:v>
      </x:c>
      <x:c r="M1019" t="str">
        <x:f>IF(OR(J1019=0,G1019="",H1019="",G1019=0,H1019=0),"",I1019/(G1019*H1019))</x:f>
      </x:c>
      <x:c r="N1019" t="n">
        <x:f>IF(K1019="","",K1019/_xlfn.MAXIFS($K:$K,$E:$E,E1019))</x:f>
        <x:v>0.07285714285714286</x:v>
      </x:c>
      <x:c r="O1019" t="str">
        <x:f>IF(M1019="","",M1019/_xlfn.MAXIFS($M:$M,$E:$E,E1019))</x:f>
      </x:c>
      <x:c r="P1019" t="str">
        <x:f>IF(OR(N1019="",O1019=""),"",SQRT(N1019*O1019))</x:f>
      </x:c>
      <x:c r="Q1019" t="str">
        <x:f>IF(OR(N1019="",O1019=""),"",N1019^0.7*O1019^0.3)</x:f>
      </x:c>
      <x:c r="R1019" t="str">
        <x:f>IF(OR(N1019="",O1019=""),"",N1019^0.3*O1019^0.7)</x:f>
      </x:c>
    </x:row>
    <x:row r="1020" s="14" customFormat="1">
      <x:c r="A1020" t="inlineStr">
        <x:is>
          <x:t xml:space="preserve">anthropic|claude-sonnet-5.5|low|reasoning|fallback-true|aa-v4.3.2|snapshot-2026-10-16</x:t>
        </x:is>
      </x:c>
      <x:c r="B1020" t="inlineStr">
        <x:is>
          <x:t xml:space="preserve">anthropic|claude-sonnet-5.5|low|reasoning|fallback-true</x:t>
        </x:is>
      </x:c>
      <x:c r="C1020" t="inlineStr">
        <x:is>
          <x:t xml:space="preserve">AA|v4.3.2</x:t>
        </x:is>
      </x:c>
      <x:c r="D1020" t="n">
        <x:v>129</x:v>
      </x:c>
      <x:c r="E1020" t="n">
        <x:v>30</x:v>
      </x:c>
      <x:c r="F1020" t="n">
        <x:f>INDEX(Run_Metrics!$F:$F,D1020)</x:f>
        <x:v>36</x:v>
      </x:c>
      <x:c r="G1020" t="n">
        <x:f>INDEX(Run_Metrics!$G:$G,D1020)</x:f>
        <x:v>0.35</x:v>
      </x:c>
      <x:c r="H1020" t="str">
        <x:f>INDEX(Run_Metrics!$I:$I,D1020)</x:f>
      </x:c>
      <x:c r="I1020" t="n">
        <x:f>IF(F1020="","",F1020-(E1020-1))</x:f>
        <x:v>7</x:v>
      </x:c>
      <x:c r="J1020" t="n">
        <x:f>IF(I1020&gt;0,1,0)</x:f>
        <x:v>1</x:v>
      </x:c>
      <x:c r="K1020" t="n">
        <x:f>IF(OR(J1020=0,G1020="",G1020=0),"",I1020/G1020)</x:f>
        <x:v>20</x:v>
      </x:c>
      <x:c r="L1020" t="n">
        <x:f>IF(OR(J1020=0,I1020=0,G1020=""),"",G1020/I1020)</x:f>
        <x:v>0.049999999999999996</x:v>
      </x:c>
      <x:c r="M1020" t="str">
        <x:f>IF(OR(J1020=0,G1020="",H1020="",G1020=0,H1020=0),"",I1020/(G1020*H1020))</x:f>
      </x:c>
      <x:c r="N1020" t="n">
        <x:f>IF(K1020="","",K1020/_xlfn.MAXIFS($K:$K,$E:$E,E1020))</x:f>
        <x:v>0.13333333333333333</x:v>
      </x:c>
      <x:c r="O1020" t="str">
        <x:f>IF(M1020="","",M1020/_xlfn.MAXIFS($M:$M,$E:$E,E1020))</x:f>
      </x:c>
      <x:c r="P1020" t="str">
        <x:f>IF(OR(N1020="",O1020=""),"",SQRT(N1020*O1020))</x:f>
      </x:c>
      <x:c r="Q1020" t="str">
        <x:f>IF(OR(N1020="",O1020=""),"",N1020^0.7*O1020^0.3)</x:f>
      </x:c>
      <x:c r="R1020" t="str">
        <x:f>IF(OR(N1020="",O1020=""),"",N1020^0.3*O1020^0.7)</x:f>
      </x:c>
    </x:row>
    <x:row r="1021" s="14" customFormat="1">
      <x:c r="A1021" t="inlineStr">
        <x:is>
          <x:t xml:space="preserve">anthropic|claude-sonnet-5.5|low|reasoning|fallback-true|aa-v4.3.2|snapshot-2026-10-16</x:t>
        </x:is>
      </x:c>
      <x:c r="B1021" t="inlineStr">
        <x:is>
          <x:t xml:space="preserve">anthropic|claude-sonnet-5.5|low|reasoning|fallback-true</x:t>
        </x:is>
      </x:c>
      <x:c r="C1021" t="inlineStr">
        <x:is>
          <x:t xml:space="preserve">AA|v4.3.2</x:t>
        </x:is>
      </x:c>
      <x:c r="D1021" t="n">
        <x:v>129</x:v>
      </x:c>
      <x:c r="E1021" t="n">
        <x:v>35</x:v>
      </x:c>
      <x:c r="F1021" t="n">
        <x:f>INDEX(Run_Metrics!$F:$F,D1021)</x:f>
        <x:v>36</x:v>
      </x:c>
      <x:c r="G1021" t="n">
        <x:f>INDEX(Run_Metrics!$G:$G,D1021)</x:f>
        <x:v>0.35</x:v>
      </x:c>
      <x:c r="H1021" t="str">
        <x:f>INDEX(Run_Metrics!$I:$I,D1021)</x:f>
      </x:c>
      <x:c r="I1021" t="n">
        <x:f>IF(F1021="","",F1021-(E1021-1))</x:f>
        <x:v>2</x:v>
      </x:c>
      <x:c r="J1021" t="n">
        <x:f>IF(I1021&gt;0,1,0)</x:f>
        <x:v>1</x:v>
      </x:c>
      <x:c r="K1021" t="n">
        <x:f>IF(OR(J1021=0,G1021="",G1021=0),"",I1021/G1021)</x:f>
        <x:v>5.714285714285714</x:v>
      </x:c>
      <x:c r="L1021" t="n">
        <x:f>IF(OR(J1021=0,I1021=0,G1021=""),"",G1021/I1021)</x:f>
        <x:v>0.175</x:v>
      </x:c>
      <x:c r="M1021" t="str">
        <x:f>IF(OR(J1021=0,G1021="",H1021="",G1021=0,H1021=0),"",I1021/(G1021*H1021))</x:f>
      </x:c>
      <x:c r="N1021" t="n">
        <x:f>IF(K1021="","",K1021/_xlfn.MAXIFS($K:$K,$E:$E,E1021))</x:f>
        <x:v>0.06190476190476191</x:v>
      </x:c>
      <x:c r="O1021" t="str">
        <x:f>IF(M1021="","",M1021/_xlfn.MAXIFS($M:$M,$E:$E,E1021))</x:f>
      </x:c>
      <x:c r="P1021" t="str">
        <x:f>IF(OR(N1021="",O1021=""),"",SQRT(N1021*O1021))</x:f>
      </x:c>
      <x:c r="Q1021" t="str">
        <x:f>IF(OR(N1021="",O1021=""),"",N1021^0.7*O1021^0.3)</x:f>
      </x:c>
      <x:c r="R1021" t="str">
        <x:f>IF(OR(N1021="",O1021=""),"",N1021^0.3*O1021^0.7)</x:f>
      </x:c>
    </x:row>
    <x:row r="1022" s="14" customFormat="1">
      <x:c r="A1022" t="inlineStr">
        <x:is>
          <x:t xml:space="preserve">anthropic|claude-sonnet-5.5|low|reasoning|fallback-true|aa-v4.3.2|snapshot-2026-10-16</x:t>
        </x:is>
      </x:c>
      <x:c r="B1022" t="inlineStr">
        <x:is>
          <x:t xml:space="preserve">anthropic|claude-sonnet-5.5|low|reasoning|fallback-true</x:t>
        </x:is>
      </x:c>
      <x:c r="C1022" t="inlineStr">
        <x:is>
          <x:t xml:space="preserve">AA|v4.3.2</x:t>
        </x:is>
      </x:c>
      <x:c r="D1022" t="n">
        <x:v>129</x:v>
      </x:c>
      <x:c r="E1022" t="n">
        <x:v>40</x:v>
      </x:c>
      <x:c r="F1022" t="n">
        <x:f>INDEX(Run_Metrics!$F:$F,D1022)</x:f>
        <x:v>36</x:v>
      </x:c>
      <x:c r="G1022" t="n">
        <x:f>INDEX(Run_Metrics!$G:$G,D1022)</x:f>
        <x:v>0.35</x:v>
      </x:c>
      <x:c r="H1022" t="str">
        <x:f>INDEX(Run_Metrics!$I:$I,D1022)</x:f>
      </x:c>
      <x:c r="I1022" t="n">
        <x:f>IF(F1022="","",F1022-(E1022-1))</x:f>
        <x:v>-3</x:v>
      </x:c>
      <x:c r="J1022" t="n">
        <x:f>IF(I1022&gt;0,1,0)</x:f>
        <x:v>0</x:v>
      </x:c>
      <x:c r="K1022" t="str">
        <x:f>IF(OR(J1022=0,G1022="",G1022=0),"",I1022/G1022)</x:f>
      </x:c>
      <x:c r="L1022" t="str">
        <x:f>IF(OR(J1022=0,I1022=0,G1022=""),"",G1022/I1022)</x:f>
      </x:c>
      <x:c r="M1022" t="str">
        <x:f>IF(OR(J1022=0,G1022="",H1022="",G1022=0,H1022=0),"",I1022/(G1022*H1022))</x:f>
      </x:c>
      <x:c r="N1022" t="str">
        <x:f>IF(K1022="","",K1022/_xlfn.MAXIFS($K:$K,$E:$E,E1022))</x:f>
      </x:c>
      <x:c r="O1022" t="str">
        <x:f>IF(M1022="","",M1022/_xlfn.MAXIFS($M:$M,$E:$E,E1022))</x:f>
      </x:c>
      <x:c r="P1022" t="str">
        <x:f>IF(OR(N1022="",O1022=""),"",SQRT(N1022*O1022))</x:f>
      </x:c>
      <x:c r="Q1022" t="str">
        <x:f>IF(OR(N1022="",O1022=""),"",N1022^0.7*O1022^0.3)</x:f>
      </x:c>
      <x:c r="R1022" t="str">
        <x:f>IF(OR(N1022="",O1022=""),"",N1022^0.3*O1022^0.7)</x:f>
      </x:c>
    </x:row>
    <x:row r="1023" s="14" customFormat="1">
      <x:c r="A1023" t="inlineStr">
        <x:is>
          <x:t xml:space="preserve">anthropic|claude-sonnet-5.5|low|reasoning|fallback-true|aa-v4.3.2|snapshot-2026-10-16</x:t>
        </x:is>
      </x:c>
      <x:c r="B1023" t="inlineStr">
        <x:is>
          <x:t xml:space="preserve">anthropic|claude-sonnet-5.5|low|reasoning|fallback-true</x:t>
        </x:is>
      </x:c>
      <x:c r="C1023" t="inlineStr">
        <x:is>
          <x:t xml:space="preserve">AA|v4.3.2</x:t>
        </x:is>
      </x:c>
      <x:c r="D1023" t="n">
        <x:v>129</x:v>
      </x:c>
      <x:c r="E1023" t="n">
        <x:v>45</x:v>
      </x:c>
      <x:c r="F1023" t="n">
        <x:f>INDEX(Run_Metrics!$F:$F,D1023)</x:f>
        <x:v>36</x:v>
      </x:c>
      <x:c r="G1023" t="n">
        <x:f>INDEX(Run_Metrics!$G:$G,D1023)</x:f>
        <x:v>0.35</x:v>
      </x:c>
      <x:c r="H1023" t="str">
        <x:f>INDEX(Run_Metrics!$I:$I,D1023)</x:f>
      </x:c>
      <x:c r="I1023" t="n">
        <x:f>IF(F1023="","",F1023-(E1023-1))</x:f>
        <x:v>-8</x:v>
      </x:c>
      <x:c r="J1023" t="n">
        <x:f>IF(I1023&gt;0,1,0)</x:f>
        <x:v>0</x:v>
      </x:c>
      <x:c r="K1023" t="str">
        <x:f>IF(OR(J1023=0,G1023="",G1023=0),"",I1023/G1023)</x:f>
      </x:c>
      <x:c r="L1023" t="str">
        <x:f>IF(OR(J1023=0,I1023=0,G1023=""),"",G1023/I1023)</x:f>
      </x:c>
      <x:c r="M1023" t="str">
        <x:f>IF(OR(J1023=0,G1023="",H1023="",G1023=0,H1023=0),"",I1023/(G1023*H1023))</x:f>
      </x:c>
      <x:c r="N1023" t="str">
        <x:f>IF(K1023="","",K1023/_xlfn.MAXIFS($K:$K,$E:$E,E1023))</x:f>
      </x:c>
      <x:c r="O1023" t="str">
        <x:f>IF(M1023="","",M1023/_xlfn.MAXIFS($M:$M,$E:$E,E1023))</x:f>
      </x:c>
      <x:c r="P1023" t="str">
        <x:f>IF(OR(N1023="",O1023=""),"",SQRT(N1023*O1023))</x:f>
      </x:c>
      <x:c r="Q1023" t="str">
        <x:f>IF(OR(N1023="",O1023=""),"",N1023^0.7*O1023^0.3)</x:f>
      </x:c>
      <x:c r="R1023" t="str">
        <x:f>IF(OR(N1023="",O1023=""),"",N1023^0.3*O1023^0.7)</x:f>
      </x:c>
    </x:row>
    <x:row r="1024" s="14" customFormat="1">
      <x:c r="A1024" t="inlineStr">
        <x:is>
          <x:t xml:space="preserve">anthropic|claude-sonnet-5.5|low|reasoning|fallback-true|aa-v4.3.2|snapshot-2026-10-16</x:t>
        </x:is>
      </x:c>
      <x:c r="B1024" t="inlineStr">
        <x:is>
          <x:t xml:space="preserve">anthropic|claude-sonnet-5.5|low|reasoning|fallback-true</x:t>
        </x:is>
      </x:c>
      <x:c r="C1024" t="inlineStr">
        <x:is>
          <x:t xml:space="preserve">AA|v4.3.2</x:t>
        </x:is>
      </x:c>
      <x:c r="D1024" t="n">
        <x:v>129</x:v>
      </x:c>
      <x:c r="E1024" t="n">
        <x:v>50</x:v>
      </x:c>
      <x:c r="F1024" t="n">
        <x:f>INDEX(Run_Metrics!$F:$F,D1024)</x:f>
        <x:v>36</x:v>
      </x:c>
      <x:c r="G1024" t="n">
        <x:f>INDEX(Run_Metrics!$G:$G,D1024)</x:f>
        <x:v>0.35</x:v>
      </x:c>
      <x:c r="H1024" t="str">
        <x:f>INDEX(Run_Metrics!$I:$I,D1024)</x:f>
      </x:c>
      <x:c r="I1024" t="n">
        <x:f>IF(F1024="","",F1024-(E1024-1))</x:f>
        <x:v>-13</x:v>
      </x:c>
      <x:c r="J1024" t="n">
        <x:f>IF(I1024&gt;0,1,0)</x:f>
        <x:v>0</x:v>
      </x:c>
      <x:c r="K1024" t="str">
        <x:f>IF(OR(J1024=0,G1024="",G1024=0),"",I1024/G1024)</x:f>
      </x:c>
      <x:c r="L1024" t="str">
        <x:f>IF(OR(J1024=0,I1024=0,G1024=""),"",G1024/I1024)</x:f>
      </x:c>
      <x:c r="M1024" t="str">
        <x:f>IF(OR(J1024=0,G1024="",H1024="",G1024=0,H1024=0),"",I1024/(G1024*H1024))</x:f>
      </x:c>
      <x:c r="N1024" t="str">
        <x:f>IF(K1024="","",K1024/_xlfn.MAXIFS($K:$K,$E:$E,E1024))</x:f>
      </x:c>
      <x:c r="O1024" t="str">
        <x:f>IF(M1024="","",M1024/_xlfn.MAXIFS($M:$M,$E:$E,E1024))</x:f>
      </x:c>
      <x:c r="P1024" t="str">
        <x:f>IF(OR(N1024="",O1024=""),"",SQRT(N1024*O1024))</x:f>
      </x:c>
      <x:c r="Q1024" t="str">
        <x:f>IF(OR(N1024="",O1024=""),"",N1024^0.7*O1024^0.3)</x:f>
      </x:c>
      <x:c r="R1024" t="str">
        <x:f>IF(OR(N1024="",O1024=""),"",N1024^0.3*O1024^0.7)</x:f>
      </x:c>
    </x:row>
    <x:row r="1025" s="14" customFormat="1">
      <x:c r="A1025" t="inlineStr">
        <x:is>
          <x:t xml:space="preserve">anthropic|claude-sonnet-5.5|low|reasoning|fallback-true|aa-v4.3.2|snapshot-2026-10-16</x:t>
        </x:is>
      </x:c>
      <x:c r="B1025" t="inlineStr">
        <x:is>
          <x:t xml:space="preserve">anthropic|claude-sonnet-5.5|low|reasoning|fallback-true</x:t>
        </x:is>
      </x:c>
      <x:c r="C1025" t="inlineStr">
        <x:is>
          <x:t xml:space="preserve">AA|v4.3.2</x:t>
        </x:is>
      </x:c>
      <x:c r="D1025" t="n">
        <x:v>129</x:v>
      </x:c>
      <x:c r="E1025" t="n">
        <x:v>60</x:v>
      </x:c>
      <x:c r="F1025" t="n">
        <x:f>INDEX(Run_Metrics!$F:$F,D1025)</x:f>
        <x:v>36</x:v>
      </x:c>
      <x:c r="G1025" t="n">
        <x:f>INDEX(Run_Metrics!$G:$G,D1025)</x:f>
        <x:v>0.35</x:v>
      </x:c>
      <x:c r="H1025" t="str">
        <x:f>INDEX(Run_Metrics!$I:$I,D1025)</x:f>
      </x:c>
      <x:c r="I1025" t="n">
        <x:f>IF(F1025="","",F1025-(E1025-1))</x:f>
        <x:v>-23</x:v>
      </x:c>
      <x:c r="J1025" t="n">
        <x:f>IF(I1025&gt;0,1,0)</x:f>
        <x:v>0</x:v>
      </x:c>
      <x:c r="K1025" t="str">
        <x:f>IF(OR(J1025=0,G1025="",G1025=0),"",I1025/G1025)</x:f>
      </x:c>
      <x:c r="L1025" t="str">
        <x:f>IF(OR(J1025=0,I1025=0,G1025=""),"",G1025/I1025)</x:f>
      </x:c>
      <x:c r="M1025" t="str">
        <x:f>IF(OR(J1025=0,G1025="",H1025="",G1025=0,H1025=0),"",I1025/(G1025*H1025))</x:f>
      </x:c>
      <x:c r="N1025" t="str">
        <x:f>IF(K1025="","",K1025/_xlfn.MAXIFS($K:$K,$E:$E,E1025))</x:f>
      </x:c>
      <x:c r="O1025" t="str">
        <x:f>IF(M1025="","",M1025/_xlfn.MAXIFS($M:$M,$E:$E,E1025))</x:f>
      </x:c>
      <x:c r="P1025" t="str">
        <x:f>IF(OR(N1025="",O1025=""),"",SQRT(N1025*O1025))</x:f>
      </x:c>
      <x:c r="Q1025" t="str">
        <x:f>IF(OR(N1025="",O1025=""),"",N1025^0.7*O1025^0.3)</x:f>
      </x:c>
      <x:c r="R1025" t="str">
        <x:f>IF(OR(N1025="",O1025=""),"",N1025^0.3*O1025^0.7)</x:f>
      </x:c>
    </x:row>
    <x:row r="1026" s="14" customFormat="1">
      <x:c r="A1026" t="inlineStr">
        <x:is>
          <x:t xml:space="preserve">openai|gpt-5-6-terra|max|reasoning|fallback-na|aa-v4.3.2|snapshot-2026-10-16</x:t>
        </x:is>
      </x:c>
      <x:c r="B1026" t="inlineStr">
        <x:is>
          <x:t xml:space="preserve">openai|gpt-5-6-terra|max|reasoning|fallback-na</x:t>
        </x:is>
      </x:c>
      <x:c r="C1026" t="inlineStr">
        <x:is>
          <x:t xml:space="preserve">AA|v4.3.2</x:t>
        </x:is>
      </x:c>
      <x:c r="D1026" t="n">
        <x:v>130</x:v>
      </x:c>
      <x:c r="E1026" t="n">
        <x:v>10</x:v>
      </x:c>
      <x:c r="F1026" t="n">
        <x:f>INDEX(Run_Metrics!$F:$F,D1026)</x:f>
        <x:v>42</x:v>
      </x:c>
      <x:c r="G1026" t="n">
        <x:f>INDEX(Run_Metrics!$G:$G,D1026)</x:f>
        <x:v>1.4</x:v>
      </x:c>
      <x:c r="H1026" t="str">
        <x:f>INDEX(Run_Metrics!$I:$I,D1026)</x:f>
      </x:c>
      <x:c r="I1026" t="n">
        <x:f>IF(F1026="","",F1026-(E1026-1))</x:f>
        <x:v>33</x:v>
      </x:c>
      <x:c r="J1026" t="n">
        <x:f>IF(I1026&gt;0,1,0)</x:f>
        <x:v>1</x:v>
      </x:c>
      <x:c r="K1026" t="n">
        <x:f>IF(OR(J1026=0,G1026="",G1026=0),"",I1026/G1026)</x:f>
        <x:v>23.571428571428573</x:v>
      </x:c>
      <x:c r="L1026" t="n">
        <x:f>IF(OR(J1026=0,I1026=0,G1026=""),"",G1026/I1026)</x:f>
        <x:v>0.04242424242424242</x:v>
      </x:c>
      <x:c r="M1026" t="str">
        <x:f>IF(OR(J1026=0,G1026="",H1026="",G1026=0,H1026=0),"",I1026/(G1026*H1026))</x:f>
      </x:c>
      <x:c r="N1026" t="n">
        <x:f>IF(K1026="","",K1026/_xlfn.MAXIFS($K:$K,$E:$E,E1026))</x:f>
        <x:v>0.00815934065934066</x:v>
      </x:c>
      <x:c r="O1026" t="str">
        <x:f>IF(M1026="","",M1026/_xlfn.MAXIFS($M:$M,$E:$E,E1026))</x:f>
      </x:c>
      <x:c r="P1026" t="str">
        <x:f>IF(OR(N1026="",O1026=""),"",SQRT(N1026*O1026))</x:f>
      </x:c>
      <x:c r="Q1026" t="str">
        <x:f>IF(OR(N1026="",O1026=""),"",N1026^0.7*O1026^0.3)</x:f>
      </x:c>
      <x:c r="R1026" t="str">
        <x:f>IF(OR(N1026="",O1026=""),"",N1026^0.3*O1026^0.7)</x:f>
      </x:c>
    </x:row>
    <x:row r="1027" s="14" customFormat="1">
      <x:c r="A1027" t="inlineStr">
        <x:is>
          <x:t xml:space="preserve">openai|gpt-5-6-terra|max|reasoning|fallback-na|aa-v4.3.2|snapshot-2026-10-16</x:t>
        </x:is>
      </x:c>
      <x:c r="B1027" t="inlineStr">
        <x:is>
          <x:t xml:space="preserve">openai|gpt-5-6-terra|max|reasoning|fallback-na</x:t>
        </x:is>
      </x:c>
      <x:c r="C1027" t="inlineStr">
        <x:is>
          <x:t xml:space="preserve">AA|v4.3.2</x:t>
        </x:is>
      </x:c>
      <x:c r="D1027" t="n">
        <x:v>130</x:v>
      </x:c>
      <x:c r="E1027" t="n">
        <x:v>20</x:v>
      </x:c>
      <x:c r="F1027" t="n">
        <x:f>INDEX(Run_Metrics!$F:$F,D1027)</x:f>
        <x:v>42</x:v>
      </x:c>
      <x:c r="G1027" t="n">
        <x:f>INDEX(Run_Metrics!$G:$G,D1027)</x:f>
        <x:v>1.4</x:v>
      </x:c>
      <x:c r="H1027" t="str">
        <x:f>INDEX(Run_Metrics!$I:$I,D1027)</x:f>
      </x:c>
      <x:c r="I1027" t="n">
        <x:f>IF(F1027="","",F1027-(E1027-1))</x:f>
        <x:v>23</x:v>
      </x:c>
      <x:c r="J1027" t="n">
        <x:f>IF(I1027&gt;0,1,0)</x:f>
        <x:v>1</x:v>
      </x:c>
      <x:c r="K1027" t="n">
        <x:f>IF(OR(J1027=0,G1027="",G1027=0),"",I1027/G1027)</x:f>
        <x:v>16.42857142857143</x:v>
      </x:c>
      <x:c r="L1027" t="n">
        <x:f>IF(OR(J1027=0,I1027=0,G1027=""),"",G1027/I1027)</x:f>
        <x:v>0.0608695652173913</x:v>
      </x:c>
      <x:c r="M1027" t="str">
        <x:f>IF(OR(J1027=0,G1027="",H1027="",G1027=0,H1027=0),"",I1027/(G1027*H1027))</x:f>
      </x:c>
      <x:c r="N1027" t="n">
        <x:f>IF(K1027="","",K1027/_xlfn.MAXIFS($K:$K,$E:$E,E1027))</x:f>
        <x:v>0.024642857142857143</x:v>
      </x:c>
      <x:c r="O1027" t="str">
        <x:f>IF(M1027="","",M1027/_xlfn.MAXIFS($M:$M,$E:$E,E1027))</x:f>
      </x:c>
      <x:c r="P1027" t="str">
        <x:f>IF(OR(N1027="",O1027=""),"",SQRT(N1027*O1027))</x:f>
      </x:c>
      <x:c r="Q1027" t="str">
        <x:f>IF(OR(N1027="",O1027=""),"",N1027^0.7*O1027^0.3)</x:f>
      </x:c>
      <x:c r="R1027" t="str">
        <x:f>IF(OR(N1027="",O1027=""),"",N1027^0.3*O1027^0.7)</x:f>
      </x:c>
    </x:row>
    <x:row r="1028" s="14" customFormat="1">
      <x:c r="A1028" t="inlineStr">
        <x:is>
          <x:t xml:space="preserve">openai|gpt-5-6-terra|max|reasoning|fallback-na|aa-v4.3.2|snapshot-2026-10-16</x:t>
        </x:is>
      </x:c>
      <x:c r="B1028" t="inlineStr">
        <x:is>
          <x:t xml:space="preserve">openai|gpt-5-6-terra|max|reasoning|fallback-na</x:t>
        </x:is>
      </x:c>
      <x:c r="C1028" t="inlineStr">
        <x:is>
          <x:t xml:space="preserve">AA|v4.3.2</x:t>
        </x:is>
      </x:c>
      <x:c r="D1028" t="n">
        <x:v>130</x:v>
      </x:c>
      <x:c r="E1028" t="n">
        <x:v>30</x:v>
      </x:c>
      <x:c r="F1028" t="n">
        <x:f>INDEX(Run_Metrics!$F:$F,D1028)</x:f>
        <x:v>42</x:v>
      </x:c>
      <x:c r="G1028" t="n">
        <x:f>INDEX(Run_Metrics!$G:$G,D1028)</x:f>
        <x:v>1.4</x:v>
      </x:c>
      <x:c r="H1028" t="str">
        <x:f>INDEX(Run_Metrics!$I:$I,D1028)</x:f>
      </x:c>
      <x:c r="I1028" t="n">
        <x:f>IF(F1028="","",F1028-(E1028-1))</x:f>
        <x:v>13</x:v>
      </x:c>
      <x:c r="J1028" t="n">
        <x:f>IF(I1028&gt;0,1,0)</x:f>
        <x:v>1</x:v>
      </x:c>
      <x:c r="K1028" t="n">
        <x:f>IF(OR(J1028=0,G1028="",G1028=0),"",I1028/G1028)</x:f>
        <x:v>9.285714285714286</x:v>
      </x:c>
      <x:c r="L1028" t="n">
        <x:f>IF(OR(J1028=0,I1028=0,G1028=""),"",G1028/I1028)</x:f>
        <x:v>0.10769230769230768</x:v>
      </x:c>
      <x:c r="M1028" t="str">
        <x:f>IF(OR(J1028=0,G1028="",H1028="",G1028=0,H1028=0),"",I1028/(G1028*H1028))</x:f>
      </x:c>
      <x:c r="N1028" t="n">
        <x:f>IF(K1028="","",K1028/_xlfn.MAXIFS($K:$K,$E:$E,E1028))</x:f>
        <x:v>0.06190476190476191</x:v>
      </x:c>
      <x:c r="O1028" t="str">
        <x:f>IF(M1028="","",M1028/_xlfn.MAXIFS($M:$M,$E:$E,E1028))</x:f>
      </x:c>
      <x:c r="P1028" t="str">
        <x:f>IF(OR(N1028="",O1028=""),"",SQRT(N1028*O1028))</x:f>
      </x:c>
      <x:c r="Q1028" t="str">
        <x:f>IF(OR(N1028="",O1028=""),"",N1028^0.7*O1028^0.3)</x:f>
      </x:c>
      <x:c r="R1028" t="str">
        <x:f>IF(OR(N1028="",O1028=""),"",N1028^0.3*O1028^0.7)</x:f>
      </x:c>
    </x:row>
    <x:row r="1029" s="14" customFormat="1">
      <x:c r="A1029" t="inlineStr">
        <x:is>
          <x:t xml:space="preserve">openai|gpt-5-6-terra|max|reasoning|fallback-na|aa-v4.3.2|snapshot-2026-10-16</x:t>
        </x:is>
      </x:c>
      <x:c r="B1029" t="inlineStr">
        <x:is>
          <x:t xml:space="preserve">openai|gpt-5-6-terra|max|reasoning|fallback-na</x:t>
        </x:is>
      </x:c>
      <x:c r="C1029" t="inlineStr">
        <x:is>
          <x:t xml:space="preserve">AA|v4.3.2</x:t>
        </x:is>
      </x:c>
      <x:c r="D1029" t="n">
        <x:v>130</x:v>
      </x:c>
      <x:c r="E1029" t="n">
        <x:v>35</x:v>
      </x:c>
      <x:c r="F1029" t="n">
        <x:f>INDEX(Run_Metrics!$F:$F,D1029)</x:f>
        <x:v>42</x:v>
      </x:c>
      <x:c r="G1029" t="n">
        <x:f>INDEX(Run_Metrics!$G:$G,D1029)</x:f>
        <x:v>1.4</x:v>
      </x:c>
      <x:c r="H1029" t="str">
        <x:f>INDEX(Run_Metrics!$I:$I,D1029)</x:f>
      </x:c>
      <x:c r="I1029" t="n">
        <x:f>IF(F1029="","",F1029-(E1029-1))</x:f>
        <x:v>8</x:v>
      </x:c>
      <x:c r="J1029" t="n">
        <x:f>IF(I1029&gt;0,1,0)</x:f>
        <x:v>1</x:v>
      </x:c>
      <x:c r="K1029" t="n">
        <x:f>IF(OR(J1029=0,G1029="",G1029=0),"",I1029/G1029)</x:f>
        <x:v>5.714285714285714</x:v>
      </x:c>
      <x:c r="L1029" t="n">
        <x:f>IF(OR(J1029=0,I1029=0,G1029=""),"",G1029/I1029)</x:f>
        <x:v>0.175</x:v>
      </x:c>
      <x:c r="M1029" t="str">
        <x:f>IF(OR(J1029=0,G1029="",H1029="",G1029=0,H1029=0),"",I1029/(G1029*H1029))</x:f>
      </x:c>
      <x:c r="N1029" t="n">
        <x:f>IF(K1029="","",K1029/_xlfn.MAXIFS($K:$K,$E:$E,E1029))</x:f>
        <x:v>0.06190476190476191</x:v>
      </x:c>
      <x:c r="O1029" t="str">
        <x:f>IF(M1029="","",M1029/_xlfn.MAXIFS($M:$M,$E:$E,E1029))</x:f>
      </x:c>
      <x:c r="P1029" t="str">
        <x:f>IF(OR(N1029="",O1029=""),"",SQRT(N1029*O1029))</x:f>
      </x:c>
      <x:c r="Q1029" t="str">
        <x:f>IF(OR(N1029="",O1029=""),"",N1029^0.7*O1029^0.3)</x:f>
      </x:c>
      <x:c r="R1029" t="str">
        <x:f>IF(OR(N1029="",O1029=""),"",N1029^0.3*O1029^0.7)</x:f>
      </x:c>
    </x:row>
    <x:row r="1030" s="14" customFormat="1">
      <x:c r="A1030" t="inlineStr">
        <x:is>
          <x:t xml:space="preserve">openai|gpt-5-6-terra|max|reasoning|fallback-na|aa-v4.3.2|snapshot-2026-10-16</x:t>
        </x:is>
      </x:c>
      <x:c r="B1030" t="inlineStr">
        <x:is>
          <x:t xml:space="preserve">openai|gpt-5-6-terra|max|reasoning|fallback-na</x:t>
        </x:is>
      </x:c>
      <x:c r="C1030" t="inlineStr">
        <x:is>
          <x:t xml:space="preserve">AA|v4.3.2</x:t>
        </x:is>
      </x:c>
      <x:c r="D1030" t="n">
        <x:v>130</x:v>
      </x:c>
      <x:c r="E1030" t="n">
        <x:v>40</x:v>
      </x:c>
      <x:c r="F1030" t="n">
        <x:f>INDEX(Run_Metrics!$F:$F,D1030)</x:f>
        <x:v>42</x:v>
      </x:c>
      <x:c r="G1030" t="n">
        <x:f>INDEX(Run_Metrics!$G:$G,D1030)</x:f>
        <x:v>1.4</x:v>
      </x:c>
      <x:c r="H1030" t="str">
        <x:f>INDEX(Run_Metrics!$I:$I,D1030)</x:f>
      </x:c>
      <x:c r="I1030" t="n">
        <x:f>IF(F1030="","",F1030-(E1030-1))</x:f>
        <x:v>3</x:v>
      </x:c>
      <x:c r="J1030" t="n">
        <x:f>IF(I1030&gt;0,1,0)</x:f>
        <x:v>1</x:v>
      </x:c>
      <x:c r="K1030" t="n">
        <x:f>IF(OR(J1030=0,G1030="",G1030=0),"",I1030/G1030)</x:f>
        <x:v>2.142857142857143</x:v>
      </x:c>
      <x:c r="L1030" t="n">
        <x:f>IF(OR(J1030=0,I1030=0,G1030=""),"",G1030/I1030)</x:f>
        <x:v>0.4666666666666666</x:v>
      </x:c>
      <x:c r="M1030" t="str">
        <x:f>IF(OR(J1030=0,G1030="",H1030="",G1030=0,H1030=0),"",I1030/(G1030*H1030))</x:f>
      </x:c>
      <x:c r="N1030" t="n">
        <x:f>IF(K1030="","",K1030/_xlfn.MAXIFS($K:$K,$E:$E,E1030))</x:f>
        <x:v>0.03979591836734694</x:v>
      </x:c>
      <x:c r="O1030" t="str">
        <x:f>IF(M1030="","",M1030/_xlfn.MAXIFS($M:$M,$E:$E,E1030))</x:f>
      </x:c>
      <x:c r="P1030" t="str">
        <x:f>IF(OR(N1030="",O1030=""),"",SQRT(N1030*O1030))</x:f>
      </x:c>
      <x:c r="Q1030" t="str">
        <x:f>IF(OR(N1030="",O1030=""),"",N1030^0.7*O1030^0.3)</x:f>
      </x:c>
      <x:c r="R1030" t="str">
        <x:f>IF(OR(N1030="",O1030=""),"",N1030^0.3*O1030^0.7)</x:f>
      </x:c>
    </x:row>
    <x:row r="1031" s="14" customFormat="1">
      <x:c r="A1031" t="inlineStr">
        <x:is>
          <x:t xml:space="preserve">openai|gpt-5-6-terra|max|reasoning|fallback-na|aa-v4.3.2|snapshot-2026-10-16</x:t>
        </x:is>
      </x:c>
      <x:c r="B1031" t="inlineStr">
        <x:is>
          <x:t xml:space="preserve">openai|gpt-5-6-terra|max|reasoning|fallback-na</x:t>
        </x:is>
      </x:c>
      <x:c r="C1031" t="inlineStr">
        <x:is>
          <x:t xml:space="preserve">AA|v4.3.2</x:t>
        </x:is>
      </x:c>
      <x:c r="D1031" t="n">
        <x:v>130</x:v>
      </x:c>
      <x:c r="E1031" t="n">
        <x:v>45</x:v>
      </x:c>
      <x:c r="F1031" t="n">
        <x:f>INDEX(Run_Metrics!$F:$F,D1031)</x:f>
        <x:v>42</x:v>
      </x:c>
      <x:c r="G1031" t="n">
        <x:f>INDEX(Run_Metrics!$G:$G,D1031)</x:f>
        <x:v>1.4</x:v>
      </x:c>
      <x:c r="H1031" t="str">
        <x:f>INDEX(Run_Metrics!$I:$I,D1031)</x:f>
      </x:c>
      <x:c r="I1031" t="n">
        <x:f>IF(F1031="","",F1031-(E1031-1))</x:f>
        <x:v>-2</x:v>
      </x:c>
      <x:c r="J1031" t="n">
        <x:f>IF(I1031&gt;0,1,0)</x:f>
        <x:v>0</x:v>
      </x:c>
      <x:c r="K1031" t="str">
        <x:f>IF(OR(J1031=0,G1031="",G1031=0),"",I1031/G1031)</x:f>
      </x:c>
      <x:c r="L1031" t="str">
        <x:f>IF(OR(J1031=0,I1031=0,G1031=""),"",G1031/I1031)</x:f>
      </x:c>
      <x:c r="M1031" t="str">
        <x:f>IF(OR(J1031=0,G1031="",H1031="",G1031=0,H1031=0),"",I1031/(G1031*H1031))</x:f>
      </x:c>
      <x:c r="N1031" t="str">
        <x:f>IF(K1031="","",K1031/_xlfn.MAXIFS($K:$K,$E:$E,E1031))</x:f>
      </x:c>
      <x:c r="O1031" t="str">
        <x:f>IF(M1031="","",M1031/_xlfn.MAXIFS($M:$M,$E:$E,E1031))</x:f>
      </x:c>
      <x:c r="P1031" t="str">
        <x:f>IF(OR(N1031="",O1031=""),"",SQRT(N1031*O1031))</x:f>
      </x:c>
      <x:c r="Q1031" t="str">
        <x:f>IF(OR(N1031="",O1031=""),"",N1031^0.7*O1031^0.3)</x:f>
      </x:c>
      <x:c r="R1031" t="str">
        <x:f>IF(OR(N1031="",O1031=""),"",N1031^0.3*O1031^0.7)</x:f>
      </x:c>
    </x:row>
    <x:row r="1032" s="14" customFormat="1">
      <x:c r="A1032" t="inlineStr">
        <x:is>
          <x:t xml:space="preserve">openai|gpt-5-6-terra|max|reasoning|fallback-na|aa-v4.3.2|snapshot-2026-10-16</x:t>
        </x:is>
      </x:c>
      <x:c r="B1032" t="inlineStr">
        <x:is>
          <x:t xml:space="preserve">openai|gpt-5-6-terra|max|reasoning|fallback-na</x:t>
        </x:is>
      </x:c>
      <x:c r="C1032" t="inlineStr">
        <x:is>
          <x:t xml:space="preserve">AA|v4.3.2</x:t>
        </x:is>
      </x:c>
      <x:c r="D1032" t="n">
        <x:v>130</x:v>
      </x:c>
      <x:c r="E1032" t="n">
        <x:v>50</x:v>
      </x:c>
      <x:c r="F1032" t="n">
        <x:f>INDEX(Run_Metrics!$F:$F,D1032)</x:f>
        <x:v>42</x:v>
      </x:c>
      <x:c r="G1032" t="n">
        <x:f>INDEX(Run_Metrics!$G:$G,D1032)</x:f>
        <x:v>1.4</x:v>
      </x:c>
      <x:c r="H1032" t="str">
        <x:f>INDEX(Run_Metrics!$I:$I,D1032)</x:f>
      </x:c>
      <x:c r="I1032" t="n">
        <x:f>IF(F1032="","",F1032-(E1032-1))</x:f>
        <x:v>-7</x:v>
      </x:c>
      <x:c r="J1032" t="n">
        <x:f>IF(I1032&gt;0,1,0)</x:f>
        <x:v>0</x:v>
      </x:c>
      <x:c r="K1032" t="str">
        <x:f>IF(OR(J1032=0,G1032="",G1032=0),"",I1032/G1032)</x:f>
      </x:c>
      <x:c r="L1032" t="str">
        <x:f>IF(OR(J1032=0,I1032=0,G1032=""),"",G1032/I1032)</x:f>
      </x:c>
      <x:c r="M1032" t="str">
        <x:f>IF(OR(J1032=0,G1032="",H1032="",G1032=0,H1032=0),"",I1032/(G1032*H1032))</x:f>
      </x:c>
      <x:c r="N1032" t="str">
        <x:f>IF(K1032="","",K1032/_xlfn.MAXIFS($K:$K,$E:$E,E1032))</x:f>
      </x:c>
      <x:c r="O1032" t="str">
        <x:f>IF(M1032="","",M1032/_xlfn.MAXIFS($M:$M,$E:$E,E1032))</x:f>
      </x:c>
      <x:c r="P1032" t="str">
        <x:f>IF(OR(N1032="",O1032=""),"",SQRT(N1032*O1032))</x:f>
      </x:c>
      <x:c r="Q1032" t="str">
        <x:f>IF(OR(N1032="",O1032=""),"",N1032^0.7*O1032^0.3)</x:f>
      </x:c>
      <x:c r="R1032" t="str">
        <x:f>IF(OR(N1032="",O1032=""),"",N1032^0.3*O1032^0.7)</x:f>
      </x:c>
    </x:row>
    <x:row r="1033" s="14" customFormat="1">
      <x:c r="A1033" t="inlineStr">
        <x:is>
          <x:t xml:space="preserve">openai|gpt-5-6-terra|max|reasoning|fallback-na|aa-v4.3.2|snapshot-2026-10-16</x:t>
        </x:is>
      </x:c>
      <x:c r="B1033" t="inlineStr">
        <x:is>
          <x:t xml:space="preserve">openai|gpt-5-6-terra|max|reasoning|fallback-na</x:t>
        </x:is>
      </x:c>
      <x:c r="C1033" t="inlineStr">
        <x:is>
          <x:t xml:space="preserve">AA|v4.3.2</x:t>
        </x:is>
      </x:c>
      <x:c r="D1033" t="n">
        <x:v>130</x:v>
      </x:c>
      <x:c r="E1033" t="n">
        <x:v>60</x:v>
      </x:c>
      <x:c r="F1033" t="n">
        <x:f>INDEX(Run_Metrics!$F:$F,D1033)</x:f>
        <x:v>42</x:v>
      </x:c>
      <x:c r="G1033" t="n">
        <x:f>INDEX(Run_Metrics!$G:$G,D1033)</x:f>
        <x:v>1.4</x:v>
      </x:c>
      <x:c r="H1033" t="str">
        <x:f>INDEX(Run_Metrics!$I:$I,D1033)</x:f>
      </x:c>
      <x:c r="I1033" t="n">
        <x:f>IF(F1033="","",F1033-(E1033-1))</x:f>
        <x:v>-17</x:v>
      </x:c>
      <x:c r="J1033" t="n">
        <x:f>IF(I1033&gt;0,1,0)</x:f>
        <x:v>0</x:v>
      </x:c>
      <x:c r="K1033" t="str">
        <x:f>IF(OR(J1033=0,G1033="",G1033=0),"",I1033/G1033)</x:f>
      </x:c>
      <x:c r="L1033" t="str">
        <x:f>IF(OR(J1033=0,I1033=0,G1033=""),"",G1033/I1033)</x:f>
      </x:c>
      <x:c r="M1033" t="str">
        <x:f>IF(OR(J1033=0,G1033="",H1033="",G1033=0,H1033=0),"",I1033/(G1033*H1033))</x:f>
      </x:c>
      <x:c r="N1033" t="str">
        <x:f>IF(K1033="","",K1033/_xlfn.MAXIFS($K:$K,$E:$E,E1033))</x:f>
      </x:c>
      <x:c r="O1033" t="str">
        <x:f>IF(M1033="","",M1033/_xlfn.MAXIFS($M:$M,$E:$E,E1033))</x:f>
      </x:c>
      <x:c r="P1033" t="str">
        <x:f>IF(OR(N1033="",O1033=""),"",SQRT(N1033*O1033))</x:f>
      </x:c>
      <x:c r="Q1033" t="str">
        <x:f>IF(OR(N1033="",O1033=""),"",N1033^0.7*O1033^0.3)</x:f>
      </x:c>
      <x:c r="R1033" t="str">
        <x:f>IF(OR(N1033="",O1033=""),"",N1033^0.3*O1033^0.7)</x:f>
      </x:c>
    </x:row>
    <x:row r="1034" s="14" customFormat="1">
      <x:c r="A1034" t="inlineStr">
        <x:is>
          <x:t xml:space="preserve">openai|gpt-5-6-terra|xhigh|reasoning|fallback-na|aa-v4.3.2|snapshot-2026-10-16</x:t>
        </x:is>
      </x:c>
      <x:c r="B1034" t="inlineStr">
        <x:is>
          <x:t xml:space="preserve">openai|gpt-5-6-terra|xhigh|reasoning|fallback-na</x:t>
        </x:is>
      </x:c>
      <x:c r="C1034" t="inlineStr">
        <x:is>
          <x:t xml:space="preserve">AA|v4.3.2</x:t>
        </x:is>
      </x:c>
      <x:c r="D1034" t="n">
        <x:v>131</x:v>
      </x:c>
      <x:c r="E1034" t="n">
        <x:v>10</x:v>
      </x:c>
      <x:c r="F1034" t="n">
        <x:f>INDEX(Run_Metrics!$F:$F,D1034)</x:f>
        <x:v>38</x:v>
      </x:c>
      <x:c r="G1034" t="n">
        <x:f>INDEX(Run_Metrics!$G:$G,D1034)</x:f>
        <x:v>0.63</x:v>
      </x:c>
      <x:c r="H1034" t="str">
        <x:f>INDEX(Run_Metrics!$I:$I,D1034)</x:f>
      </x:c>
      <x:c r="I1034" t="n">
        <x:f>IF(F1034="","",F1034-(E1034-1))</x:f>
        <x:v>29</x:v>
      </x:c>
      <x:c r="J1034" t="n">
        <x:f>IF(I1034&gt;0,1,0)</x:f>
        <x:v>1</x:v>
      </x:c>
      <x:c r="K1034" t="n">
        <x:f>IF(OR(J1034=0,G1034="",G1034=0),"",I1034/G1034)</x:f>
        <x:v>46.03174603174603</x:v>
      </x:c>
      <x:c r="L1034" t="n">
        <x:f>IF(OR(J1034=0,I1034=0,G1034=""),"",G1034/I1034)</x:f>
        <x:v>0.021724137931034483</x:v>
      </x:c>
      <x:c r="M1034" t="str">
        <x:f>IF(OR(J1034=0,G1034="",H1034="",G1034=0,H1034=0),"",I1034/(G1034*H1034))</x:f>
      </x:c>
      <x:c r="N1034" t="n">
        <x:f>IF(K1034="","",K1034/_xlfn.MAXIFS($K:$K,$E:$E,E1034))</x:f>
        <x:v>0.015934065934065933</x:v>
      </x:c>
      <x:c r="O1034" t="str">
        <x:f>IF(M1034="","",M1034/_xlfn.MAXIFS($M:$M,$E:$E,E1034))</x:f>
      </x:c>
      <x:c r="P1034" t="str">
        <x:f>IF(OR(N1034="",O1034=""),"",SQRT(N1034*O1034))</x:f>
      </x:c>
      <x:c r="Q1034" t="str">
        <x:f>IF(OR(N1034="",O1034=""),"",N1034^0.7*O1034^0.3)</x:f>
      </x:c>
      <x:c r="R1034" t="str">
        <x:f>IF(OR(N1034="",O1034=""),"",N1034^0.3*O1034^0.7)</x:f>
      </x:c>
    </x:row>
    <x:row r="1035" s="14" customFormat="1">
      <x:c r="A1035" t="inlineStr">
        <x:is>
          <x:t xml:space="preserve">openai|gpt-5-6-terra|xhigh|reasoning|fallback-na|aa-v4.3.2|snapshot-2026-10-16</x:t>
        </x:is>
      </x:c>
      <x:c r="B1035" t="inlineStr">
        <x:is>
          <x:t xml:space="preserve">openai|gpt-5-6-terra|xhigh|reasoning|fallback-na</x:t>
        </x:is>
      </x:c>
      <x:c r="C1035" t="inlineStr">
        <x:is>
          <x:t xml:space="preserve">AA|v4.3.2</x:t>
        </x:is>
      </x:c>
      <x:c r="D1035" t="n">
        <x:v>131</x:v>
      </x:c>
      <x:c r="E1035" t="n">
        <x:v>20</x:v>
      </x:c>
      <x:c r="F1035" t="n">
        <x:f>INDEX(Run_Metrics!$F:$F,D1035)</x:f>
        <x:v>38</x:v>
      </x:c>
      <x:c r="G1035" t="n">
        <x:f>INDEX(Run_Metrics!$G:$G,D1035)</x:f>
        <x:v>0.63</x:v>
      </x:c>
      <x:c r="H1035" t="str">
        <x:f>INDEX(Run_Metrics!$I:$I,D1035)</x:f>
      </x:c>
      <x:c r="I1035" t="n">
        <x:f>IF(F1035="","",F1035-(E1035-1))</x:f>
        <x:v>19</x:v>
      </x:c>
      <x:c r="J1035" t="n">
        <x:f>IF(I1035&gt;0,1,0)</x:f>
        <x:v>1</x:v>
      </x:c>
      <x:c r="K1035" t="n">
        <x:f>IF(OR(J1035=0,G1035="",G1035=0),"",I1035/G1035)</x:f>
        <x:v>30.158730158730158</x:v>
      </x:c>
      <x:c r="L1035" t="n">
        <x:f>IF(OR(J1035=0,I1035=0,G1035=""),"",G1035/I1035)</x:f>
        <x:v>0.03315789473684211</x:v>
      </x:c>
      <x:c r="M1035" t="str">
        <x:f>IF(OR(J1035=0,G1035="",H1035="",G1035=0,H1035=0),"",I1035/(G1035*H1035))</x:f>
      </x:c>
      <x:c r="N1035" t="n">
        <x:f>IF(K1035="","",K1035/_xlfn.MAXIFS($K:$K,$E:$E,E1035))</x:f>
        <x:v>0.04523809523809523</x:v>
      </x:c>
      <x:c r="O1035" t="str">
        <x:f>IF(M1035="","",M1035/_xlfn.MAXIFS($M:$M,$E:$E,E1035))</x:f>
      </x:c>
      <x:c r="P1035" t="str">
        <x:f>IF(OR(N1035="",O1035=""),"",SQRT(N1035*O1035))</x:f>
      </x:c>
      <x:c r="Q1035" t="str">
        <x:f>IF(OR(N1035="",O1035=""),"",N1035^0.7*O1035^0.3)</x:f>
      </x:c>
      <x:c r="R1035" t="str">
        <x:f>IF(OR(N1035="",O1035=""),"",N1035^0.3*O1035^0.7)</x:f>
      </x:c>
    </x:row>
    <x:row r="1036" s="14" customFormat="1">
      <x:c r="A1036" t="inlineStr">
        <x:is>
          <x:t xml:space="preserve">openai|gpt-5-6-terra|xhigh|reasoning|fallback-na|aa-v4.3.2|snapshot-2026-10-16</x:t>
        </x:is>
      </x:c>
      <x:c r="B1036" t="inlineStr">
        <x:is>
          <x:t xml:space="preserve">openai|gpt-5-6-terra|xhigh|reasoning|fallback-na</x:t>
        </x:is>
      </x:c>
      <x:c r="C1036" t="inlineStr">
        <x:is>
          <x:t xml:space="preserve">AA|v4.3.2</x:t>
        </x:is>
      </x:c>
      <x:c r="D1036" t="n">
        <x:v>131</x:v>
      </x:c>
      <x:c r="E1036" t="n">
        <x:v>30</x:v>
      </x:c>
      <x:c r="F1036" t="n">
        <x:f>INDEX(Run_Metrics!$F:$F,D1036)</x:f>
        <x:v>38</x:v>
      </x:c>
      <x:c r="G1036" t="n">
        <x:f>INDEX(Run_Metrics!$G:$G,D1036)</x:f>
        <x:v>0.63</x:v>
      </x:c>
      <x:c r="H1036" t="str">
        <x:f>INDEX(Run_Metrics!$I:$I,D1036)</x:f>
      </x:c>
      <x:c r="I1036" t="n">
        <x:f>IF(F1036="","",F1036-(E1036-1))</x:f>
        <x:v>9</x:v>
      </x:c>
      <x:c r="J1036" t="n">
        <x:f>IF(I1036&gt;0,1,0)</x:f>
        <x:v>1</x:v>
      </x:c>
      <x:c r="K1036" t="n">
        <x:f>IF(OR(J1036=0,G1036="",G1036=0),"",I1036/G1036)</x:f>
        <x:v>14.285714285714286</x:v>
      </x:c>
      <x:c r="L1036" t="n">
        <x:f>IF(OR(J1036=0,I1036=0,G1036=""),"",G1036/I1036)</x:f>
        <x:v>0.07</x:v>
      </x:c>
      <x:c r="M1036" t="str">
        <x:f>IF(OR(J1036=0,G1036="",H1036="",G1036=0,H1036=0),"",I1036/(G1036*H1036))</x:f>
      </x:c>
      <x:c r="N1036" t="n">
        <x:f>IF(K1036="","",K1036/_xlfn.MAXIFS($K:$K,$E:$E,E1036))</x:f>
        <x:v>0.09523809523809525</x:v>
      </x:c>
      <x:c r="O1036" t="str">
        <x:f>IF(M1036="","",M1036/_xlfn.MAXIFS($M:$M,$E:$E,E1036))</x:f>
      </x:c>
      <x:c r="P1036" t="str">
        <x:f>IF(OR(N1036="",O1036=""),"",SQRT(N1036*O1036))</x:f>
      </x:c>
      <x:c r="Q1036" t="str">
        <x:f>IF(OR(N1036="",O1036=""),"",N1036^0.7*O1036^0.3)</x:f>
      </x:c>
      <x:c r="R1036" t="str">
        <x:f>IF(OR(N1036="",O1036=""),"",N1036^0.3*O1036^0.7)</x:f>
      </x:c>
    </x:row>
    <x:row r="1037" s="14" customFormat="1">
      <x:c r="A1037" t="inlineStr">
        <x:is>
          <x:t xml:space="preserve">openai|gpt-5-6-terra|xhigh|reasoning|fallback-na|aa-v4.3.2|snapshot-2026-10-16</x:t>
        </x:is>
      </x:c>
      <x:c r="B1037" t="inlineStr">
        <x:is>
          <x:t xml:space="preserve">openai|gpt-5-6-terra|xhigh|reasoning|fallback-na</x:t>
        </x:is>
      </x:c>
      <x:c r="C1037" t="inlineStr">
        <x:is>
          <x:t xml:space="preserve">AA|v4.3.2</x:t>
        </x:is>
      </x:c>
      <x:c r="D1037" t="n">
        <x:v>131</x:v>
      </x:c>
      <x:c r="E1037" t="n">
        <x:v>35</x:v>
      </x:c>
      <x:c r="F1037" t="n">
        <x:f>INDEX(Run_Metrics!$F:$F,D1037)</x:f>
        <x:v>38</x:v>
      </x:c>
      <x:c r="G1037" t="n">
        <x:f>INDEX(Run_Metrics!$G:$G,D1037)</x:f>
        <x:v>0.63</x:v>
      </x:c>
      <x:c r="H1037" t="str">
        <x:f>INDEX(Run_Metrics!$I:$I,D1037)</x:f>
      </x:c>
      <x:c r="I1037" t="n">
        <x:f>IF(F1037="","",F1037-(E1037-1))</x:f>
        <x:v>4</x:v>
      </x:c>
      <x:c r="J1037" t="n">
        <x:f>IF(I1037&gt;0,1,0)</x:f>
        <x:v>1</x:v>
      </x:c>
      <x:c r="K1037" t="n">
        <x:f>IF(OR(J1037=0,G1037="",G1037=0),"",I1037/G1037)</x:f>
        <x:v>6.349206349206349</x:v>
      </x:c>
      <x:c r="L1037" t="n">
        <x:f>IF(OR(J1037=0,I1037=0,G1037=""),"",G1037/I1037)</x:f>
        <x:v>0.1575</x:v>
      </x:c>
      <x:c r="M1037" t="str">
        <x:f>IF(OR(J1037=0,G1037="",H1037="",G1037=0,H1037=0),"",I1037/(G1037*H1037))</x:f>
      </x:c>
      <x:c r="N1037" t="n">
        <x:f>IF(K1037="","",K1037/_xlfn.MAXIFS($K:$K,$E:$E,E1037))</x:f>
        <x:v>0.06878306878306878</x:v>
      </x:c>
      <x:c r="O1037" t="str">
        <x:f>IF(M1037="","",M1037/_xlfn.MAXIFS($M:$M,$E:$E,E1037))</x:f>
      </x:c>
      <x:c r="P1037" t="str">
        <x:f>IF(OR(N1037="",O1037=""),"",SQRT(N1037*O1037))</x:f>
      </x:c>
      <x:c r="Q1037" t="str">
        <x:f>IF(OR(N1037="",O1037=""),"",N1037^0.7*O1037^0.3)</x:f>
      </x:c>
      <x:c r="R1037" t="str">
        <x:f>IF(OR(N1037="",O1037=""),"",N1037^0.3*O1037^0.7)</x:f>
      </x:c>
    </x:row>
    <x:row r="1038" s="14" customFormat="1">
      <x:c r="A1038" t="inlineStr">
        <x:is>
          <x:t xml:space="preserve">openai|gpt-5-6-terra|xhigh|reasoning|fallback-na|aa-v4.3.2|snapshot-2026-10-16</x:t>
        </x:is>
      </x:c>
      <x:c r="B1038" t="inlineStr">
        <x:is>
          <x:t xml:space="preserve">openai|gpt-5-6-terra|xhigh|reasoning|fallback-na</x:t>
        </x:is>
      </x:c>
      <x:c r="C1038" t="inlineStr">
        <x:is>
          <x:t xml:space="preserve">AA|v4.3.2</x:t>
        </x:is>
      </x:c>
      <x:c r="D1038" t="n">
        <x:v>131</x:v>
      </x:c>
      <x:c r="E1038" t="n">
        <x:v>40</x:v>
      </x:c>
      <x:c r="F1038" t="n">
        <x:f>INDEX(Run_Metrics!$F:$F,D1038)</x:f>
        <x:v>38</x:v>
      </x:c>
      <x:c r="G1038" t="n">
        <x:f>INDEX(Run_Metrics!$G:$G,D1038)</x:f>
        <x:v>0.63</x:v>
      </x:c>
      <x:c r="H1038" t="str">
        <x:f>INDEX(Run_Metrics!$I:$I,D1038)</x:f>
      </x:c>
      <x:c r="I1038" t="n">
        <x:f>IF(F1038="","",F1038-(E1038-1))</x:f>
        <x:v>-1</x:v>
      </x:c>
      <x:c r="J1038" t="n">
        <x:f>IF(I1038&gt;0,1,0)</x:f>
        <x:v>0</x:v>
      </x:c>
      <x:c r="K1038" t="str">
        <x:f>IF(OR(J1038=0,G1038="",G1038=0),"",I1038/G1038)</x:f>
      </x:c>
      <x:c r="L1038" t="str">
        <x:f>IF(OR(J1038=0,I1038=0,G1038=""),"",G1038/I1038)</x:f>
      </x:c>
      <x:c r="M1038" t="str">
        <x:f>IF(OR(J1038=0,G1038="",H1038="",G1038=0,H1038=0),"",I1038/(G1038*H1038))</x:f>
      </x:c>
      <x:c r="N1038" t="str">
        <x:f>IF(K1038="","",K1038/_xlfn.MAXIFS($K:$K,$E:$E,E1038))</x:f>
      </x:c>
      <x:c r="O1038" t="str">
        <x:f>IF(M1038="","",M1038/_xlfn.MAXIFS($M:$M,$E:$E,E1038))</x:f>
      </x:c>
      <x:c r="P1038" t="str">
        <x:f>IF(OR(N1038="",O1038=""),"",SQRT(N1038*O1038))</x:f>
      </x:c>
      <x:c r="Q1038" t="str">
        <x:f>IF(OR(N1038="",O1038=""),"",N1038^0.7*O1038^0.3)</x:f>
      </x:c>
      <x:c r="R1038" t="str">
        <x:f>IF(OR(N1038="",O1038=""),"",N1038^0.3*O1038^0.7)</x:f>
      </x:c>
    </x:row>
    <x:row r="1039" s="14" customFormat="1">
      <x:c r="A1039" t="inlineStr">
        <x:is>
          <x:t xml:space="preserve">openai|gpt-5-6-terra|xhigh|reasoning|fallback-na|aa-v4.3.2|snapshot-2026-10-16</x:t>
        </x:is>
      </x:c>
      <x:c r="B1039" t="inlineStr">
        <x:is>
          <x:t xml:space="preserve">openai|gpt-5-6-terra|xhigh|reasoning|fallback-na</x:t>
        </x:is>
      </x:c>
      <x:c r="C1039" t="inlineStr">
        <x:is>
          <x:t xml:space="preserve">AA|v4.3.2</x:t>
        </x:is>
      </x:c>
      <x:c r="D1039" t="n">
        <x:v>131</x:v>
      </x:c>
      <x:c r="E1039" t="n">
        <x:v>45</x:v>
      </x:c>
      <x:c r="F1039" t="n">
        <x:f>INDEX(Run_Metrics!$F:$F,D1039)</x:f>
        <x:v>38</x:v>
      </x:c>
      <x:c r="G1039" t="n">
        <x:f>INDEX(Run_Metrics!$G:$G,D1039)</x:f>
        <x:v>0.63</x:v>
      </x:c>
      <x:c r="H1039" t="str">
        <x:f>INDEX(Run_Metrics!$I:$I,D1039)</x:f>
      </x:c>
      <x:c r="I1039" t="n">
        <x:f>IF(F1039="","",F1039-(E1039-1))</x:f>
        <x:v>-6</x:v>
      </x:c>
      <x:c r="J1039" t="n">
        <x:f>IF(I1039&gt;0,1,0)</x:f>
        <x:v>0</x:v>
      </x:c>
      <x:c r="K1039" t="str">
        <x:f>IF(OR(J1039=0,G1039="",G1039=0),"",I1039/G1039)</x:f>
      </x:c>
      <x:c r="L1039" t="str">
        <x:f>IF(OR(J1039=0,I1039=0,G1039=""),"",G1039/I1039)</x:f>
      </x:c>
      <x:c r="M1039" t="str">
        <x:f>IF(OR(J1039=0,G1039="",H1039="",G1039=0,H1039=0),"",I1039/(G1039*H1039))</x:f>
      </x:c>
      <x:c r="N1039" t="str">
        <x:f>IF(K1039="","",K1039/_xlfn.MAXIFS($K:$K,$E:$E,E1039))</x:f>
      </x:c>
      <x:c r="O1039" t="str">
        <x:f>IF(M1039="","",M1039/_xlfn.MAXIFS($M:$M,$E:$E,E1039))</x:f>
      </x:c>
      <x:c r="P1039" t="str">
        <x:f>IF(OR(N1039="",O1039=""),"",SQRT(N1039*O1039))</x:f>
      </x:c>
      <x:c r="Q1039" t="str">
        <x:f>IF(OR(N1039="",O1039=""),"",N1039^0.7*O1039^0.3)</x:f>
      </x:c>
      <x:c r="R1039" t="str">
        <x:f>IF(OR(N1039="",O1039=""),"",N1039^0.3*O1039^0.7)</x:f>
      </x:c>
    </x:row>
    <x:row r="1040" s="14" customFormat="1">
      <x:c r="A1040" t="inlineStr">
        <x:is>
          <x:t xml:space="preserve">openai|gpt-5-6-terra|xhigh|reasoning|fallback-na|aa-v4.3.2|snapshot-2026-10-16</x:t>
        </x:is>
      </x:c>
      <x:c r="B1040" t="inlineStr">
        <x:is>
          <x:t xml:space="preserve">openai|gpt-5-6-terra|xhigh|reasoning|fallback-na</x:t>
        </x:is>
      </x:c>
      <x:c r="C1040" t="inlineStr">
        <x:is>
          <x:t xml:space="preserve">AA|v4.3.2</x:t>
        </x:is>
      </x:c>
      <x:c r="D1040" t="n">
        <x:v>131</x:v>
      </x:c>
      <x:c r="E1040" t="n">
        <x:v>50</x:v>
      </x:c>
      <x:c r="F1040" t="n">
        <x:f>INDEX(Run_Metrics!$F:$F,D1040)</x:f>
        <x:v>38</x:v>
      </x:c>
      <x:c r="G1040" t="n">
        <x:f>INDEX(Run_Metrics!$G:$G,D1040)</x:f>
        <x:v>0.63</x:v>
      </x:c>
      <x:c r="H1040" t="str">
        <x:f>INDEX(Run_Metrics!$I:$I,D1040)</x:f>
      </x:c>
      <x:c r="I1040" t="n">
        <x:f>IF(F1040="","",F1040-(E1040-1))</x:f>
        <x:v>-11</x:v>
      </x:c>
      <x:c r="J1040" t="n">
        <x:f>IF(I1040&gt;0,1,0)</x:f>
        <x:v>0</x:v>
      </x:c>
      <x:c r="K1040" t="str">
        <x:f>IF(OR(J1040=0,G1040="",G1040=0),"",I1040/G1040)</x:f>
      </x:c>
      <x:c r="L1040" t="str">
        <x:f>IF(OR(J1040=0,I1040=0,G1040=""),"",G1040/I1040)</x:f>
      </x:c>
      <x:c r="M1040" t="str">
        <x:f>IF(OR(J1040=0,G1040="",H1040="",G1040=0,H1040=0),"",I1040/(G1040*H1040))</x:f>
      </x:c>
      <x:c r="N1040" t="str">
        <x:f>IF(K1040="","",K1040/_xlfn.MAXIFS($K:$K,$E:$E,E1040))</x:f>
      </x:c>
      <x:c r="O1040" t="str">
        <x:f>IF(M1040="","",M1040/_xlfn.MAXIFS($M:$M,$E:$E,E1040))</x:f>
      </x:c>
      <x:c r="P1040" t="str">
        <x:f>IF(OR(N1040="",O1040=""),"",SQRT(N1040*O1040))</x:f>
      </x:c>
      <x:c r="Q1040" t="str">
        <x:f>IF(OR(N1040="",O1040=""),"",N1040^0.7*O1040^0.3)</x:f>
      </x:c>
      <x:c r="R1040" t="str">
        <x:f>IF(OR(N1040="",O1040=""),"",N1040^0.3*O1040^0.7)</x:f>
      </x:c>
    </x:row>
    <x:row r="1041" s="14" customFormat="1">
      <x:c r="A1041" t="inlineStr">
        <x:is>
          <x:t xml:space="preserve">openai|gpt-5-6-terra|xhigh|reasoning|fallback-na|aa-v4.3.2|snapshot-2026-10-16</x:t>
        </x:is>
      </x:c>
      <x:c r="B1041" t="inlineStr">
        <x:is>
          <x:t xml:space="preserve">openai|gpt-5-6-terra|xhigh|reasoning|fallback-na</x:t>
        </x:is>
      </x:c>
      <x:c r="C1041" t="inlineStr">
        <x:is>
          <x:t xml:space="preserve">AA|v4.3.2</x:t>
        </x:is>
      </x:c>
      <x:c r="D1041" t="n">
        <x:v>131</x:v>
      </x:c>
      <x:c r="E1041" t="n">
        <x:v>60</x:v>
      </x:c>
      <x:c r="F1041" t="n">
        <x:f>INDEX(Run_Metrics!$F:$F,D1041)</x:f>
        <x:v>38</x:v>
      </x:c>
      <x:c r="G1041" t="n">
        <x:f>INDEX(Run_Metrics!$G:$G,D1041)</x:f>
        <x:v>0.63</x:v>
      </x:c>
      <x:c r="H1041" t="str">
        <x:f>INDEX(Run_Metrics!$I:$I,D1041)</x:f>
      </x:c>
      <x:c r="I1041" t="n">
        <x:f>IF(F1041="","",F1041-(E1041-1))</x:f>
        <x:v>-21</x:v>
      </x:c>
      <x:c r="J1041" t="n">
        <x:f>IF(I1041&gt;0,1,0)</x:f>
        <x:v>0</x:v>
      </x:c>
      <x:c r="K1041" t="str">
        <x:f>IF(OR(J1041=0,G1041="",G1041=0),"",I1041/G1041)</x:f>
      </x:c>
      <x:c r="L1041" t="str">
        <x:f>IF(OR(J1041=0,I1041=0,G1041=""),"",G1041/I1041)</x:f>
      </x:c>
      <x:c r="M1041" t="str">
        <x:f>IF(OR(J1041=0,G1041="",H1041="",G1041=0,H1041=0),"",I1041/(G1041*H1041))</x:f>
      </x:c>
      <x:c r="N1041" t="str">
        <x:f>IF(K1041="","",K1041/_xlfn.MAXIFS($K:$K,$E:$E,E1041))</x:f>
      </x:c>
      <x:c r="O1041" t="str">
        <x:f>IF(M1041="","",M1041/_xlfn.MAXIFS($M:$M,$E:$E,E1041))</x:f>
      </x:c>
      <x:c r="P1041" t="str">
        <x:f>IF(OR(N1041="",O1041=""),"",SQRT(N1041*O1041))</x:f>
      </x:c>
      <x:c r="Q1041" t="str">
        <x:f>IF(OR(N1041="",O1041=""),"",N1041^0.7*O1041^0.3)</x:f>
      </x:c>
      <x:c r="R1041" t="str">
        <x:f>IF(OR(N1041="",O1041=""),"",N1041^0.3*O1041^0.7)</x:f>
      </x:c>
    </x:row>
    <x:row r="1042" s="14" customFormat="1">
      <x:c r="A1042" t="inlineStr">
        <x:is>
          <x:t xml:space="preserve">openai|gpt-5-6-terra|high|reasoning|fallback-na|aa-v4.3.2|snapshot-2026-10-16</x:t>
        </x:is>
      </x:c>
      <x:c r="B1042" t="inlineStr">
        <x:is>
          <x:t xml:space="preserve">openai|gpt-5-6-terra|high|reasoning|fallback-na</x:t>
        </x:is>
      </x:c>
      <x:c r="C1042" t="inlineStr">
        <x:is>
          <x:t xml:space="preserve">AA|v4.3.2</x:t>
        </x:is>
      </x:c>
      <x:c r="D1042" t="n">
        <x:v>132</x:v>
      </x:c>
      <x:c r="E1042" t="n">
        <x:v>10</x:v>
      </x:c>
      <x:c r="F1042" t="n">
        <x:f>INDEX(Run_Metrics!$F:$F,D1042)</x:f>
        <x:v>34</x:v>
      </x:c>
      <x:c r="G1042" t="n">
        <x:f>INDEX(Run_Metrics!$G:$G,D1042)</x:f>
        <x:v>0.34</x:v>
      </x:c>
      <x:c r="H1042" t="str">
        <x:f>INDEX(Run_Metrics!$I:$I,D1042)</x:f>
      </x:c>
      <x:c r="I1042" t="n">
        <x:f>IF(F1042="","",F1042-(E1042-1))</x:f>
        <x:v>25</x:v>
      </x:c>
      <x:c r="J1042" t="n">
        <x:f>IF(I1042&gt;0,1,0)</x:f>
        <x:v>1</x:v>
      </x:c>
      <x:c r="K1042" t="n">
        <x:f>IF(OR(J1042=0,G1042="",G1042=0),"",I1042/G1042)</x:f>
        <x:v>73.52941176470588</x:v>
      </x:c>
      <x:c r="L1042" t="n">
        <x:f>IF(OR(J1042=0,I1042=0,G1042=""),"",G1042/I1042)</x:f>
        <x:v>0.013600000000000001</x:v>
      </x:c>
      <x:c r="M1042" t="str">
        <x:f>IF(OR(J1042=0,G1042="",H1042="",G1042=0,H1042=0),"",I1042/(G1042*H1042))</x:f>
      </x:c>
      <x:c r="N1042" t="n">
        <x:f>IF(K1042="","",K1042/_xlfn.MAXIFS($K:$K,$E:$E,E1042))</x:f>
        <x:v>0.025452488687782805</x:v>
      </x:c>
      <x:c r="O1042" t="str">
        <x:f>IF(M1042="","",M1042/_xlfn.MAXIFS($M:$M,$E:$E,E1042))</x:f>
      </x:c>
      <x:c r="P1042" t="str">
        <x:f>IF(OR(N1042="",O1042=""),"",SQRT(N1042*O1042))</x:f>
      </x:c>
      <x:c r="Q1042" t="str">
        <x:f>IF(OR(N1042="",O1042=""),"",N1042^0.7*O1042^0.3)</x:f>
      </x:c>
      <x:c r="R1042" t="str">
        <x:f>IF(OR(N1042="",O1042=""),"",N1042^0.3*O1042^0.7)</x:f>
      </x:c>
    </x:row>
    <x:row r="1043" s="14" customFormat="1">
      <x:c r="A1043" t="inlineStr">
        <x:is>
          <x:t xml:space="preserve">openai|gpt-5-6-terra|high|reasoning|fallback-na|aa-v4.3.2|snapshot-2026-10-16</x:t>
        </x:is>
      </x:c>
      <x:c r="B1043" t="inlineStr">
        <x:is>
          <x:t xml:space="preserve">openai|gpt-5-6-terra|high|reasoning|fallback-na</x:t>
        </x:is>
      </x:c>
      <x:c r="C1043" t="inlineStr">
        <x:is>
          <x:t xml:space="preserve">AA|v4.3.2</x:t>
        </x:is>
      </x:c>
      <x:c r="D1043" t="n">
        <x:v>132</x:v>
      </x:c>
      <x:c r="E1043" t="n">
        <x:v>20</x:v>
      </x:c>
      <x:c r="F1043" t="n">
        <x:f>INDEX(Run_Metrics!$F:$F,D1043)</x:f>
        <x:v>34</x:v>
      </x:c>
      <x:c r="G1043" t="n">
        <x:f>INDEX(Run_Metrics!$G:$G,D1043)</x:f>
        <x:v>0.34</x:v>
      </x:c>
      <x:c r="H1043" t="str">
        <x:f>INDEX(Run_Metrics!$I:$I,D1043)</x:f>
      </x:c>
      <x:c r="I1043" t="n">
        <x:f>IF(F1043="","",F1043-(E1043-1))</x:f>
        <x:v>15</x:v>
      </x:c>
      <x:c r="J1043" t="n">
        <x:f>IF(I1043&gt;0,1,0)</x:f>
        <x:v>1</x:v>
      </x:c>
      <x:c r="K1043" t="n">
        <x:f>IF(OR(J1043=0,G1043="",G1043=0),"",I1043/G1043)</x:f>
        <x:v>44.11764705882353</x:v>
      </x:c>
      <x:c r="L1043" t="n">
        <x:f>IF(OR(J1043=0,I1043=0,G1043=""),"",G1043/I1043)</x:f>
        <x:v>0.02266666666666667</x:v>
      </x:c>
      <x:c r="M1043" t="str">
        <x:f>IF(OR(J1043=0,G1043="",H1043="",G1043=0,H1043=0),"",I1043/(G1043*H1043))</x:f>
      </x:c>
      <x:c r="N1043" t="n">
        <x:f>IF(K1043="","",K1043/_xlfn.MAXIFS($K:$K,$E:$E,E1043))</x:f>
        <x:v>0.06617647058823528</x:v>
      </x:c>
      <x:c r="O1043" t="str">
        <x:f>IF(M1043="","",M1043/_xlfn.MAXIFS($M:$M,$E:$E,E1043))</x:f>
      </x:c>
      <x:c r="P1043" t="str">
        <x:f>IF(OR(N1043="",O1043=""),"",SQRT(N1043*O1043))</x:f>
      </x:c>
      <x:c r="Q1043" t="str">
        <x:f>IF(OR(N1043="",O1043=""),"",N1043^0.7*O1043^0.3)</x:f>
      </x:c>
      <x:c r="R1043" t="str">
        <x:f>IF(OR(N1043="",O1043=""),"",N1043^0.3*O1043^0.7)</x:f>
      </x:c>
    </x:row>
    <x:row r="1044" s="14" customFormat="1">
      <x:c r="A1044" t="inlineStr">
        <x:is>
          <x:t xml:space="preserve">openai|gpt-5-6-terra|high|reasoning|fallback-na|aa-v4.3.2|snapshot-2026-10-16</x:t>
        </x:is>
      </x:c>
      <x:c r="B1044" t="inlineStr">
        <x:is>
          <x:t xml:space="preserve">openai|gpt-5-6-terra|high|reasoning|fallback-na</x:t>
        </x:is>
      </x:c>
      <x:c r="C1044" t="inlineStr">
        <x:is>
          <x:t xml:space="preserve">AA|v4.3.2</x:t>
        </x:is>
      </x:c>
      <x:c r="D1044" t="n">
        <x:v>132</x:v>
      </x:c>
      <x:c r="E1044" t="n">
        <x:v>30</x:v>
      </x:c>
      <x:c r="F1044" t="n">
        <x:f>INDEX(Run_Metrics!$F:$F,D1044)</x:f>
        <x:v>34</x:v>
      </x:c>
      <x:c r="G1044" t="n">
        <x:f>INDEX(Run_Metrics!$G:$G,D1044)</x:f>
        <x:v>0.34</x:v>
      </x:c>
      <x:c r="H1044" t="str">
        <x:f>INDEX(Run_Metrics!$I:$I,D1044)</x:f>
      </x:c>
      <x:c r="I1044" t="n">
        <x:f>IF(F1044="","",F1044-(E1044-1))</x:f>
        <x:v>5</x:v>
      </x:c>
      <x:c r="J1044" t="n">
        <x:f>IF(I1044&gt;0,1,0)</x:f>
        <x:v>1</x:v>
      </x:c>
      <x:c r="K1044" t="n">
        <x:f>IF(OR(J1044=0,G1044="",G1044=0),"",I1044/G1044)</x:f>
        <x:v>14.705882352941176</x:v>
      </x:c>
      <x:c r="L1044" t="n">
        <x:f>IF(OR(J1044=0,I1044=0,G1044=""),"",G1044/I1044)</x:f>
        <x:v>0.068</x:v>
      </x:c>
      <x:c r="M1044" t="str">
        <x:f>IF(OR(J1044=0,G1044="",H1044="",G1044=0,H1044=0),"",I1044/(G1044*H1044))</x:f>
      </x:c>
      <x:c r="N1044" t="n">
        <x:f>IF(K1044="","",K1044/_xlfn.MAXIFS($K:$K,$E:$E,E1044))</x:f>
        <x:v>0.09803921568627451</x:v>
      </x:c>
      <x:c r="O1044" t="str">
        <x:f>IF(M1044="","",M1044/_xlfn.MAXIFS($M:$M,$E:$E,E1044))</x:f>
      </x:c>
      <x:c r="P1044" t="str">
        <x:f>IF(OR(N1044="",O1044=""),"",SQRT(N1044*O1044))</x:f>
      </x:c>
      <x:c r="Q1044" t="str">
        <x:f>IF(OR(N1044="",O1044=""),"",N1044^0.7*O1044^0.3)</x:f>
      </x:c>
      <x:c r="R1044" t="str">
        <x:f>IF(OR(N1044="",O1044=""),"",N1044^0.3*O1044^0.7)</x:f>
      </x:c>
    </x:row>
    <x:row r="1045" s="14" customFormat="1">
      <x:c r="A1045" t="inlineStr">
        <x:is>
          <x:t xml:space="preserve">openai|gpt-5-6-terra|high|reasoning|fallback-na|aa-v4.3.2|snapshot-2026-10-16</x:t>
        </x:is>
      </x:c>
      <x:c r="B1045" t="inlineStr">
        <x:is>
          <x:t xml:space="preserve">openai|gpt-5-6-terra|high|reasoning|fallback-na</x:t>
        </x:is>
      </x:c>
      <x:c r="C1045" t="inlineStr">
        <x:is>
          <x:t xml:space="preserve">AA|v4.3.2</x:t>
        </x:is>
      </x:c>
      <x:c r="D1045" t="n">
        <x:v>132</x:v>
      </x:c>
      <x:c r="E1045" t="n">
        <x:v>35</x:v>
      </x:c>
      <x:c r="F1045" t="n">
        <x:f>INDEX(Run_Metrics!$F:$F,D1045)</x:f>
        <x:v>34</x:v>
      </x:c>
      <x:c r="G1045" t="n">
        <x:f>INDEX(Run_Metrics!$G:$G,D1045)</x:f>
        <x:v>0.34</x:v>
      </x:c>
      <x:c r="H1045" t="str">
        <x:f>INDEX(Run_Metrics!$I:$I,D1045)</x:f>
      </x:c>
      <x:c r="I1045" t="n">
        <x:f>IF(F1045="","",F1045-(E1045-1))</x:f>
        <x:v>0</x:v>
      </x:c>
      <x:c r="J1045" t="n">
        <x:f>IF(I1045&gt;0,1,0)</x:f>
        <x:v>0</x:v>
      </x:c>
      <x:c r="K1045" t="str">
        <x:f>IF(OR(J1045=0,G1045="",G1045=0),"",I1045/G1045)</x:f>
      </x:c>
      <x:c r="L1045" t="str">
        <x:f>IF(OR(J1045=0,I1045=0,G1045=""),"",G1045/I1045)</x:f>
      </x:c>
      <x:c r="M1045" t="str">
        <x:f>IF(OR(J1045=0,G1045="",H1045="",G1045=0,H1045=0),"",I1045/(G1045*H1045))</x:f>
      </x:c>
      <x:c r="N1045" t="str">
        <x:f>IF(K1045="","",K1045/_xlfn.MAXIFS($K:$K,$E:$E,E1045))</x:f>
      </x:c>
      <x:c r="O1045" t="str">
        <x:f>IF(M1045="","",M1045/_xlfn.MAXIFS($M:$M,$E:$E,E1045))</x:f>
      </x:c>
      <x:c r="P1045" t="str">
        <x:f>IF(OR(N1045="",O1045=""),"",SQRT(N1045*O1045))</x:f>
      </x:c>
      <x:c r="Q1045" t="str">
        <x:f>IF(OR(N1045="",O1045=""),"",N1045^0.7*O1045^0.3)</x:f>
      </x:c>
      <x:c r="R1045" t="str">
        <x:f>IF(OR(N1045="",O1045=""),"",N1045^0.3*O1045^0.7)</x:f>
      </x:c>
    </x:row>
    <x:row r="1046" s="14" customFormat="1">
      <x:c r="A1046" t="inlineStr">
        <x:is>
          <x:t xml:space="preserve">openai|gpt-5-6-terra|high|reasoning|fallback-na|aa-v4.3.2|snapshot-2026-10-16</x:t>
        </x:is>
      </x:c>
      <x:c r="B1046" t="inlineStr">
        <x:is>
          <x:t xml:space="preserve">openai|gpt-5-6-terra|high|reasoning|fallback-na</x:t>
        </x:is>
      </x:c>
      <x:c r="C1046" t="inlineStr">
        <x:is>
          <x:t xml:space="preserve">AA|v4.3.2</x:t>
        </x:is>
      </x:c>
      <x:c r="D1046" t="n">
        <x:v>132</x:v>
      </x:c>
      <x:c r="E1046" t="n">
        <x:v>40</x:v>
      </x:c>
      <x:c r="F1046" t="n">
        <x:f>INDEX(Run_Metrics!$F:$F,D1046)</x:f>
        <x:v>34</x:v>
      </x:c>
      <x:c r="G1046" t="n">
        <x:f>INDEX(Run_Metrics!$G:$G,D1046)</x:f>
        <x:v>0.34</x:v>
      </x:c>
      <x:c r="H1046" t="str">
        <x:f>INDEX(Run_Metrics!$I:$I,D1046)</x:f>
      </x:c>
      <x:c r="I1046" t="n">
        <x:f>IF(F1046="","",F1046-(E1046-1))</x:f>
        <x:v>-5</x:v>
      </x:c>
      <x:c r="J1046" t="n">
        <x:f>IF(I1046&gt;0,1,0)</x:f>
        <x:v>0</x:v>
      </x:c>
      <x:c r="K1046" t="str">
        <x:f>IF(OR(J1046=0,G1046="",G1046=0),"",I1046/G1046)</x:f>
      </x:c>
      <x:c r="L1046" t="str">
        <x:f>IF(OR(J1046=0,I1046=0,G1046=""),"",G1046/I1046)</x:f>
      </x:c>
      <x:c r="M1046" t="str">
        <x:f>IF(OR(J1046=0,G1046="",H1046="",G1046=0,H1046=0),"",I1046/(G1046*H1046))</x:f>
      </x:c>
      <x:c r="N1046" t="str">
        <x:f>IF(K1046="","",K1046/_xlfn.MAXIFS($K:$K,$E:$E,E1046))</x:f>
      </x:c>
      <x:c r="O1046" t="str">
        <x:f>IF(M1046="","",M1046/_xlfn.MAXIFS($M:$M,$E:$E,E1046))</x:f>
      </x:c>
      <x:c r="P1046" t="str">
        <x:f>IF(OR(N1046="",O1046=""),"",SQRT(N1046*O1046))</x:f>
      </x:c>
      <x:c r="Q1046" t="str">
        <x:f>IF(OR(N1046="",O1046=""),"",N1046^0.7*O1046^0.3)</x:f>
      </x:c>
      <x:c r="R1046" t="str">
        <x:f>IF(OR(N1046="",O1046=""),"",N1046^0.3*O1046^0.7)</x:f>
      </x:c>
    </x:row>
    <x:row r="1047" s="14" customFormat="1">
      <x:c r="A1047" t="inlineStr">
        <x:is>
          <x:t xml:space="preserve">openai|gpt-5-6-terra|high|reasoning|fallback-na|aa-v4.3.2|snapshot-2026-10-16</x:t>
        </x:is>
      </x:c>
      <x:c r="B1047" t="inlineStr">
        <x:is>
          <x:t xml:space="preserve">openai|gpt-5-6-terra|high|reasoning|fallback-na</x:t>
        </x:is>
      </x:c>
      <x:c r="C1047" t="inlineStr">
        <x:is>
          <x:t xml:space="preserve">AA|v4.3.2</x:t>
        </x:is>
      </x:c>
      <x:c r="D1047" t="n">
        <x:v>132</x:v>
      </x:c>
      <x:c r="E1047" t="n">
        <x:v>45</x:v>
      </x:c>
      <x:c r="F1047" t="n">
        <x:f>INDEX(Run_Metrics!$F:$F,D1047)</x:f>
        <x:v>34</x:v>
      </x:c>
      <x:c r="G1047" t="n">
        <x:f>INDEX(Run_Metrics!$G:$G,D1047)</x:f>
        <x:v>0.34</x:v>
      </x:c>
      <x:c r="H1047" t="str">
        <x:f>INDEX(Run_Metrics!$I:$I,D1047)</x:f>
      </x:c>
      <x:c r="I1047" t="n">
        <x:f>IF(F1047="","",F1047-(E1047-1))</x:f>
        <x:v>-10</x:v>
      </x:c>
      <x:c r="J1047" t="n">
        <x:f>IF(I1047&gt;0,1,0)</x:f>
        <x:v>0</x:v>
      </x:c>
      <x:c r="K1047" t="str">
        <x:f>IF(OR(J1047=0,G1047="",G1047=0),"",I1047/G1047)</x:f>
      </x:c>
      <x:c r="L1047" t="str">
        <x:f>IF(OR(J1047=0,I1047=0,G1047=""),"",G1047/I1047)</x:f>
      </x:c>
      <x:c r="M1047" t="str">
        <x:f>IF(OR(J1047=0,G1047="",H1047="",G1047=0,H1047=0),"",I1047/(G1047*H1047))</x:f>
      </x:c>
      <x:c r="N1047" t="str">
        <x:f>IF(K1047="","",K1047/_xlfn.MAXIFS($K:$K,$E:$E,E1047))</x:f>
      </x:c>
      <x:c r="O1047" t="str">
        <x:f>IF(M1047="","",M1047/_xlfn.MAXIFS($M:$M,$E:$E,E1047))</x:f>
      </x:c>
      <x:c r="P1047" t="str">
        <x:f>IF(OR(N1047="",O1047=""),"",SQRT(N1047*O1047))</x:f>
      </x:c>
      <x:c r="Q1047" t="str">
        <x:f>IF(OR(N1047="",O1047=""),"",N1047^0.7*O1047^0.3)</x:f>
      </x:c>
      <x:c r="R1047" t="str">
        <x:f>IF(OR(N1047="",O1047=""),"",N1047^0.3*O1047^0.7)</x:f>
      </x:c>
    </x:row>
    <x:row r="1048" s="14" customFormat="1">
      <x:c r="A1048" t="inlineStr">
        <x:is>
          <x:t xml:space="preserve">openai|gpt-5-6-terra|high|reasoning|fallback-na|aa-v4.3.2|snapshot-2026-10-16</x:t>
        </x:is>
      </x:c>
      <x:c r="B1048" t="inlineStr">
        <x:is>
          <x:t xml:space="preserve">openai|gpt-5-6-terra|high|reasoning|fallback-na</x:t>
        </x:is>
      </x:c>
      <x:c r="C1048" t="inlineStr">
        <x:is>
          <x:t xml:space="preserve">AA|v4.3.2</x:t>
        </x:is>
      </x:c>
      <x:c r="D1048" t="n">
        <x:v>132</x:v>
      </x:c>
      <x:c r="E1048" t="n">
        <x:v>50</x:v>
      </x:c>
      <x:c r="F1048" t="n">
        <x:f>INDEX(Run_Metrics!$F:$F,D1048)</x:f>
        <x:v>34</x:v>
      </x:c>
      <x:c r="G1048" t="n">
        <x:f>INDEX(Run_Metrics!$G:$G,D1048)</x:f>
        <x:v>0.34</x:v>
      </x:c>
      <x:c r="H1048" t="str">
        <x:f>INDEX(Run_Metrics!$I:$I,D1048)</x:f>
      </x:c>
      <x:c r="I1048" t="n">
        <x:f>IF(F1048="","",F1048-(E1048-1))</x:f>
        <x:v>-15</x:v>
      </x:c>
      <x:c r="J1048" t="n">
        <x:f>IF(I1048&gt;0,1,0)</x:f>
        <x:v>0</x:v>
      </x:c>
      <x:c r="K1048" t="str">
        <x:f>IF(OR(J1048=0,G1048="",G1048=0),"",I1048/G1048)</x:f>
      </x:c>
      <x:c r="L1048" t="str">
        <x:f>IF(OR(J1048=0,I1048=0,G1048=""),"",G1048/I1048)</x:f>
      </x:c>
      <x:c r="M1048" t="str">
        <x:f>IF(OR(J1048=0,G1048="",H1048="",G1048=0,H1048=0),"",I1048/(G1048*H1048))</x:f>
      </x:c>
      <x:c r="N1048" t="str">
        <x:f>IF(K1048="","",K1048/_xlfn.MAXIFS($K:$K,$E:$E,E1048))</x:f>
      </x:c>
      <x:c r="O1048" t="str">
        <x:f>IF(M1048="","",M1048/_xlfn.MAXIFS($M:$M,$E:$E,E1048))</x:f>
      </x:c>
      <x:c r="P1048" t="str">
        <x:f>IF(OR(N1048="",O1048=""),"",SQRT(N1048*O1048))</x:f>
      </x:c>
      <x:c r="Q1048" t="str">
        <x:f>IF(OR(N1048="",O1048=""),"",N1048^0.7*O1048^0.3)</x:f>
      </x:c>
      <x:c r="R1048" t="str">
        <x:f>IF(OR(N1048="",O1048=""),"",N1048^0.3*O1048^0.7)</x:f>
      </x:c>
    </x:row>
    <x:row r="1049" s="14" customFormat="1">
      <x:c r="A1049" t="inlineStr">
        <x:is>
          <x:t xml:space="preserve">openai|gpt-5-6-terra|high|reasoning|fallback-na|aa-v4.3.2|snapshot-2026-10-16</x:t>
        </x:is>
      </x:c>
      <x:c r="B1049" t="inlineStr">
        <x:is>
          <x:t xml:space="preserve">openai|gpt-5-6-terra|high|reasoning|fallback-na</x:t>
        </x:is>
      </x:c>
      <x:c r="C1049" t="inlineStr">
        <x:is>
          <x:t xml:space="preserve">AA|v4.3.2</x:t>
        </x:is>
      </x:c>
      <x:c r="D1049" t="n">
        <x:v>132</x:v>
      </x:c>
      <x:c r="E1049" t="n">
        <x:v>60</x:v>
      </x:c>
      <x:c r="F1049" t="n">
        <x:f>INDEX(Run_Metrics!$F:$F,D1049)</x:f>
        <x:v>34</x:v>
      </x:c>
      <x:c r="G1049" t="n">
        <x:f>INDEX(Run_Metrics!$G:$G,D1049)</x:f>
        <x:v>0.34</x:v>
      </x:c>
      <x:c r="H1049" t="str">
        <x:f>INDEX(Run_Metrics!$I:$I,D1049)</x:f>
      </x:c>
      <x:c r="I1049" t="n">
        <x:f>IF(F1049="","",F1049-(E1049-1))</x:f>
        <x:v>-25</x:v>
      </x:c>
      <x:c r="J1049" t="n">
        <x:f>IF(I1049&gt;0,1,0)</x:f>
        <x:v>0</x:v>
      </x:c>
      <x:c r="K1049" t="str">
        <x:f>IF(OR(J1049=0,G1049="",G1049=0),"",I1049/G1049)</x:f>
      </x:c>
      <x:c r="L1049" t="str">
        <x:f>IF(OR(J1049=0,I1049=0,G1049=""),"",G1049/I1049)</x:f>
      </x:c>
      <x:c r="M1049" t="str">
        <x:f>IF(OR(J1049=0,G1049="",H1049="",G1049=0,H1049=0),"",I1049/(G1049*H1049))</x:f>
      </x:c>
      <x:c r="N1049" t="str">
        <x:f>IF(K1049="","",K1049/_xlfn.MAXIFS($K:$K,$E:$E,E1049))</x:f>
      </x:c>
      <x:c r="O1049" t="str">
        <x:f>IF(M1049="","",M1049/_xlfn.MAXIFS($M:$M,$E:$E,E1049))</x:f>
      </x:c>
      <x:c r="P1049" t="str">
        <x:f>IF(OR(N1049="",O1049=""),"",SQRT(N1049*O1049))</x:f>
      </x:c>
      <x:c r="Q1049" t="str">
        <x:f>IF(OR(N1049="",O1049=""),"",N1049^0.7*O1049^0.3)</x:f>
      </x:c>
      <x:c r="R1049" t="str">
        <x:f>IF(OR(N1049="",O1049=""),"",N1049^0.3*O1049^0.7)</x:f>
      </x:c>
    </x:row>
    <x:row r="1050" s="14" customFormat="1">
      <x:c r="A1050" t="inlineStr">
        <x:is>
          <x:t xml:space="preserve">openai|gpt-5-6-terra|medium|reasoning|fallback-na|aa-v4.3.2|snapshot-2026-10-16</x:t>
        </x:is>
      </x:c>
      <x:c r="B1050" t="inlineStr">
        <x:is>
          <x:t xml:space="preserve">openai|gpt-5-6-terra|medium|reasoning|fallback-na</x:t>
        </x:is>
      </x:c>
      <x:c r="C1050" t="inlineStr">
        <x:is>
          <x:t xml:space="preserve">AA|v4.3.2</x:t>
        </x:is>
      </x:c>
      <x:c r="D1050" t="n">
        <x:v>133</x:v>
      </x:c>
      <x:c r="E1050" t="n">
        <x:v>10</x:v>
      </x:c>
      <x:c r="F1050" t="n">
        <x:f>INDEX(Run_Metrics!$F:$F,D1050)</x:f>
        <x:v>30</x:v>
      </x:c>
      <x:c r="G1050" t="n">
        <x:f>INDEX(Run_Metrics!$G:$G,D1050)</x:f>
        <x:v>0.18</x:v>
      </x:c>
      <x:c r="H1050" t="str">
        <x:f>INDEX(Run_Metrics!$I:$I,D1050)</x:f>
      </x:c>
      <x:c r="I1050" t="n">
        <x:f>IF(F1050="","",F1050-(E1050-1))</x:f>
        <x:v>21</x:v>
      </x:c>
      <x:c r="J1050" t="n">
        <x:f>IF(I1050&gt;0,1,0)</x:f>
        <x:v>1</x:v>
      </x:c>
      <x:c r="K1050" t="n">
        <x:f>IF(OR(J1050=0,G1050="",G1050=0),"",I1050/G1050)</x:f>
        <x:v>116.66666666666667</x:v>
      </x:c>
      <x:c r="L1050" t="n">
        <x:f>IF(OR(J1050=0,I1050=0,G1050=""),"",G1050/I1050)</x:f>
        <x:v>0.008571428571428572</x:v>
      </x:c>
      <x:c r="M1050" t="str">
        <x:f>IF(OR(J1050=0,G1050="",H1050="",G1050=0,H1050=0),"",I1050/(G1050*H1050))</x:f>
      </x:c>
      <x:c r="N1050" t="n">
        <x:f>IF(K1050="","",K1050/_xlfn.MAXIFS($K:$K,$E:$E,E1050))</x:f>
        <x:v>0.04038461538461538</x:v>
      </x:c>
      <x:c r="O1050" t="str">
        <x:f>IF(M1050="","",M1050/_xlfn.MAXIFS($M:$M,$E:$E,E1050))</x:f>
      </x:c>
      <x:c r="P1050" t="str">
        <x:f>IF(OR(N1050="",O1050=""),"",SQRT(N1050*O1050))</x:f>
      </x:c>
      <x:c r="Q1050" t="str">
        <x:f>IF(OR(N1050="",O1050=""),"",N1050^0.7*O1050^0.3)</x:f>
      </x:c>
      <x:c r="R1050" t="str">
        <x:f>IF(OR(N1050="",O1050=""),"",N1050^0.3*O1050^0.7)</x:f>
      </x:c>
    </x:row>
    <x:row r="1051" s="14" customFormat="1">
      <x:c r="A1051" t="inlineStr">
        <x:is>
          <x:t xml:space="preserve">openai|gpt-5-6-terra|medium|reasoning|fallback-na|aa-v4.3.2|snapshot-2026-10-16</x:t>
        </x:is>
      </x:c>
      <x:c r="B1051" t="inlineStr">
        <x:is>
          <x:t xml:space="preserve">openai|gpt-5-6-terra|medium|reasoning|fallback-na</x:t>
        </x:is>
      </x:c>
      <x:c r="C1051" t="inlineStr">
        <x:is>
          <x:t xml:space="preserve">AA|v4.3.2</x:t>
        </x:is>
      </x:c>
      <x:c r="D1051" t="n">
        <x:v>133</x:v>
      </x:c>
      <x:c r="E1051" t="n">
        <x:v>20</x:v>
      </x:c>
      <x:c r="F1051" t="n">
        <x:f>INDEX(Run_Metrics!$F:$F,D1051)</x:f>
        <x:v>30</x:v>
      </x:c>
      <x:c r="G1051" t="n">
        <x:f>INDEX(Run_Metrics!$G:$G,D1051)</x:f>
        <x:v>0.18</x:v>
      </x:c>
      <x:c r="H1051" t="str">
        <x:f>INDEX(Run_Metrics!$I:$I,D1051)</x:f>
      </x:c>
      <x:c r="I1051" t="n">
        <x:f>IF(F1051="","",F1051-(E1051-1))</x:f>
        <x:v>11</x:v>
      </x:c>
      <x:c r="J1051" t="n">
        <x:f>IF(I1051&gt;0,1,0)</x:f>
        <x:v>1</x:v>
      </x:c>
      <x:c r="K1051" t="n">
        <x:f>IF(OR(J1051=0,G1051="",G1051=0),"",I1051/G1051)</x:f>
        <x:v>61.111111111111114</x:v>
      </x:c>
      <x:c r="L1051" t="n">
        <x:f>IF(OR(J1051=0,I1051=0,G1051=""),"",G1051/I1051)</x:f>
        <x:v>0.01636363636363636</x:v>
      </x:c>
      <x:c r="M1051" t="str">
        <x:f>IF(OR(J1051=0,G1051="",H1051="",G1051=0,H1051=0),"",I1051/(G1051*H1051))</x:f>
      </x:c>
      <x:c r="N1051" t="n">
        <x:f>IF(K1051="","",K1051/_xlfn.MAXIFS($K:$K,$E:$E,E1051))</x:f>
        <x:v>0.09166666666666666</x:v>
      </x:c>
      <x:c r="O1051" t="str">
        <x:f>IF(M1051="","",M1051/_xlfn.MAXIFS($M:$M,$E:$E,E1051))</x:f>
      </x:c>
      <x:c r="P1051" t="str">
        <x:f>IF(OR(N1051="",O1051=""),"",SQRT(N1051*O1051))</x:f>
      </x:c>
      <x:c r="Q1051" t="str">
        <x:f>IF(OR(N1051="",O1051=""),"",N1051^0.7*O1051^0.3)</x:f>
      </x:c>
      <x:c r="R1051" t="str">
        <x:f>IF(OR(N1051="",O1051=""),"",N1051^0.3*O1051^0.7)</x:f>
      </x:c>
    </x:row>
    <x:row r="1052" s="14" customFormat="1">
      <x:c r="A1052" t="inlineStr">
        <x:is>
          <x:t xml:space="preserve">openai|gpt-5-6-terra|medium|reasoning|fallback-na|aa-v4.3.2|snapshot-2026-10-16</x:t>
        </x:is>
      </x:c>
      <x:c r="B1052" t="inlineStr">
        <x:is>
          <x:t xml:space="preserve">openai|gpt-5-6-terra|medium|reasoning|fallback-na</x:t>
        </x:is>
      </x:c>
      <x:c r="C1052" t="inlineStr">
        <x:is>
          <x:t xml:space="preserve">AA|v4.3.2</x:t>
        </x:is>
      </x:c>
      <x:c r="D1052" t="n">
        <x:v>133</x:v>
      </x:c>
      <x:c r="E1052" t="n">
        <x:v>30</x:v>
      </x:c>
      <x:c r="F1052" t="n">
        <x:f>INDEX(Run_Metrics!$F:$F,D1052)</x:f>
        <x:v>30</x:v>
      </x:c>
      <x:c r="G1052" t="n">
        <x:f>INDEX(Run_Metrics!$G:$G,D1052)</x:f>
        <x:v>0.18</x:v>
      </x:c>
      <x:c r="H1052" t="str">
        <x:f>INDEX(Run_Metrics!$I:$I,D1052)</x:f>
      </x:c>
      <x:c r="I1052" t="n">
        <x:f>IF(F1052="","",F1052-(E1052-1))</x:f>
        <x:v>1</x:v>
      </x:c>
      <x:c r="J1052" t="n">
        <x:f>IF(I1052&gt;0,1,0)</x:f>
        <x:v>1</x:v>
      </x:c>
      <x:c r="K1052" t="n">
        <x:f>IF(OR(J1052=0,G1052="",G1052=0),"",I1052/G1052)</x:f>
        <x:v>5.555555555555555</x:v>
      </x:c>
      <x:c r="L1052" t="n">
        <x:f>IF(OR(J1052=0,I1052=0,G1052=""),"",G1052/I1052)</x:f>
        <x:v>0.18</x:v>
      </x:c>
      <x:c r="M1052" t="str">
        <x:f>IF(OR(J1052=0,G1052="",H1052="",G1052=0,H1052=0),"",I1052/(G1052*H1052))</x:f>
      </x:c>
      <x:c r="N1052" t="n">
        <x:f>IF(K1052="","",K1052/_xlfn.MAXIFS($K:$K,$E:$E,E1052))</x:f>
        <x:v>0.037037037037037035</x:v>
      </x:c>
      <x:c r="O1052" t="str">
        <x:f>IF(M1052="","",M1052/_xlfn.MAXIFS($M:$M,$E:$E,E1052))</x:f>
      </x:c>
      <x:c r="P1052" t="str">
        <x:f>IF(OR(N1052="",O1052=""),"",SQRT(N1052*O1052))</x:f>
      </x:c>
      <x:c r="Q1052" t="str">
        <x:f>IF(OR(N1052="",O1052=""),"",N1052^0.7*O1052^0.3)</x:f>
      </x:c>
      <x:c r="R1052" t="str">
        <x:f>IF(OR(N1052="",O1052=""),"",N1052^0.3*O1052^0.7)</x:f>
      </x:c>
    </x:row>
    <x:row r="1053" s="14" customFormat="1">
      <x:c r="A1053" t="inlineStr">
        <x:is>
          <x:t xml:space="preserve">openai|gpt-5-6-terra|medium|reasoning|fallback-na|aa-v4.3.2|snapshot-2026-10-16</x:t>
        </x:is>
      </x:c>
      <x:c r="B1053" t="inlineStr">
        <x:is>
          <x:t xml:space="preserve">openai|gpt-5-6-terra|medium|reasoning|fallback-na</x:t>
        </x:is>
      </x:c>
      <x:c r="C1053" t="inlineStr">
        <x:is>
          <x:t xml:space="preserve">AA|v4.3.2</x:t>
        </x:is>
      </x:c>
      <x:c r="D1053" t="n">
        <x:v>133</x:v>
      </x:c>
      <x:c r="E1053" t="n">
        <x:v>35</x:v>
      </x:c>
      <x:c r="F1053" t="n">
        <x:f>INDEX(Run_Metrics!$F:$F,D1053)</x:f>
        <x:v>30</x:v>
      </x:c>
      <x:c r="G1053" t="n">
        <x:f>INDEX(Run_Metrics!$G:$G,D1053)</x:f>
        <x:v>0.18</x:v>
      </x:c>
      <x:c r="H1053" t="str">
        <x:f>INDEX(Run_Metrics!$I:$I,D1053)</x:f>
      </x:c>
      <x:c r="I1053" t="n">
        <x:f>IF(F1053="","",F1053-(E1053-1))</x:f>
        <x:v>-4</x:v>
      </x:c>
      <x:c r="J1053" t="n">
        <x:f>IF(I1053&gt;0,1,0)</x:f>
        <x:v>0</x:v>
      </x:c>
      <x:c r="K1053" t="str">
        <x:f>IF(OR(J1053=0,G1053="",G1053=0),"",I1053/G1053)</x:f>
      </x:c>
      <x:c r="L1053" t="str">
        <x:f>IF(OR(J1053=0,I1053=0,G1053=""),"",G1053/I1053)</x:f>
      </x:c>
      <x:c r="M1053" t="str">
        <x:f>IF(OR(J1053=0,G1053="",H1053="",G1053=0,H1053=0),"",I1053/(G1053*H1053))</x:f>
      </x:c>
      <x:c r="N1053" t="str">
        <x:f>IF(K1053="","",K1053/_xlfn.MAXIFS($K:$K,$E:$E,E1053))</x:f>
      </x:c>
      <x:c r="O1053" t="str">
        <x:f>IF(M1053="","",M1053/_xlfn.MAXIFS($M:$M,$E:$E,E1053))</x:f>
      </x:c>
      <x:c r="P1053" t="str">
        <x:f>IF(OR(N1053="",O1053=""),"",SQRT(N1053*O1053))</x:f>
      </x:c>
      <x:c r="Q1053" t="str">
        <x:f>IF(OR(N1053="",O1053=""),"",N1053^0.7*O1053^0.3)</x:f>
      </x:c>
      <x:c r="R1053" t="str">
        <x:f>IF(OR(N1053="",O1053=""),"",N1053^0.3*O1053^0.7)</x:f>
      </x:c>
    </x:row>
    <x:row r="1054" s="14" customFormat="1">
      <x:c r="A1054" t="inlineStr">
        <x:is>
          <x:t xml:space="preserve">openai|gpt-5-6-terra|medium|reasoning|fallback-na|aa-v4.3.2|snapshot-2026-10-16</x:t>
        </x:is>
      </x:c>
      <x:c r="B1054" t="inlineStr">
        <x:is>
          <x:t xml:space="preserve">openai|gpt-5-6-terra|medium|reasoning|fallback-na</x:t>
        </x:is>
      </x:c>
      <x:c r="C1054" t="inlineStr">
        <x:is>
          <x:t xml:space="preserve">AA|v4.3.2</x:t>
        </x:is>
      </x:c>
      <x:c r="D1054" t="n">
        <x:v>133</x:v>
      </x:c>
      <x:c r="E1054" t="n">
        <x:v>40</x:v>
      </x:c>
      <x:c r="F1054" t="n">
        <x:f>INDEX(Run_Metrics!$F:$F,D1054)</x:f>
        <x:v>30</x:v>
      </x:c>
      <x:c r="G1054" t="n">
        <x:f>INDEX(Run_Metrics!$G:$G,D1054)</x:f>
        <x:v>0.18</x:v>
      </x:c>
      <x:c r="H1054" t="str">
        <x:f>INDEX(Run_Metrics!$I:$I,D1054)</x:f>
      </x:c>
      <x:c r="I1054" t="n">
        <x:f>IF(F1054="","",F1054-(E1054-1))</x:f>
        <x:v>-9</x:v>
      </x:c>
      <x:c r="J1054" t="n">
        <x:f>IF(I1054&gt;0,1,0)</x:f>
        <x:v>0</x:v>
      </x:c>
      <x:c r="K1054" t="str">
        <x:f>IF(OR(J1054=0,G1054="",G1054=0),"",I1054/G1054)</x:f>
      </x:c>
      <x:c r="L1054" t="str">
        <x:f>IF(OR(J1054=0,I1054=0,G1054=""),"",G1054/I1054)</x:f>
      </x:c>
      <x:c r="M1054" t="str">
        <x:f>IF(OR(J1054=0,G1054="",H1054="",G1054=0,H1054=0),"",I1054/(G1054*H1054))</x:f>
      </x:c>
      <x:c r="N1054" t="str">
        <x:f>IF(K1054="","",K1054/_xlfn.MAXIFS($K:$K,$E:$E,E1054))</x:f>
      </x:c>
      <x:c r="O1054" t="str">
        <x:f>IF(M1054="","",M1054/_xlfn.MAXIFS($M:$M,$E:$E,E1054))</x:f>
      </x:c>
      <x:c r="P1054" t="str">
        <x:f>IF(OR(N1054="",O1054=""),"",SQRT(N1054*O1054))</x:f>
      </x:c>
      <x:c r="Q1054" t="str">
        <x:f>IF(OR(N1054="",O1054=""),"",N1054^0.7*O1054^0.3)</x:f>
      </x:c>
      <x:c r="R1054" t="str">
        <x:f>IF(OR(N1054="",O1054=""),"",N1054^0.3*O1054^0.7)</x:f>
      </x:c>
    </x:row>
    <x:row r="1055" s="14" customFormat="1">
      <x:c r="A1055" t="inlineStr">
        <x:is>
          <x:t xml:space="preserve">openai|gpt-5-6-terra|medium|reasoning|fallback-na|aa-v4.3.2|snapshot-2026-10-16</x:t>
        </x:is>
      </x:c>
      <x:c r="B1055" t="inlineStr">
        <x:is>
          <x:t xml:space="preserve">openai|gpt-5-6-terra|medium|reasoning|fallback-na</x:t>
        </x:is>
      </x:c>
      <x:c r="C1055" t="inlineStr">
        <x:is>
          <x:t xml:space="preserve">AA|v4.3.2</x:t>
        </x:is>
      </x:c>
      <x:c r="D1055" t="n">
        <x:v>133</x:v>
      </x:c>
      <x:c r="E1055" t="n">
        <x:v>45</x:v>
      </x:c>
      <x:c r="F1055" t="n">
        <x:f>INDEX(Run_Metrics!$F:$F,D1055)</x:f>
        <x:v>30</x:v>
      </x:c>
      <x:c r="G1055" t="n">
        <x:f>INDEX(Run_Metrics!$G:$G,D1055)</x:f>
        <x:v>0.18</x:v>
      </x:c>
      <x:c r="H1055" t="str">
        <x:f>INDEX(Run_Metrics!$I:$I,D1055)</x:f>
      </x:c>
      <x:c r="I1055" t="n">
        <x:f>IF(F1055="","",F1055-(E1055-1))</x:f>
        <x:v>-14</x:v>
      </x:c>
      <x:c r="J1055" t="n">
        <x:f>IF(I1055&gt;0,1,0)</x:f>
        <x:v>0</x:v>
      </x:c>
      <x:c r="K1055" t="str">
        <x:f>IF(OR(J1055=0,G1055="",G1055=0),"",I1055/G1055)</x:f>
      </x:c>
      <x:c r="L1055" t="str">
        <x:f>IF(OR(J1055=0,I1055=0,G1055=""),"",G1055/I1055)</x:f>
      </x:c>
      <x:c r="M1055" t="str">
        <x:f>IF(OR(J1055=0,G1055="",H1055="",G1055=0,H1055=0),"",I1055/(G1055*H1055))</x:f>
      </x:c>
      <x:c r="N1055" t="str">
        <x:f>IF(K1055="","",K1055/_xlfn.MAXIFS($K:$K,$E:$E,E1055))</x:f>
      </x:c>
      <x:c r="O1055" t="str">
        <x:f>IF(M1055="","",M1055/_xlfn.MAXIFS($M:$M,$E:$E,E1055))</x:f>
      </x:c>
      <x:c r="P1055" t="str">
        <x:f>IF(OR(N1055="",O1055=""),"",SQRT(N1055*O1055))</x:f>
      </x:c>
      <x:c r="Q1055" t="str">
        <x:f>IF(OR(N1055="",O1055=""),"",N1055^0.7*O1055^0.3)</x:f>
      </x:c>
      <x:c r="R1055" t="str">
        <x:f>IF(OR(N1055="",O1055=""),"",N1055^0.3*O1055^0.7)</x:f>
      </x:c>
    </x:row>
    <x:row r="1056" s="14" customFormat="1">
      <x:c r="A1056" t="inlineStr">
        <x:is>
          <x:t xml:space="preserve">openai|gpt-5-6-terra|medium|reasoning|fallback-na|aa-v4.3.2|snapshot-2026-10-16</x:t>
        </x:is>
      </x:c>
      <x:c r="B1056" t="inlineStr">
        <x:is>
          <x:t xml:space="preserve">openai|gpt-5-6-terra|medium|reasoning|fallback-na</x:t>
        </x:is>
      </x:c>
      <x:c r="C1056" t="inlineStr">
        <x:is>
          <x:t xml:space="preserve">AA|v4.3.2</x:t>
        </x:is>
      </x:c>
      <x:c r="D1056" t="n">
        <x:v>133</x:v>
      </x:c>
      <x:c r="E1056" t="n">
        <x:v>50</x:v>
      </x:c>
      <x:c r="F1056" t="n">
        <x:f>INDEX(Run_Metrics!$F:$F,D1056)</x:f>
        <x:v>30</x:v>
      </x:c>
      <x:c r="G1056" t="n">
        <x:f>INDEX(Run_Metrics!$G:$G,D1056)</x:f>
        <x:v>0.18</x:v>
      </x:c>
      <x:c r="H1056" t="str">
        <x:f>INDEX(Run_Metrics!$I:$I,D1056)</x:f>
      </x:c>
      <x:c r="I1056" t="n">
        <x:f>IF(F1056="","",F1056-(E1056-1))</x:f>
        <x:v>-19</x:v>
      </x:c>
      <x:c r="J1056" t="n">
        <x:f>IF(I1056&gt;0,1,0)</x:f>
        <x:v>0</x:v>
      </x:c>
      <x:c r="K1056" t="str">
        <x:f>IF(OR(J1056=0,G1056="",G1056=0),"",I1056/G1056)</x:f>
      </x:c>
      <x:c r="L1056" t="str">
        <x:f>IF(OR(J1056=0,I1056=0,G1056=""),"",G1056/I1056)</x:f>
      </x:c>
      <x:c r="M1056" t="str">
        <x:f>IF(OR(J1056=0,G1056="",H1056="",G1056=0,H1056=0),"",I1056/(G1056*H1056))</x:f>
      </x:c>
      <x:c r="N1056" t="str">
        <x:f>IF(K1056="","",K1056/_xlfn.MAXIFS($K:$K,$E:$E,E1056))</x:f>
      </x:c>
      <x:c r="O1056" t="str">
        <x:f>IF(M1056="","",M1056/_xlfn.MAXIFS($M:$M,$E:$E,E1056))</x:f>
      </x:c>
      <x:c r="P1056" t="str">
        <x:f>IF(OR(N1056="",O1056=""),"",SQRT(N1056*O1056))</x:f>
      </x:c>
      <x:c r="Q1056" t="str">
        <x:f>IF(OR(N1056="",O1056=""),"",N1056^0.7*O1056^0.3)</x:f>
      </x:c>
      <x:c r="R1056" t="str">
        <x:f>IF(OR(N1056="",O1056=""),"",N1056^0.3*O1056^0.7)</x:f>
      </x:c>
    </x:row>
    <x:row r="1057" s="14" customFormat="1">
      <x:c r="A1057" t="inlineStr">
        <x:is>
          <x:t xml:space="preserve">openai|gpt-5-6-terra|medium|reasoning|fallback-na|aa-v4.3.2|snapshot-2026-10-16</x:t>
        </x:is>
      </x:c>
      <x:c r="B1057" t="inlineStr">
        <x:is>
          <x:t xml:space="preserve">openai|gpt-5-6-terra|medium|reasoning|fallback-na</x:t>
        </x:is>
      </x:c>
      <x:c r="C1057" t="inlineStr">
        <x:is>
          <x:t xml:space="preserve">AA|v4.3.2</x:t>
        </x:is>
      </x:c>
      <x:c r="D1057" t="n">
        <x:v>133</x:v>
      </x:c>
      <x:c r="E1057" t="n">
        <x:v>60</x:v>
      </x:c>
      <x:c r="F1057" t="n">
        <x:f>INDEX(Run_Metrics!$F:$F,D1057)</x:f>
        <x:v>30</x:v>
      </x:c>
      <x:c r="G1057" t="n">
        <x:f>INDEX(Run_Metrics!$G:$G,D1057)</x:f>
        <x:v>0.18</x:v>
      </x:c>
      <x:c r="H1057" t="str">
        <x:f>INDEX(Run_Metrics!$I:$I,D1057)</x:f>
      </x:c>
      <x:c r="I1057" t="n">
        <x:f>IF(F1057="","",F1057-(E1057-1))</x:f>
        <x:v>-29</x:v>
      </x:c>
      <x:c r="J1057" t="n">
        <x:f>IF(I1057&gt;0,1,0)</x:f>
        <x:v>0</x:v>
      </x:c>
      <x:c r="K1057" t="str">
        <x:f>IF(OR(J1057=0,G1057="",G1057=0),"",I1057/G1057)</x:f>
      </x:c>
      <x:c r="L1057" t="str">
        <x:f>IF(OR(J1057=0,I1057=0,G1057=""),"",G1057/I1057)</x:f>
      </x:c>
      <x:c r="M1057" t="str">
        <x:f>IF(OR(J1057=0,G1057="",H1057="",G1057=0,H1057=0),"",I1057/(G1057*H1057))</x:f>
      </x:c>
      <x:c r="N1057" t="str">
        <x:f>IF(K1057="","",K1057/_xlfn.MAXIFS($K:$K,$E:$E,E1057))</x:f>
      </x:c>
      <x:c r="O1057" t="str">
        <x:f>IF(M1057="","",M1057/_xlfn.MAXIFS($M:$M,$E:$E,E1057))</x:f>
      </x:c>
      <x:c r="P1057" t="str">
        <x:f>IF(OR(N1057="",O1057=""),"",SQRT(N1057*O1057))</x:f>
      </x:c>
      <x:c r="Q1057" t="str">
        <x:f>IF(OR(N1057="",O1057=""),"",N1057^0.7*O1057^0.3)</x:f>
      </x:c>
      <x:c r="R1057" t="str">
        <x:f>IF(OR(N1057="",O1057=""),"",N1057^0.3*O1057^0.7)</x:f>
      </x:c>
    </x:row>
    <x:row r="1058" s="14" customFormat="1">
      <x:c r="A1058" t="inlineStr">
        <x:is>
          <x:t xml:space="preserve">openai|gpt-5-6-terra|low|reasoning|fallback-na|aa-v4.3.2|snapshot-2026-10-16</x:t>
        </x:is>
      </x:c>
      <x:c r="B1058" t="inlineStr">
        <x:is>
          <x:t xml:space="preserve">openai|gpt-5-6-terra|low|reasoning|fallback-na</x:t>
        </x:is>
      </x:c>
      <x:c r="C1058" t="inlineStr">
        <x:is>
          <x:t xml:space="preserve">AA|v4.3.2</x:t>
        </x:is>
      </x:c>
      <x:c r="D1058" t="n">
        <x:v>134</x:v>
      </x:c>
      <x:c r="E1058" t="n">
        <x:v>10</x:v>
      </x:c>
      <x:c r="F1058" t="n">
        <x:f>INDEX(Run_Metrics!$F:$F,D1058)</x:f>
        <x:v>27</x:v>
      </x:c>
      <x:c r="G1058" t="n">
        <x:f>INDEX(Run_Metrics!$G:$G,D1058)</x:f>
        <x:v>0.14</x:v>
      </x:c>
      <x:c r="H1058" t="str">
        <x:f>INDEX(Run_Metrics!$I:$I,D1058)</x:f>
      </x:c>
      <x:c r="I1058" t="n">
        <x:f>IF(F1058="","",F1058-(E1058-1))</x:f>
        <x:v>18</x:v>
      </x:c>
      <x:c r="J1058" t="n">
        <x:f>IF(I1058&gt;0,1,0)</x:f>
        <x:v>1</x:v>
      </x:c>
      <x:c r="K1058" t="n">
        <x:f>IF(OR(J1058=0,G1058="",G1058=0),"",I1058/G1058)</x:f>
        <x:v>128.57142857142856</x:v>
      </x:c>
      <x:c r="L1058" t="n">
        <x:f>IF(OR(J1058=0,I1058=0,G1058=""),"",G1058/I1058)</x:f>
        <x:v>0.007777777777777778</x:v>
      </x:c>
      <x:c r="M1058" t="str">
        <x:f>IF(OR(J1058=0,G1058="",H1058="",G1058=0,H1058=0),"",I1058/(G1058*H1058))</x:f>
      </x:c>
      <x:c r="N1058" t="n">
        <x:f>IF(K1058="","",K1058/_xlfn.MAXIFS($K:$K,$E:$E,E1058))</x:f>
        <x:v>0.04450549450549449</x:v>
      </x:c>
      <x:c r="O1058" t="str">
        <x:f>IF(M1058="","",M1058/_xlfn.MAXIFS($M:$M,$E:$E,E1058))</x:f>
      </x:c>
      <x:c r="P1058" t="str">
        <x:f>IF(OR(N1058="",O1058=""),"",SQRT(N1058*O1058))</x:f>
      </x:c>
      <x:c r="Q1058" t="str">
        <x:f>IF(OR(N1058="",O1058=""),"",N1058^0.7*O1058^0.3)</x:f>
      </x:c>
      <x:c r="R1058" t="str">
        <x:f>IF(OR(N1058="",O1058=""),"",N1058^0.3*O1058^0.7)</x:f>
      </x:c>
    </x:row>
    <x:row r="1059" s="14" customFormat="1">
      <x:c r="A1059" t="inlineStr">
        <x:is>
          <x:t xml:space="preserve">openai|gpt-5-6-terra|low|reasoning|fallback-na|aa-v4.3.2|snapshot-2026-10-16</x:t>
        </x:is>
      </x:c>
      <x:c r="B1059" t="inlineStr">
        <x:is>
          <x:t xml:space="preserve">openai|gpt-5-6-terra|low|reasoning|fallback-na</x:t>
        </x:is>
      </x:c>
      <x:c r="C1059" t="inlineStr">
        <x:is>
          <x:t xml:space="preserve">AA|v4.3.2</x:t>
        </x:is>
      </x:c>
      <x:c r="D1059" t="n">
        <x:v>134</x:v>
      </x:c>
      <x:c r="E1059" t="n">
        <x:v>20</x:v>
      </x:c>
      <x:c r="F1059" t="n">
        <x:f>INDEX(Run_Metrics!$F:$F,D1059)</x:f>
        <x:v>27</x:v>
      </x:c>
      <x:c r="G1059" t="n">
        <x:f>INDEX(Run_Metrics!$G:$G,D1059)</x:f>
        <x:v>0.14</x:v>
      </x:c>
      <x:c r="H1059" t="str">
        <x:f>INDEX(Run_Metrics!$I:$I,D1059)</x:f>
      </x:c>
      <x:c r="I1059" t="n">
        <x:f>IF(F1059="","",F1059-(E1059-1))</x:f>
        <x:v>8</x:v>
      </x:c>
      <x:c r="J1059" t="n">
        <x:f>IF(I1059&gt;0,1,0)</x:f>
        <x:v>1</x:v>
      </x:c>
      <x:c r="K1059" t="n">
        <x:f>IF(OR(J1059=0,G1059="",G1059=0),"",I1059/G1059)</x:f>
        <x:v>57.14285714285714</x:v>
      </x:c>
      <x:c r="L1059" t="n">
        <x:f>IF(OR(J1059=0,I1059=0,G1059=""),"",G1059/I1059)</x:f>
        <x:v>0.0175</x:v>
      </x:c>
      <x:c r="M1059" t="str">
        <x:f>IF(OR(J1059=0,G1059="",H1059="",G1059=0,H1059=0),"",I1059/(G1059*H1059))</x:f>
      </x:c>
      <x:c r="N1059" t="n">
        <x:f>IF(K1059="","",K1059/_xlfn.MAXIFS($K:$K,$E:$E,E1059))</x:f>
        <x:v>0.0857142857142857</x:v>
      </x:c>
      <x:c r="O1059" t="str">
        <x:f>IF(M1059="","",M1059/_xlfn.MAXIFS($M:$M,$E:$E,E1059))</x:f>
      </x:c>
      <x:c r="P1059" t="str">
        <x:f>IF(OR(N1059="",O1059=""),"",SQRT(N1059*O1059))</x:f>
      </x:c>
      <x:c r="Q1059" t="str">
        <x:f>IF(OR(N1059="",O1059=""),"",N1059^0.7*O1059^0.3)</x:f>
      </x:c>
      <x:c r="R1059" t="str">
        <x:f>IF(OR(N1059="",O1059=""),"",N1059^0.3*O1059^0.7)</x:f>
      </x:c>
    </x:row>
    <x:row r="1060" s="14" customFormat="1">
      <x:c r="A1060" t="inlineStr">
        <x:is>
          <x:t xml:space="preserve">openai|gpt-5-6-terra|low|reasoning|fallback-na|aa-v4.3.2|snapshot-2026-10-16</x:t>
        </x:is>
      </x:c>
      <x:c r="B1060" t="inlineStr">
        <x:is>
          <x:t xml:space="preserve">openai|gpt-5-6-terra|low|reasoning|fallback-na</x:t>
        </x:is>
      </x:c>
      <x:c r="C1060" t="inlineStr">
        <x:is>
          <x:t xml:space="preserve">AA|v4.3.2</x:t>
        </x:is>
      </x:c>
      <x:c r="D1060" t="n">
        <x:v>134</x:v>
      </x:c>
      <x:c r="E1060" t="n">
        <x:v>30</x:v>
      </x:c>
      <x:c r="F1060" t="n">
        <x:f>INDEX(Run_Metrics!$F:$F,D1060)</x:f>
        <x:v>27</x:v>
      </x:c>
      <x:c r="G1060" t="n">
        <x:f>INDEX(Run_Metrics!$G:$G,D1060)</x:f>
        <x:v>0.14</x:v>
      </x:c>
      <x:c r="H1060" t="str">
        <x:f>INDEX(Run_Metrics!$I:$I,D1060)</x:f>
      </x:c>
      <x:c r="I1060" t="n">
        <x:f>IF(F1060="","",F1060-(E1060-1))</x:f>
        <x:v>-2</x:v>
      </x:c>
      <x:c r="J1060" t="n">
        <x:f>IF(I1060&gt;0,1,0)</x:f>
        <x:v>0</x:v>
      </x:c>
      <x:c r="K1060" t="str">
        <x:f>IF(OR(J1060=0,G1060="",G1060=0),"",I1060/G1060)</x:f>
      </x:c>
      <x:c r="L1060" t="str">
        <x:f>IF(OR(J1060=0,I1060=0,G1060=""),"",G1060/I1060)</x:f>
      </x:c>
      <x:c r="M1060" t="str">
        <x:f>IF(OR(J1060=0,G1060="",H1060="",G1060=0,H1060=0),"",I1060/(G1060*H1060))</x:f>
      </x:c>
      <x:c r="N1060" t="str">
        <x:f>IF(K1060="","",K1060/_xlfn.MAXIFS($K:$K,$E:$E,E1060))</x:f>
      </x:c>
      <x:c r="O1060" t="str">
        <x:f>IF(M1060="","",M1060/_xlfn.MAXIFS($M:$M,$E:$E,E1060))</x:f>
      </x:c>
      <x:c r="P1060" t="str">
        <x:f>IF(OR(N1060="",O1060=""),"",SQRT(N1060*O1060))</x:f>
      </x:c>
      <x:c r="Q1060" t="str">
        <x:f>IF(OR(N1060="",O1060=""),"",N1060^0.7*O1060^0.3)</x:f>
      </x:c>
      <x:c r="R1060" t="str">
        <x:f>IF(OR(N1060="",O1060=""),"",N1060^0.3*O1060^0.7)</x:f>
      </x:c>
    </x:row>
    <x:row r="1061" s="14" customFormat="1">
      <x:c r="A1061" t="inlineStr">
        <x:is>
          <x:t xml:space="preserve">openai|gpt-5-6-terra|low|reasoning|fallback-na|aa-v4.3.2|snapshot-2026-10-16</x:t>
        </x:is>
      </x:c>
      <x:c r="B1061" t="inlineStr">
        <x:is>
          <x:t xml:space="preserve">openai|gpt-5-6-terra|low|reasoning|fallback-na</x:t>
        </x:is>
      </x:c>
      <x:c r="C1061" t="inlineStr">
        <x:is>
          <x:t xml:space="preserve">AA|v4.3.2</x:t>
        </x:is>
      </x:c>
      <x:c r="D1061" t="n">
        <x:v>134</x:v>
      </x:c>
      <x:c r="E1061" t="n">
        <x:v>35</x:v>
      </x:c>
      <x:c r="F1061" t="n">
        <x:f>INDEX(Run_Metrics!$F:$F,D1061)</x:f>
        <x:v>27</x:v>
      </x:c>
      <x:c r="G1061" t="n">
        <x:f>INDEX(Run_Metrics!$G:$G,D1061)</x:f>
        <x:v>0.14</x:v>
      </x:c>
      <x:c r="H1061" t="str">
        <x:f>INDEX(Run_Metrics!$I:$I,D1061)</x:f>
      </x:c>
      <x:c r="I1061" t="n">
        <x:f>IF(F1061="","",F1061-(E1061-1))</x:f>
        <x:v>-7</x:v>
      </x:c>
      <x:c r="J1061" t="n">
        <x:f>IF(I1061&gt;0,1,0)</x:f>
        <x:v>0</x:v>
      </x:c>
      <x:c r="K1061" t="str">
        <x:f>IF(OR(J1061=0,G1061="",G1061=0),"",I1061/G1061)</x:f>
      </x:c>
      <x:c r="L1061" t="str">
        <x:f>IF(OR(J1061=0,I1061=0,G1061=""),"",G1061/I1061)</x:f>
      </x:c>
      <x:c r="M1061" t="str">
        <x:f>IF(OR(J1061=0,G1061="",H1061="",G1061=0,H1061=0),"",I1061/(G1061*H1061))</x:f>
      </x:c>
      <x:c r="N1061" t="str">
        <x:f>IF(K1061="","",K1061/_xlfn.MAXIFS($K:$K,$E:$E,E1061))</x:f>
      </x:c>
      <x:c r="O1061" t="str">
        <x:f>IF(M1061="","",M1061/_xlfn.MAXIFS($M:$M,$E:$E,E1061))</x:f>
      </x:c>
      <x:c r="P1061" t="str">
        <x:f>IF(OR(N1061="",O1061=""),"",SQRT(N1061*O1061))</x:f>
      </x:c>
      <x:c r="Q1061" t="str">
        <x:f>IF(OR(N1061="",O1061=""),"",N1061^0.7*O1061^0.3)</x:f>
      </x:c>
      <x:c r="R1061" t="str">
        <x:f>IF(OR(N1061="",O1061=""),"",N1061^0.3*O1061^0.7)</x:f>
      </x:c>
    </x:row>
    <x:row r="1062" s="14" customFormat="1">
      <x:c r="A1062" t="inlineStr">
        <x:is>
          <x:t xml:space="preserve">openai|gpt-5-6-terra|low|reasoning|fallback-na|aa-v4.3.2|snapshot-2026-10-16</x:t>
        </x:is>
      </x:c>
      <x:c r="B1062" t="inlineStr">
        <x:is>
          <x:t xml:space="preserve">openai|gpt-5-6-terra|low|reasoning|fallback-na</x:t>
        </x:is>
      </x:c>
      <x:c r="C1062" t="inlineStr">
        <x:is>
          <x:t xml:space="preserve">AA|v4.3.2</x:t>
        </x:is>
      </x:c>
      <x:c r="D1062" t="n">
        <x:v>134</x:v>
      </x:c>
      <x:c r="E1062" t="n">
        <x:v>40</x:v>
      </x:c>
      <x:c r="F1062" t="n">
        <x:f>INDEX(Run_Metrics!$F:$F,D1062)</x:f>
        <x:v>27</x:v>
      </x:c>
      <x:c r="G1062" t="n">
        <x:f>INDEX(Run_Metrics!$G:$G,D1062)</x:f>
        <x:v>0.14</x:v>
      </x:c>
      <x:c r="H1062" t="str">
        <x:f>INDEX(Run_Metrics!$I:$I,D1062)</x:f>
      </x:c>
      <x:c r="I1062" t="n">
        <x:f>IF(F1062="","",F1062-(E1062-1))</x:f>
        <x:v>-12</x:v>
      </x:c>
      <x:c r="J1062" t="n">
        <x:f>IF(I1062&gt;0,1,0)</x:f>
        <x:v>0</x:v>
      </x:c>
      <x:c r="K1062" t="str">
        <x:f>IF(OR(J1062=0,G1062="",G1062=0),"",I1062/G1062)</x:f>
      </x:c>
      <x:c r="L1062" t="str">
        <x:f>IF(OR(J1062=0,I1062=0,G1062=""),"",G1062/I1062)</x:f>
      </x:c>
      <x:c r="M1062" t="str">
        <x:f>IF(OR(J1062=0,G1062="",H1062="",G1062=0,H1062=0),"",I1062/(G1062*H1062))</x:f>
      </x:c>
      <x:c r="N1062" t="str">
        <x:f>IF(K1062="","",K1062/_xlfn.MAXIFS($K:$K,$E:$E,E1062))</x:f>
      </x:c>
      <x:c r="O1062" t="str">
        <x:f>IF(M1062="","",M1062/_xlfn.MAXIFS($M:$M,$E:$E,E1062))</x:f>
      </x:c>
      <x:c r="P1062" t="str">
        <x:f>IF(OR(N1062="",O1062=""),"",SQRT(N1062*O1062))</x:f>
      </x:c>
      <x:c r="Q1062" t="str">
        <x:f>IF(OR(N1062="",O1062=""),"",N1062^0.7*O1062^0.3)</x:f>
      </x:c>
      <x:c r="R1062" t="str">
        <x:f>IF(OR(N1062="",O1062=""),"",N1062^0.3*O1062^0.7)</x:f>
      </x:c>
    </x:row>
    <x:row r="1063" s="14" customFormat="1">
      <x:c r="A1063" t="inlineStr">
        <x:is>
          <x:t xml:space="preserve">openai|gpt-5-6-terra|low|reasoning|fallback-na|aa-v4.3.2|snapshot-2026-10-16</x:t>
        </x:is>
      </x:c>
      <x:c r="B1063" t="inlineStr">
        <x:is>
          <x:t xml:space="preserve">openai|gpt-5-6-terra|low|reasoning|fallback-na</x:t>
        </x:is>
      </x:c>
      <x:c r="C1063" t="inlineStr">
        <x:is>
          <x:t xml:space="preserve">AA|v4.3.2</x:t>
        </x:is>
      </x:c>
      <x:c r="D1063" t="n">
        <x:v>134</x:v>
      </x:c>
      <x:c r="E1063" t="n">
        <x:v>45</x:v>
      </x:c>
      <x:c r="F1063" t="n">
        <x:f>INDEX(Run_Metrics!$F:$F,D1063)</x:f>
        <x:v>27</x:v>
      </x:c>
      <x:c r="G1063" t="n">
        <x:f>INDEX(Run_Metrics!$G:$G,D1063)</x:f>
        <x:v>0.14</x:v>
      </x:c>
      <x:c r="H1063" t="str">
        <x:f>INDEX(Run_Metrics!$I:$I,D1063)</x:f>
      </x:c>
      <x:c r="I1063" t="n">
        <x:f>IF(F1063="","",F1063-(E1063-1))</x:f>
        <x:v>-17</x:v>
      </x:c>
      <x:c r="J1063" t="n">
        <x:f>IF(I1063&gt;0,1,0)</x:f>
        <x:v>0</x:v>
      </x:c>
      <x:c r="K1063" t="str">
        <x:f>IF(OR(J1063=0,G1063="",G1063=0),"",I1063/G1063)</x:f>
      </x:c>
      <x:c r="L1063" t="str">
        <x:f>IF(OR(J1063=0,I1063=0,G1063=""),"",G1063/I1063)</x:f>
      </x:c>
      <x:c r="M1063" t="str">
        <x:f>IF(OR(J1063=0,G1063="",H1063="",G1063=0,H1063=0),"",I1063/(G1063*H1063))</x:f>
      </x:c>
      <x:c r="N1063" t="str">
        <x:f>IF(K1063="","",K1063/_xlfn.MAXIFS($K:$K,$E:$E,E1063))</x:f>
      </x:c>
      <x:c r="O1063" t="str">
        <x:f>IF(M1063="","",M1063/_xlfn.MAXIFS($M:$M,$E:$E,E1063))</x:f>
      </x:c>
      <x:c r="P1063" t="str">
        <x:f>IF(OR(N1063="",O1063=""),"",SQRT(N1063*O1063))</x:f>
      </x:c>
      <x:c r="Q1063" t="str">
        <x:f>IF(OR(N1063="",O1063=""),"",N1063^0.7*O1063^0.3)</x:f>
      </x:c>
      <x:c r="R1063" t="str">
        <x:f>IF(OR(N1063="",O1063=""),"",N1063^0.3*O1063^0.7)</x:f>
      </x:c>
    </x:row>
    <x:row r="1064" s="14" customFormat="1">
      <x:c r="A1064" t="inlineStr">
        <x:is>
          <x:t xml:space="preserve">openai|gpt-5-6-terra|low|reasoning|fallback-na|aa-v4.3.2|snapshot-2026-10-16</x:t>
        </x:is>
      </x:c>
      <x:c r="B1064" t="inlineStr">
        <x:is>
          <x:t xml:space="preserve">openai|gpt-5-6-terra|low|reasoning|fallback-na</x:t>
        </x:is>
      </x:c>
      <x:c r="C1064" t="inlineStr">
        <x:is>
          <x:t xml:space="preserve">AA|v4.3.2</x:t>
        </x:is>
      </x:c>
      <x:c r="D1064" t="n">
        <x:v>134</x:v>
      </x:c>
      <x:c r="E1064" t="n">
        <x:v>50</x:v>
      </x:c>
      <x:c r="F1064" t="n">
        <x:f>INDEX(Run_Metrics!$F:$F,D1064)</x:f>
        <x:v>27</x:v>
      </x:c>
      <x:c r="G1064" t="n">
        <x:f>INDEX(Run_Metrics!$G:$G,D1064)</x:f>
        <x:v>0.14</x:v>
      </x:c>
      <x:c r="H1064" t="str">
        <x:f>INDEX(Run_Metrics!$I:$I,D1064)</x:f>
      </x:c>
      <x:c r="I1064" t="n">
        <x:f>IF(F1064="","",F1064-(E1064-1))</x:f>
        <x:v>-22</x:v>
      </x:c>
      <x:c r="J1064" t="n">
        <x:f>IF(I1064&gt;0,1,0)</x:f>
        <x:v>0</x:v>
      </x:c>
      <x:c r="K1064" t="str">
        <x:f>IF(OR(J1064=0,G1064="",G1064=0),"",I1064/G1064)</x:f>
      </x:c>
      <x:c r="L1064" t="str">
        <x:f>IF(OR(J1064=0,I1064=0,G1064=""),"",G1064/I1064)</x:f>
      </x:c>
      <x:c r="M1064" t="str">
        <x:f>IF(OR(J1064=0,G1064="",H1064="",G1064=0,H1064=0),"",I1064/(G1064*H1064))</x:f>
      </x:c>
      <x:c r="N1064" t="str">
        <x:f>IF(K1064="","",K1064/_xlfn.MAXIFS($K:$K,$E:$E,E1064))</x:f>
      </x:c>
      <x:c r="O1064" t="str">
        <x:f>IF(M1064="","",M1064/_xlfn.MAXIFS($M:$M,$E:$E,E1064))</x:f>
      </x:c>
      <x:c r="P1064" t="str">
        <x:f>IF(OR(N1064="",O1064=""),"",SQRT(N1064*O1064))</x:f>
      </x:c>
      <x:c r="Q1064" t="str">
        <x:f>IF(OR(N1064="",O1064=""),"",N1064^0.7*O1064^0.3)</x:f>
      </x:c>
      <x:c r="R1064" t="str">
        <x:f>IF(OR(N1064="",O1064=""),"",N1064^0.3*O1064^0.7)</x:f>
      </x:c>
    </x:row>
    <x:row r="1065" s="14" customFormat="1">
      <x:c r="A1065" t="inlineStr">
        <x:is>
          <x:t xml:space="preserve">openai|gpt-5-6-terra|low|reasoning|fallback-na|aa-v4.3.2|snapshot-2026-10-16</x:t>
        </x:is>
      </x:c>
      <x:c r="B1065" t="inlineStr">
        <x:is>
          <x:t xml:space="preserve">openai|gpt-5-6-terra|low|reasoning|fallback-na</x:t>
        </x:is>
      </x:c>
      <x:c r="C1065" t="inlineStr">
        <x:is>
          <x:t xml:space="preserve">AA|v4.3.2</x:t>
        </x:is>
      </x:c>
      <x:c r="D1065" t="n">
        <x:v>134</x:v>
      </x:c>
      <x:c r="E1065" t="n">
        <x:v>60</x:v>
      </x:c>
      <x:c r="F1065" t="n">
        <x:f>INDEX(Run_Metrics!$F:$F,D1065)</x:f>
        <x:v>27</x:v>
      </x:c>
      <x:c r="G1065" t="n">
        <x:f>INDEX(Run_Metrics!$G:$G,D1065)</x:f>
        <x:v>0.14</x:v>
      </x:c>
      <x:c r="H1065" t="str">
        <x:f>INDEX(Run_Metrics!$I:$I,D1065)</x:f>
      </x:c>
      <x:c r="I1065" t="n">
        <x:f>IF(F1065="","",F1065-(E1065-1))</x:f>
        <x:v>-32</x:v>
      </x:c>
      <x:c r="J1065" t="n">
        <x:f>IF(I1065&gt;0,1,0)</x:f>
        <x:v>0</x:v>
      </x:c>
      <x:c r="K1065" t="str">
        <x:f>IF(OR(J1065=0,G1065="",G1065=0),"",I1065/G1065)</x:f>
      </x:c>
      <x:c r="L1065" t="str">
        <x:f>IF(OR(J1065=0,I1065=0,G1065=""),"",G1065/I1065)</x:f>
      </x:c>
      <x:c r="M1065" t="str">
        <x:f>IF(OR(J1065=0,G1065="",H1065="",G1065=0,H1065=0),"",I1065/(G1065*H1065))</x:f>
      </x:c>
      <x:c r="N1065" t="str">
        <x:f>IF(K1065="","",K1065/_xlfn.MAXIFS($K:$K,$E:$E,E1065))</x:f>
      </x:c>
      <x:c r="O1065" t="str">
        <x:f>IF(M1065="","",M1065/_xlfn.MAXIFS($M:$M,$E:$E,E1065))</x:f>
      </x:c>
      <x:c r="P1065" t="str">
        <x:f>IF(OR(N1065="",O1065=""),"",SQRT(N1065*O1065))</x:f>
      </x:c>
      <x:c r="Q1065" t="str">
        <x:f>IF(OR(N1065="",O1065=""),"",N1065^0.7*O1065^0.3)</x:f>
      </x:c>
      <x:c r="R1065" t="str">
        <x:f>IF(OR(N1065="",O1065=""),"",N1065^0.3*O1065^0.7)</x:f>
      </x:c>
    </x:row>
    <x:row r="1066" s="14" customFormat="1">
      <x:c r="A1066" t="inlineStr">
        <x:is>
          <x:t xml:space="preserve">openai|gpt-5-6-terra|non-reasoning|nonreasoning|fallback-na|aa-v4.3.2|snapshot-2026-10-16</x:t>
        </x:is>
      </x:c>
      <x:c r="B1066" t="inlineStr">
        <x:is>
          <x:t xml:space="preserve">openai|gpt-5-6-terra|non-reasoning|nonreasoning|fallback-na</x:t>
        </x:is>
      </x:c>
      <x:c r="C1066" t="inlineStr">
        <x:is>
          <x:t xml:space="preserve">AA|v4.3.2</x:t>
        </x:is>
      </x:c>
      <x:c r="D1066" t="n">
        <x:v>135</x:v>
      </x:c>
      <x:c r="E1066" t="n">
        <x:v>10</x:v>
      </x:c>
      <x:c r="F1066" t="n">
        <x:f>INDEX(Run_Metrics!$F:$F,D1066)</x:f>
        <x:v>21</x:v>
      </x:c>
      <x:c r="G1066" t="n">
        <x:f>INDEX(Run_Metrics!$G:$G,D1066)</x:f>
        <x:v>0.14</x:v>
      </x:c>
      <x:c r="H1066" t="str">
        <x:f>INDEX(Run_Metrics!$I:$I,D1066)</x:f>
      </x:c>
      <x:c r="I1066" t="n">
        <x:f>IF(F1066="","",F1066-(E1066-1))</x:f>
        <x:v>12</x:v>
      </x:c>
      <x:c r="J1066" t="n">
        <x:f>IF(I1066&gt;0,1,0)</x:f>
        <x:v>1</x:v>
      </x:c>
      <x:c r="K1066" t="n">
        <x:f>IF(OR(J1066=0,G1066="",G1066=0),"",I1066/G1066)</x:f>
        <x:v>85.71428571428571</x:v>
      </x:c>
      <x:c r="L1066" t="n">
        <x:f>IF(OR(J1066=0,I1066=0,G1066=""),"",G1066/I1066)</x:f>
        <x:v>0.011666666666666667</x:v>
      </x:c>
      <x:c r="M1066" t="str">
        <x:f>IF(OR(J1066=0,G1066="",H1066="",G1066=0,H1066=0),"",I1066/(G1066*H1066))</x:f>
      </x:c>
      <x:c r="N1066" t="n">
        <x:f>IF(K1066="","",K1066/_xlfn.MAXIFS($K:$K,$E:$E,E1066))</x:f>
        <x:v>0.029670329670329666</x:v>
      </x:c>
      <x:c r="O1066" t="str">
        <x:f>IF(M1066="","",M1066/_xlfn.MAXIFS($M:$M,$E:$E,E1066))</x:f>
      </x:c>
      <x:c r="P1066" t="str">
        <x:f>IF(OR(N1066="",O1066=""),"",SQRT(N1066*O1066))</x:f>
      </x:c>
      <x:c r="Q1066" t="str">
        <x:f>IF(OR(N1066="",O1066=""),"",N1066^0.7*O1066^0.3)</x:f>
      </x:c>
      <x:c r="R1066" t="str">
        <x:f>IF(OR(N1066="",O1066=""),"",N1066^0.3*O1066^0.7)</x:f>
      </x:c>
    </x:row>
    <x:row r="1067" s="14" customFormat="1">
      <x:c r="A1067" t="inlineStr">
        <x:is>
          <x:t xml:space="preserve">openai|gpt-5-6-terra|non-reasoning|nonreasoning|fallback-na|aa-v4.3.2|snapshot-2026-10-16</x:t>
        </x:is>
      </x:c>
      <x:c r="B1067" t="inlineStr">
        <x:is>
          <x:t xml:space="preserve">openai|gpt-5-6-terra|non-reasoning|nonreasoning|fallback-na</x:t>
        </x:is>
      </x:c>
      <x:c r="C1067" t="inlineStr">
        <x:is>
          <x:t xml:space="preserve">AA|v4.3.2</x:t>
        </x:is>
      </x:c>
      <x:c r="D1067" t="n">
        <x:v>135</x:v>
      </x:c>
      <x:c r="E1067" t="n">
        <x:v>20</x:v>
      </x:c>
      <x:c r="F1067" t="n">
        <x:f>INDEX(Run_Metrics!$F:$F,D1067)</x:f>
        <x:v>21</x:v>
      </x:c>
      <x:c r="G1067" t="n">
        <x:f>INDEX(Run_Metrics!$G:$G,D1067)</x:f>
        <x:v>0.14</x:v>
      </x:c>
      <x:c r="H1067" t="str">
        <x:f>INDEX(Run_Metrics!$I:$I,D1067)</x:f>
      </x:c>
      <x:c r="I1067" t="n">
        <x:f>IF(F1067="","",F1067-(E1067-1))</x:f>
        <x:v>2</x:v>
      </x:c>
      <x:c r="J1067" t="n">
        <x:f>IF(I1067&gt;0,1,0)</x:f>
        <x:v>1</x:v>
      </x:c>
      <x:c r="K1067" t="n">
        <x:f>IF(OR(J1067=0,G1067="",G1067=0),"",I1067/G1067)</x:f>
        <x:v>14.285714285714285</x:v>
      </x:c>
      <x:c r="L1067" t="n">
        <x:f>IF(OR(J1067=0,I1067=0,G1067=""),"",G1067/I1067)</x:f>
        <x:v>0.07</x:v>
      </x:c>
      <x:c r="M1067" t="str">
        <x:f>IF(OR(J1067=0,G1067="",H1067="",G1067=0,H1067=0),"",I1067/(G1067*H1067))</x:f>
      </x:c>
      <x:c r="N1067" t="n">
        <x:f>IF(K1067="","",K1067/_xlfn.MAXIFS($K:$K,$E:$E,E1067))</x:f>
        <x:v>0.021428571428571425</x:v>
      </x:c>
      <x:c r="O1067" t="str">
        <x:f>IF(M1067="","",M1067/_xlfn.MAXIFS($M:$M,$E:$E,E1067))</x:f>
      </x:c>
      <x:c r="P1067" t="str">
        <x:f>IF(OR(N1067="",O1067=""),"",SQRT(N1067*O1067))</x:f>
      </x:c>
      <x:c r="Q1067" t="str">
        <x:f>IF(OR(N1067="",O1067=""),"",N1067^0.7*O1067^0.3)</x:f>
      </x:c>
      <x:c r="R1067" t="str">
        <x:f>IF(OR(N1067="",O1067=""),"",N1067^0.3*O1067^0.7)</x:f>
      </x:c>
    </x:row>
    <x:row r="1068" s="14" customFormat="1">
      <x:c r="A1068" t="inlineStr">
        <x:is>
          <x:t xml:space="preserve">openai|gpt-5-6-terra|non-reasoning|nonreasoning|fallback-na|aa-v4.3.2|snapshot-2026-10-16</x:t>
        </x:is>
      </x:c>
      <x:c r="B1068" t="inlineStr">
        <x:is>
          <x:t xml:space="preserve">openai|gpt-5-6-terra|non-reasoning|nonreasoning|fallback-na</x:t>
        </x:is>
      </x:c>
      <x:c r="C1068" t="inlineStr">
        <x:is>
          <x:t xml:space="preserve">AA|v4.3.2</x:t>
        </x:is>
      </x:c>
      <x:c r="D1068" t="n">
        <x:v>135</x:v>
      </x:c>
      <x:c r="E1068" t="n">
        <x:v>30</x:v>
      </x:c>
      <x:c r="F1068" t="n">
        <x:f>INDEX(Run_Metrics!$F:$F,D1068)</x:f>
        <x:v>21</x:v>
      </x:c>
      <x:c r="G1068" t="n">
        <x:f>INDEX(Run_Metrics!$G:$G,D1068)</x:f>
        <x:v>0.14</x:v>
      </x:c>
      <x:c r="H1068" t="str">
        <x:f>INDEX(Run_Metrics!$I:$I,D1068)</x:f>
      </x:c>
      <x:c r="I1068" t="n">
        <x:f>IF(F1068="","",F1068-(E1068-1))</x:f>
        <x:v>-8</x:v>
      </x:c>
      <x:c r="J1068" t="n">
        <x:f>IF(I1068&gt;0,1,0)</x:f>
        <x:v>0</x:v>
      </x:c>
      <x:c r="K1068" t="str">
        <x:f>IF(OR(J1068=0,G1068="",G1068=0),"",I1068/G1068)</x:f>
      </x:c>
      <x:c r="L1068" t="str">
        <x:f>IF(OR(J1068=0,I1068=0,G1068=""),"",G1068/I1068)</x:f>
      </x:c>
      <x:c r="M1068" t="str">
        <x:f>IF(OR(J1068=0,G1068="",H1068="",G1068=0,H1068=0),"",I1068/(G1068*H1068))</x:f>
      </x:c>
      <x:c r="N1068" t="str">
        <x:f>IF(K1068="","",K1068/_xlfn.MAXIFS($K:$K,$E:$E,E1068))</x:f>
      </x:c>
      <x:c r="O1068" t="str">
        <x:f>IF(M1068="","",M1068/_xlfn.MAXIFS($M:$M,$E:$E,E1068))</x:f>
      </x:c>
      <x:c r="P1068" t="str">
        <x:f>IF(OR(N1068="",O1068=""),"",SQRT(N1068*O1068))</x:f>
      </x:c>
      <x:c r="Q1068" t="str">
        <x:f>IF(OR(N1068="",O1068=""),"",N1068^0.7*O1068^0.3)</x:f>
      </x:c>
      <x:c r="R1068" t="str">
        <x:f>IF(OR(N1068="",O1068=""),"",N1068^0.3*O1068^0.7)</x:f>
      </x:c>
    </x:row>
    <x:row r="1069" s="14" customFormat="1">
      <x:c r="A1069" t="inlineStr">
        <x:is>
          <x:t xml:space="preserve">openai|gpt-5-6-terra|non-reasoning|nonreasoning|fallback-na|aa-v4.3.2|snapshot-2026-10-16</x:t>
        </x:is>
      </x:c>
      <x:c r="B1069" t="inlineStr">
        <x:is>
          <x:t xml:space="preserve">openai|gpt-5-6-terra|non-reasoning|nonreasoning|fallback-na</x:t>
        </x:is>
      </x:c>
      <x:c r="C1069" t="inlineStr">
        <x:is>
          <x:t xml:space="preserve">AA|v4.3.2</x:t>
        </x:is>
      </x:c>
      <x:c r="D1069" t="n">
        <x:v>135</x:v>
      </x:c>
      <x:c r="E1069" t="n">
        <x:v>35</x:v>
      </x:c>
      <x:c r="F1069" t="n">
        <x:f>INDEX(Run_Metrics!$F:$F,D1069)</x:f>
        <x:v>21</x:v>
      </x:c>
      <x:c r="G1069" t="n">
        <x:f>INDEX(Run_Metrics!$G:$G,D1069)</x:f>
        <x:v>0.14</x:v>
      </x:c>
      <x:c r="H1069" t="str">
        <x:f>INDEX(Run_Metrics!$I:$I,D1069)</x:f>
      </x:c>
      <x:c r="I1069" t="n">
        <x:f>IF(F1069="","",F1069-(E1069-1))</x:f>
        <x:v>-13</x:v>
      </x:c>
      <x:c r="J1069" t="n">
        <x:f>IF(I1069&gt;0,1,0)</x:f>
        <x:v>0</x:v>
      </x:c>
      <x:c r="K1069" t="str">
        <x:f>IF(OR(J1069=0,G1069="",G1069=0),"",I1069/G1069)</x:f>
      </x:c>
      <x:c r="L1069" t="str">
        <x:f>IF(OR(J1069=0,I1069=0,G1069=""),"",G1069/I1069)</x:f>
      </x:c>
      <x:c r="M1069" t="str">
        <x:f>IF(OR(J1069=0,G1069="",H1069="",G1069=0,H1069=0),"",I1069/(G1069*H1069))</x:f>
      </x:c>
      <x:c r="N1069" t="str">
        <x:f>IF(K1069="","",K1069/_xlfn.MAXIFS($K:$K,$E:$E,E1069))</x:f>
      </x:c>
      <x:c r="O1069" t="str">
        <x:f>IF(M1069="","",M1069/_xlfn.MAXIFS($M:$M,$E:$E,E1069))</x:f>
      </x:c>
      <x:c r="P1069" t="str">
        <x:f>IF(OR(N1069="",O1069=""),"",SQRT(N1069*O1069))</x:f>
      </x:c>
      <x:c r="Q1069" t="str">
        <x:f>IF(OR(N1069="",O1069=""),"",N1069^0.7*O1069^0.3)</x:f>
      </x:c>
      <x:c r="R1069" t="str">
        <x:f>IF(OR(N1069="",O1069=""),"",N1069^0.3*O1069^0.7)</x:f>
      </x:c>
    </x:row>
    <x:row r="1070" s="14" customFormat="1">
      <x:c r="A1070" t="inlineStr">
        <x:is>
          <x:t xml:space="preserve">openai|gpt-5-6-terra|non-reasoning|nonreasoning|fallback-na|aa-v4.3.2|snapshot-2026-10-16</x:t>
        </x:is>
      </x:c>
      <x:c r="B1070" t="inlineStr">
        <x:is>
          <x:t xml:space="preserve">openai|gpt-5-6-terra|non-reasoning|nonreasoning|fallback-na</x:t>
        </x:is>
      </x:c>
      <x:c r="C1070" t="inlineStr">
        <x:is>
          <x:t xml:space="preserve">AA|v4.3.2</x:t>
        </x:is>
      </x:c>
      <x:c r="D1070" t="n">
        <x:v>135</x:v>
      </x:c>
      <x:c r="E1070" t="n">
        <x:v>40</x:v>
      </x:c>
      <x:c r="F1070" t="n">
        <x:f>INDEX(Run_Metrics!$F:$F,D1070)</x:f>
        <x:v>21</x:v>
      </x:c>
      <x:c r="G1070" t="n">
        <x:f>INDEX(Run_Metrics!$G:$G,D1070)</x:f>
        <x:v>0.14</x:v>
      </x:c>
      <x:c r="H1070" t="str">
        <x:f>INDEX(Run_Metrics!$I:$I,D1070)</x:f>
      </x:c>
      <x:c r="I1070" t="n">
        <x:f>IF(F1070="","",F1070-(E1070-1))</x:f>
        <x:v>-18</x:v>
      </x:c>
      <x:c r="J1070" t="n">
        <x:f>IF(I1070&gt;0,1,0)</x:f>
        <x:v>0</x:v>
      </x:c>
      <x:c r="K1070" t="str">
        <x:f>IF(OR(J1070=0,G1070="",G1070=0),"",I1070/G1070)</x:f>
      </x:c>
      <x:c r="L1070" t="str">
        <x:f>IF(OR(J1070=0,I1070=0,G1070=""),"",G1070/I1070)</x:f>
      </x:c>
      <x:c r="M1070" t="str">
        <x:f>IF(OR(J1070=0,G1070="",H1070="",G1070=0,H1070=0),"",I1070/(G1070*H1070))</x:f>
      </x:c>
      <x:c r="N1070" t="str">
        <x:f>IF(K1070="","",K1070/_xlfn.MAXIFS($K:$K,$E:$E,E1070))</x:f>
      </x:c>
      <x:c r="O1070" t="str">
        <x:f>IF(M1070="","",M1070/_xlfn.MAXIFS($M:$M,$E:$E,E1070))</x:f>
      </x:c>
      <x:c r="P1070" t="str">
        <x:f>IF(OR(N1070="",O1070=""),"",SQRT(N1070*O1070))</x:f>
      </x:c>
      <x:c r="Q1070" t="str">
        <x:f>IF(OR(N1070="",O1070=""),"",N1070^0.7*O1070^0.3)</x:f>
      </x:c>
      <x:c r="R1070" t="str">
        <x:f>IF(OR(N1070="",O1070=""),"",N1070^0.3*O1070^0.7)</x:f>
      </x:c>
    </x:row>
    <x:row r="1071" s="14" customFormat="1">
      <x:c r="A1071" t="inlineStr">
        <x:is>
          <x:t xml:space="preserve">openai|gpt-5-6-terra|non-reasoning|nonreasoning|fallback-na|aa-v4.3.2|snapshot-2026-10-16</x:t>
        </x:is>
      </x:c>
      <x:c r="B1071" t="inlineStr">
        <x:is>
          <x:t xml:space="preserve">openai|gpt-5-6-terra|non-reasoning|nonreasoning|fallback-na</x:t>
        </x:is>
      </x:c>
      <x:c r="C1071" t="inlineStr">
        <x:is>
          <x:t xml:space="preserve">AA|v4.3.2</x:t>
        </x:is>
      </x:c>
      <x:c r="D1071" t="n">
        <x:v>135</x:v>
      </x:c>
      <x:c r="E1071" t="n">
        <x:v>45</x:v>
      </x:c>
      <x:c r="F1071" t="n">
        <x:f>INDEX(Run_Metrics!$F:$F,D1071)</x:f>
        <x:v>21</x:v>
      </x:c>
      <x:c r="G1071" t="n">
        <x:f>INDEX(Run_Metrics!$G:$G,D1071)</x:f>
        <x:v>0.14</x:v>
      </x:c>
      <x:c r="H1071" t="str">
        <x:f>INDEX(Run_Metrics!$I:$I,D1071)</x:f>
      </x:c>
      <x:c r="I1071" t="n">
        <x:f>IF(F1071="","",F1071-(E1071-1))</x:f>
        <x:v>-23</x:v>
      </x:c>
      <x:c r="J1071" t="n">
        <x:f>IF(I1071&gt;0,1,0)</x:f>
        <x:v>0</x:v>
      </x:c>
      <x:c r="K1071" t="str">
        <x:f>IF(OR(J1071=0,G1071="",G1071=0),"",I1071/G1071)</x:f>
      </x:c>
      <x:c r="L1071" t="str">
        <x:f>IF(OR(J1071=0,I1071=0,G1071=""),"",G1071/I1071)</x:f>
      </x:c>
      <x:c r="M1071" t="str">
        <x:f>IF(OR(J1071=0,G1071="",H1071="",G1071=0,H1071=0),"",I1071/(G1071*H1071))</x:f>
      </x:c>
      <x:c r="N1071" t="str">
        <x:f>IF(K1071="","",K1071/_xlfn.MAXIFS($K:$K,$E:$E,E1071))</x:f>
      </x:c>
      <x:c r="O1071" t="str">
        <x:f>IF(M1071="","",M1071/_xlfn.MAXIFS($M:$M,$E:$E,E1071))</x:f>
      </x:c>
      <x:c r="P1071" t="str">
        <x:f>IF(OR(N1071="",O1071=""),"",SQRT(N1071*O1071))</x:f>
      </x:c>
      <x:c r="Q1071" t="str">
        <x:f>IF(OR(N1071="",O1071=""),"",N1071^0.7*O1071^0.3)</x:f>
      </x:c>
      <x:c r="R1071" t="str">
        <x:f>IF(OR(N1071="",O1071=""),"",N1071^0.3*O1071^0.7)</x:f>
      </x:c>
    </x:row>
    <x:row r="1072" s="14" customFormat="1">
      <x:c r="A1072" t="inlineStr">
        <x:is>
          <x:t xml:space="preserve">openai|gpt-5-6-terra|non-reasoning|nonreasoning|fallback-na|aa-v4.3.2|snapshot-2026-10-16</x:t>
        </x:is>
      </x:c>
      <x:c r="B1072" t="inlineStr">
        <x:is>
          <x:t xml:space="preserve">openai|gpt-5-6-terra|non-reasoning|nonreasoning|fallback-na</x:t>
        </x:is>
      </x:c>
      <x:c r="C1072" t="inlineStr">
        <x:is>
          <x:t xml:space="preserve">AA|v4.3.2</x:t>
        </x:is>
      </x:c>
      <x:c r="D1072" t="n">
        <x:v>135</x:v>
      </x:c>
      <x:c r="E1072" t="n">
        <x:v>50</x:v>
      </x:c>
      <x:c r="F1072" t="n">
        <x:f>INDEX(Run_Metrics!$F:$F,D1072)</x:f>
        <x:v>21</x:v>
      </x:c>
      <x:c r="G1072" t="n">
        <x:f>INDEX(Run_Metrics!$G:$G,D1072)</x:f>
        <x:v>0.14</x:v>
      </x:c>
      <x:c r="H1072" t="str">
        <x:f>INDEX(Run_Metrics!$I:$I,D1072)</x:f>
      </x:c>
      <x:c r="I1072" t="n">
        <x:f>IF(F1072="","",F1072-(E1072-1))</x:f>
        <x:v>-28</x:v>
      </x:c>
      <x:c r="J1072" t="n">
        <x:f>IF(I1072&gt;0,1,0)</x:f>
        <x:v>0</x:v>
      </x:c>
      <x:c r="K1072" t="str">
        <x:f>IF(OR(J1072=0,G1072="",G1072=0),"",I1072/G1072)</x:f>
      </x:c>
      <x:c r="L1072" t="str">
        <x:f>IF(OR(J1072=0,I1072=0,G1072=""),"",G1072/I1072)</x:f>
      </x:c>
      <x:c r="M1072" t="str">
        <x:f>IF(OR(J1072=0,G1072="",H1072="",G1072=0,H1072=0),"",I1072/(G1072*H1072))</x:f>
      </x:c>
      <x:c r="N1072" t="str">
        <x:f>IF(K1072="","",K1072/_xlfn.MAXIFS($K:$K,$E:$E,E1072))</x:f>
      </x:c>
      <x:c r="O1072" t="str">
        <x:f>IF(M1072="","",M1072/_xlfn.MAXIFS($M:$M,$E:$E,E1072))</x:f>
      </x:c>
      <x:c r="P1072" t="str">
        <x:f>IF(OR(N1072="",O1072=""),"",SQRT(N1072*O1072))</x:f>
      </x:c>
      <x:c r="Q1072" t="str">
        <x:f>IF(OR(N1072="",O1072=""),"",N1072^0.7*O1072^0.3)</x:f>
      </x:c>
      <x:c r="R1072" t="str">
        <x:f>IF(OR(N1072="",O1072=""),"",N1072^0.3*O1072^0.7)</x:f>
      </x:c>
    </x:row>
    <x:row r="1073" s="14" customFormat="1">
      <x:c r="A1073" t="inlineStr">
        <x:is>
          <x:t xml:space="preserve">openai|gpt-5-6-terra|non-reasoning|nonreasoning|fallback-na|aa-v4.3.2|snapshot-2026-10-16</x:t>
        </x:is>
      </x:c>
      <x:c r="B1073" t="inlineStr">
        <x:is>
          <x:t xml:space="preserve">openai|gpt-5-6-terra|non-reasoning|nonreasoning|fallback-na</x:t>
        </x:is>
      </x:c>
      <x:c r="C1073" t="inlineStr">
        <x:is>
          <x:t xml:space="preserve">AA|v4.3.2</x:t>
        </x:is>
      </x:c>
      <x:c r="D1073" t="n">
        <x:v>135</x:v>
      </x:c>
      <x:c r="E1073" t="n">
        <x:v>60</x:v>
      </x:c>
      <x:c r="F1073" t="n">
        <x:f>INDEX(Run_Metrics!$F:$F,D1073)</x:f>
        <x:v>21</x:v>
      </x:c>
      <x:c r="G1073" t="n">
        <x:f>INDEX(Run_Metrics!$G:$G,D1073)</x:f>
        <x:v>0.14</x:v>
      </x:c>
      <x:c r="H1073" t="str">
        <x:f>INDEX(Run_Metrics!$I:$I,D1073)</x:f>
      </x:c>
      <x:c r="I1073" t="n">
        <x:f>IF(F1073="","",F1073-(E1073-1))</x:f>
        <x:v>-38</x:v>
      </x:c>
      <x:c r="J1073" t="n">
        <x:f>IF(I1073&gt;0,1,0)</x:f>
        <x:v>0</x:v>
      </x:c>
      <x:c r="K1073" t="str">
        <x:f>IF(OR(J1073=0,G1073="",G1073=0),"",I1073/G1073)</x:f>
      </x:c>
      <x:c r="L1073" t="str">
        <x:f>IF(OR(J1073=0,I1073=0,G1073=""),"",G1073/I1073)</x:f>
      </x:c>
      <x:c r="M1073" t="str">
        <x:f>IF(OR(J1073=0,G1073="",H1073="",G1073=0,H1073=0),"",I1073/(G1073*H1073))</x:f>
      </x:c>
      <x:c r="N1073" t="str">
        <x:f>IF(K1073="","",K1073/_xlfn.MAXIFS($K:$K,$E:$E,E1073))</x:f>
      </x:c>
      <x:c r="O1073" t="str">
        <x:f>IF(M1073="","",M1073/_xlfn.MAXIFS($M:$M,$E:$E,E1073))</x:f>
      </x:c>
      <x:c r="P1073" t="str">
        <x:f>IF(OR(N1073="",O1073=""),"",SQRT(N1073*O1073))</x:f>
      </x:c>
      <x:c r="Q1073" t="str">
        <x:f>IF(OR(N1073="",O1073=""),"",N1073^0.7*O1073^0.3)</x:f>
      </x:c>
      <x:c r="R1073" t="str">
        <x:f>IF(OR(N1073="",O1073=""),"",N1073^0.3*O1073^0.7)</x:f>
      </x:c>
    </x:row>
    <x:row r="1074" s="14" customFormat="1">
      <x:c r="A1074" t="inlineStr">
        <x:is>
          <x:t xml:space="preserve">anthropic|claude-haiku-5-5|xhigh|yes|fallback-na|aa-v4.3.2|snapshot-2026-10-16</x:t>
        </x:is>
      </x:c>
      <x:c r="B1074" t="inlineStr">
        <x:is>
          <x:t xml:space="preserve">anthropic|claude-haiku-5-5|xhigh|yes|fallback-na</x:t>
        </x:is>
      </x:c>
      <x:c r="C1074" t="inlineStr">
        <x:is>
          <x:t xml:space="preserve">AA|v4.3.2</x:t>
        </x:is>
      </x:c>
      <x:c r="D1074" t="n">
        <x:v>136</x:v>
      </x:c>
      <x:c r="E1074" t="n">
        <x:v>10</x:v>
      </x:c>
      <x:c r="F1074" t="n">
        <x:f>INDEX(Run_Metrics!$F:$F,D1074)</x:f>
        <x:v>41</x:v>
      </x:c>
      <x:c r="G1074" t="n">
        <x:f>INDEX(Run_Metrics!$G:$G,D1074)</x:f>
        <x:v>0.12</x:v>
      </x:c>
      <x:c r="H1074" t="str">
        <x:f>INDEX(Run_Metrics!$I:$I,D1074)</x:f>
      </x:c>
      <x:c r="I1074" t="n">
        <x:f>IF(F1074="","",F1074-(E1074-1))</x:f>
        <x:v>32</x:v>
      </x:c>
      <x:c r="J1074" t="n">
        <x:f>IF(I1074&gt;0,1,0)</x:f>
        <x:v>1</x:v>
      </x:c>
      <x:c r="K1074" t="n">
        <x:f>IF(OR(J1074=0,G1074="",G1074=0),"",I1074/G1074)</x:f>
        <x:v>266.6666666666667</x:v>
      </x:c>
      <x:c r="L1074" t="n">
        <x:f>IF(OR(J1074=0,I1074=0,G1074=""),"",G1074/I1074)</x:f>
        <x:v>0.00375</x:v>
      </x:c>
      <x:c r="M1074" t="str">
        <x:f>IF(OR(J1074=0,G1074="",H1074="",G1074=0,H1074=0),"",I1074/(G1074*H1074))</x:f>
      </x:c>
      <x:c r="N1074" t="n">
        <x:f>IF(K1074="","",K1074/_xlfn.MAXIFS($K:$K,$E:$E,E1074))</x:f>
        <x:v>0.09230769230769231</x:v>
      </x:c>
      <x:c r="O1074" t="str">
        <x:f>IF(M1074="","",M1074/_xlfn.MAXIFS($M:$M,$E:$E,E1074))</x:f>
      </x:c>
      <x:c r="P1074" t="str">
        <x:f>IF(OR(N1074="",O1074=""),"",SQRT(N1074*O1074))</x:f>
      </x:c>
      <x:c r="Q1074" t="str">
        <x:f>IF(OR(N1074="",O1074=""),"",N1074^0.7*O1074^0.3)</x:f>
      </x:c>
      <x:c r="R1074" t="str">
        <x:f>IF(OR(N1074="",O1074=""),"",N1074^0.3*O1074^0.7)</x:f>
      </x:c>
    </x:row>
    <x:row r="1075" s="14" customFormat="1">
      <x:c r="A1075" t="inlineStr">
        <x:is>
          <x:t xml:space="preserve">anthropic|claude-haiku-5-5|xhigh|yes|fallback-na|aa-v4.3.2|snapshot-2026-10-16</x:t>
        </x:is>
      </x:c>
      <x:c r="B1075" t="inlineStr">
        <x:is>
          <x:t xml:space="preserve">anthropic|claude-haiku-5-5|xhigh|yes|fallback-na</x:t>
        </x:is>
      </x:c>
      <x:c r="C1075" t="inlineStr">
        <x:is>
          <x:t xml:space="preserve">AA|v4.3.2</x:t>
        </x:is>
      </x:c>
      <x:c r="D1075" t="n">
        <x:v>136</x:v>
      </x:c>
      <x:c r="E1075" t="n">
        <x:v>20</x:v>
      </x:c>
      <x:c r="F1075" t="n">
        <x:f>INDEX(Run_Metrics!$F:$F,D1075)</x:f>
        <x:v>41</x:v>
      </x:c>
      <x:c r="G1075" t="n">
        <x:f>INDEX(Run_Metrics!$G:$G,D1075)</x:f>
        <x:v>0.12</x:v>
      </x:c>
      <x:c r="H1075" t="str">
        <x:f>INDEX(Run_Metrics!$I:$I,D1075)</x:f>
      </x:c>
      <x:c r="I1075" t="n">
        <x:f>IF(F1075="","",F1075-(E1075-1))</x:f>
        <x:v>22</x:v>
      </x:c>
      <x:c r="J1075" t="n">
        <x:f>IF(I1075&gt;0,1,0)</x:f>
        <x:v>1</x:v>
      </x:c>
      <x:c r="K1075" t="n">
        <x:f>IF(OR(J1075=0,G1075="",G1075=0),"",I1075/G1075)</x:f>
        <x:v>183.33333333333334</x:v>
      </x:c>
      <x:c r="L1075" t="n">
        <x:f>IF(OR(J1075=0,I1075=0,G1075=""),"",G1075/I1075)</x:f>
        <x:v>0.005454545454545454</x:v>
      </x:c>
      <x:c r="M1075" t="str">
        <x:f>IF(OR(J1075=0,G1075="",H1075="",G1075=0,H1075=0),"",I1075/(G1075*H1075))</x:f>
      </x:c>
      <x:c r="N1075" t="n">
        <x:f>IF(K1075="","",K1075/_xlfn.MAXIFS($K:$K,$E:$E,E1075))</x:f>
        <x:v>0.27499999999999997</x:v>
      </x:c>
      <x:c r="O1075" t="str">
        <x:f>IF(M1075="","",M1075/_xlfn.MAXIFS($M:$M,$E:$E,E1075))</x:f>
      </x:c>
      <x:c r="P1075" t="str">
        <x:f>IF(OR(N1075="",O1075=""),"",SQRT(N1075*O1075))</x:f>
      </x:c>
      <x:c r="Q1075" t="str">
        <x:f>IF(OR(N1075="",O1075=""),"",N1075^0.7*O1075^0.3)</x:f>
      </x:c>
      <x:c r="R1075" t="str">
        <x:f>IF(OR(N1075="",O1075=""),"",N1075^0.3*O1075^0.7)</x:f>
      </x:c>
    </x:row>
    <x:row r="1076" s="14" customFormat="1">
      <x:c r="A1076" t="inlineStr">
        <x:is>
          <x:t xml:space="preserve">anthropic|claude-haiku-5-5|xhigh|yes|fallback-na|aa-v4.3.2|snapshot-2026-10-16</x:t>
        </x:is>
      </x:c>
      <x:c r="B1076" t="inlineStr">
        <x:is>
          <x:t xml:space="preserve">anthropic|claude-haiku-5-5|xhigh|yes|fallback-na</x:t>
        </x:is>
      </x:c>
      <x:c r="C1076" t="inlineStr">
        <x:is>
          <x:t xml:space="preserve">AA|v4.3.2</x:t>
        </x:is>
      </x:c>
      <x:c r="D1076" t="n">
        <x:v>136</x:v>
      </x:c>
      <x:c r="E1076" t="n">
        <x:v>30</x:v>
      </x:c>
      <x:c r="F1076" t="n">
        <x:f>INDEX(Run_Metrics!$F:$F,D1076)</x:f>
        <x:v>41</x:v>
      </x:c>
      <x:c r="G1076" t="n">
        <x:f>INDEX(Run_Metrics!$G:$G,D1076)</x:f>
        <x:v>0.12</x:v>
      </x:c>
      <x:c r="H1076" t="str">
        <x:f>INDEX(Run_Metrics!$I:$I,D1076)</x:f>
      </x:c>
      <x:c r="I1076" t="n">
        <x:f>IF(F1076="","",F1076-(E1076-1))</x:f>
        <x:v>12</x:v>
      </x:c>
      <x:c r="J1076" t="n">
        <x:f>IF(I1076&gt;0,1,0)</x:f>
        <x:v>1</x:v>
      </x:c>
      <x:c r="K1076" t="n">
        <x:f>IF(OR(J1076=0,G1076="",G1076=0),"",I1076/G1076)</x:f>
        <x:v>100</x:v>
      </x:c>
      <x:c r="L1076" t="n">
        <x:f>IF(OR(J1076=0,I1076=0,G1076=""),"",G1076/I1076)</x:f>
        <x:v>0.01</x:v>
      </x:c>
      <x:c r="M1076" t="str">
        <x:f>IF(OR(J1076=0,G1076="",H1076="",G1076=0,H1076=0),"",I1076/(G1076*H1076))</x:f>
      </x:c>
      <x:c r="N1076" t="n">
        <x:f>IF(K1076="","",K1076/_xlfn.MAXIFS($K:$K,$E:$E,E1076))</x:f>
        <x:v>0.6666666666666666</x:v>
      </x:c>
      <x:c r="O1076" t="str">
        <x:f>IF(M1076="","",M1076/_xlfn.MAXIFS($M:$M,$E:$E,E1076))</x:f>
      </x:c>
      <x:c r="P1076" t="str">
        <x:f>IF(OR(N1076="",O1076=""),"",SQRT(N1076*O1076))</x:f>
      </x:c>
      <x:c r="Q1076" t="str">
        <x:f>IF(OR(N1076="",O1076=""),"",N1076^0.7*O1076^0.3)</x:f>
      </x:c>
      <x:c r="R1076" t="str">
        <x:f>IF(OR(N1076="",O1076=""),"",N1076^0.3*O1076^0.7)</x:f>
      </x:c>
    </x:row>
    <x:row r="1077" s="14" customFormat="1">
      <x:c r="A1077" t="inlineStr">
        <x:is>
          <x:t xml:space="preserve">anthropic|claude-haiku-5-5|xhigh|yes|fallback-na|aa-v4.3.2|snapshot-2026-10-16</x:t>
        </x:is>
      </x:c>
      <x:c r="B1077" t="inlineStr">
        <x:is>
          <x:t xml:space="preserve">anthropic|claude-haiku-5-5|xhigh|yes|fallback-na</x:t>
        </x:is>
      </x:c>
      <x:c r="C1077" t="inlineStr">
        <x:is>
          <x:t xml:space="preserve">AA|v4.3.2</x:t>
        </x:is>
      </x:c>
      <x:c r="D1077" t="n">
        <x:v>136</x:v>
      </x:c>
      <x:c r="E1077" t="n">
        <x:v>35</x:v>
      </x:c>
      <x:c r="F1077" t="n">
        <x:f>INDEX(Run_Metrics!$F:$F,D1077)</x:f>
        <x:v>41</x:v>
      </x:c>
      <x:c r="G1077" t="n">
        <x:f>INDEX(Run_Metrics!$G:$G,D1077)</x:f>
        <x:v>0.12</x:v>
      </x:c>
      <x:c r="H1077" t="str">
        <x:f>INDEX(Run_Metrics!$I:$I,D1077)</x:f>
      </x:c>
      <x:c r="I1077" t="n">
        <x:f>IF(F1077="","",F1077-(E1077-1))</x:f>
        <x:v>7</x:v>
      </x:c>
      <x:c r="J1077" t="n">
        <x:f>IF(I1077&gt;0,1,0)</x:f>
        <x:v>1</x:v>
      </x:c>
      <x:c r="K1077" t="n">
        <x:f>IF(OR(J1077=0,G1077="",G1077=0),"",I1077/G1077)</x:f>
        <x:v>58.333333333333336</x:v>
      </x:c>
      <x:c r="L1077" t="n">
        <x:f>IF(OR(J1077=0,I1077=0,G1077=""),"",G1077/I1077)</x:f>
        <x:v>0.017142857142857144</x:v>
      </x:c>
      <x:c r="M1077" t="str">
        <x:f>IF(OR(J1077=0,G1077="",H1077="",G1077=0,H1077=0),"",I1077/(G1077*H1077))</x:f>
      </x:c>
      <x:c r="N1077" t="n">
        <x:f>IF(K1077="","",K1077/_xlfn.MAXIFS($K:$K,$E:$E,E1077))</x:f>
        <x:v>0.6319444444444445</x:v>
      </x:c>
      <x:c r="O1077" t="str">
        <x:f>IF(M1077="","",M1077/_xlfn.MAXIFS($M:$M,$E:$E,E1077))</x:f>
      </x:c>
      <x:c r="P1077" t="str">
        <x:f>IF(OR(N1077="",O1077=""),"",SQRT(N1077*O1077))</x:f>
      </x:c>
      <x:c r="Q1077" t="str">
        <x:f>IF(OR(N1077="",O1077=""),"",N1077^0.7*O1077^0.3)</x:f>
      </x:c>
      <x:c r="R1077" t="str">
        <x:f>IF(OR(N1077="",O1077=""),"",N1077^0.3*O1077^0.7)</x:f>
      </x:c>
    </x:row>
    <x:row r="1078" s="14" customFormat="1">
      <x:c r="A1078" t="inlineStr">
        <x:is>
          <x:t xml:space="preserve">anthropic|claude-haiku-5-5|xhigh|yes|fallback-na|aa-v4.3.2|snapshot-2026-10-16</x:t>
        </x:is>
      </x:c>
      <x:c r="B1078" t="inlineStr">
        <x:is>
          <x:t xml:space="preserve">anthropic|claude-haiku-5-5|xhigh|yes|fallback-na</x:t>
        </x:is>
      </x:c>
      <x:c r="C1078" t="inlineStr">
        <x:is>
          <x:t xml:space="preserve">AA|v4.3.2</x:t>
        </x:is>
      </x:c>
      <x:c r="D1078" t="n">
        <x:v>136</x:v>
      </x:c>
      <x:c r="E1078" t="n">
        <x:v>40</x:v>
      </x:c>
      <x:c r="F1078" t="n">
        <x:f>INDEX(Run_Metrics!$F:$F,D1078)</x:f>
        <x:v>41</x:v>
      </x:c>
      <x:c r="G1078" t="n">
        <x:f>INDEX(Run_Metrics!$G:$G,D1078)</x:f>
        <x:v>0.12</x:v>
      </x:c>
      <x:c r="H1078" t="str">
        <x:f>INDEX(Run_Metrics!$I:$I,D1078)</x:f>
      </x:c>
      <x:c r="I1078" t="n">
        <x:f>IF(F1078="","",F1078-(E1078-1))</x:f>
        <x:v>2</x:v>
      </x:c>
      <x:c r="J1078" t="n">
        <x:f>IF(I1078&gt;0,1,0)</x:f>
        <x:v>1</x:v>
      </x:c>
      <x:c r="K1078" t="n">
        <x:f>IF(OR(J1078=0,G1078="",G1078=0),"",I1078/G1078)</x:f>
        <x:v>16.666666666666668</x:v>
      </x:c>
      <x:c r="L1078" t="n">
        <x:f>IF(OR(J1078=0,I1078=0,G1078=""),"",G1078/I1078)</x:f>
        <x:v>0.06</x:v>
      </x:c>
      <x:c r="M1078" t="str">
        <x:f>IF(OR(J1078=0,G1078="",H1078="",G1078=0,H1078=0),"",I1078/(G1078*H1078))</x:f>
      </x:c>
      <x:c r="N1078" t="n">
        <x:f>IF(K1078="","",K1078/_xlfn.MAXIFS($K:$K,$E:$E,E1078))</x:f>
        <x:v>0.30952380952380953</x:v>
      </x:c>
      <x:c r="O1078" t="str">
        <x:f>IF(M1078="","",M1078/_xlfn.MAXIFS($M:$M,$E:$E,E1078))</x:f>
      </x:c>
      <x:c r="P1078" t="str">
        <x:f>IF(OR(N1078="",O1078=""),"",SQRT(N1078*O1078))</x:f>
      </x:c>
      <x:c r="Q1078" t="str">
        <x:f>IF(OR(N1078="",O1078=""),"",N1078^0.7*O1078^0.3)</x:f>
      </x:c>
      <x:c r="R1078" t="str">
        <x:f>IF(OR(N1078="",O1078=""),"",N1078^0.3*O1078^0.7)</x:f>
      </x:c>
    </x:row>
    <x:row r="1079" s="14" customFormat="1">
      <x:c r="A1079" t="inlineStr">
        <x:is>
          <x:t xml:space="preserve">anthropic|claude-haiku-5-5|xhigh|yes|fallback-na|aa-v4.3.2|snapshot-2026-10-16</x:t>
        </x:is>
      </x:c>
      <x:c r="B1079" t="inlineStr">
        <x:is>
          <x:t xml:space="preserve">anthropic|claude-haiku-5-5|xhigh|yes|fallback-na</x:t>
        </x:is>
      </x:c>
      <x:c r="C1079" t="inlineStr">
        <x:is>
          <x:t xml:space="preserve">AA|v4.3.2</x:t>
        </x:is>
      </x:c>
      <x:c r="D1079" t="n">
        <x:v>136</x:v>
      </x:c>
      <x:c r="E1079" t="n">
        <x:v>45</x:v>
      </x:c>
      <x:c r="F1079" t="n">
        <x:f>INDEX(Run_Metrics!$F:$F,D1079)</x:f>
        <x:v>41</x:v>
      </x:c>
      <x:c r="G1079" t="n">
        <x:f>INDEX(Run_Metrics!$G:$G,D1079)</x:f>
        <x:v>0.12</x:v>
      </x:c>
      <x:c r="H1079" t="str">
        <x:f>INDEX(Run_Metrics!$I:$I,D1079)</x:f>
      </x:c>
      <x:c r="I1079" t="n">
        <x:f>IF(F1079="","",F1079-(E1079-1))</x:f>
        <x:v>-3</x:v>
      </x:c>
      <x:c r="J1079" t="n">
        <x:f>IF(I1079&gt;0,1,0)</x:f>
        <x:v>0</x:v>
      </x:c>
      <x:c r="K1079" t="str">
        <x:f>IF(OR(J1079=0,G1079="",G1079=0),"",I1079/G1079)</x:f>
      </x:c>
      <x:c r="L1079" t="str">
        <x:f>IF(OR(J1079=0,I1079=0,G1079=""),"",G1079/I1079)</x:f>
      </x:c>
      <x:c r="M1079" t="str">
        <x:f>IF(OR(J1079=0,G1079="",H1079="",G1079=0,H1079=0),"",I1079/(G1079*H1079))</x:f>
      </x:c>
      <x:c r="N1079" t="str">
        <x:f>IF(K1079="","",K1079/_xlfn.MAXIFS($K:$K,$E:$E,E1079))</x:f>
      </x:c>
      <x:c r="O1079" t="str">
        <x:f>IF(M1079="","",M1079/_xlfn.MAXIFS($M:$M,$E:$E,E1079))</x:f>
      </x:c>
      <x:c r="P1079" t="str">
        <x:f>IF(OR(N1079="",O1079=""),"",SQRT(N1079*O1079))</x:f>
      </x:c>
      <x:c r="Q1079" t="str">
        <x:f>IF(OR(N1079="",O1079=""),"",N1079^0.7*O1079^0.3)</x:f>
      </x:c>
      <x:c r="R1079" t="str">
        <x:f>IF(OR(N1079="",O1079=""),"",N1079^0.3*O1079^0.7)</x:f>
      </x:c>
    </x:row>
    <x:row r="1080" s="14" customFormat="1">
      <x:c r="A1080" t="inlineStr">
        <x:is>
          <x:t xml:space="preserve">anthropic|claude-haiku-5-5|xhigh|yes|fallback-na|aa-v4.3.2|snapshot-2026-10-16</x:t>
        </x:is>
      </x:c>
      <x:c r="B1080" t="inlineStr">
        <x:is>
          <x:t xml:space="preserve">anthropic|claude-haiku-5-5|xhigh|yes|fallback-na</x:t>
        </x:is>
      </x:c>
      <x:c r="C1080" t="inlineStr">
        <x:is>
          <x:t xml:space="preserve">AA|v4.3.2</x:t>
        </x:is>
      </x:c>
      <x:c r="D1080" t="n">
        <x:v>136</x:v>
      </x:c>
      <x:c r="E1080" t="n">
        <x:v>50</x:v>
      </x:c>
      <x:c r="F1080" t="n">
        <x:f>INDEX(Run_Metrics!$F:$F,D1080)</x:f>
        <x:v>41</x:v>
      </x:c>
      <x:c r="G1080" t="n">
        <x:f>INDEX(Run_Metrics!$G:$G,D1080)</x:f>
        <x:v>0.12</x:v>
      </x:c>
      <x:c r="H1080" t="str">
        <x:f>INDEX(Run_Metrics!$I:$I,D1080)</x:f>
      </x:c>
      <x:c r="I1080" t="n">
        <x:f>IF(F1080="","",F1080-(E1080-1))</x:f>
        <x:v>-8</x:v>
      </x:c>
      <x:c r="J1080" t="n">
        <x:f>IF(I1080&gt;0,1,0)</x:f>
        <x:v>0</x:v>
      </x:c>
      <x:c r="K1080" t="str">
        <x:f>IF(OR(J1080=0,G1080="",G1080=0),"",I1080/G1080)</x:f>
      </x:c>
      <x:c r="L1080" t="str">
        <x:f>IF(OR(J1080=0,I1080=0,G1080=""),"",G1080/I1080)</x:f>
      </x:c>
      <x:c r="M1080" t="str">
        <x:f>IF(OR(J1080=0,G1080="",H1080="",G1080=0,H1080=0),"",I1080/(G1080*H1080))</x:f>
      </x:c>
      <x:c r="N1080" t="str">
        <x:f>IF(K1080="","",K1080/_xlfn.MAXIFS($K:$K,$E:$E,E1080))</x:f>
      </x:c>
      <x:c r="O1080" t="str">
        <x:f>IF(M1080="","",M1080/_xlfn.MAXIFS($M:$M,$E:$E,E1080))</x:f>
      </x:c>
      <x:c r="P1080" t="str">
        <x:f>IF(OR(N1080="",O1080=""),"",SQRT(N1080*O1080))</x:f>
      </x:c>
      <x:c r="Q1080" t="str">
        <x:f>IF(OR(N1080="",O1080=""),"",N1080^0.7*O1080^0.3)</x:f>
      </x:c>
      <x:c r="R1080" t="str">
        <x:f>IF(OR(N1080="",O1080=""),"",N1080^0.3*O1080^0.7)</x:f>
      </x:c>
    </x:row>
    <x:row r="1081" s="14" customFormat="1">
      <x:c r="A1081" t="inlineStr">
        <x:is>
          <x:t xml:space="preserve">anthropic|claude-haiku-5-5|xhigh|yes|fallback-na|aa-v4.3.2|snapshot-2026-10-16</x:t>
        </x:is>
      </x:c>
      <x:c r="B1081" t="inlineStr">
        <x:is>
          <x:t xml:space="preserve">anthropic|claude-haiku-5-5|xhigh|yes|fallback-na</x:t>
        </x:is>
      </x:c>
      <x:c r="C1081" t="inlineStr">
        <x:is>
          <x:t xml:space="preserve">AA|v4.3.2</x:t>
        </x:is>
      </x:c>
      <x:c r="D1081" t="n">
        <x:v>136</x:v>
      </x:c>
      <x:c r="E1081" t="n">
        <x:v>60</x:v>
      </x:c>
      <x:c r="F1081" t="n">
        <x:f>INDEX(Run_Metrics!$F:$F,D1081)</x:f>
        <x:v>41</x:v>
      </x:c>
      <x:c r="G1081" t="n">
        <x:f>INDEX(Run_Metrics!$G:$G,D1081)</x:f>
        <x:v>0.12</x:v>
      </x:c>
      <x:c r="H1081" t="str">
        <x:f>INDEX(Run_Metrics!$I:$I,D1081)</x:f>
      </x:c>
      <x:c r="I1081" t="n">
        <x:f>IF(F1081="","",F1081-(E1081-1))</x:f>
        <x:v>-18</x:v>
      </x:c>
      <x:c r="J1081" t="n">
        <x:f>IF(I1081&gt;0,1,0)</x:f>
        <x:v>0</x:v>
      </x:c>
      <x:c r="K1081" t="str">
        <x:f>IF(OR(J1081=0,G1081="",G1081=0),"",I1081/G1081)</x:f>
      </x:c>
      <x:c r="L1081" t="str">
        <x:f>IF(OR(J1081=0,I1081=0,G1081=""),"",G1081/I1081)</x:f>
      </x:c>
      <x:c r="M1081" t="str">
        <x:f>IF(OR(J1081=0,G1081="",H1081="",G1081=0,H1081=0),"",I1081/(G1081*H1081))</x:f>
      </x:c>
      <x:c r="N1081" t="str">
        <x:f>IF(K1081="","",K1081/_xlfn.MAXIFS($K:$K,$E:$E,E1081))</x:f>
      </x:c>
      <x:c r="O1081" t="str">
        <x:f>IF(M1081="","",M1081/_xlfn.MAXIFS($M:$M,$E:$E,E1081))</x:f>
      </x:c>
      <x:c r="P1081" t="str">
        <x:f>IF(OR(N1081="",O1081=""),"",SQRT(N1081*O1081))</x:f>
      </x:c>
      <x:c r="Q1081" t="str">
        <x:f>IF(OR(N1081="",O1081=""),"",N1081^0.7*O1081^0.3)</x:f>
      </x:c>
      <x:c r="R1081" t="str">
        <x:f>IF(OR(N1081="",O1081=""),"",N1081^0.3*O1081^0.7)</x:f>
      </x:c>
    </x:row>
    <x:row r="1082" s="14" customFormat="1">
      <x:c r="A1082" t="inlineStr">
        <x:is>
          <x:t xml:space="preserve">anthropic|claude-haiku-5-5|high|yes|fallback-na|aa-v4.3.2|snapshot-2026-10-16</x:t>
        </x:is>
      </x:c>
      <x:c r="B1082" t="inlineStr">
        <x:is>
          <x:t xml:space="preserve">anthropic|claude-haiku-5-5|high|yes|fallback-na</x:t>
        </x:is>
      </x:c>
      <x:c r="C1082" t="inlineStr">
        <x:is>
          <x:t xml:space="preserve">AA|v4.3.2</x:t>
        </x:is>
      </x:c>
      <x:c r="D1082" t="n">
        <x:v>137</x:v>
      </x:c>
      <x:c r="E1082" t="n">
        <x:v>10</x:v>
      </x:c>
      <x:c r="F1082" t="n">
        <x:f>INDEX(Run_Metrics!$F:$F,D1082)</x:f>
        <x:v>38</x:v>
      </x:c>
      <x:c r="G1082" t="n">
        <x:f>INDEX(Run_Metrics!$G:$G,D1082)</x:f>
        <x:v>0.08</x:v>
      </x:c>
      <x:c r="H1082" t="str">
        <x:f>INDEX(Run_Metrics!$I:$I,D1082)</x:f>
      </x:c>
      <x:c r="I1082" t="n">
        <x:f>IF(F1082="","",F1082-(E1082-1))</x:f>
        <x:v>29</x:v>
      </x:c>
      <x:c r="J1082" t="n">
        <x:f>IF(I1082&gt;0,1,0)</x:f>
        <x:v>1</x:v>
      </x:c>
      <x:c r="K1082" t="n">
        <x:f>IF(OR(J1082=0,G1082="",G1082=0),"",I1082/G1082)</x:f>
        <x:v>362.5</x:v>
      </x:c>
      <x:c r="L1082" t="n">
        <x:f>IF(OR(J1082=0,I1082=0,G1082=""),"",G1082/I1082)</x:f>
        <x:v>0.0027586206896551726</x:v>
      </x:c>
      <x:c r="M1082" t="str">
        <x:f>IF(OR(J1082=0,G1082="",H1082="",G1082=0,H1082=0),"",I1082/(G1082*H1082))</x:f>
      </x:c>
      <x:c r="N1082" t="n">
        <x:f>IF(K1082="","",K1082/_xlfn.MAXIFS($K:$K,$E:$E,E1082))</x:f>
        <x:v>0.12548076923076923</x:v>
      </x:c>
      <x:c r="O1082" t="str">
        <x:f>IF(M1082="","",M1082/_xlfn.MAXIFS($M:$M,$E:$E,E1082))</x:f>
      </x:c>
      <x:c r="P1082" t="str">
        <x:f>IF(OR(N1082="",O1082=""),"",SQRT(N1082*O1082))</x:f>
      </x:c>
      <x:c r="Q1082" t="str">
        <x:f>IF(OR(N1082="",O1082=""),"",N1082^0.7*O1082^0.3)</x:f>
      </x:c>
      <x:c r="R1082" t="str">
        <x:f>IF(OR(N1082="",O1082=""),"",N1082^0.3*O1082^0.7)</x:f>
      </x:c>
    </x:row>
    <x:row r="1083" s="14" customFormat="1">
      <x:c r="A1083" t="inlineStr">
        <x:is>
          <x:t xml:space="preserve">anthropic|claude-haiku-5-5|high|yes|fallback-na|aa-v4.3.2|snapshot-2026-10-16</x:t>
        </x:is>
      </x:c>
      <x:c r="B1083" t="inlineStr">
        <x:is>
          <x:t xml:space="preserve">anthropic|claude-haiku-5-5|high|yes|fallback-na</x:t>
        </x:is>
      </x:c>
      <x:c r="C1083" t="inlineStr">
        <x:is>
          <x:t xml:space="preserve">AA|v4.3.2</x:t>
        </x:is>
      </x:c>
      <x:c r="D1083" t="n">
        <x:v>137</x:v>
      </x:c>
      <x:c r="E1083" t="n">
        <x:v>20</x:v>
      </x:c>
      <x:c r="F1083" t="n">
        <x:f>INDEX(Run_Metrics!$F:$F,D1083)</x:f>
        <x:v>38</x:v>
      </x:c>
      <x:c r="G1083" t="n">
        <x:f>INDEX(Run_Metrics!$G:$G,D1083)</x:f>
        <x:v>0.08</x:v>
      </x:c>
      <x:c r="H1083" t="str">
        <x:f>INDEX(Run_Metrics!$I:$I,D1083)</x:f>
      </x:c>
      <x:c r="I1083" t="n">
        <x:f>IF(F1083="","",F1083-(E1083-1))</x:f>
        <x:v>19</x:v>
      </x:c>
      <x:c r="J1083" t="n">
        <x:f>IF(I1083&gt;0,1,0)</x:f>
        <x:v>1</x:v>
      </x:c>
      <x:c r="K1083" t="n">
        <x:f>IF(OR(J1083=0,G1083="",G1083=0),"",I1083/G1083)</x:f>
        <x:v>237.5</x:v>
      </x:c>
      <x:c r="L1083" t="n">
        <x:f>IF(OR(J1083=0,I1083=0,G1083=""),"",G1083/I1083)</x:f>
        <x:v>0.004210526315789474</x:v>
      </x:c>
      <x:c r="M1083" t="str">
        <x:f>IF(OR(J1083=0,G1083="",H1083="",G1083=0,H1083=0),"",I1083/(G1083*H1083))</x:f>
      </x:c>
      <x:c r="N1083" t="n">
        <x:f>IF(K1083="","",K1083/_xlfn.MAXIFS($K:$K,$E:$E,E1083))</x:f>
        <x:v>0.35624999999999996</x:v>
      </x:c>
      <x:c r="O1083" t="str">
        <x:f>IF(M1083="","",M1083/_xlfn.MAXIFS($M:$M,$E:$E,E1083))</x:f>
      </x:c>
      <x:c r="P1083" t="str">
        <x:f>IF(OR(N1083="",O1083=""),"",SQRT(N1083*O1083))</x:f>
      </x:c>
      <x:c r="Q1083" t="str">
        <x:f>IF(OR(N1083="",O1083=""),"",N1083^0.7*O1083^0.3)</x:f>
      </x:c>
      <x:c r="R1083" t="str">
        <x:f>IF(OR(N1083="",O1083=""),"",N1083^0.3*O1083^0.7)</x:f>
      </x:c>
    </x:row>
    <x:row r="1084" s="14" customFormat="1">
      <x:c r="A1084" t="inlineStr">
        <x:is>
          <x:t xml:space="preserve">anthropic|claude-haiku-5-5|high|yes|fallback-na|aa-v4.3.2|snapshot-2026-10-16</x:t>
        </x:is>
      </x:c>
      <x:c r="B1084" t="inlineStr">
        <x:is>
          <x:t xml:space="preserve">anthropic|claude-haiku-5-5|high|yes|fallback-na</x:t>
        </x:is>
      </x:c>
      <x:c r="C1084" t="inlineStr">
        <x:is>
          <x:t xml:space="preserve">AA|v4.3.2</x:t>
        </x:is>
      </x:c>
      <x:c r="D1084" t="n">
        <x:v>137</x:v>
      </x:c>
      <x:c r="E1084" t="n">
        <x:v>30</x:v>
      </x:c>
      <x:c r="F1084" t="n">
        <x:f>INDEX(Run_Metrics!$F:$F,D1084)</x:f>
        <x:v>38</x:v>
      </x:c>
      <x:c r="G1084" t="n">
        <x:f>INDEX(Run_Metrics!$G:$G,D1084)</x:f>
        <x:v>0.08</x:v>
      </x:c>
      <x:c r="H1084" t="str">
        <x:f>INDEX(Run_Metrics!$I:$I,D1084)</x:f>
      </x:c>
      <x:c r="I1084" t="n">
        <x:f>IF(F1084="","",F1084-(E1084-1))</x:f>
        <x:v>9</x:v>
      </x:c>
      <x:c r="J1084" t="n">
        <x:f>IF(I1084&gt;0,1,0)</x:f>
        <x:v>1</x:v>
      </x:c>
      <x:c r="K1084" t="n">
        <x:f>IF(OR(J1084=0,G1084="",G1084=0),"",I1084/G1084)</x:f>
        <x:v>112.5</x:v>
      </x:c>
      <x:c r="L1084" t="n">
        <x:f>IF(OR(J1084=0,I1084=0,G1084=""),"",G1084/I1084)</x:f>
        <x:v>0.008888888888888889</x:v>
      </x:c>
      <x:c r="M1084" t="str">
        <x:f>IF(OR(J1084=0,G1084="",H1084="",G1084=0,H1084=0),"",I1084/(G1084*H1084))</x:f>
      </x:c>
      <x:c r="N1084" t="n">
        <x:f>IF(K1084="","",K1084/_xlfn.MAXIFS($K:$K,$E:$E,E1084))</x:f>
        <x:v>0.75</x:v>
      </x:c>
      <x:c r="O1084" t="str">
        <x:f>IF(M1084="","",M1084/_xlfn.MAXIFS($M:$M,$E:$E,E1084))</x:f>
      </x:c>
      <x:c r="P1084" t="str">
        <x:f>IF(OR(N1084="",O1084=""),"",SQRT(N1084*O1084))</x:f>
      </x:c>
      <x:c r="Q1084" t="str">
        <x:f>IF(OR(N1084="",O1084=""),"",N1084^0.7*O1084^0.3)</x:f>
      </x:c>
      <x:c r="R1084" t="str">
        <x:f>IF(OR(N1084="",O1084=""),"",N1084^0.3*O1084^0.7)</x:f>
      </x:c>
    </x:row>
    <x:row r="1085" s="14" customFormat="1">
      <x:c r="A1085" t="inlineStr">
        <x:is>
          <x:t xml:space="preserve">anthropic|claude-haiku-5-5|high|yes|fallback-na|aa-v4.3.2|snapshot-2026-10-16</x:t>
        </x:is>
      </x:c>
      <x:c r="B1085" t="inlineStr">
        <x:is>
          <x:t xml:space="preserve">anthropic|claude-haiku-5-5|high|yes|fallback-na</x:t>
        </x:is>
      </x:c>
      <x:c r="C1085" t="inlineStr">
        <x:is>
          <x:t xml:space="preserve">AA|v4.3.2</x:t>
        </x:is>
      </x:c>
      <x:c r="D1085" t="n">
        <x:v>137</x:v>
      </x:c>
      <x:c r="E1085" t="n">
        <x:v>35</x:v>
      </x:c>
      <x:c r="F1085" t="n">
        <x:f>INDEX(Run_Metrics!$F:$F,D1085)</x:f>
        <x:v>38</x:v>
      </x:c>
      <x:c r="G1085" t="n">
        <x:f>INDEX(Run_Metrics!$G:$G,D1085)</x:f>
        <x:v>0.08</x:v>
      </x:c>
      <x:c r="H1085" t="str">
        <x:f>INDEX(Run_Metrics!$I:$I,D1085)</x:f>
      </x:c>
      <x:c r="I1085" t="n">
        <x:f>IF(F1085="","",F1085-(E1085-1))</x:f>
        <x:v>4</x:v>
      </x:c>
      <x:c r="J1085" t="n">
        <x:f>IF(I1085&gt;0,1,0)</x:f>
        <x:v>1</x:v>
      </x:c>
      <x:c r="K1085" t="n">
        <x:f>IF(OR(J1085=0,G1085="",G1085=0),"",I1085/G1085)</x:f>
        <x:v>50</x:v>
      </x:c>
      <x:c r="L1085" t="n">
        <x:f>IF(OR(J1085=0,I1085=0,G1085=""),"",G1085/I1085)</x:f>
        <x:v>0.02</x:v>
      </x:c>
      <x:c r="M1085" t="str">
        <x:f>IF(OR(J1085=0,G1085="",H1085="",G1085=0,H1085=0),"",I1085/(G1085*H1085))</x:f>
      </x:c>
      <x:c r="N1085" t="n">
        <x:f>IF(K1085="","",K1085/_xlfn.MAXIFS($K:$K,$E:$E,E1085))</x:f>
        <x:v>0.5416666666666666</x:v>
      </x:c>
      <x:c r="O1085" t="str">
        <x:f>IF(M1085="","",M1085/_xlfn.MAXIFS($M:$M,$E:$E,E1085))</x:f>
      </x:c>
      <x:c r="P1085" t="str">
        <x:f>IF(OR(N1085="",O1085=""),"",SQRT(N1085*O1085))</x:f>
      </x:c>
      <x:c r="Q1085" t="str">
        <x:f>IF(OR(N1085="",O1085=""),"",N1085^0.7*O1085^0.3)</x:f>
      </x:c>
      <x:c r="R1085" t="str">
        <x:f>IF(OR(N1085="",O1085=""),"",N1085^0.3*O1085^0.7)</x:f>
      </x:c>
    </x:row>
    <x:row r="1086" s="14" customFormat="1">
      <x:c r="A1086" t="inlineStr">
        <x:is>
          <x:t xml:space="preserve">anthropic|claude-haiku-5-5|high|yes|fallback-na|aa-v4.3.2|snapshot-2026-10-16</x:t>
        </x:is>
      </x:c>
      <x:c r="B1086" t="inlineStr">
        <x:is>
          <x:t xml:space="preserve">anthropic|claude-haiku-5-5|high|yes|fallback-na</x:t>
        </x:is>
      </x:c>
      <x:c r="C1086" t="inlineStr">
        <x:is>
          <x:t xml:space="preserve">AA|v4.3.2</x:t>
        </x:is>
      </x:c>
      <x:c r="D1086" t="n">
        <x:v>137</x:v>
      </x:c>
      <x:c r="E1086" t="n">
        <x:v>40</x:v>
      </x:c>
      <x:c r="F1086" t="n">
        <x:f>INDEX(Run_Metrics!$F:$F,D1086)</x:f>
        <x:v>38</x:v>
      </x:c>
      <x:c r="G1086" t="n">
        <x:f>INDEX(Run_Metrics!$G:$G,D1086)</x:f>
        <x:v>0.08</x:v>
      </x:c>
      <x:c r="H1086" t="str">
        <x:f>INDEX(Run_Metrics!$I:$I,D1086)</x:f>
      </x:c>
      <x:c r="I1086" t="n">
        <x:f>IF(F1086="","",F1086-(E1086-1))</x:f>
        <x:v>-1</x:v>
      </x:c>
      <x:c r="J1086" t="n">
        <x:f>IF(I1086&gt;0,1,0)</x:f>
        <x:v>0</x:v>
      </x:c>
      <x:c r="K1086" t="str">
        <x:f>IF(OR(J1086=0,G1086="",G1086=0),"",I1086/G1086)</x:f>
      </x:c>
      <x:c r="L1086" t="str">
        <x:f>IF(OR(J1086=0,I1086=0,G1086=""),"",G1086/I1086)</x:f>
      </x:c>
      <x:c r="M1086" t="str">
        <x:f>IF(OR(J1086=0,G1086="",H1086="",G1086=0,H1086=0),"",I1086/(G1086*H1086))</x:f>
      </x:c>
      <x:c r="N1086" t="str">
        <x:f>IF(K1086="","",K1086/_xlfn.MAXIFS($K:$K,$E:$E,E1086))</x:f>
      </x:c>
      <x:c r="O1086" t="str">
        <x:f>IF(M1086="","",M1086/_xlfn.MAXIFS($M:$M,$E:$E,E1086))</x:f>
      </x:c>
      <x:c r="P1086" t="str">
        <x:f>IF(OR(N1086="",O1086=""),"",SQRT(N1086*O1086))</x:f>
      </x:c>
      <x:c r="Q1086" t="str">
        <x:f>IF(OR(N1086="",O1086=""),"",N1086^0.7*O1086^0.3)</x:f>
      </x:c>
      <x:c r="R1086" t="str">
        <x:f>IF(OR(N1086="",O1086=""),"",N1086^0.3*O1086^0.7)</x:f>
      </x:c>
    </x:row>
    <x:row r="1087" s="14" customFormat="1">
      <x:c r="A1087" t="inlineStr">
        <x:is>
          <x:t xml:space="preserve">anthropic|claude-haiku-5-5|high|yes|fallback-na|aa-v4.3.2|snapshot-2026-10-16</x:t>
        </x:is>
      </x:c>
      <x:c r="B1087" t="inlineStr">
        <x:is>
          <x:t xml:space="preserve">anthropic|claude-haiku-5-5|high|yes|fallback-na</x:t>
        </x:is>
      </x:c>
      <x:c r="C1087" t="inlineStr">
        <x:is>
          <x:t xml:space="preserve">AA|v4.3.2</x:t>
        </x:is>
      </x:c>
      <x:c r="D1087" t="n">
        <x:v>137</x:v>
      </x:c>
      <x:c r="E1087" t="n">
        <x:v>45</x:v>
      </x:c>
      <x:c r="F1087" t="n">
        <x:f>INDEX(Run_Metrics!$F:$F,D1087)</x:f>
        <x:v>38</x:v>
      </x:c>
      <x:c r="G1087" t="n">
        <x:f>INDEX(Run_Metrics!$G:$G,D1087)</x:f>
        <x:v>0.08</x:v>
      </x:c>
      <x:c r="H1087" t="str">
        <x:f>INDEX(Run_Metrics!$I:$I,D1087)</x:f>
      </x:c>
      <x:c r="I1087" t="n">
        <x:f>IF(F1087="","",F1087-(E1087-1))</x:f>
        <x:v>-6</x:v>
      </x:c>
      <x:c r="J1087" t="n">
        <x:f>IF(I1087&gt;0,1,0)</x:f>
        <x:v>0</x:v>
      </x:c>
      <x:c r="K1087" t="str">
        <x:f>IF(OR(J1087=0,G1087="",G1087=0),"",I1087/G1087)</x:f>
      </x:c>
      <x:c r="L1087" t="str">
        <x:f>IF(OR(J1087=0,I1087=0,G1087=""),"",G1087/I1087)</x:f>
      </x:c>
      <x:c r="M1087" t="str">
        <x:f>IF(OR(J1087=0,G1087="",H1087="",G1087=0,H1087=0),"",I1087/(G1087*H1087))</x:f>
      </x:c>
      <x:c r="N1087" t="str">
        <x:f>IF(K1087="","",K1087/_xlfn.MAXIFS($K:$K,$E:$E,E1087))</x:f>
      </x:c>
      <x:c r="O1087" t="str">
        <x:f>IF(M1087="","",M1087/_xlfn.MAXIFS($M:$M,$E:$E,E1087))</x:f>
      </x:c>
      <x:c r="P1087" t="str">
        <x:f>IF(OR(N1087="",O1087=""),"",SQRT(N1087*O1087))</x:f>
      </x:c>
      <x:c r="Q1087" t="str">
        <x:f>IF(OR(N1087="",O1087=""),"",N1087^0.7*O1087^0.3)</x:f>
      </x:c>
      <x:c r="R1087" t="str">
        <x:f>IF(OR(N1087="",O1087=""),"",N1087^0.3*O1087^0.7)</x:f>
      </x:c>
    </x:row>
    <x:row r="1088" s="14" customFormat="1">
      <x:c r="A1088" t="inlineStr">
        <x:is>
          <x:t xml:space="preserve">anthropic|claude-haiku-5-5|high|yes|fallback-na|aa-v4.3.2|snapshot-2026-10-16</x:t>
        </x:is>
      </x:c>
      <x:c r="B1088" t="inlineStr">
        <x:is>
          <x:t xml:space="preserve">anthropic|claude-haiku-5-5|high|yes|fallback-na</x:t>
        </x:is>
      </x:c>
      <x:c r="C1088" t="inlineStr">
        <x:is>
          <x:t xml:space="preserve">AA|v4.3.2</x:t>
        </x:is>
      </x:c>
      <x:c r="D1088" t="n">
        <x:v>137</x:v>
      </x:c>
      <x:c r="E1088" t="n">
        <x:v>50</x:v>
      </x:c>
      <x:c r="F1088" t="n">
        <x:f>INDEX(Run_Metrics!$F:$F,D1088)</x:f>
        <x:v>38</x:v>
      </x:c>
      <x:c r="G1088" t="n">
        <x:f>INDEX(Run_Metrics!$G:$G,D1088)</x:f>
        <x:v>0.08</x:v>
      </x:c>
      <x:c r="H1088" t="str">
        <x:f>INDEX(Run_Metrics!$I:$I,D1088)</x:f>
      </x:c>
      <x:c r="I1088" t="n">
        <x:f>IF(F1088="","",F1088-(E1088-1))</x:f>
        <x:v>-11</x:v>
      </x:c>
      <x:c r="J1088" t="n">
        <x:f>IF(I1088&gt;0,1,0)</x:f>
        <x:v>0</x:v>
      </x:c>
      <x:c r="K1088" t="str">
        <x:f>IF(OR(J1088=0,G1088="",G1088=0),"",I1088/G1088)</x:f>
      </x:c>
      <x:c r="L1088" t="str">
        <x:f>IF(OR(J1088=0,I1088=0,G1088=""),"",G1088/I1088)</x:f>
      </x:c>
      <x:c r="M1088" t="str">
        <x:f>IF(OR(J1088=0,G1088="",H1088="",G1088=0,H1088=0),"",I1088/(G1088*H1088))</x:f>
      </x:c>
      <x:c r="N1088" t="str">
        <x:f>IF(K1088="","",K1088/_xlfn.MAXIFS($K:$K,$E:$E,E1088))</x:f>
      </x:c>
      <x:c r="O1088" t="str">
        <x:f>IF(M1088="","",M1088/_xlfn.MAXIFS($M:$M,$E:$E,E1088))</x:f>
      </x:c>
      <x:c r="P1088" t="str">
        <x:f>IF(OR(N1088="",O1088=""),"",SQRT(N1088*O1088))</x:f>
      </x:c>
      <x:c r="Q1088" t="str">
        <x:f>IF(OR(N1088="",O1088=""),"",N1088^0.7*O1088^0.3)</x:f>
      </x:c>
      <x:c r="R1088" t="str">
        <x:f>IF(OR(N1088="",O1088=""),"",N1088^0.3*O1088^0.7)</x:f>
      </x:c>
    </x:row>
    <x:row r="1089" s="14" customFormat="1">
      <x:c r="A1089" t="inlineStr">
        <x:is>
          <x:t xml:space="preserve">anthropic|claude-haiku-5-5|high|yes|fallback-na|aa-v4.3.2|snapshot-2026-10-16</x:t>
        </x:is>
      </x:c>
      <x:c r="B1089" t="inlineStr">
        <x:is>
          <x:t xml:space="preserve">anthropic|claude-haiku-5-5|high|yes|fallback-na</x:t>
        </x:is>
      </x:c>
      <x:c r="C1089" t="inlineStr">
        <x:is>
          <x:t xml:space="preserve">AA|v4.3.2</x:t>
        </x:is>
      </x:c>
      <x:c r="D1089" t="n">
        <x:v>137</x:v>
      </x:c>
      <x:c r="E1089" t="n">
        <x:v>60</x:v>
      </x:c>
      <x:c r="F1089" t="n">
        <x:f>INDEX(Run_Metrics!$F:$F,D1089)</x:f>
        <x:v>38</x:v>
      </x:c>
      <x:c r="G1089" t="n">
        <x:f>INDEX(Run_Metrics!$G:$G,D1089)</x:f>
        <x:v>0.08</x:v>
      </x:c>
      <x:c r="H1089" t="str">
        <x:f>INDEX(Run_Metrics!$I:$I,D1089)</x:f>
      </x:c>
      <x:c r="I1089" t="n">
        <x:f>IF(F1089="","",F1089-(E1089-1))</x:f>
        <x:v>-21</x:v>
      </x:c>
      <x:c r="J1089" t="n">
        <x:f>IF(I1089&gt;0,1,0)</x:f>
        <x:v>0</x:v>
      </x:c>
      <x:c r="K1089" t="str">
        <x:f>IF(OR(J1089=0,G1089="",G1089=0),"",I1089/G1089)</x:f>
      </x:c>
      <x:c r="L1089" t="str">
        <x:f>IF(OR(J1089=0,I1089=0,G1089=""),"",G1089/I1089)</x:f>
      </x:c>
      <x:c r="M1089" t="str">
        <x:f>IF(OR(J1089=0,G1089="",H1089="",G1089=0,H1089=0),"",I1089/(G1089*H1089))</x:f>
      </x:c>
      <x:c r="N1089" t="str">
        <x:f>IF(K1089="","",K1089/_xlfn.MAXIFS($K:$K,$E:$E,E1089))</x:f>
      </x:c>
      <x:c r="O1089" t="str">
        <x:f>IF(M1089="","",M1089/_xlfn.MAXIFS($M:$M,$E:$E,E1089))</x:f>
      </x:c>
      <x:c r="P1089" t="str">
        <x:f>IF(OR(N1089="",O1089=""),"",SQRT(N1089*O1089))</x:f>
      </x:c>
      <x:c r="Q1089" t="str">
        <x:f>IF(OR(N1089="",O1089=""),"",N1089^0.7*O1089^0.3)</x:f>
      </x:c>
      <x:c r="R1089" t="str">
        <x:f>IF(OR(N1089="",O1089=""),"",N1089^0.3*O1089^0.7)</x:f>
      </x:c>
    </x:row>
    <x:row r="1090" s="14" customFormat="1">
      <x:c r="A1090" t="inlineStr">
        <x:is>
          <x:t xml:space="preserve">anthropic|claude-haiku-5-5|medium|yes|fallback-na|aa-v4.3.2|snapshot-2026-10-16</x:t>
        </x:is>
      </x:c>
      <x:c r="B1090" t="inlineStr">
        <x:is>
          <x:t xml:space="preserve">anthropic|claude-haiku-5-5|medium|yes|fallback-na</x:t>
        </x:is>
      </x:c>
      <x:c r="C1090" t="inlineStr">
        <x:is>
          <x:t xml:space="preserve">AA|v4.3.2</x:t>
        </x:is>
      </x:c>
      <x:c r="D1090" t="n">
        <x:v>138</x:v>
      </x:c>
      <x:c r="E1090" t="n">
        <x:v>10</x:v>
      </x:c>
      <x:c r="F1090" t="n">
        <x:f>INDEX(Run_Metrics!$F:$F,D1090)</x:f>
        <x:v>34</x:v>
      </x:c>
      <x:c r="G1090" t="n">
        <x:f>INDEX(Run_Metrics!$G:$G,D1090)</x:f>
        <x:v>0.05</x:v>
      </x:c>
      <x:c r="H1090" t="str">
        <x:f>INDEX(Run_Metrics!$I:$I,D1090)</x:f>
      </x:c>
      <x:c r="I1090" t="n">
        <x:f>IF(F1090="","",F1090-(E1090-1))</x:f>
        <x:v>25</x:v>
      </x:c>
      <x:c r="J1090" t="n">
        <x:f>IF(I1090&gt;0,1,0)</x:f>
        <x:v>1</x:v>
      </x:c>
      <x:c r="K1090" t="n">
        <x:f>IF(OR(J1090=0,G1090="",G1090=0),"",I1090/G1090)</x:f>
        <x:v>500</x:v>
      </x:c>
      <x:c r="L1090" t="n">
        <x:f>IF(OR(J1090=0,I1090=0,G1090=""),"",G1090/I1090)</x:f>
        <x:v>0.002</x:v>
      </x:c>
      <x:c r="M1090" t="str">
        <x:f>IF(OR(J1090=0,G1090="",H1090="",G1090=0,H1090=0),"",I1090/(G1090*H1090))</x:f>
      </x:c>
      <x:c r="N1090" t="n">
        <x:f>IF(K1090="","",K1090/_xlfn.MAXIFS($K:$K,$E:$E,E1090))</x:f>
        <x:v>0.17307692307692307</x:v>
      </x:c>
      <x:c r="O1090" t="str">
        <x:f>IF(M1090="","",M1090/_xlfn.MAXIFS($M:$M,$E:$E,E1090))</x:f>
      </x:c>
      <x:c r="P1090" t="str">
        <x:f>IF(OR(N1090="",O1090=""),"",SQRT(N1090*O1090))</x:f>
      </x:c>
      <x:c r="Q1090" t="str">
        <x:f>IF(OR(N1090="",O1090=""),"",N1090^0.7*O1090^0.3)</x:f>
      </x:c>
      <x:c r="R1090" t="str">
        <x:f>IF(OR(N1090="",O1090=""),"",N1090^0.3*O1090^0.7)</x:f>
      </x:c>
    </x:row>
    <x:row r="1091" s="14" customFormat="1">
      <x:c r="A1091" t="inlineStr">
        <x:is>
          <x:t xml:space="preserve">anthropic|claude-haiku-5-5|medium|yes|fallback-na|aa-v4.3.2|snapshot-2026-10-16</x:t>
        </x:is>
      </x:c>
      <x:c r="B1091" t="inlineStr">
        <x:is>
          <x:t xml:space="preserve">anthropic|claude-haiku-5-5|medium|yes|fallback-na</x:t>
        </x:is>
      </x:c>
      <x:c r="C1091" t="inlineStr">
        <x:is>
          <x:t xml:space="preserve">AA|v4.3.2</x:t>
        </x:is>
      </x:c>
      <x:c r="D1091" t="n">
        <x:v>138</x:v>
      </x:c>
      <x:c r="E1091" t="n">
        <x:v>20</x:v>
      </x:c>
      <x:c r="F1091" t="n">
        <x:f>INDEX(Run_Metrics!$F:$F,D1091)</x:f>
        <x:v>34</x:v>
      </x:c>
      <x:c r="G1091" t="n">
        <x:f>INDEX(Run_Metrics!$G:$G,D1091)</x:f>
        <x:v>0.05</x:v>
      </x:c>
      <x:c r="H1091" t="str">
        <x:f>INDEX(Run_Metrics!$I:$I,D1091)</x:f>
      </x:c>
      <x:c r="I1091" t="n">
        <x:f>IF(F1091="","",F1091-(E1091-1))</x:f>
        <x:v>15</x:v>
      </x:c>
      <x:c r="J1091" t="n">
        <x:f>IF(I1091&gt;0,1,0)</x:f>
        <x:v>1</x:v>
      </x:c>
      <x:c r="K1091" t="n">
        <x:f>IF(OR(J1091=0,G1091="",G1091=0),"",I1091/G1091)</x:f>
        <x:v>300</x:v>
      </x:c>
      <x:c r="L1091" t="n">
        <x:f>IF(OR(J1091=0,I1091=0,G1091=""),"",G1091/I1091)</x:f>
        <x:v>0.0033333333333333335</x:v>
      </x:c>
      <x:c r="M1091" t="str">
        <x:f>IF(OR(J1091=0,G1091="",H1091="",G1091=0,H1091=0),"",I1091/(G1091*H1091))</x:f>
      </x:c>
      <x:c r="N1091" t="n">
        <x:f>IF(K1091="","",K1091/_xlfn.MAXIFS($K:$K,$E:$E,E1091))</x:f>
        <x:v>0.44999999999999996</x:v>
      </x:c>
      <x:c r="O1091" t="str">
        <x:f>IF(M1091="","",M1091/_xlfn.MAXIFS($M:$M,$E:$E,E1091))</x:f>
      </x:c>
      <x:c r="P1091" t="str">
        <x:f>IF(OR(N1091="",O1091=""),"",SQRT(N1091*O1091))</x:f>
      </x:c>
      <x:c r="Q1091" t="str">
        <x:f>IF(OR(N1091="",O1091=""),"",N1091^0.7*O1091^0.3)</x:f>
      </x:c>
      <x:c r="R1091" t="str">
        <x:f>IF(OR(N1091="",O1091=""),"",N1091^0.3*O1091^0.7)</x:f>
      </x:c>
    </x:row>
    <x:row r="1092" s="14" customFormat="1">
      <x:c r="A1092" t="inlineStr">
        <x:is>
          <x:t xml:space="preserve">anthropic|claude-haiku-5-5|medium|yes|fallback-na|aa-v4.3.2|snapshot-2026-10-16</x:t>
        </x:is>
      </x:c>
      <x:c r="B1092" t="inlineStr">
        <x:is>
          <x:t xml:space="preserve">anthropic|claude-haiku-5-5|medium|yes|fallback-na</x:t>
        </x:is>
      </x:c>
      <x:c r="C1092" t="inlineStr">
        <x:is>
          <x:t xml:space="preserve">AA|v4.3.2</x:t>
        </x:is>
      </x:c>
      <x:c r="D1092" t="n">
        <x:v>138</x:v>
      </x:c>
      <x:c r="E1092" t="n">
        <x:v>30</x:v>
      </x:c>
      <x:c r="F1092" t="n">
        <x:f>INDEX(Run_Metrics!$F:$F,D1092)</x:f>
        <x:v>34</x:v>
      </x:c>
      <x:c r="G1092" t="n">
        <x:f>INDEX(Run_Metrics!$G:$G,D1092)</x:f>
        <x:v>0.05</x:v>
      </x:c>
      <x:c r="H1092" t="str">
        <x:f>INDEX(Run_Metrics!$I:$I,D1092)</x:f>
      </x:c>
      <x:c r="I1092" t="n">
        <x:f>IF(F1092="","",F1092-(E1092-1))</x:f>
        <x:v>5</x:v>
      </x:c>
      <x:c r="J1092" t="n">
        <x:f>IF(I1092&gt;0,1,0)</x:f>
        <x:v>1</x:v>
      </x:c>
      <x:c r="K1092" t="n">
        <x:f>IF(OR(J1092=0,G1092="",G1092=0),"",I1092/G1092)</x:f>
        <x:v>100</x:v>
      </x:c>
      <x:c r="L1092" t="n">
        <x:f>IF(OR(J1092=0,I1092=0,G1092=""),"",G1092/I1092)</x:f>
        <x:v>0.01</x:v>
      </x:c>
      <x:c r="M1092" t="str">
        <x:f>IF(OR(J1092=0,G1092="",H1092="",G1092=0,H1092=0),"",I1092/(G1092*H1092))</x:f>
      </x:c>
      <x:c r="N1092" t="n">
        <x:f>IF(K1092="","",K1092/_xlfn.MAXIFS($K:$K,$E:$E,E1092))</x:f>
        <x:v>0.6666666666666666</x:v>
      </x:c>
      <x:c r="O1092" t="str">
        <x:f>IF(M1092="","",M1092/_xlfn.MAXIFS($M:$M,$E:$E,E1092))</x:f>
      </x:c>
      <x:c r="P1092" t="str">
        <x:f>IF(OR(N1092="",O1092=""),"",SQRT(N1092*O1092))</x:f>
      </x:c>
      <x:c r="Q1092" t="str">
        <x:f>IF(OR(N1092="",O1092=""),"",N1092^0.7*O1092^0.3)</x:f>
      </x:c>
      <x:c r="R1092" t="str">
        <x:f>IF(OR(N1092="",O1092=""),"",N1092^0.3*O1092^0.7)</x:f>
      </x:c>
    </x:row>
    <x:row r="1093" s="14" customFormat="1">
      <x:c r="A1093" t="inlineStr">
        <x:is>
          <x:t xml:space="preserve">anthropic|claude-haiku-5-5|medium|yes|fallback-na|aa-v4.3.2|snapshot-2026-10-16</x:t>
        </x:is>
      </x:c>
      <x:c r="B1093" t="inlineStr">
        <x:is>
          <x:t xml:space="preserve">anthropic|claude-haiku-5-5|medium|yes|fallback-na</x:t>
        </x:is>
      </x:c>
      <x:c r="C1093" t="inlineStr">
        <x:is>
          <x:t xml:space="preserve">AA|v4.3.2</x:t>
        </x:is>
      </x:c>
      <x:c r="D1093" t="n">
        <x:v>138</x:v>
      </x:c>
      <x:c r="E1093" t="n">
        <x:v>35</x:v>
      </x:c>
      <x:c r="F1093" t="n">
        <x:f>INDEX(Run_Metrics!$F:$F,D1093)</x:f>
        <x:v>34</x:v>
      </x:c>
      <x:c r="G1093" t="n">
        <x:f>INDEX(Run_Metrics!$G:$G,D1093)</x:f>
        <x:v>0.05</x:v>
      </x:c>
      <x:c r="H1093" t="str">
        <x:f>INDEX(Run_Metrics!$I:$I,D1093)</x:f>
      </x:c>
      <x:c r="I1093" t="n">
        <x:f>IF(F1093="","",F1093-(E1093-1))</x:f>
        <x:v>0</x:v>
      </x:c>
      <x:c r="J1093" t="n">
        <x:f>IF(I1093&gt;0,1,0)</x:f>
        <x:v>0</x:v>
      </x:c>
      <x:c r="K1093" t="str">
        <x:f>IF(OR(J1093=0,G1093="",G1093=0),"",I1093/G1093)</x:f>
      </x:c>
      <x:c r="L1093" t="str">
        <x:f>IF(OR(J1093=0,I1093=0,G1093=""),"",G1093/I1093)</x:f>
      </x:c>
      <x:c r="M1093" t="str">
        <x:f>IF(OR(J1093=0,G1093="",H1093="",G1093=0,H1093=0),"",I1093/(G1093*H1093))</x:f>
      </x:c>
      <x:c r="N1093" t="str">
        <x:f>IF(K1093="","",K1093/_xlfn.MAXIFS($K:$K,$E:$E,E1093))</x:f>
      </x:c>
      <x:c r="O1093" t="str">
        <x:f>IF(M1093="","",M1093/_xlfn.MAXIFS($M:$M,$E:$E,E1093))</x:f>
      </x:c>
      <x:c r="P1093" t="str">
        <x:f>IF(OR(N1093="",O1093=""),"",SQRT(N1093*O1093))</x:f>
      </x:c>
      <x:c r="Q1093" t="str">
        <x:f>IF(OR(N1093="",O1093=""),"",N1093^0.7*O1093^0.3)</x:f>
      </x:c>
      <x:c r="R1093" t="str">
        <x:f>IF(OR(N1093="",O1093=""),"",N1093^0.3*O1093^0.7)</x:f>
      </x:c>
    </x:row>
    <x:row r="1094" s="14" customFormat="1">
      <x:c r="A1094" t="inlineStr">
        <x:is>
          <x:t xml:space="preserve">anthropic|claude-haiku-5-5|medium|yes|fallback-na|aa-v4.3.2|snapshot-2026-10-16</x:t>
        </x:is>
      </x:c>
      <x:c r="B1094" t="inlineStr">
        <x:is>
          <x:t xml:space="preserve">anthropic|claude-haiku-5-5|medium|yes|fallback-na</x:t>
        </x:is>
      </x:c>
      <x:c r="C1094" t="inlineStr">
        <x:is>
          <x:t xml:space="preserve">AA|v4.3.2</x:t>
        </x:is>
      </x:c>
      <x:c r="D1094" t="n">
        <x:v>138</x:v>
      </x:c>
      <x:c r="E1094" t="n">
        <x:v>40</x:v>
      </x:c>
      <x:c r="F1094" t="n">
        <x:f>INDEX(Run_Metrics!$F:$F,D1094)</x:f>
        <x:v>34</x:v>
      </x:c>
      <x:c r="G1094" t="n">
        <x:f>INDEX(Run_Metrics!$G:$G,D1094)</x:f>
        <x:v>0.05</x:v>
      </x:c>
      <x:c r="H1094" t="str">
        <x:f>INDEX(Run_Metrics!$I:$I,D1094)</x:f>
      </x:c>
      <x:c r="I1094" t="n">
        <x:f>IF(F1094="","",F1094-(E1094-1))</x:f>
        <x:v>-5</x:v>
      </x:c>
      <x:c r="J1094" t="n">
        <x:f>IF(I1094&gt;0,1,0)</x:f>
        <x:v>0</x:v>
      </x:c>
      <x:c r="K1094" t="str">
        <x:f>IF(OR(J1094=0,G1094="",G1094=0),"",I1094/G1094)</x:f>
      </x:c>
      <x:c r="L1094" t="str">
        <x:f>IF(OR(J1094=0,I1094=0,G1094=""),"",G1094/I1094)</x:f>
      </x:c>
      <x:c r="M1094" t="str">
        <x:f>IF(OR(J1094=0,G1094="",H1094="",G1094=0,H1094=0),"",I1094/(G1094*H1094))</x:f>
      </x:c>
      <x:c r="N1094" t="str">
        <x:f>IF(K1094="","",K1094/_xlfn.MAXIFS($K:$K,$E:$E,E1094))</x:f>
      </x:c>
      <x:c r="O1094" t="str">
        <x:f>IF(M1094="","",M1094/_xlfn.MAXIFS($M:$M,$E:$E,E1094))</x:f>
      </x:c>
      <x:c r="P1094" t="str">
        <x:f>IF(OR(N1094="",O1094=""),"",SQRT(N1094*O1094))</x:f>
      </x:c>
      <x:c r="Q1094" t="str">
        <x:f>IF(OR(N1094="",O1094=""),"",N1094^0.7*O1094^0.3)</x:f>
      </x:c>
      <x:c r="R1094" t="str">
        <x:f>IF(OR(N1094="",O1094=""),"",N1094^0.3*O1094^0.7)</x:f>
      </x:c>
    </x:row>
    <x:row r="1095" s="14" customFormat="1">
      <x:c r="A1095" t="inlineStr">
        <x:is>
          <x:t xml:space="preserve">anthropic|claude-haiku-5-5|medium|yes|fallback-na|aa-v4.3.2|snapshot-2026-10-16</x:t>
        </x:is>
      </x:c>
      <x:c r="B1095" t="inlineStr">
        <x:is>
          <x:t xml:space="preserve">anthropic|claude-haiku-5-5|medium|yes|fallback-na</x:t>
        </x:is>
      </x:c>
      <x:c r="C1095" t="inlineStr">
        <x:is>
          <x:t xml:space="preserve">AA|v4.3.2</x:t>
        </x:is>
      </x:c>
      <x:c r="D1095" t="n">
        <x:v>138</x:v>
      </x:c>
      <x:c r="E1095" t="n">
        <x:v>45</x:v>
      </x:c>
      <x:c r="F1095" t="n">
        <x:f>INDEX(Run_Metrics!$F:$F,D1095)</x:f>
        <x:v>34</x:v>
      </x:c>
      <x:c r="G1095" t="n">
        <x:f>INDEX(Run_Metrics!$G:$G,D1095)</x:f>
        <x:v>0.05</x:v>
      </x:c>
      <x:c r="H1095" t="str">
        <x:f>INDEX(Run_Metrics!$I:$I,D1095)</x:f>
      </x:c>
      <x:c r="I1095" t="n">
        <x:f>IF(F1095="","",F1095-(E1095-1))</x:f>
        <x:v>-10</x:v>
      </x:c>
      <x:c r="J1095" t="n">
        <x:f>IF(I1095&gt;0,1,0)</x:f>
        <x:v>0</x:v>
      </x:c>
      <x:c r="K1095" t="str">
        <x:f>IF(OR(J1095=0,G1095="",G1095=0),"",I1095/G1095)</x:f>
      </x:c>
      <x:c r="L1095" t="str">
        <x:f>IF(OR(J1095=0,I1095=0,G1095=""),"",G1095/I1095)</x:f>
      </x:c>
      <x:c r="M1095" t="str">
        <x:f>IF(OR(J1095=0,G1095="",H1095="",G1095=0,H1095=0),"",I1095/(G1095*H1095))</x:f>
      </x:c>
      <x:c r="N1095" t="str">
        <x:f>IF(K1095="","",K1095/_xlfn.MAXIFS($K:$K,$E:$E,E1095))</x:f>
      </x:c>
      <x:c r="O1095" t="str">
        <x:f>IF(M1095="","",M1095/_xlfn.MAXIFS($M:$M,$E:$E,E1095))</x:f>
      </x:c>
      <x:c r="P1095" t="str">
        <x:f>IF(OR(N1095="",O1095=""),"",SQRT(N1095*O1095))</x:f>
      </x:c>
      <x:c r="Q1095" t="str">
        <x:f>IF(OR(N1095="",O1095=""),"",N1095^0.7*O1095^0.3)</x:f>
      </x:c>
      <x:c r="R1095" t="str">
        <x:f>IF(OR(N1095="",O1095=""),"",N1095^0.3*O1095^0.7)</x:f>
      </x:c>
    </x:row>
    <x:row r="1096" s="14" customFormat="1">
      <x:c r="A1096" t="inlineStr">
        <x:is>
          <x:t xml:space="preserve">anthropic|claude-haiku-5-5|medium|yes|fallback-na|aa-v4.3.2|snapshot-2026-10-16</x:t>
        </x:is>
      </x:c>
      <x:c r="B1096" t="inlineStr">
        <x:is>
          <x:t xml:space="preserve">anthropic|claude-haiku-5-5|medium|yes|fallback-na</x:t>
        </x:is>
      </x:c>
      <x:c r="C1096" t="inlineStr">
        <x:is>
          <x:t xml:space="preserve">AA|v4.3.2</x:t>
        </x:is>
      </x:c>
      <x:c r="D1096" t="n">
        <x:v>138</x:v>
      </x:c>
      <x:c r="E1096" t="n">
        <x:v>50</x:v>
      </x:c>
      <x:c r="F1096" t="n">
        <x:f>INDEX(Run_Metrics!$F:$F,D1096)</x:f>
        <x:v>34</x:v>
      </x:c>
      <x:c r="G1096" t="n">
        <x:f>INDEX(Run_Metrics!$G:$G,D1096)</x:f>
        <x:v>0.05</x:v>
      </x:c>
      <x:c r="H1096" t="str">
        <x:f>INDEX(Run_Metrics!$I:$I,D1096)</x:f>
      </x:c>
      <x:c r="I1096" t="n">
        <x:f>IF(F1096="","",F1096-(E1096-1))</x:f>
        <x:v>-15</x:v>
      </x:c>
      <x:c r="J1096" t="n">
        <x:f>IF(I1096&gt;0,1,0)</x:f>
        <x:v>0</x:v>
      </x:c>
      <x:c r="K1096" t="str">
        <x:f>IF(OR(J1096=0,G1096="",G1096=0),"",I1096/G1096)</x:f>
      </x:c>
      <x:c r="L1096" t="str">
        <x:f>IF(OR(J1096=0,I1096=0,G1096=""),"",G1096/I1096)</x:f>
      </x:c>
      <x:c r="M1096" t="str">
        <x:f>IF(OR(J1096=0,G1096="",H1096="",G1096=0,H1096=0),"",I1096/(G1096*H1096))</x:f>
      </x:c>
      <x:c r="N1096" t="str">
        <x:f>IF(K1096="","",K1096/_xlfn.MAXIFS($K:$K,$E:$E,E1096))</x:f>
      </x:c>
      <x:c r="O1096" t="str">
        <x:f>IF(M1096="","",M1096/_xlfn.MAXIFS($M:$M,$E:$E,E1096))</x:f>
      </x:c>
      <x:c r="P1096" t="str">
        <x:f>IF(OR(N1096="",O1096=""),"",SQRT(N1096*O1096))</x:f>
      </x:c>
      <x:c r="Q1096" t="str">
        <x:f>IF(OR(N1096="",O1096=""),"",N1096^0.7*O1096^0.3)</x:f>
      </x:c>
      <x:c r="R1096" t="str">
        <x:f>IF(OR(N1096="",O1096=""),"",N1096^0.3*O1096^0.7)</x:f>
      </x:c>
    </x:row>
    <x:row r="1097" s="14" customFormat="1">
      <x:c r="A1097" t="inlineStr">
        <x:is>
          <x:t xml:space="preserve">anthropic|claude-haiku-5-5|medium|yes|fallback-na|aa-v4.3.2|snapshot-2026-10-16</x:t>
        </x:is>
      </x:c>
      <x:c r="B1097" t="inlineStr">
        <x:is>
          <x:t xml:space="preserve">anthropic|claude-haiku-5-5|medium|yes|fallback-na</x:t>
        </x:is>
      </x:c>
      <x:c r="C1097" t="inlineStr">
        <x:is>
          <x:t xml:space="preserve">AA|v4.3.2</x:t>
        </x:is>
      </x:c>
      <x:c r="D1097" t="n">
        <x:v>138</x:v>
      </x:c>
      <x:c r="E1097" t="n">
        <x:v>60</x:v>
      </x:c>
      <x:c r="F1097" t="n">
        <x:f>INDEX(Run_Metrics!$F:$F,D1097)</x:f>
        <x:v>34</x:v>
      </x:c>
      <x:c r="G1097" t="n">
        <x:f>INDEX(Run_Metrics!$G:$G,D1097)</x:f>
        <x:v>0.05</x:v>
      </x:c>
      <x:c r="H1097" t="str">
        <x:f>INDEX(Run_Metrics!$I:$I,D1097)</x:f>
      </x:c>
      <x:c r="I1097" t="n">
        <x:f>IF(F1097="","",F1097-(E1097-1))</x:f>
        <x:v>-25</x:v>
      </x:c>
      <x:c r="J1097" t="n">
        <x:f>IF(I1097&gt;0,1,0)</x:f>
        <x:v>0</x:v>
      </x:c>
      <x:c r="K1097" t="str">
        <x:f>IF(OR(J1097=0,G1097="",G1097=0),"",I1097/G1097)</x:f>
      </x:c>
      <x:c r="L1097" t="str">
        <x:f>IF(OR(J1097=0,I1097=0,G1097=""),"",G1097/I1097)</x:f>
      </x:c>
      <x:c r="M1097" t="str">
        <x:f>IF(OR(J1097=0,G1097="",H1097="",G1097=0,H1097=0),"",I1097/(G1097*H1097))</x:f>
      </x:c>
      <x:c r="N1097" t="str">
        <x:f>IF(K1097="","",K1097/_xlfn.MAXIFS($K:$K,$E:$E,E1097))</x:f>
      </x:c>
      <x:c r="O1097" t="str">
        <x:f>IF(M1097="","",M1097/_xlfn.MAXIFS($M:$M,$E:$E,E1097))</x:f>
      </x:c>
      <x:c r="P1097" t="str">
        <x:f>IF(OR(N1097="",O1097=""),"",SQRT(N1097*O1097))</x:f>
      </x:c>
      <x:c r="Q1097" t="str">
        <x:f>IF(OR(N1097="",O1097=""),"",N1097^0.7*O1097^0.3)</x:f>
      </x:c>
      <x:c r="R1097" t="str">
        <x:f>IF(OR(N1097="",O1097=""),"",N1097^0.3*O1097^0.7)</x:f>
      </x:c>
    </x:row>
    <x:row r="1098" s="14" customFormat="1">
      <x:c r="A1098" t="inlineStr">
        <x:is>
          <x:t xml:space="preserve">anthropic|claude-haiku-5-5|low|yes|fallback-na|aa-v4.3.2|snapshot-2026-10-16</x:t>
        </x:is>
      </x:c>
      <x:c r="B1098" t="inlineStr">
        <x:is>
          <x:t xml:space="preserve">anthropic|claude-haiku-5-5|low|yes|fallback-na</x:t>
        </x:is>
      </x:c>
      <x:c r="C1098" t="inlineStr">
        <x:is>
          <x:t xml:space="preserve">AA|v4.3.2</x:t>
        </x:is>
      </x:c>
      <x:c r="D1098" t="n">
        <x:v>139</x:v>
      </x:c>
      <x:c r="E1098" t="n">
        <x:v>10</x:v>
      </x:c>
      <x:c r="F1098" t="n">
        <x:f>INDEX(Run_Metrics!$F:$F,D1098)</x:f>
        <x:v>29</x:v>
      </x:c>
      <x:c r="G1098" t="n">
        <x:f>INDEX(Run_Metrics!$G:$G,D1098)</x:f>
        <x:v>0.02</x:v>
      </x:c>
      <x:c r="H1098" t="str">
        <x:f>INDEX(Run_Metrics!$I:$I,D1098)</x:f>
      </x:c>
      <x:c r="I1098" t="n">
        <x:f>IF(F1098="","",F1098-(E1098-1))</x:f>
        <x:v>20</x:v>
      </x:c>
      <x:c r="J1098" t="n">
        <x:f>IF(I1098&gt;0,1,0)</x:f>
        <x:v>1</x:v>
      </x:c>
      <x:c r="K1098" t="n">
        <x:f>IF(OR(J1098=0,G1098="",G1098=0),"",I1098/G1098)</x:f>
        <x:v>1000</x:v>
      </x:c>
      <x:c r="L1098" t="n">
        <x:f>IF(OR(J1098=0,I1098=0,G1098=""),"",G1098/I1098)</x:f>
        <x:v>0.001</x:v>
      </x:c>
      <x:c r="M1098" t="str">
        <x:f>IF(OR(J1098=0,G1098="",H1098="",G1098=0,H1098=0),"",I1098/(G1098*H1098))</x:f>
      </x:c>
      <x:c r="N1098" t="n">
        <x:f>IF(K1098="","",K1098/_xlfn.MAXIFS($K:$K,$E:$E,E1098))</x:f>
        <x:v>0.34615384615384615</x:v>
      </x:c>
      <x:c r="O1098" t="str">
        <x:f>IF(M1098="","",M1098/_xlfn.MAXIFS($M:$M,$E:$E,E1098))</x:f>
      </x:c>
      <x:c r="P1098" t="str">
        <x:f>IF(OR(N1098="",O1098=""),"",SQRT(N1098*O1098))</x:f>
      </x:c>
      <x:c r="Q1098" t="str">
        <x:f>IF(OR(N1098="",O1098=""),"",N1098^0.7*O1098^0.3)</x:f>
      </x:c>
      <x:c r="R1098" t="str">
        <x:f>IF(OR(N1098="",O1098=""),"",N1098^0.3*O1098^0.7)</x:f>
      </x:c>
    </x:row>
    <x:row r="1099" s="14" customFormat="1">
      <x:c r="A1099" t="inlineStr">
        <x:is>
          <x:t xml:space="preserve">anthropic|claude-haiku-5-5|low|yes|fallback-na|aa-v4.3.2|snapshot-2026-10-16</x:t>
        </x:is>
      </x:c>
      <x:c r="B1099" t="inlineStr">
        <x:is>
          <x:t xml:space="preserve">anthropic|claude-haiku-5-5|low|yes|fallback-na</x:t>
        </x:is>
      </x:c>
      <x:c r="C1099" t="inlineStr">
        <x:is>
          <x:t xml:space="preserve">AA|v4.3.2</x:t>
        </x:is>
      </x:c>
      <x:c r="D1099" t="n">
        <x:v>139</x:v>
      </x:c>
      <x:c r="E1099" t="n">
        <x:v>20</x:v>
      </x:c>
      <x:c r="F1099" t="n">
        <x:f>INDEX(Run_Metrics!$F:$F,D1099)</x:f>
        <x:v>29</x:v>
      </x:c>
      <x:c r="G1099" t="n">
        <x:f>INDEX(Run_Metrics!$G:$G,D1099)</x:f>
        <x:v>0.02</x:v>
      </x:c>
      <x:c r="H1099" t="str">
        <x:f>INDEX(Run_Metrics!$I:$I,D1099)</x:f>
      </x:c>
      <x:c r="I1099" t="n">
        <x:f>IF(F1099="","",F1099-(E1099-1))</x:f>
        <x:v>10</x:v>
      </x:c>
      <x:c r="J1099" t="n">
        <x:f>IF(I1099&gt;0,1,0)</x:f>
        <x:v>1</x:v>
      </x:c>
      <x:c r="K1099" t="n">
        <x:f>IF(OR(J1099=0,G1099="",G1099=0),"",I1099/G1099)</x:f>
        <x:v>500</x:v>
      </x:c>
      <x:c r="L1099" t="n">
        <x:f>IF(OR(J1099=0,I1099=0,G1099=""),"",G1099/I1099)</x:f>
        <x:v>0.002</x:v>
      </x:c>
      <x:c r="M1099" t="str">
        <x:f>IF(OR(J1099=0,G1099="",H1099="",G1099=0,H1099=0),"",I1099/(G1099*H1099))</x:f>
      </x:c>
      <x:c r="N1099" t="n">
        <x:f>IF(K1099="","",K1099/_xlfn.MAXIFS($K:$K,$E:$E,E1099))</x:f>
        <x:v>0.7499999999999999</x:v>
      </x:c>
      <x:c r="O1099" t="str">
        <x:f>IF(M1099="","",M1099/_xlfn.MAXIFS($M:$M,$E:$E,E1099))</x:f>
      </x:c>
      <x:c r="P1099" t="str">
        <x:f>IF(OR(N1099="",O1099=""),"",SQRT(N1099*O1099))</x:f>
      </x:c>
      <x:c r="Q1099" t="str">
        <x:f>IF(OR(N1099="",O1099=""),"",N1099^0.7*O1099^0.3)</x:f>
      </x:c>
      <x:c r="R1099" t="str">
        <x:f>IF(OR(N1099="",O1099=""),"",N1099^0.3*O1099^0.7)</x:f>
      </x:c>
    </x:row>
    <x:row r="1100" s="14" customFormat="1">
      <x:c r="A1100" t="inlineStr">
        <x:is>
          <x:t xml:space="preserve">anthropic|claude-haiku-5-5|low|yes|fallback-na|aa-v4.3.2|snapshot-2026-10-16</x:t>
        </x:is>
      </x:c>
      <x:c r="B1100" t="inlineStr">
        <x:is>
          <x:t xml:space="preserve">anthropic|claude-haiku-5-5|low|yes|fallback-na</x:t>
        </x:is>
      </x:c>
      <x:c r="C1100" t="inlineStr">
        <x:is>
          <x:t xml:space="preserve">AA|v4.3.2</x:t>
        </x:is>
      </x:c>
      <x:c r="D1100" t="n">
        <x:v>139</x:v>
      </x:c>
      <x:c r="E1100" t="n">
        <x:v>30</x:v>
      </x:c>
      <x:c r="F1100" t="n">
        <x:f>INDEX(Run_Metrics!$F:$F,D1100)</x:f>
        <x:v>29</x:v>
      </x:c>
      <x:c r="G1100" t="n">
        <x:f>INDEX(Run_Metrics!$G:$G,D1100)</x:f>
        <x:v>0.02</x:v>
      </x:c>
      <x:c r="H1100" t="str">
        <x:f>INDEX(Run_Metrics!$I:$I,D1100)</x:f>
      </x:c>
      <x:c r="I1100" t="n">
        <x:f>IF(F1100="","",F1100-(E1100-1))</x:f>
        <x:v>0</x:v>
      </x:c>
      <x:c r="J1100" t="n">
        <x:f>IF(I1100&gt;0,1,0)</x:f>
        <x:v>0</x:v>
      </x:c>
      <x:c r="K1100" t="str">
        <x:f>IF(OR(J1100=0,G1100="",G1100=0),"",I1100/G1100)</x:f>
      </x:c>
      <x:c r="L1100" t="str">
        <x:f>IF(OR(J1100=0,I1100=0,G1100=""),"",G1100/I1100)</x:f>
      </x:c>
      <x:c r="M1100" t="str">
        <x:f>IF(OR(J1100=0,G1100="",H1100="",G1100=0,H1100=0),"",I1100/(G1100*H1100))</x:f>
      </x:c>
      <x:c r="N1100" t="str">
        <x:f>IF(K1100="","",K1100/_xlfn.MAXIFS($K:$K,$E:$E,E1100))</x:f>
      </x:c>
      <x:c r="O1100" t="str">
        <x:f>IF(M1100="","",M1100/_xlfn.MAXIFS($M:$M,$E:$E,E1100))</x:f>
      </x:c>
      <x:c r="P1100" t="str">
        <x:f>IF(OR(N1100="",O1100=""),"",SQRT(N1100*O1100))</x:f>
      </x:c>
      <x:c r="Q1100" t="str">
        <x:f>IF(OR(N1100="",O1100=""),"",N1100^0.7*O1100^0.3)</x:f>
      </x:c>
      <x:c r="R1100" t="str">
        <x:f>IF(OR(N1100="",O1100=""),"",N1100^0.3*O1100^0.7)</x:f>
      </x:c>
    </x:row>
    <x:row r="1101" s="14" customFormat="1">
      <x:c r="A1101" t="inlineStr">
        <x:is>
          <x:t xml:space="preserve">anthropic|claude-haiku-5-5|low|yes|fallback-na|aa-v4.3.2|snapshot-2026-10-16</x:t>
        </x:is>
      </x:c>
      <x:c r="B1101" t="inlineStr">
        <x:is>
          <x:t xml:space="preserve">anthropic|claude-haiku-5-5|low|yes|fallback-na</x:t>
        </x:is>
      </x:c>
      <x:c r="C1101" t="inlineStr">
        <x:is>
          <x:t xml:space="preserve">AA|v4.3.2</x:t>
        </x:is>
      </x:c>
      <x:c r="D1101" t="n">
        <x:v>139</x:v>
      </x:c>
      <x:c r="E1101" t="n">
        <x:v>35</x:v>
      </x:c>
      <x:c r="F1101" t="n">
        <x:f>INDEX(Run_Metrics!$F:$F,D1101)</x:f>
        <x:v>29</x:v>
      </x:c>
      <x:c r="G1101" t="n">
        <x:f>INDEX(Run_Metrics!$G:$G,D1101)</x:f>
        <x:v>0.02</x:v>
      </x:c>
      <x:c r="H1101" t="str">
        <x:f>INDEX(Run_Metrics!$I:$I,D1101)</x:f>
      </x:c>
      <x:c r="I1101" t="n">
        <x:f>IF(F1101="","",F1101-(E1101-1))</x:f>
        <x:v>-5</x:v>
      </x:c>
      <x:c r="J1101" t="n">
        <x:f>IF(I1101&gt;0,1,0)</x:f>
        <x:v>0</x:v>
      </x:c>
      <x:c r="K1101" t="str">
        <x:f>IF(OR(J1101=0,G1101="",G1101=0),"",I1101/G1101)</x:f>
      </x:c>
      <x:c r="L1101" t="str">
        <x:f>IF(OR(J1101=0,I1101=0,G1101=""),"",G1101/I1101)</x:f>
      </x:c>
      <x:c r="M1101" t="str">
        <x:f>IF(OR(J1101=0,G1101="",H1101="",G1101=0,H1101=0),"",I1101/(G1101*H1101))</x:f>
      </x:c>
      <x:c r="N1101" t="str">
        <x:f>IF(K1101="","",K1101/_xlfn.MAXIFS($K:$K,$E:$E,E1101))</x:f>
      </x:c>
      <x:c r="O1101" t="str">
        <x:f>IF(M1101="","",M1101/_xlfn.MAXIFS($M:$M,$E:$E,E1101))</x:f>
      </x:c>
      <x:c r="P1101" t="str">
        <x:f>IF(OR(N1101="",O1101=""),"",SQRT(N1101*O1101))</x:f>
      </x:c>
      <x:c r="Q1101" t="str">
        <x:f>IF(OR(N1101="",O1101=""),"",N1101^0.7*O1101^0.3)</x:f>
      </x:c>
      <x:c r="R1101" t="str">
        <x:f>IF(OR(N1101="",O1101=""),"",N1101^0.3*O1101^0.7)</x:f>
      </x:c>
    </x:row>
    <x:row r="1102" s="14" customFormat="1">
      <x:c r="A1102" t="inlineStr">
        <x:is>
          <x:t xml:space="preserve">anthropic|claude-haiku-5-5|low|yes|fallback-na|aa-v4.3.2|snapshot-2026-10-16</x:t>
        </x:is>
      </x:c>
      <x:c r="B1102" t="inlineStr">
        <x:is>
          <x:t xml:space="preserve">anthropic|claude-haiku-5-5|low|yes|fallback-na</x:t>
        </x:is>
      </x:c>
      <x:c r="C1102" t="inlineStr">
        <x:is>
          <x:t xml:space="preserve">AA|v4.3.2</x:t>
        </x:is>
      </x:c>
      <x:c r="D1102" t="n">
        <x:v>139</x:v>
      </x:c>
      <x:c r="E1102" t="n">
        <x:v>40</x:v>
      </x:c>
      <x:c r="F1102" t="n">
        <x:f>INDEX(Run_Metrics!$F:$F,D1102)</x:f>
        <x:v>29</x:v>
      </x:c>
      <x:c r="G1102" t="n">
        <x:f>INDEX(Run_Metrics!$G:$G,D1102)</x:f>
        <x:v>0.02</x:v>
      </x:c>
      <x:c r="H1102" t="str">
        <x:f>INDEX(Run_Metrics!$I:$I,D1102)</x:f>
      </x:c>
      <x:c r="I1102" t="n">
        <x:f>IF(F1102="","",F1102-(E1102-1))</x:f>
        <x:v>-10</x:v>
      </x:c>
      <x:c r="J1102" t="n">
        <x:f>IF(I1102&gt;0,1,0)</x:f>
        <x:v>0</x:v>
      </x:c>
      <x:c r="K1102" t="str">
        <x:f>IF(OR(J1102=0,G1102="",G1102=0),"",I1102/G1102)</x:f>
      </x:c>
      <x:c r="L1102" t="str">
        <x:f>IF(OR(J1102=0,I1102=0,G1102=""),"",G1102/I1102)</x:f>
      </x:c>
      <x:c r="M1102" t="str">
        <x:f>IF(OR(J1102=0,G1102="",H1102="",G1102=0,H1102=0),"",I1102/(G1102*H1102))</x:f>
      </x:c>
      <x:c r="N1102" t="str">
        <x:f>IF(K1102="","",K1102/_xlfn.MAXIFS($K:$K,$E:$E,E1102))</x:f>
      </x:c>
      <x:c r="O1102" t="str">
        <x:f>IF(M1102="","",M1102/_xlfn.MAXIFS($M:$M,$E:$E,E1102))</x:f>
      </x:c>
      <x:c r="P1102" t="str">
        <x:f>IF(OR(N1102="",O1102=""),"",SQRT(N1102*O1102))</x:f>
      </x:c>
      <x:c r="Q1102" t="str">
        <x:f>IF(OR(N1102="",O1102=""),"",N1102^0.7*O1102^0.3)</x:f>
      </x:c>
      <x:c r="R1102" t="str">
        <x:f>IF(OR(N1102="",O1102=""),"",N1102^0.3*O1102^0.7)</x:f>
      </x:c>
    </x:row>
    <x:row r="1103" s="14" customFormat="1">
      <x:c r="A1103" t="inlineStr">
        <x:is>
          <x:t xml:space="preserve">anthropic|claude-haiku-5-5|low|yes|fallback-na|aa-v4.3.2|snapshot-2026-10-16</x:t>
        </x:is>
      </x:c>
      <x:c r="B1103" t="inlineStr">
        <x:is>
          <x:t xml:space="preserve">anthropic|claude-haiku-5-5|low|yes|fallback-na</x:t>
        </x:is>
      </x:c>
      <x:c r="C1103" t="inlineStr">
        <x:is>
          <x:t xml:space="preserve">AA|v4.3.2</x:t>
        </x:is>
      </x:c>
      <x:c r="D1103" t="n">
        <x:v>139</x:v>
      </x:c>
      <x:c r="E1103" t="n">
        <x:v>45</x:v>
      </x:c>
      <x:c r="F1103" t="n">
        <x:f>INDEX(Run_Metrics!$F:$F,D1103)</x:f>
        <x:v>29</x:v>
      </x:c>
      <x:c r="G1103" t="n">
        <x:f>INDEX(Run_Metrics!$G:$G,D1103)</x:f>
        <x:v>0.02</x:v>
      </x:c>
      <x:c r="H1103" t="str">
        <x:f>INDEX(Run_Metrics!$I:$I,D1103)</x:f>
      </x:c>
      <x:c r="I1103" t="n">
        <x:f>IF(F1103="","",F1103-(E1103-1))</x:f>
        <x:v>-15</x:v>
      </x:c>
      <x:c r="J1103" t="n">
        <x:f>IF(I1103&gt;0,1,0)</x:f>
        <x:v>0</x:v>
      </x:c>
      <x:c r="K1103" t="str">
        <x:f>IF(OR(J1103=0,G1103="",G1103=0),"",I1103/G1103)</x:f>
      </x:c>
      <x:c r="L1103" t="str">
        <x:f>IF(OR(J1103=0,I1103=0,G1103=""),"",G1103/I1103)</x:f>
      </x:c>
      <x:c r="M1103" t="str">
        <x:f>IF(OR(J1103=0,G1103="",H1103="",G1103=0,H1103=0),"",I1103/(G1103*H1103))</x:f>
      </x:c>
      <x:c r="N1103" t="str">
        <x:f>IF(K1103="","",K1103/_xlfn.MAXIFS($K:$K,$E:$E,E1103))</x:f>
      </x:c>
      <x:c r="O1103" t="str">
        <x:f>IF(M1103="","",M1103/_xlfn.MAXIFS($M:$M,$E:$E,E1103))</x:f>
      </x:c>
      <x:c r="P1103" t="str">
        <x:f>IF(OR(N1103="",O1103=""),"",SQRT(N1103*O1103))</x:f>
      </x:c>
      <x:c r="Q1103" t="str">
        <x:f>IF(OR(N1103="",O1103=""),"",N1103^0.7*O1103^0.3)</x:f>
      </x:c>
      <x:c r="R1103" t="str">
        <x:f>IF(OR(N1103="",O1103=""),"",N1103^0.3*O1103^0.7)</x:f>
      </x:c>
    </x:row>
    <x:row r="1104" s="14" customFormat="1">
      <x:c r="A1104" t="inlineStr">
        <x:is>
          <x:t xml:space="preserve">anthropic|claude-haiku-5-5|low|yes|fallback-na|aa-v4.3.2|snapshot-2026-10-16</x:t>
        </x:is>
      </x:c>
      <x:c r="B1104" t="inlineStr">
        <x:is>
          <x:t xml:space="preserve">anthropic|claude-haiku-5-5|low|yes|fallback-na</x:t>
        </x:is>
      </x:c>
      <x:c r="C1104" t="inlineStr">
        <x:is>
          <x:t xml:space="preserve">AA|v4.3.2</x:t>
        </x:is>
      </x:c>
      <x:c r="D1104" t="n">
        <x:v>139</x:v>
      </x:c>
      <x:c r="E1104" t="n">
        <x:v>50</x:v>
      </x:c>
      <x:c r="F1104" t="n">
        <x:f>INDEX(Run_Metrics!$F:$F,D1104)</x:f>
        <x:v>29</x:v>
      </x:c>
      <x:c r="G1104" t="n">
        <x:f>INDEX(Run_Metrics!$G:$G,D1104)</x:f>
        <x:v>0.02</x:v>
      </x:c>
      <x:c r="H1104" t="str">
        <x:f>INDEX(Run_Metrics!$I:$I,D1104)</x:f>
      </x:c>
      <x:c r="I1104" t="n">
        <x:f>IF(F1104="","",F1104-(E1104-1))</x:f>
        <x:v>-20</x:v>
      </x:c>
      <x:c r="J1104" t="n">
        <x:f>IF(I1104&gt;0,1,0)</x:f>
        <x:v>0</x:v>
      </x:c>
      <x:c r="K1104" t="str">
        <x:f>IF(OR(J1104=0,G1104="",G1104=0),"",I1104/G1104)</x:f>
      </x:c>
      <x:c r="L1104" t="str">
        <x:f>IF(OR(J1104=0,I1104=0,G1104=""),"",G1104/I1104)</x:f>
      </x:c>
      <x:c r="M1104" t="str">
        <x:f>IF(OR(J1104=0,G1104="",H1104="",G1104=0,H1104=0),"",I1104/(G1104*H1104))</x:f>
      </x:c>
      <x:c r="N1104" t="str">
        <x:f>IF(K1104="","",K1104/_xlfn.MAXIFS($K:$K,$E:$E,E1104))</x:f>
      </x:c>
      <x:c r="O1104" t="str">
        <x:f>IF(M1104="","",M1104/_xlfn.MAXIFS($M:$M,$E:$E,E1104))</x:f>
      </x:c>
      <x:c r="P1104" t="str">
        <x:f>IF(OR(N1104="",O1104=""),"",SQRT(N1104*O1104))</x:f>
      </x:c>
      <x:c r="Q1104" t="str">
        <x:f>IF(OR(N1104="",O1104=""),"",N1104^0.7*O1104^0.3)</x:f>
      </x:c>
      <x:c r="R1104" t="str">
        <x:f>IF(OR(N1104="",O1104=""),"",N1104^0.3*O1104^0.7)</x:f>
      </x:c>
    </x:row>
    <x:row r="1105" s="14" customFormat="1">
      <x:c r="A1105" t="inlineStr">
        <x:is>
          <x:t xml:space="preserve">anthropic|claude-haiku-5-5|low|yes|fallback-na|aa-v4.3.2|snapshot-2026-10-16</x:t>
        </x:is>
      </x:c>
      <x:c r="B1105" t="inlineStr">
        <x:is>
          <x:t xml:space="preserve">anthropic|claude-haiku-5-5|low|yes|fallback-na</x:t>
        </x:is>
      </x:c>
      <x:c r="C1105" t="inlineStr">
        <x:is>
          <x:t xml:space="preserve">AA|v4.3.2</x:t>
        </x:is>
      </x:c>
      <x:c r="D1105" t="n">
        <x:v>139</x:v>
      </x:c>
      <x:c r="E1105" t="n">
        <x:v>60</x:v>
      </x:c>
      <x:c r="F1105" t="n">
        <x:f>INDEX(Run_Metrics!$F:$F,D1105)</x:f>
        <x:v>29</x:v>
      </x:c>
      <x:c r="G1105" t="n">
        <x:f>INDEX(Run_Metrics!$G:$G,D1105)</x:f>
        <x:v>0.02</x:v>
      </x:c>
      <x:c r="H1105" t="str">
        <x:f>INDEX(Run_Metrics!$I:$I,D1105)</x:f>
      </x:c>
      <x:c r="I1105" t="n">
        <x:f>IF(F1105="","",F1105-(E1105-1))</x:f>
        <x:v>-30</x:v>
      </x:c>
      <x:c r="J1105" t="n">
        <x:f>IF(I1105&gt;0,1,0)</x:f>
        <x:v>0</x:v>
      </x:c>
      <x:c r="K1105" t="str">
        <x:f>IF(OR(J1105=0,G1105="",G1105=0),"",I1105/G1105)</x:f>
      </x:c>
      <x:c r="L1105" t="str">
        <x:f>IF(OR(J1105=0,I1105=0,G1105=""),"",G1105/I1105)</x:f>
      </x:c>
      <x:c r="M1105" t="str">
        <x:f>IF(OR(J1105=0,G1105="",H1105="",G1105=0,H1105=0),"",I1105/(G1105*H1105))</x:f>
      </x:c>
      <x:c r="N1105" t="str">
        <x:f>IF(K1105="","",K1105/_xlfn.MAXIFS($K:$K,$E:$E,E1105))</x:f>
      </x:c>
      <x:c r="O1105" t="str">
        <x:f>IF(M1105="","",M1105/_xlfn.MAXIFS($M:$M,$E:$E,E1105))</x:f>
      </x:c>
      <x:c r="P1105" t="str">
        <x:f>IF(OR(N1105="",O1105=""),"",SQRT(N1105*O1105))</x:f>
      </x:c>
      <x:c r="Q1105" t="str">
        <x:f>IF(OR(N1105="",O1105=""),"",N1105^0.7*O1105^0.3)</x:f>
      </x:c>
      <x:c r="R1105" t="str">
        <x:f>IF(OR(N1105="",O1105=""),"",N1105^0.3*O1105^0.7)</x:f>
      </x:c>
    </x:row>
    <x:row r="1106">
      <x:c r="A1106" t="inlineStr">
        <x:is>
          <x:t xml:space="preserve">google|gemini-3.8-flash|low|reasoning|fallback-na|aa-v4.3.2|snapshot-2026-10-17</x:t>
        </x:is>
      </x:c>
      <x:c r="B1106" t="inlineStr">
        <x:is>
          <x:t xml:space="preserve">google|gemini-3.8-flash|low|reasoning|fallback-na</x:t>
        </x:is>
      </x:c>
      <x:c r="C1106" t="inlineStr">
        <x:is>
          <x:t xml:space="preserve">AA|v4.3.2</x:t>
        </x:is>
      </x:c>
      <x:c r="D1106" t="n">
        <x:v>140</x:v>
      </x:c>
      <x:c r="E1106" t="n">
        <x:v>20</x:v>
      </x:c>
      <x:c r="F1106" t="n">
        <x:f>INDEX(Run_Metrics!$F:$F,D1106)</x:f>
        <x:v>33</x:v>
      </x:c>
      <x:c r="G1106" t="str">
        <x:f>INDEX(Run_Metrics!$G:$G,D1106)</x:f>
      </x:c>
      <x:c r="H1106" t="str">
        <x:f>INDEX(Run_Metrics!$I:$I,D1106)</x:f>
      </x:c>
      <x:c r="I1106" t="n">
        <x:f>IF(F1106="","",F1106-(E1106-1))</x:f>
        <x:v>14</x:v>
      </x:c>
      <x:c r="J1106" t="n">
        <x:f>IF(I1106&gt;0,1,0)</x:f>
        <x:v>1</x:v>
      </x:c>
      <x:c r="K1106" t="str">
        <x:f>IF(OR(J1106=0,G1106="",G1106=0),"",I1106/G1106)</x:f>
      </x:c>
      <x:c r="L1106" t="str">
        <x:f>IF(OR(J1106=0,I1106=0,G1106=""),"",G1106/I1106)</x:f>
      </x:c>
      <x:c r="M1106" t="str">
        <x:f>IF(OR(J1106=0,G1106="",H1106="",G1106=0,H1106=0),"",I1106/(G1106*H1106))</x:f>
      </x:c>
      <x:c r="N1106" t="str">
        <x:f>IF(K1106="","",K1106/_xlfn.MAXIFS($K:$K,$E:$E,E1106))</x:f>
      </x:c>
      <x:c r="O1106" t="str">
        <x:f>IF(M1106="","",M1106/_xlfn.MAXIFS($M:$M,$E:$E,E1106))</x:f>
      </x:c>
      <x:c r="P1106" t="str">
        <x:f>IF(OR(N1106="",O1106=""),"",SQRT(N1106*O1106))</x:f>
      </x:c>
      <x:c r="Q1106" t="str">
        <x:f>IF(OR(N1106="",O1106=""),"",N1106^0.7*O1106^0.3)</x:f>
      </x:c>
      <x:c r="R1106" t="str">
        <x:f>IF(OR(N1106="",O1106=""),"",N1106^0.3*O1106^0.7)</x:f>
      </x:c>
    </x:row>
    <x:row r="1107">
      <x:c r="A1107" t="inlineStr">
        <x:is>
          <x:t xml:space="preserve">google|gemini-3.8-flash|low|reasoning|fallback-na|aa-v4.3.2|snapshot-2026-10-17</x:t>
        </x:is>
      </x:c>
      <x:c r="B1107" t="inlineStr">
        <x:is>
          <x:t xml:space="preserve">google|gemini-3.8-flash|low|reasoning|fallback-na</x:t>
        </x:is>
      </x:c>
      <x:c r="C1107" t="inlineStr">
        <x:is>
          <x:t xml:space="preserve">AA|v4.3.2</x:t>
        </x:is>
      </x:c>
      <x:c r="D1107" t="n">
        <x:v>140</x:v>
      </x:c>
      <x:c r="E1107" t="n">
        <x:v>30</x:v>
      </x:c>
      <x:c r="F1107" t="n">
        <x:f>INDEX(Run_Metrics!$F:$F,D1107)</x:f>
        <x:v>33</x:v>
      </x:c>
      <x:c r="G1107" t="str">
        <x:f>INDEX(Run_Metrics!$G:$G,D1107)</x:f>
      </x:c>
      <x:c r="H1107" t="str">
        <x:f>INDEX(Run_Metrics!$I:$I,D1107)</x:f>
      </x:c>
      <x:c r="I1107" t="n">
        <x:f>IF(F1107="","",F1107-(E1107-1))</x:f>
        <x:v>4</x:v>
      </x:c>
      <x:c r="J1107" t="n">
        <x:f>IF(I1107&gt;0,1,0)</x:f>
        <x:v>1</x:v>
      </x:c>
      <x:c r="K1107" t="str">
        <x:f>IF(OR(J1107=0,G1107="",G1107=0),"",I1107/G1107)</x:f>
      </x:c>
      <x:c r="L1107" t="str">
        <x:f>IF(OR(J1107=0,I1107=0,G1107=""),"",G1107/I1107)</x:f>
      </x:c>
      <x:c r="M1107" t="str">
        <x:f>IF(OR(J1107=0,G1107="",H1107="",G1107=0,H1107=0),"",I1107/(G1107*H1107))</x:f>
      </x:c>
      <x:c r="N1107" t="str">
        <x:f>IF(K1107="","",K1107/_xlfn.MAXIFS($K:$K,$E:$E,E1107))</x:f>
      </x:c>
      <x:c r="O1107" t="str">
        <x:f>IF(M1107="","",M1107/_xlfn.MAXIFS($M:$M,$E:$E,E1107))</x:f>
      </x:c>
      <x:c r="P1107" t="str">
        <x:f>IF(OR(N1107="",O1107=""),"",SQRT(N1107*O1107))</x:f>
      </x:c>
      <x:c r="Q1107" t="str">
        <x:f>IF(OR(N1107="",O1107=""),"",N1107^0.7*O1107^0.3)</x:f>
      </x:c>
      <x:c r="R1107" t="str">
        <x:f>IF(OR(N1107="",O1107=""),"",N1107^0.3*O1107^0.7)</x:f>
      </x:c>
    </x:row>
    <x:row r="1108">
      <x:c r="A1108" t="inlineStr">
        <x:is>
          <x:t xml:space="preserve">google|gemini-3.8-flash|low|reasoning|fallback-na|aa-v4.3.2|snapshot-2026-10-17</x:t>
        </x:is>
      </x:c>
      <x:c r="B1108" t="inlineStr">
        <x:is>
          <x:t xml:space="preserve">google|gemini-3.8-flash|low|reasoning|fallback-na</x:t>
        </x:is>
      </x:c>
      <x:c r="C1108" t="inlineStr">
        <x:is>
          <x:t xml:space="preserve">AA|v4.3.2</x:t>
        </x:is>
      </x:c>
      <x:c r="D1108" t="n">
        <x:v>140</x:v>
      </x:c>
      <x:c r="E1108" t="n">
        <x:v>40</x:v>
      </x:c>
      <x:c r="F1108" t="n">
        <x:f>INDEX(Run_Metrics!$F:$F,D1108)</x:f>
        <x:v>33</x:v>
      </x:c>
      <x:c r="G1108" t="str">
        <x:f>INDEX(Run_Metrics!$G:$G,D1108)</x:f>
      </x:c>
      <x:c r="H1108" t="str">
        <x:f>INDEX(Run_Metrics!$I:$I,D1108)</x:f>
      </x:c>
      <x:c r="I1108" t="n">
        <x:f>IF(F1108="","",F1108-(E1108-1))</x:f>
        <x:v>-6</x:v>
      </x:c>
      <x:c r="J1108" t="n">
        <x:f>IF(I1108&gt;0,1,0)</x:f>
        <x:v>0</x:v>
      </x:c>
      <x:c r="K1108" t="str">
        <x:f>IF(OR(J1108=0,G1108="",G1108=0),"",I1108/G1108)</x:f>
      </x:c>
      <x:c r="L1108" t="str">
        <x:f>IF(OR(J1108=0,I1108=0,G1108=""),"",G1108/I1108)</x:f>
      </x:c>
      <x:c r="M1108" t="str">
        <x:f>IF(OR(J1108=0,G1108="",H1108="",G1108=0,H1108=0),"",I1108/(G1108*H1108))</x:f>
      </x:c>
      <x:c r="N1108" t="str">
        <x:f>IF(K1108="","",K1108/_xlfn.MAXIFS($K:$K,$E:$E,E1108))</x:f>
      </x:c>
      <x:c r="O1108" t="str">
        <x:f>IF(M1108="","",M1108/_xlfn.MAXIFS($M:$M,$E:$E,E1108))</x:f>
      </x:c>
      <x:c r="P1108" t="str">
        <x:f>IF(OR(N1108="",O1108=""),"",SQRT(N1108*O1108))</x:f>
      </x:c>
      <x:c r="Q1108" t="str">
        <x:f>IF(OR(N1108="",O1108=""),"",N1108^0.7*O1108^0.3)</x:f>
      </x:c>
      <x:c r="R1108" t="str">
        <x:f>IF(OR(N1108="",O1108=""),"",N1108^0.3*O1108^0.7)</x:f>
      </x:c>
    </x:row>
    <x:row r="1109">
      <x:c r="A1109" t="inlineStr">
        <x:is>
          <x:t xml:space="preserve">google|gemini-3.8-flash|low|reasoning|fallback-na|aa-v4.3.2|snapshot-2026-10-17</x:t>
        </x:is>
      </x:c>
      <x:c r="B1109" t="inlineStr">
        <x:is>
          <x:t xml:space="preserve">google|gemini-3.8-flash|low|reasoning|fallback-na</x:t>
        </x:is>
      </x:c>
      <x:c r="C1109" t="inlineStr">
        <x:is>
          <x:t xml:space="preserve">AA|v4.3.2</x:t>
        </x:is>
      </x:c>
      <x:c r="D1109" t="n">
        <x:v>140</x:v>
      </x:c>
      <x:c r="E1109" t="n">
        <x:v>50</x:v>
      </x:c>
      <x:c r="F1109" t="n">
        <x:f>INDEX(Run_Metrics!$F:$F,D1109)</x:f>
        <x:v>33</x:v>
      </x:c>
      <x:c r="G1109" t="str">
        <x:f>INDEX(Run_Metrics!$G:$G,D1109)</x:f>
      </x:c>
      <x:c r="H1109" t="str">
        <x:f>INDEX(Run_Metrics!$I:$I,D1109)</x:f>
      </x:c>
      <x:c r="I1109" t="n">
        <x:f>IF(F1109="","",F1109-(E1109-1))</x:f>
        <x:v>-16</x:v>
      </x:c>
      <x:c r="J1109" t="n">
        <x:f>IF(I1109&gt;0,1,0)</x:f>
        <x:v>0</x:v>
      </x:c>
      <x:c r="K1109" t="str">
        <x:f>IF(OR(J1109=0,G1109="",G1109=0),"",I1109/G1109)</x:f>
      </x:c>
      <x:c r="L1109" t="str">
        <x:f>IF(OR(J1109=0,I1109=0,G1109=""),"",G1109/I1109)</x:f>
      </x:c>
      <x:c r="M1109" t="str">
        <x:f>IF(OR(J1109=0,G1109="",H1109="",G1109=0,H1109=0),"",I1109/(G1109*H1109))</x:f>
      </x:c>
      <x:c r="N1109" t="str">
        <x:f>IF(K1109="","",K1109/_xlfn.MAXIFS($K:$K,$E:$E,E1109))</x:f>
      </x:c>
      <x:c r="O1109" t="str">
        <x:f>IF(M1109="","",M1109/_xlfn.MAXIFS($M:$M,$E:$E,E1109))</x:f>
      </x:c>
      <x:c r="P1109" t="str">
        <x:f>IF(OR(N1109="",O1109=""),"",SQRT(N1109*O1109))</x:f>
      </x:c>
      <x:c r="Q1109" t="str">
        <x:f>IF(OR(N1109="",O1109=""),"",N1109^0.7*O1109^0.3)</x:f>
      </x:c>
      <x:c r="R1109" t="str">
        <x:f>IF(OR(N1109="",O1109=""),"",N1109^0.3*O1109^0.7)</x:f>
      </x:c>
    </x:row>
    <x:row r="1110">
      <x:c r="A1110" t="inlineStr">
        <x:is>
          <x:t xml:space="preserve">google|gemini-3.8-flash|low|reasoning|fallback-na|aa-v4.3.2|snapshot-2026-10-17</x:t>
        </x:is>
      </x:c>
      <x:c r="B1110" t="inlineStr">
        <x:is>
          <x:t xml:space="preserve">google|gemini-3.8-flash|low|reasoning|fallback-na</x:t>
        </x:is>
      </x:c>
      <x:c r="C1110" t="inlineStr">
        <x:is>
          <x:t xml:space="preserve">AA|v4.3.2</x:t>
        </x:is>
      </x:c>
      <x:c r="D1110" t="n">
        <x:v>140</x:v>
      </x:c>
      <x:c r="E1110" t="n">
        <x:v>60</x:v>
      </x:c>
      <x:c r="F1110" t="n">
        <x:f>INDEX(Run_Metrics!$F:$F,D1110)</x:f>
        <x:v>33</x:v>
      </x:c>
      <x:c r="G1110" t="str">
        <x:f>INDEX(Run_Metrics!$G:$G,D1110)</x:f>
      </x:c>
      <x:c r="H1110" t="str">
        <x:f>INDEX(Run_Metrics!$I:$I,D1110)</x:f>
      </x:c>
      <x:c r="I1110" t="n">
        <x:f>IF(F1110="","",F1110-(E1110-1))</x:f>
        <x:v>-26</x:v>
      </x:c>
      <x:c r="J1110" t="n">
        <x:f>IF(I1110&gt;0,1,0)</x:f>
        <x:v>0</x:v>
      </x:c>
      <x:c r="K1110" t="str">
        <x:f>IF(OR(J1110=0,G1110="",G1110=0),"",I1110/G1110)</x:f>
      </x:c>
      <x:c r="L1110" t="str">
        <x:f>IF(OR(J1110=0,I1110=0,G1110=""),"",G1110/I1110)</x:f>
      </x:c>
      <x:c r="M1110" t="str">
        <x:f>IF(OR(J1110=0,G1110="",H1110="",G1110=0,H1110=0),"",I1110/(G1110*H1110))</x:f>
      </x:c>
      <x:c r="N1110" t="str">
        <x:f>IF(K1110="","",K1110/_xlfn.MAXIFS($K:$K,$E:$E,E1110))</x:f>
      </x:c>
      <x:c r="O1110" t="str">
        <x:f>IF(M1110="","",M1110/_xlfn.MAXIFS($M:$M,$E:$E,E1110))</x:f>
      </x:c>
      <x:c r="P1110" t="str">
        <x:f>IF(OR(N1110="",O1110=""),"",SQRT(N1110*O1110))</x:f>
      </x:c>
      <x:c r="Q1110" t="str">
        <x:f>IF(OR(N1110="",O1110=""),"",N1110^0.7*O1110^0.3)</x:f>
      </x:c>
      <x:c r="R1110" t="str">
        <x:f>IF(OR(N1110="",O1110=""),"",N1110^0.3*O1110^0.7)</x:f>
      </x:c>
    </x:row>
    <x:row r="1111">
      <x:c r="A1111" t="inlineStr">
        <x:is>
          <x:t xml:space="preserve">google|gemini-3.8-flash|low|reasoning|fallback-na|aa-v4.3.2|snapshot-2026-10-17</x:t>
        </x:is>
      </x:c>
      <x:c r="B1111" t="inlineStr">
        <x:is>
          <x:t xml:space="preserve">google|gemini-3.8-flash|low|reasoning|fallback-na</x:t>
        </x:is>
      </x:c>
      <x:c r="C1111" t="inlineStr">
        <x:is>
          <x:t xml:space="preserve">AA|v4.3.2</x:t>
        </x:is>
      </x:c>
      <x:c r="D1111" t="n">
        <x:v>140</x:v>
      </x:c>
      <x:c r="E1111" t="n">
        <x:v>70</x:v>
      </x:c>
      <x:c r="F1111" t="n">
        <x:f>INDEX(Run_Metrics!$F:$F,D1111)</x:f>
        <x:v>33</x:v>
      </x:c>
      <x:c r="G1111" t="str">
        <x:f>INDEX(Run_Metrics!$G:$G,D1111)</x:f>
      </x:c>
      <x:c r="H1111" t="str">
        <x:f>INDEX(Run_Metrics!$I:$I,D1111)</x:f>
      </x:c>
      <x:c r="I1111" t="n">
        <x:f>IF(F1111="","",F1111-(E1111-1))</x:f>
        <x:v>-36</x:v>
      </x:c>
      <x:c r="J1111" t="n">
        <x:f>IF(I1111&gt;0,1,0)</x:f>
        <x:v>0</x:v>
      </x:c>
      <x:c r="K1111" t="str">
        <x:f>IF(OR(J1111=0,G1111="",G1111=0),"",I1111/G1111)</x:f>
      </x:c>
      <x:c r="L1111" t="str">
        <x:f>IF(OR(J1111=0,I1111=0,G1111=""),"",G1111/I1111)</x:f>
      </x:c>
      <x:c r="M1111" t="str">
        <x:f>IF(OR(J1111=0,G1111="",H1111="",G1111=0,H1111=0),"",I1111/(G1111*H1111))</x:f>
      </x:c>
      <x:c r="N1111" t="str">
        <x:f>IF(K1111="","",K1111/_xlfn.MAXIFS($K:$K,$E:$E,E1111))</x:f>
      </x:c>
      <x:c r="O1111" t="str">
        <x:f>IF(M1111="","",M1111/_xlfn.MAXIFS($M:$M,$E:$E,E1111))</x:f>
      </x:c>
      <x:c r="P1111" t="str">
        <x:f>IF(OR(N1111="",O1111=""),"",SQRT(N1111*O1111))</x:f>
      </x:c>
      <x:c r="Q1111" t="str">
        <x:f>IF(OR(N1111="",O1111=""),"",N1111^0.7*O1111^0.3)</x:f>
      </x:c>
      <x:c r="R1111" t="str">
        <x:f>IF(OR(N1111="",O1111=""),"",N1111^0.3*O1111^0.7)</x:f>
      </x:c>
    </x:row>
    <x:row r="1112">
      <x:c r="A1112" t="inlineStr">
        <x:is>
          <x:t xml:space="preserve">google|gemini-3.8-flash|low|reasoning|fallback-na|aa-v4.3.2|snapshot-2026-10-17</x:t>
        </x:is>
      </x:c>
      <x:c r="B1112" t="inlineStr">
        <x:is>
          <x:t xml:space="preserve">google|gemini-3.8-flash|low|reasoning|fallback-na</x:t>
        </x:is>
      </x:c>
      <x:c r="C1112" t="inlineStr">
        <x:is>
          <x:t xml:space="preserve">AA|v4.3.2</x:t>
        </x:is>
      </x:c>
      <x:c r="D1112" t="n">
        <x:v>140</x:v>
      </x:c>
      <x:c r="E1112" t="n">
        <x:v>80</x:v>
      </x:c>
      <x:c r="F1112" t="n">
        <x:f>INDEX(Run_Metrics!$F:$F,D1112)</x:f>
        <x:v>33</x:v>
      </x:c>
      <x:c r="G1112" t="str">
        <x:f>INDEX(Run_Metrics!$G:$G,D1112)</x:f>
      </x:c>
      <x:c r="H1112" t="str">
        <x:f>INDEX(Run_Metrics!$I:$I,D1112)</x:f>
      </x:c>
      <x:c r="I1112" t="n">
        <x:f>IF(F1112="","",F1112-(E1112-1))</x:f>
        <x:v>-46</x:v>
      </x:c>
      <x:c r="J1112" t="n">
        <x:f>IF(I1112&gt;0,1,0)</x:f>
        <x:v>0</x:v>
      </x:c>
      <x:c r="K1112" t="str">
        <x:f>IF(OR(J1112=0,G1112="",G1112=0),"",I1112/G1112)</x:f>
      </x:c>
      <x:c r="L1112" t="str">
        <x:f>IF(OR(J1112=0,I1112=0,G1112=""),"",G1112/I1112)</x:f>
      </x:c>
      <x:c r="M1112" t="str">
        <x:f>IF(OR(J1112=0,G1112="",H1112="",G1112=0,H1112=0),"",I1112/(G1112*H1112))</x:f>
      </x:c>
      <x:c r="N1112" t="str">
        <x:f>IF(K1112="","",K1112/_xlfn.MAXIFS($K:$K,$E:$E,E1112))</x:f>
      </x:c>
      <x:c r="O1112" t="str">
        <x:f>IF(M1112="","",M1112/_xlfn.MAXIFS($M:$M,$E:$E,E1112))</x:f>
      </x:c>
      <x:c r="P1112" t="str">
        <x:f>IF(OR(N1112="",O1112=""),"",SQRT(N1112*O1112))</x:f>
      </x:c>
      <x:c r="Q1112" t="str">
        <x:f>IF(OR(N1112="",O1112=""),"",N1112^0.7*O1112^0.3)</x:f>
      </x:c>
      <x:c r="R1112" t="str">
        <x:f>IF(OR(N1112="",O1112=""),"",N1112^0.3*O1112^0.7)</x:f>
      </x:c>
    </x:row>
    <x:row r="1113">
      <x:c r="A1113" t="inlineStr">
        <x:is>
          <x:t xml:space="preserve">google|gemini-3.8-flash|low|reasoning|fallback-na|aa-v4.3.2|snapshot-2026-10-17</x:t>
        </x:is>
      </x:c>
      <x:c r="B1113" t="inlineStr">
        <x:is>
          <x:t xml:space="preserve">google|gemini-3.8-flash|low|reasoning|fallback-na</x:t>
        </x:is>
      </x:c>
      <x:c r="C1113" t="inlineStr">
        <x:is>
          <x:t xml:space="preserve">AA|v4.3.2</x:t>
        </x:is>
      </x:c>
      <x:c r="D1113" t="n">
        <x:v>140</x:v>
      </x:c>
      <x:c r="E1113" t="n">
        <x:v>90</x:v>
      </x:c>
      <x:c r="F1113" t="n">
        <x:f>INDEX(Run_Metrics!$F:$F,D1113)</x:f>
        <x:v>33</x:v>
      </x:c>
      <x:c r="G1113" t="str">
        <x:f>INDEX(Run_Metrics!$G:$G,D1113)</x:f>
      </x:c>
      <x:c r="H1113" t="str">
        <x:f>INDEX(Run_Metrics!$I:$I,D1113)</x:f>
      </x:c>
      <x:c r="I1113" t="n">
        <x:f>IF(F1113="","",F1113-(E1113-1))</x:f>
        <x:v>-56</x:v>
      </x:c>
      <x:c r="J1113" t="n">
        <x:f>IF(I1113&gt;0,1,0)</x:f>
        <x:v>0</x:v>
      </x:c>
      <x:c r="K1113" t="str">
        <x:f>IF(OR(J1113=0,G1113="",G1113=0),"",I1113/G1113)</x:f>
      </x:c>
      <x:c r="L1113" t="str">
        <x:f>IF(OR(J1113=0,I1113=0,G1113=""),"",G1113/I1113)</x:f>
      </x:c>
      <x:c r="M1113" t="str">
        <x:f>IF(OR(J1113=0,G1113="",H1113="",G1113=0,H1113=0),"",I1113/(G1113*H1113))</x:f>
      </x:c>
      <x:c r="N1113" t="str">
        <x:f>IF(K1113="","",K1113/_xlfn.MAXIFS($K:$K,$E:$E,E1113))</x:f>
      </x:c>
      <x:c r="O1113" t="str">
        <x:f>IF(M1113="","",M1113/_xlfn.MAXIFS($M:$M,$E:$E,E1113))</x:f>
      </x:c>
      <x:c r="P1113" t="str">
        <x:f>IF(OR(N1113="",O1113=""),"",SQRT(N1113*O1113))</x:f>
      </x:c>
      <x:c r="Q1113" t="str">
        <x:f>IF(OR(N1113="",O1113=""),"",N1113^0.7*O1113^0.3)</x:f>
      </x:c>
      <x:c r="R1113" t="str">
        <x:f>IF(OR(N1113="",O1113=""),"",N1113^0.3*O1113^0.7)</x:f>
      </x:c>
    </x:row>
    <x:row r="1114">
      <x:c r="A1114" t="inlineStr">
        <x:is>
          <x:t xml:space="preserve">google|gemini-3.8-flash|medium|reasoning|fallback-na|aa-v4.3.2|snapshot-2026-10-17</x:t>
        </x:is>
      </x:c>
      <x:c r="B1114" t="inlineStr">
        <x:is>
          <x:t xml:space="preserve">google|gemini-3.8-flash|medium|reasoning|fallback-na</x:t>
        </x:is>
      </x:c>
      <x:c r="C1114" t="inlineStr">
        <x:is>
          <x:t xml:space="preserve">AA|v4.3.2</x:t>
        </x:is>
      </x:c>
      <x:c r="D1114" t="n">
        <x:v>141</x:v>
      </x:c>
      <x:c r="E1114" t="n">
        <x:v>20</x:v>
      </x:c>
      <x:c r="F1114" t="n">
        <x:f>INDEX(Run_Metrics!$F:$F,D1114)</x:f>
        <x:v>40</x:v>
      </x:c>
      <x:c r="G1114" t="n">
        <x:f>INDEX(Run_Metrics!$G:$G,D1114)</x:f>
        <x:v>0.93</x:v>
      </x:c>
      <x:c r="H1114" t="str">
        <x:f>INDEX(Run_Metrics!$I:$I,D1114)</x:f>
      </x:c>
      <x:c r="I1114" t="n">
        <x:f>IF(F1114="","",F1114-(E1114-1))</x:f>
        <x:v>21</x:v>
      </x:c>
      <x:c r="J1114" t="n">
        <x:f>IF(I1114&gt;0,1,0)</x:f>
        <x:v>1</x:v>
      </x:c>
      <x:c r="K1114" t="n">
        <x:f>IF(OR(J1114=0,G1114="",G1114=0),"",I1114/G1114)</x:f>
        <x:v>22.58064516129032</x:v>
      </x:c>
      <x:c r="L1114" t="n">
        <x:f>IF(OR(J1114=0,I1114=0,G1114=""),"",G1114/I1114)</x:f>
        <x:v>0.04428571428571429</x:v>
      </x:c>
      <x:c r="M1114" t="str">
        <x:f>IF(OR(J1114=0,G1114="",H1114="",G1114=0,H1114=0),"",I1114/(G1114*H1114))</x:f>
      </x:c>
      <x:c r="N1114" t="n">
        <x:f>IF(K1114="","",K1114/_xlfn.MAXIFS($K:$K,$E:$E,E1114))</x:f>
        <x:v>0.03387096774193547</x:v>
      </x:c>
      <x:c r="O1114" t="str">
        <x:f>IF(M1114="","",M1114/_xlfn.MAXIFS($M:$M,$E:$E,E1114))</x:f>
      </x:c>
      <x:c r="P1114" t="str">
        <x:f>IF(OR(N1114="",O1114=""),"",SQRT(N1114*O1114))</x:f>
      </x:c>
      <x:c r="Q1114" t="str">
        <x:f>IF(OR(N1114="",O1114=""),"",N1114^0.7*O1114^0.3)</x:f>
      </x:c>
      <x:c r="R1114" t="str">
        <x:f>IF(OR(N1114="",O1114=""),"",N1114^0.3*O1114^0.7)</x:f>
      </x:c>
    </x:row>
    <x:row r="1115">
      <x:c r="A1115" t="inlineStr">
        <x:is>
          <x:t xml:space="preserve">google|gemini-3.8-flash|medium|reasoning|fallback-na|aa-v4.3.2|snapshot-2026-10-17</x:t>
        </x:is>
      </x:c>
      <x:c r="B1115" t="inlineStr">
        <x:is>
          <x:t xml:space="preserve">google|gemini-3.8-flash|medium|reasoning|fallback-na</x:t>
        </x:is>
      </x:c>
      <x:c r="C1115" t="inlineStr">
        <x:is>
          <x:t xml:space="preserve">AA|v4.3.2</x:t>
        </x:is>
      </x:c>
      <x:c r="D1115" t="n">
        <x:v>141</x:v>
      </x:c>
      <x:c r="E1115" t="n">
        <x:v>30</x:v>
      </x:c>
      <x:c r="F1115" t="n">
        <x:f>INDEX(Run_Metrics!$F:$F,D1115)</x:f>
        <x:v>40</x:v>
      </x:c>
      <x:c r="G1115" t="n">
        <x:f>INDEX(Run_Metrics!$G:$G,D1115)</x:f>
        <x:v>0.93</x:v>
      </x:c>
      <x:c r="H1115" t="str">
        <x:f>INDEX(Run_Metrics!$I:$I,D1115)</x:f>
      </x:c>
      <x:c r="I1115" t="n">
        <x:f>IF(F1115="","",F1115-(E1115-1))</x:f>
        <x:v>11</x:v>
      </x:c>
      <x:c r="J1115" t="n">
        <x:f>IF(I1115&gt;0,1,0)</x:f>
        <x:v>1</x:v>
      </x:c>
      <x:c r="K1115" t="n">
        <x:f>IF(OR(J1115=0,G1115="",G1115=0),"",I1115/G1115)</x:f>
        <x:v>11.827956989247312</x:v>
      </x:c>
      <x:c r="L1115" t="n">
        <x:f>IF(OR(J1115=0,I1115=0,G1115=""),"",G1115/I1115)</x:f>
        <x:v>0.08454545454545455</x:v>
      </x:c>
      <x:c r="M1115" t="str">
        <x:f>IF(OR(J1115=0,G1115="",H1115="",G1115=0,H1115=0),"",I1115/(G1115*H1115))</x:f>
      </x:c>
      <x:c r="N1115" t="n">
        <x:f>IF(K1115="","",K1115/_xlfn.MAXIFS($K:$K,$E:$E,E1115))</x:f>
        <x:v>0.07885304659498207</x:v>
      </x:c>
      <x:c r="O1115" t="str">
        <x:f>IF(M1115="","",M1115/_xlfn.MAXIFS($M:$M,$E:$E,E1115))</x:f>
      </x:c>
      <x:c r="P1115" t="str">
        <x:f>IF(OR(N1115="",O1115=""),"",SQRT(N1115*O1115))</x:f>
      </x:c>
      <x:c r="Q1115" t="str">
        <x:f>IF(OR(N1115="",O1115=""),"",N1115^0.7*O1115^0.3)</x:f>
      </x:c>
      <x:c r="R1115" t="str">
        <x:f>IF(OR(N1115="",O1115=""),"",N1115^0.3*O1115^0.7)</x:f>
      </x:c>
    </x:row>
    <x:row r="1116">
      <x:c r="A1116" t="inlineStr">
        <x:is>
          <x:t xml:space="preserve">google|gemini-3.8-flash|medium|reasoning|fallback-na|aa-v4.3.2|snapshot-2026-10-17</x:t>
        </x:is>
      </x:c>
      <x:c r="B1116" t="inlineStr">
        <x:is>
          <x:t xml:space="preserve">google|gemini-3.8-flash|medium|reasoning|fallback-na</x:t>
        </x:is>
      </x:c>
      <x:c r="C1116" t="inlineStr">
        <x:is>
          <x:t xml:space="preserve">AA|v4.3.2</x:t>
        </x:is>
      </x:c>
      <x:c r="D1116" t="n">
        <x:v>141</x:v>
      </x:c>
      <x:c r="E1116" t="n">
        <x:v>40</x:v>
      </x:c>
      <x:c r="F1116" t="n">
        <x:f>INDEX(Run_Metrics!$F:$F,D1116)</x:f>
        <x:v>40</x:v>
      </x:c>
      <x:c r="G1116" t="n">
        <x:f>INDEX(Run_Metrics!$G:$G,D1116)</x:f>
        <x:v>0.93</x:v>
      </x:c>
      <x:c r="H1116" t="str">
        <x:f>INDEX(Run_Metrics!$I:$I,D1116)</x:f>
      </x:c>
      <x:c r="I1116" t="n">
        <x:f>IF(F1116="","",F1116-(E1116-1))</x:f>
        <x:v>1</x:v>
      </x:c>
      <x:c r="J1116" t="n">
        <x:f>IF(I1116&gt;0,1,0)</x:f>
        <x:v>1</x:v>
      </x:c>
      <x:c r="K1116" t="n">
        <x:f>IF(OR(J1116=0,G1116="",G1116=0),"",I1116/G1116)</x:f>
        <x:v>1.075268817204301</x:v>
      </x:c>
      <x:c r="L1116" t="n">
        <x:f>IF(OR(J1116=0,I1116=0,G1116=""),"",G1116/I1116)</x:f>
        <x:v>0.93</x:v>
      </x:c>
      <x:c r="M1116" t="str">
        <x:f>IF(OR(J1116=0,G1116="",H1116="",G1116=0,H1116=0),"",I1116/(G1116*H1116))</x:f>
      </x:c>
      <x:c r="N1116" t="n">
        <x:f>IF(K1116="","",K1116/_xlfn.MAXIFS($K:$K,$E:$E,E1116))</x:f>
        <x:v>0.019969278033794162</x:v>
      </x:c>
      <x:c r="O1116" t="str">
        <x:f>IF(M1116="","",M1116/_xlfn.MAXIFS($M:$M,$E:$E,E1116))</x:f>
      </x:c>
      <x:c r="P1116" t="str">
        <x:f>IF(OR(N1116="",O1116=""),"",SQRT(N1116*O1116))</x:f>
      </x:c>
      <x:c r="Q1116" t="str">
        <x:f>IF(OR(N1116="",O1116=""),"",N1116^0.7*O1116^0.3)</x:f>
      </x:c>
      <x:c r="R1116" t="str">
        <x:f>IF(OR(N1116="",O1116=""),"",N1116^0.3*O1116^0.7)</x:f>
      </x:c>
    </x:row>
    <x:row r="1117">
      <x:c r="A1117" t="inlineStr">
        <x:is>
          <x:t xml:space="preserve">google|gemini-3.8-flash|medium|reasoning|fallback-na|aa-v4.3.2|snapshot-2026-10-17</x:t>
        </x:is>
      </x:c>
      <x:c r="B1117" t="inlineStr">
        <x:is>
          <x:t xml:space="preserve">google|gemini-3.8-flash|medium|reasoning|fallback-na</x:t>
        </x:is>
      </x:c>
      <x:c r="C1117" t="inlineStr">
        <x:is>
          <x:t xml:space="preserve">AA|v4.3.2</x:t>
        </x:is>
      </x:c>
      <x:c r="D1117" t="n">
        <x:v>141</x:v>
      </x:c>
      <x:c r="E1117" t="n">
        <x:v>50</x:v>
      </x:c>
      <x:c r="F1117" t="n">
        <x:f>INDEX(Run_Metrics!$F:$F,D1117)</x:f>
        <x:v>40</x:v>
      </x:c>
      <x:c r="G1117" t="n">
        <x:f>INDEX(Run_Metrics!$G:$G,D1117)</x:f>
        <x:v>0.93</x:v>
      </x:c>
      <x:c r="H1117" t="str">
        <x:f>INDEX(Run_Metrics!$I:$I,D1117)</x:f>
      </x:c>
      <x:c r="I1117" t="n">
        <x:f>IF(F1117="","",F1117-(E1117-1))</x:f>
        <x:v>-9</x:v>
      </x:c>
      <x:c r="J1117" t="n">
        <x:f>IF(I1117&gt;0,1,0)</x:f>
        <x:v>0</x:v>
      </x:c>
      <x:c r="K1117" t="str">
        <x:f>IF(OR(J1117=0,G1117="",G1117=0),"",I1117/G1117)</x:f>
      </x:c>
      <x:c r="L1117" t="str">
        <x:f>IF(OR(J1117=0,I1117=0,G1117=""),"",G1117/I1117)</x:f>
      </x:c>
      <x:c r="M1117" t="str">
        <x:f>IF(OR(J1117=0,G1117="",H1117="",G1117=0,H1117=0),"",I1117/(G1117*H1117))</x:f>
      </x:c>
      <x:c r="N1117" t="str">
        <x:f>IF(K1117="","",K1117/_xlfn.MAXIFS($K:$K,$E:$E,E1117))</x:f>
      </x:c>
      <x:c r="O1117" t="str">
        <x:f>IF(M1117="","",M1117/_xlfn.MAXIFS($M:$M,$E:$E,E1117))</x:f>
      </x:c>
      <x:c r="P1117" t="str">
        <x:f>IF(OR(N1117="",O1117=""),"",SQRT(N1117*O1117))</x:f>
      </x:c>
      <x:c r="Q1117" t="str">
        <x:f>IF(OR(N1117="",O1117=""),"",N1117^0.7*O1117^0.3)</x:f>
      </x:c>
      <x:c r="R1117" t="str">
        <x:f>IF(OR(N1117="",O1117=""),"",N1117^0.3*O1117^0.7)</x:f>
      </x:c>
    </x:row>
    <x:row r="1118">
      <x:c r="A1118" t="inlineStr">
        <x:is>
          <x:t xml:space="preserve">google|gemini-3.8-flash|medium|reasoning|fallback-na|aa-v4.3.2|snapshot-2026-10-17</x:t>
        </x:is>
      </x:c>
      <x:c r="B1118" t="inlineStr">
        <x:is>
          <x:t xml:space="preserve">google|gemini-3.8-flash|medium|reasoning|fallback-na</x:t>
        </x:is>
      </x:c>
      <x:c r="C1118" t="inlineStr">
        <x:is>
          <x:t xml:space="preserve">AA|v4.3.2</x:t>
        </x:is>
      </x:c>
      <x:c r="D1118" t="n">
        <x:v>141</x:v>
      </x:c>
      <x:c r="E1118" t="n">
        <x:v>60</x:v>
      </x:c>
      <x:c r="F1118" t="n">
        <x:f>INDEX(Run_Metrics!$F:$F,D1118)</x:f>
        <x:v>40</x:v>
      </x:c>
      <x:c r="G1118" t="n">
        <x:f>INDEX(Run_Metrics!$G:$G,D1118)</x:f>
        <x:v>0.93</x:v>
      </x:c>
      <x:c r="H1118" t="str">
        <x:f>INDEX(Run_Metrics!$I:$I,D1118)</x:f>
      </x:c>
      <x:c r="I1118" t="n">
        <x:f>IF(F1118="","",F1118-(E1118-1))</x:f>
        <x:v>-19</x:v>
      </x:c>
      <x:c r="J1118" t="n">
        <x:f>IF(I1118&gt;0,1,0)</x:f>
        <x:v>0</x:v>
      </x:c>
      <x:c r="K1118" t="str">
        <x:f>IF(OR(J1118=0,G1118="",G1118=0),"",I1118/G1118)</x:f>
      </x:c>
      <x:c r="L1118" t="str">
        <x:f>IF(OR(J1118=0,I1118=0,G1118=""),"",G1118/I1118)</x:f>
      </x:c>
      <x:c r="M1118" t="str">
        <x:f>IF(OR(J1118=0,G1118="",H1118="",G1118=0,H1118=0),"",I1118/(G1118*H1118))</x:f>
      </x:c>
      <x:c r="N1118" t="str">
        <x:f>IF(K1118="","",K1118/_xlfn.MAXIFS($K:$K,$E:$E,E1118))</x:f>
      </x:c>
      <x:c r="O1118" t="str">
        <x:f>IF(M1118="","",M1118/_xlfn.MAXIFS($M:$M,$E:$E,E1118))</x:f>
      </x:c>
      <x:c r="P1118" t="str">
        <x:f>IF(OR(N1118="",O1118=""),"",SQRT(N1118*O1118))</x:f>
      </x:c>
      <x:c r="Q1118" t="str">
        <x:f>IF(OR(N1118="",O1118=""),"",N1118^0.7*O1118^0.3)</x:f>
      </x:c>
      <x:c r="R1118" t="str">
        <x:f>IF(OR(N1118="",O1118=""),"",N1118^0.3*O1118^0.7)</x:f>
      </x:c>
    </x:row>
    <x:row r="1119">
      <x:c r="A1119" t="inlineStr">
        <x:is>
          <x:t xml:space="preserve">google|gemini-3.8-flash|medium|reasoning|fallback-na|aa-v4.3.2|snapshot-2026-10-17</x:t>
        </x:is>
      </x:c>
      <x:c r="B1119" t="inlineStr">
        <x:is>
          <x:t xml:space="preserve">google|gemini-3.8-flash|medium|reasoning|fallback-na</x:t>
        </x:is>
      </x:c>
      <x:c r="C1119" t="inlineStr">
        <x:is>
          <x:t xml:space="preserve">AA|v4.3.2</x:t>
        </x:is>
      </x:c>
      <x:c r="D1119" t="n">
        <x:v>141</x:v>
      </x:c>
      <x:c r="E1119" t="n">
        <x:v>70</x:v>
      </x:c>
      <x:c r="F1119" t="n">
        <x:f>INDEX(Run_Metrics!$F:$F,D1119)</x:f>
        <x:v>40</x:v>
      </x:c>
      <x:c r="G1119" t="n">
        <x:f>INDEX(Run_Metrics!$G:$G,D1119)</x:f>
        <x:v>0.93</x:v>
      </x:c>
      <x:c r="H1119" t="str">
        <x:f>INDEX(Run_Metrics!$I:$I,D1119)</x:f>
      </x:c>
      <x:c r="I1119" t="n">
        <x:f>IF(F1119="","",F1119-(E1119-1))</x:f>
        <x:v>-29</x:v>
      </x:c>
      <x:c r="J1119" t="n">
        <x:f>IF(I1119&gt;0,1,0)</x:f>
        <x:v>0</x:v>
      </x:c>
      <x:c r="K1119" t="str">
        <x:f>IF(OR(J1119=0,G1119="",G1119=0),"",I1119/G1119)</x:f>
      </x:c>
      <x:c r="L1119" t="str">
        <x:f>IF(OR(J1119=0,I1119=0,G1119=""),"",G1119/I1119)</x:f>
      </x:c>
      <x:c r="M1119" t="str">
        <x:f>IF(OR(J1119=0,G1119="",H1119="",G1119=0,H1119=0),"",I1119/(G1119*H1119))</x:f>
      </x:c>
      <x:c r="N1119" t="str">
        <x:f>IF(K1119="","",K1119/_xlfn.MAXIFS($K:$K,$E:$E,E1119))</x:f>
      </x:c>
      <x:c r="O1119" t="str">
        <x:f>IF(M1119="","",M1119/_xlfn.MAXIFS($M:$M,$E:$E,E1119))</x:f>
      </x:c>
      <x:c r="P1119" t="str">
        <x:f>IF(OR(N1119="",O1119=""),"",SQRT(N1119*O1119))</x:f>
      </x:c>
      <x:c r="Q1119" t="str">
        <x:f>IF(OR(N1119="",O1119=""),"",N1119^0.7*O1119^0.3)</x:f>
      </x:c>
      <x:c r="R1119" t="str">
        <x:f>IF(OR(N1119="",O1119=""),"",N1119^0.3*O1119^0.7)</x:f>
      </x:c>
    </x:row>
    <x:row r="1120">
      <x:c r="A1120" t="inlineStr">
        <x:is>
          <x:t xml:space="preserve">google|gemini-3.8-flash|medium|reasoning|fallback-na|aa-v4.3.2|snapshot-2026-10-17</x:t>
        </x:is>
      </x:c>
      <x:c r="B1120" t="inlineStr">
        <x:is>
          <x:t xml:space="preserve">google|gemini-3.8-flash|medium|reasoning|fallback-na</x:t>
        </x:is>
      </x:c>
      <x:c r="C1120" t="inlineStr">
        <x:is>
          <x:t xml:space="preserve">AA|v4.3.2</x:t>
        </x:is>
      </x:c>
      <x:c r="D1120" t="n">
        <x:v>141</x:v>
      </x:c>
      <x:c r="E1120" t="n">
        <x:v>80</x:v>
      </x:c>
      <x:c r="F1120" t="n">
        <x:f>INDEX(Run_Metrics!$F:$F,D1120)</x:f>
        <x:v>40</x:v>
      </x:c>
      <x:c r="G1120" t="n">
        <x:f>INDEX(Run_Metrics!$G:$G,D1120)</x:f>
        <x:v>0.93</x:v>
      </x:c>
      <x:c r="H1120" t="str">
        <x:f>INDEX(Run_Metrics!$I:$I,D1120)</x:f>
      </x:c>
      <x:c r="I1120" t="n">
        <x:f>IF(F1120="","",F1120-(E1120-1))</x:f>
        <x:v>-39</x:v>
      </x:c>
      <x:c r="J1120" t="n">
        <x:f>IF(I1120&gt;0,1,0)</x:f>
        <x:v>0</x:v>
      </x:c>
      <x:c r="K1120" t="str">
        <x:f>IF(OR(J1120=0,G1120="",G1120=0),"",I1120/G1120)</x:f>
      </x:c>
      <x:c r="L1120" t="str">
        <x:f>IF(OR(J1120=0,I1120=0,G1120=""),"",G1120/I1120)</x:f>
      </x:c>
      <x:c r="M1120" t="str">
        <x:f>IF(OR(J1120=0,G1120="",H1120="",G1120=0,H1120=0),"",I1120/(G1120*H1120))</x:f>
      </x:c>
      <x:c r="N1120" t="str">
        <x:f>IF(K1120="","",K1120/_xlfn.MAXIFS($K:$K,$E:$E,E1120))</x:f>
      </x:c>
      <x:c r="O1120" t="str">
        <x:f>IF(M1120="","",M1120/_xlfn.MAXIFS($M:$M,$E:$E,E1120))</x:f>
      </x:c>
      <x:c r="P1120" t="str">
        <x:f>IF(OR(N1120="",O1120=""),"",SQRT(N1120*O1120))</x:f>
      </x:c>
      <x:c r="Q1120" t="str">
        <x:f>IF(OR(N1120="",O1120=""),"",N1120^0.7*O1120^0.3)</x:f>
      </x:c>
      <x:c r="R1120" t="str">
        <x:f>IF(OR(N1120="",O1120=""),"",N1120^0.3*O1120^0.7)</x:f>
      </x:c>
    </x:row>
    <x:row r="1121">
      <x:c r="A1121" t="inlineStr">
        <x:is>
          <x:t xml:space="preserve">google|gemini-3.8-flash|medium|reasoning|fallback-na|aa-v4.3.2|snapshot-2026-10-17</x:t>
        </x:is>
      </x:c>
      <x:c r="B1121" t="inlineStr">
        <x:is>
          <x:t xml:space="preserve">google|gemini-3.8-flash|medium|reasoning|fallback-na</x:t>
        </x:is>
      </x:c>
      <x:c r="C1121" t="inlineStr">
        <x:is>
          <x:t xml:space="preserve">AA|v4.3.2</x:t>
        </x:is>
      </x:c>
      <x:c r="D1121" t="n">
        <x:v>141</x:v>
      </x:c>
      <x:c r="E1121" t="n">
        <x:v>90</x:v>
      </x:c>
      <x:c r="F1121" t="n">
        <x:f>INDEX(Run_Metrics!$F:$F,D1121)</x:f>
        <x:v>40</x:v>
      </x:c>
      <x:c r="G1121" t="n">
        <x:f>INDEX(Run_Metrics!$G:$G,D1121)</x:f>
        <x:v>0.93</x:v>
      </x:c>
      <x:c r="H1121" t="str">
        <x:f>INDEX(Run_Metrics!$I:$I,D1121)</x:f>
      </x:c>
      <x:c r="I1121" t="n">
        <x:f>IF(F1121="","",F1121-(E1121-1))</x:f>
        <x:v>-49</x:v>
      </x:c>
      <x:c r="J1121" t="n">
        <x:f>IF(I1121&gt;0,1,0)</x:f>
        <x:v>0</x:v>
      </x:c>
      <x:c r="K1121" t="str">
        <x:f>IF(OR(J1121=0,G1121="",G1121=0),"",I1121/G1121)</x:f>
      </x:c>
      <x:c r="L1121" t="str">
        <x:f>IF(OR(J1121=0,I1121=0,G1121=""),"",G1121/I1121)</x:f>
      </x:c>
      <x:c r="M1121" t="str">
        <x:f>IF(OR(J1121=0,G1121="",H1121="",G1121=0,H1121=0),"",I1121/(G1121*H1121))</x:f>
      </x:c>
      <x:c r="N1121" t="str">
        <x:f>IF(K1121="","",K1121/_xlfn.MAXIFS($K:$K,$E:$E,E1121))</x:f>
      </x:c>
      <x:c r="O1121" t="str">
        <x:f>IF(M1121="","",M1121/_xlfn.MAXIFS($M:$M,$E:$E,E1121))</x:f>
      </x:c>
      <x:c r="P1121" t="str">
        <x:f>IF(OR(N1121="",O1121=""),"",SQRT(N1121*O1121))</x:f>
      </x:c>
      <x:c r="Q1121" t="str">
        <x:f>IF(OR(N1121="",O1121=""),"",N1121^0.7*O1121^0.3)</x:f>
      </x:c>
      <x:c r="R1121" t="str">
        <x:f>IF(OR(N1121="",O1121=""),"",N1121^0.3*O1121^0.7)</x:f>
      </x:c>
    </x:row>
    <x:row r="1122">
      <x:c r="A1122" t="inlineStr">
        <x:is>
          <x:t xml:space="preserve">google|gemini-3.8-flash|high|reasoning|fallback-na|aa-v4.3.2|snapshot-2026-10-17</x:t>
        </x:is>
      </x:c>
      <x:c r="B1122" t="inlineStr">
        <x:is>
          <x:t xml:space="preserve">google|gemini-3.8-flash|high|reasoning|fallback-na</x:t>
        </x:is>
      </x:c>
      <x:c r="C1122" t="inlineStr">
        <x:is>
          <x:t xml:space="preserve">AA|v4.3.2</x:t>
        </x:is>
      </x:c>
      <x:c r="D1122" t="n">
        <x:v>142</x:v>
      </x:c>
      <x:c r="E1122" t="n">
        <x:v>20</x:v>
      </x:c>
      <x:c r="F1122" t="n">
        <x:f>INDEX(Run_Metrics!$F:$F,D1122)</x:f>
        <x:v>41</x:v>
      </x:c>
      <x:c r="G1122" t="n">
        <x:f>INDEX(Run_Metrics!$G:$G,D1122)</x:f>
        <x:v>1.24</x:v>
      </x:c>
      <x:c r="H1122" t="str">
        <x:f>INDEX(Run_Metrics!$I:$I,D1122)</x:f>
      </x:c>
      <x:c r="I1122" t="n">
        <x:f>IF(F1122="","",F1122-(E1122-1))</x:f>
        <x:v>22</x:v>
      </x:c>
      <x:c r="J1122" t="n">
        <x:f>IF(I1122&gt;0,1,0)</x:f>
        <x:v>1</x:v>
      </x:c>
      <x:c r="K1122" t="n">
        <x:f>IF(OR(J1122=0,G1122="",G1122=0),"",I1122/G1122)</x:f>
        <x:v>17.741935483870968</x:v>
      </x:c>
      <x:c r="L1122" t="n">
        <x:f>IF(OR(J1122=0,I1122=0,G1122=""),"",G1122/I1122)</x:f>
        <x:v>0.056363636363636366</x:v>
      </x:c>
      <x:c r="M1122" t="str">
        <x:f>IF(OR(J1122=0,G1122="",H1122="",G1122=0,H1122=0),"",I1122/(G1122*H1122))</x:f>
      </x:c>
      <x:c r="N1122" t="n">
        <x:f>IF(K1122="","",K1122/_xlfn.MAXIFS($K:$K,$E:$E,E1122))</x:f>
        <x:v>0.02661290322580645</x:v>
      </x:c>
      <x:c r="O1122" t="str">
        <x:f>IF(M1122="","",M1122/_xlfn.MAXIFS($M:$M,$E:$E,E1122))</x:f>
      </x:c>
      <x:c r="P1122" t="str">
        <x:f>IF(OR(N1122="",O1122=""),"",SQRT(N1122*O1122))</x:f>
      </x:c>
      <x:c r="Q1122" t="str">
        <x:f>IF(OR(N1122="",O1122=""),"",N1122^0.7*O1122^0.3)</x:f>
      </x:c>
      <x:c r="R1122" t="str">
        <x:f>IF(OR(N1122="",O1122=""),"",N1122^0.3*O1122^0.7)</x:f>
      </x:c>
    </x:row>
    <x:row r="1123">
      <x:c r="A1123" t="inlineStr">
        <x:is>
          <x:t xml:space="preserve">google|gemini-3.8-flash|high|reasoning|fallback-na|aa-v4.3.2|snapshot-2026-10-17</x:t>
        </x:is>
      </x:c>
      <x:c r="B1123" t="inlineStr">
        <x:is>
          <x:t xml:space="preserve">google|gemini-3.8-flash|high|reasoning|fallback-na</x:t>
        </x:is>
      </x:c>
      <x:c r="C1123" t="inlineStr">
        <x:is>
          <x:t xml:space="preserve">AA|v4.3.2</x:t>
        </x:is>
      </x:c>
      <x:c r="D1123" t="n">
        <x:v>142</x:v>
      </x:c>
      <x:c r="E1123" t="n">
        <x:v>30</x:v>
      </x:c>
      <x:c r="F1123" t="n">
        <x:f>INDEX(Run_Metrics!$F:$F,D1123)</x:f>
        <x:v>41</x:v>
      </x:c>
      <x:c r="G1123" t="n">
        <x:f>INDEX(Run_Metrics!$G:$G,D1123)</x:f>
        <x:v>1.24</x:v>
      </x:c>
      <x:c r="H1123" t="str">
        <x:f>INDEX(Run_Metrics!$I:$I,D1123)</x:f>
      </x:c>
      <x:c r="I1123" t="n">
        <x:f>IF(F1123="","",F1123-(E1123-1))</x:f>
        <x:v>12</x:v>
      </x:c>
      <x:c r="J1123" t="n">
        <x:f>IF(I1123&gt;0,1,0)</x:f>
        <x:v>1</x:v>
      </x:c>
      <x:c r="K1123" t="n">
        <x:f>IF(OR(J1123=0,G1123="",G1123=0),"",I1123/G1123)</x:f>
        <x:v>9.67741935483871</x:v>
      </x:c>
      <x:c r="L1123" t="n">
        <x:f>IF(OR(J1123=0,I1123=0,G1123=""),"",G1123/I1123)</x:f>
        <x:v>0.10333333333333333</x:v>
      </x:c>
      <x:c r="M1123" t="str">
        <x:f>IF(OR(J1123=0,G1123="",H1123="",G1123=0,H1123=0),"",I1123/(G1123*H1123))</x:f>
      </x:c>
      <x:c r="N1123" t="n">
        <x:f>IF(K1123="","",K1123/_xlfn.MAXIFS($K:$K,$E:$E,E1123))</x:f>
        <x:v>0.06451612903225806</x:v>
      </x:c>
      <x:c r="O1123" t="str">
        <x:f>IF(M1123="","",M1123/_xlfn.MAXIFS($M:$M,$E:$E,E1123))</x:f>
      </x:c>
      <x:c r="P1123" t="str">
        <x:f>IF(OR(N1123="",O1123=""),"",SQRT(N1123*O1123))</x:f>
      </x:c>
      <x:c r="Q1123" t="str">
        <x:f>IF(OR(N1123="",O1123=""),"",N1123^0.7*O1123^0.3)</x:f>
      </x:c>
      <x:c r="R1123" t="str">
        <x:f>IF(OR(N1123="",O1123=""),"",N1123^0.3*O1123^0.7)</x:f>
      </x:c>
    </x:row>
    <x:row r="1124">
      <x:c r="A1124" t="inlineStr">
        <x:is>
          <x:t xml:space="preserve">google|gemini-3.8-flash|high|reasoning|fallback-na|aa-v4.3.2|snapshot-2026-10-17</x:t>
        </x:is>
      </x:c>
      <x:c r="B1124" t="inlineStr">
        <x:is>
          <x:t xml:space="preserve">google|gemini-3.8-flash|high|reasoning|fallback-na</x:t>
        </x:is>
      </x:c>
      <x:c r="C1124" t="inlineStr">
        <x:is>
          <x:t xml:space="preserve">AA|v4.3.2</x:t>
        </x:is>
      </x:c>
      <x:c r="D1124" t="n">
        <x:v>142</x:v>
      </x:c>
      <x:c r="E1124" t="n">
        <x:v>40</x:v>
      </x:c>
      <x:c r="F1124" t="n">
        <x:f>INDEX(Run_Metrics!$F:$F,D1124)</x:f>
        <x:v>41</x:v>
      </x:c>
      <x:c r="G1124" t="n">
        <x:f>INDEX(Run_Metrics!$G:$G,D1124)</x:f>
        <x:v>1.24</x:v>
      </x:c>
      <x:c r="H1124" t="str">
        <x:f>INDEX(Run_Metrics!$I:$I,D1124)</x:f>
      </x:c>
      <x:c r="I1124" t="n">
        <x:f>IF(F1124="","",F1124-(E1124-1))</x:f>
        <x:v>2</x:v>
      </x:c>
      <x:c r="J1124" t="n">
        <x:f>IF(I1124&gt;0,1,0)</x:f>
        <x:v>1</x:v>
      </x:c>
      <x:c r="K1124" t="n">
        <x:f>IF(OR(J1124=0,G1124="",G1124=0),"",I1124/G1124)</x:f>
        <x:v>1.6129032258064517</x:v>
      </x:c>
      <x:c r="L1124" t="n">
        <x:f>IF(OR(J1124=0,I1124=0,G1124=""),"",G1124/I1124)</x:f>
        <x:v>0.62</x:v>
      </x:c>
      <x:c r="M1124" t="str">
        <x:f>IF(OR(J1124=0,G1124="",H1124="",G1124=0,H1124=0),"",I1124/(G1124*H1124))</x:f>
      </x:c>
      <x:c r="N1124" t="n">
        <x:f>IF(K1124="","",K1124/_xlfn.MAXIFS($K:$K,$E:$E,E1124))</x:f>
        <x:v>0.029953917050691246</x:v>
      </x:c>
      <x:c r="O1124" t="str">
        <x:f>IF(M1124="","",M1124/_xlfn.MAXIFS($M:$M,$E:$E,E1124))</x:f>
      </x:c>
      <x:c r="P1124" t="str">
        <x:f>IF(OR(N1124="",O1124=""),"",SQRT(N1124*O1124))</x:f>
      </x:c>
      <x:c r="Q1124" t="str">
        <x:f>IF(OR(N1124="",O1124=""),"",N1124^0.7*O1124^0.3)</x:f>
      </x:c>
      <x:c r="R1124" t="str">
        <x:f>IF(OR(N1124="",O1124=""),"",N1124^0.3*O1124^0.7)</x:f>
      </x:c>
    </x:row>
    <x:row r="1125">
      <x:c r="A1125" t="inlineStr">
        <x:is>
          <x:t xml:space="preserve">google|gemini-3.8-flash|high|reasoning|fallback-na|aa-v4.3.2|snapshot-2026-10-17</x:t>
        </x:is>
      </x:c>
      <x:c r="B1125" t="inlineStr">
        <x:is>
          <x:t xml:space="preserve">google|gemini-3.8-flash|high|reasoning|fallback-na</x:t>
        </x:is>
      </x:c>
      <x:c r="C1125" t="inlineStr">
        <x:is>
          <x:t xml:space="preserve">AA|v4.3.2</x:t>
        </x:is>
      </x:c>
      <x:c r="D1125" t="n">
        <x:v>142</x:v>
      </x:c>
      <x:c r="E1125" t="n">
        <x:v>50</x:v>
      </x:c>
      <x:c r="F1125" t="n">
        <x:f>INDEX(Run_Metrics!$F:$F,D1125)</x:f>
        <x:v>41</x:v>
      </x:c>
      <x:c r="G1125" t="n">
        <x:f>INDEX(Run_Metrics!$G:$G,D1125)</x:f>
        <x:v>1.24</x:v>
      </x:c>
      <x:c r="H1125" t="str">
        <x:f>INDEX(Run_Metrics!$I:$I,D1125)</x:f>
      </x:c>
      <x:c r="I1125" t="n">
        <x:f>IF(F1125="","",F1125-(E1125-1))</x:f>
        <x:v>-8</x:v>
      </x:c>
      <x:c r="J1125" t="n">
        <x:f>IF(I1125&gt;0,1,0)</x:f>
        <x:v>0</x:v>
      </x:c>
      <x:c r="K1125" t="str">
        <x:f>IF(OR(J1125=0,G1125="",G1125=0),"",I1125/G1125)</x:f>
      </x:c>
      <x:c r="L1125" t="str">
        <x:f>IF(OR(J1125=0,I1125=0,G1125=""),"",G1125/I1125)</x:f>
      </x:c>
      <x:c r="M1125" t="str">
        <x:f>IF(OR(J1125=0,G1125="",H1125="",G1125=0,H1125=0),"",I1125/(G1125*H1125))</x:f>
      </x:c>
      <x:c r="N1125" t="str">
        <x:f>IF(K1125="","",K1125/_xlfn.MAXIFS($K:$K,$E:$E,E1125))</x:f>
      </x:c>
      <x:c r="O1125" t="str">
        <x:f>IF(M1125="","",M1125/_xlfn.MAXIFS($M:$M,$E:$E,E1125))</x:f>
      </x:c>
      <x:c r="P1125" t="str">
        <x:f>IF(OR(N1125="",O1125=""),"",SQRT(N1125*O1125))</x:f>
      </x:c>
      <x:c r="Q1125" t="str">
        <x:f>IF(OR(N1125="",O1125=""),"",N1125^0.7*O1125^0.3)</x:f>
      </x:c>
      <x:c r="R1125" t="str">
        <x:f>IF(OR(N1125="",O1125=""),"",N1125^0.3*O1125^0.7)</x:f>
      </x:c>
    </x:row>
    <x:row r="1126">
      <x:c r="A1126" t="inlineStr">
        <x:is>
          <x:t xml:space="preserve">google|gemini-3.8-flash|high|reasoning|fallback-na|aa-v4.3.2|snapshot-2026-10-17</x:t>
        </x:is>
      </x:c>
      <x:c r="B1126" t="inlineStr">
        <x:is>
          <x:t xml:space="preserve">google|gemini-3.8-flash|high|reasoning|fallback-na</x:t>
        </x:is>
      </x:c>
      <x:c r="C1126" t="inlineStr">
        <x:is>
          <x:t xml:space="preserve">AA|v4.3.2</x:t>
        </x:is>
      </x:c>
      <x:c r="D1126" t="n">
        <x:v>142</x:v>
      </x:c>
      <x:c r="E1126" t="n">
        <x:v>60</x:v>
      </x:c>
      <x:c r="F1126" t="n">
        <x:f>INDEX(Run_Metrics!$F:$F,D1126)</x:f>
        <x:v>41</x:v>
      </x:c>
      <x:c r="G1126" t="n">
        <x:f>INDEX(Run_Metrics!$G:$G,D1126)</x:f>
        <x:v>1.24</x:v>
      </x:c>
      <x:c r="H1126" t="str">
        <x:f>INDEX(Run_Metrics!$I:$I,D1126)</x:f>
      </x:c>
      <x:c r="I1126" t="n">
        <x:f>IF(F1126="","",F1126-(E1126-1))</x:f>
        <x:v>-18</x:v>
      </x:c>
      <x:c r="J1126" t="n">
        <x:f>IF(I1126&gt;0,1,0)</x:f>
        <x:v>0</x:v>
      </x:c>
      <x:c r="K1126" t="str">
        <x:f>IF(OR(J1126=0,G1126="",G1126=0),"",I1126/G1126)</x:f>
      </x:c>
      <x:c r="L1126" t="str">
        <x:f>IF(OR(J1126=0,I1126=0,G1126=""),"",G1126/I1126)</x:f>
      </x:c>
      <x:c r="M1126" t="str">
        <x:f>IF(OR(J1126=0,G1126="",H1126="",G1126=0,H1126=0),"",I1126/(G1126*H1126))</x:f>
      </x:c>
      <x:c r="N1126" t="str">
        <x:f>IF(K1126="","",K1126/_xlfn.MAXIFS($K:$K,$E:$E,E1126))</x:f>
      </x:c>
      <x:c r="O1126" t="str">
        <x:f>IF(M1126="","",M1126/_xlfn.MAXIFS($M:$M,$E:$E,E1126))</x:f>
      </x:c>
      <x:c r="P1126" t="str">
        <x:f>IF(OR(N1126="",O1126=""),"",SQRT(N1126*O1126))</x:f>
      </x:c>
      <x:c r="Q1126" t="str">
        <x:f>IF(OR(N1126="",O1126=""),"",N1126^0.7*O1126^0.3)</x:f>
      </x:c>
      <x:c r="R1126" t="str">
        <x:f>IF(OR(N1126="",O1126=""),"",N1126^0.3*O1126^0.7)</x:f>
      </x:c>
    </x:row>
    <x:row r="1127">
      <x:c r="A1127" t="inlineStr">
        <x:is>
          <x:t xml:space="preserve">google|gemini-3.8-flash|high|reasoning|fallback-na|aa-v4.3.2|snapshot-2026-10-17</x:t>
        </x:is>
      </x:c>
      <x:c r="B1127" t="inlineStr">
        <x:is>
          <x:t xml:space="preserve">google|gemini-3.8-flash|high|reasoning|fallback-na</x:t>
        </x:is>
      </x:c>
      <x:c r="C1127" t="inlineStr">
        <x:is>
          <x:t xml:space="preserve">AA|v4.3.2</x:t>
        </x:is>
      </x:c>
      <x:c r="D1127" t="n">
        <x:v>142</x:v>
      </x:c>
      <x:c r="E1127" t="n">
        <x:v>70</x:v>
      </x:c>
      <x:c r="F1127" t="n">
        <x:f>INDEX(Run_Metrics!$F:$F,D1127)</x:f>
        <x:v>41</x:v>
      </x:c>
      <x:c r="G1127" t="n">
        <x:f>INDEX(Run_Metrics!$G:$G,D1127)</x:f>
        <x:v>1.24</x:v>
      </x:c>
      <x:c r="H1127" t="str">
        <x:f>INDEX(Run_Metrics!$I:$I,D1127)</x:f>
      </x:c>
      <x:c r="I1127" t="n">
        <x:f>IF(F1127="","",F1127-(E1127-1))</x:f>
        <x:v>-28</x:v>
      </x:c>
      <x:c r="J1127" t="n">
        <x:f>IF(I1127&gt;0,1,0)</x:f>
        <x:v>0</x:v>
      </x:c>
      <x:c r="K1127" t="str">
        <x:f>IF(OR(J1127=0,G1127="",G1127=0),"",I1127/G1127)</x:f>
      </x:c>
      <x:c r="L1127" t="str">
        <x:f>IF(OR(J1127=0,I1127=0,G1127=""),"",G1127/I1127)</x:f>
      </x:c>
      <x:c r="M1127" t="str">
        <x:f>IF(OR(J1127=0,G1127="",H1127="",G1127=0,H1127=0),"",I1127/(G1127*H1127))</x:f>
      </x:c>
      <x:c r="N1127" t="str">
        <x:f>IF(K1127="","",K1127/_xlfn.MAXIFS($K:$K,$E:$E,E1127))</x:f>
      </x:c>
      <x:c r="O1127" t="str">
        <x:f>IF(M1127="","",M1127/_xlfn.MAXIFS($M:$M,$E:$E,E1127))</x:f>
      </x:c>
      <x:c r="P1127" t="str">
        <x:f>IF(OR(N1127="",O1127=""),"",SQRT(N1127*O1127))</x:f>
      </x:c>
      <x:c r="Q1127" t="str">
        <x:f>IF(OR(N1127="",O1127=""),"",N1127^0.7*O1127^0.3)</x:f>
      </x:c>
      <x:c r="R1127" t="str">
        <x:f>IF(OR(N1127="",O1127=""),"",N1127^0.3*O1127^0.7)</x:f>
      </x:c>
    </x:row>
    <x:row r="1128">
      <x:c r="A1128" t="inlineStr">
        <x:is>
          <x:t xml:space="preserve">google|gemini-3.8-flash|high|reasoning|fallback-na|aa-v4.3.2|snapshot-2026-10-17</x:t>
        </x:is>
      </x:c>
      <x:c r="B1128" t="inlineStr">
        <x:is>
          <x:t xml:space="preserve">google|gemini-3.8-flash|high|reasoning|fallback-na</x:t>
        </x:is>
      </x:c>
      <x:c r="C1128" t="inlineStr">
        <x:is>
          <x:t xml:space="preserve">AA|v4.3.2</x:t>
        </x:is>
      </x:c>
      <x:c r="D1128" t="n">
        <x:v>142</x:v>
      </x:c>
      <x:c r="E1128" t="n">
        <x:v>80</x:v>
      </x:c>
      <x:c r="F1128" t="n">
        <x:f>INDEX(Run_Metrics!$F:$F,D1128)</x:f>
        <x:v>41</x:v>
      </x:c>
      <x:c r="G1128" t="n">
        <x:f>INDEX(Run_Metrics!$G:$G,D1128)</x:f>
        <x:v>1.24</x:v>
      </x:c>
      <x:c r="H1128" t="str">
        <x:f>INDEX(Run_Metrics!$I:$I,D1128)</x:f>
      </x:c>
      <x:c r="I1128" t="n">
        <x:f>IF(F1128="","",F1128-(E1128-1))</x:f>
        <x:v>-38</x:v>
      </x:c>
      <x:c r="J1128" t="n">
        <x:f>IF(I1128&gt;0,1,0)</x:f>
        <x:v>0</x:v>
      </x:c>
      <x:c r="K1128" t="str">
        <x:f>IF(OR(J1128=0,G1128="",G1128=0),"",I1128/G1128)</x:f>
      </x:c>
      <x:c r="L1128" t="str">
        <x:f>IF(OR(J1128=0,I1128=0,G1128=""),"",G1128/I1128)</x:f>
      </x:c>
      <x:c r="M1128" t="str">
        <x:f>IF(OR(J1128=0,G1128="",H1128="",G1128=0,H1128=0),"",I1128/(G1128*H1128))</x:f>
      </x:c>
      <x:c r="N1128" t="str">
        <x:f>IF(K1128="","",K1128/_xlfn.MAXIFS($K:$K,$E:$E,E1128))</x:f>
      </x:c>
      <x:c r="O1128" t="str">
        <x:f>IF(M1128="","",M1128/_xlfn.MAXIFS($M:$M,$E:$E,E1128))</x:f>
      </x:c>
      <x:c r="P1128" t="str">
        <x:f>IF(OR(N1128="",O1128=""),"",SQRT(N1128*O1128))</x:f>
      </x:c>
      <x:c r="Q1128" t="str">
        <x:f>IF(OR(N1128="",O1128=""),"",N1128^0.7*O1128^0.3)</x:f>
      </x:c>
      <x:c r="R1128" t="str">
        <x:f>IF(OR(N1128="",O1128=""),"",N1128^0.3*O1128^0.7)</x:f>
      </x:c>
    </x:row>
    <x:row r="1129">
      <x:c r="A1129" t="inlineStr">
        <x:is>
          <x:t xml:space="preserve">google|gemini-3.8-flash|high|reasoning|fallback-na|aa-v4.3.2|snapshot-2026-10-17</x:t>
        </x:is>
      </x:c>
      <x:c r="B1129" t="inlineStr">
        <x:is>
          <x:t xml:space="preserve">google|gemini-3.8-flash|high|reasoning|fallback-na</x:t>
        </x:is>
      </x:c>
      <x:c r="C1129" t="inlineStr">
        <x:is>
          <x:t xml:space="preserve">AA|v4.3.2</x:t>
        </x:is>
      </x:c>
      <x:c r="D1129" t="n">
        <x:v>142</x:v>
      </x:c>
      <x:c r="E1129" t="n">
        <x:v>90</x:v>
      </x:c>
      <x:c r="F1129" t="n">
        <x:f>INDEX(Run_Metrics!$F:$F,D1129)</x:f>
        <x:v>41</x:v>
      </x:c>
      <x:c r="G1129" t="n">
        <x:f>INDEX(Run_Metrics!$G:$G,D1129)</x:f>
        <x:v>1.24</x:v>
      </x:c>
      <x:c r="H1129" t="str">
        <x:f>INDEX(Run_Metrics!$I:$I,D1129)</x:f>
      </x:c>
      <x:c r="I1129" t="n">
        <x:f>IF(F1129="","",F1129-(E1129-1))</x:f>
        <x:v>-48</x:v>
      </x:c>
      <x:c r="J1129" t="n">
        <x:f>IF(I1129&gt;0,1,0)</x:f>
        <x:v>0</x:v>
      </x:c>
      <x:c r="K1129" t="str">
        <x:f>IF(OR(J1129=0,G1129="",G1129=0),"",I1129/G1129)</x:f>
      </x:c>
      <x:c r="L1129" t="str">
        <x:f>IF(OR(J1129=0,I1129=0,G1129=""),"",G1129/I1129)</x:f>
      </x:c>
      <x:c r="M1129" t="str">
        <x:f>IF(OR(J1129=0,G1129="",H1129="",G1129=0,H1129=0),"",I1129/(G1129*H1129))</x:f>
      </x:c>
      <x:c r="N1129" t="str">
        <x:f>IF(K1129="","",K1129/_xlfn.MAXIFS($K:$K,$E:$E,E1129))</x:f>
      </x:c>
      <x:c r="O1129" t="str">
        <x:f>IF(M1129="","",M1129/_xlfn.MAXIFS($M:$M,$E:$E,E1129))</x:f>
      </x:c>
      <x:c r="P1129" t="str">
        <x:f>IF(OR(N1129="",O1129=""),"",SQRT(N1129*O1129))</x:f>
      </x:c>
      <x:c r="Q1129" t="str">
        <x:f>IF(OR(N1129="",O1129=""),"",N1129^0.7*O1129^0.3)</x:f>
      </x:c>
      <x:c r="R1129" t="str">
        <x:f>IF(OR(N1129="",O1129=""),"",N1129^0.3*O1129^0.7)</x:f>
      </x:c>
    </x:row>
    <x:row r="1130">
      <x:c r="A1130" t="inlineStr">
        <x:is>
          <x:t xml:space="preserve">google|gemini-3-1-pro-preview|not-stated|reasoning|fallback-na|aa-v4.3.2|snapshot-2026-10-17</x:t>
        </x:is>
      </x:c>
      <x:c r="B1130" t="inlineStr">
        <x:is>
          <x:t xml:space="preserve">google|gemini-3-1-pro-preview|not-stated|reasoning|fallback-na</x:t>
        </x:is>
      </x:c>
      <x:c r="C1130" t="inlineStr">
        <x:is>
          <x:t xml:space="preserve">AA|v4.3.2</x:t>
        </x:is>
      </x:c>
      <x:c r="D1130" t="n">
        <x:v>143</x:v>
      </x:c>
      <x:c r="E1130" t="n">
        <x:v>20</x:v>
      </x:c>
      <x:c r="F1130" t="n">
        <x:f>INDEX(Run_Metrics!$F:$F,D1130)</x:f>
        <x:v>30</x:v>
      </x:c>
      <x:c r="G1130" t="n">
        <x:f>INDEX(Run_Metrics!$G:$G,D1130)</x:f>
        <x:v>1.3</x:v>
      </x:c>
      <x:c r="H1130" t="n">
        <x:f>INDEX(Run_Metrics!$I:$I,D1130)</x:f>
        <x:v>2.0586666666666664</x:v>
      </x:c>
      <x:c r="I1130" t="n">
        <x:f>IF(F1130="","",F1130-(E1130-1))</x:f>
        <x:v>11</x:v>
      </x:c>
      <x:c r="J1130" t="n">
        <x:f>IF(I1130&gt;0,1,0)</x:f>
        <x:v>1</x:v>
      </x:c>
      <x:c r="K1130" t="n">
        <x:f>IF(OR(J1130=0,G1130="",G1130=0),"",I1130/G1130)</x:f>
        <x:v>8.461538461538462</x:v>
      </x:c>
      <x:c r="L1130" t="n">
        <x:f>IF(OR(J1130=0,I1130=0,G1130=""),"",G1130/I1130)</x:f>
        <x:v>0.11818181818181818</x:v>
      </x:c>
      <x:c r="M1130" t="n">
        <x:f>IF(OR(J1130=0,G1130="",H1130="",G1130=0,H1130=0),"",I1130/(G1130*H1130))</x:f>
        <x:v>4.110203268234357</x:v>
      </x:c>
      <x:c r="N1130" t="n">
        <x:f>IF(K1130="","",K1130/_xlfn.MAXIFS($K:$K,$E:$E,E1130))</x:f>
        <x:v>0.01269230769230769</x:v>
      </x:c>
      <x:c r="O1130" t="n">
        <x:f>IF(M1130="","",M1130/_xlfn.MAXIFS($M:$M,$E:$E,E1130))</x:f>
        <x:v>0.0021778939567556796</x:v>
      </x:c>
      <x:c r="P1130" t="n">
        <x:f>IF(OR(N1130="",O1130=""),"",SQRT(N1130*O1130))</x:f>
        <x:v>0.005257613548023528</x:v>
      </x:c>
      <x:c r="Q1130" t="n">
        <x:f>IF(OR(N1130="",O1130=""),"",N1130^0.7*O1130^0.3)</x:f>
        <x:v>0.007479790488217243</x:v>
      </x:c>
      <x:c r="R1130" t="n">
        <x:f>IF(OR(N1130="",O1130=""),"",N1130^0.3*O1130^0.7)</x:f>
        <x:v>0.0036956249327979463</x:v>
      </x:c>
    </x:row>
    <x:row r="1131">
      <x:c r="A1131" t="inlineStr">
        <x:is>
          <x:t xml:space="preserve">google|gemini-3-1-pro-preview|not-stated|reasoning|fallback-na|aa-v4.3.2|snapshot-2026-10-17</x:t>
        </x:is>
      </x:c>
      <x:c r="B1131" t="inlineStr">
        <x:is>
          <x:t xml:space="preserve">google|gemini-3-1-pro-preview|not-stated|reasoning|fallback-na</x:t>
        </x:is>
      </x:c>
      <x:c r="C1131" t="inlineStr">
        <x:is>
          <x:t xml:space="preserve">AA|v4.3.2</x:t>
        </x:is>
      </x:c>
      <x:c r="D1131" t="n">
        <x:v>143</x:v>
      </x:c>
      <x:c r="E1131" t="n">
        <x:v>30</x:v>
      </x:c>
      <x:c r="F1131" t="n">
        <x:f>INDEX(Run_Metrics!$F:$F,D1131)</x:f>
        <x:v>30</x:v>
      </x:c>
      <x:c r="G1131" t="n">
        <x:f>INDEX(Run_Metrics!$G:$G,D1131)</x:f>
        <x:v>1.3</x:v>
      </x:c>
      <x:c r="H1131" t="n">
        <x:f>INDEX(Run_Metrics!$I:$I,D1131)</x:f>
        <x:v>2.0586666666666664</x:v>
      </x:c>
      <x:c r="I1131" t="n">
        <x:f>IF(F1131="","",F1131-(E1131-1))</x:f>
        <x:v>1</x:v>
      </x:c>
      <x:c r="J1131" t="n">
        <x:f>IF(I1131&gt;0,1,0)</x:f>
        <x:v>1</x:v>
      </x:c>
      <x:c r="K1131" t="n">
        <x:f>IF(OR(J1131=0,G1131="",G1131=0),"",I1131/G1131)</x:f>
        <x:v>0.7692307692307692</x:v>
      </x:c>
      <x:c r="L1131" t="n">
        <x:f>IF(OR(J1131=0,I1131=0,G1131=""),"",G1131/I1131)</x:f>
        <x:v>1.3</x:v>
      </x:c>
      <x:c r="M1131" t="n">
        <x:f>IF(OR(J1131=0,G1131="",H1131="",G1131=0,H1131=0),"",I1131/(G1131*H1131))</x:f>
        <x:v>0.3736548425667597</x:v>
      </x:c>
      <x:c r="N1131" t="n">
        <x:f>IF(K1131="","",K1131/_xlfn.MAXIFS($K:$K,$E:$E,E1131))</x:f>
        <x:v>0.005128205128205127</x:v>
      </x:c>
      <x:c r="O1131" t="n">
        <x:f>IF(M1131="","",M1131/_xlfn.MAXIFS($M:$M,$E:$E,E1131))</x:f>
        <x:v>0.006649935233160623</x:v>
      </x:c>
      <x:c r="P1131" t="n">
        <x:f>IF(OR(N1131="",O1131=""),"",SQRT(N1131*O1131))</x:f>
        <x:v>0.005839711633713283</x:v>
      </x:c>
      <x:c r="Q1131" t="n">
        <x:f>IF(OR(N1131="",O1131=""),"",N1131^0.7*O1131^0.3)</x:f>
        <x:v>0.00554397159804471</x:v>
      </x:c>
      <x:c r="R1131" t="n">
        <x:f>IF(OR(N1131="",O1131=""),"",N1131^0.3*O1131^0.7)</x:f>
        <x:v>0.006151227754657639</x:v>
      </x:c>
    </x:row>
    <x:row r="1132">
      <x:c r="A1132" t="inlineStr">
        <x:is>
          <x:t xml:space="preserve">google|gemini-3-1-pro-preview|not-stated|reasoning|fallback-na|aa-v4.3.2|snapshot-2026-10-17</x:t>
        </x:is>
      </x:c>
      <x:c r="B1132" t="inlineStr">
        <x:is>
          <x:t xml:space="preserve">google|gemini-3-1-pro-preview|not-stated|reasoning|fallback-na</x:t>
        </x:is>
      </x:c>
      <x:c r="C1132" t="inlineStr">
        <x:is>
          <x:t xml:space="preserve">AA|v4.3.2</x:t>
        </x:is>
      </x:c>
      <x:c r="D1132" t="n">
        <x:v>143</x:v>
      </x:c>
      <x:c r="E1132" t="n">
        <x:v>40</x:v>
      </x:c>
      <x:c r="F1132" t="n">
        <x:f>INDEX(Run_Metrics!$F:$F,D1132)</x:f>
        <x:v>30</x:v>
      </x:c>
      <x:c r="G1132" t="n">
        <x:f>INDEX(Run_Metrics!$G:$G,D1132)</x:f>
        <x:v>1.3</x:v>
      </x:c>
      <x:c r="H1132" t="n">
        <x:f>INDEX(Run_Metrics!$I:$I,D1132)</x:f>
        <x:v>2.0586666666666664</x:v>
      </x:c>
      <x:c r="I1132" t="n">
        <x:f>IF(F1132="","",F1132-(E1132-1))</x:f>
        <x:v>-9</x:v>
      </x:c>
      <x:c r="J1132" t="n">
        <x:f>IF(I1132&gt;0,1,0)</x:f>
        <x:v>0</x:v>
      </x:c>
      <x:c r="K1132" t="str">
        <x:f>IF(OR(J1132=0,G1132="",G1132=0),"",I1132/G1132)</x:f>
      </x:c>
      <x:c r="L1132" t="str">
        <x:f>IF(OR(J1132=0,I1132=0,G1132=""),"",G1132/I1132)</x:f>
      </x:c>
      <x:c r="M1132" t="str">
        <x:f>IF(OR(J1132=0,G1132="",H1132="",G1132=0,H1132=0),"",I1132/(G1132*H1132))</x:f>
      </x:c>
      <x:c r="N1132" t="str">
        <x:f>IF(K1132="","",K1132/_xlfn.MAXIFS($K:$K,$E:$E,E1132))</x:f>
      </x:c>
      <x:c r="O1132" t="str">
        <x:f>IF(M1132="","",M1132/_xlfn.MAXIFS($M:$M,$E:$E,E1132))</x:f>
      </x:c>
      <x:c r="P1132" t="str">
        <x:f>IF(OR(N1132="",O1132=""),"",SQRT(N1132*O1132))</x:f>
      </x:c>
      <x:c r="Q1132" t="str">
        <x:f>IF(OR(N1132="",O1132=""),"",N1132^0.7*O1132^0.3)</x:f>
      </x:c>
      <x:c r="R1132" t="str">
        <x:f>IF(OR(N1132="",O1132=""),"",N1132^0.3*O1132^0.7)</x:f>
      </x:c>
    </x:row>
    <x:row r="1133">
      <x:c r="A1133" t="inlineStr">
        <x:is>
          <x:t xml:space="preserve">google|gemini-3-1-pro-preview|not-stated|reasoning|fallback-na|aa-v4.3.2|snapshot-2026-10-17</x:t>
        </x:is>
      </x:c>
      <x:c r="B1133" t="inlineStr">
        <x:is>
          <x:t xml:space="preserve">google|gemini-3-1-pro-preview|not-stated|reasoning|fallback-na</x:t>
        </x:is>
      </x:c>
      <x:c r="C1133" t="inlineStr">
        <x:is>
          <x:t xml:space="preserve">AA|v4.3.2</x:t>
        </x:is>
      </x:c>
      <x:c r="D1133" t="n">
        <x:v>143</x:v>
      </x:c>
      <x:c r="E1133" t="n">
        <x:v>50</x:v>
      </x:c>
      <x:c r="F1133" t="n">
        <x:f>INDEX(Run_Metrics!$F:$F,D1133)</x:f>
        <x:v>30</x:v>
      </x:c>
      <x:c r="G1133" t="n">
        <x:f>INDEX(Run_Metrics!$G:$G,D1133)</x:f>
        <x:v>1.3</x:v>
      </x:c>
      <x:c r="H1133" t="n">
        <x:f>INDEX(Run_Metrics!$I:$I,D1133)</x:f>
        <x:v>2.0586666666666664</x:v>
      </x:c>
      <x:c r="I1133" t="n">
        <x:f>IF(F1133="","",F1133-(E1133-1))</x:f>
        <x:v>-19</x:v>
      </x:c>
      <x:c r="J1133" t="n">
        <x:f>IF(I1133&gt;0,1,0)</x:f>
        <x:v>0</x:v>
      </x:c>
      <x:c r="K1133" t="str">
        <x:f>IF(OR(J1133=0,G1133="",G1133=0),"",I1133/G1133)</x:f>
      </x:c>
      <x:c r="L1133" t="str">
        <x:f>IF(OR(J1133=0,I1133=0,G1133=""),"",G1133/I1133)</x:f>
      </x:c>
      <x:c r="M1133" t="str">
        <x:f>IF(OR(J1133=0,G1133="",H1133="",G1133=0,H1133=0),"",I1133/(G1133*H1133))</x:f>
      </x:c>
      <x:c r="N1133" t="str">
        <x:f>IF(K1133="","",K1133/_xlfn.MAXIFS($K:$K,$E:$E,E1133))</x:f>
      </x:c>
      <x:c r="O1133" t="str">
        <x:f>IF(M1133="","",M1133/_xlfn.MAXIFS($M:$M,$E:$E,E1133))</x:f>
      </x:c>
      <x:c r="P1133" t="str">
        <x:f>IF(OR(N1133="",O1133=""),"",SQRT(N1133*O1133))</x:f>
      </x:c>
      <x:c r="Q1133" t="str">
        <x:f>IF(OR(N1133="",O1133=""),"",N1133^0.7*O1133^0.3)</x:f>
      </x:c>
      <x:c r="R1133" t="str">
        <x:f>IF(OR(N1133="",O1133=""),"",N1133^0.3*O1133^0.7)</x:f>
      </x:c>
    </x:row>
    <x:row r="1134">
      <x:c r="A1134" t="inlineStr">
        <x:is>
          <x:t xml:space="preserve">google|gemini-3-1-pro-preview|not-stated|reasoning|fallback-na|aa-v4.3.2|snapshot-2026-10-17</x:t>
        </x:is>
      </x:c>
      <x:c r="B1134" t="inlineStr">
        <x:is>
          <x:t xml:space="preserve">google|gemini-3-1-pro-preview|not-stated|reasoning|fallback-na</x:t>
        </x:is>
      </x:c>
      <x:c r="C1134" t="inlineStr">
        <x:is>
          <x:t xml:space="preserve">AA|v4.3.2</x:t>
        </x:is>
      </x:c>
      <x:c r="D1134" t="n">
        <x:v>143</x:v>
      </x:c>
      <x:c r="E1134" t="n">
        <x:v>60</x:v>
      </x:c>
      <x:c r="F1134" t="n">
        <x:f>INDEX(Run_Metrics!$F:$F,D1134)</x:f>
        <x:v>30</x:v>
      </x:c>
      <x:c r="G1134" t="n">
        <x:f>INDEX(Run_Metrics!$G:$G,D1134)</x:f>
        <x:v>1.3</x:v>
      </x:c>
      <x:c r="H1134" t="n">
        <x:f>INDEX(Run_Metrics!$I:$I,D1134)</x:f>
        <x:v>2.0586666666666664</x:v>
      </x:c>
      <x:c r="I1134" t="n">
        <x:f>IF(F1134="","",F1134-(E1134-1))</x:f>
        <x:v>-29</x:v>
      </x:c>
      <x:c r="J1134" t="n">
        <x:f>IF(I1134&gt;0,1,0)</x:f>
        <x:v>0</x:v>
      </x:c>
      <x:c r="K1134" t="str">
        <x:f>IF(OR(J1134=0,G1134="",G1134=0),"",I1134/G1134)</x:f>
      </x:c>
      <x:c r="L1134" t="str">
        <x:f>IF(OR(J1134=0,I1134=0,G1134=""),"",G1134/I1134)</x:f>
      </x:c>
      <x:c r="M1134" t="str">
        <x:f>IF(OR(J1134=0,G1134="",H1134="",G1134=0,H1134=0),"",I1134/(G1134*H1134))</x:f>
      </x:c>
      <x:c r="N1134" t="str">
        <x:f>IF(K1134="","",K1134/_xlfn.MAXIFS($K:$K,$E:$E,E1134))</x:f>
      </x:c>
      <x:c r="O1134" t="str">
        <x:f>IF(M1134="","",M1134/_xlfn.MAXIFS($M:$M,$E:$E,E1134))</x:f>
      </x:c>
      <x:c r="P1134" t="str">
        <x:f>IF(OR(N1134="",O1134=""),"",SQRT(N1134*O1134))</x:f>
      </x:c>
      <x:c r="Q1134" t="str">
        <x:f>IF(OR(N1134="",O1134=""),"",N1134^0.7*O1134^0.3)</x:f>
      </x:c>
      <x:c r="R1134" t="str">
        <x:f>IF(OR(N1134="",O1134=""),"",N1134^0.3*O1134^0.7)</x:f>
      </x:c>
    </x:row>
    <x:row r="1135">
      <x:c r="A1135" t="inlineStr">
        <x:is>
          <x:t xml:space="preserve">google|gemini-3-1-pro-preview|not-stated|reasoning|fallback-na|aa-v4.3.2|snapshot-2026-10-17</x:t>
        </x:is>
      </x:c>
      <x:c r="B1135" t="inlineStr">
        <x:is>
          <x:t xml:space="preserve">google|gemini-3-1-pro-preview|not-stated|reasoning|fallback-na</x:t>
        </x:is>
      </x:c>
      <x:c r="C1135" t="inlineStr">
        <x:is>
          <x:t xml:space="preserve">AA|v4.3.2</x:t>
        </x:is>
      </x:c>
      <x:c r="D1135" t="n">
        <x:v>143</x:v>
      </x:c>
      <x:c r="E1135" t="n">
        <x:v>70</x:v>
      </x:c>
      <x:c r="F1135" t="n">
        <x:f>INDEX(Run_Metrics!$F:$F,D1135)</x:f>
        <x:v>30</x:v>
      </x:c>
      <x:c r="G1135" t="n">
        <x:f>INDEX(Run_Metrics!$G:$G,D1135)</x:f>
        <x:v>1.3</x:v>
      </x:c>
      <x:c r="H1135" t="n">
        <x:f>INDEX(Run_Metrics!$I:$I,D1135)</x:f>
        <x:v>2.0586666666666664</x:v>
      </x:c>
      <x:c r="I1135" t="n">
        <x:f>IF(F1135="","",F1135-(E1135-1))</x:f>
        <x:v>-39</x:v>
      </x:c>
      <x:c r="J1135" t="n">
        <x:f>IF(I1135&gt;0,1,0)</x:f>
        <x:v>0</x:v>
      </x:c>
      <x:c r="K1135" t="str">
        <x:f>IF(OR(J1135=0,G1135="",G1135=0),"",I1135/G1135)</x:f>
      </x:c>
      <x:c r="L1135" t="str">
        <x:f>IF(OR(J1135=0,I1135=0,G1135=""),"",G1135/I1135)</x:f>
      </x:c>
      <x:c r="M1135" t="str">
        <x:f>IF(OR(J1135=0,G1135="",H1135="",G1135=0,H1135=0),"",I1135/(G1135*H1135))</x:f>
      </x:c>
      <x:c r="N1135" t="str">
        <x:f>IF(K1135="","",K1135/_xlfn.MAXIFS($K:$K,$E:$E,E1135))</x:f>
      </x:c>
      <x:c r="O1135" t="str">
        <x:f>IF(M1135="","",M1135/_xlfn.MAXIFS($M:$M,$E:$E,E1135))</x:f>
      </x:c>
      <x:c r="P1135" t="str">
        <x:f>IF(OR(N1135="",O1135=""),"",SQRT(N1135*O1135))</x:f>
      </x:c>
      <x:c r="Q1135" t="str">
        <x:f>IF(OR(N1135="",O1135=""),"",N1135^0.7*O1135^0.3)</x:f>
      </x:c>
      <x:c r="R1135" t="str">
        <x:f>IF(OR(N1135="",O1135=""),"",N1135^0.3*O1135^0.7)</x:f>
      </x:c>
    </x:row>
    <x:row r="1136">
      <x:c r="A1136" t="inlineStr">
        <x:is>
          <x:t xml:space="preserve">google|gemini-3-1-pro-preview|not-stated|reasoning|fallback-na|aa-v4.3.2|snapshot-2026-10-17</x:t>
        </x:is>
      </x:c>
      <x:c r="B1136" t="inlineStr">
        <x:is>
          <x:t xml:space="preserve">google|gemini-3-1-pro-preview|not-stated|reasoning|fallback-na</x:t>
        </x:is>
      </x:c>
      <x:c r="C1136" t="inlineStr">
        <x:is>
          <x:t xml:space="preserve">AA|v4.3.2</x:t>
        </x:is>
      </x:c>
      <x:c r="D1136" t="n">
        <x:v>143</x:v>
      </x:c>
      <x:c r="E1136" t="n">
        <x:v>80</x:v>
      </x:c>
      <x:c r="F1136" t="n">
        <x:f>INDEX(Run_Metrics!$F:$F,D1136)</x:f>
        <x:v>30</x:v>
      </x:c>
      <x:c r="G1136" t="n">
        <x:f>INDEX(Run_Metrics!$G:$G,D1136)</x:f>
        <x:v>1.3</x:v>
      </x:c>
      <x:c r="H1136" t="n">
        <x:f>INDEX(Run_Metrics!$I:$I,D1136)</x:f>
        <x:v>2.0586666666666664</x:v>
      </x:c>
      <x:c r="I1136" t="n">
        <x:f>IF(F1136="","",F1136-(E1136-1))</x:f>
        <x:v>-49</x:v>
      </x:c>
      <x:c r="J1136" t="n">
        <x:f>IF(I1136&gt;0,1,0)</x:f>
        <x:v>0</x:v>
      </x:c>
      <x:c r="K1136" t="str">
        <x:f>IF(OR(J1136=0,G1136="",G1136=0),"",I1136/G1136)</x:f>
      </x:c>
      <x:c r="L1136" t="str">
        <x:f>IF(OR(J1136=0,I1136=0,G1136=""),"",G1136/I1136)</x:f>
      </x:c>
      <x:c r="M1136" t="str">
        <x:f>IF(OR(J1136=0,G1136="",H1136="",G1136=0,H1136=0),"",I1136/(G1136*H1136))</x:f>
      </x:c>
      <x:c r="N1136" t="str">
        <x:f>IF(K1136="","",K1136/_xlfn.MAXIFS($K:$K,$E:$E,E1136))</x:f>
      </x:c>
      <x:c r="O1136" t="str">
        <x:f>IF(M1136="","",M1136/_xlfn.MAXIFS($M:$M,$E:$E,E1136))</x:f>
      </x:c>
      <x:c r="P1136" t="str">
        <x:f>IF(OR(N1136="",O1136=""),"",SQRT(N1136*O1136))</x:f>
      </x:c>
      <x:c r="Q1136" t="str">
        <x:f>IF(OR(N1136="",O1136=""),"",N1136^0.7*O1136^0.3)</x:f>
      </x:c>
      <x:c r="R1136" t="str">
        <x:f>IF(OR(N1136="",O1136=""),"",N1136^0.3*O1136^0.7)</x:f>
      </x:c>
    </x:row>
    <x:row r="1137">
      <x:c r="A1137" t="inlineStr">
        <x:is>
          <x:t xml:space="preserve">google|gemini-3-1-pro-preview|not-stated|reasoning|fallback-na|aa-v4.3.2|snapshot-2026-10-17</x:t>
        </x:is>
      </x:c>
      <x:c r="B1137" t="inlineStr">
        <x:is>
          <x:t xml:space="preserve">google|gemini-3-1-pro-preview|not-stated|reasoning|fallback-na</x:t>
        </x:is>
      </x:c>
      <x:c r="C1137" t="inlineStr">
        <x:is>
          <x:t xml:space="preserve">AA|v4.3.2</x:t>
        </x:is>
      </x:c>
      <x:c r="D1137" t="n">
        <x:v>143</x:v>
      </x:c>
      <x:c r="E1137" t="n">
        <x:v>90</x:v>
      </x:c>
      <x:c r="F1137" t="n">
        <x:f>INDEX(Run_Metrics!$F:$F,D1137)</x:f>
        <x:v>30</x:v>
      </x:c>
      <x:c r="G1137" t="n">
        <x:f>INDEX(Run_Metrics!$G:$G,D1137)</x:f>
        <x:v>1.3</x:v>
      </x:c>
      <x:c r="H1137" t="n">
        <x:f>INDEX(Run_Metrics!$I:$I,D1137)</x:f>
        <x:v>2.0586666666666664</x:v>
      </x:c>
      <x:c r="I1137" t="n">
        <x:f>IF(F1137="","",F1137-(E1137-1))</x:f>
        <x:v>-59</x:v>
      </x:c>
      <x:c r="J1137" t="n">
        <x:f>IF(I1137&gt;0,1,0)</x:f>
        <x:v>0</x:v>
      </x:c>
      <x:c r="K1137" t="str">
        <x:f>IF(OR(J1137=0,G1137="",G1137=0),"",I1137/G1137)</x:f>
      </x:c>
      <x:c r="L1137" t="str">
        <x:f>IF(OR(J1137=0,I1137=0,G1137=""),"",G1137/I1137)</x:f>
      </x:c>
      <x:c r="M1137" t="str">
        <x:f>IF(OR(J1137=0,G1137="",H1137="",G1137=0,H1137=0),"",I1137/(G1137*H1137))</x:f>
      </x:c>
      <x:c r="N1137" t="str">
        <x:f>IF(K1137="","",K1137/_xlfn.MAXIFS($K:$K,$E:$E,E1137))</x:f>
      </x:c>
      <x:c r="O1137" t="str">
        <x:f>IF(M1137="","",M1137/_xlfn.MAXIFS($M:$M,$E:$E,E1137))</x:f>
      </x:c>
      <x:c r="P1137" t="str">
        <x:f>IF(OR(N1137="",O1137=""),"",SQRT(N1137*O1137))</x:f>
      </x:c>
      <x:c r="Q1137" t="str">
        <x:f>IF(OR(N1137="",O1137=""),"",N1137^0.7*O1137^0.3)</x:f>
      </x:c>
      <x:c r="R1137" t="str">
        <x:f>IF(OR(N1137="",O1137=""),"",N1137^0.3*O1137^0.7)</x:f>
      </x:c>
    </x:row>
    <x:row r="1138">
      <x:c r="A1138" t="inlineStr">
        <x:is>
          <x:t xml:space="preserve">google|gemini-3-5-flash|high|reasoning|fallback-na|aa-v4.3.2|snapshot-2026-10-17</x:t>
        </x:is>
      </x:c>
      <x:c r="B1138" t="inlineStr">
        <x:is>
          <x:t xml:space="preserve">google|gemini-3-5-flash|high|reasoning|fallback-na</x:t>
        </x:is>
      </x:c>
      <x:c r="C1138" t="inlineStr">
        <x:is>
          <x:t xml:space="preserve">AA|v4.3.2</x:t>
        </x:is>
      </x:c>
      <x:c r="D1138" t="n">
        <x:v>144</x:v>
      </x:c>
      <x:c r="E1138" t="n">
        <x:v>20</x:v>
      </x:c>
      <x:c r="F1138" t="n">
        <x:f>INDEX(Run_Metrics!$F:$F,D1138)</x:f>
        <x:v>33</x:v>
      </x:c>
      <x:c r="G1138" t="n">
        <x:f>INDEX(Run_Metrics!$G:$G,D1138)</x:f>
        <x:v>3.69</x:v>
      </x:c>
      <x:c r="H1138" t="str">
        <x:f>INDEX(Run_Metrics!$I:$I,D1138)</x:f>
      </x:c>
      <x:c r="I1138" t="n">
        <x:f>IF(F1138="","",F1138-(E1138-1))</x:f>
        <x:v>14</x:v>
      </x:c>
      <x:c r="J1138" t="n">
        <x:f>IF(I1138&gt;0,1,0)</x:f>
        <x:v>1</x:v>
      </x:c>
      <x:c r="K1138" t="n">
        <x:f>IF(OR(J1138=0,G1138="",G1138=0),"",I1138/G1138)</x:f>
        <x:v>3.794037940379404</x:v>
      </x:c>
      <x:c r="L1138" t="n">
        <x:f>IF(OR(J1138=0,I1138=0,G1138=""),"",G1138/I1138)</x:f>
        <x:v>0.26357142857142857</x:v>
      </x:c>
      <x:c r="M1138" t="str">
        <x:f>IF(OR(J1138=0,G1138="",H1138="",G1138=0,H1138=0),"",I1138/(G1138*H1138))</x:f>
      </x:c>
      <x:c r="N1138" t="n">
        <x:f>IF(K1138="","",K1138/_xlfn.MAXIFS($K:$K,$E:$E,E1138))</x:f>
        <x:v>0.005691056910569105</x:v>
      </x:c>
      <x:c r="O1138" t="str">
        <x:f>IF(M1138="","",M1138/_xlfn.MAXIFS($M:$M,$E:$E,E1138))</x:f>
      </x:c>
      <x:c r="P1138" t="str">
        <x:f>IF(OR(N1138="",O1138=""),"",SQRT(N1138*O1138))</x:f>
      </x:c>
      <x:c r="Q1138" t="str">
        <x:f>IF(OR(N1138="",O1138=""),"",N1138^0.7*O1138^0.3)</x:f>
      </x:c>
      <x:c r="R1138" t="str">
        <x:f>IF(OR(N1138="",O1138=""),"",N1138^0.3*O1138^0.7)</x:f>
      </x:c>
    </x:row>
    <x:row r="1139">
      <x:c r="A1139" t="inlineStr">
        <x:is>
          <x:t xml:space="preserve">google|gemini-3-5-flash|high|reasoning|fallback-na|aa-v4.3.2|snapshot-2026-10-17</x:t>
        </x:is>
      </x:c>
      <x:c r="B1139" t="inlineStr">
        <x:is>
          <x:t xml:space="preserve">google|gemini-3-5-flash|high|reasoning|fallback-na</x:t>
        </x:is>
      </x:c>
      <x:c r="C1139" t="inlineStr">
        <x:is>
          <x:t xml:space="preserve">AA|v4.3.2</x:t>
        </x:is>
      </x:c>
      <x:c r="D1139" t="n">
        <x:v>144</x:v>
      </x:c>
      <x:c r="E1139" t="n">
        <x:v>30</x:v>
      </x:c>
      <x:c r="F1139" t="n">
        <x:f>INDEX(Run_Metrics!$F:$F,D1139)</x:f>
        <x:v>33</x:v>
      </x:c>
      <x:c r="G1139" t="n">
        <x:f>INDEX(Run_Metrics!$G:$G,D1139)</x:f>
        <x:v>3.69</x:v>
      </x:c>
      <x:c r="H1139" t="str">
        <x:f>INDEX(Run_Metrics!$I:$I,D1139)</x:f>
      </x:c>
      <x:c r="I1139" t="n">
        <x:f>IF(F1139="","",F1139-(E1139-1))</x:f>
        <x:v>4</x:v>
      </x:c>
      <x:c r="J1139" t="n">
        <x:f>IF(I1139&gt;0,1,0)</x:f>
        <x:v>1</x:v>
      </x:c>
      <x:c r="K1139" t="n">
        <x:f>IF(OR(J1139=0,G1139="",G1139=0),"",I1139/G1139)</x:f>
        <x:v>1.0840108401084012</x:v>
      </x:c>
      <x:c r="L1139" t="n">
        <x:f>IF(OR(J1139=0,I1139=0,G1139=""),"",G1139/I1139)</x:f>
        <x:v>0.9225</x:v>
      </x:c>
      <x:c r="M1139" t="str">
        <x:f>IF(OR(J1139=0,G1139="",H1139="",G1139=0,H1139=0),"",I1139/(G1139*H1139))</x:f>
      </x:c>
      <x:c r="N1139" t="n">
        <x:f>IF(K1139="","",K1139/_xlfn.MAXIFS($K:$K,$E:$E,E1139))</x:f>
        <x:v>0.007226738934056008</x:v>
      </x:c>
      <x:c r="O1139" t="str">
        <x:f>IF(M1139="","",M1139/_xlfn.MAXIFS($M:$M,$E:$E,E1139))</x:f>
      </x:c>
      <x:c r="P1139" t="str">
        <x:f>IF(OR(N1139="",O1139=""),"",SQRT(N1139*O1139))</x:f>
      </x:c>
      <x:c r="Q1139" t="str">
        <x:f>IF(OR(N1139="",O1139=""),"",N1139^0.7*O1139^0.3)</x:f>
      </x:c>
      <x:c r="R1139" t="str">
        <x:f>IF(OR(N1139="",O1139=""),"",N1139^0.3*O1139^0.7)</x:f>
      </x:c>
    </x:row>
    <x:row r="1140">
      <x:c r="A1140" t="inlineStr">
        <x:is>
          <x:t xml:space="preserve">google|gemini-3-5-flash|high|reasoning|fallback-na|aa-v4.3.2|snapshot-2026-10-17</x:t>
        </x:is>
      </x:c>
      <x:c r="B1140" t="inlineStr">
        <x:is>
          <x:t xml:space="preserve">google|gemini-3-5-flash|high|reasoning|fallback-na</x:t>
        </x:is>
      </x:c>
      <x:c r="C1140" t="inlineStr">
        <x:is>
          <x:t xml:space="preserve">AA|v4.3.2</x:t>
        </x:is>
      </x:c>
      <x:c r="D1140" t="n">
        <x:v>144</x:v>
      </x:c>
      <x:c r="E1140" t="n">
        <x:v>40</x:v>
      </x:c>
      <x:c r="F1140" t="n">
        <x:f>INDEX(Run_Metrics!$F:$F,D1140)</x:f>
        <x:v>33</x:v>
      </x:c>
      <x:c r="G1140" t="n">
        <x:f>INDEX(Run_Metrics!$G:$G,D1140)</x:f>
        <x:v>3.69</x:v>
      </x:c>
      <x:c r="H1140" t="str">
        <x:f>INDEX(Run_Metrics!$I:$I,D1140)</x:f>
      </x:c>
      <x:c r="I1140" t="n">
        <x:f>IF(F1140="","",F1140-(E1140-1))</x:f>
        <x:v>-6</x:v>
      </x:c>
      <x:c r="J1140" t="n">
        <x:f>IF(I1140&gt;0,1,0)</x:f>
        <x:v>0</x:v>
      </x:c>
      <x:c r="K1140" t="str">
        <x:f>IF(OR(J1140=0,G1140="",G1140=0),"",I1140/G1140)</x:f>
      </x:c>
      <x:c r="L1140" t="str">
        <x:f>IF(OR(J1140=0,I1140=0,G1140=""),"",G1140/I1140)</x:f>
      </x:c>
      <x:c r="M1140" t="str">
        <x:f>IF(OR(J1140=0,G1140="",H1140="",G1140=0,H1140=0),"",I1140/(G1140*H1140))</x:f>
      </x:c>
      <x:c r="N1140" t="str">
        <x:f>IF(K1140="","",K1140/_xlfn.MAXIFS($K:$K,$E:$E,E1140))</x:f>
      </x:c>
      <x:c r="O1140" t="str">
        <x:f>IF(M1140="","",M1140/_xlfn.MAXIFS($M:$M,$E:$E,E1140))</x:f>
      </x:c>
      <x:c r="P1140" t="str">
        <x:f>IF(OR(N1140="",O1140=""),"",SQRT(N1140*O1140))</x:f>
      </x:c>
      <x:c r="Q1140" t="str">
        <x:f>IF(OR(N1140="",O1140=""),"",N1140^0.7*O1140^0.3)</x:f>
      </x:c>
      <x:c r="R1140" t="str">
        <x:f>IF(OR(N1140="",O1140=""),"",N1140^0.3*O1140^0.7)</x:f>
      </x:c>
    </x:row>
    <x:row r="1141">
      <x:c r="A1141" t="inlineStr">
        <x:is>
          <x:t xml:space="preserve">google|gemini-3-5-flash|high|reasoning|fallback-na|aa-v4.3.2|snapshot-2026-10-17</x:t>
        </x:is>
      </x:c>
      <x:c r="B1141" t="inlineStr">
        <x:is>
          <x:t xml:space="preserve">google|gemini-3-5-flash|high|reasoning|fallback-na</x:t>
        </x:is>
      </x:c>
      <x:c r="C1141" t="inlineStr">
        <x:is>
          <x:t xml:space="preserve">AA|v4.3.2</x:t>
        </x:is>
      </x:c>
      <x:c r="D1141" t="n">
        <x:v>144</x:v>
      </x:c>
      <x:c r="E1141" t="n">
        <x:v>50</x:v>
      </x:c>
      <x:c r="F1141" t="n">
        <x:f>INDEX(Run_Metrics!$F:$F,D1141)</x:f>
        <x:v>33</x:v>
      </x:c>
      <x:c r="G1141" t="n">
        <x:f>INDEX(Run_Metrics!$G:$G,D1141)</x:f>
        <x:v>3.69</x:v>
      </x:c>
      <x:c r="H1141" t="str">
        <x:f>INDEX(Run_Metrics!$I:$I,D1141)</x:f>
      </x:c>
      <x:c r="I1141" t="n">
        <x:f>IF(F1141="","",F1141-(E1141-1))</x:f>
        <x:v>-16</x:v>
      </x:c>
      <x:c r="J1141" t="n">
        <x:f>IF(I1141&gt;0,1,0)</x:f>
        <x:v>0</x:v>
      </x:c>
      <x:c r="K1141" t="str">
        <x:f>IF(OR(J1141=0,G1141="",G1141=0),"",I1141/G1141)</x:f>
      </x:c>
      <x:c r="L1141" t="str">
        <x:f>IF(OR(J1141=0,I1141=0,G1141=""),"",G1141/I1141)</x:f>
      </x:c>
      <x:c r="M1141" t="str">
        <x:f>IF(OR(J1141=0,G1141="",H1141="",G1141=0,H1141=0),"",I1141/(G1141*H1141))</x:f>
      </x:c>
      <x:c r="N1141" t="str">
        <x:f>IF(K1141="","",K1141/_xlfn.MAXIFS($K:$K,$E:$E,E1141))</x:f>
      </x:c>
      <x:c r="O1141" t="str">
        <x:f>IF(M1141="","",M1141/_xlfn.MAXIFS($M:$M,$E:$E,E1141))</x:f>
      </x:c>
      <x:c r="P1141" t="str">
        <x:f>IF(OR(N1141="",O1141=""),"",SQRT(N1141*O1141))</x:f>
      </x:c>
      <x:c r="Q1141" t="str">
        <x:f>IF(OR(N1141="",O1141=""),"",N1141^0.7*O1141^0.3)</x:f>
      </x:c>
      <x:c r="R1141" t="str">
        <x:f>IF(OR(N1141="",O1141=""),"",N1141^0.3*O1141^0.7)</x:f>
      </x:c>
    </x:row>
    <x:row r="1142">
      <x:c r="A1142" t="inlineStr">
        <x:is>
          <x:t xml:space="preserve">google|gemini-3-5-flash|high|reasoning|fallback-na|aa-v4.3.2|snapshot-2026-10-17</x:t>
        </x:is>
      </x:c>
      <x:c r="B1142" t="inlineStr">
        <x:is>
          <x:t xml:space="preserve">google|gemini-3-5-flash|high|reasoning|fallback-na</x:t>
        </x:is>
      </x:c>
      <x:c r="C1142" t="inlineStr">
        <x:is>
          <x:t xml:space="preserve">AA|v4.3.2</x:t>
        </x:is>
      </x:c>
      <x:c r="D1142" t="n">
        <x:v>144</x:v>
      </x:c>
      <x:c r="E1142" t="n">
        <x:v>60</x:v>
      </x:c>
      <x:c r="F1142" t="n">
        <x:f>INDEX(Run_Metrics!$F:$F,D1142)</x:f>
        <x:v>33</x:v>
      </x:c>
      <x:c r="G1142" t="n">
        <x:f>INDEX(Run_Metrics!$G:$G,D1142)</x:f>
        <x:v>3.69</x:v>
      </x:c>
      <x:c r="H1142" t="str">
        <x:f>INDEX(Run_Metrics!$I:$I,D1142)</x:f>
      </x:c>
      <x:c r="I1142" t="n">
        <x:f>IF(F1142="","",F1142-(E1142-1))</x:f>
        <x:v>-26</x:v>
      </x:c>
      <x:c r="J1142" t="n">
        <x:f>IF(I1142&gt;0,1,0)</x:f>
        <x:v>0</x:v>
      </x:c>
      <x:c r="K1142" t="str">
        <x:f>IF(OR(J1142=0,G1142="",G1142=0),"",I1142/G1142)</x:f>
      </x:c>
      <x:c r="L1142" t="str">
        <x:f>IF(OR(J1142=0,I1142=0,G1142=""),"",G1142/I1142)</x:f>
      </x:c>
      <x:c r="M1142" t="str">
        <x:f>IF(OR(J1142=0,G1142="",H1142="",G1142=0,H1142=0),"",I1142/(G1142*H1142))</x:f>
      </x:c>
      <x:c r="N1142" t="str">
        <x:f>IF(K1142="","",K1142/_xlfn.MAXIFS($K:$K,$E:$E,E1142))</x:f>
      </x:c>
      <x:c r="O1142" t="str">
        <x:f>IF(M1142="","",M1142/_xlfn.MAXIFS($M:$M,$E:$E,E1142))</x:f>
      </x:c>
      <x:c r="P1142" t="str">
        <x:f>IF(OR(N1142="",O1142=""),"",SQRT(N1142*O1142))</x:f>
      </x:c>
      <x:c r="Q1142" t="str">
        <x:f>IF(OR(N1142="",O1142=""),"",N1142^0.7*O1142^0.3)</x:f>
      </x:c>
      <x:c r="R1142" t="str">
        <x:f>IF(OR(N1142="",O1142=""),"",N1142^0.3*O1142^0.7)</x:f>
      </x:c>
    </x:row>
    <x:row r="1143">
      <x:c r="A1143" t="inlineStr">
        <x:is>
          <x:t xml:space="preserve">google|gemini-3-5-flash|high|reasoning|fallback-na|aa-v4.3.2|snapshot-2026-10-17</x:t>
        </x:is>
      </x:c>
      <x:c r="B1143" t="inlineStr">
        <x:is>
          <x:t xml:space="preserve">google|gemini-3-5-flash|high|reasoning|fallback-na</x:t>
        </x:is>
      </x:c>
      <x:c r="C1143" t="inlineStr">
        <x:is>
          <x:t xml:space="preserve">AA|v4.3.2</x:t>
        </x:is>
      </x:c>
      <x:c r="D1143" t="n">
        <x:v>144</x:v>
      </x:c>
      <x:c r="E1143" t="n">
        <x:v>70</x:v>
      </x:c>
      <x:c r="F1143" t="n">
        <x:f>INDEX(Run_Metrics!$F:$F,D1143)</x:f>
        <x:v>33</x:v>
      </x:c>
      <x:c r="G1143" t="n">
        <x:f>INDEX(Run_Metrics!$G:$G,D1143)</x:f>
        <x:v>3.69</x:v>
      </x:c>
      <x:c r="H1143" t="str">
        <x:f>INDEX(Run_Metrics!$I:$I,D1143)</x:f>
      </x:c>
      <x:c r="I1143" t="n">
        <x:f>IF(F1143="","",F1143-(E1143-1))</x:f>
        <x:v>-36</x:v>
      </x:c>
      <x:c r="J1143" t="n">
        <x:f>IF(I1143&gt;0,1,0)</x:f>
        <x:v>0</x:v>
      </x:c>
      <x:c r="K1143" t="str">
        <x:f>IF(OR(J1143=0,G1143="",G1143=0),"",I1143/G1143)</x:f>
      </x:c>
      <x:c r="L1143" t="str">
        <x:f>IF(OR(J1143=0,I1143=0,G1143=""),"",G1143/I1143)</x:f>
      </x:c>
      <x:c r="M1143" t="str">
        <x:f>IF(OR(J1143=0,G1143="",H1143="",G1143=0,H1143=0),"",I1143/(G1143*H1143))</x:f>
      </x:c>
      <x:c r="N1143" t="str">
        <x:f>IF(K1143="","",K1143/_xlfn.MAXIFS($K:$K,$E:$E,E1143))</x:f>
      </x:c>
      <x:c r="O1143" t="str">
        <x:f>IF(M1143="","",M1143/_xlfn.MAXIFS($M:$M,$E:$E,E1143))</x:f>
      </x:c>
      <x:c r="P1143" t="str">
        <x:f>IF(OR(N1143="",O1143=""),"",SQRT(N1143*O1143))</x:f>
      </x:c>
      <x:c r="Q1143" t="str">
        <x:f>IF(OR(N1143="",O1143=""),"",N1143^0.7*O1143^0.3)</x:f>
      </x:c>
      <x:c r="R1143" t="str">
        <x:f>IF(OR(N1143="",O1143=""),"",N1143^0.3*O1143^0.7)</x:f>
      </x:c>
    </x:row>
    <x:row r="1144">
      <x:c r="A1144" t="inlineStr">
        <x:is>
          <x:t xml:space="preserve">google|gemini-3-5-flash|high|reasoning|fallback-na|aa-v4.3.2|snapshot-2026-10-17</x:t>
        </x:is>
      </x:c>
      <x:c r="B1144" t="inlineStr">
        <x:is>
          <x:t xml:space="preserve">google|gemini-3-5-flash|high|reasoning|fallback-na</x:t>
        </x:is>
      </x:c>
      <x:c r="C1144" t="inlineStr">
        <x:is>
          <x:t xml:space="preserve">AA|v4.3.2</x:t>
        </x:is>
      </x:c>
      <x:c r="D1144" t="n">
        <x:v>144</x:v>
      </x:c>
      <x:c r="E1144" t="n">
        <x:v>80</x:v>
      </x:c>
      <x:c r="F1144" t="n">
        <x:f>INDEX(Run_Metrics!$F:$F,D1144)</x:f>
        <x:v>33</x:v>
      </x:c>
      <x:c r="G1144" t="n">
        <x:f>INDEX(Run_Metrics!$G:$G,D1144)</x:f>
        <x:v>3.69</x:v>
      </x:c>
      <x:c r="H1144" t="str">
        <x:f>INDEX(Run_Metrics!$I:$I,D1144)</x:f>
      </x:c>
      <x:c r="I1144" t="n">
        <x:f>IF(F1144="","",F1144-(E1144-1))</x:f>
        <x:v>-46</x:v>
      </x:c>
      <x:c r="J1144" t="n">
        <x:f>IF(I1144&gt;0,1,0)</x:f>
        <x:v>0</x:v>
      </x:c>
      <x:c r="K1144" t="str">
        <x:f>IF(OR(J1144=0,G1144="",G1144=0),"",I1144/G1144)</x:f>
      </x:c>
      <x:c r="L1144" t="str">
        <x:f>IF(OR(J1144=0,I1144=0,G1144=""),"",G1144/I1144)</x:f>
      </x:c>
      <x:c r="M1144" t="str">
        <x:f>IF(OR(J1144=0,G1144="",H1144="",G1144=0,H1144=0),"",I1144/(G1144*H1144))</x:f>
      </x:c>
      <x:c r="N1144" t="str">
        <x:f>IF(K1144="","",K1144/_xlfn.MAXIFS($K:$K,$E:$E,E1144))</x:f>
      </x:c>
      <x:c r="O1144" t="str">
        <x:f>IF(M1144="","",M1144/_xlfn.MAXIFS($M:$M,$E:$E,E1144))</x:f>
      </x:c>
      <x:c r="P1144" t="str">
        <x:f>IF(OR(N1144="",O1144=""),"",SQRT(N1144*O1144))</x:f>
      </x:c>
      <x:c r="Q1144" t="str">
        <x:f>IF(OR(N1144="",O1144=""),"",N1144^0.7*O1144^0.3)</x:f>
      </x:c>
      <x:c r="R1144" t="str">
        <x:f>IF(OR(N1144="",O1144=""),"",N1144^0.3*O1144^0.7)</x:f>
      </x:c>
    </x:row>
    <x:row r="1145">
      <x:c r="A1145" t="inlineStr">
        <x:is>
          <x:t xml:space="preserve">google|gemini-3-5-flash|high|reasoning|fallback-na|aa-v4.3.2|snapshot-2026-10-17</x:t>
        </x:is>
      </x:c>
      <x:c r="B1145" t="inlineStr">
        <x:is>
          <x:t xml:space="preserve">google|gemini-3-5-flash|high|reasoning|fallback-na</x:t>
        </x:is>
      </x:c>
      <x:c r="C1145" t="inlineStr">
        <x:is>
          <x:t xml:space="preserve">AA|v4.3.2</x:t>
        </x:is>
      </x:c>
      <x:c r="D1145" t="n">
        <x:v>144</x:v>
      </x:c>
      <x:c r="E1145" t="n">
        <x:v>90</x:v>
      </x:c>
      <x:c r="F1145" t="n">
        <x:f>INDEX(Run_Metrics!$F:$F,D1145)</x:f>
        <x:v>33</x:v>
      </x:c>
      <x:c r="G1145" t="n">
        <x:f>INDEX(Run_Metrics!$G:$G,D1145)</x:f>
        <x:v>3.69</x:v>
      </x:c>
      <x:c r="H1145" t="str">
        <x:f>INDEX(Run_Metrics!$I:$I,D1145)</x:f>
      </x:c>
      <x:c r="I1145" t="n">
        <x:f>IF(F1145="","",F1145-(E1145-1))</x:f>
        <x:v>-56</x:v>
      </x:c>
      <x:c r="J1145" t="n">
        <x:f>IF(I1145&gt;0,1,0)</x:f>
        <x:v>0</x:v>
      </x:c>
      <x:c r="K1145" t="str">
        <x:f>IF(OR(J1145=0,G1145="",G1145=0),"",I1145/G1145)</x:f>
      </x:c>
      <x:c r="L1145" t="str">
        <x:f>IF(OR(J1145=0,I1145=0,G1145=""),"",G1145/I1145)</x:f>
      </x:c>
      <x:c r="M1145" t="str">
        <x:f>IF(OR(J1145=0,G1145="",H1145="",G1145=0,H1145=0),"",I1145/(G1145*H1145))</x:f>
      </x:c>
      <x:c r="N1145" t="str">
        <x:f>IF(K1145="","",K1145/_xlfn.MAXIFS($K:$K,$E:$E,E1145))</x:f>
      </x:c>
      <x:c r="O1145" t="str">
        <x:f>IF(M1145="","",M1145/_xlfn.MAXIFS($M:$M,$E:$E,E1145))</x:f>
      </x:c>
      <x:c r="P1145" t="str">
        <x:f>IF(OR(N1145="",O1145=""),"",SQRT(N1145*O1145))</x:f>
      </x:c>
      <x:c r="Q1145" t="str">
        <x:f>IF(OR(N1145="",O1145=""),"",N1145^0.7*O1145^0.3)</x:f>
      </x:c>
      <x:c r="R1145" t="str">
        <x:f>IF(OR(N1145="",O1145=""),"",N1145^0.3*O1145^0.7)</x:f>
      </x:c>
    </x:row>
  </x:sheetData>
  <x:pageMargins left="0.7" right="0.7" top="0.75" bottom="0.75" header="0.3" footer="0.3"/>
</x:worksheet>
</file>

<file path=xl/worksheets/sheet24.xml><?xml version="1.0" encoding="utf-8"?>
<x:worksheet xmlns:x="http://schemas.openxmlformats.org/spreadsheetml/2006/main">
  <x:sheetFormatPr baseColWidth="8" defaultRowHeight="15"/>
  <x:cols>
    <x:col min="1" max="1" width="48" style="14" customWidth="1"/>
    <x:col min="2" max="2" width="48" style="14" customWidth="1"/>
    <x:col min="3" max="3" width="15" style="14" customWidth="1"/>
    <x:col min="4" max="4" width="15" style="14" customWidth="1"/>
    <x:col min="5" max="5" width="15" style="14" customWidth="1"/>
    <x:col min="6" max="6" width="15" style="14" customWidth="1"/>
    <x:col min="7" max="7" width="15" style="14" customWidth="1"/>
    <x:col min="8" max="8" width="15" style="14" customWidth="1"/>
    <x:col min="9" max="9" width="15" style="14" customWidth="1"/>
    <x:col min="10" max="10" width="15" style="14" customWidth="1"/>
    <x:col min="11" max="11" width="15" style="14" customWidth="1"/>
    <x:col min="12" max="12" width="15" style="14" customWidth="1"/>
    <x:col min="13" max="13" width="15" style="14" customWidth="1"/>
    <x:col min="14" max="14" width="15" style="14" customWidth="1"/>
    <x:col min="15" max="15" width="15" style="14" customWidth="1"/>
    <x:col min="16" max="16" width="15" style="14" customWidth="1"/>
    <x:col min="17" max="17" width="15" style="14" customWidth="1"/>
  </x:cols>
  <x:sheetData>
    <x:row r="1">
      <x:c r="A1" s="6" t="inlineStr">
        <x:is>
          <x:t xml:space="preserve">model_variant_key</x:t>
        </x:is>
      </x:c>
      <x:c r="B1" s="6" t="inlineStr">
        <x:is>
          <x:t xml:space="preserve">benchmark_version_key</x:t>
        </x:is>
      </x:c>
      <x:c r="C1" s="6" t="inlineStr">
        <x:is>
          <x:t xml:space="preserve">stats_row</x:t>
        </x:is>
      </x:c>
      <x:c r="D1" s="6" t="inlineStr">
        <x:is>
          <x:t xml:space="preserve">target</x:t>
        </x:is>
      </x:c>
      <x:c r="E1" s="6" t="inlineStr">
        <x:is>
          <x:t xml:space="preserve">levelled_avg_score</x:t>
        </x:is>
      </x:c>
      <x:c r="F1" s="6" t="inlineStr">
        <x:is>
          <x:t xml:space="preserve">avg_cost</x:t>
        </x:is>
      </x:c>
      <x:c r="G1" s="6" t="inlineStr">
        <x:is>
          <x:t xml:space="preserve">avg_time_min</x:t>
        </x:is>
      </x:c>
      <x:c r="H1" s="6" t="inlineStr">
        <x:is>
          <x:t xml:space="preserve">usable_surplus</x:t>
        </x:is>
      </x:c>
      <x:c r="I1" s="6" t="inlineStr">
        <x:is>
          <x:t xml:space="preserve">usable</x:t>
        </x:is>
      </x:c>
      <x:c r="J1" s="6" t="inlineStr">
        <x:is>
          <x:t xml:space="preserve">intel_eff_surplus_per_$</x:t>
        </x:is>
      </x:c>
      <x:c r="K1" s="6" t="inlineStr">
        <x:is>
          <x:t xml:space="preserve">$/usable_point</x:t>
        </x:is>
      </x:c>
      <x:c r="L1" s="6" t="inlineStr">
        <x:is>
          <x:t xml:space="preserve">speed_eff_surplus_per_$minute</x:t>
        </x:is>
      </x:c>
      <x:c r="M1" s="6" t="inlineStr">
        <x:is>
          <x:t xml:space="preserve">intel_eff_norm</x:t>
        </x:is>
      </x:c>
      <x:c r="N1" s="6" t="inlineStr">
        <x:is>
          <x:t xml:space="preserve">speed_eff_norm</x:t>
        </x:is>
      </x:c>
      <x:c r="O1" s="6" t="inlineStr">
        <x:is>
          <x:t xml:space="preserve">balanced_50_50</x:t>
        </x:is>
      </x:c>
      <x:c r="P1" s="6" t="inlineStr">
        <x:is>
          <x:t xml:space="preserve">smart_70_30</x:t>
        </x:is>
      </x:c>
      <x:c r="Q1" s="6" t="inlineStr">
        <x:is>
          <x:t xml:space="preserve">speed_30_70</x:t>
        </x:is>
      </x:c>
    </x:row>
    <x:row r="2" s="14" customFormat="1">
      <x:c r="A2" t="inlineStr">
        <x:is>
          <x:t xml:space="preserve">alibaba|qwen3.8-27b|medium|reasoning|fallback-na</x:t>
        </x:is>
      </x:c>
      <x:c r="B2" t="inlineStr">
        <x:is>
          <x:t xml:space="preserve">AA|v4.3.2</x:t>
        </x:is>
      </x:c>
      <x:c r="C2" t="n">
        <x:v>2</x:v>
      </x:c>
      <x:c r="D2" t="n">
        <x:v>20</x:v>
      </x:c>
      <x:c r="E2" t="n">
        <x:f>INDEX(Model_TestVersion_Stats!$W:$W,C2)</x:f>
        <x:v>28</x:v>
      </x:c>
      <x:c r="F2" t="str">
        <x:f>INDEX(Model_TestVersion_Stats!$O:$O,C2)</x:f>
      </x:c>
      <x:c r="G2" t="str">
        <x:f>IF(INDEX(Model_TestVersion_Stats!$R:$R,C2)="","",INDEX(Model_TestVersion_Stats!$R:$R,C2)/60)</x:f>
      </x:c>
      <x:c r="H2" t="n">
        <x:f>IF(E2="","",E2-(D2-1))</x:f>
        <x:v>9</x:v>
      </x:c>
      <x:c r="I2" t="n">
        <x:f>IF(H2&gt;0,1,0)</x:f>
        <x:v>1</x:v>
      </x:c>
      <x:c r="J2" t="str">
        <x:f>IF(OR(I2=0,F2="",F2=0),"",H2/F2)</x:f>
      </x:c>
      <x:c r="K2" t="str">
        <x:f>IF(OR(I2=0,H2=0,F2=""),"",F2/H2)</x:f>
      </x:c>
      <x:c r="L2" t="str">
        <x:f>IF(OR(I2=0,F2="",G2="",F2=0,G2=0),"",H2/(F2*G2))</x:f>
      </x:c>
      <x:c r="M2" t="str">
        <x:f>IF(J2="","",J2/_xlfn.MAXIFS($J:$J,$D:$D,D2))</x:f>
      </x:c>
      <x:c r="N2" t="str">
        <x:f>IF(L2="","",L2/_xlfn.MAXIFS($L:$L,$D:$D,D2))</x:f>
      </x:c>
      <x:c r="O2" t="str">
        <x:f>IF(OR(M2="",N2=""),"",SQRT(M2*N2))</x:f>
      </x:c>
      <x:c r="P2" t="str">
        <x:f>IF(OR(M2="",N2=""),"",M2^0.7*N2^0.3)</x:f>
      </x:c>
      <x:c r="Q2" t="str">
        <x:f>IF(OR(M2="",N2=""),"",M2^0.3*N2^0.7)</x:f>
      </x:c>
    </x:row>
    <x:row r="3">
      <x:c r="A3" t="inlineStr">
        <x:is>
          <x:t xml:space="preserve">alibaba|qwen3.8-27b|medium|reasoning|fallback-na</x:t>
        </x:is>
      </x:c>
      <x:c r="B3" t="inlineStr">
        <x:is>
          <x:t xml:space="preserve">AA|v4.3.2</x:t>
        </x:is>
      </x:c>
      <x:c r="C3" t="n">
        <x:v>2</x:v>
      </x:c>
      <x:c r="D3" t="n">
        <x:v>30</x:v>
      </x:c>
      <x:c r="E3" t="n">
        <x:f>INDEX(Model_TestVersion_Stats!$W:$W,C3)</x:f>
        <x:v>28</x:v>
      </x:c>
      <x:c r="F3" t="str">
        <x:f>INDEX(Model_TestVersion_Stats!$O:$O,C3)</x:f>
      </x:c>
      <x:c r="G3" t="str">
        <x:f>IF(INDEX(Model_TestVersion_Stats!$R:$R,C3)="","",INDEX(Model_TestVersion_Stats!$R:$R,C3)/60)</x:f>
      </x:c>
      <x:c r="H3" t="n">
        <x:f>IF(E3="","",E3-(D3-1))</x:f>
        <x:v>-1</x:v>
      </x:c>
      <x:c r="I3" t="n">
        <x:f>IF(H3&gt;0,1,0)</x:f>
        <x:v>0</x:v>
      </x:c>
      <x:c r="J3" t="str">
        <x:f>IF(OR(I3=0,F3="",F3=0),"",H3/F3)</x:f>
      </x:c>
      <x:c r="K3" t="str">
        <x:f>IF(OR(I3=0,H3=0,F3=""),"",F3/H3)</x:f>
      </x:c>
      <x:c r="L3" t="str">
        <x:f>IF(OR(I3=0,F3="",G3="",F3=0,G3=0),"",H3/(F3*G3))</x:f>
      </x:c>
      <x:c r="M3" t="str">
        <x:f>IF(J3="","",J3/_xlfn.MAXIFS($J:$J,$D:$D,D3))</x:f>
      </x:c>
      <x:c r="N3" t="str">
        <x:f>IF(L3="","",L3/_xlfn.MAXIFS($L:$L,$D:$D,D3))</x:f>
      </x:c>
      <x:c r="O3" t="str">
        <x:f>IF(OR(M3="",N3=""),"",SQRT(M3*N3))</x:f>
      </x:c>
      <x:c r="P3" t="str">
        <x:f>IF(OR(M3="",N3=""),"",M3^0.7*N3^0.3)</x:f>
      </x:c>
      <x:c r="Q3" t="str">
        <x:f>IF(OR(M3="",N3=""),"",M3^0.3*N3^0.7)</x:f>
      </x:c>
    </x:row>
    <x:row r="4">
      <x:c r="A4" t="inlineStr">
        <x:is>
          <x:t xml:space="preserve">alibaba|qwen3.8-27b|medium|reasoning|fallback-na</x:t>
        </x:is>
      </x:c>
      <x:c r="B4" t="inlineStr">
        <x:is>
          <x:t xml:space="preserve">AA|v4.3.2</x:t>
        </x:is>
      </x:c>
      <x:c r="C4" t="n">
        <x:v>2</x:v>
      </x:c>
      <x:c r="D4" t="n">
        <x:v>40</x:v>
      </x:c>
      <x:c r="E4" t="n">
        <x:f>INDEX(Model_TestVersion_Stats!$W:$W,C4)</x:f>
        <x:v>28</x:v>
      </x:c>
      <x:c r="F4" t="str">
        <x:f>INDEX(Model_TestVersion_Stats!$O:$O,C4)</x:f>
      </x:c>
      <x:c r="G4" t="str">
        <x:f>IF(INDEX(Model_TestVersion_Stats!$R:$R,C4)="","",INDEX(Model_TestVersion_Stats!$R:$R,C4)/60)</x:f>
      </x:c>
      <x:c r="H4" t="n">
        <x:f>IF(E4="","",E4-(D4-1))</x:f>
        <x:v>-11</x:v>
      </x:c>
      <x:c r="I4" t="n">
        <x:f>IF(H4&gt;0,1,0)</x:f>
        <x:v>0</x:v>
      </x:c>
      <x:c r="J4" t="str">
        <x:f>IF(OR(I4=0,F4="",F4=0),"",H4/F4)</x:f>
      </x:c>
      <x:c r="K4" t="str">
        <x:f>IF(OR(I4=0,H4=0,F4=""),"",F4/H4)</x:f>
      </x:c>
      <x:c r="L4" t="str">
        <x:f>IF(OR(I4=0,F4="",G4="",F4=0,G4=0),"",H4/(F4*G4))</x:f>
      </x:c>
      <x:c r="M4" t="str">
        <x:f>IF(J4="","",J4/_xlfn.MAXIFS($J:$J,$D:$D,D4))</x:f>
      </x:c>
      <x:c r="N4" t="str">
        <x:f>IF(L4="","",L4/_xlfn.MAXIFS($L:$L,$D:$D,D4))</x:f>
      </x:c>
      <x:c r="O4" t="str">
        <x:f>IF(OR(M4="",N4=""),"",SQRT(M4*N4))</x:f>
      </x:c>
      <x:c r="P4" t="str">
        <x:f>IF(OR(M4="",N4=""),"",M4^0.7*N4^0.3)</x:f>
      </x:c>
      <x:c r="Q4" t="str">
        <x:f>IF(OR(M4="",N4=""),"",M4^0.3*N4^0.7)</x:f>
      </x:c>
    </x:row>
    <x:row r="5">
      <x:c r="A5" t="inlineStr">
        <x:is>
          <x:t xml:space="preserve">alibaba|qwen3.8-27b|medium|reasoning|fallback-na</x:t>
        </x:is>
      </x:c>
      <x:c r="B5" t="inlineStr">
        <x:is>
          <x:t xml:space="preserve">AA|v4.3.2</x:t>
        </x:is>
      </x:c>
      <x:c r="C5" t="n">
        <x:v>2</x:v>
      </x:c>
      <x:c r="D5" t="n">
        <x:v>45</x:v>
      </x:c>
      <x:c r="E5" t="n">
        <x:f>INDEX(Model_TestVersion_Stats!$W:$W,C5)</x:f>
        <x:v>28</x:v>
      </x:c>
      <x:c r="F5" t="str">
        <x:f>INDEX(Model_TestVersion_Stats!$O:$O,C5)</x:f>
      </x:c>
      <x:c r="G5" t="str">
        <x:f>IF(INDEX(Model_TestVersion_Stats!$R:$R,C5)="","",INDEX(Model_TestVersion_Stats!$R:$R,C5)/60)</x:f>
      </x:c>
      <x:c r="H5" t="n">
        <x:f>IF(E5="","",E5-(D5-1))</x:f>
        <x:v>-16</x:v>
      </x:c>
      <x:c r="I5" t="n">
        <x:f>IF(H5&gt;0,1,0)</x:f>
        <x:v>0</x:v>
      </x:c>
      <x:c r="J5" t="str">
        <x:f>IF(OR(I5=0,F5="",F5=0),"",H5/F5)</x:f>
      </x:c>
      <x:c r="K5" t="str">
        <x:f>IF(OR(I5=0,H5=0,F5=""),"",F5/H5)</x:f>
      </x:c>
      <x:c r="L5" t="str">
        <x:f>IF(OR(I5=0,F5="",G5="",F5=0,G5=0),"",H5/(F5*G5))</x:f>
      </x:c>
      <x:c r="M5" t="str">
        <x:f>IF(J5="","",J5/_xlfn.MAXIFS($J:$J,$D:$D,D5))</x:f>
      </x:c>
      <x:c r="N5" t="str">
        <x:f>IF(L5="","",L5/_xlfn.MAXIFS($L:$L,$D:$D,D5))</x:f>
      </x:c>
      <x:c r="O5" t="str">
        <x:f>IF(OR(M5="",N5=""),"",SQRT(M5*N5))</x:f>
      </x:c>
      <x:c r="P5" t="str">
        <x:f>IF(OR(M5="",N5=""),"",M5^0.7*N5^0.3)</x:f>
      </x:c>
      <x:c r="Q5" t="str">
        <x:f>IF(OR(M5="",N5=""),"",M5^0.3*N5^0.7)</x:f>
      </x:c>
    </x:row>
    <x:row r="6">
      <x:c r="A6" t="inlineStr">
        <x:is>
          <x:t xml:space="preserve">alibaba|qwen3.8-27b|medium|reasoning|fallback-na</x:t>
        </x:is>
      </x:c>
      <x:c r="B6" t="inlineStr">
        <x:is>
          <x:t xml:space="preserve">AA|v4.3.2</x:t>
        </x:is>
      </x:c>
      <x:c r="C6" t="n">
        <x:v>2</x:v>
      </x:c>
      <x:c r="D6" t="n">
        <x:v>50</x:v>
      </x:c>
      <x:c r="E6" t="n">
        <x:f>INDEX(Model_TestVersion_Stats!$W:$W,C6)</x:f>
        <x:v>28</x:v>
      </x:c>
      <x:c r="F6" t="str">
        <x:f>INDEX(Model_TestVersion_Stats!$O:$O,C6)</x:f>
      </x:c>
      <x:c r="G6" t="str">
        <x:f>IF(INDEX(Model_TestVersion_Stats!$R:$R,C6)="","",INDEX(Model_TestVersion_Stats!$R:$R,C6)/60)</x:f>
      </x:c>
      <x:c r="H6" t="n">
        <x:f>IF(E6="","",E6-(D6-1))</x:f>
        <x:v>-21</x:v>
      </x:c>
      <x:c r="I6" t="n">
        <x:f>IF(H6&gt;0,1,0)</x:f>
        <x:v>0</x:v>
      </x:c>
      <x:c r="J6" t="str">
        <x:f>IF(OR(I6=0,F6="",F6=0),"",H6/F6)</x:f>
      </x:c>
      <x:c r="K6" t="str">
        <x:f>IF(OR(I6=0,H6=0,F6=""),"",F6/H6)</x:f>
      </x:c>
      <x:c r="L6" t="str">
        <x:f>IF(OR(I6=0,F6="",G6="",F6=0,G6=0),"",H6/(F6*G6))</x:f>
      </x:c>
      <x:c r="M6" t="str">
        <x:f>IF(J6="","",J6/_xlfn.MAXIFS($J:$J,$D:$D,D6))</x:f>
      </x:c>
      <x:c r="N6" t="str">
        <x:f>IF(L6="","",L6/_xlfn.MAXIFS($L:$L,$D:$D,D6))</x:f>
      </x:c>
      <x:c r="O6" t="str">
        <x:f>IF(OR(M6="",N6=""),"",SQRT(M6*N6))</x:f>
      </x:c>
      <x:c r="P6" t="str">
        <x:f>IF(OR(M6="",N6=""),"",M6^0.7*N6^0.3)</x:f>
      </x:c>
      <x:c r="Q6" t="str">
        <x:f>IF(OR(M6="",N6=""),"",M6^0.3*N6^0.7)</x:f>
      </x:c>
    </x:row>
    <x:row r="7">
      <x:c r="A7" t="inlineStr">
        <x:is>
          <x:t xml:space="preserve">alibaba|qwen3.8-27b|medium|reasoning|fallback-na</x:t>
        </x:is>
      </x:c>
      <x:c r="B7" t="inlineStr">
        <x:is>
          <x:t xml:space="preserve">AA|v4.3.2</x:t>
        </x:is>
      </x:c>
      <x:c r="C7" t="n">
        <x:v>2</x:v>
      </x:c>
      <x:c r="D7" t="n">
        <x:v>52</x:v>
      </x:c>
      <x:c r="E7" t="n">
        <x:f>INDEX(Model_TestVersion_Stats!$W:$W,C7)</x:f>
        <x:v>28</x:v>
      </x:c>
      <x:c r="F7" t="str">
        <x:f>INDEX(Model_TestVersion_Stats!$O:$O,C7)</x:f>
      </x:c>
      <x:c r="G7" t="str">
        <x:f>IF(INDEX(Model_TestVersion_Stats!$R:$R,C7)="","",INDEX(Model_TestVersion_Stats!$R:$R,C7)/60)</x:f>
      </x:c>
      <x:c r="H7" t="n">
        <x:f>IF(E7="","",E7-(D7-1))</x:f>
        <x:v>-23</x:v>
      </x:c>
      <x:c r="I7" t="n">
        <x:f>IF(H7&gt;0,1,0)</x:f>
        <x:v>0</x:v>
      </x:c>
      <x:c r="J7" t="str">
        <x:f>IF(OR(I7=0,F7="",F7=0),"",H7/F7)</x:f>
      </x:c>
      <x:c r="K7" t="str">
        <x:f>IF(OR(I7=0,H7=0,F7=""),"",F7/H7)</x:f>
      </x:c>
      <x:c r="L7" t="str">
        <x:f>IF(OR(I7=0,F7="",G7="",F7=0,G7=0),"",H7/(F7*G7))</x:f>
      </x:c>
      <x:c r="M7" t="str">
        <x:f>IF(J7="","",J7/_xlfn.MAXIFS($J:$J,$D:$D,D7))</x:f>
      </x:c>
      <x:c r="N7" t="str">
        <x:f>IF(L7="","",L7/_xlfn.MAXIFS($L:$L,$D:$D,D7))</x:f>
      </x:c>
      <x:c r="O7" t="str">
        <x:f>IF(OR(M7="",N7=""),"",SQRT(M7*N7))</x:f>
      </x:c>
      <x:c r="P7" t="str">
        <x:f>IF(OR(M7="",N7=""),"",M7^0.7*N7^0.3)</x:f>
      </x:c>
      <x:c r="Q7" t="str">
        <x:f>IF(OR(M7="",N7=""),"",M7^0.3*N7^0.7)</x:f>
      </x:c>
    </x:row>
    <x:row r="8">
      <x:c r="A8" t="inlineStr">
        <x:is>
          <x:t xml:space="preserve">alibaba|qwen3.8-27b|medium|reasoning|fallback-na</x:t>
        </x:is>
      </x:c>
      <x:c r="B8" t="inlineStr">
        <x:is>
          <x:t xml:space="preserve">AA|v4.3.2</x:t>
        </x:is>
      </x:c>
      <x:c r="C8" t="n">
        <x:v>2</x:v>
      </x:c>
      <x:c r="D8" t="n">
        <x:v>65</x:v>
      </x:c>
      <x:c r="E8" t="n">
        <x:f>INDEX(Model_TestVersion_Stats!$W:$W,C8)</x:f>
        <x:v>28</x:v>
      </x:c>
      <x:c r="F8" t="str">
        <x:f>INDEX(Model_TestVersion_Stats!$O:$O,C8)</x:f>
      </x:c>
      <x:c r="G8" t="str">
        <x:f>IF(INDEX(Model_TestVersion_Stats!$R:$R,C8)="","",INDEX(Model_TestVersion_Stats!$R:$R,C8)/60)</x:f>
      </x:c>
      <x:c r="H8" t="n">
        <x:f>IF(E8="","",E8-(D8-1))</x:f>
        <x:v>-36</x:v>
      </x:c>
      <x:c r="I8" t="n">
        <x:f>IF(H8&gt;0,1,0)</x:f>
        <x:v>0</x:v>
      </x:c>
      <x:c r="J8" t="str">
        <x:f>IF(OR(I8=0,F8="",F8=0),"",H8/F8)</x:f>
      </x:c>
      <x:c r="K8" t="str">
        <x:f>IF(OR(I8=0,H8=0,F8=""),"",F8/H8)</x:f>
      </x:c>
      <x:c r="L8" t="str">
        <x:f>IF(OR(I8=0,F8="",G8="",F8=0,G8=0),"",H8/(F8*G8))</x:f>
      </x:c>
      <x:c r="M8" t="str">
        <x:f>IF(J8="","",J8/_xlfn.MAXIFS($J:$J,$D:$D,D8))</x:f>
      </x:c>
      <x:c r="N8" t="str">
        <x:f>IF(L8="","",L8/_xlfn.MAXIFS($L:$L,$D:$D,D8))</x:f>
      </x:c>
      <x:c r="O8" t="str">
        <x:f>IF(OR(M8="",N8=""),"",SQRT(M8*N8))</x:f>
      </x:c>
      <x:c r="P8" t="str">
        <x:f>IF(OR(M8="",N8=""),"",M8^0.7*N8^0.3)</x:f>
      </x:c>
      <x:c r="Q8" t="str">
        <x:f>IF(OR(M8="",N8=""),"",M8^0.3*N8^0.7)</x:f>
      </x:c>
    </x:row>
    <x:row r="9">
      <x:c r="A9" t="inlineStr">
        <x:is>
          <x:t xml:space="preserve">alibaba|qwen3.8-27b|medium|reasoning|fallback-na</x:t>
        </x:is>
      </x:c>
      <x:c r="B9" t="inlineStr">
        <x:is>
          <x:t xml:space="preserve">AA|v4.3.2</x:t>
        </x:is>
      </x:c>
      <x:c r="C9" t="n">
        <x:v>2</x:v>
      </x:c>
      <x:c r="D9" t="n">
        <x:v>80</x:v>
      </x:c>
      <x:c r="E9" t="n">
        <x:f>INDEX(Model_TestVersion_Stats!$W:$W,C9)</x:f>
        <x:v>28</x:v>
      </x:c>
      <x:c r="F9" t="str">
        <x:f>INDEX(Model_TestVersion_Stats!$O:$O,C9)</x:f>
      </x:c>
      <x:c r="G9" t="str">
        <x:f>IF(INDEX(Model_TestVersion_Stats!$R:$R,C9)="","",INDEX(Model_TestVersion_Stats!$R:$R,C9)/60)</x:f>
      </x:c>
      <x:c r="H9" t="n">
        <x:f>IF(E9="","",E9-(D9-1))</x:f>
        <x:v>-51</x:v>
      </x:c>
      <x:c r="I9" t="n">
        <x:f>IF(H9&gt;0,1,0)</x:f>
        <x:v>0</x:v>
      </x:c>
      <x:c r="J9" t="str">
        <x:f>IF(OR(I9=0,F9="",F9=0),"",H9/F9)</x:f>
      </x:c>
      <x:c r="K9" t="str">
        <x:f>IF(OR(I9=0,H9=0,F9=""),"",F9/H9)</x:f>
      </x:c>
      <x:c r="L9" t="str">
        <x:f>IF(OR(I9=0,F9="",G9="",F9=0,G9=0),"",H9/(F9*G9))</x:f>
      </x:c>
      <x:c r="M9" t="str">
        <x:f>IF(J9="","",J9/_xlfn.MAXIFS($J:$J,$D:$D,D9))</x:f>
      </x:c>
      <x:c r="N9" t="str">
        <x:f>IF(L9="","",L9/_xlfn.MAXIFS($L:$L,$D:$D,D9))</x:f>
      </x:c>
      <x:c r="O9" t="str">
        <x:f>IF(OR(M9="",N9=""),"",SQRT(M9*N9))</x:f>
      </x:c>
      <x:c r="P9" t="str">
        <x:f>IF(OR(M9="",N9=""),"",M9^0.7*N9^0.3)</x:f>
      </x:c>
      <x:c r="Q9" t="str">
        <x:f>IF(OR(M9="",N9=""),"",M9^0.3*N9^0.7)</x:f>
      </x:c>
    </x:row>
    <x:row r="10">
      <x:c r="A10" t="inlineStr">
        <x:is>
          <x:t xml:space="preserve">alibaba|qwen3.8-27b|xhigh|reasoning|fallback-na</x:t>
        </x:is>
      </x:c>
      <x:c r="B10" t="inlineStr">
        <x:is>
          <x:t xml:space="preserve">AA|v4.3.2</x:t>
        </x:is>
      </x:c>
      <x:c r="C10" t="n">
        <x:v>3</x:v>
      </x:c>
      <x:c r="D10" t="n">
        <x:v>20</x:v>
      </x:c>
      <x:c r="E10" t="n">
        <x:f>INDEX(Model_TestVersion_Stats!$W:$W,C10)</x:f>
        <x:v>34</x:v>
      </x:c>
      <x:c r="F10" t="str">
        <x:f>INDEX(Model_TestVersion_Stats!$O:$O,C10)</x:f>
      </x:c>
      <x:c r="G10" t="str">
        <x:f>IF(INDEX(Model_TestVersion_Stats!$R:$R,C10)="","",INDEX(Model_TestVersion_Stats!$R:$R,C10)/60)</x:f>
      </x:c>
      <x:c r="H10" t="n">
        <x:f>IF(E10="","",E10-(D10-1))</x:f>
        <x:v>15</x:v>
      </x:c>
      <x:c r="I10" t="n">
        <x:f>IF(H10&gt;0,1,0)</x:f>
        <x:v>1</x:v>
      </x:c>
      <x:c r="J10" t="str">
        <x:f>IF(OR(I10=0,F10="",F10=0),"",H10/F10)</x:f>
      </x:c>
      <x:c r="K10" t="str">
        <x:f>IF(OR(I10=0,H10=0,F10=""),"",F10/H10)</x:f>
      </x:c>
      <x:c r="L10" t="str">
        <x:f>IF(OR(I10=0,F10="",G10="",F10=0,G10=0),"",H10/(F10*G10))</x:f>
      </x:c>
      <x:c r="M10" t="str">
        <x:f>IF(J10="","",J10/_xlfn.MAXIFS($J:$J,$D:$D,D10))</x:f>
      </x:c>
      <x:c r="N10" t="str">
        <x:f>IF(L10="","",L10/_xlfn.MAXIFS($L:$L,$D:$D,D10))</x:f>
      </x:c>
      <x:c r="O10" t="str">
        <x:f>IF(OR(M10="",N10=""),"",SQRT(M10*N10))</x:f>
      </x:c>
      <x:c r="P10" t="str">
        <x:f>IF(OR(M10="",N10=""),"",M10^0.7*N10^0.3)</x:f>
      </x:c>
      <x:c r="Q10" t="str">
        <x:f>IF(OR(M10="",N10=""),"",M10^0.3*N10^0.7)</x:f>
      </x:c>
    </x:row>
    <x:row r="11">
      <x:c r="A11" t="inlineStr">
        <x:is>
          <x:t xml:space="preserve">alibaba|qwen3.8-27b|xhigh|reasoning|fallback-na</x:t>
        </x:is>
      </x:c>
      <x:c r="B11" t="inlineStr">
        <x:is>
          <x:t xml:space="preserve">AA|v4.3.2</x:t>
        </x:is>
      </x:c>
      <x:c r="C11" t="n">
        <x:v>3</x:v>
      </x:c>
      <x:c r="D11" t="n">
        <x:v>30</x:v>
      </x:c>
      <x:c r="E11" t="n">
        <x:f>INDEX(Model_TestVersion_Stats!$W:$W,C11)</x:f>
        <x:v>34</x:v>
      </x:c>
      <x:c r="F11" t="str">
        <x:f>INDEX(Model_TestVersion_Stats!$O:$O,C11)</x:f>
      </x:c>
      <x:c r="G11" t="str">
        <x:f>IF(INDEX(Model_TestVersion_Stats!$R:$R,C11)="","",INDEX(Model_TestVersion_Stats!$R:$R,C11)/60)</x:f>
      </x:c>
      <x:c r="H11" t="n">
        <x:f>IF(E11="","",E11-(D11-1))</x:f>
        <x:v>5</x:v>
      </x:c>
      <x:c r="I11" t="n">
        <x:f>IF(H11&gt;0,1,0)</x:f>
        <x:v>1</x:v>
      </x:c>
      <x:c r="J11" t="str">
        <x:f>IF(OR(I11=0,F11="",F11=0),"",H11/F11)</x:f>
      </x:c>
      <x:c r="K11" t="str">
        <x:f>IF(OR(I11=0,H11=0,F11=""),"",F11/H11)</x:f>
      </x:c>
      <x:c r="L11" t="str">
        <x:f>IF(OR(I11=0,F11="",G11="",F11=0,G11=0),"",H11/(F11*G11))</x:f>
      </x:c>
      <x:c r="M11" t="str">
        <x:f>IF(J11="","",J11/_xlfn.MAXIFS($J:$J,$D:$D,D11))</x:f>
      </x:c>
      <x:c r="N11" t="str">
        <x:f>IF(L11="","",L11/_xlfn.MAXIFS($L:$L,$D:$D,D11))</x:f>
      </x:c>
      <x:c r="O11" t="str">
        <x:f>IF(OR(M11="",N11=""),"",SQRT(M11*N11))</x:f>
      </x:c>
      <x:c r="P11" t="str">
        <x:f>IF(OR(M11="",N11=""),"",M11^0.7*N11^0.3)</x:f>
      </x:c>
      <x:c r="Q11" t="str">
        <x:f>IF(OR(M11="",N11=""),"",M11^0.3*N11^0.7)</x:f>
      </x:c>
    </x:row>
    <x:row r="12">
      <x:c r="A12" t="inlineStr">
        <x:is>
          <x:t xml:space="preserve">alibaba|qwen3.8-27b|xhigh|reasoning|fallback-na</x:t>
        </x:is>
      </x:c>
      <x:c r="B12" t="inlineStr">
        <x:is>
          <x:t xml:space="preserve">AA|v4.3.2</x:t>
        </x:is>
      </x:c>
      <x:c r="C12" t="n">
        <x:v>3</x:v>
      </x:c>
      <x:c r="D12" t="n">
        <x:v>40</x:v>
      </x:c>
      <x:c r="E12" t="n">
        <x:f>INDEX(Model_TestVersion_Stats!$W:$W,C12)</x:f>
        <x:v>34</x:v>
      </x:c>
      <x:c r="F12" t="str">
        <x:f>INDEX(Model_TestVersion_Stats!$O:$O,C12)</x:f>
      </x:c>
      <x:c r="G12" t="str">
        <x:f>IF(INDEX(Model_TestVersion_Stats!$R:$R,C12)="","",INDEX(Model_TestVersion_Stats!$R:$R,C12)/60)</x:f>
      </x:c>
      <x:c r="H12" t="n">
        <x:f>IF(E12="","",E12-(D12-1))</x:f>
        <x:v>-5</x:v>
      </x:c>
      <x:c r="I12" t="n">
        <x:f>IF(H12&gt;0,1,0)</x:f>
        <x:v>0</x:v>
      </x:c>
      <x:c r="J12" t="str">
        <x:f>IF(OR(I12=0,F12="",F12=0),"",H12/F12)</x:f>
      </x:c>
      <x:c r="K12" t="str">
        <x:f>IF(OR(I12=0,H12=0,F12=""),"",F12/H12)</x:f>
      </x:c>
      <x:c r="L12" t="str">
        <x:f>IF(OR(I12=0,F12="",G12="",F12=0,G12=0),"",H12/(F12*G12))</x:f>
      </x:c>
      <x:c r="M12" t="str">
        <x:f>IF(J12="","",J12/_xlfn.MAXIFS($J:$J,$D:$D,D12))</x:f>
      </x:c>
      <x:c r="N12" t="str">
        <x:f>IF(L12="","",L12/_xlfn.MAXIFS($L:$L,$D:$D,D12))</x:f>
      </x:c>
      <x:c r="O12" t="str">
        <x:f>IF(OR(M12="",N12=""),"",SQRT(M12*N12))</x:f>
      </x:c>
      <x:c r="P12" t="str">
        <x:f>IF(OR(M12="",N12=""),"",M12^0.7*N12^0.3)</x:f>
      </x:c>
      <x:c r="Q12" t="str">
        <x:f>IF(OR(M12="",N12=""),"",M12^0.3*N12^0.7)</x:f>
      </x:c>
    </x:row>
    <x:row r="13">
      <x:c r="A13" t="inlineStr">
        <x:is>
          <x:t xml:space="preserve">alibaba|qwen3.8-27b|xhigh|reasoning|fallback-na</x:t>
        </x:is>
      </x:c>
      <x:c r="B13" t="inlineStr">
        <x:is>
          <x:t xml:space="preserve">AA|v4.3.2</x:t>
        </x:is>
      </x:c>
      <x:c r="C13" t="n">
        <x:v>3</x:v>
      </x:c>
      <x:c r="D13" t="n">
        <x:v>45</x:v>
      </x:c>
      <x:c r="E13" t="n">
        <x:f>INDEX(Model_TestVersion_Stats!$W:$W,C13)</x:f>
        <x:v>34</x:v>
      </x:c>
      <x:c r="F13" t="str">
        <x:f>INDEX(Model_TestVersion_Stats!$O:$O,C13)</x:f>
      </x:c>
      <x:c r="G13" t="str">
        <x:f>IF(INDEX(Model_TestVersion_Stats!$R:$R,C13)="","",INDEX(Model_TestVersion_Stats!$R:$R,C13)/60)</x:f>
      </x:c>
      <x:c r="H13" t="n">
        <x:f>IF(E13="","",E13-(D13-1))</x:f>
        <x:v>-10</x:v>
      </x:c>
      <x:c r="I13" t="n">
        <x:f>IF(H13&gt;0,1,0)</x:f>
        <x:v>0</x:v>
      </x:c>
      <x:c r="J13" t="str">
        <x:f>IF(OR(I13=0,F13="",F13=0),"",H13/F13)</x:f>
      </x:c>
      <x:c r="K13" t="str">
        <x:f>IF(OR(I13=0,H13=0,F13=""),"",F13/H13)</x:f>
      </x:c>
      <x:c r="L13" t="str">
        <x:f>IF(OR(I13=0,F13="",G13="",F13=0,G13=0),"",H13/(F13*G13))</x:f>
      </x:c>
      <x:c r="M13" t="str">
        <x:f>IF(J13="","",J13/_xlfn.MAXIFS($J:$J,$D:$D,D13))</x:f>
      </x:c>
      <x:c r="N13" t="str">
        <x:f>IF(L13="","",L13/_xlfn.MAXIFS($L:$L,$D:$D,D13))</x:f>
      </x:c>
      <x:c r="O13" t="str">
        <x:f>IF(OR(M13="",N13=""),"",SQRT(M13*N13))</x:f>
      </x:c>
      <x:c r="P13" t="str">
        <x:f>IF(OR(M13="",N13=""),"",M13^0.7*N13^0.3)</x:f>
      </x:c>
      <x:c r="Q13" t="str">
        <x:f>IF(OR(M13="",N13=""),"",M13^0.3*N13^0.7)</x:f>
      </x:c>
    </x:row>
    <x:row r="14">
      <x:c r="A14" t="inlineStr">
        <x:is>
          <x:t xml:space="preserve">alibaba|qwen3.8-27b|xhigh|reasoning|fallback-na</x:t>
        </x:is>
      </x:c>
      <x:c r="B14" t="inlineStr">
        <x:is>
          <x:t xml:space="preserve">AA|v4.3.2</x:t>
        </x:is>
      </x:c>
      <x:c r="C14" t="n">
        <x:v>3</x:v>
      </x:c>
      <x:c r="D14" t="n">
        <x:v>50</x:v>
      </x:c>
      <x:c r="E14" t="n">
        <x:f>INDEX(Model_TestVersion_Stats!$W:$W,C14)</x:f>
        <x:v>34</x:v>
      </x:c>
      <x:c r="F14" t="str">
        <x:f>INDEX(Model_TestVersion_Stats!$O:$O,C14)</x:f>
      </x:c>
      <x:c r="G14" t="str">
        <x:f>IF(INDEX(Model_TestVersion_Stats!$R:$R,C14)="","",INDEX(Model_TestVersion_Stats!$R:$R,C14)/60)</x:f>
      </x:c>
      <x:c r="H14" t="n">
        <x:f>IF(E14="","",E14-(D14-1))</x:f>
        <x:v>-15</x:v>
      </x:c>
      <x:c r="I14" t="n">
        <x:f>IF(H14&gt;0,1,0)</x:f>
        <x:v>0</x:v>
      </x:c>
      <x:c r="J14" t="str">
        <x:f>IF(OR(I14=0,F14="",F14=0),"",H14/F14)</x:f>
      </x:c>
      <x:c r="K14" t="str">
        <x:f>IF(OR(I14=0,H14=0,F14=""),"",F14/H14)</x:f>
      </x:c>
      <x:c r="L14" t="str">
        <x:f>IF(OR(I14=0,F14="",G14="",F14=0,G14=0),"",H14/(F14*G14))</x:f>
      </x:c>
      <x:c r="M14" t="str">
        <x:f>IF(J14="","",J14/_xlfn.MAXIFS($J:$J,$D:$D,D14))</x:f>
      </x:c>
      <x:c r="N14" t="str">
        <x:f>IF(L14="","",L14/_xlfn.MAXIFS($L:$L,$D:$D,D14))</x:f>
      </x:c>
      <x:c r="O14" t="str">
        <x:f>IF(OR(M14="",N14=""),"",SQRT(M14*N14))</x:f>
      </x:c>
      <x:c r="P14" t="str">
        <x:f>IF(OR(M14="",N14=""),"",M14^0.7*N14^0.3)</x:f>
      </x:c>
      <x:c r="Q14" t="str">
        <x:f>IF(OR(M14="",N14=""),"",M14^0.3*N14^0.7)</x:f>
      </x:c>
    </x:row>
    <x:row r="15">
      <x:c r="A15" t="inlineStr">
        <x:is>
          <x:t xml:space="preserve">alibaba|qwen3.8-27b|xhigh|reasoning|fallback-na</x:t>
        </x:is>
      </x:c>
      <x:c r="B15" t="inlineStr">
        <x:is>
          <x:t xml:space="preserve">AA|v4.3.2</x:t>
        </x:is>
      </x:c>
      <x:c r="C15" t="n">
        <x:v>3</x:v>
      </x:c>
      <x:c r="D15" t="n">
        <x:v>52</x:v>
      </x:c>
      <x:c r="E15" t="n">
        <x:f>INDEX(Model_TestVersion_Stats!$W:$W,C15)</x:f>
        <x:v>34</x:v>
      </x:c>
      <x:c r="F15" t="str">
        <x:f>INDEX(Model_TestVersion_Stats!$O:$O,C15)</x:f>
      </x:c>
      <x:c r="G15" t="str">
        <x:f>IF(INDEX(Model_TestVersion_Stats!$R:$R,C15)="","",INDEX(Model_TestVersion_Stats!$R:$R,C15)/60)</x:f>
      </x:c>
      <x:c r="H15" t="n">
        <x:f>IF(E15="","",E15-(D15-1))</x:f>
        <x:v>-17</x:v>
      </x:c>
      <x:c r="I15" t="n">
        <x:f>IF(H15&gt;0,1,0)</x:f>
        <x:v>0</x:v>
      </x:c>
      <x:c r="J15" t="str">
        <x:f>IF(OR(I15=0,F15="",F15=0),"",H15/F15)</x:f>
      </x:c>
      <x:c r="K15" t="str">
        <x:f>IF(OR(I15=0,H15=0,F15=""),"",F15/H15)</x:f>
      </x:c>
      <x:c r="L15" t="str">
        <x:f>IF(OR(I15=0,F15="",G15="",F15=0,G15=0),"",H15/(F15*G15))</x:f>
      </x:c>
      <x:c r="M15" t="str">
        <x:f>IF(J15="","",J15/_xlfn.MAXIFS($J:$J,$D:$D,D15))</x:f>
      </x:c>
      <x:c r="N15" t="str">
        <x:f>IF(L15="","",L15/_xlfn.MAXIFS($L:$L,$D:$D,D15))</x:f>
      </x:c>
      <x:c r="O15" t="str">
        <x:f>IF(OR(M15="",N15=""),"",SQRT(M15*N15))</x:f>
      </x:c>
      <x:c r="P15" t="str">
        <x:f>IF(OR(M15="",N15=""),"",M15^0.7*N15^0.3)</x:f>
      </x:c>
      <x:c r="Q15" t="str">
        <x:f>IF(OR(M15="",N15=""),"",M15^0.3*N15^0.7)</x:f>
      </x:c>
    </x:row>
    <x:row r="16">
      <x:c r="A16" t="inlineStr">
        <x:is>
          <x:t xml:space="preserve">alibaba|qwen3.8-27b|xhigh|reasoning|fallback-na</x:t>
        </x:is>
      </x:c>
      <x:c r="B16" t="inlineStr">
        <x:is>
          <x:t xml:space="preserve">AA|v4.3.2</x:t>
        </x:is>
      </x:c>
      <x:c r="C16" t="n">
        <x:v>3</x:v>
      </x:c>
      <x:c r="D16" t="n">
        <x:v>65</x:v>
      </x:c>
      <x:c r="E16" t="n">
        <x:f>INDEX(Model_TestVersion_Stats!$W:$W,C16)</x:f>
        <x:v>34</x:v>
      </x:c>
      <x:c r="F16" t="str">
        <x:f>INDEX(Model_TestVersion_Stats!$O:$O,C16)</x:f>
      </x:c>
      <x:c r="G16" t="str">
        <x:f>IF(INDEX(Model_TestVersion_Stats!$R:$R,C16)="","",INDEX(Model_TestVersion_Stats!$R:$R,C16)/60)</x:f>
      </x:c>
      <x:c r="H16" t="n">
        <x:f>IF(E16="","",E16-(D16-1))</x:f>
        <x:v>-30</x:v>
      </x:c>
      <x:c r="I16" t="n">
        <x:f>IF(H16&gt;0,1,0)</x:f>
        <x:v>0</x:v>
      </x:c>
      <x:c r="J16" t="str">
        <x:f>IF(OR(I16=0,F16="",F16=0),"",H16/F16)</x:f>
      </x:c>
      <x:c r="K16" t="str">
        <x:f>IF(OR(I16=0,H16=0,F16=""),"",F16/H16)</x:f>
      </x:c>
      <x:c r="L16" t="str">
        <x:f>IF(OR(I16=0,F16="",G16="",F16=0,G16=0),"",H16/(F16*G16))</x:f>
      </x:c>
      <x:c r="M16" t="str">
        <x:f>IF(J16="","",J16/_xlfn.MAXIFS($J:$J,$D:$D,D16))</x:f>
      </x:c>
      <x:c r="N16" t="str">
        <x:f>IF(L16="","",L16/_xlfn.MAXIFS($L:$L,$D:$D,D16))</x:f>
      </x:c>
      <x:c r="O16" t="str">
        <x:f>IF(OR(M16="",N16=""),"",SQRT(M16*N16))</x:f>
      </x:c>
      <x:c r="P16" t="str">
        <x:f>IF(OR(M16="",N16=""),"",M16^0.7*N16^0.3)</x:f>
      </x:c>
      <x:c r="Q16" t="str">
        <x:f>IF(OR(M16="",N16=""),"",M16^0.3*N16^0.7)</x:f>
      </x:c>
    </x:row>
    <x:row r="17">
      <x:c r="A17" t="inlineStr">
        <x:is>
          <x:t xml:space="preserve">alibaba|qwen3.8-27b|xhigh|reasoning|fallback-na</x:t>
        </x:is>
      </x:c>
      <x:c r="B17" t="inlineStr">
        <x:is>
          <x:t xml:space="preserve">AA|v4.3.2</x:t>
        </x:is>
      </x:c>
      <x:c r="C17" t="n">
        <x:v>3</x:v>
      </x:c>
      <x:c r="D17" t="n">
        <x:v>80</x:v>
      </x:c>
      <x:c r="E17" t="n">
        <x:f>INDEX(Model_TestVersion_Stats!$W:$W,C17)</x:f>
        <x:v>34</x:v>
      </x:c>
      <x:c r="F17" t="str">
        <x:f>INDEX(Model_TestVersion_Stats!$O:$O,C17)</x:f>
      </x:c>
      <x:c r="G17" t="str">
        <x:f>IF(INDEX(Model_TestVersion_Stats!$R:$R,C17)="","",INDEX(Model_TestVersion_Stats!$R:$R,C17)/60)</x:f>
      </x:c>
      <x:c r="H17" t="n">
        <x:f>IF(E17="","",E17-(D17-1))</x:f>
        <x:v>-45</x:v>
      </x:c>
      <x:c r="I17" t="n">
        <x:f>IF(H17&gt;0,1,0)</x:f>
        <x:v>0</x:v>
      </x:c>
      <x:c r="J17" t="str">
        <x:f>IF(OR(I17=0,F17="",F17=0),"",H17/F17)</x:f>
      </x:c>
      <x:c r="K17" t="str">
        <x:f>IF(OR(I17=0,H17=0,F17=""),"",F17/H17)</x:f>
      </x:c>
      <x:c r="L17" t="str">
        <x:f>IF(OR(I17=0,F17="",G17="",F17=0,G17=0),"",H17/(F17*G17))</x:f>
      </x:c>
      <x:c r="M17" t="str">
        <x:f>IF(J17="","",J17/_xlfn.MAXIFS($J:$J,$D:$D,D17))</x:f>
      </x:c>
      <x:c r="N17" t="str">
        <x:f>IF(L17="","",L17/_xlfn.MAXIFS($L:$L,$D:$D,D17))</x:f>
      </x:c>
      <x:c r="O17" t="str">
        <x:f>IF(OR(M17="",N17=""),"",SQRT(M17*N17))</x:f>
      </x:c>
      <x:c r="P17" t="str">
        <x:f>IF(OR(M17="",N17=""),"",M17^0.7*N17^0.3)</x:f>
      </x:c>
      <x:c r="Q17" t="str">
        <x:f>IF(OR(M17="",N17=""),"",M17^0.3*N17^0.7)</x:f>
      </x:c>
    </x:row>
    <x:row r="18">
      <x:c r="A18" t="inlineStr">
        <x:is>
          <x:t xml:space="preserve">alibaba|qwen3.8-flash-next|reasoning|reasoning|fallback-na</x:t>
        </x:is>
      </x:c>
      <x:c r="B18" t="inlineStr">
        <x:is>
          <x:t xml:space="preserve">AA|v4.3.2</x:t>
        </x:is>
      </x:c>
      <x:c r="C18" t="n">
        <x:v>4</x:v>
      </x:c>
      <x:c r="D18" t="n">
        <x:v>20</x:v>
      </x:c>
      <x:c r="E18" t="n">
        <x:f>INDEX(Model_TestVersion_Stats!$W:$W,C18)</x:f>
        <x:v>40</x:v>
      </x:c>
      <x:c r="F18" t="n">
        <x:f>INDEX(Model_TestVersion_Stats!$O:$O,C18)</x:f>
        <x:v>0.37</x:v>
      </x:c>
      <x:c r="G18" t="n">
        <x:f>IF(INDEX(Model_TestVersion_Stats!$R:$R,C18)="","",INDEX(Model_TestVersion_Stats!$R:$R,C18)/60)</x:f>
        <x:v>27.701</x:v>
      </x:c>
      <x:c r="H18" t="n">
        <x:f>IF(E18="","",E18-(D18-1))</x:f>
        <x:v>21</x:v>
      </x:c>
      <x:c r="I18" t="n">
        <x:f>IF(H18&gt;0,1,0)</x:f>
        <x:v>1</x:v>
      </x:c>
      <x:c r="J18" t="n">
        <x:f>IF(OR(I18=0,F18="",F18=0),"",H18/F18)</x:f>
        <x:v>56.75675675675676</x:v>
      </x:c>
      <x:c r="K18" t="n">
        <x:f>IF(OR(I18=0,H18=0,F18=""),"",F18/H18)</x:f>
        <x:v>0.017619047619047618</x:v>
      </x:c>
      <x:c r="L18" t="n">
        <x:f>IF(OR(I18=0,F18="",G18="",F18=0,G18=0),"",H18/(F18*G18))</x:f>
        <x:v>2.0489064205897534</x:v>
      </x:c>
      <x:c r="M18" t="n">
        <x:f>IF(J18="","",J18/_xlfn.MAXIFS($J:$J,$D:$D,D18))</x:f>
        <x:v>0.10216216216216217</x:v>
      </x:c>
      <x:c r="N18" t="n">
        <x:f>IF(L18="","",L18/_xlfn.MAXIFS($L:$L,$D:$D,D18))</x:f>
        <x:v>0.0008685314316879965</x:v>
      </x:c>
      <x:c r="O18" t="n">
        <x:f>IF(OR(M18="",N18=""),"",SQRT(M18*N18))</x:f>
        <x:v>0.009419715970614187</x:v>
      </x:c>
      <x:c r="P18" t="n">
        <x:f>IF(OR(M18="",N18=""),"",M18^0.7*N18^0.3)</x:f>
        <x:v>0.024442111167564767</x:v>
      </x:c>
      <x:c r="Q18" t="n">
        <x:f>IF(OR(M18="",N18=""),"",M18^0.3*N18^0.7)</x:f>
        <x:v>0.003630253064423998</x:v>
      </x:c>
    </x:row>
    <x:row r="19">
      <x:c r="A19" t="inlineStr">
        <x:is>
          <x:t xml:space="preserve">alibaba|qwen3.8-flash-next|reasoning|reasoning|fallback-na</x:t>
        </x:is>
      </x:c>
      <x:c r="B19" t="inlineStr">
        <x:is>
          <x:t xml:space="preserve">AA|v4.3.2</x:t>
        </x:is>
      </x:c>
      <x:c r="C19" t="n">
        <x:v>4</x:v>
      </x:c>
      <x:c r="D19" t="n">
        <x:v>30</x:v>
      </x:c>
      <x:c r="E19" t="n">
        <x:f>INDEX(Model_TestVersion_Stats!$W:$W,C19)</x:f>
        <x:v>40</x:v>
      </x:c>
      <x:c r="F19" t="n">
        <x:f>INDEX(Model_TestVersion_Stats!$O:$O,C19)</x:f>
        <x:v>0.37</x:v>
      </x:c>
      <x:c r="G19" t="n">
        <x:f>IF(INDEX(Model_TestVersion_Stats!$R:$R,C19)="","",INDEX(Model_TestVersion_Stats!$R:$R,C19)/60)</x:f>
        <x:v>27.701</x:v>
      </x:c>
      <x:c r="H19" t="n">
        <x:f>IF(E19="","",E19-(D19-1))</x:f>
        <x:v>11</x:v>
      </x:c>
      <x:c r="I19" t="n">
        <x:f>IF(H19&gt;0,1,0)</x:f>
        <x:v>1</x:v>
      </x:c>
      <x:c r="J19" t="n">
        <x:f>IF(OR(I19=0,F19="",F19=0),"",H19/F19)</x:f>
        <x:v>29.72972972972973</x:v>
      </x:c>
      <x:c r="K19" t="n">
        <x:f>IF(OR(I19=0,H19=0,F19=""),"",F19/H19)</x:f>
        <x:v>0.03363636363636364</x:v>
      </x:c>
      <x:c r="L19" t="n">
        <x:f>IF(OR(I19=0,F19="",G19="",F19=0,G19=0),"",H19/(F19*G19))</x:f>
        <x:v>1.0732366964993945</x:v>
      </x:c>
      <x:c r="M19" t="n">
        <x:f>IF(J19="","",J19/_xlfn.MAXIFS($J:$J,$D:$D,D19))</x:f>
        <x:v>0.1981981981981982</x:v>
      </x:c>
      <x:c r="N19" t="n">
        <x:f>IF(L19="","",L19/_xlfn.MAXIFS($L:$L,$D:$D,D19))</x:f>
        <x:v>0.019100393487599725</x:v>
      </x:c>
      <x:c r="O19" t="n">
        <x:f>IF(OR(M19="",N19=""),"",SQRT(M19*N19))</x:f>
        <x:v>0.06152774637607707</x:v>
      </x:c>
      <x:c r="P19" t="n">
        <x:f>IF(OR(M19="",N19=""),"",M19^0.7*N19^0.3)</x:f>
        <x:v>0.09823867261037111</x:v>
      </x:c>
      <x:c r="Q19" t="n">
        <x:f>IF(OR(M19="",N19=""),"",M19^0.3*N19^0.7)</x:f>
        <x:v>0.038535369763528456</x:v>
      </x:c>
    </x:row>
    <x:row r="20">
      <x:c r="A20" t="inlineStr">
        <x:is>
          <x:t xml:space="preserve">alibaba|qwen3.8-flash-next|reasoning|reasoning|fallback-na</x:t>
        </x:is>
      </x:c>
      <x:c r="B20" t="inlineStr">
        <x:is>
          <x:t xml:space="preserve">AA|v4.3.2</x:t>
        </x:is>
      </x:c>
      <x:c r="C20" t="n">
        <x:v>4</x:v>
      </x:c>
      <x:c r="D20" t="n">
        <x:v>40</x:v>
      </x:c>
      <x:c r="E20" t="n">
        <x:f>INDEX(Model_TestVersion_Stats!$W:$W,C20)</x:f>
        <x:v>40</x:v>
      </x:c>
      <x:c r="F20" t="n">
        <x:f>INDEX(Model_TestVersion_Stats!$O:$O,C20)</x:f>
        <x:v>0.37</x:v>
      </x:c>
      <x:c r="G20" t="n">
        <x:f>IF(INDEX(Model_TestVersion_Stats!$R:$R,C20)="","",INDEX(Model_TestVersion_Stats!$R:$R,C20)/60)</x:f>
        <x:v>27.701</x:v>
      </x:c>
      <x:c r="H20" t="n">
        <x:f>IF(E20="","",E20-(D20-1))</x:f>
        <x:v>1</x:v>
      </x:c>
      <x:c r="I20" t="n">
        <x:f>IF(H20&gt;0,1,0)</x:f>
        <x:v>1</x:v>
      </x:c>
      <x:c r="J20" t="n">
        <x:f>IF(OR(I20=0,F20="",F20=0),"",H20/F20)</x:f>
        <x:v>2.7027027027027026</x:v>
      </x:c>
      <x:c r="K20" t="n">
        <x:f>IF(OR(I20=0,H20=0,F20=""),"",F20/H20)</x:f>
        <x:v>0.37</x:v>
      </x:c>
      <x:c r="L20" t="n">
        <x:f>IF(OR(I20=0,F20="",G20="",F20=0,G20=0),"",H20/(F20*G20))</x:f>
        <x:v>0.09756697240903586</x:v>
      </x:c>
      <x:c r="M20" t="n">
        <x:f>IF(J20="","",J20/_xlfn.MAXIFS($J:$J,$D:$D,D20))</x:f>
        <x:v>0.05019305019305019</x:v>
      </x:c>
      <x:c r="N20" t="n">
        <x:f>IF(L20="","",L20/_xlfn.MAXIFS($L:$L,$D:$D,D20))</x:f>
        <x:v>0.01618956649460963</x:v>
      </x:c>
      <x:c r="O20" t="n">
        <x:f>IF(OR(M20="",N20=""),"",SQRT(M20*N20))</x:f>
        <x:v>0.02850620500290533</x:v>
      </x:c>
      <x:c r="P20" t="n">
        <x:f>IF(OR(M20="",N20=""),"",M20^0.7*N20^0.3)</x:f>
        <x:v>0.03574547542829231</x:v>
      </x:c>
      <x:c r="Q20" t="n">
        <x:f>IF(OR(M20="",N20=""),"",M20^0.3*N20^0.7)</x:f>
        <x:v>0.022733051216448346</x:v>
      </x:c>
    </x:row>
    <x:row r="21">
      <x:c r="A21" t="inlineStr">
        <x:is>
          <x:t xml:space="preserve">alibaba|qwen3.8-flash-next|reasoning|reasoning|fallback-na</x:t>
        </x:is>
      </x:c>
      <x:c r="B21" t="inlineStr">
        <x:is>
          <x:t xml:space="preserve">AA|v4.3.2</x:t>
        </x:is>
      </x:c>
      <x:c r="C21" t="n">
        <x:v>4</x:v>
      </x:c>
      <x:c r="D21" t="n">
        <x:v>45</x:v>
      </x:c>
      <x:c r="E21" t="n">
        <x:f>INDEX(Model_TestVersion_Stats!$W:$W,C21)</x:f>
        <x:v>40</x:v>
      </x:c>
      <x:c r="F21" t="n">
        <x:f>INDEX(Model_TestVersion_Stats!$O:$O,C21)</x:f>
        <x:v>0.37</x:v>
      </x:c>
      <x:c r="G21" t="n">
        <x:f>IF(INDEX(Model_TestVersion_Stats!$R:$R,C21)="","",INDEX(Model_TestVersion_Stats!$R:$R,C21)/60)</x:f>
        <x:v>27.701</x:v>
      </x:c>
      <x:c r="H21" t="n">
        <x:f>IF(E21="","",E21-(D21-1))</x:f>
        <x:v>-4</x:v>
      </x:c>
      <x:c r="I21" t="n">
        <x:f>IF(H21&gt;0,1,0)</x:f>
        <x:v>0</x:v>
      </x:c>
      <x:c r="J21" t="str">
        <x:f>IF(OR(I21=0,F21="",F21=0),"",H21/F21)</x:f>
      </x:c>
      <x:c r="K21" t="str">
        <x:f>IF(OR(I21=0,H21=0,F21=""),"",F21/H21)</x:f>
      </x:c>
      <x:c r="L21" t="str">
        <x:f>IF(OR(I21=0,F21="",G21="",F21=0,G21=0),"",H21/(F21*G21))</x:f>
      </x:c>
      <x:c r="M21" t="str">
        <x:f>IF(J21="","",J21/_xlfn.MAXIFS($J:$J,$D:$D,D21))</x:f>
      </x:c>
      <x:c r="N21" t="str">
        <x:f>IF(L21="","",L21/_xlfn.MAXIFS($L:$L,$D:$D,D21))</x:f>
      </x:c>
      <x:c r="O21" t="str">
        <x:f>IF(OR(M21="",N21=""),"",SQRT(M21*N21))</x:f>
      </x:c>
      <x:c r="P21" t="str">
        <x:f>IF(OR(M21="",N21=""),"",M21^0.7*N21^0.3)</x:f>
      </x:c>
      <x:c r="Q21" t="str">
        <x:f>IF(OR(M21="",N21=""),"",M21^0.3*N21^0.7)</x:f>
      </x:c>
    </x:row>
    <x:row r="22">
      <x:c r="A22" t="inlineStr">
        <x:is>
          <x:t xml:space="preserve">alibaba|qwen3.8-flash-next|reasoning|reasoning|fallback-na</x:t>
        </x:is>
      </x:c>
      <x:c r="B22" t="inlineStr">
        <x:is>
          <x:t xml:space="preserve">AA|v4.3.2</x:t>
        </x:is>
      </x:c>
      <x:c r="C22" t="n">
        <x:v>4</x:v>
      </x:c>
      <x:c r="D22" t="n">
        <x:v>50</x:v>
      </x:c>
      <x:c r="E22" t="n">
        <x:f>INDEX(Model_TestVersion_Stats!$W:$W,C22)</x:f>
        <x:v>40</x:v>
      </x:c>
      <x:c r="F22" t="n">
        <x:f>INDEX(Model_TestVersion_Stats!$O:$O,C22)</x:f>
        <x:v>0.37</x:v>
      </x:c>
      <x:c r="G22" t="n">
        <x:f>IF(INDEX(Model_TestVersion_Stats!$R:$R,C22)="","",INDEX(Model_TestVersion_Stats!$R:$R,C22)/60)</x:f>
        <x:v>27.701</x:v>
      </x:c>
      <x:c r="H22" t="n">
        <x:f>IF(E22="","",E22-(D22-1))</x:f>
        <x:v>-9</x:v>
      </x:c>
      <x:c r="I22" t="n">
        <x:f>IF(H22&gt;0,1,0)</x:f>
        <x:v>0</x:v>
      </x:c>
      <x:c r="J22" t="str">
        <x:f>IF(OR(I22=0,F22="",F22=0),"",H22/F22)</x:f>
      </x:c>
      <x:c r="K22" t="str">
        <x:f>IF(OR(I22=0,H22=0,F22=""),"",F22/H22)</x:f>
      </x:c>
      <x:c r="L22" t="str">
        <x:f>IF(OR(I22=0,F22="",G22="",F22=0,G22=0),"",H22/(F22*G22))</x:f>
      </x:c>
      <x:c r="M22" t="str">
        <x:f>IF(J22="","",J22/_xlfn.MAXIFS($J:$J,$D:$D,D22))</x:f>
      </x:c>
      <x:c r="N22" t="str">
        <x:f>IF(L22="","",L22/_xlfn.MAXIFS($L:$L,$D:$D,D22))</x:f>
      </x:c>
      <x:c r="O22" t="str">
        <x:f>IF(OR(M22="",N22=""),"",SQRT(M22*N22))</x:f>
      </x:c>
      <x:c r="P22" t="str">
        <x:f>IF(OR(M22="",N22=""),"",M22^0.7*N22^0.3)</x:f>
      </x:c>
      <x:c r="Q22" t="str">
        <x:f>IF(OR(M22="",N22=""),"",M22^0.3*N22^0.7)</x:f>
      </x:c>
    </x:row>
    <x:row r="23">
      <x:c r="A23" t="inlineStr">
        <x:is>
          <x:t xml:space="preserve">alibaba|qwen3.8-flash-next|reasoning|reasoning|fallback-na</x:t>
        </x:is>
      </x:c>
      <x:c r="B23" t="inlineStr">
        <x:is>
          <x:t xml:space="preserve">AA|v4.3.2</x:t>
        </x:is>
      </x:c>
      <x:c r="C23" t="n">
        <x:v>4</x:v>
      </x:c>
      <x:c r="D23" t="n">
        <x:v>52</x:v>
      </x:c>
      <x:c r="E23" t="n">
        <x:f>INDEX(Model_TestVersion_Stats!$W:$W,C23)</x:f>
        <x:v>40</x:v>
      </x:c>
      <x:c r="F23" t="n">
        <x:f>INDEX(Model_TestVersion_Stats!$O:$O,C23)</x:f>
        <x:v>0.37</x:v>
      </x:c>
      <x:c r="G23" t="n">
        <x:f>IF(INDEX(Model_TestVersion_Stats!$R:$R,C23)="","",INDEX(Model_TestVersion_Stats!$R:$R,C23)/60)</x:f>
        <x:v>27.701</x:v>
      </x:c>
      <x:c r="H23" t="n">
        <x:f>IF(E23="","",E23-(D23-1))</x:f>
        <x:v>-11</x:v>
      </x:c>
      <x:c r="I23" t="n">
        <x:f>IF(H23&gt;0,1,0)</x:f>
        <x:v>0</x:v>
      </x:c>
      <x:c r="J23" t="str">
        <x:f>IF(OR(I23=0,F23="",F23=0),"",H23/F23)</x:f>
      </x:c>
      <x:c r="K23" t="str">
        <x:f>IF(OR(I23=0,H23=0,F23=""),"",F23/H23)</x:f>
      </x:c>
      <x:c r="L23" t="str">
        <x:f>IF(OR(I23=0,F23="",G23="",F23=0,G23=0),"",H23/(F23*G23))</x:f>
      </x:c>
      <x:c r="M23" t="str">
        <x:f>IF(J23="","",J23/_xlfn.MAXIFS($J:$J,$D:$D,D23))</x:f>
      </x:c>
      <x:c r="N23" t="str">
        <x:f>IF(L23="","",L23/_xlfn.MAXIFS($L:$L,$D:$D,D23))</x:f>
      </x:c>
      <x:c r="O23" t="str">
        <x:f>IF(OR(M23="",N23=""),"",SQRT(M23*N23))</x:f>
      </x:c>
      <x:c r="P23" t="str">
        <x:f>IF(OR(M23="",N23=""),"",M23^0.7*N23^0.3)</x:f>
      </x:c>
      <x:c r="Q23" t="str">
        <x:f>IF(OR(M23="",N23=""),"",M23^0.3*N23^0.7)</x:f>
      </x:c>
    </x:row>
    <x:row r="24">
      <x:c r="A24" t="inlineStr">
        <x:is>
          <x:t xml:space="preserve">alibaba|qwen3.8-flash-next|reasoning|reasoning|fallback-na</x:t>
        </x:is>
      </x:c>
      <x:c r="B24" t="inlineStr">
        <x:is>
          <x:t xml:space="preserve">AA|v4.3.2</x:t>
        </x:is>
      </x:c>
      <x:c r="C24" t="n">
        <x:v>4</x:v>
      </x:c>
      <x:c r="D24" t="n">
        <x:v>65</x:v>
      </x:c>
      <x:c r="E24" t="n">
        <x:f>INDEX(Model_TestVersion_Stats!$W:$W,C24)</x:f>
        <x:v>40</x:v>
      </x:c>
      <x:c r="F24" t="n">
        <x:f>INDEX(Model_TestVersion_Stats!$O:$O,C24)</x:f>
        <x:v>0.37</x:v>
      </x:c>
      <x:c r="G24" t="n">
        <x:f>IF(INDEX(Model_TestVersion_Stats!$R:$R,C24)="","",INDEX(Model_TestVersion_Stats!$R:$R,C24)/60)</x:f>
        <x:v>27.701</x:v>
      </x:c>
      <x:c r="H24" t="n">
        <x:f>IF(E24="","",E24-(D24-1))</x:f>
        <x:v>-24</x:v>
      </x:c>
      <x:c r="I24" t="n">
        <x:f>IF(H24&gt;0,1,0)</x:f>
        <x:v>0</x:v>
      </x:c>
      <x:c r="J24" t="str">
        <x:f>IF(OR(I24=0,F24="",F24=0),"",H24/F24)</x:f>
      </x:c>
      <x:c r="K24" t="str">
        <x:f>IF(OR(I24=0,H24=0,F24=""),"",F24/H24)</x:f>
      </x:c>
      <x:c r="L24" t="str">
        <x:f>IF(OR(I24=0,F24="",G24="",F24=0,G24=0),"",H24/(F24*G24))</x:f>
      </x:c>
      <x:c r="M24" t="str">
        <x:f>IF(J24="","",J24/_xlfn.MAXIFS($J:$J,$D:$D,D24))</x:f>
      </x:c>
      <x:c r="N24" t="str">
        <x:f>IF(L24="","",L24/_xlfn.MAXIFS($L:$L,$D:$D,D24))</x:f>
      </x:c>
      <x:c r="O24" t="str">
        <x:f>IF(OR(M24="",N24=""),"",SQRT(M24*N24))</x:f>
      </x:c>
      <x:c r="P24" t="str">
        <x:f>IF(OR(M24="",N24=""),"",M24^0.7*N24^0.3)</x:f>
      </x:c>
      <x:c r="Q24" t="str">
        <x:f>IF(OR(M24="",N24=""),"",M24^0.3*N24^0.7)</x:f>
      </x:c>
    </x:row>
    <x:row r="25">
      <x:c r="A25" t="inlineStr">
        <x:is>
          <x:t xml:space="preserve">alibaba|qwen3.8-flash-next|reasoning|reasoning|fallback-na</x:t>
        </x:is>
      </x:c>
      <x:c r="B25" t="inlineStr">
        <x:is>
          <x:t xml:space="preserve">AA|v4.3.2</x:t>
        </x:is>
      </x:c>
      <x:c r="C25" t="n">
        <x:v>4</x:v>
      </x:c>
      <x:c r="D25" t="n">
        <x:v>80</x:v>
      </x:c>
      <x:c r="E25" t="n">
        <x:f>INDEX(Model_TestVersion_Stats!$W:$W,C25)</x:f>
        <x:v>40</x:v>
      </x:c>
      <x:c r="F25" t="n">
        <x:f>INDEX(Model_TestVersion_Stats!$O:$O,C25)</x:f>
        <x:v>0.37</x:v>
      </x:c>
      <x:c r="G25" t="n">
        <x:f>IF(INDEX(Model_TestVersion_Stats!$R:$R,C25)="","",INDEX(Model_TestVersion_Stats!$R:$R,C25)/60)</x:f>
        <x:v>27.701</x:v>
      </x:c>
      <x:c r="H25" t="n">
        <x:f>IF(E25="","",E25-(D25-1))</x:f>
        <x:v>-39</x:v>
      </x:c>
      <x:c r="I25" t="n">
        <x:f>IF(H25&gt;0,1,0)</x:f>
        <x:v>0</x:v>
      </x:c>
      <x:c r="J25" t="str">
        <x:f>IF(OR(I25=0,F25="",F25=0),"",H25/F25)</x:f>
      </x:c>
      <x:c r="K25" t="str">
        <x:f>IF(OR(I25=0,H25=0,F25=""),"",F25/H25)</x:f>
      </x:c>
      <x:c r="L25" t="str">
        <x:f>IF(OR(I25=0,F25="",G25="",F25=0,G25=0),"",H25/(F25*G25))</x:f>
      </x:c>
      <x:c r="M25" t="str">
        <x:f>IF(J25="","",J25/_xlfn.MAXIFS($J:$J,$D:$D,D25))</x:f>
      </x:c>
      <x:c r="N25" t="str">
        <x:f>IF(L25="","",L25/_xlfn.MAXIFS($L:$L,$D:$D,D25))</x:f>
      </x:c>
      <x:c r="O25" t="str">
        <x:f>IF(OR(M25="",N25=""),"",SQRT(M25*N25))</x:f>
      </x:c>
      <x:c r="P25" t="str">
        <x:f>IF(OR(M25="",N25=""),"",M25^0.7*N25^0.3)</x:f>
      </x:c>
      <x:c r="Q25" t="str">
        <x:f>IF(OR(M25="",N25=""),"",M25^0.3*N25^0.7)</x:f>
      </x:c>
    </x:row>
    <x:row r="26">
      <x:c r="A26" t="inlineStr">
        <x:is>
          <x:t xml:space="preserve">alibaba|qwen3.8-max-0902|reasoning|reasoning|fallback-na</x:t>
        </x:is>
      </x:c>
      <x:c r="B26" t="inlineStr">
        <x:is>
          <x:t xml:space="preserve">AA|v4.3.2</x:t>
        </x:is>
      </x:c>
      <x:c r="C26" t="n">
        <x:v>5</x:v>
      </x:c>
      <x:c r="D26" t="n">
        <x:v>20</x:v>
      </x:c>
      <x:c r="E26" t="n">
        <x:f>INDEX(Model_TestVersion_Stats!$W:$W,C26)</x:f>
        <x:v>45</x:v>
      </x:c>
      <x:c r="F26" t="str">
        <x:f>INDEX(Model_TestVersion_Stats!$O:$O,C26)</x:f>
      </x:c>
      <x:c r="G26" t="str">
        <x:f>IF(INDEX(Model_TestVersion_Stats!$R:$R,C26)="","",INDEX(Model_TestVersion_Stats!$R:$R,C26)/60)</x:f>
      </x:c>
      <x:c r="H26" t="n">
        <x:f>IF(E26="","",E26-(D26-1))</x:f>
        <x:v>26</x:v>
      </x:c>
      <x:c r="I26" t="n">
        <x:f>IF(H26&gt;0,1,0)</x:f>
        <x:v>1</x:v>
      </x:c>
      <x:c r="J26" t="str">
        <x:f>IF(OR(I26=0,F26="",F26=0),"",H26/F26)</x:f>
      </x:c>
      <x:c r="K26" t="str">
        <x:f>IF(OR(I26=0,H26=0,F26=""),"",F26/H26)</x:f>
      </x:c>
      <x:c r="L26" t="str">
        <x:f>IF(OR(I26=0,F26="",G26="",F26=0,G26=0),"",H26/(F26*G26))</x:f>
      </x:c>
      <x:c r="M26" t="str">
        <x:f>IF(J26="","",J26/_xlfn.MAXIFS($J:$J,$D:$D,D26))</x:f>
      </x:c>
      <x:c r="N26" t="str">
        <x:f>IF(L26="","",L26/_xlfn.MAXIFS($L:$L,$D:$D,D26))</x:f>
      </x:c>
      <x:c r="O26" t="str">
        <x:f>IF(OR(M26="",N26=""),"",SQRT(M26*N26))</x:f>
      </x:c>
      <x:c r="P26" t="str">
        <x:f>IF(OR(M26="",N26=""),"",M26^0.7*N26^0.3)</x:f>
      </x:c>
      <x:c r="Q26" t="str">
        <x:f>IF(OR(M26="",N26=""),"",M26^0.3*N26^0.7)</x:f>
      </x:c>
    </x:row>
    <x:row r="27">
      <x:c r="A27" t="inlineStr">
        <x:is>
          <x:t xml:space="preserve">alibaba|qwen3.8-max-0902|reasoning|reasoning|fallback-na</x:t>
        </x:is>
      </x:c>
      <x:c r="B27" t="inlineStr">
        <x:is>
          <x:t xml:space="preserve">AA|v4.3.2</x:t>
        </x:is>
      </x:c>
      <x:c r="C27" t="n">
        <x:v>5</x:v>
      </x:c>
      <x:c r="D27" t="n">
        <x:v>30</x:v>
      </x:c>
      <x:c r="E27" t="n">
        <x:f>INDEX(Model_TestVersion_Stats!$W:$W,C27)</x:f>
        <x:v>45</x:v>
      </x:c>
      <x:c r="F27" t="str">
        <x:f>INDEX(Model_TestVersion_Stats!$O:$O,C27)</x:f>
      </x:c>
      <x:c r="G27" t="str">
        <x:f>IF(INDEX(Model_TestVersion_Stats!$R:$R,C27)="","",INDEX(Model_TestVersion_Stats!$R:$R,C27)/60)</x:f>
      </x:c>
      <x:c r="H27" t="n">
        <x:f>IF(E27="","",E27-(D27-1))</x:f>
        <x:v>16</x:v>
      </x:c>
      <x:c r="I27" t="n">
        <x:f>IF(H27&gt;0,1,0)</x:f>
        <x:v>1</x:v>
      </x:c>
      <x:c r="J27" t="str">
        <x:f>IF(OR(I27=0,F27="",F27=0),"",H27/F27)</x:f>
      </x:c>
      <x:c r="K27" t="str">
        <x:f>IF(OR(I27=0,H27=0,F27=""),"",F27/H27)</x:f>
      </x:c>
      <x:c r="L27" t="str">
        <x:f>IF(OR(I27=0,F27="",G27="",F27=0,G27=0),"",H27/(F27*G27))</x:f>
      </x:c>
      <x:c r="M27" t="str">
        <x:f>IF(J27="","",J27/_xlfn.MAXIFS($J:$J,$D:$D,D27))</x:f>
      </x:c>
      <x:c r="N27" t="str">
        <x:f>IF(L27="","",L27/_xlfn.MAXIFS($L:$L,$D:$D,D27))</x:f>
      </x:c>
      <x:c r="O27" t="str">
        <x:f>IF(OR(M27="",N27=""),"",SQRT(M27*N27))</x:f>
      </x:c>
      <x:c r="P27" t="str">
        <x:f>IF(OR(M27="",N27=""),"",M27^0.7*N27^0.3)</x:f>
      </x:c>
      <x:c r="Q27" t="str">
        <x:f>IF(OR(M27="",N27=""),"",M27^0.3*N27^0.7)</x:f>
      </x:c>
    </x:row>
    <x:row r="28">
      <x:c r="A28" t="inlineStr">
        <x:is>
          <x:t xml:space="preserve">alibaba|qwen3.8-max-0902|reasoning|reasoning|fallback-na</x:t>
        </x:is>
      </x:c>
      <x:c r="B28" t="inlineStr">
        <x:is>
          <x:t xml:space="preserve">AA|v4.3.2</x:t>
        </x:is>
      </x:c>
      <x:c r="C28" t="n">
        <x:v>5</x:v>
      </x:c>
      <x:c r="D28" t="n">
        <x:v>40</x:v>
      </x:c>
      <x:c r="E28" t="n">
        <x:f>INDEX(Model_TestVersion_Stats!$W:$W,C28)</x:f>
        <x:v>45</x:v>
      </x:c>
      <x:c r="F28" t="str">
        <x:f>INDEX(Model_TestVersion_Stats!$O:$O,C28)</x:f>
      </x:c>
      <x:c r="G28" t="str">
        <x:f>IF(INDEX(Model_TestVersion_Stats!$R:$R,C28)="","",INDEX(Model_TestVersion_Stats!$R:$R,C28)/60)</x:f>
      </x:c>
      <x:c r="H28" t="n">
        <x:f>IF(E28="","",E28-(D28-1))</x:f>
        <x:v>6</x:v>
      </x:c>
      <x:c r="I28" t="n">
        <x:f>IF(H28&gt;0,1,0)</x:f>
        <x:v>1</x:v>
      </x:c>
      <x:c r="J28" t="str">
        <x:f>IF(OR(I28=0,F28="",F28=0),"",H28/F28)</x:f>
      </x:c>
      <x:c r="K28" t="str">
        <x:f>IF(OR(I28=0,H28=0,F28=""),"",F28/H28)</x:f>
      </x:c>
      <x:c r="L28" t="str">
        <x:f>IF(OR(I28=0,F28="",G28="",F28=0,G28=0),"",H28/(F28*G28))</x:f>
      </x:c>
      <x:c r="M28" t="str">
        <x:f>IF(J28="","",J28/_xlfn.MAXIFS($J:$J,$D:$D,D28))</x:f>
      </x:c>
      <x:c r="N28" t="str">
        <x:f>IF(L28="","",L28/_xlfn.MAXIFS($L:$L,$D:$D,D28))</x:f>
      </x:c>
      <x:c r="O28" t="str">
        <x:f>IF(OR(M28="",N28=""),"",SQRT(M28*N28))</x:f>
      </x:c>
      <x:c r="P28" t="str">
        <x:f>IF(OR(M28="",N28=""),"",M28^0.7*N28^0.3)</x:f>
      </x:c>
      <x:c r="Q28" t="str">
        <x:f>IF(OR(M28="",N28=""),"",M28^0.3*N28^0.7)</x:f>
      </x:c>
    </x:row>
    <x:row r="29">
      <x:c r="A29" t="inlineStr">
        <x:is>
          <x:t xml:space="preserve">alibaba|qwen3.8-max-0902|reasoning|reasoning|fallback-na</x:t>
        </x:is>
      </x:c>
      <x:c r="B29" t="inlineStr">
        <x:is>
          <x:t xml:space="preserve">AA|v4.3.2</x:t>
        </x:is>
      </x:c>
      <x:c r="C29" t="n">
        <x:v>5</x:v>
      </x:c>
      <x:c r="D29" t="n">
        <x:v>45</x:v>
      </x:c>
      <x:c r="E29" t="n">
        <x:f>INDEX(Model_TestVersion_Stats!$W:$W,C29)</x:f>
        <x:v>45</x:v>
      </x:c>
      <x:c r="F29" t="str">
        <x:f>INDEX(Model_TestVersion_Stats!$O:$O,C29)</x:f>
      </x:c>
      <x:c r="G29" t="str">
        <x:f>IF(INDEX(Model_TestVersion_Stats!$R:$R,C29)="","",INDEX(Model_TestVersion_Stats!$R:$R,C29)/60)</x:f>
      </x:c>
      <x:c r="H29" t="n">
        <x:f>IF(E29="","",E29-(D29-1))</x:f>
        <x:v>1</x:v>
      </x:c>
      <x:c r="I29" t="n">
        <x:f>IF(H29&gt;0,1,0)</x:f>
        <x:v>1</x:v>
      </x:c>
      <x:c r="J29" t="str">
        <x:f>IF(OR(I29=0,F29="",F29=0),"",H29/F29)</x:f>
      </x:c>
      <x:c r="K29" t="str">
        <x:f>IF(OR(I29=0,H29=0,F29=""),"",F29/H29)</x:f>
      </x:c>
      <x:c r="L29" t="str">
        <x:f>IF(OR(I29=0,F29="",G29="",F29=0,G29=0),"",H29/(F29*G29))</x:f>
      </x:c>
      <x:c r="M29" t="str">
        <x:f>IF(J29="","",J29/_xlfn.MAXIFS($J:$J,$D:$D,D29))</x:f>
      </x:c>
      <x:c r="N29" t="str">
        <x:f>IF(L29="","",L29/_xlfn.MAXIFS($L:$L,$D:$D,D29))</x:f>
      </x:c>
      <x:c r="O29" t="str">
        <x:f>IF(OR(M29="",N29=""),"",SQRT(M29*N29))</x:f>
      </x:c>
      <x:c r="P29" t="str">
        <x:f>IF(OR(M29="",N29=""),"",M29^0.7*N29^0.3)</x:f>
      </x:c>
      <x:c r="Q29" t="str">
        <x:f>IF(OR(M29="",N29=""),"",M29^0.3*N29^0.7)</x:f>
      </x:c>
    </x:row>
    <x:row r="30">
      <x:c r="A30" t="inlineStr">
        <x:is>
          <x:t xml:space="preserve">alibaba|qwen3.8-max-0902|reasoning|reasoning|fallback-na</x:t>
        </x:is>
      </x:c>
      <x:c r="B30" t="inlineStr">
        <x:is>
          <x:t xml:space="preserve">AA|v4.3.2</x:t>
        </x:is>
      </x:c>
      <x:c r="C30" t="n">
        <x:v>5</x:v>
      </x:c>
      <x:c r="D30" t="n">
        <x:v>50</x:v>
      </x:c>
      <x:c r="E30" t="n">
        <x:f>INDEX(Model_TestVersion_Stats!$W:$W,C30)</x:f>
        <x:v>45</x:v>
      </x:c>
      <x:c r="F30" t="str">
        <x:f>INDEX(Model_TestVersion_Stats!$O:$O,C30)</x:f>
      </x:c>
      <x:c r="G30" t="str">
        <x:f>IF(INDEX(Model_TestVersion_Stats!$R:$R,C30)="","",INDEX(Model_TestVersion_Stats!$R:$R,C30)/60)</x:f>
      </x:c>
      <x:c r="H30" t="n">
        <x:f>IF(E30="","",E30-(D30-1))</x:f>
        <x:v>-4</x:v>
      </x:c>
      <x:c r="I30" t="n">
        <x:f>IF(H30&gt;0,1,0)</x:f>
        <x:v>0</x:v>
      </x:c>
      <x:c r="J30" t="str">
        <x:f>IF(OR(I30=0,F30="",F30=0),"",H30/F30)</x:f>
      </x:c>
      <x:c r="K30" t="str">
        <x:f>IF(OR(I30=0,H30=0,F30=""),"",F30/H30)</x:f>
      </x:c>
      <x:c r="L30" t="str">
        <x:f>IF(OR(I30=0,F30="",G30="",F30=0,G30=0),"",H30/(F30*G30))</x:f>
      </x:c>
      <x:c r="M30" t="str">
        <x:f>IF(J30="","",J30/_xlfn.MAXIFS($J:$J,$D:$D,D30))</x:f>
      </x:c>
      <x:c r="N30" t="str">
        <x:f>IF(L30="","",L30/_xlfn.MAXIFS($L:$L,$D:$D,D30))</x:f>
      </x:c>
      <x:c r="O30" t="str">
        <x:f>IF(OR(M30="",N30=""),"",SQRT(M30*N30))</x:f>
      </x:c>
      <x:c r="P30" t="str">
        <x:f>IF(OR(M30="",N30=""),"",M30^0.7*N30^0.3)</x:f>
      </x:c>
      <x:c r="Q30" t="str">
        <x:f>IF(OR(M30="",N30=""),"",M30^0.3*N30^0.7)</x:f>
      </x:c>
    </x:row>
    <x:row r="31">
      <x:c r="A31" t="inlineStr">
        <x:is>
          <x:t xml:space="preserve">alibaba|qwen3.8-max-0902|reasoning|reasoning|fallback-na</x:t>
        </x:is>
      </x:c>
      <x:c r="B31" t="inlineStr">
        <x:is>
          <x:t xml:space="preserve">AA|v4.3.2</x:t>
        </x:is>
      </x:c>
      <x:c r="C31" t="n">
        <x:v>5</x:v>
      </x:c>
      <x:c r="D31" t="n">
        <x:v>52</x:v>
      </x:c>
      <x:c r="E31" t="n">
        <x:f>INDEX(Model_TestVersion_Stats!$W:$W,C31)</x:f>
        <x:v>45</x:v>
      </x:c>
      <x:c r="F31" t="str">
        <x:f>INDEX(Model_TestVersion_Stats!$O:$O,C31)</x:f>
      </x:c>
      <x:c r="G31" t="str">
        <x:f>IF(INDEX(Model_TestVersion_Stats!$R:$R,C31)="","",INDEX(Model_TestVersion_Stats!$R:$R,C31)/60)</x:f>
      </x:c>
      <x:c r="H31" t="n">
        <x:f>IF(E31="","",E31-(D31-1))</x:f>
        <x:v>-6</x:v>
      </x:c>
      <x:c r="I31" t="n">
        <x:f>IF(H31&gt;0,1,0)</x:f>
        <x:v>0</x:v>
      </x:c>
      <x:c r="J31" t="str">
        <x:f>IF(OR(I31=0,F31="",F31=0),"",H31/F31)</x:f>
      </x:c>
      <x:c r="K31" t="str">
        <x:f>IF(OR(I31=0,H31=0,F31=""),"",F31/H31)</x:f>
      </x:c>
      <x:c r="L31" t="str">
        <x:f>IF(OR(I31=0,F31="",G31="",F31=0,G31=0),"",H31/(F31*G31))</x:f>
      </x:c>
      <x:c r="M31" t="str">
        <x:f>IF(J31="","",J31/_xlfn.MAXIFS($J:$J,$D:$D,D31))</x:f>
      </x:c>
      <x:c r="N31" t="str">
        <x:f>IF(L31="","",L31/_xlfn.MAXIFS($L:$L,$D:$D,D31))</x:f>
      </x:c>
      <x:c r="O31" t="str">
        <x:f>IF(OR(M31="",N31=""),"",SQRT(M31*N31))</x:f>
      </x:c>
      <x:c r="P31" t="str">
        <x:f>IF(OR(M31="",N31=""),"",M31^0.7*N31^0.3)</x:f>
      </x:c>
      <x:c r="Q31" t="str">
        <x:f>IF(OR(M31="",N31=""),"",M31^0.3*N31^0.7)</x:f>
      </x:c>
    </x:row>
    <x:row r="32">
      <x:c r="A32" t="inlineStr">
        <x:is>
          <x:t xml:space="preserve">alibaba|qwen3.8-max-0902|reasoning|reasoning|fallback-na</x:t>
        </x:is>
      </x:c>
      <x:c r="B32" t="inlineStr">
        <x:is>
          <x:t xml:space="preserve">AA|v4.3.2</x:t>
        </x:is>
      </x:c>
      <x:c r="C32" t="n">
        <x:v>5</x:v>
      </x:c>
      <x:c r="D32" t="n">
        <x:v>65</x:v>
      </x:c>
      <x:c r="E32" t="n">
        <x:f>INDEX(Model_TestVersion_Stats!$W:$W,C32)</x:f>
        <x:v>45</x:v>
      </x:c>
      <x:c r="F32" t="str">
        <x:f>INDEX(Model_TestVersion_Stats!$O:$O,C32)</x:f>
      </x:c>
      <x:c r="G32" t="str">
        <x:f>IF(INDEX(Model_TestVersion_Stats!$R:$R,C32)="","",INDEX(Model_TestVersion_Stats!$R:$R,C32)/60)</x:f>
      </x:c>
      <x:c r="H32" t="n">
        <x:f>IF(E32="","",E32-(D32-1))</x:f>
        <x:v>-19</x:v>
      </x:c>
      <x:c r="I32" t="n">
        <x:f>IF(H32&gt;0,1,0)</x:f>
        <x:v>0</x:v>
      </x:c>
      <x:c r="J32" t="str">
        <x:f>IF(OR(I32=0,F32="",F32=0),"",H32/F32)</x:f>
      </x:c>
      <x:c r="K32" t="str">
        <x:f>IF(OR(I32=0,H32=0,F32=""),"",F32/H32)</x:f>
      </x:c>
      <x:c r="L32" t="str">
        <x:f>IF(OR(I32=0,F32="",G32="",F32=0,G32=0),"",H32/(F32*G32))</x:f>
      </x:c>
      <x:c r="M32" t="str">
        <x:f>IF(J32="","",J32/_xlfn.MAXIFS($J:$J,$D:$D,D32))</x:f>
      </x:c>
      <x:c r="N32" t="str">
        <x:f>IF(L32="","",L32/_xlfn.MAXIFS($L:$L,$D:$D,D32))</x:f>
      </x:c>
      <x:c r="O32" t="str">
        <x:f>IF(OR(M32="",N32=""),"",SQRT(M32*N32))</x:f>
      </x:c>
      <x:c r="P32" t="str">
        <x:f>IF(OR(M32="",N32=""),"",M32^0.7*N32^0.3)</x:f>
      </x:c>
      <x:c r="Q32" t="str">
        <x:f>IF(OR(M32="",N32=""),"",M32^0.3*N32^0.7)</x:f>
      </x:c>
    </x:row>
    <x:row r="33">
      <x:c r="A33" t="inlineStr">
        <x:is>
          <x:t xml:space="preserve">alibaba|qwen3.8-max-0902|reasoning|reasoning|fallback-na</x:t>
        </x:is>
      </x:c>
      <x:c r="B33" t="inlineStr">
        <x:is>
          <x:t xml:space="preserve">AA|v4.3.2</x:t>
        </x:is>
      </x:c>
      <x:c r="C33" t="n">
        <x:v>5</x:v>
      </x:c>
      <x:c r="D33" t="n">
        <x:v>80</x:v>
      </x:c>
      <x:c r="E33" t="n">
        <x:f>INDEX(Model_TestVersion_Stats!$W:$W,C33)</x:f>
        <x:v>45</x:v>
      </x:c>
      <x:c r="F33" t="str">
        <x:f>INDEX(Model_TestVersion_Stats!$O:$O,C33)</x:f>
      </x:c>
      <x:c r="G33" t="str">
        <x:f>IF(INDEX(Model_TestVersion_Stats!$R:$R,C33)="","",INDEX(Model_TestVersion_Stats!$R:$R,C33)/60)</x:f>
      </x:c>
      <x:c r="H33" t="n">
        <x:f>IF(E33="","",E33-(D33-1))</x:f>
        <x:v>-34</x:v>
      </x:c>
      <x:c r="I33" t="n">
        <x:f>IF(H33&gt;0,1,0)</x:f>
        <x:v>0</x:v>
      </x:c>
      <x:c r="J33" t="str">
        <x:f>IF(OR(I33=0,F33="",F33=0),"",H33/F33)</x:f>
      </x:c>
      <x:c r="K33" t="str">
        <x:f>IF(OR(I33=0,H33=0,F33=""),"",F33/H33)</x:f>
      </x:c>
      <x:c r="L33" t="str">
        <x:f>IF(OR(I33=0,F33="",G33="",F33=0,G33=0),"",H33/(F33*G33))</x:f>
      </x:c>
      <x:c r="M33" t="str">
        <x:f>IF(J33="","",J33/_xlfn.MAXIFS($J:$J,$D:$D,D33))</x:f>
      </x:c>
      <x:c r="N33" t="str">
        <x:f>IF(L33="","",L33/_xlfn.MAXIFS($L:$L,$D:$D,D33))</x:f>
      </x:c>
      <x:c r="O33" t="str">
        <x:f>IF(OR(M33="",N33=""),"",SQRT(M33*N33))</x:f>
      </x:c>
      <x:c r="P33" t="str">
        <x:f>IF(OR(M33="",N33=""),"",M33^0.7*N33^0.3)</x:f>
      </x:c>
      <x:c r="Q33" t="str">
        <x:f>IF(OR(M33="",N33=""),"",M33^0.3*N33^0.7)</x:f>
      </x:c>
    </x:row>
    <x:row r="34">
      <x:c r="A34" t="inlineStr">
        <x:is>
          <x:t xml:space="preserve">anthropic|claude-4.5-haiku|non-reasoning|nonreasoning|fallback-na</x:t>
        </x:is>
      </x:c>
      <x:c r="B34" t="inlineStr">
        <x:is>
          <x:t xml:space="preserve">AA|v4.3.2</x:t>
        </x:is>
      </x:c>
      <x:c r="C34" t="n">
        <x:v>6</x:v>
      </x:c>
      <x:c r="D34" t="n">
        <x:v>20</x:v>
      </x:c>
      <x:c r="E34" t="n">
        <x:f>INDEX(Model_TestVersion_Stats!$W:$W,C34)</x:f>
        <x:v>15</x:v>
      </x:c>
      <x:c r="F34" t="str">
        <x:f>INDEX(Model_TestVersion_Stats!$O:$O,C34)</x:f>
      </x:c>
      <x:c r="G34" t="str">
        <x:f>IF(INDEX(Model_TestVersion_Stats!$R:$R,C34)="","",INDEX(Model_TestVersion_Stats!$R:$R,C34)/60)</x:f>
      </x:c>
      <x:c r="H34" t="n">
        <x:f>IF(E34="","",E34-(D34-1))</x:f>
        <x:v>-4</x:v>
      </x:c>
      <x:c r="I34" t="n">
        <x:f>IF(H34&gt;0,1,0)</x:f>
        <x:v>0</x:v>
      </x:c>
      <x:c r="J34" t="str">
        <x:f>IF(OR(I34=0,F34="",F34=0),"",H34/F34)</x:f>
      </x:c>
      <x:c r="K34" t="str">
        <x:f>IF(OR(I34=0,H34=0,F34=""),"",F34/H34)</x:f>
      </x:c>
      <x:c r="L34" t="str">
        <x:f>IF(OR(I34=0,F34="",G34="",F34=0,G34=0),"",H34/(F34*G34))</x:f>
      </x:c>
      <x:c r="M34" t="str">
        <x:f>IF(J34="","",J34/_xlfn.MAXIFS($J:$J,$D:$D,D34))</x:f>
      </x:c>
      <x:c r="N34" t="str">
        <x:f>IF(L34="","",L34/_xlfn.MAXIFS($L:$L,$D:$D,D34))</x:f>
      </x:c>
      <x:c r="O34" t="str">
        <x:f>IF(OR(M34="",N34=""),"",SQRT(M34*N34))</x:f>
      </x:c>
      <x:c r="P34" t="str">
        <x:f>IF(OR(M34="",N34=""),"",M34^0.7*N34^0.3)</x:f>
      </x:c>
      <x:c r="Q34" t="str">
        <x:f>IF(OR(M34="",N34=""),"",M34^0.3*N34^0.7)</x:f>
      </x:c>
    </x:row>
    <x:row r="35">
      <x:c r="A35" t="inlineStr">
        <x:is>
          <x:t xml:space="preserve">anthropic|claude-4.5-haiku|non-reasoning|nonreasoning|fallback-na</x:t>
        </x:is>
      </x:c>
      <x:c r="B35" t="inlineStr">
        <x:is>
          <x:t xml:space="preserve">AA|v4.3.2</x:t>
        </x:is>
      </x:c>
      <x:c r="C35" t="n">
        <x:v>6</x:v>
      </x:c>
      <x:c r="D35" t="n">
        <x:v>30</x:v>
      </x:c>
      <x:c r="E35" t="n">
        <x:f>INDEX(Model_TestVersion_Stats!$W:$W,C35)</x:f>
        <x:v>15</x:v>
      </x:c>
      <x:c r="F35" t="str">
        <x:f>INDEX(Model_TestVersion_Stats!$O:$O,C35)</x:f>
      </x:c>
      <x:c r="G35" t="str">
        <x:f>IF(INDEX(Model_TestVersion_Stats!$R:$R,C35)="","",INDEX(Model_TestVersion_Stats!$R:$R,C35)/60)</x:f>
      </x:c>
      <x:c r="H35" t="n">
        <x:f>IF(E35="","",E35-(D35-1))</x:f>
        <x:v>-14</x:v>
      </x:c>
      <x:c r="I35" t="n">
        <x:f>IF(H35&gt;0,1,0)</x:f>
        <x:v>0</x:v>
      </x:c>
      <x:c r="J35" t="str">
        <x:f>IF(OR(I35=0,F35="",F35=0),"",H35/F35)</x:f>
      </x:c>
      <x:c r="K35" t="str">
        <x:f>IF(OR(I35=0,H35=0,F35=""),"",F35/H35)</x:f>
      </x:c>
      <x:c r="L35" t="str">
        <x:f>IF(OR(I35=0,F35="",G35="",F35=0,G35=0),"",H35/(F35*G35))</x:f>
      </x:c>
      <x:c r="M35" t="str">
        <x:f>IF(J35="","",J35/_xlfn.MAXIFS($J:$J,$D:$D,D35))</x:f>
      </x:c>
      <x:c r="N35" t="str">
        <x:f>IF(L35="","",L35/_xlfn.MAXIFS($L:$L,$D:$D,D35))</x:f>
      </x:c>
      <x:c r="O35" t="str">
        <x:f>IF(OR(M35="",N35=""),"",SQRT(M35*N35))</x:f>
      </x:c>
      <x:c r="P35" t="str">
        <x:f>IF(OR(M35="",N35=""),"",M35^0.7*N35^0.3)</x:f>
      </x:c>
      <x:c r="Q35" t="str">
        <x:f>IF(OR(M35="",N35=""),"",M35^0.3*N35^0.7)</x:f>
      </x:c>
    </x:row>
    <x:row r="36">
      <x:c r="A36" t="inlineStr">
        <x:is>
          <x:t xml:space="preserve">anthropic|claude-4.5-haiku|non-reasoning|nonreasoning|fallback-na</x:t>
        </x:is>
      </x:c>
      <x:c r="B36" t="inlineStr">
        <x:is>
          <x:t xml:space="preserve">AA|v4.3.2</x:t>
        </x:is>
      </x:c>
      <x:c r="C36" t="n">
        <x:v>6</x:v>
      </x:c>
      <x:c r="D36" t="n">
        <x:v>40</x:v>
      </x:c>
      <x:c r="E36" t="n">
        <x:f>INDEX(Model_TestVersion_Stats!$W:$W,C36)</x:f>
        <x:v>15</x:v>
      </x:c>
      <x:c r="F36" t="str">
        <x:f>INDEX(Model_TestVersion_Stats!$O:$O,C36)</x:f>
      </x:c>
      <x:c r="G36" t="str">
        <x:f>IF(INDEX(Model_TestVersion_Stats!$R:$R,C36)="","",INDEX(Model_TestVersion_Stats!$R:$R,C36)/60)</x:f>
      </x:c>
      <x:c r="H36" t="n">
        <x:f>IF(E36="","",E36-(D36-1))</x:f>
        <x:v>-24</x:v>
      </x:c>
      <x:c r="I36" t="n">
        <x:f>IF(H36&gt;0,1,0)</x:f>
        <x:v>0</x:v>
      </x:c>
      <x:c r="J36" t="str">
        <x:f>IF(OR(I36=0,F36="",F36=0),"",H36/F36)</x:f>
      </x:c>
      <x:c r="K36" t="str">
        <x:f>IF(OR(I36=0,H36=0,F36=""),"",F36/H36)</x:f>
      </x:c>
      <x:c r="L36" t="str">
        <x:f>IF(OR(I36=0,F36="",G36="",F36=0,G36=0),"",H36/(F36*G36))</x:f>
      </x:c>
      <x:c r="M36" t="str">
        <x:f>IF(J36="","",J36/_xlfn.MAXIFS($J:$J,$D:$D,D36))</x:f>
      </x:c>
      <x:c r="N36" t="str">
        <x:f>IF(L36="","",L36/_xlfn.MAXIFS($L:$L,$D:$D,D36))</x:f>
      </x:c>
      <x:c r="O36" t="str">
        <x:f>IF(OR(M36="",N36=""),"",SQRT(M36*N36))</x:f>
      </x:c>
      <x:c r="P36" t="str">
        <x:f>IF(OR(M36="",N36=""),"",M36^0.7*N36^0.3)</x:f>
      </x:c>
      <x:c r="Q36" t="str">
        <x:f>IF(OR(M36="",N36=""),"",M36^0.3*N36^0.7)</x:f>
      </x:c>
    </x:row>
    <x:row r="37">
      <x:c r="A37" t="inlineStr">
        <x:is>
          <x:t xml:space="preserve">anthropic|claude-4.5-haiku|non-reasoning|nonreasoning|fallback-na</x:t>
        </x:is>
      </x:c>
      <x:c r="B37" t="inlineStr">
        <x:is>
          <x:t xml:space="preserve">AA|v4.3.2</x:t>
        </x:is>
      </x:c>
      <x:c r="C37" t="n">
        <x:v>6</x:v>
      </x:c>
      <x:c r="D37" t="n">
        <x:v>45</x:v>
      </x:c>
      <x:c r="E37" t="n">
        <x:f>INDEX(Model_TestVersion_Stats!$W:$W,C37)</x:f>
        <x:v>15</x:v>
      </x:c>
      <x:c r="F37" t="str">
        <x:f>INDEX(Model_TestVersion_Stats!$O:$O,C37)</x:f>
      </x:c>
      <x:c r="G37" t="str">
        <x:f>IF(INDEX(Model_TestVersion_Stats!$R:$R,C37)="","",INDEX(Model_TestVersion_Stats!$R:$R,C37)/60)</x:f>
      </x:c>
      <x:c r="H37" t="n">
        <x:f>IF(E37="","",E37-(D37-1))</x:f>
        <x:v>-29</x:v>
      </x:c>
      <x:c r="I37" t="n">
        <x:f>IF(H37&gt;0,1,0)</x:f>
        <x:v>0</x:v>
      </x:c>
      <x:c r="J37" t="str">
        <x:f>IF(OR(I37=0,F37="",F37=0),"",H37/F37)</x:f>
      </x:c>
      <x:c r="K37" t="str">
        <x:f>IF(OR(I37=0,H37=0,F37=""),"",F37/H37)</x:f>
      </x:c>
      <x:c r="L37" t="str">
        <x:f>IF(OR(I37=0,F37="",G37="",F37=0,G37=0),"",H37/(F37*G37))</x:f>
      </x:c>
      <x:c r="M37" t="str">
        <x:f>IF(J37="","",J37/_xlfn.MAXIFS($J:$J,$D:$D,D37))</x:f>
      </x:c>
      <x:c r="N37" t="str">
        <x:f>IF(L37="","",L37/_xlfn.MAXIFS($L:$L,$D:$D,D37))</x:f>
      </x:c>
      <x:c r="O37" t="str">
        <x:f>IF(OR(M37="",N37=""),"",SQRT(M37*N37))</x:f>
      </x:c>
      <x:c r="P37" t="str">
        <x:f>IF(OR(M37="",N37=""),"",M37^0.7*N37^0.3)</x:f>
      </x:c>
      <x:c r="Q37" t="str">
        <x:f>IF(OR(M37="",N37=""),"",M37^0.3*N37^0.7)</x:f>
      </x:c>
    </x:row>
    <x:row r="38">
      <x:c r="A38" t="inlineStr">
        <x:is>
          <x:t xml:space="preserve">anthropic|claude-4.5-haiku|non-reasoning|nonreasoning|fallback-na</x:t>
        </x:is>
      </x:c>
      <x:c r="B38" t="inlineStr">
        <x:is>
          <x:t xml:space="preserve">AA|v4.3.2</x:t>
        </x:is>
      </x:c>
      <x:c r="C38" t="n">
        <x:v>6</x:v>
      </x:c>
      <x:c r="D38" t="n">
        <x:v>50</x:v>
      </x:c>
      <x:c r="E38" t="n">
        <x:f>INDEX(Model_TestVersion_Stats!$W:$W,C38)</x:f>
        <x:v>15</x:v>
      </x:c>
      <x:c r="F38" t="str">
        <x:f>INDEX(Model_TestVersion_Stats!$O:$O,C38)</x:f>
      </x:c>
      <x:c r="G38" t="str">
        <x:f>IF(INDEX(Model_TestVersion_Stats!$R:$R,C38)="","",INDEX(Model_TestVersion_Stats!$R:$R,C38)/60)</x:f>
      </x:c>
      <x:c r="H38" t="n">
        <x:f>IF(E38="","",E38-(D38-1))</x:f>
        <x:v>-34</x:v>
      </x:c>
      <x:c r="I38" t="n">
        <x:f>IF(H38&gt;0,1,0)</x:f>
        <x:v>0</x:v>
      </x:c>
      <x:c r="J38" t="str">
        <x:f>IF(OR(I38=0,F38="",F38=0),"",H38/F38)</x:f>
      </x:c>
      <x:c r="K38" t="str">
        <x:f>IF(OR(I38=0,H38=0,F38=""),"",F38/H38)</x:f>
      </x:c>
      <x:c r="L38" t="str">
        <x:f>IF(OR(I38=0,F38="",G38="",F38=0,G38=0),"",H38/(F38*G38))</x:f>
      </x:c>
      <x:c r="M38" t="str">
        <x:f>IF(J38="","",J38/_xlfn.MAXIFS($J:$J,$D:$D,D38))</x:f>
      </x:c>
      <x:c r="N38" t="str">
        <x:f>IF(L38="","",L38/_xlfn.MAXIFS($L:$L,$D:$D,D38))</x:f>
      </x:c>
      <x:c r="O38" t="str">
        <x:f>IF(OR(M38="",N38=""),"",SQRT(M38*N38))</x:f>
      </x:c>
      <x:c r="P38" t="str">
        <x:f>IF(OR(M38="",N38=""),"",M38^0.7*N38^0.3)</x:f>
      </x:c>
      <x:c r="Q38" t="str">
        <x:f>IF(OR(M38="",N38=""),"",M38^0.3*N38^0.7)</x:f>
      </x:c>
    </x:row>
    <x:row r="39">
      <x:c r="A39" t="inlineStr">
        <x:is>
          <x:t xml:space="preserve">anthropic|claude-4.5-haiku|non-reasoning|nonreasoning|fallback-na</x:t>
        </x:is>
      </x:c>
      <x:c r="B39" t="inlineStr">
        <x:is>
          <x:t xml:space="preserve">AA|v4.3.2</x:t>
        </x:is>
      </x:c>
      <x:c r="C39" t="n">
        <x:v>6</x:v>
      </x:c>
      <x:c r="D39" t="n">
        <x:v>52</x:v>
      </x:c>
      <x:c r="E39" t="n">
        <x:f>INDEX(Model_TestVersion_Stats!$W:$W,C39)</x:f>
        <x:v>15</x:v>
      </x:c>
      <x:c r="F39" t="str">
        <x:f>INDEX(Model_TestVersion_Stats!$O:$O,C39)</x:f>
      </x:c>
      <x:c r="G39" t="str">
        <x:f>IF(INDEX(Model_TestVersion_Stats!$R:$R,C39)="","",INDEX(Model_TestVersion_Stats!$R:$R,C39)/60)</x:f>
      </x:c>
      <x:c r="H39" t="n">
        <x:f>IF(E39="","",E39-(D39-1))</x:f>
        <x:v>-36</x:v>
      </x:c>
      <x:c r="I39" t="n">
        <x:f>IF(H39&gt;0,1,0)</x:f>
        <x:v>0</x:v>
      </x:c>
      <x:c r="J39" t="str">
        <x:f>IF(OR(I39=0,F39="",F39=0),"",H39/F39)</x:f>
      </x:c>
      <x:c r="K39" t="str">
        <x:f>IF(OR(I39=0,H39=0,F39=""),"",F39/H39)</x:f>
      </x:c>
      <x:c r="L39" t="str">
        <x:f>IF(OR(I39=0,F39="",G39="",F39=0,G39=0),"",H39/(F39*G39))</x:f>
      </x:c>
      <x:c r="M39" t="str">
        <x:f>IF(J39="","",J39/_xlfn.MAXIFS($J:$J,$D:$D,D39))</x:f>
      </x:c>
      <x:c r="N39" t="str">
        <x:f>IF(L39="","",L39/_xlfn.MAXIFS($L:$L,$D:$D,D39))</x:f>
      </x:c>
      <x:c r="O39" t="str">
        <x:f>IF(OR(M39="",N39=""),"",SQRT(M39*N39))</x:f>
      </x:c>
      <x:c r="P39" t="str">
        <x:f>IF(OR(M39="",N39=""),"",M39^0.7*N39^0.3)</x:f>
      </x:c>
      <x:c r="Q39" t="str">
        <x:f>IF(OR(M39="",N39=""),"",M39^0.3*N39^0.7)</x:f>
      </x:c>
    </x:row>
    <x:row r="40">
      <x:c r="A40" t="inlineStr">
        <x:is>
          <x:t xml:space="preserve">anthropic|claude-4.5-haiku|non-reasoning|nonreasoning|fallback-na</x:t>
        </x:is>
      </x:c>
      <x:c r="B40" t="inlineStr">
        <x:is>
          <x:t xml:space="preserve">AA|v4.3.2</x:t>
        </x:is>
      </x:c>
      <x:c r="C40" t="n">
        <x:v>6</x:v>
      </x:c>
      <x:c r="D40" t="n">
        <x:v>65</x:v>
      </x:c>
      <x:c r="E40" t="n">
        <x:f>INDEX(Model_TestVersion_Stats!$W:$W,C40)</x:f>
        <x:v>15</x:v>
      </x:c>
      <x:c r="F40" t="str">
        <x:f>INDEX(Model_TestVersion_Stats!$O:$O,C40)</x:f>
      </x:c>
      <x:c r="G40" t="str">
        <x:f>IF(INDEX(Model_TestVersion_Stats!$R:$R,C40)="","",INDEX(Model_TestVersion_Stats!$R:$R,C40)/60)</x:f>
      </x:c>
      <x:c r="H40" t="n">
        <x:f>IF(E40="","",E40-(D40-1))</x:f>
        <x:v>-49</x:v>
      </x:c>
      <x:c r="I40" t="n">
        <x:f>IF(H40&gt;0,1,0)</x:f>
        <x:v>0</x:v>
      </x:c>
      <x:c r="J40" t="str">
        <x:f>IF(OR(I40=0,F40="",F40=0),"",H40/F40)</x:f>
      </x:c>
      <x:c r="K40" t="str">
        <x:f>IF(OR(I40=0,H40=0,F40=""),"",F40/H40)</x:f>
      </x:c>
      <x:c r="L40" t="str">
        <x:f>IF(OR(I40=0,F40="",G40="",F40=0,G40=0),"",H40/(F40*G40))</x:f>
      </x:c>
      <x:c r="M40" t="str">
        <x:f>IF(J40="","",J40/_xlfn.MAXIFS($J:$J,$D:$D,D40))</x:f>
      </x:c>
      <x:c r="N40" t="str">
        <x:f>IF(L40="","",L40/_xlfn.MAXIFS($L:$L,$D:$D,D40))</x:f>
      </x:c>
      <x:c r="O40" t="str">
        <x:f>IF(OR(M40="",N40=""),"",SQRT(M40*N40))</x:f>
      </x:c>
      <x:c r="P40" t="str">
        <x:f>IF(OR(M40="",N40=""),"",M40^0.7*N40^0.3)</x:f>
      </x:c>
      <x:c r="Q40" t="str">
        <x:f>IF(OR(M40="",N40=""),"",M40^0.3*N40^0.7)</x:f>
      </x:c>
    </x:row>
    <x:row r="41">
      <x:c r="A41" t="inlineStr">
        <x:is>
          <x:t xml:space="preserve">anthropic|claude-4.5-haiku|non-reasoning|nonreasoning|fallback-na</x:t>
        </x:is>
      </x:c>
      <x:c r="B41" t="inlineStr">
        <x:is>
          <x:t xml:space="preserve">AA|v4.3.2</x:t>
        </x:is>
      </x:c>
      <x:c r="C41" t="n">
        <x:v>6</x:v>
      </x:c>
      <x:c r="D41" t="n">
        <x:v>80</x:v>
      </x:c>
      <x:c r="E41" t="n">
        <x:f>INDEX(Model_TestVersion_Stats!$W:$W,C41)</x:f>
        <x:v>15</x:v>
      </x:c>
      <x:c r="F41" t="str">
        <x:f>INDEX(Model_TestVersion_Stats!$O:$O,C41)</x:f>
      </x:c>
      <x:c r="G41" t="str">
        <x:f>IF(INDEX(Model_TestVersion_Stats!$R:$R,C41)="","",INDEX(Model_TestVersion_Stats!$R:$R,C41)/60)</x:f>
      </x:c>
      <x:c r="H41" t="n">
        <x:f>IF(E41="","",E41-(D41-1))</x:f>
        <x:v>-64</x:v>
      </x:c>
      <x:c r="I41" t="n">
        <x:f>IF(H41&gt;0,1,0)</x:f>
        <x:v>0</x:v>
      </x:c>
      <x:c r="J41" t="str">
        <x:f>IF(OR(I41=0,F41="",F41=0),"",H41/F41)</x:f>
      </x:c>
      <x:c r="K41" t="str">
        <x:f>IF(OR(I41=0,H41=0,F41=""),"",F41/H41)</x:f>
      </x:c>
      <x:c r="L41" t="str">
        <x:f>IF(OR(I41=0,F41="",G41="",F41=0,G41=0),"",H41/(F41*G41))</x:f>
      </x:c>
      <x:c r="M41" t="str">
        <x:f>IF(J41="","",J41/_xlfn.MAXIFS($J:$J,$D:$D,D41))</x:f>
      </x:c>
      <x:c r="N41" t="str">
        <x:f>IF(L41="","",L41/_xlfn.MAXIFS($L:$L,$D:$D,D41))</x:f>
      </x:c>
      <x:c r="O41" t="str">
        <x:f>IF(OR(M41="",N41=""),"",SQRT(M41*N41))</x:f>
      </x:c>
      <x:c r="P41" t="str">
        <x:f>IF(OR(M41="",N41=""),"",M41^0.7*N41^0.3)</x:f>
      </x:c>
      <x:c r="Q41" t="str">
        <x:f>IF(OR(M41="",N41=""),"",M41^0.3*N41^0.7)</x:f>
      </x:c>
    </x:row>
    <x:row r="42">
      <x:c r="A42" t="inlineStr">
        <x:is>
          <x:t xml:space="preserve">anthropic|claude-4.5-haiku|reasoning|reasoning|fallback-na</x:t>
        </x:is>
      </x:c>
      <x:c r="B42" t="inlineStr">
        <x:is>
          <x:t xml:space="preserve">AA|v4.3.2</x:t>
        </x:is>
      </x:c>
      <x:c r="C42" t="n">
        <x:v>7</x:v>
      </x:c>
      <x:c r="D42" t="n">
        <x:v>20</x:v>
      </x:c>
      <x:c r="E42" t="n">
        <x:f>INDEX(Model_TestVersion_Stats!$W:$W,C42)</x:f>
        <x:v>17</x:v>
      </x:c>
      <x:c r="F42" t="n">
        <x:f>INDEX(Model_TestVersion_Stats!$O:$O,C42)</x:f>
        <x:v>0.28</x:v>
      </x:c>
      <x:c r="G42" t="str">
        <x:f>IF(INDEX(Model_TestVersion_Stats!$R:$R,C42)="","",INDEX(Model_TestVersion_Stats!$R:$R,C42)/60)</x:f>
      </x:c>
      <x:c r="H42" t="n">
        <x:f>IF(E42="","",E42-(D42-1))</x:f>
        <x:v>-2</x:v>
      </x:c>
      <x:c r="I42" t="n">
        <x:f>IF(H42&gt;0,1,0)</x:f>
        <x:v>0</x:v>
      </x:c>
      <x:c r="J42" t="str">
        <x:f>IF(OR(I42=0,F42="",F42=0),"",H42/F42)</x:f>
      </x:c>
      <x:c r="K42" t="str">
        <x:f>IF(OR(I42=0,H42=0,F42=""),"",F42/H42)</x:f>
      </x:c>
      <x:c r="L42" t="str">
        <x:f>IF(OR(I42=0,F42="",G42="",F42=0,G42=0),"",H42/(F42*G42))</x:f>
      </x:c>
      <x:c r="M42" t="str">
        <x:f>IF(J42="","",J42/_xlfn.MAXIFS($J:$J,$D:$D,D42))</x:f>
      </x:c>
      <x:c r="N42" t="str">
        <x:f>IF(L42="","",L42/_xlfn.MAXIFS($L:$L,$D:$D,D42))</x:f>
      </x:c>
      <x:c r="O42" t="str">
        <x:f>IF(OR(M42="",N42=""),"",SQRT(M42*N42))</x:f>
      </x:c>
      <x:c r="P42" t="str">
        <x:f>IF(OR(M42="",N42=""),"",M42^0.7*N42^0.3)</x:f>
      </x:c>
      <x:c r="Q42" t="str">
        <x:f>IF(OR(M42="",N42=""),"",M42^0.3*N42^0.7)</x:f>
      </x:c>
    </x:row>
    <x:row r="43">
      <x:c r="A43" t="inlineStr">
        <x:is>
          <x:t xml:space="preserve">anthropic|claude-4.5-haiku|reasoning|reasoning|fallback-na</x:t>
        </x:is>
      </x:c>
      <x:c r="B43" t="inlineStr">
        <x:is>
          <x:t xml:space="preserve">AA|v4.3.2</x:t>
        </x:is>
      </x:c>
      <x:c r="C43" t="n">
        <x:v>7</x:v>
      </x:c>
      <x:c r="D43" t="n">
        <x:v>30</x:v>
      </x:c>
      <x:c r="E43" t="n">
        <x:f>INDEX(Model_TestVersion_Stats!$W:$W,C43)</x:f>
        <x:v>17</x:v>
      </x:c>
      <x:c r="F43" t="n">
        <x:f>INDEX(Model_TestVersion_Stats!$O:$O,C43)</x:f>
        <x:v>0.28</x:v>
      </x:c>
      <x:c r="G43" t="str">
        <x:f>IF(INDEX(Model_TestVersion_Stats!$R:$R,C43)="","",INDEX(Model_TestVersion_Stats!$R:$R,C43)/60)</x:f>
      </x:c>
      <x:c r="H43" t="n">
        <x:f>IF(E43="","",E43-(D43-1))</x:f>
        <x:v>-12</x:v>
      </x:c>
      <x:c r="I43" t="n">
        <x:f>IF(H43&gt;0,1,0)</x:f>
        <x:v>0</x:v>
      </x:c>
      <x:c r="J43" t="str">
        <x:f>IF(OR(I43=0,F43="",F43=0),"",H43/F43)</x:f>
      </x:c>
      <x:c r="K43" t="str">
        <x:f>IF(OR(I43=0,H43=0,F43=""),"",F43/H43)</x:f>
      </x:c>
      <x:c r="L43" t="str">
        <x:f>IF(OR(I43=0,F43="",G43="",F43=0,G43=0),"",H43/(F43*G43))</x:f>
      </x:c>
      <x:c r="M43" t="str">
        <x:f>IF(J43="","",J43/_xlfn.MAXIFS($J:$J,$D:$D,D43))</x:f>
      </x:c>
      <x:c r="N43" t="str">
        <x:f>IF(L43="","",L43/_xlfn.MAXIFS($L:$L,$D:$D,D43))</x:f>
      </x:c>
      <x:c r="O43" t="str">
        <x:f>IF(OR(M43="",N43=""),"",SQRT(M43*N43))</x:f>
      </x:c>
      <x:c r="P43" t="str">
        <x:f>IF(OR(M43="",N43=""),"",M43^0.7*N43^0.3)</x:f>
      </x:c>
      <x:c r="Q43" t="str">
        <x:f>IF(OR(M43="",N43=""),"",M43^0.3*N43^0.7)</x:f>
      </x:c>
    </x:row>
    <x:row r="44">
      <x:c r="A44" t="inlineStr">
        <x:is>
          <x:t xml:space="preserve">anthropic|claude-4.5-haiku|reasoning|reasoning|fallback-na</x:t>
        </x:is>
      </x:c>
      <x:c r="B44" t="inlineStr">
        <x:is>
          <x:t xml:space="preserve">AA|v4.3.2</x:t>
        </x:is>
      </x:c>
      <x:c r="C44" t="n">
        <x:v>7</x:v>
      </x:c>
      <x:c r="D44" t="n">
        <x:v>40</x:v>
      </x:c>
      <x:c r="E44" t="n">
        <x:f>INDEX(Model_TestVersion_Stats!$W:$W,C44)</x:f>
        <x:v>17</x:v>
      </x:c>
      <x:c r="F44" t="n">
        <x:f>INDEX(Model_TestVersion_Stats!$O:$O,C44)</x:f>
        <x:v>0.28</x:v>
      </x:c>
      <x:c r="G44" t="str">
        <x:f>IF(INDEX(Model_TestVersion_Stats!$R:$R,C44)="","",INDEX(Model_TestVersion_Stats!$R:$R,C44)/60)</x:f>
      </x:c>
      <x:c r="H44" t="n">
        <x:f>IF(E44="","",E44-(D44-1))</x:f>
        <x:v>-22</x:v>
      </x:c>
      <x:c r="I44" t="n">
        <x:f>IF(H44&gt;0,1,0)</x:f>
        <x:v>0</x:v>
      </x:c>
      <x:c r="J44" t="str">
        <x:f>IF(OR(I44=0,F44="",F44=0),"",H44/F44)</x:f>
      </x:c>
      <x:c r="K44" t="str">
        <x:f>IF(OR(I44=0,H44=0,F44=""),"",F44/H44)</x:f>
      </x:c>
      <x:c r="L44" t="str">
        <x:f>IF(OR(I44=0,F44="",G44="",F44=0,G44=0),"",H44/(F44*G44))</x:f>
      </x:c>
      <x:c r="M44" t="str">
        <x:f>IF(J44="","",J44/_xlfn.MAXIFS($J:$J,$D:$D,D44))</x:f>
      </x:c>
      <x:c r="N44" t="str">
        <x:f>IF(L44="","",L44/_xlfn.MAXIFS($L:$L,$D:$D,D44))</x:f>
      </x:c>
      <x:c r="O44" t="str">
        <x:f>IF(OR(M44="",N44=""),"",SQRT(M44*N44))</x:f>
      </x:c>
      <x:c r="P44" t="str">
        <x:f>IF(OR(M44="",N44=""),"",M44^0.7*N44^0.3)</x:f>
      </x:c>
      <x:c r="Q44" t="str">
        <x:f>IF(OR(M44="",N44=""),"",M44^0.3*N44^0.7)</x:f>
      </x:c>
    </x:row>
    <x:row r="45">
      <x:c r="A45" t="inlineStr">
        <x:is>
          <x:t xml:space="preserve">anthropic|claude-4.5-haiku|reasoning|reasoning|fallback-na</x:t>
        </x:is>
      </x:c>
      <x:c r="B45" t="inlineStr">
        <x:is>
          <x:t xml:space="preserve">AA|v4.3.2</x:t>
        </x:is>
      </x:c>
      <x:c r="C45" t="n">
        <x:v>7</x:v>
      </x:c>
      <x:c r="D45" t="n">
        <x:v>45</x:v>
      </x:c>
      <x:c r="E45" t="n">
        <x:f>INDEX(Model_TestVersion_Stats!$W:$W,C45)</x:f>
        <x:v>17</x:v>
      </x:c>
      <x:c r="F45" t="n">
        <x:f>INDEX(Model_TestVersion_Stats!$O:$O,C45)</x:f>
        <x:v>0.28</x:v>
      </x:c>
      <x:c r="G45" t="str">
        <x:f>IF(INDEX(Model_TestVersion_Stats!$R:$R,C45)="","",INDEX(Model_TestVersion_Stats!$R:$R,C45)/60)</x:f>
      </x:c>
      <x:c r="H45" t="n">
        <x:f>IF(E45="","",E45-(D45-1))</x:f>
        <x:v>-27</x:v>
      </x:c>
      <x:c r="I45" t="n">
        <x:f>IF(H45&gt;0,1,0)</x:f>
        <x:v>0</x:v>
      </x:c>
      <x:c r="J45" t="str">
        <x:f>IF(OR(I45=0,F45="",F45=0),"",H45/F45)</x:f>
      </x:c>
      <x:c r="K45" t="str">
        <x:f>IF(OR(I45=0,H45=0,F45=""),"",F45/H45)</x:f>
      </x:c>
      <x:c r="L45" t="str">
        <x:f>IF(OR(I45=0,F45="",G45="",F45=0,G45=0),"",H45/(F45*G45))</x:f>
      </x:c>
      <x:c r="M45" t="str">
        <x:f>IF(J45="","",J45/_xlfn.MAXIFS($J:$J,$D:$D,D45))</x:f>
      </x:c>
      <x:c r="N45" t="str">
        <x:f>IF(L45="","",L45/_xlfn.MAXIFS($L:$L,$D:$D,D45))</x:f>
      </x:c>
      <x:c r="O45" t="str">
        <x:f>IF(OR(M45="",N45=""),"",SQRT(M45*N45))</x:f>
      </x:c>
      <x:c r="P45" t="str">
        <x:f>IF(OR(M45="",N45=""),"",M45^0.7*N45^0.3)</x:f>
      </x:c>
      <x:c r="Q45" t="str">
        <x:f>IF(OR(M45="",N45=""),"",M45^0.3*N45^0.7)</x:f>
      </x:c>
    </x:row>
    <x:row r="46">
      <x:c r="A46" t="inlineStr">
        <x:is>
          <x:t xml:space="preserve">anthropic|claude-4.5-haiku|reasoning|reasoning|fallback-na</x:t>
        </x:is>
      </x:c>
      <x:c r="B46" t="inlineStr">
        <x:is>
          <x:t xml:space="preserve">AA|v4.3.2</x:t>
        </x:is>
      </x:c>
      <x:c r="C46" t="n">
        <x:v>7</x:v>
      </x:c>
      <x:c r="D46" t="n">
        <x:v>50</x:v>
      </x:c>
      <x:c r="E46" t="n">
        <x:f>INDEX(Model_TestVersion_Stats!$W:$W,C46)</x:f>
        <x:v>17</x:v>
      </x:c>
      <x:c r="F46" t="n">
        <x:f>INDEX(Model_TestVersion_Stats!$O:$O,C46)</x:f>
        <x:v>0.28</x:v>
      </x:c>
      <x:c r="G46" t="str">
        <x:f>IF(INDEX(Model_TestVersion_Stats!$R:$R,C46)="","",INDEX(Model_TestVersion_Stats!$R:$R,C46)/60)</x:f>
      </x:c>
      <x:c r="H46" t="n">
        <x:f>IF(E46="","",E46-(D46-1))</x:f>
        <x:v>-32</x:v>
      </x:c>
      <x:c r="I46" t="n">
        <x:f>IF(H46&gt;0,1,0)</x:f>
        <x:v>0</x:v>
      </x:c>
      <x:c r="J46" t="str">
        <x:f>IF(OR(I46=0,F46="",F46=0),"",H46/F46)</x:f>
      </x:c>
      <x:c r="K46" t="str">
        <x:f>IF(OR(I46=0,H46=0,F46=""),"",F46/H46)</x:f>
      </x:c>
      <x:c r="L46" t="str">
        <x:f>IF(OR(I46=0,F46="",G46="",F46=0,G46=0),"",H46/(F46*G46))</x:f>
      </x:c>
      <x:c r="M46" t="str">
        <x:f>IF(J46="","",J46/_xlfn.MAXIFS($J:$J,$D:$D,D46))</x:f>
      </x:c>
      <x:c r="N46" t="str">
        <x:f>IF(L46="","",L46/_xlfn.MAXIFS($L:$L,$D:$D,D46))</x:f>
      </x:c>
      <x:c r="O46" t="str">
        <x:f>IF(OR(M46="",N46=""),"",SQRT(M46*N46))</x:f>
      </x:c>
      <x:c r="P46" t="str">
        <x:f>IF(OR(M46="",N46=""),"",M46^0.7*N46^0.3)</x:f>
      </x:c>
      <x:c r="Q46" t="str">
        <x:f>IF(OR(M46="",N46=""),"",M46^0.3*N46^0.7)</x:f>
      </x:c>
    </x:row>
    <x:row r="47">
      <x:c r="A47" t="inlineStr">
        <x:is>
          <x:t xml:space="preserve">anthropic|claude-4.5-haiku|reasoning|reasoning|fallback-na</x:t>
        </x:is>
      </x:c>
      <x:c r="B47" t="inlineStr">
        <x:is>
          <x:t xml:space="preserve">AA|v4.3.2</x:t>
        </x:is>
      </x:c>
      <x:c r="C47" t="n">
        <x:v>7</x:v>
      </x:c>
      <x:c r="D47" t="n">
        <x:v>52</x:v>
      </x:c>
      <x:c r="E47" t="n">
        <x:f>INDEX(Model_TestVersion_Stats!$W:$W,C47)</x:f>
        <x:v>17</x:v>
      </x:c>
      <x:c r="F47" t="n">
        <x:f>INDEX(Model_TestVersion_Stats!$O:$O,C47)</x:f>
        <x:v>0.28</x:v>
      </x:c>
      <x:c r="G47" t="str">
        <x:f>IF(INDEX(Model_TestVersion_Stats!$R:$R,C47)="","",INDEX(Model_TestVersion_Stats!$R:$R,C47)/60)</x:f>
      </x:c>
      <x:c r="H47" t="n">
        <x:f>IF(E47="","",E47-(D47-1))</x:f>
        <x:v>-34</x:v>
      </x:c>
      <x:c r="I47" t="n">
        <x:f>IF(H47&gt;0,1,0)</x:f>
        <x:v>0</x:v>
      </x:c>
      <x:c r="J47" t="str">
        <x:f>IF(OR(I47=0,F47="",F47=0),"",H47/F47)</x:f>
      </x:c>
      <x:c r="K47" t="str">
        <x:f>IF(OR(I47=0,H47=0,F47=""),"",F47/H47)</x:f>
      </x:c>
      <x:c r="L47" t="str">
        <x:f>IF(OR(I47=0,F47="",G47="",F47=0,G47=0),"",H47/(F47*G47))</x:f>
      </x:c>
      <x:c r="M47" t="str">
        <x:f>IF(J47="","",J47/_xlfn.MAXIFS($J:$J,$D:$D,D47))</x:f>
      </x:c>
      <x:c r="N47" t="str">
        <x:f>IF(L47="","",L47/_xlfn.MAXIFS($L:$L,$D:$D,D47))</x:f>
      </x:c>
      <x:c r="O47" t="str">
        <x:f>IF(OR(M47="",N47=""),"",SQRT(M47*N47))</x:f>
      </x:c>
      <x:c r="P47" t="str">
        <x:f>IF(OR(M47="",N47=""),"",M47^0.7*N47^0.3)</x:f>
      </x:c>
      <x:c r="Q47" t="str">
        <x:f>IF(OR(M47="",N47=""),"",M47^0.3*N47^0.7)</x:f>
      </x:c>
    </x:row>
    <x:row r="48">
      <x:c r="A48" t="inlineStr">
        <x:is>
          <x:t xml:space="preserve">anthropic|claude-4.5-haiku|reasoning|reasoning|fallback-na</x:t>
        </x:is>
      </x:c>
      <x:c r="B48" t="inlineStr">
        <x:is>
          <x:t xml:space="preserve">AA|v4.3.2</x:t>
        </x:is>
      </x:c>
      <x:c r="C48" t="n">
        <x:v>7</x:v>
      </x:c>
      <x:c r="D48" t="n">
        <x:v>65</x:v>
      </x:c>
      <x:c r="E48" t="n">
        <x:f>INDEX(Model_TestVersion_Stats!$W:$W,C48)</x:f>
        <x:v>17</x:v>
      </x:c>
      <x:c r="F48" t="n">
        <x:f>INDEX(Model_TestVersion_Stats!$O:$O,C48)</x:f>
        <x:v>0.28</x:v>
      </x:c>
      <x:c r="G48" t="str">
        <x:f>IF(INDEX(Model_TestVersion_Stats!$R:$R,C48)="","",INDEX(Model_TestVersion_Stats!$R:$R,C48)/60)</x:f>
      </x:c>
      <x:c r="H48" t="n">
        <x:f>IF(E48="","",E48-(D48-1))</x:f>
        <x:v>-47</x:v>
      </x:c>
      <x:c r="I48" t="n">
        <x:f>IF(H48&gt;0,1,0)</x:f>
        <x:v>0</x:v>
      </x:c>
      <x:c r="J48" t="str">
        <x:f>IF(OR(I48=0,F48="",F48=0),"",H48/F48)</x:f>
      </x:c>
      <x:c r="K48" t="str">
        <x:f>IF(OR(I48=0,H48=0,F48=""),"",F48/H48)</x:f>
      </x:c>
      <x:c r="L48" t="str">
        <x:f>IF(OR(I48=0,F48="",G48="",F48=0,G48=0),"",H48/(F48*G48))</x:f>
      </x:c>
      <x:c r="M48" t="str">
        <x:f>IF(J48="","",J48/_xlfn.MAXIFS($J:$J,$D:$D,D48))</x:f>
      </x:c>
      <x:c r="N48" t="str">
        <x:f>IF(L48="","",L48/_xlfn.MAXIFS($L:$L,$D:$D,D48))</x:f>
      </x:c>
      <x:c r="O48" t="str">
        <x:f>IF(OR(M48="",N48=""),"",SQRT(M48*N48))</x:f>
      </x:c>
      <x:c r="P48" t="str">
        <x:f>IF(OR(M48="",N48=""),"",M48^0.7*N48^0.3)</x:f>
      </x:c>
      <x:c r="Q48" t="str">
        <x:f>IF(OR(M48="",N48=""),"",M48^0.3*N48^0.7)</x:f>
      </x:c>
    </x:row>
    <x:row r="49">
      <x:c r="A49" t="inlineStr">
        <x:is>
          <x:t xml:space="preserve">anthropic|claude-4.5-haiku|reasoning|reasoning|fallback-na</x:t>
        </x:is>
      </x:c>
      <x:c r="B49" t="inlineStr">
        <x:is>
          <x:t xml:space="preserve">AA|v4.3.2</x:t>
        </x:is>
      </x:c>
      <x:c r="C49" t="n">
        <x:v>7</x:v>
      </x:c>
      <x:c r="D49" t="n">
        <x:v>80</x:v>
      </x:c>
      <x:c r="E49" t="n">
        <x:f>INDEX(Model_TestVersion_Stats!$W:$W,C49)</x:f>
        <x:v>17</x:v>
      </x:c>
      <x:c r="F49" t="n">
        <x:f>INDEX(Model_TestVersion_Stats!$O:$O,C49)</x:f>
        <x:v>0.28</x:v>
      </x:c>
      <x:c r="G49" t="str">
        <x:f>IF(INDEX(Model_TestVersion_Stats!$R:$R,C49)="","",INDEX(Model_TestVersion_Stats!$R:$R,C49)/60)</x:f>
      </x:c>
      <x:c r="H49" t="n">
        <x:f>IF(E49="","",E49-(D49-1))</x:f>
        <x:v>-62</x:v>
      </x:c>
      <x:c r="I49" t="n">
        <x:f>IF(H49&gt;0,1,0)</x:f>
        <x:v>0</x:v>
      </x:c>
      <x:c r="J49" t="str">
        <x:f>IF(OR(I49=0,F49="",F49=0),"",H49/F49)</x:f>
      </x:c>
      <x:c r="K49" t="str">
        <x:f>IF(OR(I49=0,H49=0,F49=""),"",F49/H49)</x:f>
      </x:c>
      <x:c r="L49" t="str">
        <x:f>IF(OR(I49=0,F49="",G49="",F49=0,G49=0),"",H49/(F49*G49))</x:f>
      </x:c>
      <x:c r="M49" t="str">
        <x:f>IF(J49="","",J49/_xlfn.MAXIFS($J:$J,$D:$D,D49))</x:f>
      </x:c>
      <x:c r="N49" t="str">
        <x:f>IF(L49="","",L49/_xlfn.MAXIFS($L:$L,$D:$D,D49))</x:f>
      </x:c>
      <x:c r="O49" t="str">
        <x:f>IF(OR(M49="",N49=""),"",SQRT(M49*N49))</x:f>
      </x:c>
      <x:c r="P49" t="str">
        <x:f>IF(OR(M49="",N49=""),"",M49^0.7*N49^0.3)</x:f>
      </x:c>
      <x:c r="Q49" t="str">
        <x:f>IF(OR(M49="",N49=""),"",M49^0.3*N49^0.7)</x:f>
      </x:c>
    </x:row>
    <x:row r="50">
      <x:c r="A50" t="inlineStr">
        <x:is>
          <x:t xml:space="preserve">anthropic|claude-opus-4.5|non-reasoning|nonreasoning|fallback-na</x:t>
        </x:is>
      </x:c>
      <x:c r="B50" t="inlineStr">
        <x:is>
          <x:t xml:space="preserve">AA|v4.3.2</x:t>
        </x:is>
      </x:c>
      <x:c r="C50" t="n">
        <x:v>8</x:v>
      </x:c>
      <x:c r="D50" t="n">
        <x:v>20</x:v>
      </x:c>
      <x:c r="E50" t="n">
        <x:f>INDEX(Model_TestVersion_Stats!$W:$W,C50)</x:f>
        <x:v>24</x:v>
      </x:c>
      <x:c r="F50" t="str">
        <x:f>INDEX(Model_TestVersion_Stats!$O:$O,C50)</x:f>
      </x:c>
      <x:c r="G50" t="str">
        <x:f>IF(INDEX(Model_TestVersion_Stats!$R:$R,C50)="","",INDEX(Model_TestVersion_Stats!$R:$R,C50)/60)</x:f>
      </x:c>
      <x:c r="H50" t="n">
        <x:f>IF(E50="","",E50-(D50-1))</x:f>
        <x:v>5</x:v>
      </x:c>
      <x:c r="I50" t="n">
        <x:f>IF(H50&gt;0,1,0)</x:f>
        <x:v>1</x:v>
      </x:c>
      <x:c r="J50" t="str">
        <x:f>IF(OR(I50=0,F50="",F50=0),"",H50/F50)</x:f>
      </x:c>
      <x:c r="K50" t="str">
        <x:f>IF(OR(I50=0,H50=0,F50=""),"",F50/H50)</x:f>
      </x:c>
      <x:c r="L50" t="str">
        <x:f>IF(OR(I50=0,F50="",G50="",F50=0,G50=0),"",H50/(F50*G50))</x:f>
      </x:c>
      <x:c r="M50" t="str">
        <x:f>IF(J50="","",J50/_xlfn.MAXIFS($J:$J,$D:$D,D50))</x:f>
      </x:c>
      <x:c r="N50" t="str">
        <x:f>IF(L50="","",L50/_xlfn.MAXIFS($L:$L,$D:$D,D50))</x:f>
      </x:c>
      <x:c r="O50" t="str">
        <x:f>IF(OR(M50="",N50=""),"",SQRT(M50*N50))</x:f>
      </x:c>
      <x:c r="P50" t="str">
        <x:f>IF(OR(M50="",N50=""),"",M50^0.7*N50^0.3)</x:f>
      </x:c>
      <x:c r="Q50" t="str">
        <x:f>IF(OR(M50="",N50=""),"",M50^0.3*N50^0.7)</x:f>
      </x:c>
    </x:row>
    <x:row r="51">
      <x:c r="A51" t="inlineStr">
        <x:is>
          <x:t xml:space="preserve">anthropic|claude-opus-4.5|non-reasoning|nonreasoning|fallback-na</x:t>
        </x:is>
      </x:c>
      <x:c r="B51" t="inlineStr">
        <x:is>
          <x:t xml:space="preserve">AA|v4.3.2</x:t>
        </x:is>
      </x:c>
      <x:c r="C51" t="n">
        <x:v>8</x:v>
      </x:c>
      <x:c r="D51" t="n">
        <x:v>30</x:v>
      </x:c>
      <x:c r="E51" t="n">
        <x:f>INDEX(Model_TestVersion_Stats!$W:$W,C51)</x:f>
        <x:v>24</x:v>
      </x:c>
      <x:c r="F51" t="str">
        <x:f>INDEX(Model_TestVersion_Stats!$O:$O,C51)</x:f>
      </x:c>
      <x:c r="G51" t="str">
        <x:f>IF(INDEX(Model_TestVersion_Stats!$R:$R,C51)="","",INDEX(Model_TestVersion_Stats!$R:$R,C51)/60)</x:f>
      </x:c>
      <x:c r="H51" t="n">
        <x:f>IF(E51="","",E51-(D51-1))</x:f>
        <x:v>-5</x:v>
      </x:c>
      <x:c r="I51" t="n">
        <x:f>IF(H51&gt;0,1,0)</x:f>
        <x:v>0</x:v>
      </x:c>
      <x:c r="J51" t="str">
        <x:f>IF(OR(I51=0,F51="",F51=0),"",H51/F51)</x:f>
      </x:c>
      <x:c r="K51" t="str">
        <x:f>IF(OR(I51=0,H51=0,F51=""),"",F51/H51)</x:f>
      </x:c>
      <x:c r="L51" t="str">
        <x:f>IF(OR(I51=0,F51="",G51="",F51=0,G51=0),"",H51/(F51*G51))</x:f>
      </x:c>
      <x:c r="M51" t="str">
        <x:f>IF(J51="","",J51/_xlfn.MAXIFS($J:$J,$D:$D,D51))</x:f>
      </x:c>
      <x:c r="N51" t="str">
        <x:f>IF(L51="","",L51/_xlfn.MAXIFS($L:$L,$D:$D,D51))</x:f>
      </x:c>
      <x:c r="O51" t="str">
        <x:f>IF(OR(M51="",N51=""),"",SQRT(M51*N51))</x:f>
      </x:c>
      <x:c r="P51" t="str">
        <x:f>IF(OR(M51="",N51=""),"",M51^0.7*N51^0.3)</x:f>
      </x:c>
      <x:c r="Q51" t="str">
        <x:f>IF(OR(M51="",N51=""),"",M51^0.3*N51^0.7)</x:f>
      </x:c>
    </x:row>
    <x:row r="52">
      <x:c r="A52" t="inlineStr">
        <x:is>
          <x:t xml:space="preserve">anthropic|claude-opus-4.5|non-reasoning|nonreasoning|fallback-na</x:t>
        </x:is>
      </x:c>
      <x:c r="B52" t="inlineStr">
        <x:is>
          <x:t xml:space="preserve">AA|v4.3.2</x:t>
        </x:is>
      </x:c>
      <x:c r="C52" t="n">
        <x:v>8</x:v>
      </x:c>
      <x:c r="D52" t="n">
        <x:v>40</x:v>
      </x:c>
      <x:c r="E52" t="n">
        <x:f>INDEX(Model_TestVersion_Stats!$W:$W,C52)</x:f>
        <x:v>24</x:v>
      </x:c>
      <x:c r="F52" t="str">
        <x:f>INDEX(Model_TestVersion_Stats!$O:$O,C52)</x:f>
      </x:c>
      <x:c r="G52" t="str">
        <x:f>IF(INDEX(Model_TestVersion_Stats!$R:$R,C52)="","",INDEX(Model_TestVersion_Stats!$R:$R,C52)/60)</x:f>
      </x:c>
      <x:c r="H52" t="n">
        <x:f>IF(E52="","",E52-(D52-1))</x:f>
        <x:v>-15</x:v>
      </x:c>
      <x:c r="I52" t="n">
        <x:f>IF(H52&gt;0,1,0)</x:f>
        <x:v>0</x:v>
      </x:c>
      <x:c r="J52" t="str">
        <x:f>IF(OR(I52=0,F52="",F52=0),"",H52/F52)</x:f>
      </x:c>
      <x:c r="K52" t="str">
        <x:f>IF(OR(I52=0,H52=0,F52=""),"",F52/H52)</x:f>
      </x:c>
      <x:c r="L52" t="str">
        <x:f>IF(OR(I52=0,F52="",G52="",F52=0,G52=0),"",H52/(F52*G52))</x:f>
      </x:c>
      <x:c r="M52" t="str">
        <x:f>IF(J52="","",J52/_xlfn.MAXIFS($J:$J,$D:$D,D52))</x:f>
      </x:c>
      <x:c r="N52" t="str">
        <x:f>IF(L52="","",L52/_xlfn.MAXIFS($L:$L,$D:$D,D52))</x:f>
      </x:c>
      <x:c r="O52" t="str">
        <x:f>IF(OR(M52="",N52=""),"",SQRT(M52*N52))</x:f>
      </x:c>
      <x:c r="P52" t="str">
        <x:f>IF(OR(M52="",N52=""),"",M52^0.7*N52^0.3)</x:f>
      </x:c>
      <x:c r="Q52" t="str">
        <x:f>IF(OR(M52="",N52=""),"",M52^0.3*N52^0.7)</x:f>
      </x:c>
    </x:row>
    <x:row r="53">
      <x:c r="A53" t="inlineStr">
        <x:is>
          <x:t xml:space="preserve">anthropic|claude-opus-4.5|non-reasoning|nonreasoning|fallback-na</x:t>
        </x:is>
      </x:c>
      <x:c r="B53" t="inlineStr">
        <x:is>
          <x:t xml:space="preserve">AA|v4.3.2</x:t>
        </x:is>
      </x:c>
      <x:c r="C53" t="n">
        <x:v>8</x:v>
      </x:c>
      <x:c r="D53" t="n">
        <x:v>45</x:v>
      </x:c>
      <x:c r="E53" t="n">
        <x:f>INDEX(Model_TestVersion_Stats!$W:$W,C53)</x:f>
        <x:v>24</x:v>
      </x:c>
      <x:c r="F53" t="str">
        <x:f>INDEX(Model_TestVersion_Stats!$O:$O,C53)</x:f>
      </x:c>
      <x:c r="G53" t="str">
        <x:f>IF(INDEX(Model_TestVersion_Stats!$R:$R,C53)="","",INDEX(Model_TestVersion_Stats!$R:$R,C53)/60)</x:f>
      </x:c>
      <x:c r="H53" t="n">
        <x:f>IF(E53="","",E53-(D53-1))</x:f>
        <x:v>-20</x:v>
      </x:c>
      <x:c r="I53" t="n">
        <x:f>IF(H53&gt;0,1,0)</x:f>
        <x:v>0</x:v>
      </x:c>
      <x:c r="J53" t="str">
        <x:f>IF(OR(I53=0,F53="",F53=0),"",H53/F53)</x:f>
      </x:c>
      <x:c r="K53" t="str">
        <x:f>IF(OR(I53=0,H53=0,F53=""),"",F53/H53)</x:f>
      </x:c>
      <x:c r="L53" t="str">
        <x:f>IF(OR(I53=0,F53="",G53="",F53=0,G53=0),"",H53/(F53*G53))</x:f>
      </x:c>
      <x:c r="M53" t="str">
        <x:f>IF(J53="","",J53/_xlfn.MAXIFS($J:$J,$D:$D,D53))</x:f>
      </x:c>
      <x:c r="N53" t="str">
        <x:f>IF(L53="","",L53/_xlfn.MAXIFS($L:$L,$D:$D,D53))</x:f>
      </x:c>
      <x:c r="O53" t="str">
        <x:f>IF(OR(M53="",N53=""),"",SQRT(M53*N53))</x:f>
      </x:c>
      <x:c r="P53" t="str">
        <x:f>IF(OR(M53="",N53=""),"",M53^0.7*N53^0.3)</x:f>
      </x:c>
      <x:c r="Q53" t="str">
        <x:f>IF(OR(M53="",N53=""),"",M53^0.3*N53^0.7)</x:f>
      </x:c>
    </x:row>
    <x:row r="54">
      <x:c r="A54" t="inlineStr">
        <x:is>
          <x:t xml:space="preserve">anthropic|claude-opus-4.5|non-reasoning|nonreasoning|fallback-na</x:t>
        </x:is>
      </x:c>
      <x:c r="B54" t="inlineStr">
        <x:is>
          <x:t xml:space="preserve">AA|v4.3.2</x:t>
        </x:is>
      </x:c>
      <x:c r="C54" t="n">
        <x:v>8</x:v>
      </x:c>
      <x:c r="D54" t="n">
        <x:v>50</x:v>
      </x:c>
      <x:c r="E54" t="n">
        <x:f>INDEX(Model_TestVersion_Stats!$W:$W,C54)</x:f>
        <x:v>24</x:v>
      </x:c>
      <x:c r="F54" t="str">
        <x:f>INDEX(Model_TestVersion_Stats!$O:$O,C54)</x:f>
      </x:c>
      <x:c r="G54" t="str">
        <x:f>IF(INDEX(Model_TestVersion_Stats!$R:$R,C54)="","",INDEX(Model_TestVersion_Stats!$R:$R,C54)/60)</x:f>
      </x:c>
      <x:c r="H54" t="n">
        <x:f>IF(E54="","",E54-(D54-1))</x:f>
        <x:v>-25</x:v>
      </x:c>
      <x:c r="I54" t="n">
        <x:f>IF(H54&gt;0,1,0)</x:f>
        <x:v>0</x:v>
      </x:c>
      <x:c r="J54" t="str">
        <x:f>IF(OR(I54=0,F54="",F54=0),"",H54/F54)</x:f>
      </x:c>
      <x:c r="K54" t="str">
        <x:f>IF(OR(I54=0,H54=0,F54=""),"",F54/H54)</x:f>
      </x:c>
      <x:c r="L54" t="str">
        <x:f>IF(OR(I54=0,F54="",G54="",F54=0,G54=0),"",H54/(F54*G54))</x:f>
      </x:c>
      <x:c r="M54" t="str">
        <x:f>IF(J54="","",J54/_xlfn.MAXIFS($J:$J,$D:$D,D54))</x:f>
      </x:c>
      <x:c r="N54" t="str">
        <x:f>IF(L54="","",L54/_xlfn.MAXIFS($L:$L,$D:$D,D54))</x:f>
      </x:c>
      <x:c r="O54" t="str">
        <x:f>IF(OR(M54="",N54=""),"",SQRT(M54*N54))</x:f>
      </x:c>
      <x:c r="P54" t="str">
        <x:f>IF(OR(M54="",N54=""),"",M54^0.7*N54^0.3)</x:f>
      </x:c>
      <x:c r="Q54" t="str">
        <x:f>IF(OR(M54="",N54=""),"",M54^0.3*N54^0.7)</x:f>
      </x:c>
    </x:row>
    <x:row r="55">
      <x:c r="A55" t="inlineStr">
        <x:is>
          <x:t xml:space="preserve">anthropic|claude-opus-4.5|non-reasoning|nonreasoning|fallback-na</x:t>
        </x:is>
      </x:c>
      <x:c r="B55" t="inlineStr">
        <x:is>
          <x:t xml:space="preserve">AA|v4.3.2</x:t>
        </x:is>
      </x:c>
      <x:c r="C55" t="n">
        <x:v>8</x:v>
      </x:c>
      <x:c r="D55" t="n">
        <x:v>52</x:v>
      </x:c>
      <x:c r="E55" t="n">
        <x:f>INDEX(Model_TestVersion_Stats!$W:$W,C55)</x:f>
        <x:v>24</x:v>
      </x:c>
      <x:c r="F55" t="str">
        <x:f>INDEX(Model_TestVersion_Stats!$O:$O,C55)</x:f>
      </x:c>
      <x:c r="G55" t="str">
        <x:f>IF(INDEX(Model_TestVersion_Stats!$R:$R,C55)="","",INDEX(Model_TestVersion_Stats!$R:$R,C55)/60)</x:f>
      </x:c>
      <x:c r="H55" t="n">
        <x:f>IF(E55="","",E55-(D55-1))</x:f>
        <x:v>-27</x:v>
      </x:c>
      <x:c r="I55" t="n">
        <x:f>IF(H55&gt;0,1,0)</x:f>
        <x:v>0</x:v>
      </x:c>
      <x:c r="J55" t="str">
        <x:f>IF(OR(I55=0,F55="",F55=0),"",H55/F55)</x:f>
      </x:c>
      <x:c r="K55" t="str">
        <x:f>IF(OR(I55=0,H55=0,F55=""),"",F55/H55)</x:f>
      </x:c>
      <x:c r="L55" t="str">
        <x:f>IF(OR(I55=0,F55="",G55="",F55=0,G55=0),"",H55/(F55*G55))</x:f>
      </x:c>
      <x:c r="M55" t="str">
        <x:f>IF(J55="","",J55/_xlfn.MAXIFS($J:$J,$D:$D,D55))</x:f>
      </x:c>
      <x:c r="N55" t="str">
        <x:f>IF(L55="","",L55/_xlfn.MAXIFS($L:$L,$D:$D,D55))</x:f>
      </x:c>
      <x:c r="O55" t="str">
        <x:f>IF(OR(M55="",N55=""),"",SQRT(M55*N55))</x:f>
      </x:c>
      <x:c r="P55" t="str">
        <x:f>IF(OR(M55="",N55=""),"",M55^0.7*N55^0.3)</x:f>
      </x:c>
      <x:c r="Q55" t="str">
        <x:f>IF(OR(M55="",N55=""),"",M55^0.3*N55^0.7)</x:f>
      </x:c>
    </x:row>
    <x:row r="56">
      <x:c r="A56" t="inlineStr">
        <x:is>
          <x:t xml:space="preserve">anthropic|claude-opus-4.5|non-reasoning|nonreasoning|fallback-na</x:t>
        </x:is>
      </x:c>
      <x:c r="B56" t="inlineStr">
        <x:is>
          <x:t xml:space="preserve">AA|v4.3.2</x:t>
        </x:is>
      </x:c>
      <x:c r="C56" t="n">
        <x:v>8</x:v>
      </x:c>
      <x:c r="D56" t="n">
        <x:v>65</x:v>
      </x:c>
      <x:c r="E56" t="n">
        <x:f>INDEX(Model_TestVersion_Stats!$W:$W,C56)</x:f>
        <x:v>24</x:v>
      </x:c>
      <x:c r="F56" t="str">
        <x:f>INDEX(Model_TestVersion_Stats!$O:$O,C56)</x:f>
      </x:c>
      <x:c r="G56" t="str">
        <x:f>IF(INDEX(Model_TestVersion_Stats!$R:$R,C56)="","",INDEX(Model_TestVersion_Stats!$R:$R,C56)/60)</x:f>
      </x:c>
      <x:c r="H56" t="n">
        <x:f>IF(E56="","",E56-(D56-1))</x:f>
        <x:v>-40</x:v>
      </x:c>
      <x:c r="I56" t="n">
        <x:f>IF(H56&gt;0,1,0)</x:f>
        <x:v>0</x:v>
      </x:c>
      <x:c r="J56" t="str">
        <x:f>IF(OR(I56=0,F56="",F56=0),"",H56/F56)</x:f>
      </x:c>
      <x:c r="K56" t="str">
        <x:f>IF(OR(I56=0,H56=0,F56=""),"",F56/H56)</x:f>
      </x:c>
      <x:c r="L56" t="str">
        <x:f>IF(OR(I56=0,F56="",G56="",F56=0,G56=0),"",H56/(F56*G56))</x:f>
      </x:c>
      <x:c r="M56" t="str">
        <x:f>IF(J56="","",J56/_xlfn.MAXIFS($J:$J,$D:$D,D56))</x:f>
      </x:c>
      <x:c r="N56" t="str">
        <x:f>IF(L56="","",L56/_xlfn.MAXIFS($L:$L,$D:$D,D56))</x:f>
      </x:c>
      <x:c r="O56" t="str">
        <x:f>IF(OR(M56="",N56=""),"",SQRT(M56*N56))</x:f>
      </x:c>
      <x:c r="P56" t="str">
        <x:f>IF(OR(M56="",N56=""),"",M56^0.7*N56^0.3)</x:f>
      </x:c>
      <x:c r="Q56" t="str">
        <x:f>IF(OR(M56="",N56=""),"",M56^0.3*N56^0.7)</x:f>
      </x:c>
    </x:row>
    <x:row r="57">
      <x:c r="A57" t="inlineStr">
        <x:is>
          <x:t xml:space="preserve">anthropic|claude-opus-4.5|non-reasoning|nonreasoning|fallback-na</x:t>
        </x:is>
      </x:c>
      <x:c r="B57" t="inlineStr">
        <x:is>
          <x:t xml:space="preserve">AA|v4.3.2</x:t>
        </x:is>
      </x:c>
      <x:c r="C57" t="n">
        <x:v>8</x:v>
      </x:c>
      <x:c r="D57" t="n">
        <x:v>80</x:v>
      </x:c>
      <x:c r="E57" t="n">
        <x:f>INDEX(Model_TestVersion_Stats!$W:$W,C57)</x:f>
        <x:v>24</x:v>
      </x:c>
      <x:c r="F57" t="str">
        <x:f>INDEX(Model_TestVersion_Stats!$O:$O,C57)</x:f>
      </x:c>
      <x:c r="G57" t="str">
        <x:f>IF(INDEX(Model_TestVersion_Stats!$R:$R,C57)="","",INDEX(Model_TestVersion_Stats!$R:$R,C57)/60)</x:f>
      </x:c>
      <x:c r="H57" t="n">
        <x:f>IF(E57="","",E57-(D57-1))</x:f>
        <x:v>-55</x:v>
      </x:c>
      <x:c r="I57" t="n">
        <x:f>IF(H57&gt;0,1,0)</x:f>
        <x:v>0</x:v>
      </x:c>
      <x:c r="J57" t="str">
        <x:f>IF(OR(I57=0,F57="",F57=0),"",H57/F57)</x:f>
      </x:c>
      <x:c r="K57" t="str">
        <x:f>IF(OR(I57=0,H57=0,F57=""),"",F57/H57)</x:f>
      </x:c>
      <x:c r="L57" t="str">
        <x:f>IF(OR(I57=0,F57="",G57="",F57=0,G57=0),"",H57/(F57*G57))</x:f>
      </x:c>
      <x:c r="M57" t="str">
        <x:f>IF(J57="","",J57/_xlfn.MAXIFS($J:$J,$D:$D,D57))</x:f>
      </x:c>
      <x:c r="N57" t="str">
        <x:f>IF(L57="","",L57/_xlfn.MAXIFS($L:$L,$D:$D,D57))</x:f>
      </x:c>
      <x:c r="O57" t="str">
        <x:f>IF(OR(M57="",N57=""),"",SQRT(M57*N57))</x:f>
      </x:c>
      <x:c r="P57" t="str">
        <x:f>IF(OR(M57="",N57=""),"",M57^0.7*N57^0.3)</x:f>
      </x:c>
      <x:c r="Q57" t="str">
        <x:f>IF(OR(M57="",N57=""),"",M57^0.3*N57^0.7)</x:f>
      </x:c>
    </x:row>
    <x:row r="58">
      <x:c r="A58" t="inlineStr">
        <x:is>
          <x:t xml:space="preserve">anthropic|claude-opus-4.5|reasoning|reasoning|fallback-na</x:t>
        </x:is>
      </x:c>
      <x:c r="B58" t="inlineStr">
        <x:is>
          <x:t xml:space="preserve">AA|v4.3.2</x:t>
        </x:is>
      </x:c>
      <x:c r="C58" t="n">
        <x:v>9</x:v>
      </x:c>
      <x:c r="D58" t="n">
        <x:v>20</x:v>
      </x:c>
      <x:c r="E58" t="n">
        <x:f>INDEX(Model_TestVersion_Stats!$W:$W,C58)</x:f>
        <x:v>29</x:v>
      </x:c>
      <x:c r="F58" t="str">
        <x:f>INDEX(Model_TestVersion_Stats!$O:$O,C58)</x:f>
      </x:c>
      <x:c r="G58" t="str">
        <x:f>IF(INDEX(Model_TestVersion_Stats!$R:$R,C58)="","",INDEX(Model_TestVersion_Stats!$R:$R,C58)/60)</x:f>
      </x:c>
      <x:c r="H58" t="n">
        <x:f>IF(E58="","",E58-(D58-1))</x:f>
        <x:v>10</x:v>
      </x:c>
      <x:c r="I58" t="n">
        <x:f>IF(H58&gt;0,1,0)</x:f>
        <x:v>1</x:v>
      </x:c>
      <x:c r="J58" t="str">
        <x:f>IF(OR(I58=0,F58="",F58=0),"",H58/F58)</x:f>
      </x:c>
      <x:c r="K58" t="str">
        <x:f>IF(OR(I58=0,H58=0,F58=""),"",F58/H58)</x:f>
      </x:c>
      <x:c r="L58" t="str">
        <x:f>IF(OR(I58=0,F58="",G58="",F58=0,G58=0),"",H58/(F58*G58))</x:f>
      </x:c>
      <x:c r="M58" t="str">
        <x:f>IF(J58="","",J58/_xlfn.MAXIFS($J:$J,$D:$D,D58))</x:f>
      </x:c>
      <x:c r="N58" t="str">
        <x:f>IF(L58="","",L58/_xlfn.MAXIFS($L:$L,$D:$D,D58))</x:f>
      </x:c>
      <x:c r="O58" t="str">
        <x:f>IF(OR(M58="",N58=""),"",SQRT(M58*N58))</x:f>
      </x:c>
      <x:c r="P58" t="str">
        <x:f>IF(OR(M58="",N58=""),"",M58^0.7*N58^0.3)</x:f>
      </x:c>
      <x:c r="Q58" t="str">
        <x:f>IF(OR(M58="",N58=""),"",M58^0.3*N58^0.7)</x:f>
      </x:c>
    </x:row>
    <x:row r="59">
      <x:c r="A59" t="inlineStr">
        <x:is>
          <x:t xml:space="preserve">anthropic|claude-opus-4.5|reasoning|reasoning|fallback-na</x:t>
        </x:is>
      </x:c>
      <x:c r="B59" t="inlineStr">
        <x:is>
          <x:t xml:space="preserve">AA|v4.3.2</x:t>
        </x:is>
      </x:c>
      <x:c r="C59" t="n">
        <x:v>9</x:v>
      </x:c>
      <x:c r="D59" t="n">
        <x:v>30</x:v>
      </x:c>
      <x:c r="E59" t="n">
        <x:f>INDEX(Model_TestVersion_Stats!$W:$W,C59)</x:f>
        <x:v>29</x:v>
      </x:c>
      <x:c r="F59" t="str">
        <x:f>INDEX(Model_TestVersion_Stats!$O:$O,C59)</x:f>
      </x:c>
      <x:c r="G59" t="str">
        <x:f>IF(INDEX(Model_TestVersion_Stats!$R:$R,C59)="","",INDEX(Model_TestVersion_Stats!$R:$R,C59)/60)</x:f>
      </x:c>
      <x:c r="H59" t="n">
        <x:f>IF(E59="","",E59-(D59-1))</x:f>
        <x:v>0</x:v>
      </x:c>
      <x:c r="I59" t="n">
        <x:f>IF(H59&gt;0,1,0)</x:f>
        <x:v>0</x:v>
      </x:c>
      <x:c r="J59" t="str">
        <x:f>IF(OR(I59=0,F59="",F59=0),"",H59/F59)</x:f>
      </x:c>
      <x:c r="K59" t="str">
        <x:f>IF(OR(I59=0,H59=0,F59=""),"",F59/H59)</x:f>
      </x:c>
      <x:c r="L59" t="str">
        <x:f>IF(OR(I59=0,F59="",G59="",F59=0,G59=0),"",H59/(F59*G59))</x:f>
      </x:c>
      <x:c r="M59" t="str">
        <x:f>IF(J59="","",J59/_xlfn.MAXIFS($J:$J,$D:$D,D59))</x:f>
      </x:c>
      <x:c r="N59" t="str">
        <x:f>IF(L59="","",L59/_xlfn.MAXIFS($L:$L,$D:$D,D59))</x:f>
      </x:c>
      <x:c r="O59" t="str">
        <x:f>IF(OR(M59="",N59=""),"",SQRT(M59*N59))</x:f>
      </x:c>
      <x:c r="P59" t="str">
        <x:f>IF(OR(M59="",N59=""),"",M59^0.7*N59^0.3)</x:f>
      </x:c>
      <x:c r="Q59" t="str">
        <x:f>IF(OR(M59="",N59=""),"",M59^0.3*N59^0.7)</x:f>
      </x:c>
    </x:row>
    <x:row r="60">
      <x:c r="A60" t="inlineStr">
        <x:is>
          <x:t xml:space="preserve">anthropic|claude-opus-4.5|reasoning|reasoning|fallback-na</x:t>
        </x:is>
      </x:c>
      <x:c r="B60" t="inlineStr">
        <x:is>
          <x:t xml:space="preserve">AA|v4.3.2</x:t>
        </x:is>
      </x:c>
      <x:c r="C60" t="n">
        <x:v>9</x:v>
      </x:c>
      <x:c r="D60" t="n">
        <x:v>40</x:v>
      </x:c>
      <x:c r="E60" t="n">
        <x:f>INDEX(Model_TestVersion_Stats!$W:$W,C60)</x:f>
        <x:v>29</x:v>
      </x:c>
      <x:c r="F60" t="str">
        <x:f>INDEX(Model_TestVersion_Stats!$O:$O,C60)</x:f>
      </x:c>
      <x:c r="G60" t="str">
        <x:f>IF(INDEX(Model_TestVersion_Stats!$R:$R,C60)="","",INDEX(Model_TestVersion_Stats!$R:$R,C60)/60)</x:f>
      </x:c>
      <x:c r="H60" t="n">
        <x:f>IF(E60="","",E60-(D60-1))</x:f>
        <x:v>-10</x:v>
      </x:c>
      <x:c r="I60" t="n">
        <x:f>IF(H60&gt;0,1,0)</x:f>
        <x:v>0</x:v>
      </x:c>
      <x:c r="J60" t="str">
        <x:f>IF(OR(I60=0,F60="",F60=0),"",H60/F60)</x:f>
      </x:c>
      <x:c r="K60" t="str">
        <x:f>IF(OR(I60=0,H60=0,F60=""),"",F60/H60)</x:f>
      </x:c>
      <x:c r="L60" t="str">
        <x:f>IF(OR(I60=0,F60="",G60="",F60=0,G60=0),"",H60/(F60*G60))</x:f>
      </x:c>
      <x:c r="M60" t="str">
        <x:f>IF(J60="","",J60/_xlfn.MAXIFS($J:$J,$D:$D,D60))</x:f>
      </x:c>
      <x:c r="N60" t="str">
        <x:f>IF(L60="","",L60/_xlfn.MAXIFS($L:$L,$D:$D,D60))</x:f>
      </x:c>
      <x:c r="O60" t="str">
        <x:f>IF(OR(M60="",N60=""),"",SQRT(M60*N60))</x:f>
      </x:c>
      <x:c r="P60" t="str">
        <x:f>IF(OR(M60="",N60=""),"",M60^0.7*N60^0.3)</x:f>
      </x:c>
      <x:c r="Q60" t="str">
        <x:f>IF(OR(M60="",N60=""),"",M60^0.3*N60^0.7)</x:f>
      </x:c>
    </x:row>
    <x:row r="61">
      <x:c r="A61" t="inlineStr">
        <x:is>
          <x:t xml:space="preserve">anthropic|claude-opus-4.5|reasoning|reasoning|fallback-na</x:t>
        </x:is>
      </x:c>
      <x:c r="B61" t="inlineStr">
        <x:is>
          <x:t xml:space="preserve">AA|v4.3.2</x:t>
        </x:is>
      </x:c>
      <x:c r="C61" t="n">
        <x:v>9</x:v>
      </x:c>
      <x:c r="D61" t="n">
        <x:v>45</x:v>
      </x:c>
      <x:c r="E61" t="n">
        <x:f>INDEX(Model_TestVersion_Stats!$W:$W,C61)</x:f>
        <x:v>29</x:v>
      </x:c>
      <x:c r="F61" t="str">
        <x:f>INDEX(Model_TestVersion_Stats!$O:$O,C61)</x:f>
      </x:c>
      <x:c r="G61" t="str">
        <x:f>IF(INDEX(Model_TestVersion_Stats!$R:$R,C61)="","",INDEX(Model_TestVersion_Stats!$R:$R,C61)/60)</x:f>
      </x:c>
      <x:c r="H61" t="n">
        <x:f>IF(E61="","",E61-(D61-1))</x:f>
        <x:v>-15</x:v>
      </x:c>
      <x:c r="I61" t="n">
        <x:f>IF(H61&gt;0,1,0)</x:f>
        <x:v>0</x:v>
      </x:c>
      <x:c r="J61" t="str">
        <x:f>IF(OR(I61=0,F61="",F61=0),"",H61/F61)</x:f>
      </x:c>
      <x:c r="K61" t="str">
        <x:f>IF(OR(I61=0,H61=0,F61=""),"",F61/H61)</x:f>
      </x:c>
      <x:c r="L61" t="str">
        <x:f>IF(OR(I61=0,F61="",G61="",F61=0,G61=0),"",H61/(F61*G61))</x:f>
      </x:c>
      <x:c r="M61" t="str">
        <x:f>IF(J61="","",J61/_xlfn.MAXIFS($J:$J,$D:$D,D61))</x:f>
      </x:c>
      <x:c r="N61" t="str">
        <x:f>IF(L61="","",L61/_xlfn.MAXIFS($L:$L,$D:$D,D61))</x:f>
      </x:c>
      <x:c r="O61" t="str">
        <x:f>IF(OR(M61="",N61=""),"",SQRT(M61*N61))</x:f>
      </x:c>
      <x:c r="P61" t="str">
        <x:f>IF(OR(M61="",N61=""),"",M61^0.7*N61^0.3)</x:f>
      </x:c>
      <x:c r="Q61" t="str">
        <x:f>IF(OR(M61="",N61=""),"",M61^0.3*N61^0.7)</x:f>
      </x:c>
    </x:row>
    <x:row r="62">
      <x:c r="A62" t="inlineStr">
        <x:is>
          <x:t xml:space="preserve">anthropic|claude-opus-4.5|reasoning|reasoning|fallback-na</x:t>
        </x:is>
      </x:c>
      <x:c r="B62" t="inlineStr">
        <x:is>
          <x:t xml:space="preserve">AA|v4.3.2</x:t>
        </x:is>
      </x:c>
      <x:c r="C62" t="n">
        <x:v>9</x:v>
      </x:c>
      <x:c r="D62" t="n">
        <x:v>50</x:v>
      </x:c>
      <x:c r="E62" t="n">
        <x:f>INDEX(Model_TestVersion_Stats!$W:$W,C62)</x:f>
        <x:v>29</x:v>
      </x:c>
      <x:c r="F62" t="str">
        <x:f>INDEX(Model_TestVersion_Stats!$O:$O,C62)</x:f>
      </x:c>
      <x:c r="G62" t="str">
        <x:f>IF(INDEX(Model_TestVersion_Stats!$R:$R,C62)="","",INDEX(Model_TestVersion_Stats!$R:$R,C62)/60)</x:f>
      </x:c>
      <x:c r="H62" t="n">
        <x:f>IF(E62="","",E62-(D62-1))</x:f>
        <x:v>-20</x:v>
      </x:c>
      <x:c r="I62" t="n">
        <x:f>IF(H62&gt;0,1,0)</x:f>
        <x:v>0</x:v>
      </x:c>
      <x:c r="J62" t="str">
        <x:f>IF(OR(I62=0,F62="",F62=0),"",H62/F62)</x:f>
      </x:c>
      <x:c r="K62" t="str">
        <x:f>IF(OR(I62=0,H62=0,F62=""),"",F62/H62)</x:f>
      </x:c>
      <x:c r="L62" t="str">
        <x:f>IF(OR(I62=0,F62="",G62="",F62=0,G62=0),"",H62/(F62*G62))</x:f>
      </x:c>
      <x:c r="M62" t="str">
        <x:f>IF(J62="","",J62/_xlfn.MAXIFS($J:$J,$D:$D,D62))</x:f>
      </x:c>
      <x:c r="N62" t="str">
        <x:f>IF(L62="","",L62/_xlfn.MAXIFS($L:$L,$D:$D,D62))</x:f>
      </x:c>
      <x:c r="O62" t="str">
        <x:f>IF(OR(M62="",N62=""),"",SQRT(M62*N62))</x:f>
      </x:c>
      <x:c r="P62" t="str">
        <x:f>IF(OR(M62="",N62=""),"",M62^0.7*N62^0.3)</x:f>
      </x:c>
      <x:c r="Q62" t="str">
        <x:f>IF(OR(M62="",N62=""),"",M62^0.3*N62^0.7)</x:f>
      </x:c>
    </x:row>
    <x:row r="63">
      <x:c r="A63" t="inlineStr">
        <x:is>
          <x:t xml:space="preserve">anthropic|claude-opus-4.5|reasoning|reasoning|fallback-na</x:t>
        </x:is>
      </x:c>
      <x:c r="B63" t="inlineStr">
        <x:is>
          <x:t xml:space="preserve">AA|v4.3.2</x:t>
        </x:is>
      </x:c>
      <x:c r="C63" t="n">
        <x:v>9</x:v>
      </x:c>
      <x:c r="D63" t="n">
        <x:v>52</x:v>
      </x:c>
      <x:c r="E63" t="n">
        <x:f>INDEX(Model_TestVersion_Stats!$W:$W,C63)</x:f>
        <x:v>29</x:v>
      </x:c>
      <x:c r="F63" t="str">
        <x:f>INDEX(Model_TestVersion_Stats!$O:$O,C63)</x:f>
      </x:c>
      <x:c r="G63" t="str">
        <x:f>IF(INDEX(Model_TestVersion_Stats!$R:$R,C63)="","",INDEX(Model_TestVersion_Stats!$R:$R,C63)/60)</x:f>
      </x:c>
      <x:c r="H63" t="n">
        <x:f>IF(E63="","",E63-(D63-1))</x:f>
        <x:v>-22</x:v>
      </x:c>
      <x:c r="I63" t="n">
        <x:f>IF(H63&gt;0,1,0)</x:f>
        <x:v>0</x:v>
      </x:c>
      <x:c r="J63" t="str">
        <x:f>IF(OR(I63=0,F63="",F63=0),"",H63/F63)</x:f>
      </x:c>
      <x:c r="K63" t="str">
        <x:f>IF(OR(I63=0,H63=0,F63=""),"",F63/H63)</x:f>
      </x:c>
      <x:c r="L63" t="str">
        <x:f>IF(OR(I63=0,F63="",G63="",F63=0,G63=0),"",H63/(F63*G63))</x:f>
      </x:c>
      <x:c r="M63" t="str">
        <x:f>IF(J63="","",J63/_xlfn.MAXIFS($J:$J,$D:$D,D63))</x:f>
      </x:c>
      <x:c r="N63" t="str">
        <x:f>IF(L63="","",L63/_xlfn.MAXIFS($L:$L,$D:$D,D63))</x:f>
      </x:c>
      <x:c r="O63" t="str">
        <x:f>IF(OR(M63="",N63=""),"",SQRT(M63*N63))</x:f>
      </x:c>
      <x:c r="P63" t="str">
        <x:f>IF(OR(M63="",N63=""),"",M63^0.7*N63^0.3)</x:f>
      </x:c>
      <x:c r="Q63" t="str">
        <x:f>IF(OR(M63="",N63=""),"",M63^0.3*N63^0.7)</x:f>
      </x:c>
    </x:row>
    <x:row r="64">
      <x:c r="A64" t="inlineStr">
        <x:is>
          <x:t xml:space="preserve">anthropic|claude-opus-4.5|reasoning|reasoning|fallback-na</x:t>
        </x:is>
      </x:c>
      <x:c r="B64" t="inlineStr">
        <x:is>
          <x:t xml:space="preserve">AA|v4.3.2</x:t>
        </x:is>
      </x:c>
      <x:c r="C64" t="n">
        <x:v>9</x:v>
      </x:c>
      <x:c r="D64" t="n">
        <x:v>65</x:v>
      </x:c>
      <x:c r="E64" t="n">
        <x:f>INDEX(Model_TestVersion_Stats!$W:$W,C64)</x:f>
        <x:v>29</x:v>
      </x:c>
      <x:c r="F64" t="str">
        <x:f>INDEX(Model_TestVersion_Stats!$O:$O,C64)</x:f>
      </x:c>
      <x:c r="G64" t="str">
        <x:f>IF(INDEX(Model_TestVersion_Stats!$R:$R,C64)="","",INDEX(Model_TestVersion_Stats!$R:$R,C64)/60)</x:f>
      </x:c>
      <x:c r="H64" t="n">
        <x:f>IF(E64="","",E64-(D64-1))</x:f>
        <x:v>-35</x:v>
      </x:c>
      <x:c r="I64" t="n">
        <x:f>IF(H64&gt;0,1,0)</x:f>
        <x:v>0</x:v>
      </x:c>
      <x:c r="J64" t="str">
        <x:f>IF(OR(I64=0,F64="",F64=0),"",H64/F64)</x:f>
      </x:c>
      <x:c r="K64" t="str">
        <x:f>IF(OR(I64=0,H64=0,F64=""),"",F64/H64)</x:f>
      </x:c>
      <x:c r="L64" t="str">
        <x:f>IF(OR(I64=0,F64="",G64="",F64=0,G64=0),"",H64/(F64*G64))</x:f>
      </x:c>
      <x:c r="M64" t="str">
        <x:f>IF(J64="","",J64/_xlfn.MAXIFS($J:$J,$D:$D,D64))</x:f>
      </x:c>
      <x:c r="N64" t="str">
        <x:f>IF(L64="","",L64/_xlfn.MAXIFS($L:$L,$D:$D,D64))</x:f>
      </x:c>
      <x:c r="O64" t="str">
        <x:f>IF(OR(M64="",N64=""),"",SQRT(M64*N64))</x:f>
      </x:c>
      <x:c r="P64" t="str">
        <x:f>IF(OR(M64="",N64=""),"",M64^0.7*N64^0.3)</x:f>
      </x:c>
      <x:c r="Q64" t="str">
        <x:f>IF(OR(M64="",N64=""),"",M64^0.3*N64^0.7)</x:f>
      </x:c>
    </x:row>
    <x:row r="65">
      <x:c r="A65" t="inlineStr">
        <x:is>
          <x:t xml:space="preserve">anthropic|claude-opus-4.5|reasoning|reasoning|fallback-na</x:t>
        </x:is>
      </x:c>
      <x:c r="B65" t="inlineStr">
        <x:is>
          <x:t xml:space="preserve">AA|v4.3.2</x:t>
        </x:is>
      </x:c>
      <x:c r="C65" t="n">
        <x:v>9</x:v>
      </x:c>
      <x:c r="D65" t="n">
        <x:v>80</x:v>
      </x:c>
      <x:c r="E65" t="n">
        <x:f>INDEX(Model_TestVersion_Stats!$W:$W,C65)</x:f>
        <x:v>29</x:v>
      </x:c>
      <x:c r="F65" t="str">
        <x:f>INDEX(Model_TestVersion_Stats!$O:$O,C65)</x:f>
      </x:c>
      <x:c r="G65" t="str">
        <x:f>IF(INDEX(Model_TestVersion_Stats!$R:$R,C65)="","",INDEX(Model_TestVersion_Stats!$R:$R,C65)/60)</x:f>
      </x:c>
      <x:c r="H65" t="n">
        <x:f>IF(E65="","",E65-(D65-1))</x:f>
        <x:v>-50</x:v>
      </x:c>
      <x:c r="I65" t="n">
        <x:f>IF(H65&gt;0,1,0)</x:f>
        <x:v>0</x:v>
      </x:c>
      <x:c r="J65" t="str">
        <x:f>IF(OR(I65=0,F65="",F65=0),"",H65/F65)</x:f>
      </x:c>
      <x:c r="K65" t="str">
        <x:f>IF(OR(I65=0,H65=0,F65=""),"",F65/H65)</x:f>
      </x:c>
      <x:c r="L65" t="str">
        <x:f>IF(OR(I65=0,F65="",G65="",F65=0,G65=0),"",H65/(F65*G65))</x:f>
      </x:c>
      <x:c r="M65" t="str">
        <x:f>IF(J65="","",J65/_xlfn.MAXIFS($J:$J,$D:$D,D65))</x:f>
      </x:c>
      <x:c r="N65" t="str">
        <x:f>IF(L65="","",L65/_xlfn.MAXIFS($L:$L,$D:$D,D65))</x:f>
      </x:c>
      <x:c r="O65" t="str">
        <x:f>IF(OR(M65="",N65=""),"",SQRT(M65*N65))</x:f>
      </x:c>
      <x:c r="P65" t="str">
        <x:f>IF(OR(M65="",N65=""),"",M65^0.7*N65^0.3)</x:f>
      </x:c>
      <x:c r="Q65" t="str">
        <x:f>IF(OR(M65="",N65=""),"",M65^0.3*N65^0.7)</x:f>
      </x:c>
    </x:row>
    <x:row r="66">
      <x:c r="A66" t="inlineStr">
        <x:is>
          <x:t xml:space="preserve">anthropic|claude-opus-5.5|high|reasoning|fallback-true</x:t>
        </x:is>
      </x:c>
      <x:c r="B66" t="inlineStr">
        <x:is>
          <x:t xml:space="preserve">AA|v4.3.2</x:t>
        </x:is>
      </x:c>
      <x:c r="C66" t="n">
        <x:v>10</x:v>
      </x:c>
      <x:c r="D66" t="n">
        <x:v>20</x:v>
      </x:c>
      <x:c r="E66" t="n">
        <x:f>INDEX(Model_TestVersion_Stats!$W:$W,C66)</x:f>
        <x:v>54</x:v>
      </x:c>
      <x:c r="F66" t="n">
        <x:f>INDEX(Model_TestVersion_Stats!$O:$O,C66)</x:f>
        <x:v>1.82</x:v>
      </x:c>
      <x:c r="G66" t="str">
        <x:f>IF(INDEX(Model_TestVersion_Stats!$R:$R,C66)="","",INDEX(Model_TestVersion_Stats!$R:$R,C66)/60)</x:f>
      </x:c>
      <x:c r="H66" t="n">
        <x:f>IF(E66="","",E66-(D66-1))</x:f>
        <x:v>35</x:v>
      </x:c>
      <x:c r="I66" t="n">
        <x:f>IF(H66&gt;0,1,0)</x:f>
        <x:v>1</x:v>
      </x:c>
      <x:c r="J66" t="n">
        <x:f>IF(OR(I66=0,F66="",F66=0),"",H66/F66)</x:f>
        <x:v>19.23076923076923</x:v>
      </x:c>
      <x:c r="K66" t="n">
        <x:f>IF(OR(I66=0,H66=0,F66=""),"",F66/H66)</x:f>
        <x:v>0.052000000000000005</x:v>
      </x:c>
      <x:c r="L66" t="str">
        <x:f>IF(OR(I66=0,F66="",G66="",F66=0,G66=0),"",H66/(F66*G66))</x:f>
      </x:c>
      <x:c r="M66" t="n">
        <x:f>IF(J66="","",J66/_xlfn.MAXIFS($J:$J,$D:$D,D66))</x:f>
        <x:v>0.03461538461538462</x:v>
      </x:c>
      <x:c r="N66" t="str">
        <x:f>IF(L66="","",L66/_xlfn.MAXIFS($L:$L,$D:$D,D66))</x:f>
      </x:c>
      <x:c r="O66" t="str">
        <x:f>IF(OR(M66="",N66=""),"",SQRT(M66*N66))</x:f>
      </x:c>
      <x:c r="P66" t="str">
        <x:f>IF(OR(M66="",N66=""),"",M66^0.7*N66^0.3)</x:f>
      </x:c>
      <x:c r="Q66" t="str">
        <x:f>IF(OR(M66="",N66=""),"",M66^0.3*N66^0.7)</x:f>
      </x:c>
    </x:row>
    <x:row r="67">
      <x:c r="A67" t="inlineStr">
        <x:is>
          <x:t xml:space="preserve">anthropic|claude-opus-5.5|high|reasoning|fallback-true</x:t>
        </x:is>
      </x:c>
      <x:c r="B67" t="inlineStr">
        <x:is>
          <x:t xml:space="preserve">AA|v4.3.2</x:t>
        </x:is>
      </x:c>
      <x:c r="C67" t="n">
        <x:v>10</x:v>
      </x:c>
      <x:c r="D67" t="n">
        <x:v>30</x:v>
      </x:c>
      <x:c r="E67" t="n">
        <x:f>INDEX(Model_TestVersion_Stats!$W:$W,C67)</x:f>
        <x:v>54</x:v>
      </x:c>
      <x:c r="F67" t="n">
        <x:f>INDEX(Model_TestVersion_Stats!$O:$O,C67)</x:f>
        <x:v>1.82</x:v>
      </x:c>
      <x:c r="G67" t="str">
        <x:f>IF(INDEX(Model_TestVersion_Stats!$R:$R,C67)="","",INDEX(Model_TestVersion_Stats!$R:$R,C67)/60)</x:f>
      </x:c>
      <x:c r="H67" t="n">
        <x:f>IF(E67="","",E67-(D67-1))</x:f>
        <x:v>25</x:v>
      </x:c>
      <x:c r="I67" t="n">
        <x:f>IF(H67&gt;0,1,0)</x:f>
        <x:v>1</x:v>
      </x:c>
      <x:c r="J67" t="n">
        <x:f>IF(OR(I67=0,F67="",F67=0),"",H67/F67)</x:f>
        <x:v>13.736263736263735</x:v>
      </x:c>
      <x:c r="K67" t="n">
        <x:f>IF(OR(I67=0,H67=0,F67=""),"",F67/H67)</x:f>
        <x:v>0.0728</x:v>
      </x:c>
      <x:c r="L67" t="str">
        <x:f>IF(OR(I67=0,F67="",G67="",F67=0,G67=0),"",H67/(F67*G67))</x:f>
      </x:c>
      <x:c r="M67" t="n">
        <x:f>IF(J67="","",J67/_xlfn.MAXIFS($J:$J,$D:$D,D67))</x:f>
        <x:v>0.09157509157509157</x:v>
      </x:c>
      <x:c r="N67" t="str">
        <x:f>IF(L67="","",L67/_xlfn.MAXIFS($L:$L,$D:$D,D67))</x:f>
      </x:c>
      <x:c r="O67" t="str">
        <x:f>IF(OR(M67="",N67=""),"",SQRT(M67*N67))</x:f>
      </x:c>
      <x:c r="P67" t="str">
        <x:f>IF(OR(M67="",N67=""),"",M67^0.7*N67^0.3)</x:f>
      </x:c>
      <x:c r="Q67" t="str">
        <x:f>IF(OR(M67="",N67=""),"",M67^0.3*N67^0.7)</x:f>
      </x:c>
    </x:row>
    <x:row r="68">
      <x:c r="A68" t="inlineStr">
        <x:is>
          <x:t xml:space="preserve">anthropic|claude-opus-5.5|high|reasoning|fallback-true</x:t>
        </x:is>
      </x:c>
      <x:c r="B68" t="inlineStr">
        <x:is>
          <x:t xml:space="preserve">AA|v4.3.2</x:t>
        </x:is>
      </x:c>
      <x:c r="C68" t="n">
        <x:v>10</x:v>
      </x:c>
      <x:c r="D68" t="n">
        <x:v>40</x:v>
      </x:c>
      <x:c r="E68" t="n">
        <x:f>INDEX(Model_TestVersion_Stats!$W:$W,C68)</x:f>
        <x:v>54</x:v>
      </x:c>
      <x:c r="F68" t="n">
        <x:f>INDEX(Model_TestVersion_Stats!$O:$O,C68)</x:f>
        <x:v>1.82</x:v>
      </x:c>
      <x:c r="G68" t="str">
        <x:f>IF(INDEX(Model_TestVersion_Stats!$R:$R,C68)="","",INDEX(Model_TestVersion_Stats!$R:$R,C68)/60)</x:f>
      </x:c>
      <x:c r="H68" t="n">
        <x:f>IF(E68="","",E68-(D68-1))</x:f>
        <x:v>15</x:v>
      </x:c>
      <x:c r="I68" t="n">
        <x:f>IF(H68&gt;0,1,0)</x:f>
        <x:v>1</x:v>
      </x:c>
      <x:c r="J68" t="n">
        <x:f>IF(OR(I68=0,F68="",F68=0),"",H68/F68)</x:f>
        <x:v>8.241758241758241</x:v>
      </x:c>
      <x:c r="K68" t="n">
        <x:f>IF(OR(I68=0,H68=0,F68=""),"",F68/H68)</x:f>
        <x:v>0.12133333333333333</x:v>
      </x:c>
      <x:c r="L68" t="str">
        <x:f>IF(OR(I68=0,F68="",G68="",F68=0,G68=0),"",H68/(F68*G68))</x:f>
      </x:c>
      <x:c r="M68" t="n">
        <x:f>IF(J68="","",J68/_xlfn.MAXIFS($J:$J,$D:$D,D68))</x:f>
        <x:v>0.1530612244897959</x:v>
      </x:c>
      <x:c r="N68" t="str">
        <x:f>IF(L68="","",L68/_xlfn.MAXIFS($L:$L,$D:$D,D68))</x:f>
      </x:c>
      <x:c r="O68" t="str">
        <x:f>IF(OR(M68="",N68=""),"",SQRT(M68*N68))</x:f>
      </x:c>
      <x:c r="P68" t="str">
        <x:f>IF(OR(M68="",N68=""),"",M68^0.7*N68^0.3)</x:f>
      </x:c>
      <x:c r="Q68" t="str">
        <x:f>IF(OR(M68="",N68=""),"",M68^0.3*N68^0.7)</x:f>
      </x:c>
    </x:row>
    <x:row r="69">
      <x:c r="A69" t="inlineStr">
        <x:is>
          <x:t xml:space="preserve">anthropic|claude-opus-5.5|high|reasoning|fallback-true</x:t>
        </x:is>
      </x:c>
      <x:c r="B69" t="inlineStr">
        <x:is>
          <x:t xml:space="preserve">AA|v4.3.2</x:t>
        </x:is>
      </x:c>
      <x:c r="C69" t="n">
        <x:v>10</x:v>
      </x:c>
      <x:c r="D69" t="n">
        <x:v>45</x:v>
      </x:c>
      <x:c r="E69" t="n">
        <x:f>INDEX(Model_TestVersion_Stats!$W:$W,C69)</x:f>
        <x:v>54</x:v>
      </x:c>
      <x:c r="F69" t="n">
        <x:f>INDEX(Model_TestVersion_Stats!$O:$O,C69)</x:f>
        <x:v>1.82</x:v>
      </x:c>
      <x:c r="G69" t="str">
        <x:f>IF(INDEX(Model_TestVersion_Stats!$R:$R,C69)="","",INDEX(Model_TestVersion_Stats!$R:$R,C69)/60)</x:f>
      </x:c>
      <x:c r="H69" t="n">
        <x:f>IF(E69="","",E69-(D69-1))</x:f>
        <x:v>10</x:v>
      </x:c>
      <x:c r="I69" t="n">
        <x:f>IF(H69&gt;0,1,0)</x:f>
        <x:v>1</x:v>
      </x:c>
      <x:c r="J69" t="n">
        <x:f>IF(OR(I69=0,F69="",F69=0),"",H69/F69)</x:f>
        <x:v>5.4945054945054945</x:v>
      </x:c>
      <x:c r="K69" t="n">
        <x:f>IF(OR(I69=0,H69=0,F69=""),"",F69/H69)</x:f>
        <x:v>0.182</x:v>
      </x:c>
      <x:c r="L69" t="str">
        <x:f>IF(OR(I69=0,F69="",G69="",F69=0,G69=0),"",H69/(F69*G69))</x:f>
      </x:c>
      <x:c r="M69" t="n">
        <x:f>IF(J69="","",J69/_xlfn.MAXIFS($J:$J,$D:$D,D69))</x:f>
        <x:v>0.2884615384615385</x:v>
      </x:c>
      <x:c r="N69" t="str">
        <x:f>IF(L69="","",L69/_xlfn.MAXIFS($L:$L,$D:$D,D69))</x:f>
      </x:c>
      <x:c r="O69" t="str">
        <x:f>IF(OR(M69="",N69=""),"",SQRT(M69*N69))</x:f>
      </x:c>
      <x:c r="P69" t="str">
        <x:f>IF(OR(M69="",N69=""),"",M69^0.7*N69^0.3)</x:f>
      </x:c>
      <x:c r="Q69" t="str">
        <x:f>IF(OR(M69="",N69=""),"",M69^0.3*N69^0.7)</x:f>
      </x:c>
    </x:row>
    <x:row r="70">
      <x:c r="A70" t="inlineStr">
        <x:is>
          <x:t xml:space="preserve">anthropic|claude-opus-5.5|high|reasoning|fallback-true</x:t>
        </x:is>
      </x:c>
      <x:c r="B70" t="inlineStr">
        <x:is>
          <x:t xml:space="preserve">AA|v4.3.2</x:t>
        </x:is>
      </x:c>
      <x:c r="C70" t="n">
        <x:v>10</x:v>
      </x:c>
      <x:c r="D70" t="n">
        <x:v>50</x:v>
      </x:c>
      <x:c r="E70" t="n">
        <x:f>INDEX(Model_TestVersion_Stats!$W:$W,C70)</x:f>
        <x:v>54</x:v>
      </x:c>
      <x:c r="F70" t="n">
        <x:f>INDEX(Model_TestVersion_Stats!$O:$O,C70)</x:f>
        <x:v>1.82</x:v>
      </x:c>
      <x:c r="G70" t="str">
        <x:f>IF(INDEX(Model_TestVersion_Stats!$R:$R,C70)="","",INDEX(Model_TestVersion_Stats!$R:$R,C70)/60)</x:f>
      </x:c>
      <x:c r="H70" t="n">
        <x:f>IF(E70="","",E70-(D70-1))</x:f>
        <x:v>5</x:v>
      </x:c>
      <x:c r="I70" t="n">
        <x:f>IF(H70&gt;0,1,0)</x:f>
        <x:v>1</x:v>
      </x:c>
      <x:c r="J70" t="n">
        <x:f>IF(OR(I70=0,F70="",F70=0),"",H70/F70)</x:f>
        <x:v>2.7472527472527473</x:v>
      </x:c>
      <x:c r="K70" t="n">
        <x:f>IF(OR(I70=0,H70=0,F70=""),"",F70/H70)</x:f>
        <x:v>0.364</x:v>
      </x:c>
      <x:c r="L70" t="str">
        <x:f>IF(OR(I70=0,F70="",G70="",F70=0,G70=0),"",H70/(F70*G70))</x:f>
      </x:c>
      <x:c r="M70" t="n">
        <x:f>IF(J70="","",J70/_xlfn.MAXIFS($J:$J,$D:$D,D70))</x:f>
        <x:v>0.5357142857142858</x:v>
      </x:c>
      <x:c r="N70" t="str">
        <x:f>IF(L70="","",L70/_xlfn.MAXIFS($L:$L,$D:$D,D70))</x:f>
      </x:c>
      <x:c r="O70" t="str">
        <x:f>IF(OR(M70="",N70=""),"",SQRT(M70*N70))</x:f>
      </x:c>
      <x:c r="P70" t="str">
        <x:f>IF(OR(M70="",N70=""),"",M70^0.7*N70^0.3)</x:f>
      </x:c>
      <x:c r="Q70" t="str">
        <x:f>IF(OR(M70="",N70=""),"",M70^0.3*N70^0.7)</x:f>
      </x:c>
    </x:row>
    <x:row r="71">
      <x:c r="A71" t="inlineStr">
        <x:is>
          <x:t xml:space="preserve">anthropic|claude-opus-5.5|high|reasoning|fallback-true</x:t>
        </x:is>
      </x:c>
      <x:c r="B71" t="inlineStr">
        <x:is>
          <x:t xml:space="preserve">AA|v4.3.2</x:t>
        </x:is>
      </x:c>
      <x:c r="C71" t="n">
        <x:v>10</x:v>
      </x:c>
      <x:c r="D71" t="n">
        <x:v>52</x:v>
      </x:c>
      <x:c r="E71" t="n">
        <x:f>INDEX(Model_TestVersion_Stats!$W:$W,C71)</x:f>
        <x:v>54</x:v>
      </x:c>
      <x:c r="F71" t="n">
        <x:f>INDEX(Model_TestVersion_Stats!$O:$O,C71)</x:f>
        <x:v>1.82</x:v>
      </x:c>
      <x:c r="G71" t="str">
        <x:f>IF(INDEX(Model_TestVersion_Stats!$R:$R,C71)="","",INDEX(Model_TestVersion_Stats!$R:$R,C71)/60)</x:f>
      </x:c>
      <x:c r="H71" t="n">
        <x:f>IF(E71="","",E71-(D71-1))</x:f>
        <x:v>3</x:v>
      </x:c>
      <x:c r="I71" t="n">
        <x:f>IF(H71&gt;0,1,0)</x:f>
        <x:v>1</x:v>
      </x:c>
      <x:c r="J71" t="n">
        <x:f>IF(OR(I71=0,F71="",F71=0),"",H71/F71)</x:f>
        <x:v>1.6483516483516483</x:v>
      </x:c>
      <x:c r="K71" t="n">
        <x:f>IF(OR(I71=0,H71=0,F71=""),"",F71/H71)</x:f>
        <x:v>0.6066666666666667</x:v>
      </x:c>
      <x:c r="L71" t="str">
        <x:f>IF(OR(I71=0,F71="",G71="",F71=0,G71=0),"",H71/(F71*G71))</x:f>
      </x:c>
      <x:c r="M71" t="n">
        <x:f>IF(J71="","",J71/_xlfn.MAXIFS($J:$J,$D:$D,D71))</x:f>
        <x:v>1</x:v>
      </x:c>
      <x:c r="N71" t="str">
        <x:f>IF(L71="","",L71/_xlfn.MAXIFS($L:$L,$D:$D,D71))</x:f>
      </x:c>
      <x:c r="O71" t="str">
        <x:f>IF(OR(M71="",N71=""),"",SQRT(M71*N71))</x:f>
      </x:c>
      <x:c r="P71" t="str">
        <x:f>IF(OR(M71="",N71=""),"",M71^0.7*N71^0.3)</x:f>
      </x:c>
      <x:c r="Q71" t="str">
        <x:f>IF(OR(M71="",N71=""),"",M71^0.3*N71^0.7)</x:f>
      </x:c>
    </x:row>
    <x:row r="72">
      <x:c r="A72" t="inlineStr">
        <x:is>
          <x:t xml:space="preserve">anthropic|claude-opus-5.5|high|reasoning|fallback-true</x:t>
        </x:is>
      </x:c>
      <x:c r="B72" t="inlineStr">
        <x:is>
          <x:t xml:space="preserve">AA|v4.3.2</x:t>
        </x:is>
      </x:c>
      <x:c r="C72" t="n">
        <x:v>10</x:v>
      </x:c>
      <x:c r="D72" t="n">
        <x:v>65</x:v>
      </x:c>
      <x:c r="E72" t="n">
        <x:f>INDEX(Model_TestVersion_Stats!$W:$W,C72)</x:f>
        <x:v>54</x:v>
      </x:c>
      <x:c r="F72" t="n">
        <x:f>INDEX(Model_TestVersion_Stats!$O:$O,C72)</x:f>
        <x:v>1.82</x:v>
      </x:c>
      <x:c r="G72" t="str">
        <x:f>IF(INDEX(Model_TestVersion_Stats!$R:$R,C72)="","",INDEX(Model_TestVersion_Stats!$R:$R,C72)/60)</x:f>
      </x:c>
      <x:c r="H72" t="n">
        <x:f>IF(E72="","",E72-(D72-1))</x:f>
        <x:v>-10</x:v>
      </x:c>
      <x:c r="I72" t="n">
        <x:f>IF(H72&gt;0,1,0)</x:f>
        <x:v>0</x:v>
      </x:c>
      <x:c r="J72" t="str">
        <x:f>IF(OR(I72=0,F72="",F72=0),"",H72/F72)</x:f>
      </x:c>
      <x:c r="K72" t="str">
        <x:f>IF(OR(I72=0,H72=0,F72=""),"",F72/H72)</x:f>
      </x:c>
      <x:c r="L72" t="str">
        <x:f>IF(OR(I72=0,F72="",G72="",F72=0,G72=0),"",H72/(F72*G72))</x:f>
      </x:c>
      <x:c r="M72" t="str">
        <x:f>IF(J72="","",J72/_xlfn.MAXIFS($J:$J,$D:$D,D72))</x:f>
      </x:c>
      <x:c r="N72" t="str">
        <x:f>IF(L72="","",L72/_xlfn.MAXIFS($L:$L,$D:$D,D72))</x:f>
      </x:c>
      <x:c r="O72" t="str">
        <x:f>IF(OR(M72="",N72=""),"",SQRT(M72*N72))</x:f>
      </x:c>
      <x:c r="P72" t="str">
        <x:f>IF(OR(M72="",N72=""),"",M72^0.7*N72^0.3)</x:f>
      </x:c>
      <x:c r="Q72" t="str">
        <x:f>IF(OR(M72="",N72=""),"",M72^0.3*N72^0.7)</x:f>
      </x:c>
    </x:row>
    <x:row r="73">
      <x:c r="A73" t="inlineStr">
        <x:is>
          <x:t xml:space="preserve">anthropic|claude-opus-5.5|high|reasoning|fallback-true</x:t>
        </x:is>
      </x:c>
      <x:c r="B73" t="inlineStr">
        <x:is>
          <x:t xml:space="preserve">AA|v4.3.2</x:t>
        </x:is>
      </x:c>
      <x:c r="C73" t="n">
        <x:v>10</x:v>
      </x:c>
      <x:c r="D73" t="n">
        <x:v>80</x:v>
      </x:c>
      <x:c r="E73" t="n">
        <x:f>INDEX(Model_TestVersion_Stats!$W:$W,C73)</x:f>
        <x:v>54</x:v>
      </x:c>
      <x:c r="F73" t="n">
        <x:f>INDEX(Model_TestVersion_Stats!$O:$O,C73)</x:f>
        <x:v>1.82</x:v>
      </x:c>
      <x:c r="G73" t="str">
        <x:f>IF(INDEX(Model_TestVersion_Stats!$R:$R,C73)="","",INDEX(Model_TestVersion_Stats!$R:$R,C73)/60)</x:f>
      </x:c>
      <x:c r="H73" t="n">
        <x:f>IF(E73="","",E73-(D73-1))</x:f>
        <x:v>-25</x:v>
      </x:c>
      <x:c r="I73" t="n">
        <x:f>IF(H73&gt;0,1,0)</x:f>
        <x:v>0</x:v>
      </x:c>
      <x:c r="J73" t="str">
        <x:f>IF(OR(I73=0,F73="",F73=0),"",H73/F73)</x:f>
      </x:c>
      <x:c r="K73" t="str">
        <x:f>IF(OR(I73=0,H73=0,F73=""),"",F73/H73)</x:f>
      </x:c>
      <x:c r="L73" t="str">
        <x:f>IF(OR(I73=0,F73="",G73="",F73=0,G73=0),"",H73/(F73*G73))</x:f>
      </x:c>
      <x:c r="M73" t="str">
        <x:f>IF(J73="","",J73/_xlfn.MAXIFS($J:$J,$D:$D,D73))</x:f>
      </x:c>
      <x:c r="N73" t="str">
        <x:f>IF(L73="","",L73/_xlfn.MAXIFS($L:$L,$D:$D,D73))</x:f>
      </x:c>
      <x:c r="O73" t="str">
        <x:f>IF(OR(M73="",N73=""),"",SQRT(M73*N73))</x:f>
      </x:c>
      <x:c r="P73" t="str">
        <x:f>IF(OR(M73="",N73=""),"",M73^0.7*N73^0.3)</x:f>
      </x:c>
      <x:c r="Q73" t="str">
        <x:f>IF(OR(M73="",N73=""),"",M73^0.3*N73^0.7)</x:f>
      </x:c>
    </x:row>
    <x:row r="74">
      <x:c r="A74" t="inlineStr">
        <x:is>
          <x:t xml:space="preserve">anthropic|claude-opus-5.5|low|reasoning|fallback-true</x:t>
        </x:is>
      </x:c>
      <x:c r="B74" t="inlineStr">
        <x:is>
          <x:t xml:space="preserve">AA|v4.3.2</x:t>
        </x:is>
      </x:c>
      <x:c r="C74" t="n">
        <x:v>11</x:v>
      </x:c>
      <x:c r="D74" t="n">
        <x:v>20</x:v>
      </x:c>
      <x:c r="E74" t="n">
        <x:f>INDEX(Model_TestVersion_Stats!$W:$W,C74)</x:f>
        <x:v>42</x:v>
      </x:c>
      <x:c r="F74" t="n">
        <x:f>INDEX(Model_TestVersion_Stats!$O:$O,C74)</x:f>
        <x:v>0.55</x:v>
      </x:c>
      <x:c r="G74" t="str">
        <x:f>IF(INDEX(Model_TestVersion_Stats!$R:$R,C74)="","",INDEX(Model_TestVersion_Stats!$R:$R,C74)/60)</x:f>
      </x:c>
      <x:c r="H74" t="n">
        <x:f>IF(E74="","",E74-(D74-1))</x:f>
        <x:v>23</x:v>
      </x:c>
      <x:c r="I74" t="n">
        <x:f>IF(H74&gt;0,1,0)</x:f>
        <x:v>1</x:v>
      </x:c>
      <x:c r="J74" t="n">
        <x:f>IF(OR(I74=0,F74="",F74=0),"",H74/F74)</x:f>
        <x:v>41.81818181818181</x:v>
      </x:c>
      <x:c r="K74" t="n">
        <x:f>IF(OR(I74=0,H74=0,F74=""),"",F74/H74)</x:f>
        <x:v>0.02391304347826087</x:v>
      </x:c>
      <x:c r="L74" t="str">
        <x:f>IF(OR(I74=0,F74="",G74="",F74=0,G74=0),"",H74/(F74*G74))</x:f>
      </x:c>
      <x:c r="M74" t="n">
        <x:f>IF(J74="","",J74/_xlfn.MAXIFS($J:$J,$D:$D,D74))</x:f>
        <x:v>0.07527272727272727</x:v>
      </x:c>
      <x:c r="N74" t="str">
        <x:f>IF(L74="","",L74/_xlfn.MAXIFS($L:$L,$D:$D,D74))</x:f>
      </x:c>
      <x:c r="O74" t="str">
        <x:f>IF(OR(M74="",N74=""),"",SQRT(M74*N74))</x:f>
      </x:c>
      <x:c r="P74" t="str">
        <x:f>IF(OR(M74="",N74=""),"",M74^0.7*N74^0.3)</x:f>
      </x:c>
      <x:c r="Q74" t="str">
        <x:f>IF(OR(M74="",N74=""),"",M74^0.3*N74^0.7)</x:f>
      </x:c>
    </x:row>
    <x:row r="75">
      <x:c r="A75" t="inlineStr">
        <x:is>
          <x:t xml:space="preserve">anthropic|claude-opus-5.5|low|reasoning|fallback-true</x:t>
        </x:is>
      </x:c>
      <x:c r="B75" t="inlineStr">
        <x:is>
          <x:t xml:space="preserve">AA|v4.3.2</x:t>
        </x:is>
      </x:c>
      <x:c r="C75" t="n">
        <x:v>11</x:v>
      </x:c>
      <x:c r="D75" t="n">
        <x:v>30</x:v>
      </x:c>
      <x:c r="E75" t="n">
        <x:f>INDEX(Model_TestVersion_Stats!$W:$W,C75)</x:f>
        <x:v>42</x:v>
      </x:c>
      <x:c r="F75" t="n">
        <x:f>INDEX(Model_TestVersion_Stats!$O:$O,C75)</x:f>
        <x:v>0.55</x:v>
      </x:c>
      <x:c r="G75" t="str">
        <x:f>IF(INDEX(Model_TestVersion_Stats!$R:$R,C75)="","",INDEX(Model_TestVersion_Stats!$R:$R,C75)/60)</x:f>
      </x:c>
      <x:c r="H75" t="n">
        <x:f>IF(E75="","",E75-(D75-1))</x:f>
        <x:v>13</x:v>
      </x:c>
      <x:c r="I75" t="n">
        <x:f>IF(H75&gt;0,1,0)</x:f>
        <x:v>1</x:v>
      </x:c>
      <x:c r="J75" t="n">
        <x:f>IF(OR(I75=0,F75="",F75=0),"",H75/F75)</x:f>
        <x:v>23.636363636363633</x:v>
      </x:c>
      <x:c r="K75" t="n">
        <x:f>IF(OR(I75=0,H75=0,F75=""),"",F75/H75)</x:f>
        <x:v>0.04230769230769231</x:v>
      </x:c>
      <x:c r="L75" t="str">
        <x:f>IF(OR(I75=0,F75="",G75="",F75=0,G75=0),"",H75/(F75*G75))</x:f>
      </x:c>
      <x:c r="M75" t="n">
        <x:f>IF(J75="","",J75/_xlfn.MAXIFS($J:$J,$D:$D,D75))</x:f>
        <x:v>0.15757575757575756</x:v>
      </x:c>
      <x:c r="N75" t="str">
        <x:f>IF(L75="","",L75/_xlfn.MAXIFS($L:$L,$D:$D,D75))</x:f>
      </x:c>
      <x:c r="O75" t="str">
        <x:f>IF(OR(M75="",N75=""),"",SQRT(M75*N75))</x:f>
      </x:c>
      <x:c r="P75" t="str">
        <x:f>IF(OR(M75="",N75=""),"",M75^0.7*N75^0.3)</x:f>
      </x:c>
      <x:c r="Q75" t="str">
        <x:f>IF(OR(M75="",N75=""),"",M75^0.3*N75^0.7)</x:f>
      </x:c>
    </x:row>
    <x:row r="76">
      <x:c r="A76" t="inlineStr">
        <x:is>
          <x:t xml:space="preserve">anthropic|claude-opus-5.5|low|reasoning|fallback-true</x:t>
        </x:is>
      </x:c>
      <x:c r="B76" t="inlineStr">
        <x:is>
          <x:t xml:space="preserve">AA|v4.3.2</x:t>
        </x:is>
      </x:c>
      <x:c r="C76" t="n">
        <x:v>11</x:v>
      </x:c>
      <x:c r="D76" t="n">
        <x:v>40</x:v>
      </x:c>
      <x:c r="E76" t="n">
        <x:f>INDEX(Model_TestVersion_Stats!$W:$W,C76)</x:f>
        <x:v>42</x:v>
      </x:c>
      <x:c r="F76" t="n">
        <x:f>INDEX(Model_TestVersion_Stats!$O:$O,C76)</x:f>
        <x:v>0.55</x:v>
      </x:c>
      <x:c r="G76" t="str">
        <x:f>IF(INDEX(Model_TestVersion_Stats!$R:$R,C76)="","",INDEX(Model_TestVersion_Stats!$R:$R,C76)/60)</x:f>
      </x:c>
      <x:c r="H76" t="n">
        <x:f>IF(E76="","",E76-(D76-1))</x:f>
        <x:v>3</x:v>
      </x:c>
      <x:c r="I76" t="n">
        <x:f>IF(H76&gt;0,1,0)</x:f>
        <x:v>1</x:v>
      </x:c>
      <x:c r="J76" t="n">
        <x:f>IF(OR(I76=0,F76="",F76=0),"",H76/F76)</x:f>
        <x:v>5.454545454545454</x:v>
      </x:c>
      <x:c r="K76" t="n">
        <x:f>IF(OR(I76=0,H76=0,F76=""),"",F76/H76)</x:f>
        <x:v>0.18333333333333335</x:v>
      </x:c>
      <x:c r="L76" t="str">
        <x:f>IF(OR(I76=0,F76="",G76="",F76=0,G76=0),"",H76/(F76*G76))</x:f>
      </x:c>
      <x:c r="M76" t="n">
        <x:f>IF(J76="","",J76/_xlfn.MAXIFS($J:$J,$D:$D,D76))</x:f>
        <x:v>0.10129870129870129</x:v>
      </x:c>
      <x:c r="N76" t="str">
        <x:f>IF(L76="","",L76/_xlfn.MAXIFS($L:$L,$D:$D,D76))</x:f>
      </x:c>
      <x:c r="O76" t="str">
        <x:f>IF(OR(M76="",N76=""),"",SQRT(M76*N76))</x:f>
      </x:c>
      <x:c r="P76" t="str">
        <x:f>IF(OR(M76="",N76=""),"",M76^0.7*N76^0.3)</x:f>
      </x:c>
      <x:c r="Q76" t="str">
        <x:f>IF(OR(M76="",N76=""),"",M76^0.3*N76^0.7)</x:f>
      </x:c>
    </x:row>
    <x:row r="77">
      <x:c r="A77" t="inlineStr">
        <x:is>
          <x:t xml:space="preserve">anthropic|claude-opus-5.5|low|reasoning|fallback-true</x:t>
        </x:is>
      </x:c>
      <x:c r="B77" t="inlineStr">
        <x:is>
          <x:t xml:space="preserve">AA|v4.3.2</x:t>
        </x:is>
      </x:c>
      <x:c r="C77" t="n">
        <x:v>11</x:v>
      </x:c>
      <x:c r="D77" t="n">
        <x:v>45</x:v>
      </x:c>
      <x:c r="E77" t="n">
        <x:f>INDEX(Model_TestVersion_Stats!$W:$W,C77)</x:f>
        <x:v>42</x:v>
      </x:c>
      <x:c r="F77" t="n">
        <x:f>INDEX(Model_TestVersion_Stats!$O:$O,C77)</x:f>
        <x:v>0.55</x:v>
      </x:c>
      <x:c r="G77" t="str">
        <x:f>IF(INDEX(Model_TestVersion_Stats!$R:$R,C77)="","",INDEX(Model_TestVersion_Stats!$R:$R,C77)/60)</x:f>
      </x:c>
      <x:c r="H77" t="n">
        <x:f>IF(E77="","",E77-(D77-1))</x:f>
        <x:v>-2</x:v>
      </x:c>
      <x:c r="I77" t="n">
        <x:f>IF(H77&gt;0,1,0)</x:f>
        <x:v>0</x:v>
      </x:c>
      <x:c r="J77" t="str">
        <x:f>IF(OR(I77=0,F77="",F77=0),"",H77/F77)</x:f>
      </x:c>
      <x:c r="K77" t="str">
        <x:f>IF(OR(I77=0,H77=0,F77=""),"",F77/H77)</x:f>
      </x:c>
      <x:c r="L77" t="str">
        <x:f>IF(OR(I77=0,F77="",G77="",F77=0,G77=0),"",H77/(F77*G77))</x:f>
      </x:c>
      <x:c r="M77" t="str">
        <x:f>IF(J77="","",J77/_xlfn.MAXIFS($J:$J,$D:$D,D77))</x:f>
      </x:c>
      <x:c r="N77" t="str">
        <x:f>IF(L77="","",L77/_xlfn.MAXIFS($L:$L,$D:$D,D77))</x:f>
      </x:c>
      <x:c r="O77" t="str">
        <x:f>IF(OR(M77="",N77=""),"",SQRT(M77*N77))</x:f>
      </x:c>
      <x:c r="P77" t="str">
        <x:f>IF(OR(M77="",N77=""),"",M77^0.7*N77^0.3)</x:f>
      </x:c>
      <x:c r="Q77" t="str">
        <x:f>IF(OR(M77="",N77=""),"",M77^0.3*N77^0.7)</x:f>
      </x:c>
    </x:row>
    <x:row r="78">
      <x:c r="A78" t="inlineStr">
        <x:is>
          <x:t xml:space="preserve">anthropic|claude-opus-5.5|low|reasoning|fallback-true</x:t>
        </x:is>
      </x:c>
      <x:c r="B78" t="inlineStr">
        <x:is>
          <x:t xml:space="preserve">AA|v4.3.2</x:t>
        </x:is>
      </x:c>
      <x:c r="C78" t="n">
        <x:v>11</x:v>
      </x:c>
      <x:c r="D78" t="n">
        <x:v>50</x:v>
      </x:c>
      <x:c r="E78" t="n">
        <x:f>INDEX(Model_TestVersion_Stats!$W:$W,C78)</x:f>
        <x:v>42</x:v>
      </x:c>
      <x:c r="F78" t="n">
        <x:f>INDEX(Model_TestVersion_Stats!$O:$O,C78)</x:f>
        <x:v>0.55</x:v>
      </x:c>
      <x:c r="G78" t="str">
        <x:f>IF(INDEX(Model_TestVersion_Stats!$R:$R,C78)="","",INDEX(Model_TestVersion_Stats!$R:$R,C78)/60)</x:f>
      </x:c>
      <x:c r="H78" t="n">
        <x:f>IF(E78="","",E78-(D78-1))</x:f>
        <x:v>-7</x:v>
      </x:c>
      <x:c r="I78" t="n">
        <x:f>IF(H78&gt;0,1,0)</x:f>
        <x:v>0</x:v>
      </x:c>
      <x:c r="J78" t="str">
        <x:f>IF(OR(I78=0,F78="",F78=0),"",H78/F78)</x:f>
      </x:c>
      <x:c r="K78" t="str">
        <x:f>IF(OR(I78=0,H78=0,F78=""),"",F78/H78)</x:f>
      </x:c>
      <x:c r="L78" t="str">
        <x:f>IF(OR(I78=0,F78="",G78="",F78=0,G78=0),"",H78/(F78*G78))</x:f>
      </x:c>
      <x:c r="M78" t="str">
        <x:f>IF(J78="","",J78/_xlfn.MAXIFS($J:$J,$D:$D,D78))</x:f>
      </x:c>
      <x:c r="N78" t="str">
        <x:f>IF(L78="","",L78/_xlfn.MAXIFS($L:$L,$D:$D,D78))</x:f>
      </x:c>
      <x:c r="O78" t="str">
        <x:f>IF(OR(M78="",N78=""),"",SQRT(M78*N78))</x:f>
      </x:c>
      <x:c r="P78" t="str">
        <x:f>IF(OR(M78="",N78=""),"",M78^0.7*N78^0.3)</x:f>
      </x:c>
      <x:c r="Q78" t="str">
        <x:f>IF(OR(M78="",N78=""),"",M78^0.3*N78^0.7)</x:f>
      </x:c>
    </x:row>
    <x:row r="79">
      <x:c r="A79" t="inlineStr">
        <x:is>
          <x:t xml:space="preserve">anthropic|claude-opus-5.5|low|reasoning|fallback-true</x:t>
        </x:is>
      </x:c>
      <x:c r="B79" t="inlineStr">
        <x:is>
          <x:t xml:space="preserve">AA|v4.3.2</x:t>
        </x:is>
      </x:c>
      <x:c r="C79" t="n">
        <x:v>11</x:v>
      </x:c>
      <x:c r="D79" t="n">
        <x:v>52</x:v>
      </x:c>
      <x:c r="E79" t="n">
        <x:f>INDEX(Model_TestVersion_Stats!$W:$W,C79)</x:f>
        <x:v>42</x:v>
      </x:c>
      <x:c r="F79" t="n">
        <x:f>INDEX(Model_TestVersion_Stats!$O:$O,C79)</x:f>
        <x:v>0.55</x:v>
      </x:c>
      <x:c r="G79" t="str">
        <x:f>IF(INDEX(Model_TestVersion_Stats!$R:$R,C79)="","",INDEX(Model_TestVersion_Stats!$R:$R,C79)/60)</x:f>
      </x:c>
      <x:c r="H79" t="n">
        <x:f>IF(E79="","",E79-(D79-1))</x:f>
        <x:v>-9</x:v>
      </x:c>
      <x:c r="I79" t="n">
        <x:f>IF(H79&gt;0,1,0)</x:f>
        <x:v>0</x:v>
      </x:c>
      <x:c r="J79" t="str">
        <x:f>IF(OR(I79=0,F79="",F79=0),"",H79/F79)</x:f>
      </x:c>
      <x:c r="K79" t="str">
        <x:f>IF(OR(I79=0,H79=0,F79=""),"",F79/H79)</x:f>
      </x:c>
      <x:c r="L79" t="str">
        <x:f>IF(OR(I79=0,F79="",G79="",F79=0,G79=0),"",H79/(F79*G79))</x:f>
      </x:c>
      <x:c r="M79" t="str">
        <x:f>IF(J79="","",J79/_xlfn.MAXIFS($J:$J,$D:$D,D79))</x:f>
      </x:c>
      <x:c r="N79" t="str">
        <x:f>IF(L79="","",L79/_xlfn.MAXIFS($L:$L,$D:$D,D79))</x:f>
      </x:c>
      <x:c r="O79" t="str">
        <x:f>IF(OR(M79="",N79=""),"",SQRT(M79*N79))</x:f>
      </x:c>
      <x:c r="P79" t="str">
        <x:f>IF(OR(M79="",N79=""),"",M79^0.7*N79^0.3)</x:f>
      </x:c>
      <x:c r="Q79" t="str">
        <x:f>IF(OR(M79="",N79=""),"",M79^0.3*N79^0.7)</x:f>
      </x:c>
    </x:row>
    <x:row r="80">
      <x:c r="A80" t="inlineStr">
        <x:is>
          <x:t xml:space="preserve">anthropic|claude-opus-5.5|low|reasoning|fallback-true</x:t>
        </x:is>
      </x:c>
      <x:c r="B80" t="inlineStr">
        <x:is>
          <x:t xml:space="preserve">AA|v4.3.2</x:t>
        </x:is>
      </x:c>
      <x:c r="C80" t="n">
        <x:v>11</x:v>
      </x:c>
      <x:c r="D80" t="n">
        <x:v>65</x:v>
      </x:c>
      <x:c r="E80" t="n">
        <x:f>INDEX(Model_TestVersion_Stats!$W:$W,C80)</x:f>
        <x:v>42</x:v>
      </x:c>
      <x:c r="F80" t="n">
        <x:f>INDEX(Model_TestVersion_Stats!$O:$O,C80)</x:f>
        <x:v>0.55</x:v>
      </x:c>
      <x:c r="G80" t="str">
        <x:f>IF(INDEX(Model_TestVersion_Stats!$R:$R,C80)="","",INDEX(Model_TestVersion_Stats!$R:$R,C80)/60)</x:f>
      </x:c>
      <x:c r="H80" t="n">
        <x:f>IF(E80="","",E80-(D80-1))</x:f>
        <x:v>-22</x:v>
      </x:c>
      <x:c r="I80" t="n">
        <x:f>IF(H80&gt;0,1,0)</x:f>
        <x:v>0</x:v>
      </x:c>
      <x:c r="J80" t="str">
        <x:f>IF(OR(I80=0,F80="",F80=0),"",H80/F80)</x:f>
      </x:c>
      <x:c r="K80" t="str">
        <x:f>IF(OR(I80=0,H80=0,F80=""),"",F80/H80)</x:f>
      </x:c>
      <x:c r="L80" t="str">
        <x:f>IF(OR(I80=0,F80="",G80="",F80=0,G80=0),"",H80/(F80*G80))</x:f>
      </x:c>
      <x:c r="M80" t="str">
        <x:f>IF(J80="","",J80/_xlfn.MAXIFS($J:$J,$D:$D,D80))</x:f>
      </x:c>
      <x:c r="N80" t="str">
        <x:f>IF(L80="","",L80/_xlfn.MAXIFS($L:$L,$D:$D,D80))</x:f>
      </x:c>
      <x:c r="O80" t="str">
        <x:f>IF(OR(M80="",N80=""),"",SQRT(M80*N80))</x:f>
      </x:c>
      <x:c r="P80" t="str">
        <x:f>IF(OR(M80="",N80=""),"",M80^0.7*N80^0.3)</x:f>
      </x:c>
      <x:c r="Q80" t="str">
        <x:f>IF(OR(M80="",N80=""),"",M80^0.3*N80^0.7)</x:f>
      </x:c>
    </x:row>
    <x:row r="81">
      <x:c r="A81" t="inlineStr">
        <x:is>
          <x:t xml:space="preserve">anthropic|claude-opus-5.5|low|reasoning|fallback-true</x:t>
        </x:is>
      </x:c>
      <x:c r="B81" t="inlineStr">
        <x:is>
          <x:t xml:space="preserve">AA|v4.3.2</x:t>
        </x:is>
      </x:c>
      <x:c r="C81" t="n">
        <x:v>11</x:v>
      </x:c>
      <x:c r="D81" t="n">
        <x:v>80</x:v>
      </x:c>
      <x:c r="E81" t="n">
        <x:f>INDEX(Model_TestVersion_Stats!$W:$W,C81)</x:f>
        <x:v>42</x:v>
      </x:c>
      <x:c r="F81" t="n">
        <x:f>INDEX(Model_TestVersion_Stats!$O:$O,C81)</x:f>
        <x:v>0.55</x:v>
      </x:c>
      <x:c r="G81" t="str">
        <x:f>IF(INDEX(Model_TestVersion_Stats!$R:$R,C81)="","",INDEX(Model_TestVersion_Stats!$R:$R,C81)/60)</x:f>
      </x:c>
      <x:c r="H81" t="n">
        <x:f>IF(E81="","",E81-(D81-1))</x:f>
        <x:v>-37</x:v>
      </x:c>
      <x:c r="I81" t="n">
        <x:f>IF(H81&gt;0,1,0)</x:f>
        <x:v>0</x:v>
      </x:c>
      <x:c r="J81" t="str">
        <x:f>IF(OR(I81=0,F81="",F81=0),"",H81/F81)</x:f>
      </x:c>
      <x:c r="K81" t="str">
        <x:f>IF(OR(I81=0,H81=0,F81=""),"",F81/H81)</x:f>
      </x:c>
      <x:c r="L81" t="str">
        <x:f>IF(OR(I81=0,F81="",G81="",F81=0,G81=0),"",H81/(F81*G81))</x:f>
      </x:c>
      <x:c r="M81" t="str">
        <x:f>IF(J81="","",J81/_xlfn.MAXIFS($J:$J,$D:$D,D81))</x:f>
      </x:c>
      <x:c r="N81" t="str">
        <x:f>IF(L81="","",L81/_xlfn.MAXIFS($L:$L,$D:$D,D81))</x:f>
      </x:c>
      <x:c r="O81" t="str">
        <x:f>IF(OR(M81="",N81=""),"",SQRT(M81*N81))</x:f>
      </x:c>
      <x:c r="P81" t="str">
        <x:f>IF(OR(M81="",N81=""),"",M81^0.7*N81^0.3)</x:f>
      </x:c>
      <x:c r="Q81" t="str">
        <x:f>IF(OR(M81="",N81=""),"",M81^0.3*N81^0.7)</x:f>
      </x:c>
    </x:row>
    <x:row r="82">
      <x:c r="A82" t="inlineStr">
        <x:is>
          <x:t xml:space="preserve">anthropic|claude-opus-5.5|max|reasoning|fallback-true</x:t>
        </x:is>
      </x:c>
      <x:c r="B82" t="inlineStr">
        <x:is>
          <x:t xml:space="preserve">AA|v4.3.2</x:t>
        </x:is>
      </x:c>
      <x:c r="C82" t="n">
        <x:v>12</x:v>
      </x:c>
      <x:c r="D82" t="n">
        <x:v>20</x:v>
      </x:c>
      <x:c r="E82" t="n">
        <x:f>INDEX(Model_TestVersion_Stats!$W:$W,C82)</x:f>
        <x:v>58</x:v>
      </x:c>
      <x:c r="F82" t="n">
        <x:f>INDEX(Model_TestVersion_Stats!$O:$O,C82)</x:f>
        <x:v>5.98</x:v>
      </x:c>
      <x:c r="G82" t="str">
        <x:f>IF(INDEX(Model_TestVersion_Stats!$R:$R,C82)="","",INDEX(Model_TestVersion_Stats!$R:$R,C82)/60)</x:f>
      </x:c>
      <x:c r="H82" t="n">
        <x:f>IF(E82="","",E82-(D82-1))</x:f>
        <x:v>39</x:v>
      </x:c>
      <x:c r="I82" t="n">
        <x:f>IF(H82&gt;0,1,0)</x:f>
        <x:v>1</x:v>
      </x:c>
      <x:c r="J82" t="n">
        <x:f>IF(OR(I82=0,F82="",F82=0),"",H82/F82)</x:f>
        <x:v>6.521739130434782</x:v>
      </x:c>
      <x:c r="K82" t="n">
        <x:f>IF(OR(I82=0,H82=0,F82=""),"",F82/H82)</x:f>
        <x:v>0.15333333333333335</x:v>
      </x:c>
      <x:c r="L82" t="str">
        <x:f>IF(OR(I82=0,F82="",G82="",F82=0,G82=0),"",H82/(F82*G82))</x:f>
      </x:c>
      <x:c r="M82" t="n">
        <x:f>IF(J82="","",J82/_xlfn.MAXIFS($J:$J,$D:$D,D82))</x:f>
        <x:v>0.011739130434782608</x:v>
      </x:c>
      <x:c r="N82" t="str">
        <x:f>IF(L82="","",L82/_xlfn.MAXIFS($L:$L,$D:$D,D82))</x:f>
      </x:c>
      <x:c r="O82" t="str">
        <x:f>IF(OR(M82="",N82=""),"",SQRT(M82*N82))</x:f>
      </x:c>
      <x:c r="P82" t="str">
        <x:f>IF(OR(M82="",N82=""),"",M82^0.7*N82^0.3)</x:f>
      </x:c>
      <x:c r="Q82" t="str">
        <x:f>IF(OR(M82="",N82=""),"",M82^0.3*N82^0.7)</x:f>
      </x:c>
    </x:row>
    <x:row r="83">
      <x:c r="A83" t="inlineStr">
        <x:is>
          <x:t xml:space="preserve">anthropic|claude-opus-5.5|max|reasoning|fallback-true</x:t>
        </x:is>
      </x:c>
      <x:c r="B83" t="inlineStr">
        <x:is>
          <x:t xml:space="preserve">AA|v4.3.2</x:t>
        </x:is>
      </x:c>
      <x:c r="C83" t="n">
        <x:v>12</x:v>
      </x:c>
      <x:c r="D83" t="n">
        <x:v>30</x:v>
      </x:c>
      <x:c r="E83" t="n">
        <x:f>INDEX(Model_TestVersion_Stats!$W:$W,C83)</x:f>
        <x:v>58</x:v>
      </x:c>
      <x:c r="F83" t="n">
        <x:f>INDEX(Model_TestVersion_Stats!$O:$O,C83)</x:f>
        <x:v>5.98</x:v>
      </x:c>
      <x:c r="G83" t="str">
        <x:f>IF(INDEX(Model_TestVersion_Stats!$R:$R,C83)="","",INDEX(Model_TestVersion_Stats!$R:$R,C83)/60)</x:f>
      </x:c>
      <x:c r="H83" t="n">
        <x:f>IF(E83="","",E83-(D83-1))</x:f>
        <x:v>29</x:v>
      </x:c>
      <x:c r="I83" t="n">
        <x:f>IF(H83&gt;0,1,0)</x:f>
        <x:v>1</x:v>
      </x:c>
      <x:c r="J83" t="n">
        <x:f>IF(OR(I83=0,F83="",F83=0),"",H83/F83)</x:f>
        <x:v>4.849498327759197</x:v>
      </x:c>
      <x:c r="K83" t="n">
        <x:f>IF(OR(I83=0,H83=0,F83=""),"",F83/H83)</x:f>
        <x:v>0.20620689655172414</x:v>
      </x:c>
      <x:c r="L83" t="str">
        <x:f>IF(OR(I83=0,F83="",G83="",F83=0,G83=0),"",H83/(F83*G83))</x:f>
      </x:c>
      <x:c r="M83" t="n">
        <x:f>IF(J83="","",J83/_xlfn.MAXIFS($J:$J,$D:$D,D83))</x:f>
        <x:v>0.032329988851727984</x:v>
      </x:c>
      <x:c r="N83" t="str">
        <x:f>IF(L83="","",L83/_xlfn.MAXIFS($L:$L,$D:$D,D83))</x:f>
      </x:c>
      <x:c r="O83" t="str">
        <x:f>IF(OR(M83="",N83=""),"",SQRT(M83*N83))</x:f>
      </x:c>
      <x:c r="P83" t="str">
        <x:f>IF(OR(M83="",N83=""),"",M83^0.7*N83^0.3)</x:f>
      </x:c>
      <x:c r="Q83" t="str">
        <x:f>IF(OR(M83="",N83=""),"",M83^0.3*N83^0.7)</x:f>
      </x:c>
    </x:row>
    <x:row r="84">
      <x:c r="A84" t="inlineStr">
        <x:is>
          <x:t xml:space="preserve">anthropic|claude-opus-5.5|max|reasoning|fallback-true</x:t>
        </x:is>
      </x:c>
      <x:c r="B84" t="inlineStr">
        <x:is>
          <x:t xml:space="preserve">AA|v4.3.2</x:t>
        </x:is>
      </x:c>
      <x:c r="C84" t="n">
        <x:v>12</x:v>
      </x:c>
      <x:c r="D84" t="n">
        <x:v>40</x:v>
      </x:c>
      <x:c r="E84" t="n">
        <x:f>INDEX(Model_TestVersion_Stats!$W:$W,C84)</x:f>
        <x:v>58</x:v>
      </x:c>
      <x:c r="F84" t="n">
        <x:f>INDEX(Model_TestVersion_Stats!$O:$O,C84)</x:f>
        <x:v>5.98</x:v>
      </x:c>
      <x:c r="G84" t="str">
        <x:f>IF(INDEX(Model_TestVersion_Stats!$R:$R,C84)="","",INDEX(Model_TestVersion_Stats!$R:$R,C84)/60)</x:f>
      </x:c>
      <x:c r="H84" t="n">
        <x:f>IF(E84="","",E84-(D84-1))</x:f>
        <x:v>19</x:v>
      </x:c>
      <x:c r="I84" t="n">
        <x:f>IF(H84&gt;0,1,0)</x:f>
        <x:v>1</x:v>
      </x:c>
      <x:c r="J84" t="n">
        <x:f>IF(OR(I84=0,F84="",F84=0),"",H84/F84)</x:f>
        <x:v>3.1772575250836117</x:v>
      </x:c>
      <x:c r="K84" t="n">
        <x:f>IF(OR(I84=0,H84=0,F84=""),"",F84/H84)</x:f>
        <x:v>0.3147368421052632</x:v>
      </x:c>
      <x:c r="L84" t="str">
        <x:f>IF(OR(I84=0,F84="",G84="",F84=0,G84=0),"",H84/(F84*G84))</x:f>
      </x:c>
      <x:c r="M84" t="n">
        <x:f>IF(J84="","",J84/_xlfn.MAXIFS($J:$J,$D:$D,D84))</x:f>
        <x:v>0.05900621118012422</x:v>
      </x:c>
      <x:c r="N84" t="str">
        <x:f>IF(L84="","",L84/_xlfn.MAXIFS($L:$L,$D:$D,D84))</x:f>
      </x:c>
      <x:c r="O84" t="str">
        <x:f>IF(OR(M84="",N84=""),"",SQRT(M84*N84))</x:f>
      </x:c>
      <x:c r="P84" t="str">
        <x:f>IF(OR(M84="",N84=""),"",M84^0.7*N84^0.3)</x:f>
      </x:c>
      <x:c r="Q84" t="str">
        <x:f>IF(OR(M84="",N84=""),"",M84^0.3*N84^0.7)</x:f>
      </x:c>
    </x:row>
    <x:row r="85">
      <x:c r="A85" t="inlineStr">
        <x:is>
          <x:t xml:space="preserve">anthropic|claude-opus-5.5|max|reasoning|fallback-true</x:t>
        </x:is>
      </x:c>
      <x:c r="B85" t="inlineStr">
        <x:is>
          <x:t xml:space="preserve">AA|v4.3.2</x:t>
        </x:is>
      </x:c>
      <x:c r="C85" t="n">
        <x:v>12</x:v>
      </x:c>
      <x:c r="D85" t="n">
        <x:v>45</x:v>
      </x:c>
      <x:c r="E85" t="n">
        <x:f>INDEX(Model_TestVersion_Stats!$W:$W,C85)</x:f>
        <x:v>58</x:v>
      </x:c>
      <x:c r="F85" t="n">
        <x:f>INDEX(Model_TestVersion_Stats!$O:$O,C85)</x:f>
        <x:v>5.98</x:v>
      </x:c>
      <x:c r="G85" t="str">
        <x:f>IF(INDEX(Model_TestVersion_Stats!$R:$R,C85)="","",INDEX(Model_TestVersion_Stats!$R:$R,C85)/60)</x:f>
      </x:c>
      <x:c r="H85" t="n">
        <x:f>IF(E85="","",E85-(D85-1))</x:f>
        <x:v>14</x:v>
      </x:c>
      <x:c r="I85" t="n">
        <x:f>IF(H85&gt;0,1,0)</x:f>
        <x:v>1</x:v>
      </x:c>
      <x:c r="J85" t="n">
        <x:f>IF(OR(I85=0,F85="",F85=0),"",H85/F85)</x:f>
        <x:v>2.341137123745819</x:v>
      </x:c>
      <x:c r="K85" t="n">
        <x:f>IF(OR(I85=0,H85=0,F85=""),"",F85/H85)</x:f>
        <x:v>0.42714285714285716</x:v>
      </x:c>
      <x:c r="L85" t="str">
        <x:f>IF(OR(I85=0,F85="",G85="",F85=0,G85=0),"",H85/(F85*G85))</x:f>
      </x:c>
      <x:c r="M85" t="n">
        <x:f>IF(J85="","",J85/_xlfn.MAXIFS($J:$J,$D:$D,D85))</x:f>
        <x:v>0.1229096989966555</x:v>
      </x:c>
      <x:c r="N85" t="str">
        <x:f>IF(L85="","",L85/_xlfn.MAXIFS($L:$L,$D:$D,D85))</x:f>
      </x:c>
      <x:c r="O85" t="str">
        <x:f>IF(OR(M85="",N85=""),"",SQRT(M85*N85))</x:f>
      </x:c>
      <x:c r="P85" t="str">
        <x:f>IF(OR(M85="",N85=""),"",M85^0.7*N85^0.3)</x:f>
      </x:c>
      <x:c r="Q85" t="str">
        <x:f>IF(OR(M85="",N85=""),"",M85^0.3*N85^0.7)</x:f>
      </x:c>
    </x:row>
    <x:row r="86">
      <x:c r="A86" t="inlineStr">
        <x:is>
          <x:t xml:space="preserve">anthropic|claude-opus-5.5|max|reasoning|fallback-true</x:t>
        </x:is>
      </x:c>
      <x:c r="B86" t="inlineStr">
        <x:is>
          <x:t xml:space="preserve">AA|v4.3.2</x:t>
        </x:is>
      </x:c>
      <x:c r="C86" t="n">
        <x:v>12</x:v>
      </x:c>
      <x:c r="D86" t="n">
        <x:v>50</x:v>
      </x:c>
      <x:c r="E86" t="n">
        <x:f>INDEX(Model_TestVersion_Stats!$W:$W,C86)</x:f>
        <x:v>58</x:v>
      </x:c>
      <x:c r="F86" t="n">
        <x:f>INDEX(Model_TestVersion_Stats!$O:$O,C86)</x:f>
        <x:v>5.98</x:v>
      </x:c>
      <x:c r="G86" t="str">
        <x:f>IF(INDEX(Model_TestVersion_Stats!$R:$R,C86)="","",INDEX(Model_TestVersion_Stats!$R:$R,C86)/60)</x:f>
      </x:c>
      <x:c r="H86" t="n">
        <x:f>IF(E86="","",E86-(D86-1))</x:f>
        <x:v>9</x:v>
      </x:c>
      <x:c r="I86" t="n">
        <x:f>IF(H86&gt;0,1,0)</x:f>
        <x:v>1</x:v>
      </x:c>
      <x:c r="J86" t="n">
        <x:f>IF(OR(I86=0,F86="",F86=0),"",H86/F86)</x:f>
        <x:v>1.5050167224080266</x:v>
      </x:c>
      <x:c r="K86" t="n">
        <x:f>IF(OR(I86=0,H86=0,F86=""),"",F86/H86)</x:f>
        <x:v>0.6644444444444445</x:v>
      </x:c>
      <x:c r="L86" t="str">
        <x:f>IF(OR(I86=0,F86="",G86="",F86=0,G86=0),"",H86/(F86*G86))</x:f>
      </x:c>
      <x:c r="M86" t="n">
        <x:f>IF(J86="","",J86/_xlfn.MAXIFS($J:$J,$D:$D,D86))</x:f>
        <x:v>0.29347826086956524</x:v>
      </x:c>
      <x:c r="N86" t="str">
        <x:f>IF(L86="","",L86/_xlfn.MAXIFS($L:$L,$D:$D,D86))</x:f>
      </x:c>
      <x:c r="O86" t="str">
        <x:f>IF(OR(M86="",N86=""),"",SQRT(M86*N86))</x:f>
      </x:c>
      <x:c r="P86" t="str">
        <x:f>IF(OR(M86="",N86=""),"",M86^0.7*N86^0.3)</x:f>
      </x:c>
      <x:c r="Q86" t="str">
        <x:f>IF(OR(M86="",N86=""),"",M86^0.3*N86^0.7)</x:f>
      </x:c>
    </x:row>
    <x:row r="87">
      <x:c r="A87" t="inlineStr">
        <x:is>
          <x:t xml:space="preserve">anthropic|claude-opus-5.5|max|reasoning|fallback-true</x:t>
        </x:is>
      </x:c>
      <x:c r="B87" t="inlineStr">
        <x:is>
          <x:t xml:space="preserve">AA|v4.3.2</x:t>
        </x:is>
      </x:c>
      <x:c r="C87" t="n">
        <x:v>12</x:v>
      </x:c>
      <x:c r="D87" t="n">
        <x:v>52</x:v>
      </x:c>
      <x:c r="E87" t="n">
        <x:f>INDEX(Model_TestVersion_Stats!$W:$W,C87)</x:f>
        <x:v>58</x:v>
      </x:c>
      <x:c r="F87" t="n">
        <x:f>INDEX(Model_TestVersion_Stats!$O:$O,C87)</x:f>
        <x:v>5.98</x:v>
      </x:c>
      <x:c r="G87" t="str">
        <x:f>IF(INDEX(Model_TestVersion_Stats!$R:$R,C87)="","",INDEX(Model_TestVersion_Stats!$R:$R,C87)/60)</x:f>
      </x:c>
      <x:c r="H87" t="n">
        <x:f>IF(E87="","",E87-(D87-1))</x:f>
        <x:v>7</x:v>
      </x:c>
      <x:c r="I87" t="n">
        <x:f>IF(H87&gt;0,1,0)</x:f>
        <x:v>1</x:v>
      </x:c>
      <x:c r="J87" t="n">
        <x:f>IF(OR(I87=0,F87="",F87=0),"",H87/F87)</x:f>
        <x:v>1.1705685618729096</x:v>
      </x:c>
      <x:c r="K87" t="n">
        <x:f>IF(OR(I87=0,H87=0,F87=""),"",F87/H87)</x:f>
        <x:v>0.8542857142857143</x:v>
      </x:c>
      <x:c r="L87" t="str">
        <x:f>IF(OR(I87=0,F87="",G87="",F87=0,G87=0),"",H87/(F87*G87))</x:f>
      </x:c>
      <x:c r="M87" t="n">
        <x:f>IF(J87="","",J87/_xlfn.MAXIFS($J:$J,$D:$D,D87))</x:f>
        <x:v>0.7101449275362318</x:v>
      </x:c>
      <x:c r="N87" t="str">
        <x:f>IF(L87="","",L87/_xlfn.MAXIFS($L:$L,$D:$D,D87))</x:f>
      </x:c>
      <x:c r="O87" t="str">
        <x:f>IF(OR(M87="",N87=""),"",SQRT(M87*N87))</x:f>
      </x:c>
      <x:c r="P87" t="str">
        <x:f>IF(OR(M87="",N87=""),"",M87^0.7*N87^0.3)</x:f>
      </x:c>
      <x:c r="Q87" t="str">
        <x:f>IF(OR(M87="",N87=""),"",M87^0.3*N87^0.7)</x:f>
      </x:c>
    </x:row>
    <x:row r="88">
      <x:c r="A88" t="inlineStr">
        <x:is>
          <x:t xml:space="preserve">anthropic|claude-opus-5.5|max|reasoning|fallback-true</x:t>
        </x:is>
      </x:c>
      <x:c r="B88" t="inlineStr">
        <x:is>
          <x:t xml:space="preserve">AA|v4.3.2</x:t>
        </x:is>
      </x:c>
      <x:c r="C88" t="n">
        <x:v>12</x:v>
      </x:c>
      <x:c r="D88" t="n">
        <x:v>65</x:v>
      </x:c>
      <x:c r="E88" t="n">
        <x:f>INDEX(Model_TestVersion_Stats!$W:$W,C88)</x:f>
        <x:v>58</x:v>
      </x:c>
      <x:c r="F88" t="n">
        <x:f>INDEX(Model_TestVersion_Stats!$O:$O,C88)</x:f>
        <x:v>5.98</x:v>
      </x:c>
      <x:c r="G88" t="str">
        <x:f>IF(INDEX(Model_TestVersion_Stats!$R:$R,C88)="","",INDEX(Model_TestVersion_Stats!$R:$R,C88)/60)</x:f>
      </x:c>
      <x:c r="H88" t="n">
        <x:f>IF(E88="","",E88-(D88-1))</x:f>
        <x:v>-6</x:v>
      </x:c>
      <x:c r="I88" t="n">
        <x:f>IF(H88&gt;0,1,0)</x:f>
        <x:v>0</x:v>
      </x:c>
      <x:c r="J88" t="str">
        <x:f>IF(OR(I88=0,F88="",F88=0),"",H88/F88)</x:f>
      </x:c>
      <x:c r="K88" t="str">
        <x:f>IF(OR(I88=0,H88=0,F88=""),"",F88/H88)</x:f>
      </x:c>
      <x:c r="L88" t="str">
        <x:f>IF(OR(I88=0,F88="",G88="",F88=0,G88=0),"",H88/(F88*G88))</x:f>
      </x:c>
      <x:c r="M88" t="str">
        <x:f>IF(J88="","",J88/_xlfn.MAXIFS($J:$J,$D:$D,D88))</x:f>
      </x:c>
      <x:c r="N88" t="str">
        <x:f>IF(L88="","",L88/_xlfn.MAXIFS($L:$L,$D:$D,D88))</x:f>
      </x:c>
      <x:c r="O88" t="str">
        <x:f>IF(OR(M88="",N88=""),"",SQRT(M88*N88))</x:f>
      </x:c>
      <x:c r="P88" t="str">
        <x:f>IF(OR(M88="",N88=""),"",M88^0.7*N88^0.3)</x:f>
      </x:c>
      <x:c r="Q88" t="str">
        <x:f>IF(OR(M88="",N88=""),"",M88^0.3*N88^0.7)</x:f>
      </x:c>
    </x:row>
    <x:row r="89">
      <x:c r="A89" t="inlineStr">
        <x:is>
          <x:t xml:space="preserve">anthropic|claude-opus-5.5|max|reasoning|fallback-true</x:t>
        </x:is>
      </x:c>
      <x:c r="B89" t="inlineStr">
        <x:is>
          <x:t xml:space="preserve">AA|v4.3.2</x:t>
        </x:is>
      </x:c>
      <x:c r="C89" t="n">
        <x:v>12</x:v>
      </x:c>
      <x:c r="D89" t="n">
        <x:v>80</x:v>
      </x:c>
      <x:c r="E89" t="n">
        <x:f>INDEX(Model_TestVersion_Stats!$W:$W,C89)</x:f>
        <x:v>58</x:v>
      </x:c>
      <x:c r="F89" t="n">
        <x:f>INDEX(Model_TestVersion_Stats!$O:$O,C89)</x:f>
        <x:v>5.98</x:v>
      </x:c>
      <x:c r="G89" t="str">
        <x:f>IF(INDEX(Model_TestVersion_Stats!$R:$R,C89)="","",INDEX(Model_TestVersion_Stats!$R:$R,C89)/60)</x:f>
      </x:c>
      <x:c r="H89" t="n">
        <x:f>IF(E89="","",E89-(D89-1))</x:f>
        <x:v>-21</x:v>
      </x:c>
      <x:c r="I89" t="n">
        <x:f>IF(H89&gt;0,1,0)</x:f>
        <x:v>0</x:v>
      </x:c>
      <x:c r="J89" t="str">
        <x:f>IF(OR(I89=0,F89="",F89=0),"",H89/F89)</x:f>
      </x:c>
      <x:c r="K89" t="str">
        <x:f>IF(OR(I89=0,H89=0,F89=""),"",F89/H89)</x:f>
      </x:c>
      <x:c r="L89" t="str">
        <x:f>IF(OR(I89=0,F89="",G89="",F89=0,G89=0),"",H89/(F89*G89))</x:f>
      </x:c>
      <x:c r="M89" t="str">
        <x:f>IF(J89="","",J89/_xlfn.MAXIFS($J:$J,$D:$D,D89))</x:f>
      </x:c>
      <x:c r="N89" t="str">
        <x:f>IF(L89="","",L89/_xlfn.MAXIFS($L:$L,$D:$D,D89))</x:f>
      </x:c>
      <x:c r="O89" t="str">
        <x:f>IF(OR(M89="",N89=""),"",SQRT(M89*N89))</x:f>
      </x:c>
      <x:c r="P89" t="str">
        <x:f>IF(OR(M89="",N89=""),"",M89^0.7*N89^0.3)</x:f>
      </x:c>
      <x:c r="Q89" t="str">
        <x:f>IF(OR(M89="",N89=""),"",M89^0.3*N89^0.7)</x:f>
      </x:c>
    </x:row>
    <x:row r="90">
      <x:c r="A90" t="inlineStr">
        <x:is>
          <x:t xml:space="preserve">anthropic|claude-opus-5.5|medium|reasoning|fallback-true</x:t>
        </x:is>
      </x:c>
      <x:c r="B90" t="inlineStr">
        <x:is>
          <x:t xml:space="preserve">AA|v4.3.2</x:t>
        </x:is>
      </x:c>
      <x:c r="C90" t="n">
        <x:v>13</x:v>
      </x:c>
      <x:c r="D90" t="n">
        <x:v>20</x:v>
      </x:c>
      <x:c r="E90" t="n">
        <x:f>INDEX(Model_TestVersion_Stats!$W:$W,C90)</x:f>
        <x:v>51</x:v>
      </x:c>
      <x:c r="F90" t="n">
        <x:f>INDEX(Model_TestVersion_Stats!$O:$O,C90)</x:f>
        <x:v>1.34</x:v>
      </x:c>
      <x:c r="G90" t="str">
        <x:f>IF(INDEX(Model_TestVersion_Stats!$R:$R,C90)="","",INDEX(Model_TestVersion_Stats!$R:$R,C90)/60)</x:f>
      </x:c>
      <x:c r="H90" t="n">
        <x:f>IF(E90="","",E90-(D90-1))</x:f>
        <x:v>32</x:v>
      </x:c>
      <x:c r="I90" t="n">
        <x:f>IF(H90&gt;0,1,0)</x:f>
        <x:v>1</x:v>
      </x:c>
      <x:c r="J90" t="n">
        <x:f>IF(OR(I90=0,F90="",F90=0),"",H90/F90)</x:f>
        <x:v>23.88059701492537</x:v>
      </x:c>
      <x:c r="K90" t="n">
        <x:f>IF(OR(I90=0,H90=0,F90=""),"",F90/H90)</x:f>
        <x:v>0.041875</x:v>
      </x:c>
      <x:c r="L90" t="str">
        <x:f>IF(OR(I90=0,F90="",G90="",F90=0,G90=0),"",H90/(F90*G90))</x:f>
      </x:c>
      <x:c r="M90" t="n">
        <x:f>IF(J90="","",J90/_xlfn.MAXIFS($J:$J,$D:$D,D90))</x:f>
        <x:v>0.04298507462686567</x:v>
      </x:c>
      <x:c r="N90" t="str">
        <x:f>IF(L90="","",L90/_xlfn.MAXIFS($L:$L,$D:$D,D90))</x:f>
      </x:c>
      <x:c r="O90" t="str">
        <x:f>IF(OR(M90="",N90=""),"",SQRT(M90*N90))</x:f>
      </x:c>
      <x:c r="P90" t="str">
        <x:f>IF(OR(M90="",N90=""),"",M90^0.7*N90^0.3)</x:f>
      </x:c>
      <x:c r="Q90" t="str">
        <x:f>IF(OR(M90="",N90=""),"",M90^0.3*N90^0.7)</x:f>
      </x:c>
    </x:row>
    <x:row r="91">
      <x:c r="A91" t="inlineStr">
        <x:is>
          <x:t xml:space="preserve">anthropic|claude-opus-5.5|medium|reasoning|fallback-true</x:t>
        </x:is>
      </x:c>
      <x:c r="B91" t="inlineStr">
        <x:is>
          <x:t xml:space="preserve">AA|v4.3.2</x:t>
        </x:is>
      </x:c>
      <x:c r="C91" t="n">
        <x:v>13</x:v>
      </x:c>
      <x:c r="D91" t="n">
        <x:v>30</x:v>
      </x:c>
      <x:c r="E91" t="n">
        <x:f>INDEX(Model_TestVersion_Stats!$W:$W,C91)</x:f>
        <x:v>51</x:v>
      </x:c>
      <x:c r="F91" t="n">
        <x:f>INDEX(Model_TestVersion_Stats!$O:$O,C91)</x:f>
        <x:v>1.34</x:v>
      </x:c>
      <x:c r="G91" t="str">
        <x:f>IF(INDEX(Model_TestVersion_Stats!$R:$R,C91)="","",INDEX(Model_TestVersion_Stats!$R:$R,C91)/60)</x:f>
      </x:c>
      <x:c r="H91" t="n">
        <x:f>IF(E91="","",E91-(D91-1))</x:f>
        <x:v>22</x:v>
      </x:c>
      <x:c r="I91" t="n">
        <x:f>IF(H91&gt;0,1,0)</x:f>
        <x:v>1</x:v>
      </x:c>
      <x:c r="J91" t="n">
        <x:f>IF(OR(I91=0,F91="",F91=0),"",H91/F91)</x:f>
        <x:v>16.417910447761194</x:v>
      </x:c>
      <x:c r="K91" t="n">
        <x:f>IF(OR(I91=0,H91=0,F91=""),"",F91/H91)</x:f>
        <x:v>0.06090909090909091</x:v>
      </x:c>
      <x:c r="L91" t="str">
        <x:f>IF(OR(I91=0,F91="",G91="",F91=0,G91=0),"",H91/(F91*G91))</x:f>
      </x:c>
      <x:c r="M91" t="n">
        <x:f>IF(J91="","",J91/_xlfn.MAXIFS($J:$J,$D:$D,D91))</x:f>
        <x:v>0.10945273631840796</x:v>
      </x:c>
      <x:c r="N91" t="str">
        <x:f>IF(L91="","",L91/_xlfn.MAXIFS($L:$L,$D:$D,D91))</x:f>
      </x:c>
      <x:c r="O91" t="str">
        <x:f>IF(OR(M91="",N91=""),"",SQRT(M91*N91))</x:f>
      </x:c>
      <x:c r="P91" t="str">
        <x:f>IF(OR(M91="",N91=""),"",M91^0.7*N91^0.3)</x:f>
      </x:c>
      <x:c r="Q91" t="str">
        <x:f>IF(OR(M91="",N91=""),"",M91^0.3*N91^0.7)</x:f>
      </x:c>
    </x:row>
    <x:row r="92">
      <x:c r="A92" t="inlineStr">
        <x:is>
          <x:t xml:space="preserve">anthropic|claude-opus-5.5|medium|reasoning|fallback-true</x:t>
        </x:is>
      </x:c>
      <x:c r="B92" t="inlineStr">
        <x:is>
          <x:t xml:space="preserve">AA|v4.3.2</x:t>
        </x:is>
      </x:c>
      <x:c r="C92" t="n">
        <x:v>13</x:v>
      </x:c>
      <x:c r="D92" t="n">
        <x:v>40</x:v>
      </x:c>
      <x:c r="E92" t="n">
        <x:f>INDEX(Model_TestVersion_Stats!$W:$W,C92)</x:f>
        <x:v>51</x:v>
      </x:c>
      <x:c r="F92" t="n">
        <x:f>INDEX(Model_TestVersion_Stats!$O:$O,C92)</x:f>
        <x:v>1.34</x:v>
      </x:c>
      <x:c r="G92" t="str">
        <x:f>IF(INDEX(Model_TestVersion_Stats!$R:$R,C92)="","",INDEX(Model_TestVersion_Stats!$R:$R,C92)/60)</x:f>
      </x:c>
      <x:c r="H92" t="n">
        <x:f>IF(E92="","",E92-(D92-1))</x:f>
        <x:v>12</x:v>
      </x:c>
      <x:c r="I92" t="n">
        <x:f>IF(H92&gt;0,1,0)</x:f>
        <x:v>1</x:v>
      </x:c>
      <x:c r="J92" t="n">
        <x:f>IF(OR(I92=0,F92="",F92=0),"",H92/F92)</x:f>
        <x:v>8.955223880597014</x:v>
      </x:c>
      <x:c r="K92" t="n">
        <x:f>IF(OR(I92=0,H92=0,F92=""),"",F92/H92)</x:f>
        <x:v>0.11166666666666668</x:v>
      </x:c>
      <x:c r="L92" t="str">
        <x:f>IF(OR(I92=0,F92="",G92="",F92=0,G92=0),"",H92/(F92*G92))</x:f>
      </x:c>
      <x:c r="M92" t="n">
        <x:f>IF(J92="","",J92/_xlfn.MAXIFS($J:$J,$D:$D,D92))</x:f>
        <x:v>0.16631130063965882</x:v>
      </x:c>
      <x:c r="N92" t="str">
        <x:f>IF(L92="","",L92/_xlfn.MAXIFS($L:$L,$D:$D,D92))</x:f>
      </x:c>
      <x:c r="O92" t="str">
        <x:f>IF(OR(M92="",N92=""),"",SQRT(M92*N92))</x:f>
      </x:c>
      <x:c r="P92" t="str">
        <x:f>IF(OR(M92="",N92=""),"",M92^0.7*N92^0.3)</x:f>
      </x:c>
      <x:c r="Q92" t="str">
        <x:f>IF(OR(M92="",N92=""),"",M92^0.3*N92^0.7)</x:f>
      </x:c>
    </x:row>
    <x:row r="93">
      <x:c r="A93" t="inlineStr">
        <x:is>
          <x:t xml:space="preserve">anthropic|claude-opus-5.5|medium|reasoning|fallback-true</x:t>
        </x:is>
      </x:c>
      <x:c r="B93" t="inlineStr">
        <x:is>
          <x:t xml:space="preserve">AA|v4.3.2</x:t>
        </x:is>
      </x:c>
      <x:c r="C93" t="n">
        <x:v>13</x:v>
      </x:c>
      <x:c r="D93" t="n">
        <x:v>45</x:v>
      </x:c>
      <x:c r="E93" t="n">
        <x:f>INDEX(Model_TestVersion_Stats!$W:$W,C93)</x:f>
        <x:v>51</x:v>
      </x:c>
      <x:c r="F93" t="n">
        <x:f>INDEX(Model_TestVersion_Stats!$O:$O,C93)</x:f>
        <x:v>1.34</x:v>
      </x:c>
      <x:c r="G93" t="str">
        <x:f>IF(INDEX(Model_TestVersion_Stats!$R:$R,C93)="","",INDEX(Model_TestVersion_Stats!$R:$R,C93)/60)</x:f>
      </x:c>
      <x:c r="H93" t="n">
        <x:f>IF(E93="","",E93-(D93-1))</x:f>
        <x:v>7</x:v>
      </x:c>
      <x:c r="I93" t="n">
        <x:f>IF(H93&gt;0,1,0)</x:f>
        <x:v>1</x:v>
      </x:c>
      <x:c r="J93" t="n">
        <x:f>IF(OR(I93=0,F93="",F93=0),"",H93/F93)</x:f>
        <x:v>5.223880597014925</x:v>
      </x:c>
      <x:c r="K93" t="n">
        <x:f>IF(OR(I93=0,H93=0,F93=""),"",F93/H93)</x:f>
        <x:v>0.19142857142857145</x:v>
      </x:c>
      <x:c r="L93" t="str">
        <x:f>IF(OR(I93=0,F93="",G93="",F93=0,G93=0),"",H93/(F93*G93))</x:f>
      </x:c>
      <x:c r="M93" t="n">
        <x:f>IF(J93="","",J93/_xlfn.MAXIFS($J:$J,$D:$D,D93))</x:f>
        <x:v>0.27425373134328357</x:v>
      </x:c>
      <x:c r="N93" t="str">
        <x:f>IF(L93="","",L93/_xlfn.MAXIFS($L:$L,$D:$D,D93))</x:f>
      </x:c>
      <x:c r="O93" t="str">
        <x:f>IF(OR(M93="",N93=""),"",SQRT(M93*N93))</x:f>
      </x:c>
      <x:c r="P93" t="str">
        <x:f>IF(OR(M93="",N93=""),"",M93^0.7*N93^0.3)</x:f>
      </x:c>
      <x:c r="Q93" t="str">
        <x:f>IF(OR(M93="",N93=""),"",M93^0.3*N93^0.7)</x:f>
      </x:c>
    </x:row>
    <x:row r="94">
      <x:c r="A94" t="inlineStr">
        <x:is>
          <x:t xml:space="preserve">anthropic|claude-opus-5.5|medium|reasoning|fallback-true</x:t>
        </x:is>
      </x:c>
      <x:c r="B94" t="inlineStr">
        <x:is>
          <x:t xml:space="preserve">AA|v4.3.2</x:t>
        </x:is>
      </x:c>
      <x:c r="C94" t="n">
        <x:v>13</x:v>
      </x:c>
      <x:c r="D94" t="n">
        <x:v>50</x:v>
      </x:c>
      <x:c r="E94" t="n">
        <x:f>INDEX(Model_TestVersion_Stats!$W:$W,C94)</x:f>
        <x:v>51</x:v>
      </x:c>
      <x:c r="F94" t="n">
        <x:f>INDEX(Model_TestVersion_Stats!$O:$O,C94)</x:f>
        <x:v>1.34</x:v>
      </x:c>
      <x:c r="G94" t="str">
        <x:f>IF(INDEX(Model_TestVersion_Stats!$R:$R,C94)="","",INDEX(Model_TestVersion_Stats!$R:$R,C94)/60)</x:f>
      </x:c>
      <x:c r="H94" t="n">
        <x:f>IF(E94="","",E94-(D94-1))</x:f>
        <x:v>2</x:v>
      </x:c>
      <x:c r="I94" t="n">
        <x:f>IF(H94&gt;0,1,0)</x:f>
        <x:v>1</x:v>
      </x:c>
      <x:c r="J94" t="n">
        <x:f>IF(OR(I94=0,F94="",F94=0),"",H94/F94)</x:f>
        <x:v>1.4925373134328357</x:v>
      </x:c>
      <x:c r="K94" t="n">
        <x:f>IF(OR(I94=0,H94=0,F94=""),"",F94/H94)</x:f>
        <x:v>0.67</x:v>
      </x:c>
      <x:c r="L94" t="str">
        <x:f>IF(OR(I94=0,F94="",G94="",F94=0,G94=0),"",H94/(F94*G94))</x:f>
      </x:c>
      <x:c r="M94" t="n">
        <x:f>IF(J94="","",J94/_xlfn.MAXIFS($J:$J,$D:$D,D94))</x:f>
        <x:v>0.291044776119403</x:v>
      </x:c>
      <x:c r="N94" t="str">
        <x:f>IF(L94="","",L94/_xlfn.MAXIFS($L:$L,$D:$D,D94))</x:f>
      </x:c>
      <x:c r="O94" t="str">
        <x:f>IF(OR(M94="",N94=""),"",SQRT(M94*N94))</x:f>
      </x:c>
      <x:c r="P94" t="str">
        <x:f>IF(OR(M94="",N94=""),"",M94^0.7*N94^0.3)</x:f>
      </x:c>
      <x:c r="Q94" t="str">
        <x:f>IF(OR(M94="",N94=""),"",M94^0.3*N94^0.7)</x:f>
      </x:c>
    </x:row>
    <x:row r="95">
      <x:c r="A95" t="inlineStr">
        <x:is>
          <x:t xml:space="preserve">anthropic|claude-opus-5.5|medium|reasoning|fallback-true</x:t>
        </x:is>
      </x:c>
      <x:c r="B95" t="inlineStr">
        <x:is>
          <x:t xml:space="preserve">AA|v4.3.2</x:t>
        </x:is>
      </x:c>
      <x:c r="C95" t="n">
        <x:v>13</x:v>
      </x:c>
      <x:c r="D95" t="n">
        <x:v>52</x:v>
      </x:c>
      <x:c r="E95" t="n">
        <x:f>INDEX(Model_TestVersion_Stats!$W:$W,C95)</x:f>
        <x:v>51</x:v>
      </x:c>
      <x:c r="F95" t="n">
        <x:f>INDEX(Model_TestVersion_Stats!$O:$O,C95)</x:f>
        <x:v>1.34</x:v>
      </x:c>
      <x:c r="G95" t="str">
        <x:f>IF(INDEX(Model_TestVersion_Stats!$R:$R,C95)="","",INDEX(Model_TestVersion_Stats!$R:$R,C95)/60)</x:f>
      </x:c>
      <x:c r="H95" t="n">
        <x:f>IF(E95="","",E95-(D95-1))</x:f>
        <x:v>0</x:v>
      </x:c>
      <x:c r="I95" t="n">
        <x:f>IF(H95&gt;0,1,0)</x:f>
        <x:v>0</x:v>
      </x:c>
      <x:c r="J95" t="str">
        <x:f>IF(OR(I95=0,F95="",F95=0),"",H95/F95)</x:f>
      </x:c>
      <x:c r="K95" t="str">
        <x:f>IF(OR(I95=0,H95=0,F95=""),"",F95/H95)</x:f>
      </x:c>
      <x:c r="L95" t="str">
        <x:f>IF(OR(I95=0,F95="",G95="",F95=0,G95=0),"",H95/(F95*G95))</x:f>
      </x:c>
      <x:c r="M95" t="str">
        <x:f>IF(J95="","",J95/_xlfn.MAXIFS($J:$J,$D:$D,D95))</x:f>
      </x:c>
      <x:c r="N95" t="str">
        <x:f>IF(L95="","",L95/_xlfn.MAXIFS($L:$L,$D:$D,D95))</x:f>
      </x:c>
      <x:c r="O95" t="str">
        <x:f>IF(OR(M95="",N95=""),"",SQRT(M95*N95))</x:f>
      </x:c>
      <x:c r="P95" t="str">
        <x:f>IF(OR(M95="",N95=""),"",M95^0.7*N95^0.3)</x:f>
      </x:c>
      <x:c r="Q95" t="str">
        <x:f>IF(OR(M95="",N95=""),"",M95^0.3*N95^0.7)</x:f>
      </x:c>
    </x:row>
    <x:row r="96">
      <x:c r="A96" t="inlineStr">
        <x:is>
          <x:t xml:space="preserve">anthropic|claude-opus-5.5|medium|reasoning|fallback-true</x:t>
        </x:is>
      </x:c>
      <x:c r="B96" t="inlineStr">
        <x:is>
          <x:t xml:space="preserve">AA|v4.3.2</x:t>
        </x:is>
      </x:c>
      <x:c r="C96" t="n">
        <x:v>13</x:v>
      </x:c>
      <x:c r="D96" t="n">
        <x:v>65</x:v>
      </x:c>
      <x:c r="E96" t="n">
        <x:f>INDEX(Model_TestVersion_Stats!$W:$W,C96)</x:f>
        <x:v>51</x:v>
      </x:c>
      <x:c r="F96" t="n">
        <x:f>INDEX(Model_TestVersion_Stats!$O:$O,C96)</x:f>
        <x:v>1.34</x:v>
      </x:c>
      <x:c r="G96" t="str">
        <x:f>IF(INDEX(Model_TestVersion_Stats!$R:$R,C96)="","",INDEX(Model_TestVersion_Stats!$R:$R,C96)/60)</x:f>
      </x:c>
      <x:c r="H96" t="n">
        <x:f>IF(E96="","",E96-(D96-1))</x:f>
        <x:v>-13</x:v>
      </x:c>
      <x:c r="I96" t="n">
        <x:f>IF(H96&gt;0,1,0)</x:f>
        <x:v>0</x:v>
      </x:c>
      <x:c r="J96" t="str">
        <x:f>IF(OR(I96=0,F96="",F96=0),"",H96/F96)</x:f>
      </x:c>
      <x:c r="K96" t="str">
        <x:f>IF(OR(I96=0,H96=0,F96=""),"",F96/H96)</x:f>
      </x:c>
      <x:c r="L96" t="str">
        <x:f>IF(OR(I96=0,F96="",G96="",F96=0,G96=0),"",H96/(F96*G96))</x:f>
      </x:c>
      <x:c r="M96" t="str">
        <x:f>IF(J96="","",J96/_xlfn.MAXIFS($J:$J,$D:$D,D96))</x:f>
      </x:c>
      <x:c r="N96" t="str">
        <x:f>IF(L96="","",L96/_xlfn.MAXIFS($L:$L,$D:$D,D96))</x:f>
      </x:c>
      <x:c r="O96" t="str">
        <x:f>IF(OR(M96="",N96=""),"",SQRT(M96*N96))</x:f>
      </x:c>
      <x:c r="P96" t="str">
        <x:f>IF(OR(M96="",N96=""),"",M96^0.7*N96^0.3)</x:f>
      </x:c>
      <x:c r="Q96" t="str">
        <x:f>IF(OR(M96="",N96=""),"",M96^0.3*N96^0.7)</x:f>
      </x:c>
    </x:row>
    <x:row r="97">
      <x:c r="A97" t="inlineStr">
        <x:is>
          <x:t xml:space="preserve">anthropic|claude-opus-5.5|medium|reasoning|fallback-true</x:t>
        </x:is>
      </x:c>
      <x:c r="B97" t="inlineStr">
        <x:is>
          <x:t xml:space="preserve">AA|v4.3.2</x:t>
        </x:is>
      </x:c>
      <x:c r="C97" t="n">
        <x:v>13</x:v>
      </x:c>
      <x:c r="D97" t="n">
        <x:v>80</x:v>
      </x:c>
      <x:c r="E97" t="n">
        <x:f>INDEX(Model_TestVersion_Stats!$W:$W,C97)</x:f>
        <x:v>51</x:v>
      </x:c>
      <x:c r="F97" t="n">
        <x:f>INDEX(Model_TestVersion_Stats!$O:$O,C97)</x:f>
        <x:v>1.34</x:v>
      </x:c>
      <x:c r="G97" t="str">
        <x:f>IF(INDEX(Model_TestVersion_Stats!$R:$R,C97)="","",INDEX(Model_TestVersion_Stats!$R:$R,C97)/60)</x:f>
      </x:c>
      <x:c r="H97" t="n">
        <x:f>IF(E97="","",E97-(D97-1))</x:f>
        <x:v>-28</x:v>
      </x:c>
      <x:c r="I97" t="n">
        <x:f>IF(H97&gt;0,1,0)</x:f>
        <x:v>0</x:v>
      </x:c>
      <x:c r="J97" t="str">
        <x:f>IF(OR(I97=0,F97="",F97=0),"",H97/F97)</x:f>
      </x:c>
      <x:c r="K97" t="str">
        <x:f>IF(OR(I97=0,H97=0,F97=""),"",F97/H97)</x:f>
      </x:c>
      <x:c r="L97" t="str">
        <x:f>IF(OR(I97=0,F97="",G97="",F97=0,G97=0),"",H97/(F97*G97))</x:f>
      </x:c>
      <x:c r="M97" t="str">
        <x:f>IF(J97="","",J97/_xlfn.MAXIFS($J:$J,$D:$D,D97))</x:f>
      </x:c>
      <x:c r="N97" t="str">
        <x:f>IF(L97="","",L97/_xlfn.MAXIFS($L:$L,$D:$D,D97))</x:f>
      </x:c>
      <x:c r="O97" t="str">
        <x:f>IF(OR(M97="",N97=""),"",SQRT(M97*N97))</x:f>
      </x:c>
      <x:c r="P97" t="str">
        <x:f>IF(OR(M97="",N97=""),"",M97^0.7*N97^0.3)</x:f>
      </x:c>
      <x:c r="Q97" t="str">
        <x:f>IF(OR(M97="",N97=""),"",M97^0.3*N97^0.7)</x:f>
      </x:c>
    </x:row>
    <x:row r="98">
      <x:c r="A98" t="inlineStr">
        <x:is>
          <x:t xml:space="preserve">anthropic|claude-opus-5.5|xhigh|reasoning|fallback-true</x:t>
        </x:is>
      </x:c>
      <x:c r="B98" t="inlineStr">
        <x:is>
          <x:t xml:space="preserve">AA|v4.3.2</x:t>
        </x:is>
      </x:c>
      <x:c r="C98" t="n">
        <x:v>14</x:v>
      </x:c>
      <x:c r="D98" t="n">
        <x:v>20</x:v>
      </x:c>
      <x:c r="E98" t="n">
        <x:f>INDEX(Model_TestVersion_Stats!$W:$W,C98)</x:f>
        <x:v>56</x:v>
      </x:c>
      <x:c r="F98" t="n">
        <x:f>INDEX(Model_TestVersion_Stats!$O:$O,C98)</x:f>
        <x:v>3.46</x:v>
      </x:c>
      <x:c r="G98" t="str">
        <x:f>IF(INDEX(Model_TestVersion_Stats!$R:$R,C98)="","",INDEX(Model_TestVersion_Stats!$R:$R,C98)/60)</x:f>
      </x:c>
      <x:c r="H98" t="n">
        <x:f>IF(E98="","",E98-(D98-1))</x:f>
        <x:v>37</x:v>
      </x:c>
      <x:c r="I98" t="n">
        <x:f>IF(H98&gt;0,1,0)</x:f>
        <x:v>1</x:v>
      </x:c>
      <x:c r="J98" t="n">
        <x:f>IF(OR(I98=0,F98="",F98=0),"",H98/F98)</x:f>
        <x:v>10.69364161849711</x:v>
      </x:c>
      <x:c r="K98" t="n">
        <x:f>IF(OR(I98=0,H98=0,F98=""),"",F98/H98)</x:f>
        <x:v>0.09351351351351352</x:v>
      </x:c>
      <x:c r="L98" t="str">
        <x:f>IF(OR(I98=0,F98="",G98="",F98=0,G98=0),"",H98/(F98*G98))</x:f>
      </x:c>
      <x:c r="M98" t="n">
        <x:f>IF(J98="","",J98/_xlfn.MAXIFS($J:$J,$D:$D,D98))</x:f>
        <x:v>0.0192485549132948</x:v>
      </x:c>
      <x:c r="N98" t="str">
        <x:f>IF(L98="","",L98/_xlfn.MAXIFS($L:$L,$D:$D,D98))</x:f>
      </x:c>
      <x:c r="O98" t="str">
        <x:f>IF(OR(M98="",N98=""),"",SQRT(M98*N98))</x:f>
      </x:c>
      <x:c r="P98" t="str">
        <x:f>IF(OR(M98="",N98=""),"",M98^0.7*N98^0.3)</x:f>
      </x:c>
      <x:c r="Q98" t="str">
        <x:f>IF(OR(M98="",N98=""),"",M98^0.3*N98^0.7)</x:f>
      </x:c>
    </x:row>
    <x:row r="99">
      <x:c r="A99" t="inlineStr">
        <x:is>
          <x:t xml:space="preserve">anthropic|claude-opus-5.5|xhigh|reasoning|fallback-true</x:t>
        </x:is>
      </x:c>
      <x:c r="B99" t="inlineStr">
        <x:is>
          <x:t xml:space="preserve">AA|v4.3.2</x:t>
        </x:is>
      </x:c>
      <x:c r="C99" t="n">
        <x:v>14</x:v>
      </x:c>
      <x:c r="D99" t="n">
        <x:v>30</x:v>
      </x:c>
      <x:c r="E99" t="n">
        <x:f>INDEX(Model_TestVersion_Stats!$W:$W,C99)</x:f>
        <x:v>56</x:v>
      </x:c>
      <x:c r="F99" t="n">
        <x:f>INDEX(Model_TestVersion_Stats!$O:$O,C99)</x:f>
        <x:v>3.46</x:v>
      </x:c>
      <x:c r="G99" t="str">
        <x:f>IF(INDEX(Model_TestVersion_Stats!$R:$R,C99)="","",INDEX(Model_TestVersion_Stats!$R:$R,C99)/60)</x:f>
      </x:c>
      <x:c r="H99" t="n">
        <x:f>IF(E99="","",E99-(D99-1))</x:f>
        <x:v>27</x:v>
      </x:c>
      <x:c r="I99" t="n">
        <x:f>IF(H99&gt;0,1,0)</x:f>
        <x:v>1</x:v>
      </x:c>
      <x:c r="J99" t="n">
        <x:f>IF(OR(I99=0,F99="",F99=0),"",H99/F99)</x:f>
        <x:v>7.803468208092486</x:v>
      </x:c>
      <x:c r="K99" t="n">
        <x:f>IF(OR(I99=0,H99=0,F99=""),"",F99/H99)</x:f>
        <x:v>0.12814814814814815</x:v>
      </x:c>
      <x:c r="L99" t="str">
        <x:f>IF(OR(I99=0,F99="",G99="",F99=0,G99=0),"",H99/(F99*G99))</x:f>
      </x:c>
      <x:c r="M99" t="n">
        <x:f>IF(J99="","",J99/_xlfn.MAXIFS($J:$J,$D:$D,D99))</x:f>
        <x:v>0.05202312138728324</x:v>
      </x:c>
      <x:c r="N99" t="str">
        <x:f>IF(L99="","",L99/_xlfn.MAXIFS($L:$L,$D:$D,D99))</x:f>
      </x:c>
      <x:c r="O99" t="str">
        <x:f>IF(OR(M99="",N99=""),"",SQRT(M99*N99))</x:f>
      </x:c>
      <x:c r="P99" t="str">
        <x:f>IF(OR(M99="",N99=""),"",M99^0.7*N99^0.3)</x:f>
      </x:c>
      <x:c r="Q99" t="str">
        <x:f>IF(OR(M99="",N99=""),"",M99^0.3*N99^0.7)</x:f>
      </x:c>
    </x:row>
    <x:row r="100">
      <x:c r="A100" t="inlineStr">
        <x:is>
          <x:t xml:space="preserve">anthropic|claude-opus-5.5|xhigh|reasoning|fallback-true</x:t>
        </x:is>
      </x:c>
      <x:c r="B100" t="inlineStr">
        <x:is>
          <x:t xml:space="preserve">AA|v4.3.2</x:t>
        </x:is>
      </x:c>
      <x:c r="C100" t="n">
        <x:v>14</x:v>
      </x:c>
      <x:c r="D100" t="n">
        <x:v>40</x:v>
      </x:c>
      <x:c r="E100" t="n">
        <x:f>INDEX(Model_TestVersion_Stats!$W:$W,C100)</x:f>
        <x:v>56</x:v>
      </x:c>
      <x:c r="F100" t="n">
        <x:f>INDEX(Model_TestVersion_Stats!$O:$O,C100)</x:f>
        <x:v>3.46</x:v>
      </x:c>
      <x:c r="G100" t="str">
        <x:f>IF(INDEX(Model_TestVersion_Stats!$R:$R,C100)="","",INDEX(Model_TestVersion_Stats!$R:$R,C100)/60)</x:f>
      </x:c>
      <x:c r="H100" t="n">
        <x:f>IF(E100="","",E100-(D100-1))</x:f>
        <x:v>17</x:v>
      </x:c>
      <x:c r="I100" t="n">
        <x:f>IF(H100&gt;0,1,0)</x:f>
        <x:v>1</x:v>
      </x:c>
      <x:c r="J100" t="n">
        <x:f>IF(OR(I100=0,F100="",F100=0),"",H100/F100)</x:f>
        <x:v>4.913294797687861</x:v>
      </x:c>
      <x:c r="K100" t="n">
        <x:f>IF(OR(I100=0,H100=0,F100=""),"",F100/H100)</x:f>
        <x:v>0.20352941176470588</x:v>
      </x:c>
      <x:c r="L100" t="str">
        <x:f>IF(OR(I100=0,F100="",G100="",F100=0,G100=0),"",H100/(F100*G100))</x:f>
      </x:c>
      <x:c r="M100" t="n">
        <x:f>IF(J100="","",J100/_xlfn.MAXIFS($J:$J,$D:$D,D100))</x:f>
        <x:v>0.09124690338563171</x:v>
      </x:c>
      <x:c r="N100" t="str">
        <x:f>IF(L100="","",L100/_xlfn.MAXIFS($L:$L,$D:$D,D100))</x:f>
      </x:c>
      <x:c r="O100" t="str">
        <x:f>IF(OR(M100="",N100=""),"",SQRT(M100*N100))</x:f>
      </x:c>
      <x:c r="P100" t="str">
        <x:f>IF(OR(M100="",N100=""),"",M100^0.7*N100^0.3)</x:f>
      </x:c>
      <x:c r="Q100" t="str">
        <x:f>IF(OR(M100="",N100=""),"",M100^0.3*N100^0.7)</x:f>
      </x:c>
    </x:row>
    <x:row r="101">
      <x:c r="A101" t="inlineStr">
        <x:is>
          <x:t xml:space="preserve">anthropic|claude-opus-5.5|xhigh|reasoning|fallback-true</x:t>
        </x:is>
      </x:c>
      <x:c r="B101" t="inlineStr">
        <x:is>
          <x:t xml:space="preserve">AA|v4.3.2</x:t>
        </x:is>
      </x:c>
      <x:c r="C101" t="n">
        <x:v>14</x:v>
      </x:c>
      <x:c r="D101" t="n">
        <x:v>45</x:v>
      </x:c>
      <x:c r="E101" t="n">
        <x:f>INDEX(Model_TestVersion_Stats!$W:$W,C101)</x:f>
        <x:v>56</x:v>
      </x:c>
      <x:c r="F101" t="n">
        <x:f>INDEX(Model_TestVersion_Stats!$O:$O,C101)</x:f>
        <x:v>3.46</x:v>
      </x:c>
      <x:c r="G101" t="str">
        <x:f>IF(INDEX(Model_TestVersion_Stats!$R:$R,C101)="","",INDEX(Model_TestVersion_Stats!$R:$R,C101)/60)</x:f>
      </x:c>
      <x:c r="H101" t="n">
        <x:f>IF(E101="","",E101-(D101-1))</x:f>
        <x:v>12</x:v>
      </x:c>
      <x:c r="I101" t="n">
        <x:f>IF(H101&gt;0,1,0)</x:f>
        <x:v>1</x:v>
      </x:c>
      <x:c r="J101" t="n">
        <x:f>IF(OR(I101=0,F101="",F101=0),"",H101/F101)</x:f>
        <x:v>3.468208092485549</x:v>
      </x:c>
      <x:c r="K101" t="n">
        <x:f>IF(OR(I101=0,H101=0,F101=""),"",F101/H101)</x:f>
        <x:v>0.28833333333333333</x:v>
      </x:c>
      <x:c r="L101" t="str">
        <x:f>IF(OR(I101=0,F101="",G101="",F101=0,G101=0),"",H101/(F101*G101))</x:f>
      </x:c>
      <x:c r="M101" t="n">
        <x:f>IF(J101="","",J101/_xlfn.MAXIFS($J:$J,$D:$D,D101))</x:f>
        <x:v>0.18208092485549132</x:v>
      </x:c>
      <x:c r="N101" t="str">
        <x:f>IF(L101="","",L101/_xlfn.MAXIFS($L:$L,$D:$D,D101))</x:f>
      </x:c>
      <x:c r="O101" t="str">
        <x:f>IF(OR(M101="",N101=""),"",SQRT(M101*N101))</x:f>
      </x:c>
      <x:c r="P101" t="str">
        <x:f>IF(OR(M101="",N101=""),"",M101^0.7*N101^0.3)</x:f>
      </x:c>
      <x:c r="Q101" t="str">
        <x:f>IF(OR(M101="",N101=""),"",M101^0.3*N101^0.7)</x:f>
      </x:c>
    </x:row>
    <x:row r="102">
      <x:c r="A102" t="inlineStr">
        <x:is>
          <x:t xml:space="preserve">anthropic|claude-opus-5.5|xhigh|reasoning|fallback-true</x:t>
        </x:is>
      </x:c>
      <x:c r="B102" t="inlineStr">
        <x:is>
          <x:t xml:space="preserve">AA|v4.3.2</x:t>
        </x:is>
      </x:c>
      <x:c r="C102" t="n">
        <x:v>14</x:v>
      </x:c>
      <x:c r="D102" t="n">
        <x:v>50</x:v>
      </x:c>
      <x:c r="E102" t="n">
        <x:f>INDEX(Model_TestVersion_Stats!$W:$W,C102)</x:f>
        <x:v>56</x:v>
      </x:c>
      <x:c r="F102" t="n">
        <x:f>INDEX(Model_TestVersion_Stats!$O:$O,C102)</x:f>
        <x:v>3.46</x:v>
      </x:c>
      <x:c r="G102" t="str">
        <x:f>IF(INDEX(Model_TestVersion_Stats!$R:$R,C102)="","",INDEX(Model_TestVersion_Stats!$R:$R,C102)/60)</x:f>
      </x:c>
      <x:c r="H102" t="n">
        <x:f>IF(E102="","",E102-(D102-1))</x:f>
        <x:v>7</x:v>
      </x:c>
      <x:c r="I102" t="n">
        <x:f>IF(H102&gt;0,1,0)</x:f>
        <x:v>1</x:v>
      </x:c>
      <x:c r="J102" t="n">
        <x:f>IF(OR(I102=0,F102="",F102=0),"",H102/F102)</x:f>
        <x:v>2.023121387283237</x:v>
      </x:c>
      <x:c r="K102" t="n">
        <x:f>IF(OR(I102=0,H102=0,F102=""),"",F102/H102)</x:f>
        <x:v>0.4942857142857143</x:v>
      </x:c>
      <x:c r="L102" t="str">
        <x:f>IF(OR(I102=0,F102="",G102="",F102=0,G102=0),"",H102/(F102*G102))</x:f>
      </x:c>
      <x:c r="M102" t="n">
        <x:f>IF(J102="","",J102/_xlfn.MAXIFS($J:$J,$D:$D,D102))</x:f>
        <x:v>0.3945086705202313</x:v>
      </x:c>
      <x:c r="N102" t="str">
        <x:f>IF(L102="","",L102/_xlfn.MAXIFS($L:$L,$D:$D,D102))</x:f>
      </x:c>
      <x:c r="O102" t="str">
        <x:f>IF(OR(M102="",N102=""),"",SQRT(M102*N102))</x:f>
      </x:c>
      <x:c r="P102" t="str">
        <x:f>IF(OR(M102="",N102=""),"",M102^0.7*N102^0.3)</x:f>
      </x:c>
      <x:c r="Q102" t="str">
        <x:f>IF(OR(M102="",N102=""),"",M102^0.3*N102^0.7)</x:f>
      </x:c>
    </x:row>
    <x:row r="103">
      <x:c r="A103" t="inlineStr">
        <x:is>
          <x:t xml:space="preserve">anthropic|claude-opus-5.5|xhigh|reasoning|fallback-true</x:t>
        </x:is>
      </x:c>
      <x:c r="B103" t="inlineStr">
        <x:is>
          <x:t xml:space="preserve">AA|v4.3.2</x:t>
        </x:is>
      </x:c>
      <x:c r="C103" t="n">
        <x:v>14</x:v>
      </x:c>
      <x:c r="D103" t="n">
        <x:v>52</x:v>
      </x:c>
      <x:c r="E103" t="n">
        <x:f>INDEX(Model_TestVersion_Stats!$W:$W,C103)</x:f>
        <x:v>56</x:v>
      </x:c>
      <x:c r="F103" t="n">
        <x:f>INDEX(Model_TestVersion_Stats!$O:$O,C103)</x:f>
        <x:v>3.46</x:v>
      </x:c>
      <x:c r="G103" t="str">
        <x:f>IF(INDEX(Model_TestVersion_Stats!$R:$R,C103)="","",INDEX(Model_TestVersion_Stats!$R:$R,C103)/60)</x:f>
      </x:c>
      <x:c r="H103" t="n">
        <x:f>IF(E103="","",E103-(D103-1))</x:f>
        <x:v>5</x:v>
      </x:c>
      <x:c r="I103" t="n">
        <x:f>IF(H103&gt;0,1,0)</x:f>
        <x:v>1</x:v>
      </x:c>
      <x:c r="J103" t="n">
        <x:f>IF(OR(I103=0,F103="",F103=0),"",H103/F103)</x:f>
        <x:v>1.4450867052023122</x:v>
      </x:c>
      <x:c r="K103" t="n">
        <x:f>IF(OR(I103=0,H103=0,F103=""),"",F103/H103)</x:f>
        <x:v>0.692</x:v>
      </x:c>
      <x:c r="L103" t="str">
        <x:f>IF(OR(I103=0,F103="",G103="",F103=0,G103=0),"",H103/(F103*G103))</x:f>
      </x:c>
      <x:c r="M103" t="n">
        <x:f>IF(J103="","",J103/_xlfn.MAXIFS($J:$J,$D:$D,D103))</x:f>
        <x:v>0.8766859344894028</x:v>
      </x:c>
      <x:c r="N103" t="str">
        <x:f>IF(L103="","",L103/_xlfn.MAXIFS($L:$L,$D:$D,D103))</x:f>
      </x:c>
      <x:c r="O103" t="str">
        <x:f>IF(OR(M103="",N103=""),"",SQRT(M103*N103))</x:f>
      </x:c>
      <x:c r="P103" t="str">
        <x:f>IF(OR(M103="",N103=""),"",M103^0.7*N103^0.3)</x:f>
      </x:c>
      <x:c r="Q103" t="str">
        <x:f>IF(OR(M103="",N103=""),"",M103^0.3*N103^0.7)</x:f>
      </x:c>
    </x:row>
    <x:row r="104">
      <x:c r="A104" t="inlineStr">
        <x:is>
          <x:t xml:space="preserve">anthropic|claude-opus-5.5|xhigh|reasoning|fallback-true</x:t>
        </x:is>
      </x:c>
      <x:c r="B104" t="inlineStr">
        <x:is>
          <x:t xml:space="preserve">AA|v4.3.2</x:t>
        </x:is>
      </x:c>
      <x:c r="C104" t="n">
        <x:v>14</x:v>
      </x:c>
      <x:c r="D104" t="n">
        <x:v>65</x:v>
      </x:c>
      <x:c r="E104" t="n">
        <x:f>INDEX(Model_TestVersion_Stats!$W:$W,C104)</x:f>
        <x:v>56</x:v>
      </x:c>
      <x:c r="F104" t="n">
        <x:f>INDEX(Model_TestVersion_Stats!$O:$O,C104)</x:f>
        <x:v>3.46</x:v>
      </x:c>
      <x:c r="G104" t="str">
        <x:f>IF(INDEX(Model_TestVersion_Stats!$R:$R,C104)="","",INDEX(Model_TestVersion_Stats!$R:$R,C104)/60)</x:f>
      </x:c>
      <x:c r="H104" t="n">
        <x:f>IF(E104="","",E104-(D104-1))</x:f>
        <x:v>-8</x:v>
      </x:c>
      <x:c r="I104" t="n">
        <x:f>IF(H104&gt;0,1,0)</x:f>
        <x:v>0</x:v>
      </x:c>
      <x:c r="J104" t="str">
        <x:f>IF(OR(I104=0,F104="",F104=0),"",H104/F104)</x:f>
      </x:c>
      <x:c r="K104" t="str">
        <x:f>IF(OR(I104=0,H104=0,F104=""),"",F104/H104)</x:f>
      </x:c>
      <x:c r="L104" t="str">
        <x:f>IF(OR(I104=0,F104="",G104="",F104=0,G104=0),"",H104/(F104*G104))</x:f>
      </x:c>
      <x:c r="M104" t="str">
        <x:f>IF(J104="","",J104/_xlfn.MAXIFS($J:$J,$D:$D,D104))</x:f>
      </x:c>
      <x:c r="N104" t="str">
        <x:f>IF(L104="","",L104/_xlfn.MAXIFS($L:$L,$D:$D,D104))</x:f>
      </x:c>
      <x:c r="O104" t="str">
        <x:f>IF(OR(M104="",N104=""),"",SQRT(M104*N104))</x:f>
      </x:c>
      <x:c r="P104" t="str">
        <x:f>IF(OR(M104="",N104=""),"",M104^0.7*N104^0.3)</x:f>
      </x:c>
      <x:c r="Q104" t="str">
        <x:f>IF(OR(M104="",N104=""),"",M104^0.3*N104^0.7)</x:f>
      </x:c>
    </x:row>
    <x:row r="105">
      <x:c r="A105" t="inlineStr">
        <x:is>
          <x:t xml:space="preserve">anthropic|claude-opus-5.5|xhigh|reasoning|fallback-true</x:t>
        </x:is>
      </x:c>
      <x:c r="B105" t="inlineStr">
        <x:is>
          <x:t xml:space="preserve">AA|v4.3.2</x:t>
        </x:is>
      </x:c>
      <x:c r="C105" t="n">
        <x:v>14</x:v>
      </x:c>
      <x:c r="D105" t="n">
        <x:v>80</x:v>
      </x:c>
      <x:c r="E105" t="n">
        <x:f>INDEX(Model_TestVersion_Stats!$W:$W,C105)</x:f>
        <x:v>56</x:v>
      </x:c>
      <x:c r="F105" t="n">
        <x:f>INDEX(Model_TestVersion_Stats!$O:$O,C105)</x:f>
        <x:v>3.46</x:v>
      </x:c>
      <x:c r="G105" t="str">
        <x:f>IF(INDEX(Model_TestVersion_Stats!$R:$R,C105)="","",INDEX(Model_TestVersion_Stats!$R:$R,C105)/60)</x:f>
      </x:c>
      <x:c r="H105" t="n">
        <x:f>IF(E105="","",E105-(D105-1))</x:f>
        <x:v>-23</x:v>
      </x:c>
      <x:c r="I105" t="n">
        <x:f>IF(H105&gt;0,1,0)</x:f>
        <x:v>0</x:v>
      </x:c>
      <x:c r="J105" t="str">
        <x:f>IF(OR(I105=0,F105="",F105=0),"",H105/F105)</x:f>
      </x:c>
      <x:c r="K105" t="str">
        <x:f>IF(OR(I105=0,H105=0,F105=""),"",F105/H105)</x:f>
      </x:c>
      <x:c r="L105" t="str">
        <x:f>IF(OR(I105=0,F105="",G105="",F105=0,G105=0),"",H105/(F105*G105))</x:f>
      </x:c>
      <x:c r="M105" t="str">
        <x:f>IF(J105="","",J105/_xlfn.MAXIFS($J:$J,$D:$D,D105))</x:f>
      </x:c>
      <x:c r="N105" t="str">
        <x:f>IF(L105="","",L105/_xlfn.MAXIFS($L:$L,$D:$D,D105))</x:f>
      </x:c>
      <x:c r="O105" t="str">
        <x:f>IF(OR(M105="",N105=""),"",SQRT(M105*N105))</x:f>
      </x:c>
      <x:c r="P105" t="str">
        <x:f>IF(OR(M105="",N105=""),"",M105^0.7*N105^0.3)</x:f>
      </x:c>
      <x:c r="Q105" t="str">
        <x:f>IF(OR(M105="",N105=""),"",M105^0.3*N105^0.7)</x:f>
      </x:c>
    </x:row>
    <x:row r="106">
      <x:c r="A106" t="inlineStr">
        <x:is>
          <x:t xml:space="preserve">anthropic|claude-opus-5|high|reasoning|fallback-na</x:t>
        </x:is>
      </x:c>
      <x:c r="B106" t="inlineStr">
        <x:is>
          <x:t xml:space="preserve">AA|v4.3.2</x:t>
        </x:is>
      </x:c>
      <x:c r="C106" t="n">
        <x:v>15</x:v>
      </x:c>
      <x:c r="D106" t="n">
        <x:v>20</x:v>
      </x:c>
      <x:c r="E106" t="n">
        <x:f>INDEX(Model_TestVersion_Stats!$W:$W,C106)</x:f>
        <x:v>48</x:v>
      </x:c>
      <x:c r="F106" t="n">
        <x:f>INDEX(Model_TestVersion_Stats!$O:$O,C106)</x:f>
        <x:v>3.61</x:v>
      </x:c>
      <x:c r="G106" t="str">
        <x:f>IF(INDEX(Model_TestVersion_Stats!$R:$R,C106)="","",INDEX(Model_TestVersion_Stats!$R:$R,C106)/60)</x:f>
      </x:c>
      <x:c r="H106" t="n">
        <x:f>IF(E106="","",E106-(D106-1))</x:f>
        <x:v>29</x:v>
      </x:c>
      <x:c r="I106" t="n">
        <x:f>IF(H106&gt;0,1,0)</x:f>
        <x:v>1</x:v>
      </x:c>
      <x:c r="J106" t="n">
        <x:f>IF(OR(I106=0,F106="",F106=0),"",H106/F106)</x:f>
        <x:v>8.033240997229917</x:v>
      </x:c>
      <x:c r="K106" t="n">
        <x:f>IF(OR(I106=0,H106=0,F106=""),"",F106/H106)</x:f>
        <x:v>0.12448275862068965</x:v>
      </x:c>
      <x:c r="L106" t="str">
        <x:f>IF(OR(I106=0,F106="",G106="",F106=0,G106=0),"",H106/(F106*G106))</x:f>
      </x:c>
      <x:c r="M106" t="n">
        <x:f>IF(J106="","",J106/_xlfn.MAXIFS($J:$J,$D:$D,D106))</x:f>
        <x:v>0.014459833795013852</x:v>
      </x:c>
      <x:c r="N106" t="str">
        <x:f>IF(L106="","",L106/_xlfn.MAXIFS($L:$L,$D:$D,D106))</x:f>
      </x:c>
      <x:c r="O106" t="str">
        <x:f>IF(OR(M106="",N106=""),"",SQRT(M106*N106))</x:f>
      </x:c>
      <x:c r="P106" t="str">
        <x:f>IF(OR(M106="",N106=""),"",M106^0.7*N106^0.3)</x:f>
      </x:c>
      <x:c r="Q106" t="str">
        <x:f>IF(OR(M106="",N106=""),"",M106^0.3*N106^0.7)</x:f>
      </x:c>
    </x:row>
    <x:row r="107">
      <x:c r="A107" t="inlineStr">
        <x:is>
          <x:t xml:space="preserve">anthropic|claude-opus-5|high|reasoning|fallback-na</x:t>
        </x:is>
      </x:c>
      <x:c r="B107" t="inlineStr">
        <x:is>
          <x:t xml:space="preserve">AA|v4.3.2</x:t>
        </x:is>
      </x:c>
      <x:c r="C107" t="n">
        <x:v>15</x:v>
      </x:c>
      <x:c r="D107" t="n">
        <x:v>30</x:v>
      </x:c>
      <x:c r="E107" t="n">
        <x:f>INDEX(Model_TestVersion_Stats!$W:$W,C107)</x:f>
        <x:v>48</x:v>
      </x:c>
      <x:c r="F107" t="n">
        <x:f>INDEX(Model_TestVersion_Stats!$O:$O,C107)</x:f>
        <x:v>3.61</x:v>
      </x:c>
      <x:c r="G107" t="str">
        <x:f>IF(INDEX(Model_TestVersion_Stats!$R:$R,C107)="","",INDEX(Model_TestVersion_Stats!$R:$R,C107)/60)</x:f>
      </x:c>
      <x:c r="H107" t="n">
        <x:f>IF(E107="","",E107-(D107-1))</x:f>
        <x:v>19</x:v>
      </x:c>
      <x:c r="I107" t="n">
        <x:f>IF(H107&gt;0,1,0)</x:f>
        <x:v>1</x:v>
      </x:c>
      <x:c r="J107" t="n">
        <x:f>IF(OR(I107=0,F107="",F107=0),"",H107/F107)</x:f>
        <x:v>5.2631578947368425</x:v>
      </x:c>
      <x:c r="K107" t="n">
        <x:f>IF(OR(I107=0,H107=0,F107=""),"",F107/H107)</x:f>
        <x:v>0.19</x:v>
      </x:c>
      <x:c r="L107" t="str">
        <x:f>IF(OR(I107=0,F107="",G107="",F107=0,G107=0),"",H107/(F107*G107))</x:f>
      </x:c>
      <x:c r="M107" t="n">
        <x:f>IF(J107="","",J107/_xlfn.MAXIFS($J:$J,$D:$D,D107))</x:f>
        <x:v>0.03508771929824562</x:v>
      </x:c>
      <x:c r="N107" t="str">
        <x:f>IF(L107="","",L107/_xlfn.MAXIFS($L:$L,$D:$D,D107))</x:f>
      </x:c>
      <x:c r="O107" t="str">
        <x:f>IF(OR(M107="",N107=""),"",SQRT(M107*N107))</x:f>
      </x:c>
      <x:c r="P107" t="str">
        <x:f>IF(OR(M107="",N107=""),"",M107^0.7*N107^0.3)</x:f>
      </x:c>
      <x:c r="Q107" t="str">
        <x:f>IF(OR(M107="",N107=""),"",M107^0.3*N107^0.7)</x:f>
      </x:c>
    </x:row>
    <x:row r="108">
      <x:c r="A108" t="inlineStr">
        <x:is>
          <x:t xml:space="preserve">anthropic|claude-opus-5|high|reasoning|fallback-na</x:t>
        </x:is>
      </x:c>
      <x:c r="B108" t="inlineStr">
        <x:is>
          <x:t xml:space="preserve">AA|v4.3.2</x:t>
        </x:is>
      </x:c>
      <x:c r="C108" t="n">
        <x:v>15</x:v>
      </x:c>
      <x:c r="D108" t="n">
        <x:v>40</x:v>
      </x:c>
      <x:c r="E108" t="n">
        <x:f>INDEX(Model_TestVersion_Stats!$W:$W,C108)</x:f>
        <x:v>48</x:v>
      </x:c>
      <x:c r="F108" t="n">
        <x:f>INDEX(Model_TestVersion_Stats!$O:$O,C108)</x:f>
        <x:v>3.61</x:v>
      </x:c>
      <x:c r="G108" t="str">
        <x:f>IF(INDEX(Model_TestVersion_Stats!$R:$R,C108)="","",INDEX(Model_TestVersion_Stats!$R:$R,C108)/60)</x:f>
      </x:c>
      <x:c r="H108" t="n">
        <x:f>IF(E108="","",E108-(D108-1))</x:f>
        <x:v>9</x:v>
      </x:c>
      <x:c r="I108" t="n">
        <x:f>IF(H108&gt;0,1,0)</x:f>
        <x:v>1</x:v>
      </x:c>
      <x:c r="J108" t="n">
        <x:f>IF(OR(I108=0,F108="",F108=0),"",H108/F108)</x:f>
        <x:v>2.4930747922437675</x:v>
      </x:c>
      <x:c r="K108" t="n">
        <x:f>IF(OR(I108=0,H108=0,F108=""),"",F108/H108)</x:f>
        <x:v>0.4011111111111111</x:v>
      </x:c>
      <x:c r="L108" t="str">
        <x:f>IF(OR(I108=0,F108="",G108="",F108=0,G108=0),"",H108/(F108*G108))</x:f>
      </x:c>
      <x:c r="M108" t="n">
        <x:f>IF(J108="","",J108/_xlfn.MAXIFS($J:$J,$D:$D,D108))</x:f>
        <x:v>0.046299960427384254</x:v>
      </x:c>
      <x:c r="N108" t="str">
        <x:f>IF(L108="","",L108/_xlfn.MAXIFS($L:$L,$D:$D,D108))</x:f>
      </x:c>
      <x:c r="O108" t="str">
        <x:f>IF(OR(M108="",N108=""),"",SQRT(M108*N108))</x:f>
      </x:c>
      <x:c r="P108" t="str">
        <x:f>IF(OR(M108="",N108=""),"",M108^0.7*N108^0.3)</x:f>
      </x:c>
      <x:c r="Q108" t="str">
        <x:f>IF(OR(M108="",N108=""),"",M108^0.3*N108^0.7)</x:f>
      </x:c>
    </x:row>
    <x:row r="109">
      <x:c r="A109" t="inlineStr">
        <x:is>
          <x:t xml:space="preserve">anthropic|claude-opus-5|high|reasoning|fallback-na</x:t>
        </x:is>
      </x:c>
      <x:c r="B109" t="inlineStr">
        <x:is>
          <x:t xml:space="preserve">AA|v4.3.2</x:t>
        </x:is>
      </x:c>
      <x:c r="C109" t="n">
        <x:v>15</x:v>
      </x:c>
      <x:c r="D109" t="n">
        <x:v>45</x:v>
      </x:c>
      <x:c r="E109" t="n">
        <x:f>INDEX(Model_TestVersion_Stats!$W:$W,C109)</x:f>
        <x:v>48</x:v>
      </x:c>
      <x:c r="F109" t="n">
        <x:f>INDEX(Model_TestVersion_Stats!$O:$O,C109)</x:f>
        <x:v>3.61</x:v>
      </x:c>
      <x:c r="G109" t="str">
        <x:f>IF(INDEX(Model_TestVersion_Stats!$R:$R,C109)="","",INDEX(Model_TestVersion_Stats!$R:$R,C109)/60)</x:f>
      </x:c>
      <x:c r="H109" t="n">
        <x:f>IF(E109="","",E109-(D109-1))</x:f>
        <x:v>4</x:v>
      </x:c>
      <x:c r="I109" t="n">
        <x:f>IF(H109&gt;0,1,0)</x:f>
        <x:v>1</x:v>
      </x:c>
      <x:c r="J109" t="n">
        <x:f>IF(OR(I109=0,F109="",F109=0),"",H109/F109)</x:f>
        <x:v>1.10803324099723</x:v>
      </x:c>
      <x:c r="K109" t="n">
        <x:f>IF(OR(I109=0,H109=0,F109=""),"",F109/H109)</x:f>
        <x:v>0.9025</x:v>
      </x:c>
      <x:c r="L109" t="str">
        <x:f>IF(OR(I109=0,F109="",G109="",F109=0,G109=0),"",H109/(F109*G109))</x:f>
      </x:c>
      <x:c r="M109" t="n">
        <x:f>IF(J109="","",J109/_xlfn.MAXIFS($J:$J,$D:$D,D109))</x:f>
        <x:v>0.05817174515235458</x:v>
      </x:c>
      <x:c r="N109" t="str">
        <x:f>IF(L109="","",L109/_xlfn.MAXIFS($L:$L,$D:$D,D109))</x:f>
      </x:c>
      <x:c r="O109" t="str">
        <x:f>IF(OR(M109="",N109=""),"",SQRT(M109*N109))</x:f>
      </x:c>
      <x:c r="P109" t="str">
        <x:f>IF(OR(M109="",N109=""),"",M109^0.7*N109^0.3)</x:f>
      </x:c>
      <x:c r="Q109" t="str">
        <x:f>IF(OR(M109="",N109=""),"",M109^0.3*N109^0.7)</x:f>
      </x:c>
    </x:row>
    <x:row r="110">
      <x:c r="A110" t="inlineStr">
        <x:is>
          <x:t xml:space="preserve">anthropic|claude-opus-5|high|reasoning|fallback-na</x:t>
        </x:is>
      </x:c>
      <x:c r="B110" t="inlineStr">
        <x:is>
          <x:t xml:space="preserve">AA|v4.3.2</x:t>
        </x:is>
      </x:c>
      <x:c r="C110" t="n">
        <x:v>15</x:v>
      </x:c>
      <x:c r="D110" t="n">
        <x:v>50</x:v>
      </x:c>
      <x:c r="E110" t="n">
        <x:f>INDEX(Model_TestVersion_Stats!$W:$W,C110)</x:f>
        <x:v>48</x:v>
      </x:c>
      <x:c r="F110" t="n">
        <x:f>INDEX(Model_TestVersion_Stats!$O:$O,C110)</x:f>
        <x:v>3.61</x:v>
      </x:c>
      <x:c r="G110" t="str">
        <x:f>IF(INDEX(Model_TestVersion_Stats!$R:$R,C110)="","",INDEX(Model_TestVersion_Stats!$R:$R,C110)/60)</x:f>
      </x:c>
      <x:c r="H110" t="n">
        <x:f>IF(E110="","",E110-(D110-1))</x:f>
        <x:v>-1</x:v>
      </x:c>
      <x:c r="I110" t="n">
        <x:f>IF(H110&gt;0,1,0)</x:f>
        <x:v>0</x:v>
      </x:c>
      <x:c r="J110" t="str">
        <x:f>IF(OR(I110=0,F110="",F110=0),"",H110/F110)</x:f>
      </x:c>
      <x:c r="K110" t="str">
        <x:f>IF(OR(I110=0,H110=0,F110=""),"",F110/H110)</x:f>
      </x:c>
      <x:c r="L110" t="str">
        <x:f>IF(OR(I110=0,F110="",G110="",F110=0,G110=0),"",H110/(F110*G110))</x:f>
      </x:c>
      <x:c r="M110" t="str">
        <x:f>IF(J110="","",J110/_xlfn.MAXIFS($J:$J,$D:$D,D110))</x:f>
      </x:c>
      <x:c r="N110" t="str">
        <x:f>IF(L110="","",L110/_xlfn.MAXIFS($L:$L,$D:$D,D110))</x:f>
      </x:c>
      <x:c r="O110" t="str">
        <x:f>IF(OR(M110="",N110=""),"",SQRT(M110*N110))</x:f>
      </x:c>
      <x:c r="P110" t="str">
        <x:f>IF(OR(M110="",N110=""),"",M110^0.7*N110^0.3)</x:f>
      </x:c>
      <x:c r="Q110" t="str">
        <x:f>IF(OR(M110="",N110=""),"",M110^0.3*N110^0.7)</x:f>
      </x:c>
    </x:row>
    <x:row r="111">
      <x:c r="A111" t="inlineStr">
        <x:is>
          <x:t xml:space="preserve">anthropic|claude-opus-5|high|reasoning|fallback-na</x:t>
        </x:is>
      </x:c>
      <x:c r="B111" t="inlineStr">
        <x:is>
          <x:t xml:space="preserve">AA|v4.3.2</x:t>
        </x:is>
      </x:c>
      <x:c r="C111" t="n">
        <x:v>15</x:v>
      </x:c>
      <x:c r="D111" t="n">
        <x:v>52</x:v>
      </x:c>
      <x:c r="E111" t="n">
        <x:f>INDEX(Model_TestVersion_Stats!$W:$W,C111)</x:f>
        <x:v>48</x:v>
      </x:c>
      <x:c r="F111" t="n">
        <x:f>INDEX(Model_TestVersion_Stats!$O:$O,C111)</x:f>
        <x:v>3.61</x:v>
      </x:c>
      <x:c r="G111" t="str">
        <x:f>IF(INDEX(Model_TestVersion_Stats!$R:$R,C111)="","",INDEX(Model_TestVersion_Stats!$R:$R,C111)/60)</x:f>
      </x:c>
      <x:c r="H111" t="n">
        <x:f>IF(E111="","",E111-(D111-1))</x:f>
        <x:v>-3</x:v>
      </x:c>
      <x:c r="I111" t="n">
        <x:f>IF(H111&gt;0,1,0)</x:f>
        <x:v>0</x:v>
      </x:c>
      <x:c r="J111" t="str">
        <x:f>IF(OR(I111=0,F111="",F111=0),"",H111/F111)</x:f>
      </x:c>
      <x:c r="K111" t="str">
        <x:f>IF(OR(I111=0,H111=0,F111=""),"",F111/H111)</x:f>
      </x:c>
      <x:c r="L111" t="str">
        <x:f>IF(OR(I111=0,F111="",G111="",F111=0,G111=0),"",H111/(F111*G111))</x:f>
      </x:c>
      <x:c r="M111" t="str">
        <x:f>IF(J111="","",J111/_xlfn.MAXIFS($J:$J,$D:$D,D111))</x:f>
      </x:c>
      <x:c r="N111" t="str">
        <x:f>IF(L111="","",L111/_xlfn.MAXIFS($L:$L,$D:$D,D111))</x:f>
      </x:c>
      <x:c r="O111" t="str">
        <x:f>IF(OR(M111="",N111=""),"",SQRT(M111*N111))</x:f>
      </x:c>
      <x:c r="P111" t="str">
        <x:f>IF(OR(M111="",N111=""),"",M111^0.7*N111^0.3)</x:f>
      </x:c>
      <x:c r="Q111" t="str">
        <x:f>IF(OR(M111="",N111=""),"",M111^0.3*N111^0.7)</x:f>
      </x:c>
    </x:row>
    <x:row r="112">
      <x:c r="A112" t="inlineStr">
        <x:is>
          <x:t xml:space="preserve">anthropic|claude-opus-5|high|reasoning|fallback-na</x:t>
        </x:is>
      </x:c>
      <x:c r="B112" t="inlineStr">
        <x:is>
          <x:t xml:space="preserve">AA|v4.3.2</x:t>
        </x:is>
      </x:c>
      <x:c r="C112" t="n">
        <x:v>15</x:v>
      </x:c>
      <x:c r="D112" t="n">
        <x:v>65</x:v>
      </x:c>
      <x:c r="E112" t="n">
        <x:f>INDEX(Model_TestVersion_Stats!$W:$W,C112)</x:f>
        <x:v>48</x:v>
      </x:c>
      <x:c r="F112" t="n">
        <x:f>INDEX(Model_TestVersion_Stats!$O:$O,C112)</x:f>
        <x:v>3.61</x:v>
      </x:c>
      <x:c r="G112" t="str">
        <x:f>IF(INDEX(Model_TestVersion_Stats!$R:$R,C112)="","",INDEX(Model_TestVersion_Stats!$R:$R,C112)/60)</x:f>
      </x:c>
      <x:c r="H112" t="n">
        <x:f>IF(E112="","",E112-(D112-1))</x:f>
        <x:v>-16</x:v>
      </x:c>
      <x:c r="I112" t="n">
        <x:f>IF(H112&gt;0,1,0)</x:f>
        <x:v>0</x:v>
      </x:c>
      <x:c r="J112" t="str">
        <x:f>IF(OR(I112=0,F112="",F112=0),"",H112/F112)</x:f>
      </x:c>
      <x:c r="K112" t="str">
        <x:f>IF(OR(I112=0,H112=0,F112=""),"",F112/H112)</x:f>
      </x:c>
      <x:c r="L112" t="str">
        <x:f>IF(OR(I112=0,F112="",G112="",F112=0,G112=0),"",H112/(F112*G112))</x:f>
      </x:c>
      <x:c r="M112" t="str">
        <x:f>IF(J112="","",J112/_xlfn.MAXIFS($J:$J,$D:$D,D112))</x:f>
      </x:c>
      <x:c r="N112" t="str">
        <x:f>IF(L112="","",L112/_xlfn.MAXIFS($L:$L,$D:$D,D112))</x:f>
      </x:c>
      <x:c r="O112" t="str">
        <x:f>IF(OR(M112="",N112=""),"",SQRT(M112*N112))</x:f>
      </x:c>
      <x:c r="P112" t="str">
        <x:f>IF(OR(M112="",N112=""),"",M112^0.7*N112^0.3)</x:f>
      </x:c>
      <x:c r="Q112" t="str">
        <x:f>IF(OR(M112="",N112=""),"",M112^0.3*N112^0.7)</x:f>
      </x:c>
    </x:row>
    <x:row r="113">
      <x:c r="A113" t="inlineStr">
        <x:is>
          <x:t xml:space="preserve">anthropic|claude-opus-5|high|reasoning|fallback-na</x:t>
        </x:is>
      </x:c>
      <x:c r="B113" t="inlineStr">
        <x:is>
          <x:t xml:space="preserve">AA|v4.3.2</x:t>
        </x:is>
      </x:c>
      <x:c r="C113" t="n">
        <x:v>15</x:v>
      </x:c>
      <x:c r="D113" t="n">
        <x:v>80</x:v>
      </x:c>
      <x:c r="E113" t="n">
        <x:f>INDEX(Model_TestVersion_Stats!$W:$W,C113)</x:f>
        <x:v>48</x:v>
      </x:c>
      <x:c r="F113" t="n">
        <x:f>INDEX(Model_TestVersion_Stats!$O:$O,C113)</x:f>
        <x:v>3.61</x:v>
      </x:c>
      <x:c r="G113" t="str">
        <x:f>IF(INDEX(Model_TestVersion_Stats!$R:$R,C113)="","",INDEX(Model_TestVersion_Stats!$R:$R,C113)/60)</x:f>
      </x:c>
      <x:c r="H113" t="n">
        <x:f>IF(E113="","",E113-(D113-1))</x:f>
        <x:v>-31</x:v>
      </x:c>
      <x:c r="I113" t="n">
        <x:f>IF(H113&gt;0,1,0)</x:f>
        <x:v>0</x:v>
      </x:c>
      <x:c r="J113" t="str">
        <x:f>IF(OR(I113=0,F113="",F113=0),"",H113/F113)</x:f>
      </x:c>
      <x:c r="K113" t="str">
        <x:f>IF(OR(I113=0,H113=0,F113=""),"",F113/H113)</x:f>
      </x:c>
      <x:c r="L113" t="str">
        <x:f>IF(OR(I113=0,F113="",G113="",F113=0,G113=0),"",H113/(F113*G113))</x:f>
      </x:c>
      <x:c r="M113" t="str">
        <x:f>IF(J113="","",J113/_xlfn.MAXIFS($J:$J,$D:$D,D113))</x:f>
      </x:c>
      <x:c r="N113" t="str">
        <x:f>IF(L113="","",L113/_xlfn.MAXIFS($L:$L,$D:$D,D113))</x:f>
      </x:c>
      <x:c r="O113" t="str">
        <x:f>IF(OR(M113="",N113=""),"",SQRT(M113*N113))</x:f>
      </x:c>
      <x:c r="P113" t="str">
        <x:f>IF(OR(M113="",N113=""),"",M113^0.7*N113^0.3)</x:f>
      </x:c>
      <x:c r="Q113" t="str">
        <x:f>IF(OR(M113="",N113=""),"",M113^0.3*N113^0.7)</x:f>
      </x:c>
    </x:row>
    <x:row r="114">
      <x:c r="A114" t="inlineStr">
        <x:is>
          <x:t xml:space="preserve">anthropic|claude-opus-5|low|reasoning|fallback-na</x:t>
        </x:is>
      </x:c>
      <x:c r="B114" t="inlineStr">
        <x:is>
          <x:t xml:space="preserve">AA|v4.3.2</x:t>
        </x:is>
      </x:c>
      <x:c r="C114" t="n">
        <x:v>16</x:v>
      </x:c>
      <x:c r="D114" t="n">
        <x:v>20</x:v>
      </x:c>
      <x:c r="E114" t="n">
        <x:f>INDEX(Model_TestVersion_Stats!$W:$W,C114)</x:f>
        <x:v>40</x:v>
      </x:c>
      <x:c r="F114" t="n">
        <x:f>INDEX(Model_TestVersion_Stats!$O:$O,C114)</x:f>
        <x:v>1.1</x:v>
      </x:c>
      <x:c r="G114" t="str">
        <x:f>IF(INDEX(Model_TestVersion_Stats!$R:$R,C114)="","",INDEX(Model_TestVersion_Stats!$R:$R,C114)/60)</x:f>
      </x:c>
      <x:c r="H114" t="n">
        <x:f>IF(E114="","",E114-(D114-1))</x:f>
        <x:v>21</x:v>
      </x:c>
      <x:c r="I114" t="n">
        <x:f>IF(H114&gt;0,1,0)</x:f>
        <x:v>1</x:v>
      </x:c>
      <x:c r="J114" t="n">
        <x:f>IF(OR(I114=0,F114="",F114=0),"",H114/F114)</x:f>
        <x:v>19.09090909090909</x:v>
      </x:c>
      <x:c r="K114" t="n">
        <x:f>IF(OR(I114=0,H114=0,F114=""),"",F114/H114)</x:f>
        <x:v>0.05238095238095238</x:v>
      </x:c>
      <x:c r="L114" t="str">
        <x:f>IF(OR(I114=0,F114="",G114="",F114=0,G114=0),"",H114/(F114*G114))</x:f>
      </x:c>
      <x:c r="M114" t="n">
        <x:f>IF(J114="","",J114/_xlfn.MAXIFS($J:$J,$D:$D,D114))</x:f>
        <x:v>0.03436363636363636</x:v>
      </x:c>
      <x:c r="N114" t="str">
        <x:f>IF(L114="","",L114/_xlfn.MAXIFS($L:$L,$D:$D,D114))</x:f>
      </x:c>
      <x:c r="O114" t="str">
        <x:f>IF(OR(M114="",N114=""),"",SQRT(M114*N114))</x:f>
      </x:c>
      <x:c r="P114" t="str">
        <x:f>IF(OR(M114="",N114=""),"",M114^0.7*N114^0.3)</x:f>
      </x:c>
      <x:c r="Q114" t="str">
        <x:f>IF(OR(M114="",N114=""),"",M114^0.3*N114^0.7)</x:f>
      </x:c>
    </x:row>
    <x:row r="115">
      <x:c r="A115" t="inlineStr">
        <x:is>
          <x:t xml:space="preserve">anthropic|claude-opus-5|low|reasoning|fallback-na</x:t>
        </x:is>
      </x:c>
      <x:c r="B115" t="inlineStr">
        <x:is>
          <x:t xml:space="preserve">AA|v4.3.2</x:t>
        </x:is>
      </x:c>
      <x:c r="C115" t="n">
        <x:v>16</x:v>
      </x:c>
      <x:c r="D115" t="n">
        <x:v>30</x:v>
      </x:c>
      <x:c r="E115" t="n">
        <x:f>INDEX(Model_TestVersion_Stats!$W:$W,C115)</x:f>
        <x:v>40</x:v>
      </x:c>
      <x:c r="F115" t="n">
        <x:f>INDEX(Model_TestVersion_Stats!$O:$O,C115)</x:f>
        <x:v>1.1</x:v>
      </x:c>
      <x:c r="G115" t="str">
        <x:f>IF(INDEX(Model_TestVersion_Stats!$R:$R,C115)="","",INDEX(Model_TestVersion_Stats!$R:$R,C115)/60)</x:f>
      </x:c>
      <x:c r="H115" t="n">
        <x:f>IF(E115="","",E115-(D115-1))</x:f>
        <x:v>11</x:v>
      </x:c>
      <x:c r="I115" t="n">
        <x:f>IF(H115&gt;0,1,0)</x:f>
        <x:v>1</x:v>
      </x:c>
      <x:c r="J115" t="n">
        <x:f>IF(OR(I115=0,F115="",F115=0),"",H115/F115)</x:f>
        <x:v>10</x:v>
      </x:c>
      <x:c r="K115" t="n">
        <x:f>IF(OR(I115=0,H115=0,F115=""),"",F115/H115)</x:f>
        <x:v>0.1</x:v>
      </x:c>
      <x:c r="L115" t="str">
        <x:f>IF(OR(I115=0,F115="",G115="",F115=0,G115=0),"",H115/(F115*G115))</x:f>
      </x:c>
      <x:c r="M115" t="n">
        <x:f>IF(J115="","",J115/_xlfn.MAXIFS($J:$J,$D:$D,D115))</x:f>
        <x:v>0.06666666666666667</x:v>
      </x:c>
      <x:c r="N115" t="str">
        <x:f>IF(L115="","",L115/_xlfn.MAXIFS($L:$L,$D:$D,D115))</x:f>
      </x:c>
      <x:c r="O115" t="str">
        <x:f>IF(OR(M115="",N115=""),"",SQRT(M115*N115))</x:f>
      </x:c>
      <x:c r="P115" t="str">
        <x:f>IF(OR(M115="",N115=""),"",M115^0.7*N115^0.3)</x:f>
      </x:c>
      <x:c r="Q115" t="str">
        <x:f>IF(OR(M115="",N115=""),"",M115^0.3*N115^0.7)</x:f>
      </x:c>
    </x:row>
    <x:row r="116">
      <x:c r="A116" t="inlineStr">
        <x:is>
          <x:t xml:space="preserve">anthropic|claude-opus-5|low|reasoning|fallback-na</x:t>
        </x:is>
      </x:c>
      <x:c r="B116" t="inlineStr">
        <x:is>
          <x:t xml:space="preserve">AA|v4.3.2</x:t>
        </x:is>
      </x:c>
      <x:c r="C116" t="n">
        <x:v>16</x:v>
      </x:c>
      <x:c r="D116" t="n">
        <x:v>40</x:v>
      </x:c>
      <x:c r="E116" t="n">
        <x:f>INDEX(Model_TestVersion_Stats!$W:$W,C116)</x:f>
        <x:v>40</x:v>
      </x:c>
      <x:c r="F116" t="n">
        <x:f>INDEX(Model_TestVersion_Stats!$O:$O,C116)</x:f>
        <x:v>1.1</x:v>
      </x:c>
      <x:c r="G116" t="str">
        <x:f>IF(INDEX(Model_TestVersion_Stats!$R:$R,C116)="","",INDEX(Model_TestVersion_Stats!$R:$R,C116)/60)</x:f>
      </x:c>
      <x:c r="H116" t="n">
        <x:f>IF(E116="","",E116-(D116-1))</x:f>
        <x:v>1</x:v>
      </x:c>
      <x:c r="I116" t="n">
        <x:f>IF(H116&gt;0,1,0)</x:f>
        <x:v>1</x:v>
      </x:c>
      <x:c r="J116" t="n">
        <x:f>IF(OR(I116=0,F116="",F116=0),"",H116/F116)</x:f>
        <x:v>0.9090909090909091</x:v>
      </x:c>
      <x:c r="K116" t="n">
        <x:f>IF(OR(I116=0,H116=0,F116=""),"",F116/H116)</x:f>
        <x:v>1.1</x:v>
      </x:c>
      <x:c r="L116" t="str">
        <x:f>IF(OR(I116=0,F116="",G116="",F116=0,G116=0),"",H116/(F116*G116))</x:f>
      </x:c>
      <x:c r="M116" t="n">
        <x:f>IF(J116="","",J116/_xlfn.MAXIFS($J:$J,$D:$D,D116))</x:f>
        <x:v>0.016883116883116882</x:v>
      </x:c>
      <x:c r="N116" t="str">
        <x:f>IF(L116="","",L116/_xlfn.MAXIFS($L:$L,$D:$D,D116))</x:f>
      </x:c>
      <x:c r="O116" t="str">
        <x:f>IF(OR(M116="",N116=""),"",SQRT(M116*N116))</x:f>
      </x:c>
      <x:c r="P116" t="str">
        <x:f>IF(OR(M116="",N116=""),"",M116^0.7*N116^0.3)</x:f>
      </x:c>
      <x:c r="Q116" t="str">
        <x:f>IF(OR(M116="",N116=""),"",M116^0.3*N116^0.7)</x:f>
      </x:c>
    </x:row>
    <x:row r="117">
      <x:c r="A117" t="inlineStr">
        <x:is>
          <x:t xml:space="preserve">anthropic|claude-opus-5|low|reasoning|fallback-na</x:t>
        </x:is>
      </x:c>
      <x:c r="B117" t="inlineStr">
        <x:is>
          <x:t xml:space="preserve">AA|v4.3.2</x:t>
        </x:is>
      </x:c>
      <x:c r="C117" t="n">
        <x:v>16</x:v>
      </x:c>
      <x:c r="D117" t="n">
        <x:v>45</x:v>
      </x:c>
      <x:c r="E117" t="n">
        <x:f>INDEX(Model_TestVersion_Stats!$W:$W,C117)</x:f>
        <x:v>40</x:v>
      </x:c>
      <x:c r="F117" t="n">
        <x:f>INDEX(Model_TestVersion_Stats!$O:$O,C117)</x:f>
        <x:v>1.1</x:v>
      </x:c>
      <x:c r="G117" t="str">
        <x:f>IF(INDEX(Model_TestVersion_Stats!$R:$R,C117)="","",INDEX(Model_TestVersion_Stats!$R:$R,C117)/60)</x:f>
      </x:c>
      <x:c r="H117" t="n">
        <x:f>IF(E117="","",E117-(D117-1))</x:f>
        <x:v>-4</x:v>
      </x:c>
      <x:c r="I117" t="n">
        <x:f>IF(H117&gt;0,1,0)</x:f>
        <x:v>0</x:v>
      </x:c>
      <x:c r="J117" t="str">
        <x:f>IF(OR(I117=0,F117="",F117=0),"",H117/F117)</x:f>
      </x:c>
      <x:c r="K117" t="str">
        <x:f>IF(OR(I117=0,H117=0,F117=""),"",F117/H117)</x:f>
      </x:c>
      <x:c r="L117" t="str">
        <x:f>IF(OR(I117=0,F117="",G117="",F117=0,G117=0),"",H117/(F117*G117))</x:f>
      </x:c>
      <x:c r="M117" t="str">
        <x:f>IF(J117="","",J117/_xlfn.MAXIFS($J:$J,$D:$D,D117))</x:f>
      </x:c>
      <x:c r="N117" t="str">
        <x:f>IF(L117="","",L117/_xlfn.MAXIFS($L:$L,$D:$D,D117))</x:f>
      </x:c>
      <x:c r="O117" t="str">
        <x:f>IF(OR(M117="",N117=""),"",SQRT(M117*N117))</x:f>
      </x:c>
      <x:c r="P117" t="str">
        <x:f>IF(OR(M117="",N117=""),"",M117^0.7*N117^0.3)</x:f>
      </x:c>
      <x:c r="Q117" t="str">
        <x:f>IF(OR(M117="",N117=""),"",M117^0.3*N117^0.7)</x:f>
      </x:c>
    </x:row>
    <x:row r="118">
      <x:c r="A118" t="inlineStr">
        <x:is>
          <x:t xml:space="preserve">anthropic|claude-opus-5|low|reasoning|fallback-na</x:t>
        </x:is>
      </x:c>
      <x:c r="B118" t="inlineStr">
        <x:is>
          <x:t xml:space="preserve">AA|v4.3.2</x:t>
        </x:is>
      </x:c>
      <x:c r="C118" t="n">
        <x:v>16</x:v>
      </x:c>
      <x:c r="D118" t="n">
        <x:v>50</x:v>
      </x:c>
      <x:c r="E118" t="n">
        <x:f>INDEX(Model_TestVersion_Stats!$W:$W,C118)</x:f>
        <x:v>40</x:v>
      </x:c>
      <x:c r="F118" t="n">
        <x:f>INDEX(Model_TestVersion_Stats!$O:$O,C118)</x:f>
        <x:v>1.1</x:v>
      </x:c>
      <x:c r="G118" t="str">
        <x:f>IF(INDEX(Model_TestVersion_Stats!$R:$R,C118)="","",INDEX(Model_TestVersion_Stats!$R:$R,C118)/60)</x:f>
      </x:c>
      <x:c r="H118" t="n">
        <x:f>IF(E118="","",E118-(D118-1))</x:f>
        <x:v>-9</x:v>
      </x:c>
      <x:c r="I118" t="n">
        <x:f>IF(H118&gt;0,1,0)</x:f>
        <x:v>0</x:v>
      </x:c>
      <x:c r="J118" t="str">
        <x:f>IF(OR(I118=0,F118="",F118=0),"",H118/F118)</x:f>
      </x:c>
      <x:c r="K118" t="str">
        <x:f>IF(OR(I118=0,H118=0,F118=""),"",F118/H118)</x:f>
      </x:c>
      <x:c r="L118" t="str">
        <x:f>IF(OR(I118=0,F118="",G118="",F118=0,G118=0),"",H118/(F118*G118))</x:f>
      </x:c>
      <x:c r="M118" t="str">
        <x:f>IF(J118="","",J118/_xlfn.MAXIFS($J:$J,$D:$D,D118))</x:f>
      </x:c>
      <x:c r="N118" t="str">
        <x:f>IF(L118="","",L118/_xlfn.MAXIFS($L:$L,$D:$D,D118))</x:f>
      </x:c>
      <x:c r="O118" t="str">
        <x:f>IF(OR(M118="",N118=""),"",SQRT(M118*N118))</x:f>
      </x:c>
      <x:c r="P118" t="str">
        <x:f>IF(OR(M118="",N118=""),"",M118^0.7*N118^0.3)</x:f>
      </x:c>
      <x:c r="Q118" t="str">
        <x:f>IF(OR(M118="",N118=""),"",M118^0.3*N118^0.7)</x:f>
      </x:c>
    </x:row>
    <x:row r="119">
      <x:c r="A119" t="inlineStr">
        <x:is>
          <x:t xml:space="preserve">anthropic|claude-opus-5|low|reasoning|fallback-na</x:t>
        </x:is>
      </x:c>
      <x:c r="B119" t="inlineStr">
        <x:is>
          <x:t xml:space="preserve">AA|v4.3.2</x:t>
        </x:is>
      </x:c>
      <x:c r="C119" t="n">
        <x:v>16</x:v>
      </x:c>
      <x:c r="D119" t="n">
        <x:v>52</x:v>
      </x:c>
      <x:c r="E119" t="n">
        <x:f>INDEX(Model_TestVersion_Stats!$W:$W,C119)</x:f>
        <x:v>40</x:v>
      </x:c>
      <x:c r="F119" t="n">
        <x:f>INDEX(Model_TestVersion_Stats!$O:$O,C119)</x:f>
        <x:v>1.1</x:v>
      </x:c>
      <x:c r="G119" t="str">
        <x:f>IF(INDEX(Model_TestVersion_Stats!$R:$R,C119)="","",INDEX(Model_TestVersion_Stats!$R:$R,C119)/60)</x:f>
      </x:c>
      <x:c r="H119" t="n">
        <x:f>IF(E119="","",E119-(D119-1))</x:f>
        <x:v>-11</x:v>
      </x:c>
      <x:c r="I119" t="n">
        <x:f>IF(H119&gt;0,1,0)</x:f>
        <x:v>0</x:v>
      </x:c>
      <x:c r="J119" t="str">
        <x:f>IF(OR(I119=0,F119="",F119=0),"",H119/F119)</x:f>
      </x:c>
      <x:c r="K119" t="str">
        <x:f>IF(OR(I119=0,H119=0,F119=""),"",F119/H119)</x:f>
      </x:c>
      <x:c r="L119" t="str">
        <x:f>IF(OR(I119=0,F119="",G119="",F119=0,G119=0),"",H119/(F119*G119))</x:f>
      </x:c>
      <x:c r="M119" t="str">
        <x:f>IF(J119="","",J119/_xlfn.MAXIFS($J:$J,$D:$D,D119))</x:f>
      </x:c>
      <x:c r="N119" t="str">
        <x:f>IF(L119="","",L119/_xlfn.MAXIFS($L:$L,$D:$D,D119))</x:f>
      </x:c>
      <x:c r="O119" t="str">
        <x:f>IF(OR(M119="",N119=""),"",SQRT(M119*N119))</x:f>
      </x:c>
      <x:c r="P119" t="str">
        <x:f>IF(OR(M119="",N119=""),"",M119^0.7*N119^0.3)</x:f>
      </x:c>
      <x:c r="Q119" t="str">
        <x:f>IF(OR(M119="",N119=""),"",M119^0.3*N119^0.7)</x:f>
      </x:c>
    </x:row>
    <x:row r="120">
      <x:c r="A120" t="inlineStr">
        <x:is>
          <x:t xml:space="preserve">anthropic|claude-opus-5|low|reasoning|fallback-na</x:t>
        </x:is>
      </x:c>
      <x:c r="B120" t="inlineStr">
        <x:is>
          <x:t xml:space="preserve">AA|v4.3.2</x:t>
        </x:is>
      </x:c>
      <x:c r="C120" t="n">
        <x:v>16</x:v>
      </x:c>
      <x:c r="D120" t="n">
        <x:v>65</x:v>
      </x:c>
      <x:c r="E120" t="n">
        <x:f>INDEX(Model_TestVersion_Stats!$W:$W,C120)</x:f>
        <x:v>40</x:v>
      </x:c>
      <x:c r="F120" t="n">
        <x:f>INDEX(Model_TestVersion_Stats!$O:$O,C120)</x:f>
        <x:v>1.1</x:v>
      </x:c>
      <x:c r="G120" t="str">
        <x:f>IF(INDEX(Model_TestVersion_Stats!$R:$R,C120)="","",INDEX(Model_TestVersion_Stats!$R:$R,C120)/60)</x:f>
      </x:c>
      <x:c r="H120" t="n">
        <x:f>IF(E120="","",E120-(D120-1))</x:f>
        <x:v>-24</x:v>
      </x:c>
      <x:c r="I120" t="n">
        <x:f>IF(H120&gt;0,1,0)</x:f>
        <x:v>0</x:v>
      </x:c>
      <x:c r="J120" t="str">
        <x:f>IF(OR(I120=0,F120="",F120=0),"",H120/F120)</x:f>
      </x:c>
      <x:c r="K120" t="str">
        <x:f>IF(OR(I120=0,H120=0,F120=""),"",F120/H120)</x:f>
      </x:c>
      <x:c r="L120" t="str">
        <x:f>IF(OR(I120=0,F120="",G120="",F120=0,G120=0),"",H120/(F120*G120))</x:f>
      </x:c>
      <x:c r="M120" t="str">
        <x:f>IF(J120="","",J120/_xlfn.MAXIFS($J:$J,$D:$D,D120))</x:f>
      </x:c>
      <x:c r="N120" t="str">
        <x:f>IF(L120="","",L120/_xlfn.MAXIFS($L:$L,$D:$D,D120))</x:f>
      </x:c>
      <x:c r="O120" t="str">
        <x:f>IF(OR(M120="",N120=""),"",SQRT(M120*N120))</x:f>
      </x:c>
      <x:c r="P120" t="str">
        <x:f>IF(OR(M120="",N120=""),"",M120^0.7*N120^0.3)</x:f>
      </x:c>
      <x:c r="Q120" t="str">
        <x:f>IF(OR(M120="",N120=""),"",M120^0.3*N120^0.7)</x:f>
      </x:c>
    </x:row>
    <x:row r="121">
      <x:c r="A121" t="inlineStr">
        <x:is>
          <x:t xml:space="preserve">anthropic|claude-opus-5|low|reasoning|fallback-na</x:t>
        </x:is>
      </x:c>
      <x:c r="B121" t="inlineStr">
        <x:is>
          <x:t xml:space="preserve">AA|v4.3.2</x:t>
        </x:is>
      </x:c>
      <x:c r="C121" t="n">
        <x:v>16</x:v>
      </x:c>
      <x:c r="D121" t="n">
        <x:v>80</x:v>
      </x:c>
      <x:c r="E121" t="n">
        <x:f>INDEX(Model_TestVersion_Stats!$W:$W,C121)</x:f>
        <x:v>40</x:v>
      </x:c>
      <x:c r="F121" t="n">
        <x:f>INDEX(Model_TestVersion_Stats!$O:$O,C121)</x:f>
        <x:v>1.1</x:v>
      </x:c>
      <x:c r="G121" t="str">
        <x:f>IF(INDEX(Model_TestVersion_Stats!$R:$R,C121)="","",INDEX(Model_TestVersion_Stats!$R:$R,C121)/60)</x:f>
      </x:c>
      <x:c r="H121" t="n">
        <x:f>IF(E121="","",E121-(D121-1))</x:f>
        <x:v>-39</x:v>
      </x:c>
      <x:c r="I121" t="n">
        <x:f>IF(H121&gt;0,1,0)</x:f>
        <x:v>0</x:v>
      </x:c>
      <x:c r="J121" t="str">
        <x:f>IF(OR(I121=0,F121="",F121=0),"",H121/F121)</x:f>
      </x:c>
      <x:c r="K121" t="str">
        <x:f>IF(OR(I121=0,H121=0,F121=""),"",F121/H121)</x:f>
      </x:c>
      <x:c r="L121" t="str">
        <x:f>IF(OR(I121=0,F121="",G121="",F121=0,G121=0),"",H121/(F121*G121))</x:f>
      </x:c>
      <x:c r="M121" t="str">
        <x:f>IF(J121="","",J121/_xlfn.MAXIFS($J:$J,$D:$D,D121))</x:f>
      </x:c>
      <x:c r="N121" t="str">
        <x:f>IF(L121="","",L121/_xlfn.MAXIFS($L:$L,$D:$D,D121))</x:f>
      </x:c>
      <x:c r="O121" t="str">
        <x:f>IF(OR(M121="",N121=""),"",SQRT(M121*N121))</x:f>
      </x:c>
      <x:c r="P121" t="str">
        <x:f>IF(OR(M121="",N121=""),"",M121^0.7*N121^0.3)</x:f>
      </x:c>
      <x:c r="Q121" t="str">
        <x:f>IF(OR(M121="",N121=""),"",M121^0.3*N121^0.7)</x:f>
      </x:c>
    </x:row>
    <x:row r="122">
      <x:c r="A122" t="inlineStr">
        <x:is>
          <x:t xml:space="preserve">anthropic|claude-opus-5|max|reasoning|fallback-na</x:t>
        </x:is>
      </x:c>
      <x:c r="B122" t="inlineStr">
        <x:is>
          <x:t xml:space="preserve">AA|v4.3.2</x:t>
        </x:is>
      </x:c>
      <x:c r="C122" t="n">
        <x:v>17</x:v>
      </x:c>
      <x:c r="D122" t="n">
        <x:v>20</x:v>
      </x:c>
      <x:c r="E122" t="n">
        <x:f>INDEX(Model_TestVersion_Stats!$W:$W,C122)</x:f>
        <x:v>51</x:v>
      </x:c>
      <x:c r="F122" t="n">
        <x:f>INDEX(Model_TestVersion_Stats!$O:$O,C122)</x:f>
        <x:v>5.86</x:v>
      </x:c>
      <x:c r="G122" t="str">
        <x:f>IF(INDEX(Model_TestVersion_Stats!$R:$R,C122)="","",INDEX(Model_TestVersion_Stats!$R:$R,C122)/60)</x:f>
      </x:c>
      <x:c r="H122" t="n">
        <x:f>IF(E122="","",E122-(D122-1))</x:f>
        <x:v>32</x:v>
      </x:c>
      <x:c r="I122" t="n">
        <x:f>IF(H122&gt;0,1,0)</x:f>
        <x:v>1</x:v>
      </x:c>
      <x:c r="J122" t="n">
        <x:f>IF(OR(I122=0,F122="",F122=0),"",H122/F122)</x:f>
        <x:v>5.46075085324232</x:v>
      </x:c>
      <x:c r="K122" t="n">
        <x:f>IF(OR(I122=0,H122=0,F122=""),"",F122/H122)</x:f>
        <x:v>0.183125</x:v>
      </x:c>
      <x:c r="L122" t="str">
        <x:f>IF(OR(I122=0,F122="",G122="",F122=0,G122=0),"",H122/(F122*G122))</x:f>
      </x:c>
      <x:c r="M122" t="n">
        <x:f>IF(J122="","",J122/_xlfn.MAXIFS($J:$J,$D:$D,D122))</x:f>
        <x:v>0.009829351535836178</x:v>
      </x:c>
      <x:c r="N122" t="str">
        <x:f>IF(L122="","",L122/_xlfn.MAXIFS($L:$L,$D:$D,D122))</x:f>
      </x:c>
      <x:c r="O122" t="str">
        <x:f>IF(OR(M122="",N122=""),"",SQRT(M122*N122))</x:f>
      </x:c>
      <x:c r="P122" t="str">
        <x:f>IF(OR(M122="",N122=""),"",M122^0.7*N122^0.3)</x:f>
      </x:c>
      <x:c r="Q122" t="str">
        <x:f>IF(OR(M122="",N122=""),"",M122^0.3*N122^0.7)</x:f>
      </x:c>
    </x:row>
    <x:row r="123">
      <x:c r="A123" t="inlineStr">
        <x:is>
          <x:t xml:space="preserve">anthropic|claude-opus-5|max|reasoning|fallback-na</x:t>
        </x:is>
      </x:c>
      <x:c r="B123" t="inlineStr">
        <x:is>
          <x:t xml:space="preserve">AA|v4.3.2</x:t>
        </x:is>
      </x:c>
      <x:c r="C123" t="n">
        <x:v>17</x:v>
      </x:c>
      <x:c r="D123" t="n">
        <x:v>30</x:v>
      </x:c>
      <x:c r="E123" t="n">
        <x:f>INDEX(Model_TestVersion_Stats!$W:$W,C123)</x:f>
        <x:v>51</x:v>
      </x:c>
      <x:c r="F123" t="n">
        <x:f>INDEX(Model_TestVersion_Stats!$O:$O,C123)</x:f>
        <x:v>5.86</x:v>
      </x:c>
      <x:c r="G123" t="str">
        <x:f>IF(INDEX(Model_TestVersion_Stats!$R:$R,C123)="","",INDEX(Model_TestVersion_Stats!$R:$R,C123)/60)</x:f>
      </x:c>
      <x:c r="H123" t="n">
        <x:f>IF(E123="","",E123-(D123-1))</x:f>
        <x:v>22</x:v>
      </x:c>
      <x:c r="I123" t="n">
        <x:f>IF(H123&gt;0,1,0)</x:f>
        <x:v>1</x:v>
      </x:c>
      <x:c r="J123" t="n">
        <x:f>IF(OR(I123=0,F123="",F123=0),"",H123/F123)</x:f>
        <x:v>3.7542662116040955</x:v>
      </x:c>
      <x:c r="K123" t="n">
        <x:f>IF(OR(I123=0,H123=0,F123=""),"",F123/H123)</x:f>
        <x:v>0.26636363636363636</x:v>
      </x:c>
      <x:c r="L123" t="str">
        <x:f>IF(OR(I123=0,F123="",G123="",F123=0,G123=0),"",H123/(F123*G123))</x:f>
      </x:c>
      <x:c r="M123" t="n">
        <x:f>IF(J123="","",J123/_xlfn.MAXIFS($J:$J,$D:$D,D123))</x:f>
        <x:v>0.02502844141069397</x:v>
      </x:c>
      <x:c r="N123" t="str">
        <x:f>IF(L123="","",L123/_xlfn.MAXIFS($L:$L,$D:$D,D123))</x:f>
      </x:c>
      <x:c r="O123" t="str">
        <x:f>IF(OR(M123="",N123=""),"",SQRT(M123*N123))</x:f>
      </x:c>
      <x:c r="P123" t="str">
        <x:f>IF(OR(M123="",N123=""),"",M123^0.7*N123^0.3)</x:f>
      </x:c>
      <x:c r="Q123" t="str">
        <x:f>IF(OR(M123="",N123=""),"",M123^0.3*N123^0.7)</x:f>
      </x:c>
    </x:row>
    <x:row r="124">
      <x:c r="A124" t="inlineStr">
        <x:is>
          <x:t xml:space="preserve">anthropic|claude-opus-5|max|reasoning|fallback-na</x:t>
        </x:is>
      </x:c>
      <x:c r="B124" t="inlineStr">
        <x:is>
          <x:t xml:space="preserve">AA|v4.3.2</x:t>
        </x:is>
      </x:c>
      <x:c r="C124" t="n">
        <x:v>17</x:v>
      </x:c>
      <x:c r="D124" t="n">
        <x:v>40</x:v>
      </x:c>
      <x:c r="E124" t="n">
        <x:f>INDEX(Model_TestVersion_Stats!$W:$W,C124)</x:f>
        <x:v>51</x:v>
      </x:c>
      <x:c r="F124" t="n">
        <x:f>INDEX(Model_TestVersion_Stats!$O:$O,C124)</x:f>
        <x:v>5.86</x:v>
      </x:c>
      <x:c r="G124" t="str">
        <x:f>IF(INDEX(Model_TestVersion_Stats!$R:$R,C124)="","",INDEX(Model_TestVersion_Stats!$R:$R,C124)/60)</x:f>
      </x:c>
      <x:c r="H124" t="n">
        <x:f>IF(E124="","",E124-(D124-1))</x:f>
        <x:v>12</x:v>
      </x:c>
      <x:c r="I124" t="n">
        <x:f>IF(H124&gt;0,1,0)</x:f>
        <x:v>1</x:v>
      </x:c>
      <x:c r="J124" t="n">
        <x:f>IF(OR(I124=0,F124="",F124=0),"",H124/F124)</x:f>
        <x:v>2.04778156996587</x:v>
      </x:c>
      <x:c r="K124" t="n">
        <x:f>IF(OR(I124=0,H124=0,F124=""),"",F124/H124)</x:f>
        <x:v>0.48833333333333334</x:v>
      </x:c>
      <x:c r="L124" t="str">
        <x:f>IF(OR(I124=0,F124="",G124="",F124=0,G124=0),"",H124/(F124*G124))</x:f>
      </x:c>
      <x:c r="M124" t="n">
        <x:f>IF(J124="","",J124/_xlfn.MAXIFS($J:$J,$D:$D,D124))</x:f>
        <x:v>0.03803022915650902</x:v>
      </x:c>
      <x:c r="N124" t="str">
        <x:f>IF(L124="","",L124/_xlfn.MAXIFS($L:$L,$D:$D,D124))</x:f>
      </x:c>
      <x:c r="O124" t="str">
        <x:f>IF(OR(M124="",N124=""),"",SQRT(M124*N124))</x:f>
      </x:c>
      <x:c r="P124" t="str">
        <x:f>IF(OR(M124="",N124=""),"",M124^0.7*N124^0.3)</x:f>
      </x:c>
      <x:c r="Q124" t="str">
        <x:f>IF(OR(M124="",N124=""),"",M124^0.3*N124^0.7)</x:f>
      </x:c>
    </x:row>
    <x:row r="125">
      <x:c r="A125" t="inlineStr">
        <x:is>
          <x:t xml:space="preserve">anthropic|claude-opus-5|max|reasoning|fallback-na</x:t>
        </x:is>
      </x:c>
      <x:c r="B125" t="inlineStr">
        <x:is>
          <x:t xml:space="preserve">AA|v4.3.2</x:t>
        </x:is>
      </x:c>
      <x:c r="C125" t="n">
        <x:v>17</x:v>
      </x:c>
      <x:c r="D125" t="n">
        <x:v>45</x:v>
      </x:c>
      <x:c r="E125" t="n">
        <x:f>INDEX(Model_TestVersion_Stats!$W:$W,C125)</x:f>
        <x:v>51</x:v>
      </x:c>
      <x:c r="F125" t="n">
        <x:f>INDEX(Model_TestVersion_Stats!$O:$O,C125)</x:f>
        <x:v>5.86</x:v>
      </x:c>
      <x:c r="G125" t="str">
        <x:f>IF(INDEX(Model_TestVersion_Stats!$R:$R,C125)="","",INDEX(Model_TestVersion_Stats!$R:$R,C125)/60)</x:f>
      </x:c>
      <x:c r="H125" t="n">
        <x:f>IF(E125="","",E125-(D125-1))</x:f>
        <x:v>7</x:v>
      </x:c>
      <x:c r="I125" t="n">
        <x:f>IF(H125&gt;0,1,0)</x:f>
        <x:v>1</x:v>
      </x:c>
      <x:c r="J125" t="n">
        <x:f>IF(OR(I125=0,F125="",F125=0),"",H125/F125)</x:f>
        <x:v>1.1945392491467577</x:v>
      </x:c>
      <x:c r="K125" t="n">
        <x:f>IF(OR(I125=0,H125=0,F125=""),"",F125/H125)</x:f>
        <x:v>0.8371428571428572</x:v>
      </x:c>
      <x:c r="L125" t="str">
        <x:f>IF(OR(I125=0,F125="",G125="",F125=0,G125=0),"",H125/(F125*G125))</x:f>
      </x:c>
      <x:c r="M125" t="n">
        <x:f>IF(J125="","",J125/_xlfn.MAXIFS($J:$J,$D:$D,D125))</x:f>
        <x:v>0.06271331058020478</x:v>
      </x:c>
      <x:c r="N125" t="str">
        <x:f>IF(L125="","",L125/_xlfn.MAXIFS($L:$L,$D:$D,D125))</x:f>
      </x:c>
      <x:c r="O125" t="str">
        <x:f>IF(OR(M125="",N125=""),"",SQRT(M125*N125))</x:f>
      </x:c>
      <x:c r="P125" t="str">
        <x:f>IF(OR(M125="",N125=""),"",M125^0.7*N125^0.3)</x:f>
      </x:c>
      <x:c r="Q125" t="str">
        <x:f>IF(OR(M125="",N125=""),"",M125^0.3*N125^0.7)</x:f>
      </x:c>
    </x:row>
    <x:row r="126">
      <x:c r="A126" t="inlineStr">
        <x:is>
          <x:t xml:space="preserve">anthropic|claude-opus-5|max|reasoning|fallback-na</x:t>
        </x:is>
      </x:c>
      <x:c r="B126" t="inlineStr">
        <x:is>
          <x:t xml:space="preserve">AA|v4.3.2</x:t>
        </x:is>
      </x:c>
      <x:c r="C126" t="n">
        <x:v>17</x:v>
      </x:c>
      <x:c r="D126" t="n">
        <x:v>50</x:v>
      </x:c>
      <x:c r="E126" t="n">
        <x:f>INDEX(Model_TestVersion_Stats!$W:$W,C126)</x:f>
        <x:v>51</x:v>
      </x:c>
      <x:c r="F126" t="n">
        <x:f>INDEX(Model_TestVersion_Stats!$O:$O,C126)</x:f>
        <x:v>5.86</x:v>
      </x:c>
      <x:c r="G126" t="str">
        <x:f>IF(INDEX(Model_TestVersion_Stats!$R:$R,C126)="","",INDEX(Model_TestVersion_Stats!$R:$R,C126)/60)</x:f>
      </x:c>
      <x:c r="H126" t="n">
        <x:f>IF(E126="","",E126-(D126-1))</x:f>
        <x:v>2</x:v>
      </x:c>
      <x:c r="I126" t="n">
        <x:f>IF(H126&gt;0,1,0)</x:f>
        <x:v>1</x:v>
      </x:c>
      <x:c r="J126" t="n">
        <x:f>IF(OR(I126=0,F126="",F126=0),"",H126/F126)</x:f>
        <x:v>0.341296928327645</x:v>
      </x:c>
      <x:c r="K126" t="n">
        <x:f>IF(OR(I126=0,H126=0,F126=""),"",F126/H126)</x:f>
        <x:v>2.93</x:v>
      </x:c>
      <x:c r="L126" t="str">
        <x:f>IF(OR(I126=0,F126="",G126="",F126=0,G126=0),"",H126/(F126*G126))</x:f>
      </x:c>
      <x:c r="M126" t="n">
        <x:f>IF(J126="","",J126/_xlfn.MAXIFS($J:$J,$D:$D,D126))</x:f>
        <x:v>0.06655290102389079</x:v>
      </x:c>
      <x:c r="N126" t="str">
        <x:f>IF(L126="","",L126/_xlfn.MAXIFS($L:$L,$D:$D,D126))</x:f>
      </x:c>
      <x:c r="O126" t="str">
        <x:f>IF(OR(M126="",N126=""),"",SQRT(M126*N126))</x:f>
      </x:c>
      <x:c r="P126" t="str">
        <x:f>IF(OR(M126="",N126=""),"",M126^0.7*N126^0.3)</x:f>
      </x:c>
      <x:c r="Q126" t="str">
        <x:f>IF(OR(M126="",N126=""),"",M126^0.3*N126^0.7)</x:f>
      </x:c>
    </x:row>
    <x:row r="127">
      <x:c r="A127" t="inlineStr">
        <x:is>
          <x:t xml:space="preserve">anthropic|claude-opus-5|max|reasoning|fallback-na</x:t>
        </x:is>
      </x:c>
      <x:c r="B127" t="inlineStr">
        <x:is>
          <x:t xml:space="preserve">AA|v4.3.2</x:t>
        </x:is>
      </x:c>
      <x:c r="C127" t="n">
        <x:v>17</x:v>
      </x:c>
      <x:c r="D127" t="n">
        <x:v>52</x:v>
      </x:c>
      <x:c r="E127" t="n">
        <x:f>INDEX(Model_TestVersion_Stats!$W:$W,C127)</x:f>
        <x:v>51</x:v>
      </x:c>
      <x:c r="F127" t="n">
        <x:f>INDEX(Model_TestVersion_Stats!$O:$O,C127)</x:f>
        <x:v>5.86</x:v>
      </x:c>
      <x:c r="G127" t="str">
        <x:f>IF(INDEX(Model_TestVersion_Stats!$R:$R,C127)="","",INDEX(Model_TestVersion_Stats!$R:$R,C127)/60)</x:f>
      </x:c>
      <x:c r="H127" t="n">
        <x:f>IF(E127="","",E127-(D127-1))</x:f>
        <x:v>0</x:v>
      </x:c>
      <x:c r="I127" t="n">
        <x:f>IF(H127&gt;0,1,0)</x:f>
        <x:v>0</x:v>
      </x:c>
      <x:c r="J127" t="str">
        <x:f>IF(OR(I127=0,F127="",F127=0),"",H127/F127)</x:f>
      </x:c>
      <x:c r="K127" t="str">
        <x:f>IF(OR(I127=0,H127=0,F127=""),"",F127/H127)</x:f>
      </x:c>
      <x:c r="L127" t="str">
        <x:f>IF(OR(I127=0,F127="",G127="",F127=0,G127=0),"",H127/(F127*G127))</x:f>
      </x:c>
      <x:c r="M127" t="str">
        <x:f>IF(J127="","",J127/_xlfn.MAXIFS($J:$J,$D:$D,D127))</x:f>
      </x:c>
      <x:c r="N127" t="str">
        <x:f>IF(L127="","",L127/_xlfn.MAXIFS($L:$L,$D:$D,D127))</x:f>
      </x:c>
      <x:c r="O127" t="str">
        <x:f>IF(OR(M127="",N127=""),"",SQRT(M127*N127))</x:f>
      </x:c>
      <x:c r="P127" t="str">
        <x:f>IF(OR(M127="",N127=""),"",M127^0.7*N127^0.3)</x:f>
      </x:c>
      <x:c r="Q127" t="str">
        <x:f>IF(OR(M127="",N127=""),"",M127^0.3*N127^0.7)</x:f>
      </x:c>
    </x:row>
    <x:row r="128">
      <x:c r="A128" t="inlineStr">
        <x:is>
          <x:t xml:space="preserve">anthropic|claude-opus-5|max|reasoning|fallback-na</x:t>
        </x:is>
      </x:c>
      <x:c r="B128" t="inlineStr">
        <x:is>
          <x:t xml:space="preserve">AA|v4.3.2</x:t>
        </x:is>
      </x:c>
      <x:c r="C128" t="n">
        <x:v>17</x:v>
      </x:c>
      <x:c r="D128" t="n">
        <x:v>65</x:v>
      </x:c>
      <x:c r="E128" t="n">
        <x:f>INDEX(Model_TestVersion_Stats!$W:$W,C128)</x:f>
        <x:v>51</x:v>
      </x:c>
      <x:c r="F128" t="n">
        <x:f>INDEX(Model_TestVersion_Stats!$O:$O,C128)</x:f>
        <x:v>5.86</x:v>
      </x:c>
      <x:c r="G128" t="str">
        <x:f>IF(INDEX(Model_TestVersion_Stats!$R:$R,C128)="","",INDEX(Model_TestVersion_Stats!$R:$R,C128)/60)</x:f>
      </x:c>
      <x:c r="H128" t="n">
        <x:f>IF(E128="","",E128-(D128-1))</x:f>
        <x:v>-13</x:v>
      </x:c>
      <x:c r="I128" t="n">
        <x:f>IF(H128&gt;0,1,0)</x:f>
        <x:v>0</x:v>
      </x:c>
      <x:c r="J128" t="str">
        <x:f>IF(OR(I128=0,F128="",F128=0),"",H128/F128)</x:f>
      </x:c>
      <x:c r="K128" t="str">
        <x:f>IF(OR(I128=0,H128=0,F128=""),"",F128/H128)</x:f>
      </x:c>
      <x:c r="L128" t="str">
        <x:f>IF(OR(I128=0,F128="",G128="",F128=0,G128=0),"",H128/(F128*G128))</x:f>
      </x:c>
      <x:c r="M128" t="str">
        <x:f>IF(J128="","",J128/_xlfn.MAXIFS($J:$J,$D:$D,D128))</x:f>
      </x:c>
      <x:c r="N128" t="str">
        <x:f>IF(L128="","",L128/_xlfn.MAXIFS($L:$L,$D:$D,D128))</x:f>
      </x:c>
      <x:c r="O128" t="str">
        <x:f>IF(OR(M128="",N128=""),"",SQRT(M128*N128))</x:f>
      </x:c>
      <x:c r="P128" t="str">
        <x:f>IF(OR(M128="",N128=""),"",M128^0.7*N128^0.3)</x:f>
      </x:c>
      <x:c r="Q128" t="str">
        <x:f>IF(OR(M128="",N128=""),"",M128^0.3*N128^0.7)</x:f>
      </x:c>
    </x:row>
    <x:row r="129">
      <x:c r="A129" t="inlineStr">
        <x:is>
          <x:t xml:space="preserve">anthropic|claude-opus-5|max|reasoning|fallback-na</x:t>
        </x:is>
      </x:c>
      <x:c r="B129" t="inlineStr">
        <x:is>
          <x:t xml:space="preserve">AA|v4.3.2</x:t>
        </x:is>
      </x:c>
      <x:c r="C129" t="n">
        <x:v>17</x:v>
      </x:c>
      <x:c r="D129" t="n">
        <x:v>80</x:v>
      </x:c>
      <x:c r="E129" t="n">
        <x:f>INDEX(Model_TestVersion_Stats!$W:$W,C129)</x:f>
        <x:v>51</x:v>
      </x:c>
      <x:c r="F129" t="n">
        <x:f>INDEX(Model_TestVersion_Stats!$O:$O,C129)</x:f>
        <x:v>5.86</x:v>
      </x:c>
      <x:c r="G129" t="str">
        <x:f>IF(INDEX(Model_TestVersion_Stats!$R:$R,C129)="","",INDEX(Model_TestVersion_Stats!$R:$R,C129)/60)</x:f>
      </x:c>
      <x:c r="H129" t="n">
        <x:f>IF(E129="","",E129-(D129-1))</x:f>
        <x:v>-28</x:v>
      </x:c>
      <x:c r="I129" t="n">
        <x:f>IF(H129&gt;0,1,0)</x:f>
        <x:v>0</x:v>
      </x:c>
      <x:c r="J129" t="str">
        <x:f>IF(OR(I129=0,F129="",F129=0),"",H129/F129)</x:f>
      </x:c>
      <x:c r="K129" t="str">
        <x:f>IF(OR(I129=0,H129=0,F129=""),"",F129/H129)</x:f>
      </x:c>
      <x:c r="L129" t="str">
        <x:f>IF(OR(I129=0,F129="",G129="",F129=0,G129=0),"",H129/(F129*G129))</x:f>
      </x:c>
      <x:c r="M129" t="str">
        <x:f>IF(J129="","",J129/_xlfn.MAXIFS($J:$J,$D:$D,D129))</x:f>
      </x:c>
      <x:c r="N129" t="str">
        <x:f>IF(L129="","",L129/_xlfn.MAXIFS($L:$L,$D:$D,D129))</x:f>
      </x:c>
      <x:c r="O129" t="str">
        <x:f>IF(OR(M129="",N129=""),"",SQRT(M129*N129))</x:f>
      </x:c>
      <x:c r="P129" t="str">
        <x:f>IF(OR(M129="",N129=""),"",M129^0.7*N129^0.3)</x:f>
      </x:c>
      <x:c r="Q129" t="str">
        <x:f>IF(OR(M129="",N129=""),"",M129^0.3*N129^0.7)</x:f>
      </x:c>
    </x:row>
    <x:row r="130">
      <x:c r="A130" t="inlineStr">
        <x:is>
          <x:t xml:space="preserve">anthropic|claude-opus-5|medium|reasoning|fallback-na</x:t>
        </x:is>
      </x:c>
      <x:c r="B130" t="inlineStr">
        <x:is>
          <x:t xml:space="preserve">AA|v4.3.2</x:t>
        </x:is>
      </x:c>
      <x:c r="C130" t="n">
        <x:v>18</x:v>
      </x:c>
      <x:c r="D130" t="n">
        <x:v>20</x:v>
      </x:c>
      <x:c r="E130" t="n">
        <x:f>INDEX(Model_TestVersion_Stats!$W:$W,C130)</x:f>
        <x:v>45</x:v>
      </x:c>
      <x:c r="F130" t="n">
        <x:f>INDEX(Model_TestVersion_Stats!$O:$O,C130)</x:f>
        <x:v>2.19</x:v>
      </x:c>
      <x:c r="G130" t="str">
        <x:f>IF(INDEX(Model_TestVersion_Stats!$R:$R,C130)="","",INDEX(Model_TestVersion_Stats!$R:$R,C130)/60)</x:f>
      </x:c>
      <x:c r="H130" t="n">
        <x:f>IF(E130="","",E130-(D130-1))</x:f>
        <x:v>26</x:v>
      </x:c>
      <x:c r="I130" t="n">
        <x:f>IF(H130&gt;0,1,0)</x:f>
        <x:v>1</x:v>
      </x:c>
      <x:c r="J130" t="n">
        <x:f>IF(OR(I130=0,F130="",F130=0),"",H130/F130)</x:f>
        <x:v>11.872146118721462</x:v>
      </x:c>
      <x:c r="K130" t="n">
        <x:f>IF(OR(I130=0,H130=0,F130=""),"",F130/H130)</x:f>
        <x:v>0.08423076923076923</x:v>
      </x:c>
      <x:c r="L130" t="str">
        <x:f>IF(OR(I130=0,F130="",G130="",F130=0,G130=0),"",H130/(F130*G130))</x:f>
      </x:c>
      <x:c r="M130" t="n">
        <x:f>IF(J130="","",J130/_xlfn.MAXIFS($J:$J,$D:$D,D130))</x:f>
        <x:v>0.021369863013698632</x:v>
      </x:c>
      <x:c r="N130" t="str">
        <x:f>IF(L130="","",L130/_xlfn.MAXIFS($L:$L,$D:$D,D130))</x:f>
      </x:c>
      <x:c r="O130" t="str">
        <x:f>IF(OR(M130="",N130=""),"",SQRT(M130*N130))</x:f>
      </x:c>
      <x:c r="P130" t="str">
        <x:f>IF(OR(M130="",N130=""),"",M130^0.7*N130^0.3)</x:f>
      </x:c>
      <x:c r="Q130" t="str">
        <x:f>IF(OR(M130="",N130=""),"",M130^0.3*N130^0.7)</x:f>
      </x:c>
    </x:row>
    <x:row r="131">
      <x:c r="A131" t="inlineStr">
        <x:is>
          <x:t xml:space="preserve">anthropic|claude-opus-5|medium|reasoning|fallback-na</x:t>
        </x:is>
      </x:c>
      <x:c r="B131" t="inlineStr">
        <x:is>
          <x:t xml:space="preserve">AA|v4.3.2</x:t>
        </x:is>
      </x:c>
      <x:c r="C131" t="n">
        <x:v>18</x:v>
      </x:c>
      <x:c r="D131" t="n">
        <x:v>30</x:v>
      </x:c>
      <x:c r="E131" t="n">
        <x:f>INDEX(Model_TestVersion_Stats!$W:$W,C131)</x:f>
        <x:v>45</x:v>
      </x:c>
      <x:c r="F131" t="n">
        <x:f>INDEX(Model_TestVersion_Stats!$O:$O,C131)</x:f>
        <x:v>2.19</x:v>
      </x:c>
      <x:c r="G131" t="str">
        <x:f>IF(INDEX(Model_TestVersion_Stats!$R:$R,C131)="","",INDEX(Model_TestVersion_Stats!$R:$R,C131)/60)</x:f>
      </x:c>
      <x:c r="H131" t="n">
        <x:f>IF(E131="","",E131-(D131-1))</x:f>
        <x:v>16</x:v>
      </x:c>
      <x:c r="I131" t="n">
        <x:f>IF(H131&gt;0,1,0)</x:f>
        <x:v>1</x:v>
      </x:c>
      <x:c r="J131" t="n">
        <x:f>IF(OR(I131=0,F131="",F131=0),"",H131/F131)</x:f>
        <x:v>7.305936073059361</x:v>
      </x:c>
      <x:c r="K131" t="n">
        <x:f>IF(OR(I131=0,H131=0,F131=""),"",F131/H131)</x:f>
        <x:v>0.136875</x:v>
      </x:c>
      <x:c r="L131" t="str">
        <x:f>IF(OR(I131=0,F131="",G131="",F131=0,G131=0),"",H131/(F131*G131))</x:f>
      </x:c>
      <x:c r="M131" t="n">
        <x:f>IF(J131="","",J131/_xlfn.MAXIFS($J:$J,$D:$D,D131))</x:f>
        <x:v>0.04870624048706241</x:v>
      </x:c>
      <x:c r="N131" t="str">
        <x:f>IF(L131="","",L131/_xlfn.MAXIFS($L:$L,$D:$D,D131))</x:f>
      </x:c>
      <x:c r="O131" t="str">
        <x:f>IF(OR(M131="",N131=""),"",SQRT(M131*N131))</x:f>
      </x:c>
      <x:c r="P131" t="str">
        <x:f>IF(OR(M131="",N131=""),"",M131^0.7*N131^0.3)</x:f>
      </x:c>
      <x:c r="Q131" t="str">
        <x:f>IF(OR(M131="",N131=""),"",M131^0.3*N131^0.7)</x:f>
      </x:c>
    </x:row>
    <x:row r="132">
      <x:c r="A132" t="inlineStr">
        <x:is>
          <x:t xml:space="preserve">anthropic|claude-opus-5|medium|reasoning|fallback-na</x:t>
        </x:is>
      </x:c>
      <x:c r="B132" t="inlineStr">
        <x:is>
          <x:t xml:space="preserve">AA|v4.3.2</x:t>
        </x:is>
      </x:c>
      <x:c r="C132" t="n">
        <x:v>18</x:v>
      </x:c>
      <x:c r="D132" t="n">
        <x:v>40</x:v>
      </x:c>
      <x:c r="E132" t="n">
        <x:f>INDEX(Model_TestVersion_Stats!$W:$W,C132)</x:f>
        <x:v>45</x:v>
      </x:c>
      <x:c r="F132" t="n">
        <x:f>INDEX(Model_TestVersion_Stats!$O:$O,C132)</x:f>
        <x:v>2.19</x:v>
      </x:c>
      <x:c r="G132" t="str">
        <x:f>IF(INDEX(Model_TestVersion_Stats!$R:$R,C132)="","",INDEX(Model_TestVersion_Stats!$R:$R,C132)/60)</x:f>
      </x:c>
      <x:c r="H132" t="n">
        <x:f>IF(E132="","",E132-(D132-1))</x:f>
        <x:v>6</x:v>
      </x:c>
      <x:c r="I132" t="n">
        <x:f>IF(H132&gt;0,1,0)</x:f>
        <x:v>1</x:v>
      </x:c>
      <x:c r="J132" t="n">
        <x:f>IF(OR(I132=0,F132="",F132=0),"",H132/F132)</x:f>
        <x:v>2.73972602739726</x:v>
      </x:c>
      <x:c r="K132" t="n">
        <x:f>IF(OR(I132=0,H132=0,F132=""),"",F132/H132)</x:f>
        <x:v>0.365</x:v>
      </x:c>
      <x:c r="L132" t="str">
        <x:f>IF(OR(I132=0,F132="",G132="",F132=0,G132=0),"",H132/(F132*G132))</x:f>
      </x:c>
      <x:c r="M132" t="n">
        <x:f>IF(J132="","",J132/_xlfn.MAXIFS($J:$J,$D:$D,D132))</x:f>
        <x:v>0.050880626223091974</x:v>
      </x:c>
      <x:c r="N132" t="str">
        <x:f>IF(L132="","",L132/_xlfn.MAXIFS($L:$L,$D:$D,D132))</x:f>
      </x:c>
      <x:c r="O132" t="str">
        <x:f>IF(OR(M132="",N132=""),"",SQRT(M132*N132))</x:f>
      </x:c>
      <x:c r="P132" t="str">
        <x:f>IF(OR(M132="",N132=""),"",M132^0.7*N132^0.3)</x:f>
      </x:c>
      <x:c r="Q132" t="str">
        <x:f>IF(OR(M132="",N132=""),"",M132^0.3*N132^0.7)</x:f>
      </x:c>
    </x:row>
    <x:row r="133">
      <x:c r="A133" t="inlineStr">
        <x:is>
          <x:t xml:space="preserve">anthropic|claude-opus-5|medium|reasoning|fallback-na</x:t>
        </x:is>
      </x:c>
      <x:c r="B133" t="inlineStr">
        <x:is>
          <x:t xml:space="preserve">AA|v4.3.2</x:t>
        </x:is>
      </x:c>
      <x:c r="C133" t="n">
        <x:v>18</x:v>
      </x:c>
      <x:c r="D133" t="n">
        <x:v>45</x:v>
      </x:c>
      <x:c r="E133" t="n">
        <x:f>INDEX(Model_TestVersion_Stats!$W:$W,C133)</x:f>
        <x:v>45</x:v>
      </x:c>
      <x:c r="F133" t="n">
        <x:f>INDEX(Model_TestVersion_Stats!$O:$O,C133)</x:f>
        <x:v>2.19</x:v>
      </x:c>
      <x:c r="G133" t="str">
        <x:f>IF(INDEX(Model_TestVersion_Stats!$R:$R,C133)="","",INDEX(Model_TestVersion_Stats!$R:$R,C133)/60)</x:f>
      </x:c>
      <x:c r="H133" t="n">
        <x:f>IF(E133="","",E133-(D133-1))</x:f>
        <x:v>1</x:v>
      </x:c>
      <x:c r="I133" t="n">
        <x:f>IF(H133&gt;0,1,0)</x:f>
        <x:v>1</x:v>
      </x:c>
      <x:c r="J133" t="n">
        <x:f>IF(OR(I133=0,F133="",F133=0),"",H133/F133)</x:f>
        <x:v>0.4566210045662101</x:v>
      </x:c>
      <x:c r="K133" t="n">
        <x:f>IF(OR(I133=0,H133=0,F133=""),"",F133/H133)</x:f>
        <x:v>2.19</x:v>
      </x:c>
      <x:c r="L133" t="str">
        <x:f>IF(OR(I133=0,F133="",G133="",F133=0,G133=0),"",H133/(F133*G133))</x:f>
      </x:c>
      <x:c r="M133" t="n">
        <x:f>IF(J133="","",J133/_xlfn.MAXIFS($J:$J,$D:$D,D133))</x:f>
        <x:v>0.02397260273972603</x:v>
      </x:c>
      <x:c r="N133" t="str">
        <x:f>IF(L133="","",L133/_xlfn.MAXIFS($L:$L,$D:$D,D133))</x:f>
      </x:c>
      <x:c r="O133" t="str">
        <x:f>IF(OR(M133="",N133=""),"",SQRT(M133*N133))</x:f>
      </x:c>
      <x:c r="P133" t="str">
        <x:f>IF(OR(M133="",N133=""),"",M133^0.7*N133^0.3)</x:f>
      </x:c>
      <x:c r="Q133" t="str">
        <x:f>IF(OR(M133="",N133=""),"",M133^0.3*N133^0.7)</x:f>
      </x:c>
    </x:row>
    <x:row r="134">
      <x:c r="A134" t="inlineStr">
        <x:is>
          <x:t xml:space="preserve">anthropic|claude-opus-5|medium|reasoning|fallback-na</x:t>
        </x:is>
      </x:c>
      <x:c r="B134" t="inlineStr">
        <x:is>
          <x:t xml:space="preserve">AA|v4.3.2</x:t>
        </x:is>
      </x:c>
      <x:c r="C134" t="n">
        <x:v>18</x:v>
      </x:c>
      <x:c r="D134" t="n">
        <x:v>50</x:v>
      </x:c>
      <x:c r="E134" t="n">
        <x:f>INDEX(Model_TestVersion_Stats!$W:$W,C134)</x:f>
        <x:v>45</x:v>
      </x:c>
      <x:c r="F134" t="n">
        <x:f>INDEX(Model_TestVersion_Stats!$O:$O,C134)</x:f>
        <x:v>2.19</x:v>
      </x:c>
      <x:c r="G134" t="str">
        <x:f>IF(INDEX(Model_TestVersion_Stats!$R:$R,C134)="","",INDEX(Model_TestVersion_Stats!$R:$R,C134)/60)</x:f>
      </x:c>
      <x:c r="H134" t="n">
        <x:f>IF(E134="","",E134-(D134-1))</x:f>
        <x:v>-4</x:v>
      </x:c>
      <x:c r="I134" t="n">
        <x:f>IF(H134&gt;0,1,0)</x:f>
        <x:v>0</x:v>
      </x:c>
      <x:c r="J134" t="str">
        <x:f>IF(OR(I134=0,F134="",F134=0),"",H134/F134)</x:f>
      </x:c>
      <x:c r="K134" t="str">
        <x:f>IF(OR(I134=0,H134=0,F134=""),"",F134/H134)</x:f>
      </x:c>
      <x:c r="L134" t="str">
        <x:f>IF(OR(I134=0,F134="",G134="",F134=0,G134=0),"",H134/(F134*G134))</x:f>
      </x:c>
      <x:c r="M134" t="str">
        <x:f>IF(J134="","",J134/_xlfn.MAXIFS($J:$J,$D:$D,D134))</x:f>
      </x:c>
      <x:c r="N134" t="str">
        <x:f>IF(L134="","",L134/_xlfn.MAXIFS($L:$L,$D:$D,D134))</x:f>
      </x:c>
      <x:c r="O134" t="str">
        <x:f>IF(OR(M134="",N134=""),"",SQRT(M134*N134))</x:f>
      </x:c>
      <x:c r="P134" t="str">
        <x:f>IF(OR(M134="",N134=""),"",M134^0.7*N134^0.3)</x:f>
      </x:c>
      <x:c r="Q134" t="str">
        <x:f>IF(OR(M134="",N134=""),"",M134^0.3*N134^0.7)</x:f>
      </x:c>
    </x:row>
    <x:row r="135">
      <x:c r="A135" t="inlineStr">
        <x:is>
          <x:t xml:space="preserve">anthropic|claude-opus-5|medium|reasoning|fallback-na</x:t>
        </x:is>
      </x:c>
      <x:c r="B135" t="inlineStr">
        <x:is>
          <x:t xml:space="preserve">AA|v4.3.2</x:t>
        </x:is>
      </x:c>
      <x:c r="C135" t="n">
        <x:v>18</x:v>
      </x:c>
      <x:c r="D135" t="n">
        <x:v>52</x:v>
      </x:c>
      <x:c r="E135" t="n">
        <x:f>INDEX(Model_TestVersion_Stats!$W:$W,C135)</x:f>
        <x:v>45</x:v>
      </x:c>
      <x:c r="F135" t="n">
        <x:f>INDEX(Model_TestVersion_Stats!$O:$O,C135)</x:f>
        <x:v>2.19</x:v>
      </x:c>
      <x:c r="G135" t="str">
        <x:f>IF(INDEX(Model_TestVersion_Stats!$R:$R,C135)="","",INDEX(Model_TestVersion_Stats!$R:$R,C135)/60)</x:f>
      </x:c>
      <x:c r="H135" t="n">
        <x:f>IF(E135="","",E135-(D135-1))</x:f>
        <x:v>-6</x:v>
      </x:c>
      <x:c r="I135" t="n">
        <x:f>IF(H135&gt;0,1,0)</x:f>
        <x:v>0</x:v>
      </x:c>
      <x:c r="J135" t="str">
        <x:f>IF(OR(I135=0,F135="",F135=0),"",H135/F135)</x:f>
      </x:c>
      <x:c r="K135" t="str">
        <x:f>IF(OR(I135=0,H135=0,F135=""),"",F135/H135)</x:f>
      </x:c>
      <x:c r="L135" t="str">
        <x:f>IF(OR(I135=0,F135="",G135="",F135=0,G135=0),"",H135/(F135*G135))</x:f>
      </x:c>
      <x:c r="M135" t="str">
        <x:f>IF(J135="","",J135/_xlfn.MAXIFS($J:$J,$D:$D,D135))</x:f>
      </x:c>
      <x:c r="N135" t="str">
        <x:f>IF(L135="","",L135/_xlfn.MAXIFS($L:$L,$D:$D,D135))</x:f>
      </x:c>
      <x:c r="O135" t="str">
        <x:f>IF(OR(M135="",N135=""),"",SQRT(M135*N135))</x:f>
      </x:c>
      <x:c r="P135" t="str">
        <x:f>IF(OR(M135="",N135=""),"",M135^0.7*N135^0.3)</x:f>
      </x:c>
      <x:c r="Q135" t="str">
        <x:f>IF(OR(M135="",N135=""),"",M135^0.3*N135^0.7)</x:f>
      </x:c>
    </x:row>
    <x:row r="136">
      <x:c r="A136" t="inlineStr">
        <x:is>
          <x:t xml:space="preserve">anthropic|claude-opus-5|medium|reasoning|fallback-na</x:t>
        </x:is>
      </x:c>
      <x:c r="B136" t="inlineStr">
        <x:is>
          <x:t xml:space="preserve">AA|v4.3.2</x:t>
        </x:is>
      </x:c>
      <x:c r="C136" t="n">
        <x:v>18</x:v>
      </x:c>
      <x:c r="D136" t="n">
        <x:v>65</x:v>
      </x:c>
      <x:c r="E136" t="n">
        <x:f>INDEX(Model_TestVersion_Stats!$W:$W,C136)</x:f>
        <x:v>45</x:v>
      </x:c>
      <x:c r="F136" t="n">
        <x:f>INDEX(Model_TestVersion_Stats!$O:$O,C136)</x:f>
        <x:v>2.19</x:v>
      </x:c>
      <x:c r="G136" t="str">
        <x:f>IF(INDEX(Model_TestVersion_Stats!$R:$R,C136)="","",INDEX(Model_TestVersion_Stats!$R:$R,C136)/60)</x:f>
      </x:c>
      <x:c r="H136" t="n">
        <x:f>IF(E136="","",E136-(D136-1))</x:f>
        <x:v>-19</x:v>
      </x:c>
      <x:c r="I136" t="n">
        <x:f>IF(H136&gt;0,1,0)</x:f>
        <x:v>0</x:v>
      </x:c>
      <x:c r="J136" t="str">
        <x:f>IF(OR(I136=0,F136="",F136=0),"",H136/F136)</x:f>
      </x:c>
      <x:c r="K136" t="str">
        <x:f>IF(OR(I136=0,H136=0,F136=""),"",F136/H136)</x:f>
      </x:c>
      <x:c r="L136" t="str">
        <x:f>IF(OR(I136=0,F136="",G136="",F136=0,G136=0),"",H136/(F136*G136))</x:f>
      </x:c>
      <x:c r="M136" t="str">
        <x:f>IF(J136="","",J136/_xlfn.MAXIFS($J:$J,$D:$D,D136))</x:f>
      </x:c>
      <x:c r="N136" t="str">
        <x:f>IF(L136="","",L136/_xlfn.MAXIFS($L:$L,$D:$D,D136))</x:f>
      </x:c>
      <x:c r="O136" t="str">
        <x:f>IF(OR(M136="",N136=""),"",SQRT(M136*N136))</x:f>
      </x:c>
      <x:c r="P136" t="str">
        <x:f>IF(OR(M136="",N136=""),"",M136^0.7*N136^0.3)</x:f>
      </x:c>
      <x:c r="Q136" t="str">
        <x:f>IF(OR(M136="",N136=""),"",M136^0.3*N136^0.7)</x:f>
      </x:c>
    </x:row>
    <x:row r="137">
      <x:c r="A137" t="inlineStr">
        <x:is>
          <x:t xml:space="preserve">anthropic|claude-opus-5|medium|reasoning|fallback-na</x:t>
        </x:is>
      </x:c>
      <x:c r="B137" t="inlineStr">
        <x:is>
          <x:t xml:space="preserve">AA|v4.3.2</x:t>
        </x:is>
      </x:c>
      <x:c r="C137" t="n">
        <x:v>18</x:v>
      </x:c>
      <x:c r="D137" t="n">
        <x:v>80</x:v>
      </x:c>
      <x:c r="E137" t="n">
        <x:f>INDEX(Model_TestVersion_Stats!$W:$W,C137)</x:f>
        <x:v>45</x:v>
      </x:c>
      <x:c r="F137" t="n">
        <x:f>INDEX(Model_TestVersion_Stats!$O:$O,C137)</x:f>
        <x:v>2.19</x:v>
      </x:c>
      <x:c r="G137" t="str">
        <x:f>IF(INDEX(Model_TestVersion_Stats!$R:$R,C137)="","",INDEX(Model_TestVersion_Stats!$R:$R,C137)/60)</x:f>
      </x:c>
      <x:c r="H137" t="n">
        <x:f>IF(E137="","",E137-(D137-1))</x:f>
        <x:v>-34</x:v>
      </x:c>
      <x:c r="I137" t="n">
        <x:f>IF(H137&gt;0,1,0)</x:f>
        <x:v>0</x:v>
      </x:c>
      <x:c r="J137" t="str">
        <x:f>IF(OR(I137=0,F137="",F137=0),"",H137/F137)</x:f>
      </x:c>
      <x:c r="K137" t="str">
        <x:f>IF(OR(I137=0,H137=0,F137=""),"",F137/H137)</x:f>
      </x:c>
      <x:c r="L137" t="str">
        <x:f>IF(OR(I137=0,F137="",G137="",F137=0,G137=0),"",H137/(F137*G137))</x:f>
      </x:c>
      <x:c r="M137" t="str">
        <x:f>IF(J137="","",J137/_xlfn.MAXIFS($J:$J,$D:$D,D137))</x:f>
      </x:c>
      <x:c r="N137" t="str">
        <x:f>IF(L137="","",L137/_xlfn.MAXIFS($L:$L,$D:$D,D137))</x:f>
      </x:c>
      <x:c r="O137" t="str">
        <x:f>IF(OR(M137="",N137=""),"",SQRT(M137*N137))</x:f>
      </x:c>
      <x:c r="P137" t="str">
        <x:f>IF(OR(M137="",N137=""),"",M137^0.7*N137^0.3)</x:f>
      </x:c>
      <x:c r="Q137" t="str">
        <x:f>IF(OR(M137="",N137=""),"",M137^0.3*N137^0.7)</x:f>
      </x:c>
    </x:row>
    <x:row r="138">
      <x:c r="A138" t="inlineStr">
        <x:is>
          <x:t xml:space="preserve">anthropic|claude-opus-5|xhigh|reasoning|fallback-na</x:t>
        </x:is>
      </x:c>
      <x:c r="B138" t="inlineStr">
        <x:is>
          <x:t xml:space="preserve">AA|v4.3.2</x:t>
        </x:is>
      </x:c>
      <x:c r="C138" t="n">
        <x:v>19</x:v>
      </x:c>
      <x:c r="D138" t="n">
        <x:v>20</x:v>
      </x:c>
      <x:c r="E138" t="n">
        <x:f>INDEX(Model_TestVersion_Stats!$W:$W,C138)</x:f>
        <x:v>50</x:v>
      </x:c>
      <x:c r="F138" t="n">
        <x:f>INDEX(Model_TestVersion_Stats!$O:$O,C138)</x:f>
        <x:v>4.88</x:v>
      </x:c>
      <x:c r="G138" t="str">
        <x:f>IF(INDEX(Model_TestVersion_Stats!$R:$R,C138)="","",INDEX(Model_TestVersion_Stats!$R:$R,C138)/60)</x:f>
      </x:c>
      <x:c r="H138" t="n">
        <x:f>IF(E138="","",E138-(D138-1))</x:f>
        <x:v>31</x:v>
      </x:c>
      <x:c r="I138" t="n">
        <x:f>IF(H138&gt;0,1,0)</x:f>
        <x:v>1</x:v>
      </x:c>
      <x:c r="J138" t="n">
        <x:f>IF(OR(I138=0,F138="",F138=0),"",H138/F138)</x:f>
        <x:v>6.352459016393443</x:v>
      </x:c>
      <x:c r="K138" t="n">
        <x:f>IF(OR(I138=0,H138=0,F138=""),"",F138/H138)</x:f>
        <x:v>0.15741935483870967</x:v>
      </x:c>
      <x:c r="L138" t="str">
        <x:f>IF(OR(I138=0,F138="",G138="",F138=0,G138=0),"",H138/(F138*G138))</x:f>
      </x:c>
      <x:c r="M138" t="n">
        <x:f>IF(J138="","",J138/_xlfn.MAXIFS($J:$J,$D:$D,D138))</x:f>
        <x:v>0.011434426229508196</x:v>
      </x:c>
      <x:c r="N138" t="str">
        <x:f>IF(L138="","",L138/_xlfn.MAXIFS($L:$L,$D:$D,D138))</x:f>
      </x:c>
      <x:c r="O138" t="str">
        <x:f>IF(OR(M138="",N138=""),"",SQRT(M138*N138))</x:f>
      </x:c>
      <x:c r="P138" t="str">
        <x:f>IF(OR(M138="",N138=""),"",M138^0.7*N138^0.3)</x:f>
      </x:c>
      <x:c r="Q138" t="str">
        <x:f>IF(OR(M138="",N138=""),"",M138^0.3*N138^0.7)</x:f>
      </x:c>
    </x:row>
    <x:row r="139">
      <x:c r="A139" t="inlineStr">
        <x:is>
          <x:t xml:space="preserve">anthropic|claude-opus-5|xhigh|reasoning|fallback-na</x:t>
        </x:is>
      </x:c>
      <x:c r="B139" t="inlineStr">
        <x:is>
          <x:t xml:space="preserve">AA|v4.3.2</x:t>
        </x:is>
      </x:c>
      <x:c r="C139" t="n">
        <x:v>19</x:v>
      </x:c>
      <x:c r="D139" t="n">
        <x:v>30</x:v>
      </x:c>
      <x:c r="E139" t="n">
        <x:f>INDEX(Model_TestVersion_Stats!$W:$W,C139)</x:f>
        <x:v>50</x:v>
      </x:c>
      <x:c r="F139" t="n">
        <x:f>INDEX(Model_TestVersion_Stats!$O:$O,C139)</x:f>
        <x:v>4.88</x:v>
      </x:c>
      <x:c r="G139" t="str">
        <x:f>IF(INDEX(Model_TestVersion_Stats!$R:$R,C139)="","",INDEX(Model_TestVersion_Stats!$R:$R,C139)/60)</x:f>
      </x:c>
      <x:c r="H139" t="n">
        <x:f>IF(E139="","",E139-(D139-1))</x:f>
        <x:v>21</x:v>
      </x:c>
      <x:c r="I139" t="n">
        <x:f>IF(H139&gt;0,1,0)</x:f>
        <x:v>1</x:v>
      </x:c>
      <x:c r="J139" t="n">
        <x:f>IF(OR(I139=0,F139="",F139=0),"",H139/F139)</x:f>
        <x:v>4.30327868852459</x:v>
      </x:c>
      <x:c r="K139" t="n">
        <x:f>IF(OR(I139=0,H139=0,F139=""),"",F139/H139)</x:f>
        <x:v>0.23238095238095238</x:v>
      </x:c>
      <x:c r="L139" t="str">
        <x:f>IF(OR(I139=0,F139="",G139="",F139=0,G139=0),"",H139/(F139*G139))</x:f>
      </x:c>
      <x:c r="M139" t="n">
        <x:f>IF(J139="","",J139/_xlfn.MAXIFS($J:$J,$D:$D,D139))</x:f>
        <x:v>0.02868852459016393</x:v>
      </x:c>
      <x:c r="N139" t="str">
        <x:f>IF(L139="","",L139/_xlfn.MAXIFS($L:$L,$D:$D,D139))</x:f>
      </x:c>
      <x:c r="O139" t="str">
        <x:f>IF(OR(M139="",N139=""),"",SQRT(M139*N139))</x:f>
      </x:c>
      <x:c r="P139" t="str">
        <x:f>IF(OR(M139="",N139=""),"",M139^0.7*N139^0.3)</x:f>
      </x:c>
      <x:c r="Q139" t="str">
        <x:f>IF(OR(M139="",N139=""),"",M139^0.3*N139^0.7)</x:f>
      </x:c>
    </x:row>
    <x:row r="140">
      <x:c r="A140" t="inlineStr">
        <x:is>
          <x:t xml:space="preserve">anthropic|claude-opus-5|xhigh|reasoning|fallback-na</x:t>
        </x:is>
      </x:c>
      <x:c r="B140" t="inlineStr">
        <x:is>
          <x:t xml:space="preserve">AA|v4.3.2</x:t>
        </x:is>
      </x:c>
      <x:c r="C140" t="n">
        <x:v>19</x:v>
      </x:c>
      <x:c r="D140" t="n">
        <x:v>40</x:v>
      </x:c>
      <x:c r="E140" t="n">
        <x:f>INDEX(Model_TestVersion_Stats!$W:$W,C140)</x:f>
        <x:v>50</x:v>
      </x:c>
      <x:c r="F140" t="n">
        <x:f>INDEX(Model_TestVersion_Stats!$O:$O,C140)</x:f>
        <x:v>4.88</x:v>
      </x:c>
      <x:c r="G140" t="str">
        <x:f>IF(INDEX(Model_TestVersion_Stats!$R:$R,C140)="","",INDEX(Model_TestVersion_Stats!$R:$R,C140)/60)</x:f>
      </x:c>
      <x:c r="H140" t="n">
        <x:f>IF(E140="","",E140-(D140-1))</x:f>
        <x:v>11</x:v>
      </x:c>
      <x:c r="I140" t="n">
        <x:f>IF(H140&gt;0,1,0)</x:f>
        <x:v>1</x:v>
      </x:c>
      <x:c r="J140" t="n">
        <x:f>IF(OR(I140=0,F140="",F140=0),"",H140/F140)</x:f>
        <x:v>2.2540983606557377</x:v>
      </x:c>
      <x:c r="K140" t="n">
        <x:f>IF(OR(I140=0,H140=0,F140=""),"",F140/H140)</x:f>
        <x:v>0.4436363636363636</x:v>
      </x:c>
      <x:c r="L140" t="str">
        <x:f>IF(OR(I140=0,F140="",G140="",F140=0,G140=0),"",H140/(F140*G140))</x:f>
      </x:c>
      <x:c r="M140" t="n">
        <x:f>IF(J140="","",J140/_xlfn.MAXIFS($J:$J,$D:$D,D140))</x:f>
        <x:v>0.04186182669789227</x:v>
      </x:c>
      <x:c r="N140" t="str">
        <x:f>IF(L140="","",L140/_xlfn.MAXIFS($L:$L,$D:$D,D140))</x:f>
      </x:c>
      <x:c r="O140" t="str">
        <x:f>IF(OR(M140="",N140=""),"",SQRT(M140*N140))</x:f>
      </x:c>
      <x:c r="P140" t="str">
        <x:f>IF(OR(M140="",N140=""),"",M140^0.7*N140^0.3)</x:f>
      </x:c>
      <x:c r="Q140" t="str">
        <x:f>IF(OR(M140="",N140=""),"",M140^0.3*N140^0.7)</x:f>
      </x:c>
    </x:row>
    <x:row r="141">
      <x:c r="A141" t="inlineStr">
        <x:is>
          <x:t xml:space="preserve">anthropic|claude-opus-5|xhigh|reasoning|fallback-na</x:t>
        </x:is>
      </x:c>
      <x:c r="B141" t="inlineStr">
        <x:is>
          <x:t xml:space="preserve">AA|v4.3.2</x:t>
        </x:is>
      </x:c>
      <x:c r="C141" t="n">
        <x:v>19</x:v>
      </x:c>
      <x:c r="D141" t="n">
        <x:v>45</x:v>
      </x:c>
      <x:c r="E141" t="n">
        <x:f>INDEX(Model_TestVersion_Stats!$W:$W,C141)</x:f>
        <x:v>50</x:v>
      </x:c>
      <x:c r="F141" t="n">
        <x:f>INDEX(Model_TestVersion_Stats!$O:$O,C141)</x:f>
        <x:v>4.88</x:v>
      </x:c>
      <x:c r="G141" t="str">
        <x:f>IF(INDEX(Model_TestVersion_Stats!$R:$R,C141)="","",INDEX(Model_TestVersion_Stats!$R:$R,C141)/60)</x:f>
      </x:c>
      <x:c r="H141" t="n">
        <x:f>IF(E141="","",E141-(D141-1))</x:f>
        <x:v>6</x:v>
      </x:c>
      <x:c r="I141" t="n">
        <x:f>IF(H141&gt;0,1,0)</x:f>
        <x:v>1</x:v>
      </x:c>
      <x:c r="J141" t="n">
        <x:f>IF(OR(I141=0,F141="",F141=0),"",H141/F141)</x:f>
        <x:v>1.2295081967213115</x:v>
      </x:c>
      <x:c r="K141" t="n">
        <x:f>IF(OR(I141=0,H141=0,F141=""),"",F141/H141)</x:f>
        <x:v>0.8133333333333334</x:v>
      </x:c>
      <x:c r="L141" t="str">
        <x:f>IF(OR(I141=0,F141="",G141="",F141=0,G141=0),"",H141/(F141*G141))</x:f>
      </x:c>
      <x:c r="M141" t="n">
        <x:f>IF(J141="","",J141/_xlfn.MAXIFS($J:$J,$D:$D,D141))</x:f>
        <x:v>0.06454918032786885</x:v>
      </x:c>
      <x:c r="N141" t="str">
        <x:f>IF(L141="","",L141/_xlfn.MAXIFS($L:$L,$D:$D,D141))</x:f>
      </x:c>
      <x:c r="O141" t="str">
        <x:f>IF(OR(M141="",N141=""),"",SQRT(M141*N141))</x:f>
      </x:c>
      <x:c r="P141" t="str">
        <x:f>IF(OR(M141="",N141=""),"",M141^0.7*N141^0.3)</x:f>
      </x:c>
      <x:c r="Q141" t="str">
        <x:f>IF(OR(M141="",N141=""),"",M141^0.3*N141^0.7)</x:f>
      </x:c>
    </x:row>
    <x:row r="142">
      <x:c r="A142" t="inlineStr">
        <x:is>
          <x:t xml:space="preserve">anthropic|claude-opus-5|xhigh|reasoning|fallback-na</x:t>
        </x:is>
      </x:c>
      <x:c r="B142" t="inlineStr">
        <x:is>
          <x:t xml:space="preserve">AA|v4.3.2</x:t>
        </x:is>
      </x:c>
      <x:c r="C142" t="n">
        <x:v>19</x:v>
      </x:c>
      <x:c r="D142" t="n">
        <x:v>50</x:v>
      </x:c>
      <x:c r="E142" t="n">
        <x:f>INDEX(Model_TestVersion_Stats!$W:$W,C142)</x:f>
        <x:v>50</x:v>
      </x:c>
      <x:c r="F142" t="n">
        <x:f>INDEX(Model_TestVersion_Stats!$O:$O,C142)</x:f>
        <x:v>4.88</x:v>
      </x:c>
      <x:c r="G142" t="str">
        <x:f>IF(INDEX(Model_TestVersion_Stats!$R:$R,C142)="","",INDEX(Model_TestVersion_Stats!$R:$R,C142)/60)</x:f>
      </x:c>
      <x:c r="H142" t="n">
        <x:f>IF(E142="","",E142-(D142-1))</x:f>
        <x:v>1</x:v>
      </x:c>
      <x:c r="I142" t="n">
        <x:f>IF(H142&gt;0,1,0)</x:f>
        <x:v>1</x:v>
      </x:c>
      <x:c r="J142" t="n">
        <x:f>IF(OR(I142=0,F142="",F142=0),"",H142/F142)</x:f>
        <x:v>0.20491803278688525</x:v>
      </x:c>
      <x:c r="K142" t="n">
        <x:f>IF(OR(I142=0,H142=0,F142=""),"",F142/H142)</x:f>
        <x:v>4.88</x:v>
      </x:c>
      <x:c r="L142" t="str">
        <x:f>IF(OR(I142=0,F142="",G142="",F142=0,G142=0),"",H142/(F142*G142))</x:f>
      </x:c>
      <x:c r="M142" t="n">
        <x:f>IF(J142="","",J142/_xlfn.MAXIFS($J:$J,$D:$D,D142))</x:f>
        <x:v>0.039959016393442626</x:v>
      </x:c>
      <x:c r="N142" t="str">
        <x:f>IF(L142="","",L142/_xlfn.MAXIFS($L:$L,$D:$D,D142))</x:f>
      </x:c>
      <x:c r="O142" t="str">
        <x:f>IF(OR(M142="",N142=""),"",SQRT(M142*N142))</x:f>
      </x:c>
      <x:c r="P142" t="str">
        <x:f>IF(OR(M142="",N142=""),"",M142^0.7*N142^0.3)</x:f>
      </x:c>
      <x:c r="Q142" t="str">
        <x:f>IF(OR(M142="",N142=""),"",M142^0.3*N142^0.7)</x:f>
      </x:c>
    </x:row>
    <x:row r="143">
      <x:c r="A143" t="inlineStr">
        <x:is>
          <x:t xml:space="preserve">anthropic|claude-opus-5|xhigh|reasoning|fallback-na</x:t>
        </x:is>
      </x:c>
      <x:c r="B143" t="inlineStr">
        <x:is>
          <x:t xml:space="preserve">AA|v4.3.2</x:t>
        </x:is>
      </x:c>
      <x:c r="C143" t="n">
        <x:v>19</x:v>
      </x:c>
      <x:c r="D143" t="n">
        <x:v>52</x:v>
      </x:c>
      <x:c r="E143" t="n">
        <x:f>INDEX(Model_TestVersion_Stats!$W:$W,C143)</x:f>
        <x:v>50</x:v>
      </x:c>
      <x:c r="F143" t="n">
        <x:f>INDEX(Model_TestVersion_Stats!$O:$O,C143)</x:f>
        <x:v>4.88</x:v>
      </x:c>
      <x:c r="G143" t="str">
        <x:f>IF(INDEX(Model_TestVersion_Stats!$R:$R,C143)="","",INDEX(Model_TestVersion_Stats!$R:$R,C143)/60)</x:f>
      </x:c>
      <x:c r="H143" t="n">
        <x:f>IF(E143="","",E143-(D143-1))</x:f>
        <x:v>-1</x:v>
      </x:c>
      <x:c r="I143" t="n">
        <x:f>IF(H143&gt;0,1,0)</x:f>
        <x:v>0</x:v>
      </x:c>
      <x:c r="J143" t="str">
        <x:f>IF(OR(I143=0,F143="",F143=0),"",H143/F143)</x:f>
      </x:c>
      <x:c r="K143" t="str">
        <x:f>IF(OR(I143=0,H143=0,F143=""),"",F143/H143)</x:f>
      </x:c>
      <x:c r="L143" t="str">
        <x:f>IF(OR(I143=0,F143="",G143="",F143=0,G143=0),"",H143/(F143*G143))</x:f>
      </x:c>
      <x:c r="M143" t="str">
        <x:f>IF(J143="","",J143/_xlfn.MAXIFS($J:$J,$D:$D,D143))</x:f>
      </x:c>
      <x:c r="N143" t="str">
        <x:f>IF(L143="","",L143/_xlfn.MAXIFS($L:$L,$D:$D,D143))</x:f>
      </x:c>
      <x:c r="O143" t="str">
        <x:f>IF(OR(M143="",N143=""),"",SQRT(M143*N143))</x:f>
      </x:c>
      <x:c r="P143" t="str">
        <x:f>IF(OR(M143="",N143=""),"",M143^0.7*N143^0.3)</x:f>
      </x:c>
      <x:c r="Q143" t="str">
        <x:f>IF(OR(M143="",N143=""),"",M143^0.3*N143^0.7)</x:f>
      </x:c>
    </x:row>
    <x:row r="144">
      <x:c r="A144" t="inlineStr">
        <x:is>
          <x:t xml:space="preserve">anthropic|claude-opus-5|xhigh|reasoning|fallback-na</x:t>
        </x:is>
      </x:c>
      <x:c r="B144" t="inlineStr">
        <x:is>
          <x:t xml:space="preserve">AA|v4.3.2</x:t>
        </x:is>
      </x:c>
      <x:c r="C144" t="n">
        <x:v>19</x:v>
      </x:c>
      <x:c r="D144" t="n">
        <x:v>65</x:v>
      </x:c>
      <x:c r="E144" t="n">
        <x:f>INDEX(Model_TestVersion_Stats!$W:$W,C144)</x:f>
        <x:v>50</x:v>
      </x:c>
      <x:c r="F144" t="n">
        <x:f>INDEX(Model_TestVersion_Stats!$O:$O,C144)</x:f>
        <x:v>4.88</x:v>
      </x:c>
      <x:c r="G144" t="str">
        <x:f>IF(INDEX(Model_TestVersion_Stats!$R:$R,C144)="","",INDEX(Model_TestVersion_Stats!$R:$R,C144)/60)</x:f>
      </x:c>
      <x:c r="H144" t="n">
        <x:f>IF(E144="","",E144-(D144-1))</x:f>
        <x:v>-14</x:v>
      </x:c>
      <x:c r="I144" t="n">
        <x:f>IF(H144&gt;0,1,0)</x:f>
        <x:v>0</x:v>
      </x:c>
      <x:c r="J144" t="str">
        <x:f>IF(OR(I144=0,F144="",F144=0),"",H144/F144)</x:f>
      </x:c>
      <x:c r="K144" t="str">
        <x:f>IF(OR(I144=0,H144=0,F144=""),"",F144/H144)</x:f>
      </x:c>
      <x:c r="L144" t="str">
        <x:f>IF(OR(I144=0,F144="",G144="",F144=0,G144=0),"",H144/(F144*G144))</x:f>
      </x:c>
      <x:c r="M144" t="str">
        <x:f>IF(J144="","",J144/_xlfn.MAXIFS($J:$J,$D:$D,D144))</x:f>
      </x:c>
      <x:c r="N144" t="str">
        <x:f>IF(L144="","",L144/_xlfn.MAXIFS($L:$L,$D:$D,D144))</x:f>
      </x:c>
      <x:c r="O144" t="str">
        <x:f>IF(OR(M144="",N144=""),"",SQRT(M144*N144))</x:f>
      </x:c>
      <x:c r="P144" t="str">
        <x:f>IF(OR(M144="",N144=""),"",M144^0.7*N144^0.3)</x:f>
      </x:c>
      <x:c r="Q144" t="str">
        <x:f>IF(OR(M144="",N144=""),"",M144^0.3*N144^0.7)</x:f>
      </x:c>
    </x:row>
    <x:row r="145">
      <x:c r="A145" t="inlineStr">
        <x:is>
          <x:t xml:space="preserve">anthropic|claude-opus-5|xhigh|reasoning|fallback-na</x:t>
        </x:is>
      </x:c>
      <x:c r="B145" t="inlineStr">
        <x:is>
          <x:t xml:space="preserve">AA|v4.3.2</x:t>
        </x:is>
      </x:c>
      <x:c r="C145" t="n">
        <x:v>19</x:v>
      </x:c>
      <x:c r="D145" t="n">
        <x:v>80</x:v>
      </x:c>
      <x:c r="E145" t="n">
        <x:f>INDEX(Model_TestVersion_Stats!$W:$W,C145)</x:f>
        <x:v>50</x:v>
      </x:c>
      <x:c r="F145" t="n">
        <x:f>INDEX(Model_TestVersion_Stats!$O:$O,C145)</x:f>
        <x:v>4.88</x:v>
      </x:c>
      <x:c r="G145" t="str">
        <x:f>IF(INDEX(Model_TestVersion_Stats!$R:$R,C145)="","",INDEX(Model_TestVersion_Stats!$R:$R,C145)/60)</x:f>
      </x:c>
      <x:c r="H145" t="n">
        <x:f>IF(E145="","",E145-(D145-1))</x:f>
        <x:v>-29</x:v>
      </x:c>
      <x:c r="I145" t="n">
        <x:f>IF(H145&gt;0,1,0)</x:f>
        <x:v>0</x:v>
      </x:c>
      <x:c r="J145" t="str">
        <x:f>IF(OR(I145=0,F145="",F145=0),"",H145/F145)</x:f>
      </x:c>
      <x:c r="K145" t="str">
        <x:f>IF(OR(I145=0,H145=0,F145=""),"",F145/H145)</x:f>
      </x:c>
      <x:c r="L145" t="str">
        <x:f>IF(OR(I145=0,F145="",G145="",F145=0,G145=0),"",H145/(F145*G145))</x:f>
      </x:c>
      <x:c r="M145" t="str">
        <x:f>IF(J145="","",J145/_xlfn.MAXIFS($J:$J,$D:$D,D145))</x:f>
      </x:c>
      <x:c r="N145" t="str">
        <x:f>IF(L145="","",L145/_xlfn.MAXIFS($L:$L,$D:$D,D145))</x:f>
      </x:c>
      <x:c r="O145" t="str">
        <x:f>IF(OR(M145="",N145=""),"",SQRT(M145*N145))</x:f>
      </x:c>
      <x:c r="P145" t="str">
        <x:f>IF(OR(M145="",N145=""),"",M145^0.7*N145^0.3)</x:f>
      </x:c>
      <x:c r="Q145" t="str">
        <x:f>IF(OR(M145="",N145=""),"",M145^0.3*N145^0.7)</x:f>
      </x:c>
    </x:row>
    <x:row r="146">
      <x:c r="A146" t="inlineStr">
        <x:is>
          <x:t xml:space="preserve">anthropic|claude-sonnet-5.5|high|reasoning|fallback-true</x:t>
        </x:is>
      </x:c>
      <x:c r="B146" t="inlineStr">
        <x:is>
          <x:t xml:space="preserve">AA|v4.3.2</x:t>
        </x:is>
      </x:c>
      <x:c r="C146" t="n">
        <x:v>20</x:v>
      </x:c>
      <x:c r="D146" t="n">
        <x:v>20</x:v>
      </x:c>
      <x:c r="E146" t="n">
        <x:f>INDEX(Model_TestVersion_Stats!$W:$W,C146)</x:f>
        <x:v>47</x:v>
      </x:c>
      <x:c r="F146" t="n">
        <x:f>INDEX(Model_TestVersion_Stats!$O:$O,C146)</x:f>
        <x:v>0.98</x:v>
      </x:c>
      <x:c r="G146" t="str">
        <x:f>IF(INDEX(Model_TestVersion_Stats!$R:$R,C146)="","",INDEX(Model_TestVersion_Stats!$R:$R,C146)/60)</x:f>
      </x:c>
      <x:c r="H146" t="n">
        <x:f>IF(E146="","",E146-(D146-1))</x:f>
        <x:v>28</x:v>
      </x:c>
      <x:c r="I146" t="n">
        <x:f>IF(H146&gt;0,1,0)</x:f>
        <x:v>1</x:v>
      </x:c>
      <x:c r="J146" t="n">
        <x:f>IF(OR(I146=0,F146="",F146=0),"",H146/F146)</x:f>
        <x:v>28.571428571428573</x:v>
      </x:c>
      <x:c r="K146" t="n">
        <x:f>IF(OR(I146=0,H146=0,F146=""),"",F146/H146)</x:f>
        <x:v>0.034999999999999996</x:v>
      </x:c>
      <x:c r="L146" t="str">
        <x:f>IF(OR(I146=0,F146="",G146="",F146=0,G146=0),"",H146/(F146*G146))</x:f>
      </x:c>
      <x:c r="M146" t="n">
        <x:f>IF(J146="","",J146/_xlfn.MAXIFS($J:$J,$D:$D,D146))</x:f>
        <x:v>0.051428571428571435</x:v>
      </x:c>
      <x:c r="N146" t="str">
        <x:f>IF(L146="","",L146/_xlfn.MAXIFS($L:$L,$D:$D,D146))</x:f>
      </x:c>
      <x:c r="O146" t="str">
        <x:f>IF(OR(M146="",N146=""),"",SQRT(M146*N146))</x:f>
      </x:c>
      <x:c r="P146" t="str">
        <x:f>IF(OR(M146="",N146=""),"",M146^0.7*N146^0.3)</x:f>
      </x:c>
      <x:c r="Q146" t="str">
        <x:f>IF(OR(M146="",N146=""),"",M146^0.3*N146^0.7)</x:f>
      </x:c>
    </x:row>
    <x:row r="147">
      <x:c r="A147" t="inlineStr">
        <x:is>
          <x:t xml:space="preserve">anthropic|claude-sonnet-5.5|high|reasoning|fallback-true</x:t>
        </x:is>
      </x:c>
      <x:c r="B147" t="inlineStr">
        <x:is>
          <x:t xml:space="preserve">AA|v4.3.2</x:t>
        </x:is>
      </x:c>
      <x:c r="C147" t="n">
        <x:v>20</x:v>
      </x:c>
      <x:c r="D147" t="n">
        <x:v>30</x:v>
      </x:c>
      <x:c r="E147" t="n">
        <x:f>INDEX(Model_TestVersion_Stats!$W:$W,C147)</x:f>
        <x:v>47</x:v>
      </x:c>
      <x:c r="F147" t="n">
        <x:f>INDEX(Model_TestVersion_Stats!$O:$O,C147)</x:f>
        <x:v>0.98</x:v>
      </x:c>
      <x:c r="G147" t="str">
        <x:f>IF(INDEX(Model_TestVersion_Stats!$R:$R,C147)="","",INDEX(Model_TestVersion_Stats!$R:$R,C147)/60)</x:f>
      </x:c>
      <x:c r="H147" t="n">
        <x:f>IF(E147="","",E147-(D147-1))</x:f>
        <x:v>18</x:v>
      </x:c>
      <x:c r="I147" t="n">
        <x:f>IF(H147&gt;0,1,0)</x:f>
        <x:v>1</x:v>
      </x:c>
      <x:c r="J147" t="n">
        <x:f>IF(OR(I147=0,F147="",F147=0),"",H147/F147)</x:f>
        <x:v>18.367346938775512</x:v>
      </x:c>
      <x:c r="K147" t="n">
        <x:f>IF(OR(I147=0,H147=0,F147=""),"",F147/H147)</x:f>
        <x:v>0.05444444444444444</x:v>
      </x:c>
      <x:c r="L147" t="str">
        <x:f>IF(OR(I147=0,F147="",G147="",F147=0,G147=0),"",H147/(F147*G147))</x:f>
      </x:c>
      <x:c r="M147" t="n">
        <x:f>IF(J147="","",J147/_xlfn.MAXIFS($J:$J,$D:$D,D147))</x:f>
        <x:v>0.12244897959183675</x:v>
      </x:c>
      <x:c r="N147" t="str">
        <x:f>IF(L147="","",L147/_xlfn.MAXIFS($L:$L,$D:$D,D147))</x:f>
      </x:c>
      <x:c r="O147" t="str">
        <x:f>IF(OR(M147="",N147=""),"",SQRT(M147*N147))</x:f>
      </x:c>
      <x:c r="P147" t="str">
        <x:f>IF(OR(M147="",N147=""),"",M147^0.7*N147^0.3)</x:f>
      </x:c>
      <x:c r="Q147" t="str">
        <x:f>IF(OR(M147="",N147=""),"",M147^0.3*N147^0.7)</x:f>
      </x:c>
    </x:row>
    <x:row r="148">
      <x:c r="A148" t="inlineStr">
        <x:is>
          <x:t xml:space="preserve">anthropic|claude-sonnet-5.5|high|reasoning|fallback-true</x:t>
        </x:is>
      </x:c>
      <x:c r="B148" t="inlineStr">
        <x:is>
          <x:t xml:space="preserve">AA|v4.3.2</x:t>
        </x:is>
      </x:c>
      <x:c r="C148" t="n">
        <x:v>20</x:v>
      </x:c>
      <x:c r="D148" t="n">
        <x:v>40</x:v>
      </x:c>
      <x:c r="E148" t="n">
        <x:f>INDEX(Model_TestVersion_Stats!$W:$W,C148)</x:f>
        <x:v>47</x:v>
      </x:c>
      <x:c r="F148" t="n">
        <x:f>INDEX(Model_TestVersion_Stats!$O:$O,C148)</x:f>
        <x:v>0.98</x:v>
      </x:c>
      <x:c r="G148" t="str">
        <x:f>IF(INDEX(Model_TestVersion_Stats!$R:$R,C148)="","",INDEX(Model_TestVersion_Stats!$R:$R,C148)/60)</x:f>
      </x:c>
      <x:c r="H148" t="n">
        <x:f>IF(E148="","",E148-(D148-1))</x:f>
        <x:v>8</x:v>
      </x:c>
      <x:c r="I148" t="n">
        <x:f>IF(H148&gt;0,1,0)</x:f>
        <x:v>1</x:v>
      </x:c>
      <x:c r="J148" t="n">
        <x:f>IF(OR(I148=0,F148="",F148=0),"",H148/F148)</x:f>
        <x:v>8.16326530612245</x:v>
      </x:c>
      <x:c r="K148" t="n">
        <x:f>IF(OR(I148=0,H148=0,F148=""),"",F148/H148)</x:f>
        <x:v>0.1225</x:v>
      </x:c>
      <x:c r="L148" t="str">
        <x:f>IF(OR(I148=0,F148="",G148="",F148=0,G148=0),"",H148/(F148*G148))</x:f>
      </x:c>
      <x:c r="M148" t="n">
        <x:f>IF(J148="","",J148/_xlfn.MAXIFS($J:$J,$D:$D,D148))</x:f>
        <x:v>0.15160349854227406</x:v>
      </x:c>
      <x:c r="N148" t="str">
        <x:f>IF(L148="","",L148/_xlfn.MAXIFS($L:$L,$D:$D,D148))</x:f>
      </x:c>
      <x:c r="O148" t="str">
        <x:f>IF(OR(M148="",N148=""),"",SQRT(M148*N148))</x:f>
      </x:c>
      <x:c r="P148" t="str">
        <x:f>IF(OR(M148="",N148=""),"",M148^0.7*N148^0.3)</x:f>
      </x:c>
      <x:c r="Q148" t="str">
        <x:f>IF(OR(M148="",N148=""),"",M148^0.3*N148^0.7)</x:f>
      </x:c>
    </x:row>
    <x:row r="149">
      <x:c r="A149" t="inlineStr">
        <x:is>
          <x:t xml:space="preserve">anthropic|claude-sonnet-5.5|high|reasoning|fallback-true</x:t>
        </x:is>
      </x:c>
      <x:c r="B149" t="inlineStr">
        <x:is>
          <x:t xml:space="preserve">AA|v4.3.2</x:t>
        </x:is>
      </x:c>
      <x:c r="C149" t="n">
        <x:v>20</x:v>
      </x:c>
      <x:c r="D149" t="n">
        <x:v>45</x:v>
      </x:c>
      <x:c r="E149" t="n">
        <x:f>INDEX(Model_TestVersion_Stats!$W:$W,C149)</x:f>
        <x:v>47</x:v>
      </x:c>
      <x:c r="F149" t="n">
        <x:f>INDEX(Model_TestVersion_Stats!$O:$O,C149)</x:f>
        <x:v>0.98</x:v>
      </x:c>
      <x:c r="G149" t="str">
        <x:f>IF(INDEX(Model_TestVersion_Stats!$R:$R,C149)="","",INDEX(Model_TestVersion_Stats!$R:$R,C149)/60)</x:f>
      </x:c>
      <x:c r="H149" t="n">
        <x:f>IF(E149="","",E149-(D149-1))</x:f>
        <x:v>3</x:v>
      </x:c>
      <x:c r="I149" t="n">
        <x:f>IF(H149&gt;0,1,0)</x:f>
        <x:v>1</x:v>
      </x:c>
      <x:c r="J149" t="n">
        <x:f>IF(OR(I149=0,F149="",F149=0),"",H149/F149)</x:f>
        <x:v>3.061224489795918</x:v>
      </x:c>
      <x:c r="K149" t="n">
        <x:f>IF(OR(I149=0,H149=0,F149=""),"",F149/H149)</x:f>
        <x:v>0.32666666666666666</x:v>
      </x:c>
      <x:c r="L149" t="str">
        <x:f>IF(OR(I149=0,F149="",G149="",F149=0,G149=0),"",H149/(F149*G149))</x:f>
      </x:c>
      <x:c r="M149" t="n">
        <x:f>IF(J149="","",J149/_xlfn.MAXIFS($J:$J,$D:$D,D149))</x:f>
        <x:v>0.1607142857142857</x:v>
      </x:c>
      <x:c r="N149" t="str">
        <x:f>IF(L149="","",L149/_xlfn.MAXIFS($L:$L,$D:$D,D149))</x:f>
      </x:c>
      <x:c r="O149" t="str">
        <x:f>IF(OR(M149="",N149=""),"",SQRT(M149*N149))</x:f>
      </x:c>
      <x:c r="P149" t="str">
        <x:f>IF(OR(M149="",N149=""),"",M149^0.7*N149^0.3)</x:f>
      </x:c>
      <x:c r="Q149" t="str">
        <x:f>IF(OR(M149="",N149=""),"",M149^0.3*N149^0.7)</x:f>
      </x:c>
    </x:row>
    <x:row r="150">
      <x:c r="A150" t="inlineStr">
        <x:is>
          <x:t xml:space="preserve">anthropic|claude-sonnet-5.5|high|reasoning|fallback-true</x:t>
        </x:is>
      </x:c>
      <x:c r="B150" t="inlineStr">
        <x:is>
          <x:t xml:space="preserve">AA|v4.3.2</x:t>
        </x:is>
      </x:c>
      <x:c r="C150" t="n">
        <x:v>20</x:v>
      </x:c>
      <x:c r="D150" t="n">
        <x:v>50</x:v>
      </x:c>
      <x:c r="E150" t="n">
        <x:f>INDEX(Model_TestVersion_Stats!$W:$W,C150)</x:f>
        <x:v>47</x:v>
      </x:c>
      <x:c r="F150" t="n">
        <x:f>INDEX(Model_TestVersion_Stats!$O:$O,C150)</x:f>
        <x:v>0.98</x:v>
      </x:c>
      <x:c r="G150" t="str">
        <x:f>IF(INDEX(Model_TestVersion_Stats!$R:$R,C150)="","",INDEX(Model_TestVersion_Stats!$R:$R,C150)/60)</x:f>
      </x:c>
      <x:c r="H150" t="n">
        <x:f>IF(E150="","",E150-(D150-1))</x:f>
        <x:v>-2</x:v>
      </x:c>
      <x:c r="I150" t="n">
        <x:f>IF(H150&gt;0,1,0)</x:f>
        <x:v>0</x:v>
      </x:c>
      <x:c r="J150" t="str">
        <x:f>IF(OR(I150=0,F150="",F150=0),"",H150/F150)</x:f>
      </x:c>
      <x:c r="K150" t="str">
        <x:f>IF(OR(I150=0,H150=0,F150=""),"",F150/H150)</x:f>
      </x:c>
      <x:c r="L150" t="str">
        <x:f>IF(OR(I150=0,F150="",G150="",F150=0,G150=0),"",H150/(F150*G150))</x:f>
      </x:c>
      <x:c r="M150" t="str">
        <x:f>IF(J150="","",J150/_xlfn.MAXIFS($J:$J,$D:$D,D150))</x:f>
      </x:c>
      <x:c r="N150" t="str">
        <x:f>IF(L150="","",L150/_xlfn.MAXIFS($L:$L,$D:$D,D150))</x:f>
      </x:c>
      <x:c r="O150" t="str">
        <x:f>IF(OR(M150="",N150=""),"",SQRT(M150*N150))</x:f>
      </x:c>
      <x:c r="P150" t="str">
        <x:f>IF(OR(M150="",N150=""),"",M150^0.7*N150^0.3)</x:f>
      </x:c>
      <x:c r="Q150" t="str">
        <x:f>IF(OR(M150="",N150=""),"",M150^0.3*N150^0.7)</x:f>
      </x:c>
    </x:row>
    <x:row r="151">
      <x:c r="A151" t="inlineStr">
        <x:is>
          <x:t xml:space="preserve">anthropic|claude-sonnet-5.5|high|reasoning|fallback-true</x:t>
        </x:is>
      </x:c>
      <x:c r="B151" t="inlineStr">
        <x:is>
          <x:t xml:space="preserve">AA|v4.3.2</x:t>
        </x:is>
      </x:c>
      <x:c r="C151" t="n">
        <x:v>20</x:v>
      </x:c>
      <x:c r="D151" t="n">
        <x:v>52</x:v>
      </x:c>
      <x:c r="E151" t="n">
        <x:f>INDEX(Model_TestVersion_Stats!$W:$W,C151)</x:f>
        <x:v>47</x:v>
      </x:c>
      <x:c r="F151" t="n">
        <x:f>INDEX(Model_TestVersion_Stats!$O:$O,C151)</x:f>
        <x:v>0.98</x:v>
      </x:c>
      <x:c r="G151" t="str">
        <x:f>IF(INDEX(Model_TestVersion_Stats!$R:$R,C151)="","",INDEX(Model_TestVersion_Stats!$R:$R,C151)/60)</x:f>
      </x:c>
      <x:c r="H151" t="n">
        <x:f>IF(E151="","",E151-(D151-1))</x:f>
        <x:v>-4</x:v>
      </x:c>
      <x:c r="I151" t="n">
        <x:f>IF(H151&gt;0,1,0)</x:f>
        <x:v>0</x:v>
      </x:c>
      <x:c r="J151" t="str">
        <x:f>IF(OR(I151=0,F151="",F151=0),"",H151/F151)</x:f>
      </x:c>
      <x:c r="K151" t="str">
        <x:f>IF(OR(I151=0,H151=0,F151=""),"",F151/H151)</x:f>
      </x:c>
      <x:c r="L151" t="str">
        <x:f>IF(OR(I151=0,F151="",G151="",F151=0,G151=0),"",H151/(F151*G151))</x:f>
      </x:c>
      <x:c r="M151" t="str">
        <x:f>IF(J151="","",J151/_xlfn.MAXIFS($J:$J,$D:$D,D151))</x:f>
      </x:c>
      <x:c r="N151" t="str">
        <x:f>IF(L151="","",L151/_xlfn.MAXIFS($L:$L,$D:$D,D151))</x:f>
      </x:c>
      <x:c r="O151" t="str">
        <x:f>IF(OR(M151="",N151=""),"",SQRT(M151*N151))</x:f>
      </x:c>
      <x:c r="P151" t="str">
        <x:f>IF(OR(M151="",N151=""),"",M151^0.7*N151^0.3)</x:f>
      </x:c>
      <x:c r="Q151" t="str">
        <x:f>IF(OR(M151="",N151=""),"",M151^0.3*N151^0.7)</x:f>
      </x:c>
    </x:row>
    <x:row r="152">
      <x:c r="A152" t="inlineStr">
        <x:is>
          <x:t xml:space="preserve">anthropic|claude-sonnet-5.5|high|reasoning|fallback-true</x:t>
        </x:is>
      </x:c>
      <x:c r="B152" t="inlineStr">
        <x:is>
          <x:t xml:space="preserve">AA|v4.3.2</x:t>
        </x:is>
      </x:c>
      <x:c r="C152" t="n">
        <x:v>20</x:v>
      </x:c>
      <x:c r="D152" t="n">
        <x:v>65</x:v>
      </x:c>
      <x:c r="E152" t="n">
        <x:f>INDEX(Model_TestVersion_Stats!$W:$W,C152)</x:f>
        <x:v>47</x:v>
      </x:c>
      <x:c r="F152" t="n">
        <x:f>INDEX(Model_TestVersion_Stats!$O:$O,C152)</x:f>
        <x:v>0.98</x:v>
      </x:c>
      <x:c r="G152" t="str">
        <x:f>IF(INDEX(Model_TestVersion_Stats!$R:$R,C152)="","",INDEX(Model_TestVersion_Stats!$R:$R,C152)/60)</x:f>
      </x:c>
      <x:c r="H152" t="n">
        <x:f>IF(E152="","",E152-(D152-1))</x:f>
        <x:v>-17</x:v>
      </x:c>
      <x:c r="I152" t="n">
        <x:f>IF(H152&gt;0,1,0)</x:f>
        <x:v>0</x:v>
      </x:c>
      <x:c r="J152" t="str">
        <x:f>IF(OR(I152=0,F152="",F152=0),"",H152/F152)</x:f>
      </x:c>
      <x:c r="K152" t="str">
        <x:f>IF(OR(I152=0,H152=0,F152=""),"",F152/H152)</x:f>
      </x:c>
      <x:c r="L152" t="str">
        <x:f>IF(OR(I152=0,F152="",G152="",F152=0,G152=0),"",H152/(F152*G152))</x:f>
      </x:c>
      <x:c r="M152" t="str">
        <x:f>IF(J152="","",J152/_xlfn.MAXIFS($J:$J,$D:$D,D152))</x:f>
      </x:c>
      <x:c r="N152" t="str">
        <x:f>IF(L152="","",L152/_xlfn.MAXIFS($L:$L,$D:$D,D152))</x:f>
      </x:c>
      <x:c r="O152" t="str">
        <x:f>IF(OR(M152="",N152=""),"",SQRT(M152*N152))</x:f>
      </x:c>
      <x:c r="P152" t="str">
        <x:f>IF(OR(M152="",N152=""),"",M152^0.7*N152^0.3)</x:f>
      </x:c>
      <x:c r="Q152" t="str">
        <x:f>IF(OR(M152="",N152=""),"",M152^0.3*N152^0.7)</x:f>
      </x:c>
    </x:row>
    <x:row r="153">
      <x:c r="A153" t="inlineStr">
        <x:is>
          <x:t xml:space="preserve">anthropic|claude-sonnet-5.5|high|reasoning|fallback-true</x:t>
        </x:is>
      </x:c>
      <x:c r="B153" t="inlineStr">
        <x:is>
          <x:t xml:space="preserve">AA|v4.3.2</x:t>
        </x:is>
      </x:c>
      <x:c r="C153" t="n">
        <x:v>20</x:v>
      </x:c>
      <x:c r="D153" t="n">
        <x:v>80</x:v>
      </x:c>
      <x:c r="E153" t="n">
        <x:f>INDEX(Model_TestVersion_Stats!$W:$W,C153)</x:f>
        <x:v>47</x:v>
      </x:c>
      <x:c r="F153" t="n">
        <x:f>INDEX(Model_TestVersion_Stats!$O:$O,C153)</x:f>
        <x:v>0.98</x:v>
      </x:c>
      <x:c r="G153" t="str">
        <x:f>IF(INDEX(Model_TestVersion_Stats!$R:$R,C153)="","",INDEX(Model_TestVersion_Stats!$R:$R,C153)/60)</x:f>
      </x:c>
      <x:c r="H153" t="n">
        <x:f>IF(E153="","",E153-(D153-1))</x:f>
        <x:v>-32</x:v>
      </x:c>
      <x:c r="I153" t="n">
        <x:f>IF(H153&gt;0,1,0)</x:f>
        <x:v>0</x:v>
      </x:c>
      <x:c r="J153" t="str">
        <x:f>IF(OR(I153=0,F153="",F153=0),"",H153/F153)</x:f>
      </x:c>
      <x:c r="K153" t="str">
        <x:f>IF(OR(I153=0,H153=0,F153=""),"",F153/H153)</x:f>
      </x:c>
      <x:c r="L153" t="str">
        <x:f>IF(OR(I153=0,F153="",G153="",F153=0,G153=0),"",H153/(F153*G153))</x:f>
      </x:c>
      <x:c r="M153" t="str">
        <x:f>IF(J153="","",J153/_xlfn.MAXIFS($J:$J,$D:$D,D153))</x:f>
      </x:c>
      <x:c r="N153" t="str">
        <x:f>IF(L153="","",L153/_xlfn.MAXIFS($L:$L,$D:$D,D153))</x:f>
      </x:c>
      <x:c r="O153" t="str">
        <x:f>IF(OR(M153="",N153=""),"",SQRT(M153*N153))</x:f>
      </x:c>
      <x:c r="P153" t="str">
        <x:f>IF(OR(M153="",N153=""),"",M153^0.7*N153^0.3)</x:f>
      </x:c>
      <x:c r="Q153" t="str">
        <x:f>IF(OR(M153="",N153=""),"",M153^0.3*N153^0.7)</x:f>
      </x:c>
    </x:row>
    <x:row r="154">
      <x:c r="A154" t="inlineStr">
        <x:is>
          <x:t xml:space="preserve">anthropic|claude-sonnet-5.5|low|reasoning|fallback-true</x:t>
        </x:is>
      </x:c>
      <x:c r="B154" t="inlineStr">
        <x:is>
          <x:t xml:space="preserve">AA|v4.3.2</x:t>
        </x:is>
      </x:c>
      <x:c r="C154" t="n">
        <x:v>21</x:v>
      </x:c>
      <x:c r="D154" t="n">
        <x:v>20</x:v>
      </x:c>
      <x:c r="E154" t="n">
        <x:f>INDEX(Model_TestVersion_Stats!$W:$W,C154)</x:f>
        <x:v>36</x:v>
      </x:c>
      <x:c r="F154" t="n">
        <x:f>INDEX(Model_TestVersion_Stats!$O:$O,C154)</x:f>
        <x:v>0.38</x:v>
      </x:c>
      <x:c r="G154" t="str">
        <x:f>IF(INDEX(Model_TestVersion_Stats!$R:$R,C154)="","",INDEX(Model_TestVersion_Stats!$R:$R,C154)/60)</x:f>
      </x:c>
      <x:c r="H154" t="n">
        <x:f>IF(E154="","",E154-(D154-1))</x:f>
        <x:v>17</x:v>
      </x:c>
      <x:c r="I154" t="n">
        <x:f>IF(H154&gt;0,1,0)</x:f>
        <x:v>1</x:v>
      </x:c>
      <x:c r="J154" t="n">
        <x:f>IF(OR(I154=0,F154="",F154=0),"",H154/F154)</x:f>
        <x:v>44.73684210526316</x:v>
      </x:c>
      <x:c r="K154" t="n">
        <x:f>IF(OR(I154=0,H154=0,F154=""),"",F154/H154)</x:f>
        <x:v>0.02235294117647059</x:v>
      </x:c>
      <x:c r="L154" t="str">
        <x:f>IF(OR(I154=0,F154="",G154="",F154=0,G154=0),"",H154/(F154*G154))</x:f>
      </x:c>
      <x:c r="M154" t="n">
        <x:f>IF(J154="","",J154/_xlfn.MAXIFS($J:$J,$D:$D,D154))</x:f>
        <x:v>0.08052631578947368</x:v>
      </x:c>
      <x:c r="N154" t="str">
        <x:f>IF(L154="","",L154/_xlfn.MAXIFS($L:$L,$D:$D,D154))</x:f>
      </x:c>
      <x:c r="O154" t="str">
        <x:f>IF(OR(M154="",N154=""),"",SQRT(M154*N154))</x:f>
      </x:c>
      <x:c r="P154" t="str">
        <x:f>IF(OR(M154="",N154=""),"",M154^0.7*N154^0.3)</x:f>
      </x:c>
      <x:c r="Q154" t="str">
        <x:f>IF(OR(M154="",N154=""),"",M154^0.3*N154^0.7)</x:f>
      </x:c>
    </x:row>
    <x:row r="155">
      <x:c r="A155" t="inlineStr">
        <x:is>
          <x:t xml:space="preserve">anthropic|claude-sonnet-5.5|low|reasoning|fallback-true</x:t>
        </x:is>
      </x:c>
      <x:c r="B155" t="inlineStr">
        <x:is>
          <x:t xml:space="preserve">AA|v4.3.2</x:t>
        </x:is>
      </x:c>
      <x:c r="C155" t="n">
        <x:v>21</x:v>
      </x:c>
      <x:c r="D155" t="n">
        <x:v>30</x:v>
      </x:c>
      <x:c r="E155" t="n">
        <x:f>INDEX(Model_TestVersion_Stats!$W:$W,C155)</x:f>
        <x:v>36</x:v>
      </x:c>
      <x:c r="F155" t="n">
        <x:f>INDEX(Model_TestVersion_Stats!$O:$O,C155)</x:f>
        <x:v>0.38</x:v>
      </x:c>
      <x:c r="G155" t="str">
        <x:f>IF(INDEX(Model_TestVersion_Stats!$R:$R,C155)="","",INDEX(Model_TestVersion_Stats!$R:$R,C155)/60)</x:f>
      </x:c>
      <x:c r="H155" t="n">
        <x:f>IF(E155="","",E155-(D155-1))</x:f>
        <x:v>7</x:v>
      </x:c>
      <x:c r="I155" t="n">
        <x:f>IF(H155&gt;0,1,0)</x:f>
        <x:v>1</x:v>
      </x:c>
      <x:c r="J155" t="n">
        <x:f>IF(OR(I155=0,F155="",F155=0),"",H155/F155)</x:f>
        <x:v>18.42105263157895</x:v>
      </x:c>
      <x:c r="K155" t="n">
        <x:f>IF(OR(I155=0,H155=0,F155=""),"",F155/H155)</x:f>
        <x:v>0.054285714285714284</x:v>
      </x:c>
      <x:c r="L155" t="str">
        <x:f>IF(OR(I155=0,F155="",G155="",F155=0,G155=0),"",H155/(F155*G155))</x:f>
      </x:c>
      <x:c r="M155" t="n">
        <x:f>IF(J155="","",J155/_xlfn.MAXIFS($J:$J,$D:$D,D155))</x:f>
        <x:v>0.12280701754385966</x:v>
      </x:c>
      <x:c r="N155" t="str">
        <x:f>IF(L155="","",L155/_xlfn.MAXIFS($L:$L,$D:$D,D155))</x:f>
      </x:c>
      <x:c r="O155" t="str">
        <x:f>IF(OR(M155="",N155=""),"",SQRT(M155*N155))</x:f>
      </x:c>
      <x:c r="P155" t="str">
        <x:f>IF(OR(M155="",N155=""),"",M155^0.7*N155^0.3)</x:f>
      </x:c>
      <x:c r="Q155" t="str">
        <x:f>IF(OR(M155="",N155=""),"",M155^0.3*N155^0.7)</x:f>
      </x:c>
    </x:row>
    <x:row r="156">
      <x:c r="A156" t="inlineStr">
        <x:is>
          <x:t xml:space="preserve">anthropic|claude-sonnet-5.5|low|reasoning|fallback-true</x:t>
        </x:is>
      </x:c>
      <x:c r="B156" t="inlineStr">
        <x:is>
          <x:t xml:space="preserve">AA|v4.3.2</x:t>
        </x:is>
      </x:c>
      <x:c r="C156" t="n">
        <x:v>21</x:v>
      </x:c>
      <x:c r="D156" t="n">
        <x:v>40</x:v>
      </x:c>
      <x:c r="E156" t="n">
        <x:f>INDEX(Model_TestVersion_Stats!$W:$W,C156)</x:f>
        <x:v>36</x:v>
      </x:c>
      <x:c r="F156" t="n">
        <x:f>INDEX(Model_TestVersion_Stats!$O:$O,C156)</x:f>
        <x:v>0.38</x:v>
      </x:c>
      <x:c r="G156" t="str">
        <x:f>IF(INDEX(Model_TestVersion_Stats!$R:$R,C156)="","",INDEX(Model_TestVersion_Stats!$R:$R,C156)/60)</x:f>
      </x:c>
      <x:c r="H156" t="n">
        <x:f>IF(E156="","",E156-(D156-1))</x:f>
        <x:v>-3</x:v>
      </x:c>
      <x:c r="I156" t="n">
        <x:f>IF(H156&gt;0,1,0)</x:f>
        <x:v>0</x:v>
      </x:c>
      <x:c r="J156" t="str">
        <x:f>IF(OR(I156=0,F156="",F156=0),"",H156/F156)</x:f>
      </x:c>
      <x:c r="K156" t="str">
        <x:f>IF(OR(I156=0,H156=0,F156=""),"",F156/H156)</x:f>
      </x:c>
      <x:c r="L156" t="str">
        <x:f>IF(OR(I156=0,F156="",G156="",F156=0,G156=0),"",H156/(F156*G156))</x:f>
      </x:c>
      <x:c r="M156" t="str">
        <x:f>IF(J156="","",J156/_xlfn.MAXIFS($J:$J,$D:$D,D156))</x:f>
      </x:c>
      <x:c r="N156" t="str">
        <x:f>IF(L156="","",L156/_xlfn.MAXIFS($L:$L,$D:$D,D156))</x:f>
      </x:c>
      <x:c r="O156" t="str">
        <x:f>IF(OR(M156="",N156=""),"",SQRT(M156*N156))</x:f>
      </x:c>
      <x:c r="P156" t="str">
        <x:f>IF(OR(M156="",N156=""),"",M156^0.7*N156^0.3)</x:f>
      </x:c>
      <x:c r="Q156" t="str">
        <x:f>IF(OR(M156="",N156=""),"",M156^0.3*N156^0.7)</x:f>
      </x:c>
    </x:row>
    <x:row r="157">
      <x:c r="A157" t="inlineStr">
        <x:is>
          <x:t xml:space="preserve">anthropic|claude-sonnet-5.5|low|reasoning|fallback-true</x:t>
        </x:is>
      </x:c>
      <x:c r="B157" t="inlineStr">
        <x:is>
          <x:t xml:space="preserve">AA|v4.3.2</x:t>
        </x:is>
      </x:c>
      <x:c r="C157" t="n">
        <x:v>21</x:v>
      </x:c>
      <x:c r="D157" t="n">
        <x:v>45</x:v>
      </x:c>
      <x:c r="E157" t="n">
        <x:f>INDEX(Model_TestVersion_Stats!$W:$W,C157)</x:f>
        <x:v>36</x:v>
      </x:c>
      <x:c r="F157" t="n">
        <x:f>INDEX(Model_TestVersion_Stats!$O:$O,C157)</x:f>
        <x:v>0.38</x:v>
      </x:c>
      <x:c r="G157" t="str">
        <x:f>IF(INDEX(Model_TestVersion_Stats!$R:$R,C157)="","",INDEX(Model_TestVersion_Stats!$R:$R,C157)/60)</x:f>
      </x:c>
      <x:c r="H157" t="n">
        <x:f>IF(E157="","",E157-(D157-1))</x:f>
        <x:v>-8</x:v>
      </x:c>
      <x:c r="I157" t="n">
        <x:f>IF(H157&gt;0,1,0)</x:f>
        <x:v>0</x:v>
      </x:c>
      <x:c r="J157" t="str">
        <x:f>IF(OR(I157=0,F157="",F157=0),"",H157/F157)</x:f>
      </x:c>
      <x:c r="K157" t="str">
        <x:f>IF(OR(I157=0,H157=0,F157=""),"",F157/H157)</x:f>
      </x:c>
      <x:c r="L157" t="str">
        <x:f>IF(OR(I157=0,F157="",G157="",F157=0,G157=0),"",H157/(F157*G157))</x:f>
      </x:c>
      <x:c r="M157" t="str">
        <x:f>IF(J157="","",J157/_xlfn.MAXIFS($J:$J,$D:$D,D157))</x:f>
      </x:c>
      <x:c r="N157" t="str">
        <x:f>IF(L157="","",L157/_xlfn.MAXIFS($L:$L,$D:$D,D157))</x:f>
      </x:c>
      <x:c r="O157" t="str">
        <x:f>IF(OR(M157="",N157=""),"",SQRT(M157*N157))</x:f>
      </x:c>
      <x:c r="P157" t="str">
        <x:f>IF(OR(M157="",N157=""),"",M157^0.7*N157^0.3)</x:f>
      </x:c>
      <x:c r="Q157" t="str">
        <x:f>IF(OR(M157="",N157=""),"",M157^0.3*N157^0.7)</x:f>
      </x:c>
    </x:row>
    <x:row r="158">
      <x:c r="A158" t="inlineStr">
        <x:is>
          <x:t xml:space="preserve">anthropic|claude-sonnet-5.5|low|reasoning|fallback-true</x:t>
        </x:is>
      </x:c>
      <x:c r="B158" t="inlineStr">
        <x:is>
          <x:t xml:space="preserve">AA|v4.3.2</x:t>
        </x:is>
      </x:c>
      <x:c r="C158" t="n">
        <x:v>21</x:v>
      </x:c>
      <x:c r="D158" t="n">
        <x:v>50</x:v>
      </x:c>
      <x:c r="E158" t="n">
        <x:f>INDEX(Model_TestVersion_Stats!$W:$W,C158)</x:f>
        <x:v>36</x:v>
      </x:c>
      <x:c r="F158" t="n">
        <x:f>INDEX(Model_TestVersion_Stats!$O:$O,C158)</x:f>
        <x:v>0.38</x:v>
      </x:c>
      <x:c r="G158" t="str">
        <x:f>IF(INDEX(Model_TestVersion_Stats!$R:$R,C158)="","",INDEX(Model_TestVersion_Stats!$R:$R,C158)/60)</x:f>
      </x:c>
      <x:c r="H158" t="n">
        <x:f>IF(E158="","",E158-(D158-1))</x:f>
        <x:v>-13</x:v>
      </x:c>
      <x:c r="I158" t="n">
        <x:f>IF(H158&gt;0,1,0)</x:f>
        <x:v>0</x:v>
      </x:c>
      <x:c r="J158" t="str">
        <x:f>IF(OR(I158=0,F158="",F158=0),"",H158/F158)</x:f>
      </x:c>
      <x:c r="K158" t="str">
        <x:f>IF(OR(I158=0,H158=0,F158=""),"",F158/H158)</x:f>
      </x:c>
      <x:c r="L158" t="str">
        <x:f>IF(OR(I158=0,F158="",G158="",F158=0,G158=0),"",H158/(F158*G158))</x:f>
      </x:c>
      <x:c r="M158" t="str">
        <x:f>IF(J158="","",J158/_xlfn.MAXIFS($J:$J,$D:$D,D158))</x:f>
      </x:c>
      <x:c r="N158" t="str">
        <x:f>IF(L158="","",L158/_xlfn.MAXIFS($L:$L,$D:$D,D158))</x:f>
      </x:c>
      <x:c r="O158" t="str">
        <x:f>IF(OR(M158="",N158=""),"",SQRT(M158*N158))</x:f>
      </x:c>
      <x:c r="P158" t="str">
        <x:f>IF(OR(M158="",N158=""),"",M158^0.7*N158^0.3)</x:f>
      </x:c>
      <x:c r="Q158" t="str">
        <x:f>IF(OR(M158="",N158=""),"",M158^0.3*N158^0.7)</x:f>
      </x:c>
    </x:row>
    <x:row r="159">
      <x:c r="A159" t="inlineStr">
        <x:is>
          <x:t xml:space="preserve">anthropic|claude-sonnet-5.5|low|reasoning|fallback-true</x:t>
        </x:is>
      </x:c>
      <x:c r="B159" t="inlineStr">
        <x:is>
          <x:t xml:space="preserve">AA|v4.3.2</x:t>
        </x:is>
      </x:c>
      <x:c r="C159" t="n">
        <x:v>21</x:v>
      </x:c>
      <x:c r="D159" t="n">
        <x:v>52</x:v>
      </x:c>
      <x:c r="E159" t="n">
        <x:f>INDEX(Model_TestVersion_Stats!$W:$W,C159)</x:f>
        <x:v>36</x:v>
      </x:c>
      <x:c r="F159" t="n">
        <x:f>INDEX(Model_TestVersion_Stats!$O:$O,C159)</x:f>
        <x:v>0.38</x:v>
      </x:c>
      <x:c r="G159" t="str">
        <x:f>IF(INDEX(Model_TestVersion_Stats!$R:$R,C159)="","",INDEX(Model_TestVersion_Stats!$R:$R,C159)/60)</x:f>
      </x:c>
      <x:c r="H159" t="n">
        <x:f>IF(E159="","",E159-(D159-1))</x:f>
        <x:v>-15</x:v>
      </x:c>
      <x:c r="I159" t="n">
        <x:f>IF(H159&gt;0,1,0)</x:f>
        <x:v>0</x:v>
      </x:c>
      <x:c r="J159" t="str">
        <x:f>IF(OR(I159=0,F159="",F159=0),"",H159/F159)</x:f>
      </x:c>
      <x:c r="K159" t="str">
        <x:f>IF(OR(I159=0,H159=0,F159=""),"",F159/H159)</x:f>
      </x:c>
      <x:c r="L159" t="str">
        <x:f>IF(OR(I159=0,F159="",G159="",F159=0,G159=0),"",H159/(F159*G159))</x:f>
      </x:c>
      <x:c r="M159" t="str">
        <x:f>IF(J159="","",J159/_xlfn.MAXIFS($J:$J,$D:$D,D159))</x:f>
      </x:c>
      <x:c r="N159" t="str">
        <x:f>IF(L159="","",L159/_xlfn.MAXIFS($L:$L,$D:$D,D159))</x:f>
      </x:c>
      <x:c r="O159" t="str">
        <x:f>IF(OR(M159="",N159=""),"",SQRT(M159*N159))</x:f>
      </x:c>
      <x:c r="P159" t="str">
        <x:f>IF(OR(M159="",N159=""),"",M159^0.7*N159^0.3)</x:f>
      </x:c>
      <x:c r="Q159" t="str">
        <x:f>IF(OR(M159="",N159=""),"",M159^0.3*N159^0.7)</x:f>
      </x:c>
    </x:row>
    <x:row r="160">
      <x:c r="A160" t="inlineStr">
        <x:is>
          <x:t xml:space="preserve">anthropic|claude-sonnet-5.5|low|reasoning|fallback-true</x:t>
        </x:is>
      </x:c>
      <x:c r="B160" t="inlineStr">
        <x:is>
          <x:t xml:space="preserve">AA|v4.3.2</x:t>
        </x:is>
      </x:c>
      <x:c r="C160" t="n">
        <x:v>21</x:v>
      </x:c>
      <x:c r="D160" t="n">
        <x:v>65</x:v>
      </x:c>
      <x:c r="E160" t="n">
        <x:f>INDEX(Model_TestVersion_Stats!$W:$W,C160)</x:f>
        <x:v>36</x:v>
      </x:c>
      <x:c r="F160" t="n">
        <x:f>INDEX(Model_TestVersion_Stats!$O:$O,C160)</x:f>
        <x:v>0.38</x:v>
      </x:c>
      <x:c r="G160" t="str">
        <x:f>IF(INDEX(Model_TestVersion_Stats!$R:$R,C160)="","",INDEX(Model_TestVersion_Stats!$R:$R,C160)/60)</x:f>
      </x:c>
      <x:c r="H160" t="n">
        <x:f>IF(E160="","",E160-(D160-1))</x:f>
        <x:v>-28</x:v>
      </x:c>
      <x:c r="I160" t="n">
        <x:f>IF(H160&gt;0,1,0)</x:f>
        <x:v>0</x:v>
      </x:c>
      <x:c r="J160" t="str">
        <x:f>IF(OR(I160=0,F160="",F160=0),"",H160/F160)</x:f>
      </x:c>
      <x:c r="K160" t="str">
        <x:f>IF(OR(I160=0,H160=0,F160=""),"",F160/H160)</x:f>
      </x:c>
      <x:c r="L160" t="str">
        <x:f>IF(OR(I160=0,F160="",G160="",F160=0,G160=0),"",H160/(F160*G160))</x:f>
      </x:c>
      <x:c r="M160" t="str">
        <x:f>IF(J160="","",J160/_xlfn.MAXIFS($J:$J,$D:$D,D160))</x:f>
      </x:c>
      <x:c r="N160" t="str">
        <x:f>IF(L160="","",L160/_xlfn.MAXIFS($L:$L,$D:$D,D160))</x:f>
      </x:c>
      <x:c r="O160" t="str">
        <x:f>IF(OR(M160="",N160=""),"",SQRT(M160*N160))</x:f>
      </x:c>
      <x:c r="P160" t="str">
        <x:f>IF(OR(M160="",N160=""),"",M160^0.7*N160^0.3)</x:f>
      </x:c>
      <x:c r="Q160" t="str">
        <x:f>IF(OR(M160="",N160=""),"",M160^0.3*N160^0.7)</x:f>
      </x:c>
    </x:row>
    <x:row r="161">
      <x:c r="A161" t="inlineStr">
        <x:is>
          <x:t xml:space="preserve">anthropic|claude-sonnet-5.5|low|reasoning|fallback-true</x:t>
        </x:is>
      </x:c>
      <x:c r="B161" t="inlineStr">
        <x:is>
          <x:t xml:space="preserve">AA|v4.3.2</x:t>
        </x:is>
      </x:c>
      <x:c r="C161" t="n">
        <x:v>21</x:v>
      </x:c>
      <x:c r="D161" t="n">
        <x:v>80</x:v>
      </x:c>
      <x:c r="E161" t="n">
        <x:f>INDEX(Model_TestVersion_Stats!$W:$W,C161)</x:f>
        <x:v>36</x:v>
      </x:c>
      <x:c r="F161" t="n">
        <x:f>INDEX(Model_TestVersion_Stats!$O:$O,C161)</x:f>
        <x:v>0.38</x:v>
      </x:c>
      <x:c r="G161" t="str">
        <x:f>IF(INDEX(Model_TestVersion_Stats!$R:$R,C161)="","",INDEX(Model_TestVersion_Stats!$R:$R,C161)/60)</x:f>
      </x:c>
      <x:c r="H161" t="n">
        <x:f>IF(E161="","",E161-(D161-1))</x:f>
        <x:v>-43</x:v>
      </x:c>
      <x:c r="I161" t="n">
        <x:f>IF(H161&gt;0,1,0)</x:f>
        <x:v>0</x:v>
      </x:c>
      <x:c r="J161" t="str">
        <x:f>IF(OR(I161=0,F161="",F161=0),"",H161/F161)</x:f>
      </x:c>
      <x:c r="K161" t="str">
        <x:f>IF(OR(I161=0,H161=0,F161=""),"",F161/H161)</x:f>
      </x:c>
      <x:c r="L161" t="str">
        <x:f>IF(OR(I161=0,F161="",G161="",F161=0,G161=0),"",H161/(F161*G161))</x:f>
      </x:c>
      <x:c r="M161" t="str">
        <x:f>IF(J161="","",J161/_xlfn.MAXIFS($J:$J,$D:$D,D161))</x:f>
      </x:c>
      <x:c r="N161" t="str">
        <x:f>IF(L161="","",L161/_xlfn.MAXIFS($L:$L,$D:$D,D161))</x:f>
      </x:c>
      <x:c r="O161" t="str">
        <x:f>IF(OR(M161="",N161=""),"",SQRT(M161*N161))</x:f>
      </x:c>
      <x:c r="P161" t="str">
        <x:f>IF(OR(M161="",N161=""),"",M161^0.7*N161^0.3)</x:f>
      </x:c>
      <x:c r="Q161" t="str">
        <x:f>IF(OR(M161="",N161=""),"",M161^0.3*N161^0.7)</x:f>
      </x:c>
    </x:row>
    <x:row r="162">
      <x:c r="A162" t="inlineStr">
        <x:is>
          <x:t xml:space="preserve">anthropic|claude-sonnet-5.5|max|reasoning|fallback-true</x:t>
        </x:is>
      </x:c>
      <x:c r="B162" t="inlineStr">
        <x:is>
          <x:t xml:space="preserve">AA|v4.3.2</x:t>
        </x:is>
      </x:c>
      <x:c r="C162" t="n">
        <x:v>22</x:v>
      </x:c>
      <x:c r="D162" t="n">
        <x:v>20</x:v>
      </x:c>
      <x:c r="E162" t="n">
        <x:f>INDEX(Model_TestVersion_Stats!$W:$W,C162)</x:f>
        <x:v>56</x:v>
      </x:c>
      <x:c r="F162" t="n">
        <x:f>INDEX(Model_TestVersion_Stats!$O:$O,C162)</x:f>
        <x:v>6.529999999999999</x:v>
      </x:c>
      <x:c r="G162" t="str">
        <x:f>IF(INDEX(Model_TestVersion_Stats!$R:$R,C162)="","",INDEX(Model_TestVersion_Stats!$R:$R,C162)/60)</x:f>
      </x:c>
      <x:c r="H162" t="n">
        <x:f>IF(E162="","",E162-(D162-1))</x:f>
        <x:v>37</x:v>
      </x:c>
      <x:c r="I162" t="n">
        <x:f>IF(H162&gt;0,1,0)</x:f>
        <x:v>1</x:v>
      </x:c>
      <x:c r="J162" t="n">
        <x:f>IF(OR(I162=0,F162="",F162=0),"",H162/F162)</x:f>
        <x:v>5.666156202143951</x:v>
      </x:c>
      <x:c r="K162" t="n">
        <x:f>IF(OR(I162=0,H162=0,F162=""),"",F162/H162)</x:f>
        <x:v>0.17648648648648646</x:v>
      </x:c>
      <x:c r="L162" t="str">
        <x:f>IF(OR(I162=0,F162="",G162="",F162=0,G162=0),"",H162/(F162*G162))</x:f>
      </x:c>
      <x:c r="M162" t="n">
        <x:f>IF(J162="","",J162/_xlfn.MAXIFS($J:$J,$D:$D,D162))</x:f>
        <x:v>0.010199081163859113</x:v>
      </x:c>
      <x:c r="N162" t="str">
        <x:f>IF(L162="","",L162/_xlfn.MAXIFS($L:$L,$D:$D,D162))</x:f>
      </x:c>
      <x:c r="O162" t="str">
        <x:f>IF(OR(M162="",N162=""),"",SQRT(M162*N162))</x:f>
      </x:c>
      <x:c r="P162" t="str">
        <x:f>IF(OR(M162="",N162=""),"",M162^0.7*N162^0.3)</x:f>
      </x:c>
      <x:c r="Q162" t="str">
        <x:f>IF(OR(M162="",N162=""),"",M162^0.3*N162^0.7)</x:f>
      </x:c>
    </x:row>
    <x:row r="163">
      <x:c r="A163" t="inlineStr">
        <x:is>
          <x:t xml:space="preserve">anthropic|claude-sonnet-5.5|max|reasoning|fallback-true</x:t>
        </x:is>
      </x:c>
      <x:c r="B163" t="inlineStr">
        <x:is>
          <x:t xml:space="preserve">AA|v4.3.2</x:t>
        </x:is>
      </x:c>
      <x:c r="C163" t="n">
        <x:v>22</x:v>
      </x:c>
      <x:c r="D163" t="n">
        <x:v>30</x:v>
      </x:c>
      <x:c r="E163" t="n">
        <x:f>INDEX(Model_TestVersion_Stats!$W:$W,C163)</x:f>
        <x:v>56</x:v>
      </x:c>
      <x:c r="F163" t="n">
        <x:f>INDEX(Model_TestVersion_Stats!$O:$O,C163)</x:f>
        <x:v>6.529999999999999</x:v>
      </x:c>
      <x:c r="G163" t="str">
        <x:f>IF(INDEX(Model_TestVersion_Stats!$R:$R,C163)="","",INDEX(Model_TestVersion_Stats!$R:$R,C163)/60)</x:f>
      </x:c>
      <x:c r="H163" t="n">
        <x:f>IF(E163="","",E163-(D163-1))</x:f>
        <x:v>27</x:v>
      </x:c>
      <x:c r="I163" t="n">
        <x:f>IF(H163&gt;0,1,0)</x:f>
        <x:v>1</x:v>
      </x:c>
      <x:c r="J163" t="n">
        <x:f>IF(OR(I163=0,F163="",F163=0),"",H163/F163)</x:f>
        <x:v>4.134762633996938</x:v>
      </x:c>
      <x:c r="K163" t="n">
        <x:f>IF(OR(I163=0,H163=0,F163=""),"",F163/H163)</x:f>
        <x:v>0.24185185185185182</x:v>
      </x:c>
      <x:c r="L163" t="str">
        <x:f>IF(OR(I163=0,F163="",G163="",F163=0,G163=0),"",H163/(F163*G163))</x:f>
      </x:c>
      <x:c r="M163" t="n">
        <x:f>IF(J163="","",J163/_xlfn.MAXIFS($J:$J,$D:$D,D163))</x:f>
        <x:v>0.027565084226646254</x:v>
      </x:c>
      <x:c r="N163" t="str">
        <x:f>IF(L163="","",L163/_xlfn.MAXIFS($L:$L,$D:$D,D163))</x:f>
      </x:c>
      <x:c r="O163" t="str">
        <x:f>IF(OR(M163="",N163=""),"",SQRT(M163*N163))</x:f>
      </x:c>
      <x:c r="P163" t="str">
        <x:f>IF(OR(M163="",N163=""),"",M163^0.7*N163^0.3)</x:f>
      </x:c>
      <x:c r="Q163" t="str">
        <x:f>IF(OR(M163="",N163=""),"",M163^0.3*N163^0.7)</x:f>
      </x:c>
    </x:row>
    <x:row r="164">
      <x:c r="A164" t="inlineStr">
        <x:is>
          <x:t xml:space="preserve">anthropic|claude-sonnet-5.5|max|reasoning|fallback-true</x:t>
        </x:is>
      </x:c>
      <x:c r="B164" t="inlineStr">
        <x:is>
          <x:t xml:space="preserve">AA|v4.3.2</x:t>
        </x:is>
      </x:c>
      <x:c r="C164" t="n">
        <x:v>22</x:v>
      </x:c>
      <x:c r="D164" t="n">
        <x:v>40</x:v>
      </x:c>
      <x:c r="E164" t="n">
        <x:f>INDEX(Model_TestVersion_Stats!$W:$W,C164)</x:f>
        <x:v>56</x:v>
      </x:c>
      <x:c r="F164" t="n">
        <x:f>INDEX(Model_TestVersion_Stats!$O:$O,C164)</x:f>
        <x:v>6.529999999999999</x:v>
      </x:c>
      <x:c r="G164" t="str">
        <x:f>IF(INDEX(Model_TestVersion_Stats!$R:$R,C164)="","",INDEX(Model_TestVersion_Stats!$R:$R,C164)/60)</x:f>
      </x:c>
      <x:c r="H164" t="n">
        <x:f>IF(E164="","",E164-(D164-1))</x:f>
        <x:v>17</x:v>
      </x:c>
      <x:c r="I164" t="n">
        <x:f>IF(H164&gt;0,1,0)</x:f>
        <x:v>1</x:v>
      </x:c>
      <x:c r="J164" t="n">
        <x:f>IF(OR(I164=0,F164="",F164=0),"",H164/F164)</x:f>
        <x:v>2.6033690658499236</x:v>
      </x:c>
      <x:c r="K164" t="n">
        <x:f>IF(OR(I164=0,H164=0,F164=""),"",F164/H164)</x:f>
        <x:v>0.3841176470588235</x:v>
      </x:c>
      <x:c r="L164" t="str">
        <x:f>IF(OR(I164=0,F164="",G164="",F164=0,G164=0),"",H164/(F164*G164))</x:f>
      </x:c>
      <x:c r="M164" t="n">
        <x:f>IF(J164="","",J164/_xlfn.MAXIFS($J:$J,$D:$D,D164))</x:f>
        <x:v>0.04834828265149858</x:v>
      </x:c>
      <x:c r="N164" t="str">
        <x:f>IF(L164="","",L164/_xlfn.MAXIFS($L:$L,$D:$D,D164))</x:f>
      </x:c>
      <x:c r="O164" t="str">
        <x:f>IF(OR(M164="",N164=""),"",SQRT(M164*N164))</x:f>
      </x:c>
      <x:c r="P164" t="str">
        <x:f>IF(OR(M164="",N164=""),"",M164^0.7*N164^0.3)</x:f>
      </x:c>
      <x:c r="Q164" t="str">
        <x:f>IF(OR(M164="",N164=""),"",M164^0.3*N164^0.7)</x:f>
      </x:c>
    </x:row>
    <x:row r="165">
      <x:c r="A165" t="inlineStr">
        <x:is>
          <x:t xml:space="preserve">anthropic|claude-sonnet-5.5|max|reasoning|fallback-true</x:t>
        </x:is>
      </x:c>
      <x:c r="B165" t="inlineStr">
        <x:is>
          <x:t xml:space="preserve">AA|v4.3.2</x:t>
        </x:is>
      </x:c>
      <x:c r="C165" t="n">
        <x:v>22</x:v>
      </x:c>
      <x:c r="D165" t="n">
        <x:v>45</x:v>
      </x:c>
      <x:c r="E165" t="n">
        <x:f>INDEX(Model_TestVersion_Stats!$W:$W,C165)</x:f>
        <x:v>56</x:v>
      </x:c>
      <x:c r="F165" t="n">
        <x:f>INDEX(Model_TestVersion_Stats!$O:$O,C165)</x:f>
        <x:v>6.529999999999999</x:v>
      </x:c>
      <x:c r="G165" t="str">
        <x:f>IF(INDEX(Model_TestVersion_Stats!$R:$R,C165)="","",INDEX(Model_TestVersion_Stats!$R:$R,C165)/60)</x:f>
      </x:c>
      <x:c r="H165" t="n">
        <x:f>IF(E165="","",E165-(D165-1))</x:f>
        <x:v>12</x:v>
      </x:c>
      <x:c r="I165" t="n">
        <x:f>IF(H165&gt;0,1,0)</x:f>
        <x:v>1</x:v>
      </x:c>
      <x:c r="J165" t="n">
        <x:f>IF(OR(I165=0,F165="",F165=0),"",H165/F165)</x:f>
        <x:v>1.8376722817764166</x:v>
      </x:c>
      <x:c r="K165" t="n">
        <x:f>IF(OR(I165=0,H165=0,F165=""),"",F165/H165)</x:f>
        <x:v>0.5441666666666666</x:v>
      </x:c>
      <x:c r="L165" t="str">
        <x:f>IF(OR(I165=0,F165="",G165="",F165=0,G165=0),"",H165/(F165*G165))</x:f>
      </x:c>
      <x:c r="M165" t="n">
        <x:f>IF(J165="","",J165/_xlfn.MAXIFS($J:$J,$D:$D,D165))</x:f>
        <x:v>0.09647779479326188</x:v>
      </x:c>
      <x:c r="N165" t="str">
        <x:f>IF(L165="","",L165/_xlfn.MAXIFS($L:$L,$D:$D,D165))</x:f>
      </x:c>
      <x:c r="O165" t="str">
        <x:f>IF(OR(M165="",N165=""),"",SQRT(M165*N165))</x:f>
      </x:c>
      <x:c r="P165" t="str">
        <x:f>IF(OR(M165="",N165=""),"",M165^0.7*N165^0.3)</x:f>
      </x:c>
      <x:c r="Q165" t="str">
        <x:f>IF(OR(M165="",N165=""),"",M165^0.3*N165^0.7)</x:f>
      </x:c>
    </x:row>
    <x:row r="166">
      <x:c r="A166" t="inlineStr">
        <x:is>
          <x:t xml:space="preserve">anthropic|claude-sonnet-5.5|max|reasoning|fallback-true</x:t>
        </x:is>
      </x:c>
      <x:c r="B166" t="inlineStr">
        <x:is>
          <x:t xml:space="preserve">AA|v4.3.2</x:t>
        </x:is>
      </x:c>
      <x:c r="C166" t="n">
        <x:v>22</x:v>
      </x:c>
      <x:c r="D166" t="n">
        <x:v>50</x:v>
      </x:c>
      <x:c r="E166" t="n">
        <x:f>INDEX(Model_TestVersion_Stats!$W:$W,C166)</x:f>
        <x:v>56</x:v>
      </x:c>
      <x:c r="F166" t="n">
        <x:f>INDEX(Model_TestVersion_Stats!$O:$O,C166)</x:f>
        <x:v>6.529999999999999</x:v>
      </x:c>
      <x:c r="G166" t="str">
        <x:f>IF(INDEX(Model_TestVersion_Stats!$R:$R,C166)="","",INDEX(Model_TestVersion_Stats!$R:$R,C166)/60)</x:f>
      </x:c>
      <x:c r="H166" t="n">
        <x:f>IF(E166="","",E166-(D166-1))</x:f>
        <x:v>7</x:v>
      </x:c>
      <x:c r="I166" t="n">
        <x:f>IF(H166&gt;0,1,0)</x:f>
        <x:v>1</x:v>
      </x:c>
      <x:c r="J166" t="n">
        <x:f>IF(OR(I166=0,F166="",F166=0),"",H166/F166)</x:f>
        <x:v>1.0719754977029097</x:v>
      </x:c>
      <x:c r="K166" t="n">
        <x:f>IF(OR(I166=0,H166=0,F166=""),"",F166/H166)</x:f>
        <x:v>0.9328571428571427</x:v>
      </x:c>
      <x:c r="L166" t="str">
        <x:f>IF(OR(I166=0,F166="",G166="",F166=0,G166=0),"",H166/(F166*G166))</x:f>
      </x:c>
      <x:c r="M166" t="n">
        <x:f>IF(J166="","",J166/_xlfn.MAXIFS($J:$J,$D:$D,D166))</x:f>
        <x:v>0.2090352220520674</x:v>
      </x:c>
      <x:c r="N166" t="str">
        <x:f>IF(L166="","",L166/_xlfn.MAXIFS($L:$L,$D:$D,D166))</x:f>
      </x:c>
      <x:c r="O166" t="str">
        <x:f>IF(OR(M166="",N166=""),"",SQRT(M166*N166))</x:f>
      </x:c>
      <x:c r="P166" t="str">
        <x:f>IF(OR(M166="",N166=""),"",M166^0.7*N166^0.3)</x:f>
      </x:c>
      <x:c r="Q166" t="str">
        <x:f>IF(OR(M166="",N166=""),"",M166^0.3*N166^0.7)</x:f>
      </x:c>
    </x:row>
    <x:row r="167">
      <x:c r="A167" t="inlineStr">
        <x:is>
          <x:t xml:space="preserve">anthropic|claude-sonnet-5.5|max|reasoning|fallback-true</x:t>
        </x:is>
      </x:c>
      <x:c r="B167" t="inlineStr">
        <x:is>
          <x:t xml:space="preserve">AA|v4.3.2</x:t>
        </x:is>
      </x:c>
      <x:c r="C167" t="n">
        <x:v>22</x:v>
      </x:c>
      <x:c r="D167" t="n">
        <x:v>52</x:v>
      </x:c>
      <x:c r="E167" t="n">
        <x:f>INDEX(Model_TestVersion_Stats!$W:$W,C167)</x:f>
        <x:v>56</x:v>
      </x:c>
      <x:c r="F167" t="n">
        <x:f>INDEX(Model_TestVersion_Stats!$O:$O,C167)</x:f>
        <x:v>6.529999999999999</x:v>
      </x:c>
      <x:c r="G167" t="str">
        <x:f>IF(INDEX(Model_TestVersion_Stats!$R:$R,C167)="","",INDEX(Model_TestVersion_Stats!$R:$R,C167)/60)</x:f>
      </x:c>
      <x:c r="H167" t="n">
        <x:f>IF(E167="","",E167-(D167-1))</x:f>
        <x:v>5</x:v>
      </x:c>
      <x:c r="I167" t="n">
        <x:f>IF(H167&gt;0,1,0)</x:f>
        <x:v>1</x:v>
      </x:c>
      <x:c r="J167" t="n">
        <x:f>IF(OR(I167=0,F167="",F167=0),"",H167/F167)</x:f>
        <x:v>0.7656967840735069</x:v>
      </x:c>
      <x:c r="K167" t="n">
        <x:f>IF(OR(I167=0,H167=0,F167=""),"",F167/H167)</x:f>
        <x:v>1.3059999999999998</x:v>
      </x:c>
      <x:c r="L167" t="str">
        <x:f>IF(OR(I167=0,F167="",G167="",F167=0,G167=0),"",H167/(F167*G167))</x:f>
      </x:c>
      <x:c r="M167" t="n">
        <x:f>IF(J167="","",J167/_xlfn.MAXIFS($J:$J,$D:$D,D167))</x:f>
        <x:v>0.4645227156712609</x:v>
      </x:c>
      <x:c r="N167" t="str">
        <x:f>IF(L167="","",L167/_xlfn.MAXIFS($L:$L,$D:$D,D167))</x:f>
      </x:c>
      <x:c r="O167" t="str">
        <x:f>IF(OR(M167="",N167=""),"",SQRT(M167*N167))</x:f>
      </x:c>
      <x:c r="P167" t="str">
        <x:f>IF(OR(M167="",N167=""),"",M167^0.7*N167^0.3)</x:f>
      </x:c>
      <x:c r="Q167" t="str">
        <x:f>IF(OR(M167="",N167=""),"",M167^0.3*N167^0.7)</x:f>
      </x:c>
    </x:row>
    <x:row r="168">
      <x:c r="A168" t="inlineStr">
        <x:is>
          <x:t xml:space="preserve">anthropic|claude-sonnet-5.5|max|reasoning|fallback-true</x:t>
        </x:is>
      </x:c>
      <x:c r="B168" t="inlineStr">
        <x:is>
          <x:t xml:space="preserve">AA|v4.3.2</x:t>
        </x:is>
      </x:c>
      <x:c r="C168" t="n">
        <x:v>22</x:v>
      </x:c>
      <x:c r="D168" t="n">
        <x:v>65</x:v>
      </x:c>
      <x:c r="E168" t="n">
        <x:f>INDEX(Model_TestVersion_Stats!$W:$W,C168)</x:f>
        <x:v>56</x:v>
      </x:c>
      <x:c r="F168" t="n">
        <x:f>INDEX(Model_TestVersion_Stats!$O:$O,C168)</x:f>
        <x:v>6.529999999999999</x:v>
      </x:c>
      <x:c r="G168" t="str">
        <x:f>IF(INDEX(Model_TestVersion_Stats!$R:$R,C168)="","",INDEX(Model_TestVersion_Stats!$R:$R,C168)/60)</x:f>
      </x:c>
      <x:c r="H168" t="n">
        <x:f>IF(E168="","",E168-(D168-1))</x:f>
        <x:v>-8</x:v>
      </x:c>
      <x:c r="I168" t="n">
        <x:f>IF(H168&gt;0,1,0)</x:f>
        <x:v>0</x:v>
      </x:c>
      <x:c r="J168" t="str">
        <x:f>IF(OR(I168=0,F168="",F168=0),"",H168/F168)</x:f>
      </x:c>
      <x:c r="K168" t="str">
        <x:f>IF(OR(I168=0,H168=0,F168=""),"",F168/H168)</x:f>
      </x:c>
      <x:c r="L168" t="str">
        <x:f>IF(OR(I168=0,F168="",G168="",F168=0,G168=0),"",H168/(F168*G168))</x:f>
      </x:c>
      <x:c r="M168" t="str">
        <x:f>IF(J168="","",J168/_xlfn.MAXIFS($J:$J,$D:$D,D168))</x:f>
      </x:c>
      <x:c r="N168" t="str">
        <x:f>IF(L168="","",L168/_xlfn.MAXIFS($L:$L,$D:$D,D168))</x:f>
      </x:c>
      <x:c r="O168" t="str">
        <x:f>IF(OR(M168="",N168=""),"",SQRT(M168*N168))</x:f>
      </x:c>
      <x:c r="P168" t="str">
        <x:f>IF(OR(M168="",N168=""),"",M168^0.7*N168^0.3)</x:f>
      </x:c>
      <x:c r="Q168" t="str">
        <x:f>IF(OR(M168="",N168=""),"",M168^0.3*N168^0.7)</x:f>
      </x:c>
    </x:row>
    <x:row r="169">
      <x:c r="A169" t="inlineStr">
        <x:is>
          <x:t xml:space="preserve">anthropic|claude-sonnet-5.5|max|reasoning|fallback-true</x:t>
        </x:is>
      </x:c>
      <x:c r="B169" t="inlineStr">
        <x:is>
          <x:t xml:space="preserve">AA|v4.3.2</x:t>
        </x:is>
      </x:c>
      <x:c r="C169" t="n">
        <x:v>22</x:v>
      </x:c>
      <x:c r="D169" t="n">
        <x:v>80</x:v>
      </x:c>
      <x:c r="E169" t="n">
        <x:f>INDEX(Model_TestVersion_Stats!$W:$W,C169)</x:f>
        <x:v>56</x:v>
      </x:c>
      <x:c r="F169" t="n">
        <x:f>INDEX(Model_TestVersion_Stats!$O:$O,C169)</x:f>
        <x:v>6.529999999999999</x:v>
      </x:c>
      <x:c r="G169" t="str">
        <x:f>IF(INDEX(Model_TestVersion_Stats!$R:$R,C169)="","",INDEX(Model_TestVersion_Stats!$R:$R,C169)/60)</x:f>
      </x:c>
      <x:c r="H169" t="n">
        <x:f>IF(E169="","",E169-(D169-1))</x:f>
        <x:v>-23</x:v>
      </x:c>
      <x:c r="I169" t="n">
        <x:f>IF(H169&gt;0,1,0)</x:f>
        <x:v>0</x:v>
      </x:c>
      <x:c r="J169" t="str">
        <x:f>IF(OR(I169=0,F169="",F169=0),"",H169/F169)</x:f>
      </x:c>
      <x:c r="K169" t="str">
        <x:f>IF(OR(I169=0,H169=0,F169=""),"",F169/H169)</x:f>
      </x:c>
      <x:c r="L169" t="str">
        <x:f>IF(OR(I169=0,F169="",G169="",F169=0,G169=0),"",H169/(F169*G169))</x:f>
      </x:c>
      <x:c r="M169" t="str">
        <x:f>IF(J169="","",J169/_xlfn.MAXIFS($J:$J,$D:$D,D169))</x:f>
      </x:c>
      <x:c r="N169" t="str">
        <x:f>IF(L169="","",L169/_xlfn.MAXIFS($L:$L,$D:$D,D169))</x:f>
      </x:c>
      <x:c r="O169" t="str">
        <x:f>IF(OR(M169="",N169=""),"",SQRT(M169*N169))</x:f>
      </x:c>
      <x:c r="P169" t="str">
        <x:f>IF(OR(M169="",N169=""),"",M169^0.7*N169^0.3)</x:f>
      </x:c>
      <x:c r="Q169" t="str">
        <x:f>IF(OR(M169="",N169=""),"",M169^0.3*N169^0.7)</x:f>
      </x:c>
    </x:row>
    <x:row r="170">
      <x:c r="A170" t="inlineStr">
        <x:is>
          <x:t xml:space="preserve">anthropic|claude-sonnet-5.5|medium|reasoning|fallback-true</x:t>
        </x:is>
      </x:c>
      <x:c r="B170" t="inlineStr">
        <x:is>
          <x:t xml:space="preserve">AA|v4.3.2</x:t>
        </x:is>
      </x:c>
      <x:c r="C170" t="n">
        <x:v>23</x:v>
      </x:c>
      <x:c r="D170" t="n">
        <x:v>20</x:v>
      </x:c>
      <x:c r="E170" t="n">
        <x:f>INDEX(Model_TestVersion_Stats!$W:$W,C170)</x:f>
        <x:v>41</x:v>
      </x:c>
      <x:c r="F170" t="n">
        <x:f>INDEX(Model_TestVersion_Stats!$O:$O,C170)</x:f>
        <x:v>0.5349999999999999</x:v>
      </x:c>
      <x:c r="G170" t="str">
        <x:f>IF(INDEX(Model_TestVersion_Stats!$R:$R,C170)="","",INDEX(Model_TestVersion_Stats!$R:$R,C170)/60)</x:f>
      </x:c>
      <x:c r="H170" t="n">
        <x:f>IF(E170="","",E170-(D170-1))</x:f>
        <x:v>22</x:v>
      </x:c>
      <x:c r="I170" t="n">
        <x:f>IF(H170&gt;0,1,0)</x:f>
        <x:v>1</x:v>
      </x:c>
      <x:c r="J170" t="n">
        <x:f>IF(OR(I170=0,F170="",F170=0),"",H170/F170)</x:f>
        <x:v>41.12149532710281</x:v>
      </x:c>
      <x:c r="K170" t="n">
        <x:f>IF(OR(I170=0,H170=0,F170=""),"",F170/H170)</x:f>
        <x:v>0.024318181818181815</x:v>
      </x:c>
      <x:c r="L170" t="str">
        <x:f>IF(OR(I170=0,F170="",G170="",F170=0,G170=0),"",H170/(F170*G170))</x:f>
      </x:c>
      <x:c r="M170" t="n">
        <x:f>IF(J170="","",J170/_xlfn.MAXIFS($J:$J,$D:$D,D170))</x:f>
        <x:v>0.07401869158878506</x:v>
      </x:c>
      <x:c r="N170" t="str">
        <x:f>IF(L170="","",L170/_xlfn.MAXIFS($L:$L,$D:$D,D170))</x:f>
      </x:c>
      <x:c r="O170" t="str">
        <x:f>IF(OR(M170="",N170=""),"",SQRT(M170*N170))</x:f>
      </x:c>
      <x:c r="P170" t="str">
        <x:f>IF(OR(M170="",N170=""),"",M170^0.7*N170^0.3)</x:f>
      </x:c>
      <x:c r="Q170" t="str">
        <x:f>IF(OR(M170="",N170=""),"",M170^0.3*N170^0.7)</x:f>
      </x:c>
    </x:row>
    <x:row r="171">
      <x:c r="A171" t="inlineStr">
        <x:is>
          <x:t xml:space="preserve">anthropic|claude-sonnet-5.5|medium|reasoning|fallback-true</x:t>
        </x:is>
      </x:c>
      <x:c r="B171" t="inlineStr">
        <x:is>
          <x:t xml:space="preserve">AA|v4.3.2</x:t>
        </x:is>
      </x:c>
      <x:c r="C171" t="n">
        <x:v>23</x:v>
      </x:c>
      <x:c r="D171" t="n">
        <x:v>30</x:v>
      </x:c>
      <x:c r="E171" t="n">
        <x:f>INDEX(Model_TestVersion_Stats!$W:$W,C171)</x:f>
        <x:v>41</x:v>
      </x:c>
      <x:c r="F171" t="n">
        <x:f>INDEX(Model_TestVersion_Stats!$O:$O,C171)</x:f>
        <x:v>0.5349999999999999</x:v>
      </x:c>
      <x:c r="G171" t="str">
        <x:f>IF(INDEX(Model_TestVersion_Stats!$R:$R,C171)="","",INDEX(Model_TestVersion_Stats!$R:$R,C171)/60)</x:f>
      </x:c>
      <x:c r="H171" t="n">
        <x:f>IF(E171="","",E171-(D171-1))</x:f>
        <x:v>12</x:v>
      </x:c>
      <x:c r="I171" t="n">
        <x:f>IF(H171&gt;0,1,0)</x:f>
        <x:v>1</x:v>
      </x:c>
      <x:c r="J171" t="n">
        <x:f>IF(OR(I171=0,F171="",F171=0),"",H171/F171)</x:f>
        <x:v>22.429906542056077</x:v>
      </x:c>
      <x:c r="K171" t="n">
        <x:f>IF(OR(I171=0,H171=0,F171=""),"",F171/H171)</x:f>
        <x:v>0.04458333333333333</x:v>
      </x:c>
      <x:c r="L171" t="str">
        <x:f>IF(OR(I171=0,F171="",G171="",F171=0,G171=0),"",H171/(F171*G171))</x:f>
      </x:c>
      <x:c r="M171" t="n">
        <x:f>IF(J171="","",J171/_xlfn.MAXIFS($J:$J,$D:$D,D171))</x:f>
        <x:v>0.14953271028037385</x:v>
      </x:c>
      <x:c r="N171" t="str">
        <x:f>IF(L171="","",L171/_xlfn.MAXIFS($L:$L,$D:$D,D171))</x:f>
      </x:c>
      <x:c r="O171" t="str">
        <x:f>IF(OR(M171="",N171=""),"",SQRT(M171*N171))</x:f>
      </x:c>
      <x:c r="P171" t="str">
        <x:f>IF(OR(M171="",N171=""),"",M171^0.7*N171^0.3)</x:f>
      </x:c>
      <x:c r="Q171" t="str">
        <x:f>IF(OR(M171="",N171=""),"",M171^0.3*N171^0.7)</x:f>
      </x:c>
    </x:row>
    <x:row r="172">
      <x:c r="A172" t="inlineStr">
        <x:is>
          <x:t xml:space="preserve">anthropic|claude-sonnet-5.5|medium|reasoning|fallback-true</x:t>
        </x:is>
      </x:c>
      <x:c r="B172" t="inlineStr">
        <x:is>
          <x:t xml:space="preserve">AA|v4.3.2</x:t>
        </x:is>
      </x:c>
      <x:c r="C172" t="n">
        <x:v>23</x:v>
      </x:c>
      <x:c r="D172" t="n">
        <x:v>40</x:v>
      </x:c>
      <x:c r="E172" t="n">
        <x:f>INDEX(Model_TestVersion_Stats!$W:$W,C172)</x:f>
        <x:v>41</x:v>
      </x:c>
      <x:c r="F172" t="n">
        <x:f>INDEX(Model_TestVersion_Stats!$O:$O,C172)</x:f>
        <x:v>0.5349999999999999</x:v>
      </x:c>
      <x:c r="G172" t="str">
        <x:f>IF(INDEX(Model_TestVersion_Stats!$R:$R,C172)="","",INDEX(Model_TestVersion_Stats!$R:$R,C172)/60)</x:f>
      </x:c>
      <x:c r="H172" t="n">
        <x:f>IF(E172="","",E172-(D172-1))</x:f>
        <x:v>2</x:v>
      </x:c>
      <x:c r="I172" t="n">
        <x:f>IF(H172&gt;0,1,0)</x:f>
        <x:v>1</x:v>
      </x:c>
      <x:c r="J172" t="n">
        <x:f>IF(OR(I172=0,F172="",F172=0),"",H172/F172)</x:f>
        <x:v>3.738317757009346</x:v>
      </x:c>
      <x:c r="K172" t="n">
        <x:f>IF(OR(I172=0,H172=0,F172=""),"",F172/H172)</x:f>
        <x:v>0.26749999999999996</x:v>
      </x:c>
      <x:c r="L172" t="str">
        <x:f>IF(OR(I172=0,F172="",G172="",F172=0,G172=0),"",H172/(F172*G172))</x:f>
      </x:c>
      <x:c r="M172" t="n">
        <x:f>IF(J172="","",J172/_xlfn.MAXIFS($J:$J,$D:$D,D172))</x:f>
        <x:v>0.06942590120160215</x:v>
      </x:c>
      <x:c r="N172" t="str">
        <x:f>IF(L172="","",L172/_xlfn.MAXIFS($L:$L,$D:$D,D172))</x:f>
      </x:c>
      <x:c r="O172" t="str">
        <x:f>IF(OR(M172="",N172=""),"",SQRT(M172*N172))</x:f>
      </x:c>
      <x:c r="P172" t="str">
        <x:f>IF(OR(M172="",N172=""),"",M172^0.7*N172^0.3)</x:f>
      </x:c>
      <x:c r="Q172" t="str">
        <x:f>IF(OR(M172="",N172=""),"",M172^0.3*N172^0.7)</x:f>
      </x:c>
    </x:row>
    <x:row r="173">
      <x:c r="A173" t="inlineStr">
        <x:is>
          <x:t xml:space="preserve">anthropic|claude-sonnet-5.5|medium|reasoning|fallback-true</x:t>
        </x:is>
      </x:c>
      <x:c r="B173" t="inlineStr">
        <x:is>
          <x:t xml:space="preserve">AA|v4.3.2</x:t>
        </x:is>
      </x:c>
      <x:c r="C173" t="n">
        <x:v>23</x:v>
      </x:c>
      <x:c r="D173" t="n">
        <x:v>45</x:v>
      </x:c>
      <x:c r="E173" t="n">
        <x:f>INDEX(Model_TestVersion_Stats!$W:$W,C173)</x:f>
        <x:v>41</x:v>
      </x:c>
      <x:c r="F173" t="n">
        <x:f>INDEX(Model_TestVersion_Stats!$O:$O,C173)</x:f>
        <x:v>0.5349999999999999</x:v>
      </x:c>
      <x:c r="G173" t="str">
        <x:f>IF(INDEX(Model_TestVersion_Stats!$R:$R,C173)="","",INDEX(Model_TestVersion_Stats!$R:$R,C173)/60)</x:f>
      </x:c>
      <x:c r="H173" t="n">
        <x:f>IF(E173="","",E173-(D173-1))</x:f>
        <x:v>-3</x:v>
      </x:c>
      <x:c r="I173" t="n">
        <x:f>IF(H173&gt;0,1,0)</x:f>
        <x:v>0</x:v>
      </x:c>
      <x:c r="J173" t="str">
        <x:f>IF(OR(I173=0,F173="",F173=0),"",H173/F173)</x:f>
      </x:c>
      <x:c r="K173" t="str">
        <x:f>IF(OR(I173=0,H173=0,F173=""),"",F173/H173)</x:f>
      </x:c>
      <x:c r="L173" t="str">
        <x:f>IF(OR(I173=0,F173="",G173="",F173=0,G173=0),"",H173/(F173*G173))</x:f>
      </x:c>
      <x:c r="M173" t="str">
        <x:f>IF(J173="","",J173/_xlfn.MAXIFS($J:$J,$D:$D,D173))</x:f>
      </x:c>
      <x:c r="N173" t="str">
        <x:f>IF(L173="","",L173/_xlfn.MAXIFS($L:$L,$D:$D,D173))</x:f>
      </x:c>
      <x:c r="O173" t="str">
        <x:f>IF(OR(M173="",N173=""),"",SQRT(M173*N173))</x:f>
      </x:c>
      <x:c r="P173" t="str">
        <x:f>IF(OR(M173="",N173=""),"",M173^0.7*N173^0.3)</x:f>
      </x:c>
      <x:c r="Q173" t="str">
        <x:f>IF(OR(M173="",N173=""),"",M173^0.3*N173^0.7)</x:f>
      </x:c>
    </x:row>
    <x:row r="174">
      <x:c r="A174" t="inlineStr">
        <x:is>
          <x:t xml:space="preserve">anthropic|claude-sonnet-5.5|medium|reasoning|fallback-true</x:t>
        </x:is>
      </x:c>
      <x:c r="B174" t="inlineStr">
        <x:is>
          <x:t xml:space="preserve">AA|v4.3.2</x:t>
        </x:is>
      </x:c>
      <x:c r="C174" t="n">
        <x:v>23</x:v>
      </x:c>
      <x:c r="D174" t="n">
        <x:v>50</x:v>
      </x:c>
      <x:c r="E174" t="n">
        <x:f>INDEX(Model_TestVersion_Stats!$W:$W,C174)</x:f>
        <x:v>41</x:v>
      </x:c>
      <x:c r="F174" t="n">
        <x:f>INDEX(Model_TestVersion_Stats!$O:$O,C174)</x:f>
        <x:v>0.5349999999999999</x:v>
      </x:c>
      <x:c r="G174" t="str">
        <x:f>IF(INDEX(Model_TestVersion_Stats!$R:$R,C174)="","",INDEX(Model_TestVersion_Stats!$R:$R,C174)/60)</x:f>
      </x:c>
      <x:c r="H174" t="n">
        <x:f>IF(E174="","",E174-(D174-1))</x:f>
        <x:v>-8</x:v>
      </x:c>
      <x:c r="I174" t="n">
        <x:f>IF(H174&gt;0,1,0)</x:f>
        <x:v>0</x:v>
      </x:c>
      <x:c r="J174" t="str">
        <x:f>IF(OR(I174=0,F174="",F174=0),"",H174/F174)</x:f>
      </x:c>
      <x:c r="K174" t="str">
        <x:f>IF(OR(I174=0,H174=0,F174=""),"",F174/H174)</x:f>
      </x:c>
      <x:c r="L174" t="str">
        <x:f>IF(OR(I174=0,F174="",G174="",F174=0,G174=0),"",H174/(F174*G174))</x:f>
      </x:c>
      <x:c r="M174" t="str">
        <x:f>IF(J174="","",J174/_xlfn.MAXIFS($J:$J,$D:$D,D174))</x:f>
      </x:c>
      <x:c r="N174" t="str">
        <x:f>IF(L174="","",L174/_xlfn.MAXIFS($L:$L,$D:$D,D174))</x:f>
      </x:c>
      <x:c r="O174" t="str">
        <x:f>IF(OR(M174="",N174=""),"",SQRT(M174*N174))</x:f>
      </x:c>
      <x:c r="P174" t="str">
        <x:f>IF(OR(M174="",N174=""),"",M174^0.7*N174^0.3)</x:f>
      </x:c>
      <x:c r="Q174" t="str">
        <x:f>IF(OR(M174="",N174=""),"",M174^0.3*N174^0.7)</x:f>
      </x:c>
    </x:row>
    <x:row r="175">
      <x:c r="A175" t="inlineStr">
        <x:is>
          <x:t xml:space="preserve">anthropic|claude-sonnet-5.5|medium|reasoning|fallback-true</x:t>
        </x:is>
      </x:c>
      <x:c r="B175" t="inlineStr">
        <x:is>
          <x:t xml:space="preserve">AA|v4.3.2</x:t>
        </x:is>
      </x:c>
      <x:c r="C175" t="n">
        <x:v>23</x:v>
      </x:c>
      <x:c r="D175" t="n">
        <x:v>52</x:v>
      </x:c>
      <x:c r="E175" t="n">
        <x:f>INDEX(Model_TestVersion_Stats!$W:$W,C175)</x:f>
        <x:v>41</x:v>
      </x:c>
      <x:c r="F175" t="n">
        <x:f>INDEX(Model_TestVersion_Stats!$O:$O,C175)</x:f>
        <x:v>0.5349999999999999</x:v>
      </x:c>
      <x:c r="G175" t="str">
        <x:f>IF(INDEX(Model_TestVersion_Stats!$R:$R,C175)="","",INDEX(Model_TestVersion_Stats!$R:$R,C175)/60)</x:f>
      </x:c>
      <x:c r="H175" t="n">
        <x:f>IF(E175="","",E175-(D175-1))</x:f>
        <x:v>-10</x:v>
      </x:c>
      <x:c r="I175" t="n">
        <x:f>IF(H175&gt;0,1,0)</x:f>
        <x:v>0</x:v>
      </x:c>
      <x:c r="J175" t="str">
        <x:f>IF(OR(I175=0,F175="",F175=0),"",H175/F175)</x:f>
      </x:c>
      <x:c r="K175" t="str">
        <x:f>IF(OR(I175=0,H175=0,F175=""),"",F175/H175)</x:f>
      </x:c>
      <x:c r="L175" t="str">
        <x:f>IF(OR(I175=0,F175="",G175="",F175=0,G175=0),"",H175/(F175*G175))</x:f>
      </x:c>
      <x:c r="M175" t="str">
        <x:f>IF(J175="","",J175/_xlfn.MAXIFS($J:$J,$D:$D,D175))</x:f>
      </x:c>
      <x:c r="N175" t="str">
        <x:f>IF(L175="","",L175/_xlfn.MAXIFS($L:$L,$D:$D,D175))</x:f>
      </x:c>
      <x:c r="O175" t="str">
        <x:f>IF(OR(M175="",N175=""),"",SQRT(M175*N175))</x:f>
      </x:c>
      <x:c r="P175" t="str">
        <x:f>IF(OR(M175="",N175=""),"",M175^0.7*N175^0.3)</x:f>
      </x:c>
      <x:c r="Q175" t="str">
        <x:f>IF(OR(M175="",N175=""),"",M175^0.3*N175^0.7)</x:f>
      </x:c>
    </x:row>
    <x:row r="176">
      <x:c r="A176" t="inlineStr">
        <x:is>
          <x:t xml:space="preserve">anthropic|claude-sonnet-5.5|medium|reasoning|fallback-true</x:t>
        </x:is>
      </x:c>
      <x:c r="B176" t="inlineStr">
        <x:is>
          <x:t xml:space="preserve">AA|v4.3.2</x:t>
        </x:is>
      </x:c>
      <x:c r="C176" t="n">
        <x:v>23</x:v>
      </x:c>
      <x:c r="D176" t="n">
        <x:v>65</x:v>
      </x:c>
      <x:c r="E176" t="n">
        <x:f>INDEX(Model_TestVersion_Stats!$W:$W,C176)</x:f>
        <x:v>41</x:v>
      </x:c>
      <x:c r="F176" t="n">
        <x:f>INDEX(Model_TestVersion_Stats!$O:$O,C176)</x:f>
        <x:v>0.5349999999999999</x:v>
      </x:c>
      <x:c r="G176" t="str">
        <x:f>IF(INDEX(Model_TestVersion_Stats!$R:$R,C176)="","",INDEX(Model_TestVersion_Stats!$R:$R,C176)/60)</x:f>
      </x:c>
      <x:c r="H176" t="n">
        <x:f>IF(E176="","",E176-(D176-1))</x:f>
        <x:v>-23</x:v>
      </x:c>
      <x:c r="I176" t="n">
        <x:f>IF(H176&gt;0,1,0)</x:f>
        <x:v>0</x:v>
      </x:c>
      <x:c r="J176" t="str">
        <x:f>IF(OR(I176=0,F176="",F176=0),"",H176/F176)</x:f>
      </x:c>
      <x:c r="K176" t="str">
        <x:f>IF(OR(I176=0,H176=0,F176=""),"",F176/H176)</x:f>
      </x:c>
      <x:c r="L176" t="str">
        <x:f>IF(OR(I176=0,F176="",G176="",F176=0,G176=0),"",H176/(F176*G176))</x:f>
      </x:c>
      <x:c r="M176" t="str">
        <x:f>IF(J176="","",J176/_xlfn.MAXIFS($J:$J,$D:$D,D176))</x:f>
      </x:c>
      <x:c r="N176" t="str">
        <x:f>IF(L176="","",L176/_xlfn.MAXIFS($L:$L,$D:$D,D176))</x:f>
      </x:c>
      <x:c r="O176" t="str">
        <x:f>IF(OR(M176="",N176=""),"",SQRT(M176*N176))</x:f>
      </x:c>
      <x:c r="P176" t="str">
        <x:f>IF(OR(M176="",N176=""),"",M176^0.7*N176^0.3)</x:f>
      </x:c>
      <x:c r="Q176" t="str">
        <x:f>IF(OR(M176="",N176=""),"",M176^0.3*N176^0.7)</x:f>
      </x:c>
    </x:row>
    <x:row r="177">
      <x:c r="A177" t="inlineStr">
        <x:is>
          <x:t xml:space="preserve">anthropic|claude-sonnet-5.5|medium|reasoning|fallback-true</x:t>
        </x:is>
      </x:c>
      <x:c r="B177" t="inlineStr">
        <x:is>
          <x:t xml:space="preserve">AA|v4.3.2</x:t>
        </x:is>
      </x:c>
      <x:c r="C177" t="n">
        <x:v>23</x:v>
      </x:c>
      <x:c r="D177" t="n">
        <x:v>80</x:v>
      </x:c>
      <x:c r="E177" t="n">
        <x:f>INDEX(Model_TestVersion_Stats!$W:$W,C177)</x:f>
        <x:v>41</x:v>
      </x:c>
      <x:c r="F177" t="n">
        <x:f>INDEX(Model_TestVersion_Stats!$O:$O,C177)</x:f>
        <x:v>0.5349999999999999</x:v>
      </x:c>
      <x:c r="G177" t="str">
        <x:f>IF(INDEX(Model_TestVersion_Stats!$R:$R,C177)="","",INDEX(Model_TestVersion_Stats!$R:$R,C177)/60)</x:f>
      </x:c>
      <x:c r="H177" t="n">
        <x:f>IF(E177="","",E177-(D177-1))</x:f>
        <x:v>-38</x:v>
      </x:c>
      <x:c r="I177" t="n">
        <x:f>IF(H177&gt;0,1,0)</x:f>
        <x:v>0</x:v>
      </x:c>
      <x:c r="J177" t="str">
        <x:f>IF(OR(I177=0,F177="",F177=0),"",H177/F177)</x:f>
      </x:c>
      <x:c r="K177" t="str">
        <x:f>IF(OR(I177=0,H177=0,F177=""),"",F177/H177)</x:f>
      </x:c>
      <x:c r="L177" t="str">
        <x:f>IF(OR(I177=0,F177="",G177="",F177=0,G177=0),"",H177/(F177*G177))</x:f>
      </x:c>
      <x:c r="M177" t="str">
        <x:f>IF(J177="","",J177/_xlfn.MAXIFS($J:$J,$D:$D,D177))</x:f>
      </x:c>
      <x:c r="N177" t="str">
        <x:f>IF(L177="","",L177/_xlfn.MAXIFS($L:$L,$D:$D,D177))</x:f>
      </x:c>
      <x:c r="O177" t="str">
        <x:f>IF(OR(M177="",N177=""),"",SQRT(M177*N177))</x:f>
      </x:c>
      <x:c r="P177" t="str">
        <x:f>IF(OR(M177="",N177=""),"",M177^0.7*N177^0.3)</x:f>
      </x:c>
      <x:c r="Q177" t="str">
        <x:f>IF(OR(M177="",N177=""),"",M177^0.3*N177^0.7)</x:f>
      </x:c>
    </x:row>
    <x:row r="178">
      <x:c r="A178" t="inlineStr">
        <x:is>
          <x:t xml:space="preserve">anthropic|claude-sonnet-5.5|xhigh|reasoning|fallback-true</x:t>
        </x:is>
      </x:c>
      <x:c r="B178" t="inlineStr">
        <x:is>
          <x:t xml:space="preserve">AA|v4.3.2</x:t>
        </x:is>
      </x:c>
      <x:c r="C178" t="n">
        <x:v>24</x:v>
      </x:c>
      <x:c r="D178" t="n">
        <x:v>20</x:v>
      </x:c>
      <x:c r="E178" t="n">
        <x:f>INDEX(Model_TestVersion_Stats!$W:$W,C178)</x:f>
        <x:v>52</x:v>
      </x:c>
      <x:c r="F178" t="n">
        <x:f>INDEX(Model_TestVersion_Stats!$O:$O,C178)</x:f>
        <x:v>2.375</x:v>
      </x:c>
      <x:c r="G178" t="str">
        <x:f>IF(INDEX(Model_TestVersion_Stats!$R:$R,C178)="","",INDEX(Model_TestVersion_Stats!$R:$R,C178)/60)</x:f>
      </x:c>
      <x:c r="H178" t="n">
        <x:f>IF(E178="","",E178-(D178-1))</x:f>
        <x:v>33</x:v>
      </x:c>
      <x:c r="I178" t="n">
        <x:f>IF(H178&gt;0,1,0)</x:f>
        <x:v>1</x:v>
      </x:c>
      <x:c r="J178" t="n">
        <x:f>IF(OR(I178=0,F178="",F178=0),"",H178/F178)</x:f>
        <x:v>13.894736842105264</x:v>
      </x:c>
      <x:c r="K178" t="n">
        <x:f>IF(OR(I178=0,H178=0,F178=""),"",F178/H178)</x:f>
        <x:v>0.07196969696969698</x:v>
      </x:c>
      <x:c r="L178" t="str">
        <x:f>IF(OR(I178=0,F178="",G178="",F178=0,G178=0),"",H178/(F178*G178))</x:f>
      </x:c>
      <x:c r="M178" t="n">
        <x:f>IF(J178="","",J178/_xlfn.MAXIFS($J:$J,$D:$D,D178))</x:f>
        <x:v>0.025010526315789476</x:v>
      </x:c>
      <x:c r="N178" t="str">
        <x:f>IF(L178="","",L178/_xlfn.MAXIFS($L:$L,$D:$D,D178))</x:f>
      </x:c>
      <x:c r="O178" t="str">
        <x:f>IF(OR(M178="",N178=""),"",SQRT(M178*N178))</x:f>
      </x:c>
      <x:c r="P178" t="str">
        <x:f>IF(OR(M178="",N178=""),"",M178^0.7*N178^0.3)</x:f>
      </x:c>
      <x:c r="Q178" t="str">
        <x:f>IF(OR(M178="",N178=""),"",M178^0.3*N178^0.7)</x:f>
      </x:c>
    </x:row>
    <x:row r="179">
      <x:c r="A179" t="inlineStr">
        <x:is>
          <x:t xml:space="preserve">anthropic|claude-sonnet-5.5|xhigh|reasoning|fallback-true</x:t>
        </x:is>
      </x:c>
      <x:c r="B179" t="inlineStr">
        <x:is>
          <x:t xml:space="preserve">AA|v4.3.2</x:t>
        </x:is>
      </x:c>
      <x:c r="C179" t="n">
        <x:v>24</x:v>
      </x:c>
      <x:c r="D179" t="n">
        <x:v>30</x:v>
      </x:c>
      <x:c r="E179" t="n">
        <x:f>INDEX(Model_TestVersion_Stats!$W:$W,C179)</x:f>
        <x:v>52</x:v>
      </x:c>
      <x:c r="F179" t="n">
        <x:f>INDEX(Model_TestVersion_Stats!$O:$O,C179)</x:f>
        <x:v>2.375</x:v>
      </x:c>
      <x:c r="G179" t="str">
        <x:f>IF(INDEX(Model_TestVersion_Stats!$R:$R,C179)="","",INDEX(Model_TestVersion_Stats!$R:$R,C179)/60)</x:f>
      </x:c>
      <x:c r="H179" t="n">
        <x:f>IF(E179="","",E179-(D179-1))</x:f>
        <x:v>23</x:v>
      </x:c>
      <x:c r="I179" t="n">
        <x:f>IF(H179&gt;0,1,0)</x:f>
        <x:v>1</x:v>
      </x:c>
      <x:c r="J179" t="n">
        <x:f>IF(OR(I179=0,F179="",F179=0),"",H179/F179)</x:f>
        <x:v>9.68421052631579</x:v>
      </x:c>
      <x:c r="K179" t="n">
        <x:f>IF(OR(I179=0,H179=0,F179=""),"",F179/H179)</x:f>
        <x:v>0.10326086956521739</x:v>
      </x:c>
      <x:c r="L179" t="str">
        <x:f>IF(OR(I179=0,F179="",G179="",F179=0,G179=0),"",H179/(F179*G179))</x:f>
      </x:c>
      <x:c r="M179" t="n">
        <x:f>IF(J179="","",J179/_xlfn.MAXIFS($J:$J,$D:$D,D179))</x:f>
        <x:v>0.06456140350877193</x:v>
      </x:c>
      <x:c r="N179" t="str">
        <x:f>IF(L179="","",L179/_xlfn.MAXIFS($L:$L,$D:$D,D179))</x:f>
      </x:c>
      <x:c r="O179" t="str">
        <x:f>IF(OR(M179="",N179=""),"",SQRT(M179*N179))</x:f>
      </x:c>
      <x:c r="P179" t="str">
        <x:f>IF(OR(M179="",N179=""),"",M179^0.7*N179^0.3)</x:f>
      </x:c>
      <x:c r="Q179" t="str">
        <x:f>IF(OR(M179="",N179=""),"",M179^0.3*N179^0.7)</x:f>
      </x:c>
    </x:row>
    <x:row r="180">
      <x:c r="A180" t="inlineStr">
        <x:is>
          <x:t xml:space="preserve">anthropic|claude-sonnet-5.5|xhigh|reasoning|fallback-true</x:t>
        </x:is>
      </x:c>
      <x:c r="B180" t="inlineStr">
        <x:is>
          <x:t xml:space="preserve">AA|v4.3.2</x:t>
        </x:is>
      </x:c>
      <x:c r="C180" t="n">
        <x:v>24</x:v>
      </x:c>
      <x:c r="D180" t="n">
        <x:v>40</x:v>
      </x:c>
      <x:c r="E180" t="n">
        <x:f>INDEX(Model_TestVersion_Stats!$W:$W,C180)</x:f>
        <x:v>52</x:v>
      </x:c>
      <x:c r="F180" t="n">
        <x:f>INDEX(Model_TestVersion_Stats!$O:$O,C180)</x:f>
        <x:v>2.375</x:v>
      </x:c>
      <x:c r="G180" t="str">
        <x:f>IF(INDEX(Model_TestVersion_Stats!$R:$R,C180)="","",INDEX(Model_TestVersion_Stats!$R:$R,C180)/60)</x:f>
      </x:c>
      <x:c r="H180" t="n">
        <x:f>IF(E180="","",E180-(D180-1))</x:f>
        <x:v>13</x:v>
      </x:c>
      <x:c r="I180" t="n">
        <x:f>IF(H180&gt;0,1,0)</x:f>
        <x:v>1</x:v>
      </x:c>
      <x:c r="J180" t="n">
        <x:f>IF(OR(I180=0,F180="",F180=0),"",H180/F180)</x:f>
        <x:v>5.473684210526316</x:v>
      </x:c>
      <x:c r="K180" t="n">
        <x:f>IF(OR(I180=0,H180=0,F180=""),"",F180/H180)</x:f>
        <x:v>0.18269230769230768</x:v>
      </x:c>
      <x:c r="L180" t="str">
        <x:f>IF(OR(I180=0,F180="",G180="",F180=0,G180=0),"",H180/(F180*G180))</x:f>
      </x:c>
      <x:c r="M180" t="n">
        <x:f>IF(J180="","",J180/_xlfn.MAXIFS($J:$J,$D:$D,D180))</x:f>
        <x:v>0.10165413533834587</x:v>
      </x:c>
      <x:c r="N180" t="str">
        <x:f>IF(L180="","",L180/_xlfn.MAXIFS($L:$L,$D:$D,D180))</x:f>
      </x:c>
      <x:c r="O180" t="str">
        <x:f>IF(OR(M180="",N180=""),"",SQRT(M180*N180))</x:f>
      </x:c>
      <x:c r="P180" t="str">
        <x:f>IF(OR(M180="",N180=""),"",M180^0.7*N180^0.3)</x:f>
      </x:c>
      <x:c r="Q180" t="str">
        <x:f>IF(OR(M180="",N180=""),"",M180^0.3*N180^0.7)</x:f>
      </x:c>
    </x:row>
    <x:row r="181">
      <x:c r="A181" t="inlineStr">
        <x:is>
          <x:t xml:space="preserve">anthropic|claude-sonnet-5.5|xhigh|reasoning|fallback-true</x:t>
        </x:is>
      </x:c>
      <x:c r="B181" t="inlineStr">
        <x:is>
          <x:t xml:space="preserve">AA|v4.3.2</x:t>
        </x:is>
      </x:c>
      <x:c r="C181" t="n">
        <x:v>24</x:v>
      </x:c>
      <x:c r="D181" t="n">
        <x:v>45</x:v>
      </x:c>
      <x:c r="E181" t="n">
        <x:f>INDEX(Model_TestVersion_Stats!$W:$W,C181)</x:f>
        <x:v>52</x:v>
      </x:c>
      <x:c r="F181" t="n">
        <x:f>INDEX(Model_TestVersion_Stats!$O:$O,C181)</x:f>
        <x:v>2.375</x:v>
      </x:c>
      <x:c r="G181" t="str">
        <x:f>IF(INDEX(Model_TestVersion_Stats!$R:$R,C181)="","",INDEX(Model_TestVersion_Stats!$R:$R,C181)/60)</x:f>
      </x:c>
      <x:c r="H181" t="n">
        <x:f>IF(E181="","",E181-(D181-1))</x:f>
        <x:v>8</x:v>
      </x:c>
      <x:c r="I181" t="n">
        <x:f>IF(H181&gt;0,1,0)</x:f>
        <x:v>1</x:v>
      </x:c>
      <x:c r="J181" t="n">
        <x:f>IF(OR(I181=0,F181="",F181=0),"",H181/F181)</x:f>
        <x:v>3.3684210526315788</x:v>
      </x:c>
      <x:c r="K181" t="n">
        <x:f>IF(OR(I181=0,H181=0,F181=""),"",F181/H181)</x:f>
        <x:v>0.296875</x:v>
      </x:c>
      <x:c r="L181" t="str">
        <x:f>IF(OR(I181=0,F181="",G181="",F181=0,G181=0),"",H181/(F181*G181))</x:f>
      </x:c>
      <x:c r="M181" t="n">
        <x:f>IF(J181="","",J181/_xlfn.MAXIFS($J:$J,$D:$D,D181))</x:f>
        <x:v>0.17684210526315788</x:v>
      </x:c>
      <x:c r="N181" t="str">
        <x:f>IF(L181="","",L181/_xlfn.MAXIFS($L:$L,$D:$D,D181))</x:f>
      </x:c>
      <x:c r="O181" t="str">
        <x:f>IF(OR(M181="",N181=""),"",SQRT(M181*N181))</x:f>
      </x:c>
      <x:c r="P181" t="str">
        <x:f>IF(OR(M181="",N181=""),"",M181^0.7*N181^0.3)</x:f>
      </x:c>
      <x:c r="Q181" t="str">
        <x:f>IF(OR(M181="",N181=""),"",M181^0.3*N181^0.7)</x:f>
      </x:c>
    </x:row>
    <x:row r="182">
      <x:c r="A182" t="inlineStr">
        <x:is>
          <x:t xml:space="preserve">anthropic|claude-sonnet-5.5|xhigh|reasoning|fallback-true</x:t>
        </x:is>
      </x:c>
      <x:c r="B182" t="inlineStr">
        <x:is>
          <x:t xml:space="preserve">AA|v4.3.2</x:t>
        </x:is>
      </x:c>
      <x:c r="C182" t="n">
        <x:v>24</x:v>
      </x:c>
      <x:c r="D182" t="n">
        <x:v>50</x:v>
      </x:c>
      <x:c r="E182" t="n">
        <x:f>INDEX(Model_TestVersion_Stats!$W:$W,C182)</x:f>
        <x:v>52</x:v>
      </x:c>
      <x:c r="F182" t="n">
        <x:f>INDEX(Model_TestVersion_Stats!$O:$O,C182)</x:f>
        <x:v>2.375</x:v>
      </x:c>
      <x:c r="G182" t="str">
        <x:f>IF(INDEX(Model_TestVersion_Stats!$R:$R,C182)="","",INDEX(Model_TestVersion_Stats!$R:$R,C182)/60)</x:f>
      </x:c>
      <x:c r="H182" t="n">
        <x:f>IF(E182="","",E182-(D182-1))</x:f>
        <x:v>3</x:v>
      </x:c>
      <x:c r="I182" t="n">
        <x:f>IF(H182&gt;0,1,0)</x:f>
        <x:v>1</x:v>
      </x:c>
      <x:c r="J182" t="n">
        <x:f>IF(OR(I182=0,F182="",F182=0),"",H182/F182)</x:f>
        <x:v>1.263157894736842</x:v>
      </x:c>
      <x:c r="K182" t="n">
        <x:f>IF(OR(I182=0,H182=0,F182=""),"",F182/H182)</x:f>
        <x:v>0.7916666666666666</x:v>
      </x:c>
      <x:c r="L182" t="str">
        <x:f>IF(OR(I182=0,F182="",G182="",F182=0,G182=0),"",H182/(F182*G182))</x:f>
      </x:c>
      <x:c r="M182" t="n">
        <x:f>IF(J182="","",J182/_xlfn.MAXIFS($J:$J,$D:$D,D182))</x:f>
        <x:v>0.2463157894736842</x:v>
      </x:c>
      <x:c r="N182" t="str">
        <x:f>IF(L182="","",L182/_xlfn.MAXIFS($L:$L,$D:$D,D182))</x:f>
      </x:c>
      <x:c r="O182" t="str">
        <x:f>IF(OR(M182="",N182=""),"",SQRT(M182*N182))</x:f>
      </x:c>
      <x:c r="P182" t="str">
        <x:f>IF(OR(M182="",N182=""),"",M182^0.7*N182^0.3)</x:f>
      </x:c>
      <x:c r="Q182" t="str">
        <x:f>IF(OR(M182="",N182=""),"",M182^0.3*N182^0.7)</x:f>
      </x:c>
    </x:row>
    <x:row r="183">
      <x:c r="A183" t="inlineStr">
        <x:is>
          <x:t xml:space="preserve">anthropic|claude-sonnet-5.5|xhigh|reasoning|fallback-true</x:t>
        </x:is>
      </x:c>
      <x:c r="B183" t="inlineStr">
        <x:is>
          <x:t xml:space="preserve">AA|v4.3.2</x:t>
        </x:is>
      </x:c>
      <x:c r="C183" t="n">
        <x:v>24</x:v>
      </x:c>
      <x:c r="D183" t="n">
        <x:v>52</x:v>
      </x:c>
      <x:c r="E183" t="n">
        <x:f>INDEX(Model_TestVersion_Stats!$W:$W,C183)</x:f>
        <x:v>52</x:v>
      </x:c>
      <x:c r="F183" t="n">
        <x:f>INDEX(Model_TestVersion_Stats!$O:$O,C183)</x:f>
        <x:v>2.375</x:v>
      </x:c>
      <x:c r="G183" t="str">
        <x:f>IF(INDEX(Model_TestVersion_Stats!$R:$R,C183)="","",INDEX(Model_TestVersion_Stats!$R:$R,C183)/60)</x:f>
      </x:c>
      <x:c r="H183" t="n">
        <x:f>IF(E183="","",E183-(D183-1))</x:f>
        <x:v>1</x:v>
      </x:c>
      <x:c r="I183" t="n">
        <x:f>IF(H183&gt;0,1,0)</x:f>
        <x:v>1</x:v>
      </x:c>
      <x:c r="J183" t="n">
        <x:f>IF(OR(I183=0,F183="",F183=0),"",H183/F183)</x:f>
        <x:v>0.42105263157894735</x:v>
      </x:c>
      <x:c r="K183" t="n">
        <x:f>IF(OR(I183=0,H183=0,F183=""),"",F183/H183)</x:f>
        <x:v>2.375</x:v>
      </x:c>
      <x:c r="L183" t="str">
        <x:f>IF(OR(I183=0,F183="",G183="",F183=0,G183=0),"",H183/(F183*G183))</x:f>
      </x:c>
      <x:c r="M183" t="n">
        <x:f>IF(J183="","",J183/_xlfn.MAXIFS($J:$J,$D:$D,D183))</x:f>
        <x:v>0.2554385964912281</x:v>
      </x:c>
      <x:c r="N183" t="str">
        <x:f>IF(L183="","",L183/_xlfn.MAXIFS($L:$L,$D:$D,D183))</x:f>
      </x:c>
      <x:c r="O183" t="str">
        <x:f>IF(OR(M183="",N183=""),"",SQRT(M183*N183))</x:f>
      </x:c>
      <x:c r="P183" t="str">
        <x:f>IF(OR(M183="",N183=""),"",M183^0.7*N183^0.3)</x:f>
      </x:c>
      <x:c r="Q183" t="str">
        <x:f>IF(OR(M183="",N183=""),"",M183^0.3*N183^0.7)</x:f>
      </x:c>
    </x:row>
    <x:row r="184">
      <x:c r="A184" t="inlineStr">
        <x:is>
          <x:t xml:space="preserve">anthropic|claude-sonnet-5.5|xhigh|reasoning|fallback-true</x:t>
        </x:is>
      </x:c>
      <x:c r="B184" t="inlineStr">
        <x:is>
          <x:t xml:space="preserve">AA|v4.3.2</x:t>
        </x:is>
      </x:c>
      <x:c r="C184" t="n">
        <x:v>24</x:v>
      </x:c>
      <x:c r="D184" t="n">
        <x:v>65</x:v>
      </x:c>
      <x:c r="E184" t="n">
        <x:f>INDEX(Model_TestVersion_Stats!$W:$W,C184)</x:f>
        <x:v>52</x:v>
      </x:c>
      <x:c r="F184" t="n">
        <x:f>INDEX(Model_TestVersion_Stats!$O:$O,C184)</x:f>
        <x:v>2.375</x:v>
      </x:c>
      <x:c r="G184" t="str">
        <x:f>IF(INDEX(Model_TestVersion_Stats!$R:$R,C184)="","",INDEX(Model_TestVersion_Stats!$R:$R,C184)/60)</x:f>
      </x:c>
      <x:c r="H184" t="n">
        <x:f>IF(E184="","",E184-(D184-1))</x:f>
        <x:v>-12</x:v>
      </x:c>
      <x:c r="I184" t="n">
        <x:f>IF(H184&gt;0,1,0)</x:f>
        <x:v>0</x:v>
      </x:c>
      <x:c r="J184" t="str">
        <x:f>IF(OR(I184=0,F184="",F184=0),"",H184/F184)</x:f>
      </x:c>
      <x:c r="K184" t="str">
        <x:f>IF(OR(I184=0,H184=0,F184=""),"",F184/H184)</x:f>
      </x:c>
      <x:c r="L184" t="str">
        <x:f>IF(OR(I184=0,F184="",G184="",F184=0,G184=0),"",H184/(F184*G184))</x:f>
      </x:c>
      <x:c r="M184" t="str">
        <x:f>IF(J184="","",J184/_xlfn.MAXIFS($J:$J,$D:$D,D184))</x:f>
      </x:c>
      <x:c r="N184" t="str">
        <x:f>IF(L184="","",L184/_xlfn.MAXIFS($L:$L,$D:$D,D184))</x:f>
      </x:c>
      <x:c r="O184" t="str">
        <x:f>IF(OR(M184="",N184=""),"",SQRT(M184*N184))</x:f>
      </x:c>
      <x:c r="P184" t="str">
        <x:f>IF(OR(M184="",N184=""),"",M184^0.7*N184^0.3)</x:f>
      </x:c>
      <x:c r="Q184" t="str">
        <x:f>IF(OR(M184="",N184=""),"",M184^0.3*N184^0.7)</x:f>
      </x:c>
    </x:row>
    <x:row r="185">
      <x:c r="A185" t="inlineStr">
        <x:is>
          <x:t xml:space="preserve">anthropic|claude-sonnet-5.5|xhigh|reasoning|fallback-true</x:t>
        </x:is>
      </x:c>
      <x:c r="B185" t="inlineStr">
        <x:is>
          <x:t xml:space="preserve">AA|v4.3.2</x:t>
        </x:is>
      </x:c>
      <x:c r="C185" t="n">
        <x:v>24</x:v>
      </x:c>
      <x:c r="D185" t="n">
        <x:v>80</x:v>
      </x:c>
      <x:c r="E185" t="n">
        <x:f>INDEX(Model_TestVersion_Stats!$W:$W,C185)</x:f>
        <x:v>52</x:v>
      </x:c>
      <x:c r="F185" t="n">
        <x:f>INDEX(Model_TestVersion_Stats!$O:$O,C185)</x:f>
        <x:v>2.375</x:v>
      </x:c>
      <x:c r="G185" t="str">
        <x:f>IF(INDEX(Model_TestVersion_Stats!$R:$R,C185)="","",INDEX(Model_TestVersion_Stats!$R:$R,C185)/60)</x:f>
      </x:c>
      <x:c r="H185" t="n">
        <x:f>IF(E185="","",E185-(D185-1))</x:f>
        <x:v>-27</x:v>
      </x:c>
      <x:c r="I185" t="n">
        <x:f>IF(H185&gt;0,1,0)</x:f>
        <x:v>0</x:v>
      </x:c>
      <x:c r="J185" t="str">
        <x:f>IF(OR(I185=0,F185="",F185=0),"",H185/F185)</x:f>
      </x:c>
      <x:c r="K185" t="str">
        <x:f>IF(OR(I185=0,H185=0,F185=""),"",F185/H185)</x:f>
      </x:c>
      <x:c r="L185" t="str">
        <x:f>IF(OR(I185=0,F185="",G185="",F185=0,G185=0),"",H185/(F185*G185))</x:f>
      </x:c>
      <x:c r="M185" t="str">
        <x:f>IF(J185="","",J185/_xlfn.MAXIFS($J:$J,$D:$D,D185))</x:f>
      </x:c>
      <x:c r="N185" t="str">
        <x:f>IF(L185="","",L185/_xlfn.MAXIFS($L:$L,$D:$D,D185))</x:f>
      </x:c>
      <x:c r="O185" t="str">
        <x:f>IF(OR(M185="",N185=""),"",SQRT(M185*N185))</x:f>
      </x:c>
      <x:c r="P185" t="str">
        <x:f>IF(OR(M185="",N185=""),"",M185^0.7*N185^0.3)</x:f>
      </x:c>
      <x:c r="Q185" t="str">
        <x:f>IF(OR(M185="",N185=""),"",M185^0.3*N185^0.7)</x:f>
      </x:c>
    </x:row>
    <x:row r="186">
      <x:c r="A186" t="inlineStr">
        <x:is>
          <x:t xml:space="preserve">anthropic|claude-sonnet-5|high|reasoning|fallback-na</x:t>
        </x:is>
      </x:c>
      <x:c r="B186" t="inlineStr">
        <x:is>
          <x:t xml:space="preserve">AA|v4.3.2</x:t>
        </x:is>
      </x:c>
      <x:c r="C186" t="n">
        <x:v>25</x:v>
      </x:c>
      <x:c r="D186" t="n">
        <x:v>20</x:v>
      </x:c>
      <x:c r="E186" t="n">
        <x:f>INDEX(Model_TestVersion_Stats!$W:$W,C186)</x:f>
        <x:v>32</x:v>
      </x:c>
      <x:c r="F186" t="n">
        <x:f>INDEX(Model_TestVersion_Stats!$O:$O,C186)</x:f>
        <x:v>1.79</x:v>
      </x:c>
      <x:c r="G186" t="str">
        <x:f>IF(INDEX(Model_TestVersion_Stats!$R:$R,C186)="","",INDEX(Model_TestVersion_Stats!$R:$R,C186)/60)</x:f>
      </x:c>
      <x:c r="H186" t="n">
        <x:f>IF(E186="","",E186-(D186-1))</x:f>
        <x:v>13</x:v>
      </x:c>
      <x:c r="I186" t="n">
        <x:f>IF(H186&gt;0,1,0)</x:f>
        <x:v>1</x:v>
      </x:c>
      <x:c r="J186" t="n">
        <x:f>IF(OR(I186=0,F186="",F186=0),"",H186/F186)</x:f>
        <x:v>7.262569832402234</x:v>
      </x:c>
      <x:c r="K186" t="n">
        <x:f>IF(OR(I186=0,H186=0,F186=""),"",F186/H186)</x:f>
        <x:v>0.1376923076923077</x:v>
      </x:c>
      <x:c r="L186" t="str">
        <x:f>IF(OR(I186=0,F186="",G186="",F186=0,G186=0),"",H186/(F186*G186))</x:f>
      </x:c>
      <x:c r="M186" t="n">
        <x:f>IF(J186="","",J186/_xlfn.MAXIFS($J:$J,$D:$D,D186))</x:f>
        <x:v>0.013072625698324023</x:v>
      </x:c>
      <x:c r="N186" t="str">
        <x:f>IF(L186="","",L186/_xlfn.MAXIFS($L:$L,$D:$D,D186))</x:f>
      </x:c>
      <x:c r="O186" t="str">
        <x:f>IF(OR(M186="",N186=""),"",SQRT(M186*N186))</x:f>
      </x:c>
      <x:c r="P186" t="str">
        <x:f>IF(OR(M186="",N186=""),"",M186^0.7*N186^0.3)</x:f>
      </x:c>
      <x:c r="Q186" t="str">
        <x:f>IF(OR(M186="",N186=""),"",M186^0.3*N186^0.7)</x:f>
      </x:c>
    </x:row>
    <x:row r="187">
      <x:c r="A187" t="inlineStr">
        <x:is>
          <x:t xml:space="preserve">anthropic|claude-sonnet-5|high|reasoning|fallback-na</x:t>
        </x:is>
      </x:c>
      <x:c r="B187" t="inlineStr">
        <x:is>
          <x:t xml:space="preserve">AA|v4.3.2</x:t>
        </x:is>
      </x:c>
      <x:c r="C187" t="n">
        <x:v>25</x:v>
      </x:c>
      <x:c r="D187" t="n">
        <x:v>30</x:v>
      </x:c>
      <x:c r="E187" t="n">
        <x:f>INDEX(Model_TestVersion_Stats!$W:$W,C187)</x:f>
        <x:v>32</x:v>
      </x:c>
      <x:c r="F187" t="n">
        <x:f>INDEX(Model_TestVersion_Stats!$O:$O,C187)</x:f>
        <x:v>1.79</x:v>
      </x:c>
      <x:c r="G187" t="str">
        <x:f>IF(INDEX(Model_TestVersion_Stats!$R:$R,C187)="","",INDEX(Model_TestVersion_Stats!$R:$R,C187)/60)</x:f>
      </x:c>
      <x:c r="H187" t="n">
        <x:f>IF(E187="","",E187-(D187-1))</x:f>
        <x:v>3</x:v>
      </x:c>
      <x:c r="I187" t="n">
        <x:f>IF(H187&gt;0,1,0)</x:f>
        <x:v>1</x:v>
      </x:c>
      <x:c r="J187" t="n">
        <x:f>IF(OR(I187=0,F187="",F187=0),"",H187/F187)</x:f>
        <x:v>1.675977653631285</x:v>
      </x:c>
      <x:c r="K187" t="n">
        <x:f>IF(OR(I187=0,H187=0,F187=""),"",F187/H187)</x:f>
        <x:v>0.5966666666666667</x:v>
      </x:c>
      <x:c r="L187" t="str">
        <x:f>IF(OR(I187=0,F187="",G187="",F187=0,G187=0),"",H187/(F187*G187))</x:f>
      </x:c>
      <x:c r="M187" t="n">
        <x:f>IF(J187="","",J187/_xlfn.MAXIFS($J:$J,$D:$D,D187))</x:f>
        <x:v>0.0111731843575419</x:v>
      </x:c>
      <x:c r="N187" t="str">
        <x:f>IF(L187="","",L187/_xlfn.MAXIFS($L:$L,$D:$D,D187))</x:f>
      </x:c>
      <x:c r="O187" t="str">
        <x:f>IF(OR(M187="",N187=""),"",SQRT(M187*N187))</x:f>
      </x:c>
      <x:c r="P187" t="str">
        <x:f>IF(OR(M187="",N187=""),"",M187^0.7*N187^0.3)</x:f>
      </x:c>
      <x:c r="Q187" t="str">
        <x:f>IF(OR(M187="",N187=""),"",M187^0.3*N187^0.7)</x:f>
      </x:c>
    </x:row>
    <x:row r="188">
      <x:c r="A188" t="inlineStr">
        <x:is>
          <x:t xml:space="preserve">anthropic|claude-sonnet-5|high|reasoning|fallback-na</x:t>
        </x:is>
      </x:c>
      <x:c r="B188" t="inlineStr">
        <x:is>
          <x:t xml:space="preserve">AA|v4.3.2</x:t>
        </x:is>
      </x:c>
      <x:c r="C188" t="n">
        <x:v>25</x:v>
      </x:c>
      <x:c r="D188" t="n">
        <x:v>40</x:v>
      </x:c>
      <x:c r="E188" t="n">
        <x:f>INDEX(Model_TestVersion_Stats!$W:$W,C188)</x:f>
        <x:v>32</x:v>
      </x:c>
      <x:c r="F188" t="n">
        <x:f>INDEX(Model_TestVersion_Stats!$O:$O,C188)</x:f>
        <x:v>1.79</x:v>
      </x:c>
      <x:c r="G188" t="str">
        <x:f>IF(INDEX(Model_TestVersion_Stats!$R:$R,C188)="","",INDEX(Model_TestVersion_Stats!$R:$R,C188)/60)</x:f>
      </x:c>
      <x:c r="H188" t="n">
        <x:f>IF(E188="","",E188-(D188-1))</x:f>
        <x:v>-7</x:v>
      </x:c>
      <x:c r="I188" t="n">
        <x:f>IF(H188&gt;0,1,0)</x:f>
        <x:v>0</x:v>
      </x:c>
      <x:c r="J188" t="str">
        <x:f>IF(OR(I188=0,F188="",F188=0),"",H188/F188)</x:f>
      </x:c>
      <x:c r="K188" t="str">
        <x:f>IF(OR(I188=0,H188=0,F188=""),"",F188/H188)</x:f>
      </x:c>
      <x:c r="L188" t="str">
        <x:f>IF(OR(I188=0,F188="",G188="",F188=0,G188=0),"",H188/(F188*G188))</x:f>
      </x:c>
      <x:c r="M188" t="str">
        <x:f>IF(J188="","",J188/_xlfn.MAXIFS($J:$J,$D:$D,D188))</x:f>
      </x:c>
      <x:c r="N188" t="str">
        <x:f>IF(L188="","",L188/_xlfn.MAXIFS($L:$L,$D:$D,D188))</x:f>
      </x:c>
      <x:c r="O188" t="str">
        <x:f>IF(OR(M188="",N188=""),"",SQRT(M188*N188))</x:f>
      </x:c>
      <x:c r="P188" t="str">
        <x:f>IF(OR(M188="",N188=""),"",M188^0.7*N188^0.3)</x:f>
      </x:c>
      <x:c r="Q188" t="str">
        <x:f>IF(OR(M188="",N188=""),"",M188^0.3*N188^0.7)</x:f>
      </x:c>
    </x:row>
    <x:row r="189">
      <x:c r="A189" t="inlineStr">
        <x:is>
          <x:t xml:space="preserve">anthropic|claude-sonnet-5|high|reasoning|fallback-na</x:t>
        </x:is>
      </x:c>
      <x:c r="B189" t="inlineStr">
        <x:is>
          <x:t xml:space="preserve">AA|v4.3.2</x:t>
        </x:is>
      </x:c>
      <x:c r="C189" t="n">
        <x:v>25</x:v>
      </x:c>
      <x:c r="D189" t="n">
        <x:v>45</x:v>
      </x:c>
      <x:c r="E189" t="n">
        <x:f>INDEX(Model_TestVersion_Stats!$W:$W,C189)</x:f>
        <x:v>32</x:v>
      </x:c>
      <x:c r="F189" t="n">
        <x:f>INDEX(Model_TestVersion_Stats!$O:$O,C189)</x:f>
        <x:v>1.79</x:v>
      </x:c>
      <x:c r="G189" t="str">
        <x:f>IF(INDEX(Model_TestVersion_Stats!$R:$R,C189)="","",INDEX(Model_TestVersion_Stats!$R:$R,C189)/60)</x:f>
      </x:c>
      <x:c r="H189" t="n">
        <x:f>IF(E189="","",E189-(D189-1))</x:f>
        <x:v>-12</x:v>
      </x:c>
      <x:c r="I189" t="n">
        <x:f>IF(H189&gt;0,1,0)</x:f>
        <x:v>0</x:v>
      </x:c>
      <x:c r="J189" t="str">
        <x:f>IF(OR(I189=0,F189="",F189=0),"",H189/F189)</x:f>
      </x:c>
      <x:c r="K189" t="str">
        <x:f>IF(OR(I189=0,H189=0,F189=""),"",F189/H189)</x:f>
      </x:c>
      <x:c r="L189" t="str">
        <x:f>IF(OR(I189=0,F189="",G189="",F189=0,G189=0),"",H189/(F189*G189))</x:f>
      </x:c>
      <x:c r="M189" t="str">
        <x:f>IF(J189="","",J189/_xlfn.MAXIFS($J:$J,$D:$D,D189))</x:f>
      </x:c>
      <x:c r="N189" t="str">
        <x:f>IF(L189="","",L189/_xlfn.MAXIFS($L:$L,$D:$D,D189))</x:f>
      </x:c>
      <x:c r="O189" t="str">
        <x:f>IF(OR(M189="",N189=""),"",SQRT(M189*N189))</x:f>
      </x:c>
      <x:c r="P189" t="str">
        <x:f>IF(OR(M189="",N189=""),"",M189^0.7*N189^0.3)</x:f>
      </x:c>
      <x:c r="Q189" t="str">
        <x:f>IF(OR(M189="",N189=""),"",M189^0.3*N189^0.7)</x:f>
      </x:c>
    </x:row>
    <x:row r="190">
      <x:c r="A190" t="inlineStr">
        <x:is>
          <x:t xml:space="preserve">anthropic|claude-sonnet-5|high|reasoning|fallback-na</x:t>
        </x:is>
      </x:c>
      <x:c r="B190" t="inlineStr">
        <x:is>
          <x:t xml:space="preserve">AA|v4.3.2</x:t>
        </x:is>
      </x:c>
      <x:c r="C190" t="n">
        <x:v>25</x:v>
      </x:c>
      <x:c r="D190" t="n">
        <x:v>50</x:v>
      </x:c>
      <x:c r="E190" t="n">
        <x:f>INDEX(Model_TestVersion_Stats!$W:$W,C190)</x:f>
        <x:v>32</x:v>
      </x:c>
      <x:c r="F190" t="n">
        <x:f>INDEX(Model_TestVersion_Stats!$O:$O,C190)</x:f>
        <x:v>1.79</x:v>
      </x:c>
      <x:c r="G190" t="str">
        <x:f>IF(INDEX(Model_TestVersion_Stats!$R:$R,C190)="","",INDEX(Model_TestVersion_Stats!$R:$R,C190)/60)</x:f>
      </x:c>
      <x:c r="H190" t="n">
        <x:f>IF(E190="","",E190-(D190-1))</x:f>
        <x:v>-17</x:v>
      </x:c>
      <x:c r="I190" t="n">
        <x:f>IF(H190&gt;0,1,0)</x:f>
        <x:v>0</x:v>
      </x:c>
      <x:c r="J190" t="str">
        <x:f>IF(OR(I190=0,F190="",F190=0),"",H190/F190)</x:f>
      </x:c>
      <x:c r="K190" t="str">
        <x:f>IF(OR(I190=0,H190=0,F190=""),"",F190/H190)</x:f>
      </x:c>
      <x:c r="L190" t="str">
        <x:f>IF(OR(I190=0,F190="",G190="",F190=0,G190=0),"",H190/(F190*G190))</x:f>
      </x:c>
      <x:c r="M190" t="str">
        <x:f>IF(J190="","",J190/_xlfn.MAXIFS($J:$J,$D:$D,D190))</x:f>
      </x:c>
      <x:c r="N190" t="str">
        <x:f>IF(L190="","",L190/_xlfn.MAXIFS($L:$L,$D:$D,D190))</x:f>
      </x:c>
      <x:c r="O190" t="str">
        <x:f>IF(OR(M190="",N190=""),"",SQRT(M190*N190))</x:f>
      </x:c>
      <x:c r="P190" t="str">
        <x:f>IF(OR(M190="",N190=""),"",M190^0.7*N190^0.3)</x:f>
      </x:c>
      <x:c r="Q190" t="str">
        <x:f>IF(OR(M190="",N190=""),"",M190^0.3*N190^0.7)</x:f>
      </x:c>
    </x:row>
    <x:row r="191">
      <x:c r="A191" t="inlineStr">
        <x:is>
          <x:t xml:space="preserve">anthropic|claude-sonnet-5|high|reasoning|fallback-na</x:t>
        </x:is>
      </x:c>
      <x:c r="B191" t="inlineStr">
        <x:is>
          <x:t xml:space="preserve">AA|v4.3.2</x:t>
        </x:is>
      </x:c>
      <x:c r="C191" t="n">
        <x:v>25</x:v>
      </x:c>
      <x:c r="D191" t="n">
        <x:v>52</x:v>
      </x:c>
      <x:c r="E191" t="n">
        <x:f>INDEX(Model_TestVersion_Stats!$W:$W,C191)</x:f>
        <x:v>32</x:v>
      </x:c>
      <x:c r="F191" t="n">
        <x:f>INDEX(Model_TestVersion_Stats!$O:$O,C191)</x:f>
        <x:v>1.79</x:v>
      </x:c>
      <x:c r="G191" t="str">
        <x:f>IF(INDEX(Model_TestVersion_Stats!$R:$R,C191)="","",INDEX(Model_TestVersion_Stats!$R:$R,C191)/60)</x:f>
      </x:c>
      <x:c r="H191" t="n">
        <x:f>IF(E191="","",E191-(D191-1))</x:f>
        <x:v>-19</x:v>
      </x:c>
      <x:c r="I191" t="n">
        <x:f>IF(H191&gt;0,1,0)</x:f>
        <x:v>0</x:v>
      </x:c>
      <x:c r="J191" t="str">
        <x:f>IF(OR(I191=0,F191="",F191=0),"",H191/F191)</x:f>
      </x:c>
      <x:c r="K191" t="str">
        <x:f>IF(OR(I191=0,H191=0,F191=""),"",F191/H191)</x:f>
      </x:c>
      <x:c r="L191" t="str">
        <x:f>IF(OR(I191=0,F191="",G191="",F191=0,G191=0),"",H191/(F191*G191))</x:f>
      </x:c>
      <x:c r="M191" t="str">
        <x:f>IF(J191="","",J191/_xlfn.MAXIFS($J:$J,$D:$D,D191))</x:f>
      </x:c>
      <x:c r="N191" t="str">
        <x:f>IF(L191="","",L191/_xlfn.MAXIFS($L:$L,$D:$D,D191))</x:f>
      </x:c>
      <x:c r="O191" t="str">
        <x:f>IF(OR(M191="",N191=""),"",SQRT(M191*N191))</x:f>
      </x:c>
      <x:c r="P191" t="str">
        <x:f>IF(OR(M191="",N191=""),"",M191^0.7*N191^0.3)</x:f>
      </x:c>
      <x:c r="Q191" t="str">
        <x:f>IF(OR(M191="",N191=""),"",M191^0.3*N191^0.7)</x:f>
      </x:c>
    </x:row>
    <x:row r="192">
      <x:c r="A192" t="inlineStr">
        <x:is>
          <x:t xml:space="preserve">anthropic|claude-sonnet-5|high|reasoning|fallback-na</x:t>
        </x:is>
      </x:c>
      <x:c r="B192" t="inlineStr">
        <x:is>
          <x:t xml:space="preserve">AA|v4.3.2</x:t>
        </x:is>
      </x:c>
      <x:c r="C192" t="n">
        <x:v>25</x:v>
      </x:c>
      <x:c r="D192" t="n">
        <x:v>65</x:v>
      </x:c>
      <x:c r="E192" t="n">
        <x:f>INDEX(Model_TestVersion_Stats!$W:$W,C192)</x:f>
        <x:v>32</x:v>
      </x:c>
      <x:c r="F192" t="n">
        <x:f>INDEX(Model_TestVersion_Stats!$O:$O,C192)</x:f>
        <x:v>1.79</x:v>
      </x:c>
      <x:c r="G192" t="str">
        <x:f>IF(INDEX(Model_TestVersion_Stats!$R:$R,C192)="","",INDEX(Model_TestVersion_Stats!$R:$R,C192)/60)</x:f>
      </x:c>
      <x:c r="H192" t="n">
        <x:f>IF(E192="","",E192-(D192-1))</x:f>
        <x:v>-32</x:v>
      </x:c>
      <x:c r="I192" t="n">
        <x:f>IF(H192&gt;0,1,0)</x:f>
        <x:v>0</x:v>
      </x:c>
      <x:c r="J192" t="str">
        <x:f>IF(OR(I192=0,F192="",F192=0),"",H192/F192)</x:f>
      </x:c>
      <x:c r="K192" t="str">
        <x:f>IF(OR(I192=0,H192=0,F192=""),"",F192/H192)</x:f>
      </x:c>
      <x:c r="L192" t="str">
        <x:f>IF(OR(I192=0,F192="",G192="",F192=0,G192=0),"",H192/(F192*G192))</x:f>
      </x:c>
      <x:c r="M192" t="str">
        <x:f>IF(J192="","",J192/_xlfn.MAXIFS($J:$J,$D:$D,D192))</x:f>
      </x:c>
      <x:c r="N192" t="str">
        <x:f>IF(L192="","",L192/_xlfn.MAXIFS($L:$L,$D:$D,D192))</x:f>
      </x:c>
      <x:c r="O192" t="str">
        <x:f>IF(OR(M192="",N192=""),"",SQRT(M192*N192))</x:f>
      </x:c>
      <x:c r="P192" t="str">
        <x:f>IF(OR(M192="",N192=""),"",M192^0.7*N192^0.3)</x:f>
      </x:c>
      <x:c r="Q192" t="str">
        <x:f>IF(OR(M192="",N192=""),"",M192^0.3*N192^0.7)</x:f>
      </x:c>
    </x:row>
    <x:row r="193">
      <x:c r="A193" t="inlineStr">
        <x:is>
          <x:t xml:space="preserve">anthropic|claude-sonnet-5|high|reasoning|fallback-na</x:t>
        </x:is>
      </x:c>
      <x:c r="B193" t="inlineStr">
        <x:is>
          <x:t xml:space="preserve">AA|v4.3.2</x:t>
        </x:is>
      </x:c>
      <x:c r="C193" t="n">
        <x:v>25</x:v>
      </x:c>
      <x:c r="D193" t="n">
        <x:v>80</x:v>
      </x:c>
      <x:c r="E193" t="n">
        <x:f>INDEX(Model_TestVersion_Stats!$W:$W,C193)</x:f>
        <x:v>32</x:v>
      </x:c>
      <x:c r="F193" t="n">
        <x:f>INDEX(Model_TestVersion_Stats!$O:$O,C193)</x:f>
        <x:v>1.79</x:v>
      </x:c>
      <x:c r="G193" t="str">
        <x:f>IF(INDEX(Model_TestVersion_Stats!$R:$R,C193)="","",INDEX(Model_TestVersion_Stats!$R:$R,C193)/60)</x:f>
      </x:c>
      <x:c r="H193" t="n">
        <x:f>IF(E193="","",E193-(D193-1))</x:f>
        <x:v>-47</x:v>
      </x:c>
      <x:c r="I193" t="n">
        <x:f>IF(H193&gt;0,1,0)</x:f>
        <x:v>0</x:v>
      </x:c>
      <x:c r="J193" t="str">
        <x:f>IF(OR(I193=0,F193="",F193=0),"",H193/F193)</x:f>
      </x:c>
      <x:c r="K193" t="str">
        <x:f>IF(OR(I193=0,H193=0,F193=""),"",F193/H193)</x:f>
      </x:c>
      <x:c r="L193" t="str">
        <x:f>IF(OR(I193=0,F193="",G193="",F193=0,G193=0),"",H193/(F193*G193))</x:f>
      </x:c>
      <x:c r="M193" t="str">
        <x:f>IF(J193="","",J193/_xlfn.MAXIFS($J:$J,$D:$D,D193))</x:f>
      </x:c>
      <x:c r="N193" t="str">
        <x:f>IF(L193="","",L193/_xlfn.MAXIFS($L:$L,$D:$D,D193))</x:f>
      </x:c>
      <x:c r="O193" t="str">
        <x:f>IF(OR(M193="",N193=""),"",SQRT(M193*N193))</x:f>
      </x:c>
      <x:c r="P193" t="str">
        <x:f>IF(OR(M193="",N193=""),"",M193^0.7*N193^0.3)</x:f>
      </x:c>
      <x:c r="Q193" t="str">
        <x:f>IF(OR(M193="",N193=""),"",M193^0.3*N193^0.7)</x:f>
      </x:c>
    </x:row>
    <x:row r="194">
      <x:c r="A194" t="inlineStr">
        <x:is>
          <x:t xml:space="preserve">anthropic|claude-sonnet-5|low|reasoning|fallback-na</x:t>
        </x:is>
      </x:c>
      <x:c r="B194" t="inlineStr">
        <x:is>
          <x:t xml:space="preserve">AA|v4.3.2</x:t>
        </x:is>
      </x:c>
      <x:c r="C194" t="n">
        <x:v>26</x:v>
      </x:c>
      <x:c r="D194" t="n">
        <x:v>20</x:v>
      </x:c>
      <x:c r="E194" t="n">
        <x:f>INDEX(Model_TestVersion_Stats!$W:$W,C194)</x:f>
        <x:v>25</x:v>
      </x:c>
      <x:c r="F194" t="n">
        <x:f>INDEX(Model_TestVersion_Stats!$O:$O,C194)</x:f>
        <x:v>0.51</x:v>
      </x:c>
      <x:c r="G194" t="str">
        <x:f>IF(INDEX(Model_TestVersion_Stats!$R:$R,C194)="","",INDEX(Model_TestVersion_Stats!$R:$R,C194)/60)</x:f>
      </x:c>
      <x:c r="H194" t="n">
        <x:f>IF(E194="","",E194-(D194-1))</x:f>
        <x:v>6</x:v>
      </x:c>
      <x:c r="I194" t="n">
        <x:f>IF(H194&gt;0,1,0)</x:f>
        <x:v>1</x:v>
      </x:c>
      <x:c r="J194" t="n">
        <x:f>IF(OR(I194=0,F194="",F194=0),"",H194/F194)</x:f>
        <x:v>11.76470588235294</x:v>
      </x:c>
      <x:c r="K194" t="n">
        <x:f>IF(OR(I194=0,H194=0,F194=""),"",F194/H194)</x:f>
        <x:v>0.085</x:v>
      </x:c>
      <x:c r="L194" t="str">
        <x:f>IF(OR(I194=0,F194="",G194="",F194=0,G194=0),"",H194/(F194*G194))</x:f>
      </x:c>
      <x:c r="M194" t="n">
        <x:f>IF(J194="","",J194/_xlfn.MAXIFS($J:$J,$D:$D,D194))</x:f>
        <x:v>0.021176470588235293</x:v>
      </x:c>
      <x:c r="N194" t="str">
        <x:f>IF(L194="","",L194/_xlfn.MAXIFS($L:$L,$D:$D,D194))</x:f>
      </x:c>
      <x:c r="O194" t="str">
        <x:f>IF(OR(M194="",N194=""),"",SQRT(M194*N194))</x:f>
      </x:c>
      <x:c r="P194" t="str">
        <x:f>IF(OR(M194="",N194=""),"",M194^0.7*N194^0.3)</x:f>
      </x:c>
      <x:c r="Q194" t="str">
        <x:f>IF(OR(M194="",N194=""),"",M194^0.3*N194^0.7)</x:f>
      </x:c>
    </x:row>
    <x:row r="195">
      <x:c r="A195" t="inlineStr">
        <x:is>
          <x:t xml:space="preserve">anthropic|claude-sonnet-5|low|reasoning|fallback-na</x:t>
        </x:is>
      </x:c>
      <x:c r="B195" t="inlineStr">
        <x:is>
          <x:t xml:space="preserve">AA|v4.3.2</x:t>
        </x:is>
      </x:c>
      <x:c r="C195" t="n">
        <x:v>26</x:v>
      </x:c>
      <x:c r="D195" t="n">
        <x:v>30</x:v>
      </x:c>
      <x:c r="E195" t="n">
        <x:f>INDEX(Model_TestVersion_Stats!$W:$W,C195)</x:f>
        <x:v>25</x:v>
      </x:c>
      <x:c r="F195" t="n">
        <x:f>INDEX(Model_TestVersion_Stats!$O:$O,C195)</x:f>
        <x:v>0.51</x:v>
      </x:c>
      <x:c r="G195" t="str">
        <x:f>IF(INDEX(Model_TestVersion_Stats!$R:$R,C195)="","",INDEX(Model_TestVersion_Stats!$R:$R,C195)/60)</x:f>
      </x:c>
      <x:c r="H195" t="n">
        <x:f>IF(E195="","",E195-(D195-1))</x:f>
        <x:v>-4</x:v>
      </x:c>
      <x:c r="I195" t="n">
        <x:f>IF(H195&gt;0,1,0)</x:f>
        <x:v>0</x:v>
      </x:c>
      <x:c r="J195" t="str">
        <x:f>IF(OR(I195=0,F195="",F195=0),"",H195/F195)</x:f>
      </x:c>
      <x:c r="K195" t="str">
        <x:f>IF(OR(I195=0,H195=0,F195=""),"",F195/H195)</x:f>
      </x:c>
      <x:c r="L195" t="str">
        <x:f>IF(OR(I195=0,F195="",G195="",F195=0,G195=0),"",H195/(F195*G195))</x:f>
      </x:c>
      <x:c r="M195" t="str">
        <x:f>IF(J195="","",J195/_xlfn.MAXIFS($J:$J,$D:$D,D195))</x:f>
      </x:c>
      <x:c r="N195" t="str">
        <x:f>IF(L195="","",L195/_xlfn.MAXIFS($L:$L,$D:$D,D195))</x:f>
      </x:c>
      <x:c r="O195" t="str">
        <x:f>IF(OR(M195="",N195=""),"",SQRT(M195*N195))</x:f>
      </x:c>
      <x:c r="P195" t="str">
        <x:f>IF(OR(M195="",N195=""),"",M195^0.7*N195^0.3)</x:f>
      </x:c>
      <x:c r="Q195" t="str">
        <x:f>IF(OR(M195="",N195=""),"",M195^0.3*N195^0.7)</x:f>
      </x:c>
    </x:row>
    <x:row r="196">
      <x:c r="A196" t="inlineStr">
        <x:is>
          <x:t xml:space="preserve">anthropic|claude-sonnet-5|low|reasoning|fallback-na</x:t>
        </x:is>
      </x:c>
      <x:c r="B196" t="inlineStr">
        <x:is>
          <x:t xml:space="preserve">AA|v4.3.2</x:t>
        </x:is>
      </x:c>
      <x:c r="C196" t="n">
        <x:v>26</x:v>
      </x:c>
      <x:c r="D196" t="n">
        <x:v>40</x:v>
      </x:c>
      <x:c r="E196" t="n">
        <x:f>INDEX(Model_TestVersion_Stats!$W:$W,C196)</x:f>
        <x:v>25</x:v>
      </x:c>
      <x:c r="F196" t="n">
        <x:f>INDEX(Model_TestVersion_Stats!$O:$O,C196)</x:f>
        <x:v>0.51</x:v>
      </x:c>
      <x:c r="G196" t="str">
        <x:f>IF(INDEX(Model_TestVersion_Stats!$R:$R,C196)="","",INDEX(Model_TestVersion_Stats!$R:$R,C196)/60)</x:f>
      </x:c>
      <x:c r="H196" t="n">
        <x:f>IF(E196="","",E196-(D196-1))</x:f>
        <x:v>-14</x:v>
      </x:c>
      <x:c r="I196" t="n">
        <x:f>IF(H196&gt;0,1,0)</x:f>
        <x:v>0</x:v>
      </x:c>
      <x:c r="J196" t="str">
        <x:f>IF(OR(I196=0,F196="",F196=0),"",H196/F196)</x:f>
      </x:c>
      <x:c r="K196" t="str">
        <x:f>IF(OR(I196=0,H196=0,F196=""),"",F196/H196)</x:f>
      </x:c>
      <x:c r="L196" t="str">
        <x:f>IF(OR(I196=0,F196="",G196="",F196=0,G196=0),"",H196/(F196*G196))</x:f>
      </x:c>
      <x:c r="M196" t="str">
        <x:f>IF(J196="","",J196/_xlfn.MAXIFS($J:$J,$D:$D,D196))</x:f>
      </x:c>
      <x:c r="N196" t="str">
        <x:f>IF(L196="","",L196/_xlfn.MAXIFS($L:$L,$D:$D,D196))</x:f>
      </x:c>
      <x:c r="O196" t="str">
        <x:f>IF(OR(M196="",N196=""),"",SQRT(M196*N196))</x:f>
      </x:c>
      <x:c r="P196" t="str">
        <x:f>IF(OR(M196="",N196=""),"",M196^0.7*N196^0.3)</x:f>
      </x:c>
      <x:c r="Q196" t="str">
        <x:f>IF(OR(M196="",N196=""),"",M196^0.3*N196^0.7)</x:f>
      </x:c>
    </x:row>
    <x:row r="197">
      <x:c r="A197" t="inlineStr">
        <x:is>
          <x:t xml:space="preserve">anthropic|claude-sonnet-5|low|reasoning|fallback-na</x:t>
        </x:is>
      </x:c>
      <x:c r="B197" t="inlineStr">
        <x:is>
          <x:t xml:space="preserve">AA|v4.3.2</x:t>
        </x:is>
      </x:c>
      <x:c r="C197" t="n">
        <x:v>26</x:v>
      </x:c>
      <x:c r="D197" t="n">
        <x:v>45</x:v>
      </x:c>
      <x:c r="E197" t="n">
        <x:f>INDEX(Model_TestVersion_Stats!$W:$W,C197)</x:f>
        <x:v>25</x:v>
      </x:c>
      <x:c r="F197" t="n">
        <x:f>INDEX(Model_TestVersion_Stats!$O:$O,C197)</x:f>
        <x:v>0.51</x:v>
      </x:c>
      <x:c r="G197" t="str">
        <x:f>IF(INDEX(Model_TestVersion_Stats!$R:$R,C197)="","",INDEX(Model_TestVersion_Stats!$R:$R,C197)/60)</x:f>
      </x:c>
      <x:c r="H197" t="n">
        <x:f>IF(E197="","",E197-(D197-1))</x:f>
        <x:v>-19</x:v>
      </x:c>
      <x:c r="I197" t="n">
        <x:f>IF(H197&gt;0,1,0)</x:f>
        <x:v>0</x:v>
      </x:c>
      <x:c r="J197" t="str">
        <x:f>IF(OR(I197=0,F197="",F197=0),"",H197/F197)</x:f>
      </x:c>
      <x:c r="K197" t="str">
        <x:f>IF(OR(I197=0,H197=0,F197=""),"",F197/H197)</x:f>
      </x:c>
      <x:c r="L197" t="str">
        <x:f>IF(OR(I197=0,F197="",G197="",F197=0,G197=0),"",H197/(F197*G197))</x:f>
      </x:c>
      <x:c r="M197" t="str">
        <x:f>IF(J197="","",J197/_xlfn.MAXIFS($J:$J,$D:$D,D197))</x:f>
      </x:c>
      <x:c r="N197" t="str">
        <x:f>IF(L197="","",L197/_xlfn.MAXIFS($L:$L,$D:$D,D197))</x:f>
      </x:c>
      <x:c r="O197" t="str">
        <x:f>IF(OR(M197="",N197=""),"",SQRT(M197*N197))</x:f>
      </x:c>
      <x:c r="P197" t="str">
        <x:f>IF(OR(M197="",N197=""),"",M197^0.7*N197^0.3)</x:f>
      </x:c>
      <x:c r="Q197" t="str">
        <x:f>IF(OR(M197="",N197=""),"",M197^0.3*N197^0.7)</x:f>
      </x:c>
    </x:row>
    <x:row r="198">
      <x:c r="A198" t="inlineStr">
        <x:is>
          <x:t xml:space="preserve">anthropic|claude-sonnet-5|low|reasoning|fallback-na</x:t>
        </x:is>
      </x:c>
      <x:c r="B198" t="inlineStr">
        <x:is>
          <x:t xml:space="preserve">AA|v4.3.2</x:t>
        </x:is>
      </x:c>
      <x:c r="C198" t="n">
        <x:v>26</x:v>
      </x:c>
      <x:c r="D198" t="n">
        <x:v>50</x:v>
      </x:c>
      <x:c r="E198" t="n">
        <x:f>INDEX(Model_TestVersion_Stats!$W:$W,C198)</x:f>
        <x:v>25</x:v>
      </x:c>
      <x:c r="F198" t="n">
        <x:f>INDEX(Model_TestVersion_Stats!$O:$O,C198)</x:f>
        <x:v>0.51</x:v>
      </x:c>
      <x:c r="G198" t="str">
        <x:f>IF(INDEX(Model_TestVersion_Stats!$R:$R,C198)="","",INDEX(Model_TestVersion_Stats!$R:$R,C198)/60)</x:f>
      </x:c>
      <x:c r="H198" t="n">
        <x:f>IF(E198="","",E198-(D198-1))</x:f>
        <x:v>-24</x:v>
      </x:c>
      <x:c r="I198" t="n">
        <x:f>IF(H198&gt;0,1,0)</x:f>
        <x:v>0</x:v>
      </x:c>
      <x:c r="J198" t="str">
        <x:f>IF(OR(I198=0,F198="",F198=0),"",H198/F198)</x:f>
      </x:c>
      <x:c r="K198" t="str">
        <x:f>IF(OR(I198=0,H198=0,F198=""),"",F198/H198)</x:f>
      </x:c>
      <x:c r="L198" t="str">
        <x:f>IF(OR(I198=0,F198="",G198="",F198=0,G198=0),"",H198/(F198*G198))</x:f>
      </x:c>
      <x:c r="M198" t="str">
        <x:f>IF(J198="","",J198/_xlfn.MAXIFS($J:$J,$D:$D,D198))</x:f>
      </x:c>
      <x:c r="N198" t="str">
        <x:f>IF(L198="","",L198/_xlfn.MAXIFS($L:$L,$D:$D,D198))</x:f>
      </x:c>
      <x:c r="O198" t="str">
        <x:f>IF(OR(M198="",N198=""),"",SQRT(M198*N198))</x:f>
      </x:c>
      <x:c r="P198" t="str">
        <x:f>IF(OR(M198="",N198=""),"",M198^0.7*N198^0.3)</x:f>
      </x:c>
      <x:c r="Q198" t="str">
        <x:f>IF(OR(M198="",N198=""),"",M198^0.3*N198^0.7)</x:f>
      </x:c>
    </x:row>
    <x:row r="199">
      <x:c r="A199" t="inlineStr">
        <x:is>
          <x:t xml:space="preserve">anthropic|claude-sonnet-5|low|reasoning|fallback-na</x:t>
        </x:is>
      </x:c>
      <x:c r="B199" t="inlineStr">
        <x:is>
          <x:t xml:space="preserve">AA|v4.3.2</x:t>
        </x:is>
      </x:c>
      <x:c r="C199" t="n">
        <x:v>26</x:v>
      </x:c>
      <x:c r="D199" t="n">
        <x:v>52</x:v>
      </x:c>
      <x:c r="E199" t="n">
        <x:f>INDEX(Model_TestVersion_Stats!$W:$W,C199)</x:f>
        <x:v>25</x:v>
      </x:c>
      <x:c r="F199" t="n">
        <x:f>INDEX(Model_TestVersion_Stats!$O:$O,C199)</x:f>
        <x:v>0.51</x:v>
      </x:c>
      <x:c r="G199" t="str">
        <x:f>IF(INDEX(Model_TestVersion_Stats!$R:$R,C199)="","",INDEX(Model_TestVersion_Stats!$R:$R,C199)/60)</x:f>
      </x:c>
      <x:c r="H199" t="n">
        <x:f>IF(E199="","",E199-(D199-1))</x:f>
        <x:v>-26</x:v>
      </x:c>
      <x:c r="I199" t="n">
        <x:f>IF(H199&gt;0,1,0)</x:f>
        <x:v>0</x:v>
      </x:c>
      <x:c r="J199" t="str">
        <x:f>IF(OR(I199=0,F199="",F199=0),"",H199/F199)</x:f>
      </x:c>
      <x:c r="K199" t="str">
        <x:f>IF(OR(I199=0,H199=0,F199=""),"",F199/H199)</x:f>
      </x:c>
      <x:c r="L199" t="str">
        <x:f>IF(OR(I199=0,F199="",G199="",F199=0,G199=0),"",H199/(F199*G199))</x:f>
      </x:c>
      <x:c r="M199" t="str">
        <x:f>IF(J199="","",J199/_xlfn.MAXIFS($J:$J,$D:$D,D199))</x:f>
      </x:c>
      <x:c r="N199" t="str">
        <x:f>IF(L199="","",L199/_xlfn.MAXIFS($L:$L,$D:$D,D199))</x:f>
      </x:c>
      <x:c r="O199" t="str">
        <x:f>IF(OR(M199="",N199=""),"",SQRT(M199*N199))</x:f>
      </x:c>
      <x:c r="P199" t="str">
        <x:f>IF(OR(M199="",N199=""),"",M199^0.7*N199^0.3)</x:f>
      </x:c>
      <x:c r="Q199" t="str">
        <x:f>IF(OR(M199="",N199=""),"",M199^0.3*N199^0.7)</x:f>
      </x:c>
    </x:row>
    <x:row r="200">
      <x:c r="A200" t="inlineStr">
        <x:is>
          <x:t xml:space="preserve">anthropic|claude-sonnet-5|low|reasoning|fallback-na</x:t>
        </x:is>
      </x:c>
      <x:c r="B200" t="inlineStr">
        <x:is>
          <x:t xml:space="preserve">AA|v4.3.2</x:t>
        </x:is>
      </x:c>
      <x:c r="C200" t="n">
        <x:v>26</x:v>
      </x:c>
      <x:c r="D200" t="n">
        <x:v>65</x:v>
      </x:c>
      <x:c r="E200" t="n">
        <x:f>INDEX(Model_TestVersion_Stats!$W:$W,C200)</x:f>
        <x:v>25</x:v>
      </x:c>
      <x:c r="F200" t="n">
        <x:f>INDEX(Model_TestVersion_Stats!$O:$O,C200)</x:f>
        <x:v>0.51</x:v>
      </x:c>
      <x:c r="G200" t="str">
        <x:f>IF(INDEX(Model_TestVersion_Stats!$R:$R,C200)="","",INDEX(Model_TestVersion_Stats!$R:$R,C200)/60)</x:f>
      </x:c>
      <x:c r="H200" t="n">
        <x:f>IF(E200="","",E200-(D200-1))</x:f>
        <x:v>-39</x:v>
      </x:c>
      <x:c r="I200" t="n">
        <x:f>IF(H200&gt;0,1,0)</x:f>
        <x:v>0</x:v>
      </x:c>
      <x:c r="J200" t="str">
        <x:f>IF(OR(I200=0,F200="",F200=0),"",H200/F200)</x:f>
      </x:c>
      <x:c r="K200" t="str">
        <x:f>IF(OR(I200=0,H200=0,F200=""),"",F200/H200)</x:f>
      </x:c>
      <x:c r="L200" t="str">
        <x:f>IF(OR(I200=0,F200="",G200="",F200=0,G200=0),"",H200/(F200*G200))</x:f>
      </x:c>
      <x:c r="M200" t="str">
        <x:f>IF(J200="","",J200/_xlfn.MAXIFS($J:$J,$D:$D,D200))</x:f>
      </x:c>
      <x:c r="N200" t="str">
        <x:f>IF(L200="","",L200/_xlfn.MAXIFS($L:$L,$D:$D,D200))</x:f>
      </x:c>
      <x:c r="O200" t="str">
        <x:f>IF(OR(M200="",N200=""),"",SQRT(M200*N200))</x:f>
      </x:c>
      <x:c r="P200" t="str">
        <x:f>IF(OR(M200="",N200=""),"",M200^0.7*N200^0.3)</x:f>
      </x:c>
      <x:c r="Q200" t="str">
        <x:f>IF(OR(M200="",N200=""),"",M200^0.3*N200^0.7)</x:f>
      </x:c>
    </x:row>
    <x:row r="201">
      <x:c r="A201" t="inlineStr">
        <x:is>
          <x:t xml:space="preserve">anthropic|claude-sonnet-5|low|reasoning|fallback-na</x:t>
        </x:is>
      </x:c>
      <x:c r="B201" t="inlineStr">
        <x:is>
          <x:t xml:space="preserve">AA|v4.3.2</x:t>
        </x:is>
      </x:c>
      <x:c r="C201" t="n">
        <x:v>26</x:v>
      </x:c>
      <x:c r="D201" t="n">
        <x:v>80</x:v>
      </x:c>
      <x:c r="E201" t="n">
        <x:f>INDEX(Model_TestVersion_Stats!$W:$W,C201)</x:f>
        <x:v>25</x:v>
      </x:c>
      <x:c r="F201" t="n">
        <x:f>INDEX(Model_TestVersion_Stats!$O:$O,C201)</x:f>
        <x:v>0.51</x:v>
      </x:c>
      <x:c r="G201" t="str">
        <x:f>IF(INDEX(Model_TestVersion_Stats!$R:$R,C201)="","",INDEX(Model_TestVersion_Stats!$R:$R,C201)/60)</x:f>
      </x:c>
      <x:c r="H201" t="n">
        <x:f>IF(E201="","",E201-(D201-1))</x:f>
        <x:v>-54</x:v>
      </x:c>
      <x:c r="I201" t="n">
        <x:f>IF(H201&gt;0,1,0)</x:f>
        <x:v>0</x:v>
      </x:c>
      <x:c r="J201" t="str">
        <x:f>IF(OR(I201=0,F201="",F201=0),"",H201/F201)</x:f>
      </x:c>
      <x:c r="K201" t="str">
        <x:f>IF(OR(I201=0,H201=0,F201=""),"",F201/H201)</x:f>
      </x:c>
      <x:c r="L201" t="str">
        <x:f>IF(OR(I201=0,F201="",G201="",F201=0,G201=0),"",H201/(F201*G201))</x:f>
      </x:c>
      <x:c r="M201" t="str">
        <x:f>IF(J201="","",J201/_xlfn.MAXIFS($J:$J,$D:$D,D201))</x:f>
      </x:c>
      <x:c r="N201" t="str">
        <x:f>IF(L201="","",L201/_xlfn.MAXIFS($L:$L,$D:$D,D201))</x:f>
      </x:c>
      <x:c r="O201" t="str">
        <x:f>IF(OR(M201="",N201=""),"",SQRT(M201*N201))</x:f>
      </x:c>
      <x:c r="P201" t="str">
        <x:f>IF(OR(M201="",N201=""),"",M201^0.7*N201^0.3)</x:f>
      </x:c>
      <x:c r="Q201" t="str">
        <x:f>IF(OR(M201="",N201=""),"",M201^0.3*N201^0.7)</x:f>
      </x:c>
    </x:row>
    <x:row r="202">
      <x:c r="A202" t="inlineStr">
        <x:is>
          <x:t xml:space="preserve">anthropic|claude-sonnet-5|max|reasoning|fallback-na</x:t>
        </x:is>
      </x:c>
      <x:c r="B202" t="inlineStr">
        <x:is>
          <x:t xml:space="preserve">AA|v4.3.2</x:t>
        </x:is>
      </x:c>
      <x:c r="C202" t="n">
        <x:v>27</x:v>
      </x:c>
      <x:c r="D202" t="n">
        <x:v>20</x:v>
      </x:c>
      <x:c r="E202" t="n">
        <x:f>INDEX(Model_TestVersion_Stats!$W:$W,C202)</x:f>
        <x:v>38</x:v>
      </x:c>
      <x:c r="F202" t="n">
        <x:f>INDEX(Model_TestVersion_Stats!$O:$O,C202)</x:f>
        <x:v>5.09</x:v>
      </x:c>
      <x:c r="G202" t="str">
        <x:f>IF(INDEX(Model_TestVersion_Stats!$R:$R,C202)="","",INDEX(Model_TestVersion_Stats!$R:$R,C202)/60)</x:f>
      </x:c>
      <x:c r="H202" t="n">
        <x:f>IF(E202="","",E202-(D202-1))</x:f>
        <x:v>19</x:v>
      </x:c>
      <x:c r="I202" t="n">
        <x:f>IF(H202&gt;0,1,0)</x:f>
        <x:v>1</x:v>
      </x:c>
      <x:c r="J202" t="n">
        <x:f>IF(OR(I202=0,F202="",F202=0),"",H202/F202)</x:f>
        <x:v>3.732809430255403</x:v>
      </x:c>
      <x:c r="K202" t="n">
        <x:f>IF(OR(I202=0,H202=0,F202=""),"",F202/H202)</x:f>
        <x:v>0.26789473684210524</x:v>
      </x:c>
      <x:c r="L202" t="str">
        <x:f>IF(OR(I202=0,F202="",G202="",F202=0,G202=0),"",H202/(F202*G202))</x:f>
      </x:c>
      <x:c r="M202" t="n">
        <x:f>IF(J202="","",J202/_xlfn.MAXIFS($J:$J,$D:$D,D202))</x:f>
        <x:v>0.006719056974459726</x:v>
      </x:c>
      <x:c r="N202" t="str">
        <x:f>IF(L202="","",L202/_xlfn.MAXIFS($L:$L,$D:$D,D202))</x:f>
      </x:c>
      <x:c r="O202" t="str">
        <x:f>IF(OR(M202="",N202=""),"",SQRT(M202*N202))</x:f>
      </x:c>
      <x:c r="P202" t="str">
        <x:f>IF(OR(M202="",N202=""),"",M202^0.7*N202^0.3)</x:f>
      </x:c>
      <x:c r="Q202" t="str">
        <x:f>IF(OR(M202="",N202=""),"",M202^0.3*N202^0.7)</x:f>
      </x:c>
    </x:row>
    <x:row r="203">
      <x:c r="A203" t="inlineStr">
        <x:is>
          <x:t xml:space="preserve">anthropic|claude-sonnet-5|max|reasoning|fallback-na</x:t>
        </x:is>
      </x:c>
      <x:c r="B203" t="inlineStr">
        <x:is>
          <x:t xml:space="preserve">AA|v4.3.2</x:t>
        </x:is>
      </x:c>
      <x:c r="C203" t="n">
        <x:v>27</x:v>
      </x:c>
      <x:c r="D203" t="n">
        <x:v>30</x:v>
      </x:c>
      <x:c r="E203" t="n">
        <x:f>INDEX(Model_TestVersion_Stats!$W:$W,C203)</x:f>
        <x:v>38</x:v>
      </x:c>
      <x:c r="F203" t="n">
        <x:f>INDEX(Model_TestVersion_Stats!$O:$O,C203)</x:f>
        <x:v>5.09</x:v>
      </x:c>
      <x:c r="G203" t="str">
        <x:f>IF(INDEX(Model_TestVersion_Stats!$R:$R,C203)="","",INDEX(Model_TestVersion_Stats!$R:$R,C203)/60)</x:f>
      </x:c>
      <x:c r="H203" t="n">
        <x:f>IF(E203="","",E203-(D203-1))</x:f>
        <x:v>9</x:v>
      </x:c>
      <x:c r="I203" t="n">
        <x:f>IF(H203&gt;0,1,0)</x:f>
        <x:v>1</x:v>
      </x:c>
      <x:c r="J203" t="n">
        <x:f>IF(OR(I203=0,F203="",F203=0),"",H203/F203)</x:f>
        <x:v>1.768172888015717</x:v>
      </x:c>
      <x:c r="K203" t="n">
        <x:f>IF(OR(I203=0,H203=0,F203=""),"",F203/H203)</x:f>
        <x:v>0.5655555555555556</x:v>
      </x:c>
      <x:c r="L203" t="str">
        <x:f>IF(OR(I203=0,F203="",G203="",F203=0,G203=0),"",H203/(F203*G203))</x:f>
      </x:c>
      <x:c r="M203" t="n">
        <x:f>IF(J203="","",J203/_xlfn.MAXIFS($J:$J,$D:$D,D203))</x:f>
        <x:v>0.011787819253438114</x:v>
      </x:c>
      <x:c r="N203" t="str">
        <x:f>IF(L203="","",L203/_xlfn.MAXIFS($L:$L,$D:$D,D203))</x:f>
      </x:c>
      <x:c r="O203" t="str">
        <x:f>IF(OR(M203="",N203=""),"",SQRT(M203*N203))</x:f>
      </x:c>
      <x:c r="P203" t="str">
        <x:f>IF(OR(M203="",N203=""),"",M203^0.7*N203^0.3)</x:f>
      </x:c>
      <x:c r="Q203" t="str">
        <x:f>IF(OR(M203="",N203=""),"",M203^0.3*N203^0.7)</x:f>
      </x:c>
    </x:row>
    <x:row r="204">
      <x:c r="A204" t="inlineStr">
        <x:is>
          <x:t xml:space="preserve">anthropic|claude-sonnet-5|max|reasoning|fallback-na</x:t>
        </x:is>
      </x:c>
      <x:c r="B204" t="inlineStr">
        <x:is>
          <x:t xml:space="preserve">AA|v4.3.2</x:t>
        </x:is>
      </x:c>
      <x:c r="C204" t="n">
        <x:v>27</x:v>
      </x:c>
      <x:c r="D204" t="n">
        <x:v>40</x:v>
      </x:c>
      <x:c r="E204" t="n">
        <x:f>INDEX(Model_TestVersion_Stats!$W:$W,C204)</x:f>
        <x:v>38</x:v>
      </x:c>
      <x:c r="F204" t="n">
        <x:f>INDEX(Model_TestVersion_Stats!$O:$O,C204)</x:f>
        <x:v>5.09</x:v>
      </x:c>
      <x:c r="G204" t="str">
        <x:f>IF(INDEX(Model_TestVersion_Stats!$R:$R,C204)="","",INDEX(Model_TestVersion_Stats!$R:$R,C204)/60)</x:f>
      </x:c>
      <x:c r="H204" t="n">
        <x:f>IF(E204="","",E204-(D204-1))</x:f>
        <x:v>-1</x:v>
      </x:c>
      <x:c r="I204" t="n">
        <x:f>IF(H204&gt;0,1,0)</x:f>
        <x:v>0</x:v>
      </x:c>
      <x:c r="J204" t="str">
        <x:f>IF(OR(I204=0,F204="",F204=0),"",H204/F204)</x:f>
      </x:c>
      <x:c r="K204" t="str">
        <x:f>IF(OR(I204=0,H204=0,F204=""),"",F204/H204)</x:f>
      </x:c>
      <x:c r="L204" t="str">
        <x:f>IF(OR(I204=0,F204="",G204="",F204=0,G204=0),"",H204/(F204*G204))</x:f>
      </x:c>
      <x:c r="M204" t="str">
        <x:f>IF(J204="","",J204/_xlfn.MAXIFS($J:$J,$D:$D,D204))</x:f>
      </x:c>
      <x:c r="N204" t="str">
        <x:f>IF(L204="","",L204/_xlfn.MAXIFS($L:$L,$D:$D,D204))</x:f>
      </x:c>
      <x:c r="O204" t="str">
        <x:f>IF(OR(M204="",N204=""),"",SQRT(M204*N204))</x:f>
      </x:c>
      <x:c r="P204" t="str">
        <x:f>IF(OR(M204="",N204=""),"",M204^0.7*N204^0.3)</x:f>
      </x:c>
      <x:c r="Q204" t="str">
        <x:f>IF(OR(M204="",N204=""),"",M204^0.3*N204^0.7)</x:f>
      </x:c>
    </x:row>
    <x:row r="205">
      <x:c r="A205" t="inlineStr">
        <x:is>
          <x:t xml:space="preserve">anthropic|claude-sonnet-5|max|reasoning|fallback-na</x:t>
        </x:is>
      </x:c>
      <x:c r="B205" t="inlineStr">
        <x:is>
          <x:t xml:space="preserve">AA|v4.3.2</x:t>
        </x:is>
      </x:c>
      <x:c r="C205" t="n">
        <x:v>27</x:v>
      </x:c>
      <x:c r="D205" t="n">
        <x:v>45</x:v>
      </x:c>
      <x:c r="E205" t="n">
        <x:f>INDEX(Model_TestVersion_Stats!$W:$W,C205)</x:f>
        <x:v>38</x:v>
      </x:c>
      <x:c r="F205" t="n">
        <x:f>INDEX(Model_TestVersion_Stats!$O:$O,C205)</x:f>
        <x:v>5.09</x:v>
      </x:c>
      <x:c r="G205" t="str">
        <x:f>IF(INDEX(Model_TestVersion_Stats!$R:$R,C205)="","",INDEX(Model_TestVersion_Stats!$R:$R,C205)/60)</x:f>
      </x:c>
      <x:c r="H205" t="n">
        <x:f>IF(E205="","",E205-(D205-1))</x:f>
        <x:v>-6</x:v>
      </x:c>
      <x:c r="I205" t="n">
        <x:f>IF(H205&gt;0,1,0)</x:f>
        <x:v>0</x:v>
      </x:c>
      <x:c r="J205" t="str">
        <x:f>IF(OR(I205=0,F205="",F205=0),"",H205/F205)</x:f>
      </x:c>
      <x:c r="K205" t="str">
        <x:f>IF(OR(I205=0,H205=0,F205=""),"",F205/H205)</x:f>
      </x:c>
      <x:c r="L205" t="str">
        <x:f>IF(OR(I205=0,F205="",G205="",F205=0,G205=0),"",H205/(F205*G205))</x:f>
      </x:c>
      <x:c r="M205" t="str">
        <x:f>IF(J205="","",J205/_xlfn.MAXIFS($J:$J,$D:$D,D205))</x:f>
      </x:c>
      <x:c r="N205" t="str">
        <x:f>IF(L205="","",L205/_xlfn.MAXIFS($L:$L,$D:$D,D205))</x:f>
      </x:c>
      <x:c r="O205" t="str">
        <x:f>IF(OR(M205="",N205=""),"",SQRT(M205*N205))</x:f>
      </x:c>
      <x:c r="P205" t="str">
        <x:f>IF(OR(M205="",N205=""),"",M205^0.7*N205^0.3)</x:f>
      </x:c>
      <x:c r="Q205" t="str">
        <x:f>IF(OR(M205="",N205=""),"",M205^0.3*N205^0.7)</x:f>
      </x:c>
    </x:row>
    <x:row r="206">
      <x:c r="A206" t="inlineStr">
        <x:is>
          <x:t xml:space="preserve">anthropic|claude-sonnet-5|max|reasoning|fallback-na</x:t>
        </x:is>
      </x:c>
      <x:c r="B206" t="inlineStr">
        <x:is>
          <x:t xml:space="preserve">AA|v4.3.2</x:t>
        </x:is>
      </x:c>
      <x:c r="C206" t="n">
        <x:v>27</x:v>
      </x:c>
      <x:c r="D206" t="n">
        <x:v>50</x:v>
      </x:c>
      <x:c r="E206" t="n">
        <x:f>INDEX(Model_TestVersion_Stats!$W:$W,C206)</x:f>
        <x:v>38</x:v>
      </x:c>
      <x:c r="F206" t="n">
        <x:f>INDEX(Model_TestVersion_Stats!$O:$O,C206)</x:f>
        <x:v>5.09</x:v>
      </x:c>
      <x:c r="G206" t="str">
        <x:f>IF(INDEX(Model_TestVersion_Stats!$R:$R,C206)="","",INDEX(Model_TestVersion_Stats!$R:$R,C206)/60)</x:f>
      </x:c>
      <x:c r="H206" t="n">
        <x:f>IF(E206="","",E206-(D206-1))</x:f>
        <x:v>-11</x:v>
      </x:c>
      <x:c r="I206" t="n">
        <x:f>IF(H206&gt;0,1,0)</x:f>
        <x:v>0</x:v>
      </x:c>
      <x:c r="J206" t="str">
        <x:f>IF(OR(I206=0,F206="",F206=0),"",H206/F206)</x:f>
      </x:c>
      <x:c r="K206" t="str">
        <x:f>IF(OR(I206=0,H206=0,F206=""),"",F206/H206)</x:f>
      </x:c>
      <x:c r="L206" t="str">
        <x:f>IF(OR(I206=0,F206="",G206="",F206=0,G206=0),"",H206/(F206*G206))</x:f>
      </x:c>
      <x:c r="M206" t="str">
        <x:f>IF(J206="","",J206/_xlfn.MAXIFS($J:$J,$D:$D,D206))</x:f>
      </x:c>
      <x:c r="N206" t="str">
        <x:f>IF(L206="","",L206/_xlfn.MAXIFS($L:$L,$D:$D,D206))</x:f>
      </x:c>
      <x:c r="O206" t="str">
        <x:f>IF(OR(M206="",N206=""),"",SQRT(M206*N206))</x:f>
      </x:c>
      <x:c r="P206" t="str">
        <x:f>IF(OR(M206="",N206=""),"",M206^0.7*N206^0.3)</x:f>
      </x:c>
      <x:c r="Q206" t="str">
        <x:f>IF(OR(M206="",N206=""),"",M206^0.3*N206^0.7)</x:f>
      </x:c>
    </x:row>
    <x:row r="207">
      <x:c r="A207" t="inlineStr">
        <x:is>
          <x:t xml:space="preserve">anthropic|claude-sonnet-5|max|reasoning|fallback-na</x:t>
        </x:is>
      </x:c>
      <x:c r="B207" t="inlineStr">
        <x:is>
          <x:t xml:space="preserve">AA|v4.3.2</x:t>
        </x:is>
      </x:c>
      <x:c r="C207" t="n">
        <x:v>27</x:v>
      </x:c>
      <x:c r="D207" t="n">
        <x:v>52</x:v>
      </x:c>
      <x:c r="E207" t="n">
        <x:f>INDEX(Model_TestVersion_Stats!$W:$W,C207)</x:f>
        <x:v>38</x:v>
      </x:c>
      <x:c r="F207" t="n">
        <x:f>INDEX(Model_TestVersion_Stats!$O:$O,C207)</x:f>
        <x:v>5.09</x:v>
      </x:c>
      <x:c r="G207" t="str">
        <x:f>IF(INDEX(Model_TestVersion_Stats!$R:$R,C207)="","",INDEX(Model_TestVersion_Stats!$R:$R,C207)/60)</x:f>
      </x:c>
      <x:c r="H207" t="n">
        <x:f>IF(E207="","",E207-(D207-1))</x:f>
        <x:v>-13</x:v>
      </x:c>
      <x:c r="I207" t="n">
        <x:f>IF(H207&gt;0,1,0)</x:f>
        <x:v>0</x:v>
      </x:c>
      <x:c r="J207" t="str">
        <x:f>IF(OR(I207=0,F207="",F207=0),"",H207/F207)</x:f>
      </x:c>
      <x:c r="K207" t="str">
        <x:f>IF(OR(I207=0,H207=0,F207=""),"",F207/H207)</x:f>
      </x:c>
      <x:c r="L207" t="str">
        <x:f>IF(OR(I207=0,F207="",G207="",F207=0,G207=0),"",H207/(F207*G207))</x:f>
      </x:c>
      <x:c r="M207" t="str">
        <x:f>IF(J207="","",J207/_xlfn.MAXIFS($J:$J,$D:$D,D207))</x:f>
      </x:c>
      <x:c r="N207" t="str">
        <x:f>IF(L207="","",L207/_xlfn.MAXIFS($L:$L,$D:$D,D207))</x:f>
      </x:c>
      <x:c r="O207" t="str">
        <x:f>IF(OR(M207="",N207=""),"",SQRT(M207*N207))</x:f>
      </x:c>
      <x:c r="P207" t="str">
        <x:f>IF(OR(M207="",N207=""),"",M207^0.7*N207^0.3)</x:f>
      </x:c>
      <x:c r="Q207" t="str">
        <x:f>IF(OR(M207="",N207=""),"",M207^0.3*N207^0.7)</x:f>
      </x:c>
    </x:row>
    <x:row r="208">
      <x:c r="A208" t="inlineStr">
        <x:is>
          <x:t xml:space="preserve">anthropic|claude-sonnet-5|max|reasoning|fallback-na</x:t>
        </x:is>
      </x:c>
      <x:c r="B208" t="inlineStr">
        <x:is>
          <x:t xml:space="preserve">AA|v4.3.2</x:t>
        </x:is>
      </x:c>
      <x:c r="C208" t="n">
        <x:v>27</x:v>
      </x:c>
      <x:c r="D208" t="n">
        <x:v>65</x:v>
      </x:c>
      <x:c r="E208" t="n">
        <x:f>INDEX(Model_TestVersion_Stats!$W:$W,C208)</x:f>
        <x:v>38</x:v>
      </x:c>
      <x:c r="F208" t="n">
        <x:f>INDEX(Model_TestVersion_Stats!$O:$O,C208)</x:f>
        <x:v>5.09</x:v>
      </x:c>
      <x:c r="G208" t="str">
        <x:f>IF(INDEX(Model_TestVersion_Stats!$R:$R,C208)="","",INDEX(Model_TestVersion_Stats!$R:$R,C208)/60)</x:f>
      </x:c>
      <x:c r="H208" t="n">
        <x:f>IF(E208="","",E208-(D208-1))</x:f>
        <x:v>-26</x:v>
      </x:c>
      <x:c r="I208" t="n">
        <x:f>IF(H208&gt;0,1,0)</x:f>
        <x:v>0</x:v>
      </x:c>
      <x:c r="J208" t="str">
        <x:f>IF(OR(I208=0,F208="",F208=0),"",H208/F208)</x:f>
      </x:c>
      <x:c r="K208" t="str">
        <x:f>IF(OR(I208=0,H208=0,F208=""),"",F208/H208)</x:f>
      </x:c>
      <x:c r="L208" t="str">
        <x:f>IF(OR(I208=0,F208="",G208="",F208=0,G208=0),"",H208/(F208*G208))</x:f>
      </x:c>
      <x:c r="M208" t="str">
        <x:f>IF(J208="","",J208/_xlfn.MAXIFS($J:$J,$D:$D,D208))</x:f>
      </x:c>
      <x:c r="N208" t="str">
        <x:f>IF(L208="","",L208/_xlfn.MAXIFS($L:$L,$D:$D,D208))</x:f>
      </x:c>
      <x:c r="O208" t="str">
        <x:f>IF(OR(M208="",N208=""),"",SQRT(M208*N208))</x:f>
      </x:c>
      <x:c r="P208" t="str">
        <x:f>IF(OR(M208="",N208=""),"",M208^0.7*N208^0.3)</x:f>
      </x:c>
      <x:c r="Q208" t="str">
        <x:f>IF(OR(M208="",N208=""),"",M208^0.3*N208^0.7)</x:f>
      </x:c>
    </x:row>
    <x:row r="209">
      <x:c r="A209" t="inlineStr">
        <x:is>
          <x:t xml:space="preserve">anthropic|claude-sonnet-5|max|reasoning|fallback-na</x:t>
        </x:is>
      </x:c>
      <x:c r="B209" t="inlineStr">
        <x:is>
          <x:t xml:space="preserve">AA|v4.3.2</x:t>
        </x:is>
      </x:c>
      <x:c r="C209" t="n">
        <x:v>27</x:v>
      </x:c>
      <x:c r="D209" t="n">
        <x:v>80</x:v>
      </x:c>
      <x:c r="E209" t="n">
        <x:f>INDEX(Model_TestVersion_Stats!$W:$W,C209)</x:f>
        <x:v>38</x:v>
      </x:c>
      <x:c r="F209" t="n">
        <x:f>INDEX(Model_TestVersion_Stats!$O:$O,C209)</x:f>
        <x:v>5.09</x:v>
      </x:c>
      <x:c r="G209" t="str">
        <x:f>IF(INDEX(Model_TestVersion_Stats!$R:$R,C209)="","",INDEX(Model_TestVersion_Stats!$R:$R,C209)/60)</x:f>
      </x:c>
      <x:c r="H209" t="n">
        <x:f>IF(E209="","",E209-(D209-1))</x:f>
        <x:v>-41</x:v>
      </x:c>
      <x:c r="I209" t="n">
        <x:f>IF(H209&gt;0,1,0)</x:f>
        <x:v>0</x:v>
      </x:c>
      <x:c r="J209" t="str">
        <x:f>IF(OR(I209=0,F209="",F209=0),"",H209/F209)</x:f>
      </x:c>
      <x:c r="K209" t="str">
        <x:f>IF(OR(I209=0,H209=0,F209=""),"",F209/H209)</x:f>
      </x:c>
      <x:c r="L209" t="str">
        <x:f>IF(OR(I209=0,F209="",G209="",F209=0,G209=0),"",H209/(F209*G209))</x:f>
      </x:c>
      <x:c r="M209" t="str">
        <x:f>IF(J209="","",J209/_xlfn.MAXIFS($J:$J,$D:$D,D209))</x:f>
      </x:c>
      <x:c r="N209" t="str">
        <x:f>IF(L209="","",L209/_xlfn.MAXIFS($L:$L,$D:$D,D209))</x:f>
      </x:c>
      <x:c r="O209" t="str">
        <x:f>IF(OR(M209="",N209=""),"",SQRT(M209*N209))</x:f>
      </x:c>
      <x:c r="P209" t="str">
        <x:f>IF(OR(M209="",N209=""),"",M209^0.7*N209^0.3)</x:f>
      </x:c>
      <x:c r="Q209" t="str">
        <x:f>IF(OR(M209="",N209=""),"",M209^0.3*N209^0.7)</x:f>
      </x:c>
    </x:row>
    <x:row r="210">
      <x:c r="A210" t="inlineStr">
        <x:is>
          <x:t xml:space="preserve">anthropic|claude-sonnet-5|medium|reasoning|fallback-na</x:t>
        </x:is>
      </x:c>
      <x:c r="B210" t="inlineStr">
        <x:is>
          <x:t xml:space="preserve">AA|v4.3.2</x:t>
        </x:is>
      </x:c>
      <x:c r="C210" t="n">
        <x:v>28</x:v>
      </x:c>
      <x:c r="D210" t="n">
        <x:v>20</x:v>
      </x:c>
      <x:c r="E210" t="n">
        <x:f>INDEX(Model_TestVersion_Stats!$W:$W,C210)</x:f>
        <x:v>28</x:v>
      </x:c>
      <x:c r="F210" t="n">
        <x:f>INDEX(Model_TestVersion_Stats!$O:$O,C210)</x:f>
        <x:v>1</x:v>
      </x:c>
      <x:c r="G210" t="str">
        <x:f>IF(INDEX(Model_TestVersion_Stats!$R:$R,C210)="","",INDEX(Model_TestVersion_Stats!$R:$R,C210)/60)</x:f>
      </x:c>
      <x:c r="H210" t="n">
        <x:f>IF(E210="","",E210-(D210-1))</x:f>
        <x:v>9</x:v>
      </x:c>
      <x:c r="I210" t="n">
        <x:f>IF(H210&gt;0,1,0)</x:f>
        <x:v>1</x:v>
      </x:c>
      <x:c r="J210" t="n">
        <x:f>IF(OR(I210=0,F210="",F210=0),"",H210/F210)</x:f>
        <x:v>9</x:v>
      </x:c>
      <x:c r="K210" t="n">
        <x:f>IF(OR(I210=0,H210=0,F210=""),"",F210/H210)</x:f>
        <x:v>0.1111111111111111</x:v>
      </x:c>
      <x:c r="L210" t="str">
        <x:f>IF(OR(I210=0,F210="",G210="",F210=0,G210=0),"",H210/(F210*G210))</x:f>
      </x:c>
      <x:c r="M210" t="n">
        <x:f>IF(J210="","",J210/_xlfn.MAXIFS($J:$J,$D:$D,D210))</x:f>
        <x:v>0.0162</x:v>
      </x:c>
      <x:c r="N210" t="str">
        <x:f>IF(L210="","",L210/_xlfn.MAXIFS($L:$L,$D:$D,D210))</x:f>
      </x:c>
      <x:c r="O210" t="str">
        <x:f>IF(OR(M210="",N210=""),"",SQRT(M210*N210))</x:f>
      </x:c>
      <x:c r="P210" t="str">
        <x:f>IF(OR(M210="",N210=""),"",M210^0.7*N210^0.3)</x:f>
      </x:c>
      <x:c r="Q210" t="str">
        <x:f>IF(OR(M210="",N210=""),"",M210^0.3*N210^0.7)</x:f>
      </x:c>
    </x:row>
    <x:row r="211">
      <x:c r="A211" t="inlineStr">
        <x:is>
          <x:t xml:space="preserve">anthropic|claude-sonnet-5|medium|reasoning|fallback-na</x:t>
        </x:is>
      </x:c>
      <x:c r="B211" t="inlineStr">
        <x:is>
          <x:t xml:space="preserve">AA|v4.3.2</x:t>
        </x:is>
      </x:c>
      <x:c r="C211" t="n">
        <x:v>28</x:v>
      </x:c>
      <x:c r="D211" t="n">
        <x:v>30</x:v>
      </x:c>
      <x:c r="E211" t="n">
        <x:f>INDEX(Model_TestVersion_Stats!$W:$W,C211)</x:f>
        <x:v>28</x:v>
      </x:c>
      <x:c r="F211" t="n">
        <x:f>INDEX(Model_TestVersion_Stats!$O:$O,C211)</x:f>
        <x:v>1</x:v>
      </x:c>
      <x:c r="G211" t="str">
        <x:f>IF(INDEX(Model_TestVersion_Stats!$R:$R,C211)="","",INDEX(Model_TestVersion_Stats!$R:$R,C211)/60)</x:f>
      </x:c>
      <x:c r="H211" t="n">
        <x:f>IF(E211="","",E211-(D211-1))</x:f>
        <x:v>-1</x:v>
      </x:c>
      <x:c r="I211" t="n">
        <x:f>IF(H211&gt;0,1,0)</x:f>
        <x:v>0</x:v>
      </x:c>
      <x:c r="J211" t="str">
        <x:f>IF(OR(I211=0,F211="",F211=0),"",H211/F211)</x:f>
      </x:c>
      <x:c r="K211" t="str">
        <x:f>IF(OR(I211=0,H211=0,F211=""),"",F211/H211)</x:f>
      </x:c>
      <x:c r="L211" t="str">
        <x:f>IF(OR(I211=0,F211="",G211="",F211=0,G211=0),"",H211/(F211*G211))</x:f>
      </x:c>
      <x:c r="M211" t="str">
        <x:f>IF(J211="","",J211/_xlfn.MAXIFS($J:$J,$D:$D,D211))</x:f>
      </x:c>
      <x:c r="N211" t="str">
        <x:f>IF(L211="","",L211/_xlfn.MAXIFS($L:$L,$D:$D,D211))</x:f>
      </x:c>
      <x:c r="O211" t="str">
        <x:f>IF(OR(M211="",N211=""),"",SQRT(M211*N211))</x:f>
      </x:c>
      <x:c r="P211" t="str">
        <x:f>IF(OR(M211="",N211=""),"",M211^0.7*N211^0.3)</x:f>
      </x:c>
      <x:c r="Q211" t="str">
        <x:f>IF(OR(M211="",N211=""),"",M211^0.3*N211^0.7)</x:f>
      </x:c>
    </x:row>
    <x:row r="212">
      <x:c r="A212" t="inlineStr">
        <x:is>
          <x:t xml:space="preserve">anthropic|claude-sonnet-5|medium|reasoning|fallback-na</x:t>
        </x:is>
      </x:c>
      <x:c r="B212" t="inlineStr">
        <x:is>
          <x:t xml:space="preserve">AA|v4.3.2</x:t>
        </x:is>
      </x:c>
      <x:c r="C212" t="n">
        <x:v>28</x:v>
      </x:c>
      <x:c r="D212" t="n">
        <x:v>40</x:v>
      </x:c>
      <x:c r="E212" t="n">
        <x:f>INDEX(Model_TestVersion_Stats!$W:$W,C212)</x:f>
        <x:v>28</x:v>
      </x:c>
      <x:c r="F212" t="n">
        <x:f>INDEX(Model_TestVersion_Stats!$O:$O,C212)</x:f>
        <x:v>1</x:v>
      </x:c>
      <x:c r="G212" t="str">
        <x:f>IF(INDEX(Model_TestVersion_Stats!$R:$R,C212)="","",INDEX(Model_TestVersion_Stats!$R:$R,C212)/60)</x:f>
      </x:c>
      <x:c r="H212" t="n">
        <x:f>IF(E212="","",E212-(D212-1))</x:f>
        <x:v>-11</x:v>
      </x:c>
      <x:c r="I212" t="n">
        <x:f>IF(H212&gt;0,1,0)</x:f>
        <x:v>0</x:v>
      </x:c>
      <x:c r="J212" t="str">
        <x:f>IF(OR(I212=0,F212="",F212=0),"",H212/F212)</x:f>
      </x:c>
      <x:c r="K212" t="str">
        <x:f>IF(OR(I212=0,H212=0,F212=""),"",F212/H212)</x:f>
      </x:c>
      <x:c r="L212" t="str">
        <x:f>IF(OR(I212=0,F212="",G212="",F212=0,G212=0),"",H212/(F212*G212))</x:f>
      </x:c>
      <x:c r="M212" t="str">
        <x:f>IF(J212="","",J212/_xlfn.MAXIFS($J:$J,$D:$D,D212))</x:f>
      </x:c>
      <x:c r="N212" t="str">
        <x:f>IF(L212="","",L212/_xlfn.MAXIFS($L:$L,$D:$D,D212))</x:f>
      </x:c>
      <x:c r="O212" t="str">
        <x:f>IF(OR(M212="",N212=""),"",SQRT(M212*N212))</x:f>
      </x:c>
      <x:c r="P212" t="str">
        <x:f>IF(OR(M212="",N212=""),"",M212^0.7*N212^0.3)</x:f>
      </x:c>
      <x:c r="Q212" t="str">
        <x:f>IF(OR(M212="",N212=""),"",M212^0.3*N212^0.7)</x:f>
      </x:c>
    </x:row>
    <x:row r="213">
      <x:c r="A213" t="inlineStr">
        <x:is>
          <x:t xml:space="preserve">anthropic|claude-sonnet-5|medium|reasoning|fallback-na</x:t>
        </x:is>
      </x:c>
      <x:c r="B213" t="inlineStr">
        <x:is>
          <x:t xml:space="preserve">AA|v4.3.2</x:t>
        </x:is>
      </x:c>
      <x:c r="C213" t="n">
        <x:v>28</x:v>
      </x:c>
      <x:c r="D213" t="n">
        <x:v>45</x:v>
      </x:c>
      <x:c r="E213" t="n">
        <x:f>INDEX(Model_TestVersion_Stats!$W:$W,C213)</x:f>
        <x:v>28</x:v>
      </x:c>
      <x:c r="F213" t="n">
        <x:f>INDEX(Model_TestVersion_Stats!$O:$O,C213)</x:f>
        <x:v>1</x:v>
      </x:c>
      <x:c r="G213" t="str">
        <x:f>IF(INDEX(Model_TestVersion_Stats!$R:$R,C213)="","",INDEX(Model_TestVersion_Stats!$R:$R,C213)/60)</x:f>
      </x:c>
      <x:c r="H213" t="n">
        <x:f>IF(E213="","",E213-(D213-1))</x:f>
        <x:v>-16</x:v>
      </x:c>
      <x:c r="I213" t="n">
        <x:f>IF(H213&gt;0,1,0)</x:f>
        <x:v>0</x:v>
      </x:c>
      <x:c r="J213" t="str">
        <x:f>IF(OR(I213=0,F213="",F213=0),"",H213/F213)</x:f>
      </x:c>
      <x:c r="K213" t="str">
        <x:f>IF(OR(I213=0,H213=0,F213=""),"",F213/H213)</x:f>
      </x:c>
      <x:c r="L213" t="str">
        <x:f>IF(OR(I213=0,F213="",G213="",F213=0,G213=0),"",H213/(F213*G213))</x:f>
      </x:c>
      <x:c r="M213" t="str">
        <x:f>IF(J213="","",J213/_xlfn.MAXIFS($J:$J,$D:$D,D213))</x:f>
      </x:c>
      <x:c r="N213" t="str">
        <x:f>IF(L213="","",L213/_xlfn.MAXIFS($L:$L,$D:$D,D213))</x:f>
      </x:c>
      <x:c r="O213" t="str">
        <x:f>IF(OR(M213="",N213=""),"",SQRT(M213*N213))</x:f>
      </x:c>
      <x:c r="P213" t="str">
        <x:f>IF(OR(M213="",N213=""),"",M213^0.7*N213^0.3)</x:f>
      </x:c>
      <x:c r="Q213" t="str">
        <x:f>IF(OR(M213="",N213=""),"",M213^0.3*N213^0.7)</x:f>
      </x:c>
    </x:row>
    <x:row r="214">
      <x:c r="A214" t="inlineStr">
        <x:is>
          <x:t xml:space="preserve">anthropic|claude-sonnet-5|medium|reasoning|fallback-na</x:t>
        </x:is>
      </x:c>
      <x:c r="B214" t="inlineStr">
        <x:is>
          <x:t xml:space="preserve">AA|v4.3.2</x:t>
        </x:is>
      </x:c>
      <x:c r="C214" t="n">
        <x:v>28</x:v>
      </x:c>
      <x:c r="D214" t="n">
        <x:v>50</x:v>
      </x:c>
      <x:c r="E214" t="n">
        <x:f>INDEX(Model_TestVersion_Stats!$W:$W,C214)</x:f>
        <x:v>28</x:v>
      </x:c>
      <x:c r="F214" t="n">
        <x:f>INDEX(Model_TestVersion_Stats!$O:$O,C214)</x:f>
        <x:v>1</x:v>
      </x:c>
      <x:c r="G214" t="str">
        <x:f>IF(INDEX(Model_TestVersion_Stats!$R:$R,C214)="","",INDEX(Model_TestVersion_Stats!$R:$R,C214)/60)</x:f>
      </x:c>
      <x:c r="H214" t="n">
        <x:f>IF(E214="","",E214-(D214-1))</x:f>
        <x:v>-21</x:v>
      </x:c>
      <x:c r="I214" t="n">
        <x:f>IF(H214&gt;0,1,0)</x:f>
        <x:v>0</x:v>
      </x:c>
      <x:c r="J214" t="str">
        <x:f>IF(OR(I214=0,F214="",F214=0),"",H214/F214)</x:f>
      </x:c>
      <x:c r="K214" t="str">
        <x:f>IF(OR(I214=0,H214=0,F214=""),"",F214/H214)</x:f>
      </x:c>
      <x:c r="L214" t="str">
        <x:f>IF(OR(I214=0,F214="",G214="",F214=0,G214=0),"",H214/(F214*G214))</x:f>
      </x:c>
      <x:c r="M214" t="str">
        <x:f>IF(J214="","",J214/_xlfn.MAXIFS($J:$J,$D:$D,D214))</x:f>
      </x:c>
      <x:c r="N214" t="str">
        <x:f>IF(L214="","",L214/_xlfn.MAXIFS($L:$L,$D:$D,D214))</x:f>
      </x:c>
      <x:c r="O214" t="str">
        <x:f>IF(OR(M214="",N214=""),"",SQRT(M214*N214))</x:f>
      </x:c>
      <x:c r="P214" t="str">
        <x:f>IF(OR(M214="",N214=""),"",M214^0.7*N214^0.3)</x:f>
      </x:c>
      <x:c r="Q214" t="str">
        <x:f>IF(OR(M214="",N214=""),"",M214^0.3*N214^0.7)</x:f>
      </x:c>
    </x:row>
    <x:row r="215">
      <x:c r="A215" t="inlineStr">
        <x:is>
          <x:t xml:space="preserve">anthropic|claude-sonnet-5|medium|reasoning|fallback-na</x:t>
        </x:is>
      </x:c>
      <x:c r="B215" t="inlineStr">
        <x:is>
          <x:t xml:space="preserve">AA|v4.3.2</x:t>
        </x:is>
      </x:c>
      <x:c r="C215" t="n">
        <x:v>28</x:v>
      </x:c>
      <x:c r="D215" t="n">
        <x:v>52</x:v>
      </x:c>
      <x:c r="E215" t="n">
        <x:f>INDEX(Model_TestVersion_Stats!$W:$W,C215)</x:f>
        <x:v>28</x:v>
      </x:c>
      <x:c r="F215" t="n">
        <x:f>INDEX(Model_TestVersion_Stats!$O:$O,C215)</x:f>
        <x:v>1</x:v>
      </x:c>
      <x:c r="G215" t="str">
        <x:f>IF(INDEX(Model_TestVersion_Stats!$R:$R,C215)="","",INDEX(Model_TestVersion_Stats!$R:$R,C215)/60)</x:f>
      </x:c>
      <x:c r="H215" t="n">
        <x:f>IF(E215="","",E215-(D215-1))</x:f>
        <x:v>-23</x:v>
      </x:c>
      <x:c r="I215" t="n">
        <x:f>IF(H215&gt;0,1,0)</x:f>
        <x:v>0</x:v>
      </x:c>
      <x:c r="J215" t="str">
        <x:f>IF(OR(I215=0,F215="",F215=0),"",H215/F215)</x:f>
      </x:c>
      <x:c r="K215" t="str">
        <x:f>IF(OR(I215=0,H215=0,F215=""),"",F215/H215)</x:f>
      </x:c>
      <x:c r="L215" t="str">
        <x:f>IF(OR(I215=0,F215="",G215="",F215=0,G215=0),"",H215/(F215*G215))</x:f>
      </x:c>
      <x:c r="M215" t="str">
        <x:f>IF(J215="","",J215/_xlfn.MAXIFS($J:$J,$D:$D,D215))</x:f>
      </x:c>
      <x:c r="N215" t="str">
        <x:f>IF(L215="","",L215/_xlfn.MAXIFS($L:$L,$D:$D,D215))</x:f>
      </x:c>
      <x:c r="O215" t="str">
        <x:f>IF(OR(M215="",N215=""),"",SQRT(M215*N215))</x:f>
      </x:c>
      <x:c r="P215" t="str">
        <x:f>IF(OR(M215="",N215=""),"",M215^0.7*N215^0.3)</x:f>
      </x:c>
      <x:c r="Q215" t="str">
        <x:f>IF(OR(M215="",N215=""),"",M215^0.3*N215^0.7)</x:f>
      </x:c>
    </x:row>
    <x:row r="216">
      <x:c r="A216" t="inlineStr">
        <x:is>
          <x:t xml:space="preserve">anthropic|claude-sonnet-5|medium|reasoning|fallback-na</x:t>
        </x:is>
      </x:c>
      <x:c r="B216" t="inlineStr">
        <x:is>
          <x:t xml:space="preserve">AA|v4.3.2</x:t>
        </x:is>
      </x:c>
      <x:c r="C216" t="n">
        <x:v>28</x:v>
      </x:c>
      <x:c r="D216" t="n">
        <x:v>65</x:v>
      </x:c>
      <x:c r="E216" t="n">
        <x:f>INDEX(Model_TestVersion_Stats!$W:$W,C216)</x:f>
        <x:v>28</x:v>
      </x:c>
      <x:c r="F216" t="n">
        <x:f>INDEX(Model_TestVersion_Stats!$O:$O,C216)</x:f>
        <x:v>1</x:v>
      </x:c>
      <x:c r="G216" t="str">
        <x:f>IF(INDEX(Model_TestVersion_Stats!$R:$R,C216)="","",INDEX(Model_TestVersion_Stats!$R:$R,C216)/60)</x:f>
      </x:c>
      <x:c r="H216" t="n">
        <x:f>IF(E216="","",E216-(D216-1))</x:f>
        <x:v>-36</x:v>
      </x:c>
      <x:c r="I216" t="n">
        <x:f>IF(H216&gt;0,1,0)</x:f>
        <x:v>0</x:v>
      </x:c>
      <x:c r="J216" t="str">
        <x:f>IF(OR(I216=0,F216="",F216=0),"",H216/F216)</x:f>
      </x:c>
      <x:c r="K216" t="str">
        <x:f>IF(OR(I216=0,H216=0,F216=""),"",F216/H216)</x:f>
      </x:c>
      <x:c r="L216" t="str">
        <x:f>IF(OR(I216=0,F216="",G216="",F216=0,G216=0),"",H216/(F216*G216))</x:f>
      </x:c>
      <x:c r="M216" t="str">
        <x:f>IF(J216="","",J216/_xlfn.MAXIFS($J:$J,$D:$D,D216))</x:f>
      </x:c>
      <x:c r="N216" t="str">
        <x:f>IF(L216="","",L216/_xlfn.MAXIFS($L:$L,$D:$D,D216))</x:f>
      </x:c>
      <x:c r="O216" t="str">
        <x:f>IF(OR(M216="",N216=""),"",SQRT(M216*N216))</x:f>
      </x:c>
      <x:c r="P216" t="str">
        <x:f>IF(OR(M216="",N216=""),"",M216^0.7*N216^0.3)</x:f>
      </x:c>
      <x:c r="Q216" t="str">
        <x:f>IF(OR(M216="",N216=""),"",M216^0.3*N216^0.7)</x:f>
      </x:c>
    </x:row>
    <x:row r="217">
      <x:c r="A217" t="inlineStr">
        <x:is>
          <x:t xml:space="preserve">anthropic|claude-sonnet-5|medium|reasoning|fallback-na</x:t>
        </x:is>
      </x:c>
      <x:c r="B217" t="inlineStr">
        <x:is>
          <x:t xml:space="preserve">AA|v4.3.2</x:t>
        </x:is>
      </x:c>
      <x:c r="C217" t="n">
        <x:v>28</x:v>
      </x:c>
      <x:c r="D217" t="n">
        <x:v>80</x:v>
      </x:c>
      <x:c r="E217" t="n">
        <x:f>INDEX(Model_TestVersion_Stats!$W:$W,C217)</x:f>
        <x:v>28</x:v>
      </x:c>
      <x:c r="F217" t="n">
        <x:f>INDEX(Model_TestVersion_Stats!$O:$O,C217)</x:f>
        <x:v>1</x:v>
      </x:c>
      <x:c r="G217" t="str">
        <x:f>IF(INDEX(Model_TestVersion_Stats!$R:$R,C217)="","",INDEX(Model_TestVersion_Stats!$R:$R,C217)/60)</x:f>
      </x:c>
      <x:c r="H217" t="n">
        <x:f>IF(E217="","",E217-(D217-1))</x:f>
        <x:v>-51</x:v>
      </x:c>
      <x:c r="I217" t="n">
        <x:f>IF(H217&gt;0,1,0)</x:f>
        <x:v>0</x:v>
      </x:c>
      <x:c r="J217" t="str">
        <x:f>IF(OR(I217=0,F217="",F217=0),"",H217/F217)</x:f>
      </x:c>
      <x:c r="K217" t="str">
        <x:f>IF(OR(I217=0,H217=0,F217=""),"",F217/H217)</x:f>
      </x:c>
      <x:c r="L217" t="str">
        <x:f>IF(OR(I217=0,F217="",G217="",F217=0,G217=0),"",H217/(F217*G217))</x:f>
      </x:c>
      <x:c r="M217" t="str">
        <x:f>IF(J217="","",J217/_xlfn.MAXIFS($J:$J,$D:$D,D217))</x:f>
      </x:c>
      <x:c r="N217" t="str">
        <x:f>IF(L217="","",L217/_xlfn.MAXIFS($L:$L,$D:$D,D217))</x:f>
      </x:c>
      <x:c r="O217" t="str">
        <x:f>IF(OR(M217="",N217=""),"",SQRT(M217*N217))</x:f>
      </x:c>
      <x:c r="P217" t="str">
        <x:f>IF(OR(M217="",N217=""),"",M217^0.7*N217^0.3)</x:f>
      </x:c>
      <x:c r="Q217" t="str">
        <x:f>IF(OR(M217="",N217=""),"",M217^0.3*N217^0.7)</x:f>
      </x:c>
    </x:row>
    <x:row r="218">
      <x:c r="A218" t="inlineStr">
        <x:is>
          <x:t xml:space="preserve">anthropic|claude-sonnet-5|non-reasoning|nonreasoning|fallback-na</x:t>
        </x:is>
      </x:c>
      <x:c r="B218" t="inlineStr">
        <x:is>
          <x:t xml:space="preserve">AA|v4.3.2</x:t>
        </x:is>
      </x:c>
      <x:c r="C218" t="n">
        <x:v>29</x:v>
      </x:c>
      <x:c r="D218" t="n">
        <x:v>20</x:v>
      </x:c>
      <x:c r="E218" t="n">
        <x:f>INDEX(Model_TestVersion_Stats!$W:$W,C218)</x:f>
        <x:v>29</x:v>
      </x:c>
      <x:c r="F218" t="str">
        <x:f>INDEX(Model_TestVersion_Stats!$O:$O,C218)</x:f>
      </x:c>
      <x:c r="G218" t="str">
        <x:f>IF(INDEX(Model_TestVersion_Stats!$R:$R,C218)="","",INDEX(Model_TestVersion_Stats!$R:$R,C218)/60)</x:f>
      </x:c>
      <x:c r="H218" t="n">
        <x:f>IF(E218="","",E218-(D218-1))</x:f>
        <x:v>10</x:v>
      </x:c>
      <x:c r="I218" t="n">
        <x:f>IF(H218&gt;0,1,0)</x:f>
        <x:v>1</x:v>
      </x:c>
      <x:c r="J218" t="str">
        <x:f>IF(OR(I218=0,F218="",F218=0),"",H218/F218)</x:f>
      </x:c>
      <x:c r="K218" t="str">
        <x:f>IF(OR(I218=0,H218=0,F218=""),"",F218/H218)</x:f>
      </x:c>
      <x:c r="L218" t="str">
        <x:f>IF(OR(I218=0,F218="",G218="",F218=0,G218=0),"",H218/(F218*G218))</x:f>
      </x:c>
      <x:c r="M218" t="str">
        <x:f>IF(J218="","",J218/_xlfn.MAXIFS($J:$J,$D:$D,D218))</x:f>
      </x:c>
      <x:c r="N218" t="str">
        <x:f>IF(L218="","",L218/_xlfn.MAXIFS($L:$L,$D:$D,D218))</x:f>
      </x:c>
      <x:c r="O218" t="str">
        <x:f>IF(OR(M218="",N218=""),"",SQRT(M218*N218))</x:f>
      </x:c>
      <x:c r="P218" t="str">
        <x:f>IF(OR(M218="",N218=""),"",M218^0.7*N218^0.3)</x:f>
      </x:c>
      <x:c r="Q218" t="str">
        <x:f>IF(OR(M218="",N218=""),"",M218^0.3*N218^0.7)</x:f>
      </x:c>
    </x:row>
    <x:row r="219">
      <x:c r="A219" t="inlineStr">
        <x:is>
          <x:t xml:space="preserve">anthropic|claude-sonnet-5|non-reasoning|nonreasoning|fallback-na</x:t>
        </x:is>
      </x:c>
      <x:c r="B219" t="inlineStr">
        <x:is>
          <x:t xml:space="preserve">AA|v4.3.2</x:t>
        </x:is>
      </x:c>
      <x:c r="C219" t="n">
        <x:v>29</x:v>
      </x:c>
      <x:c r="D219" t="n">
        <x:v>30</x:v>
      </x:c>
      <x:c r="E219" t="n">
        <x:f>INDEX(Model_TestVersion_Stats!$W:$W,C219)</x:f>
        <x:v>29</x:v>
      </x:c>
      <x:c r="F219" t="str">
        <x:f>INDEX(Model_TestVersion_Stats!$O:$O,C219)</x:f>
      </x:c>
      <x:c r="G219" t="str">
        <x:f>IF(INDEX(Model_TestVersion_Stats!$R:$R,C219)="","",INDEX(Model_TestVersion_Stats!$R:$R,C219)/60)</x:f>
      </x:c>
      <x:c r="H219" t="n">
        <x:f>IF(E219="","",E219-(D219-1))</x:f>
        <x:v>0</x:v>
      </x:c>
      <x:c r="I219" t="n">
        <x:f>IF(H219&gt;0,1,0)</x:f>
        <x:v>0</x:v>
      </x:c>
      <x:c r="J219" t="str">
        <x:f>IF(OR(I219=0,F219="",F219=0),"",H219/F219)</x:f>
      </x:c>
      <x:c r="K219" t="str">
        <x:f>IF(OR(I219=0,H219=0,F219=""),"",F219/H219)</x:f>
      </x:c>
      <x:c r="L219" t="str">
        <x:f>IF(OR(I219=0,F219="",G219="",F219=0,G219=0),"",H219/(F219*G219))</x:f>
      </x:c>
      <x:c r="M219" t="str">
        <x:f>IF(J219="","",J219/_xlfn.MAXIFS($J:$J,$D:$D,D219))</x:f>
      </x:c>
      <x:c r="N219" t="str">
        <x:f>IF(L219="","",L219/_xlfn.MAXIFS($L:$L,$D:$D,D219))</x:f>
      </x:c>
      <x:c r="O219" t="str">
        <x:f>IF(OR(M219="",N219=""),"",SQRT(M219*N219))</x:f>
      </x:c>
      <x:c r="P219" t="str">
        <x:f>IF(OR(M219="",N219=""),"",M219^0.7*N219^0.3)</x:f>
      </x:c>
      <x:c r="Q219" t="str">
        <x:f>IF(OR(M219="",N219=""),"",M219^0.3*N219^0.7)</x:f>
      </x:c>
    </x:row>
    <x:row r="220">
      <x:c r="A220" t="inlineStr">
        <x:is>
          <x:t xml:space="preserve">anthropic|claude-sonnet-5|non-reasoning|nonreasoning|fallback-na</x:t>
        </x:is>
      </x:c>
      <x:c r="B220" t="inlineStr">
        <x:is>
          <x:t xml:space="preserve">AA|v4.3.2</x:t>
        </x:is>
      </x:c>
      <x:c r="C220" t="n">
        <x:v>29</x:v>
      </x:c>
      <x:c r="D220" t="n">
        <x:v>40</x:v>
      </x:c>
      <x:c r="E220" t="n">
        <x:f>INDEX(Model_TestVersion_Stats!$W:$W,C220)</x:f>
        <x:v>29</x:v>
      </x:c>
      <x:c r="F220" t="str">
        <x:f>INDEX(Model_TestVersion_Stats!$O:$O,C220)</x:f>
      </x:c>
      <x:c r="G220" t="str">
        <x:f>IF(INDEX(Model_TestVersion_Stats!$R:$R,C220)="","",INDEX(Model_TestVersion_Stats!$R:$R,C220)/60)</x:f>
      </x:c>
      <x:c r="H220" t="n">
        <x:f>IF(E220="","",E220-(D220-1))</x:f>
        <x:v>-10</x:v>
      </x:c>
      <x:c r="I220" t="n">
        <x:f>IF(H220&gt;0,1,0)</x:f>
        <x:v>0</x:v>
      </x:c>
      <x:c r="J220" t="str">
        <x:f>IF(OR(I220=0,F220="",F220=0),"",H220/F220)</x:f>
      </x:c>
      <x:c r="K220" t="str">
        <x:f>IF(OR(I220=0,H220=0,F220=""),"",F220/H220)</x:f>
      </x:c>
      <x:c r="L220" t="str">
        <x:f>IF(OR(I220=0,F220="",G220="",F220=0,G220=0),"",H220/(F220*G220))</x:f>
      </x:c>
      <x:c r="M220" t="str">
        <x:f>IF(J220="","",J220/_xlfn.MAXIFS($J:$J,$D:$D,D220))</x:f>
      </x:c>
      <x:c r="N220" t="str">
        <x:f>IF(L220="","",L220/_xlfn.MAXIFS($L:$L,$D:$D,D220))</x:f>
      </x:c>
      <x:c r="O220" t="str">
        <x:f>IF(OR(M220="",N220=""),"",SQRT(M220*N220))</x:f>
      </x:c>
      <x:c r="P220" t="str">
        <x:f>IF(OR(M220="",N220=""),"",M220^0.7*N220^0.3)</x:f>
      </x:c>
      <x:c r="Q220" t="str">
        <x:f>IF(OR(M220="",N220=""),"",M220^0.3*N220^0.7)</x:f>
      </x:c>
    </x:row>
    <x:row r="221">
      <x:c r="A221" t="inlineStr">
        <x:is>
          <x:t xml:space="preserve">anthropic|claude-sonnet-5|non-reasoning|nonreasoning|fallback-na</x:t>
        </x:is>
      </x:c>
      <x:c r="B221" t="inlineStr">
        <x:is>
          <x:t xml:space="preserve">AA|v4.3.2</x:t>
        </x:is>
      </x:c>
      <x:c r="C221" t="n">
        <x:v>29</x:v>
      </x:c>
      <x:c r="D221" t="n">
        <x:v>45</x:v>
      </x:c>
      <x:c r="E221" t="n">
        <x:f>INDEX(Model_TestVersion_Stats!$W:$W,C221)</x:f>
        <x:v>29</x:v>
      </x:c>
      <x:c r="F221" t="str">
        <x:f>INDEX(Model_TestVersion_Stats!$O:$O,C221)</x:f>
      </x:c>
      <x:c r="G221" t="str">
        <x:f>IF(INDEX(Model_TestVersion_Stats!$R:$R,C221)="","",INDEX(Model_TestVersion_Stats!$R:$R,C221)/60)</x:f>
      </x:c>
      <x:c r="H221" t="n">
        <x:f>IF(E221="","",E221-(D221-1))</x:f>
        <x:v>-15</x:v>
      </x:c>
      <x:c r="I221" t="n">
        <x:f>IF(H221&gt;0,1,0)</x:f>
        <x:v>0</x:v>
      </x:c>
      <x:c r="J221" t="str">
        <x:f>IF(OR(I221=0,F221="",F221=0),"",H221/F221)</x:f>
      </x:c>
      <x:c r="K221" t="str">
        <x:f>IF(OR(I221=0,H221=0,F221=""),"",F221/H221)</x:f>
      </x:c>
      <x:c r="L221" t="str">
        <x:f>IF(OR(I221=0,F221="",G221="",F221=0,G221=0),"",H221/(F221*G221))</x:f>
      </x:c>
      <x:c r="M221" t="str">
        <x:f>IF(J221="","",J221/_xlfn.MAXIFS($J:$J,$D:$D,D221))</x:f>
      </x:c>
      <x:c r="N221" t="str">
        <x:f>IF(L221="","",L221/_xlfn.MAXIFS($L:$L,$D:$D,D221))</x:f>
      </x:c>
      <x:c r="O221" t="str">
        <x:f>IF(OR(M221="",N221=""),"",SQRT(M221*N221))</x:f>
      </x:c>
      <x:c r="P221" t="str">
        <x:f>IF(OR(M221="",N221=""),"",M221^0.7*N221^0.3)</x:f>
      </x:c>
      <x:c r="Q221" t="str">
        <x:f>IF(OR(M221="",N221=""),"",M221^0.3*N221^0.7)</x:f>
      </x:c>
    </x:row>
    <x:row r="222">
      <x:c r="A222" t="inlineStr">
        <x:is>
          <x:t xml:space="preserve">anthropic|claude-sonnet-5|non-reasoning|nonreasoning|fallback-na</x:t>
        </x:is>
      </x:c>
      <x:c r="B222" t="inlineStr">
        <x:is>
          <x:t xml:space="preserve">AA|v4.3.2</x:t>
        </x:is>
      </x:c>
      <x:c r="C222" t="n">
        <x:v>29</x:v>
      </x:c>
      <x:c r="D222" t="n">
        <x:v>50</x:v>
      </x:c>
      <x:c r="E222" t="n">
        <x:f>INDEX(Model_TestVersion_Stats!$W:$W,C222)</x:f>
        <x:v>29</x:v>
      </x:c>
      <x:c r="F222" t="str">
        <x:f>INDEX(Model_TestVersion_Stats!$O:$O,C222)</x:f>
      </x:c>
      <x:c r="G222" t="str">
        <x:f>IF(INDEX(Model_TestVersion_Stats!$R:$R,C222)="","",INDEX(Model_TestVersion_Stats!$R:$R,C222)/60)</x:f>
      </x:c>
      <x:c r="H222" t="n">
        <x:f>IF(E222="","",E222-(D222-1))</x:f>
        <x:v>-20</x:v>
      </x:c>
      <x:c r="I222" t="n">
        <x:f>IF(H222&gt;0,1,0)</x:f>
        <x:v>0</x:v>
      </x:c>
      <x:c r="J222" t="str">
        <x:f>IF(OR(I222=0,F222="",F222=0),"",H222/F222)</x:f>
      </x:c>
      <x:c r="K222" t="str">
        <x:f>IF(OR(I222=0,H222=0,F222=""),"",F222/H222)</x:f>
      </x:c>
      <x:c r="L222" t="str">
        <x:f>IF(OR(I222=0,F222="",G222="",F222=0,G222=0),"",H222/(F222*G222))</x:f>
      </x:c>
      <x:c r="M222" t="str">
        <x:f>IF(J222="","",J222/_xlfn.MAXIFS($J:$J,$D:$D,D222))</x:f>
      </x:c>
      <x:c r="N222" t="str">
        <x:f>IF(L222="","",L222/_xlfn.MAXIFS($L:$L,$D:$D,D222))</x:f>
      </x:c>
      <x:c r="O222" t="str">
        <x:f>IF(OR(M222="",N222=""),"",SQRT(M222*N222))</x:f>
      </x:c>
      <x:c r="P222" t="str">
        <x:f>IF(OR(M222="",N222=""),"",M222^0.7*N222^0.3)</x:f>
      </x:c>
      <x:c r="Q222" t="str">
        <x:f>IF(OR(M222="",N222=""),"",M222^0.3*N222^0.7)</x:f>
      </x:c>
    </x:row>
    <x:row r="223">
      <x:c r="A223" t="inlineStr">
        <x:is>
          <x:t xml:space="preserve">anthropic|claude-sonnet-5|non-reasoning|nonreasoning|fallback-na</x:t>
        </x:is>
      </x:c>
      <x:c r="B223" t="inlineStr">
        <x:is>
          <x:t xml:space="preserve">AA|v4.3.2</x:t>
        </x:is>
      </x:c>
      <x:c r="C223" t="n">
        <x:v>29</x:v>
      </x:c>
      <x:c r="D223" t="n">
        <x:v>52</x:v>
      </x:c>
      <x:c r="E223" t="n">
        <x:f>INDEX(Model_TestVersion_Stats!$W:$W,C223)</x:f>
        <x:v>29</x:v>
      </x:c>
      <x:c r="F223" t="str">
        <x:f>INDEX(Model_TestVersion_Stats!$O:$O,C223)</x:f>
      </x:c>
      <x:c r="G223" t="str">
        <x:f>IF(INDEX(Model_TestVersion_Stats!$R:$R,C223)="","",INDEX(Model_TestVersion_Stats!$R:$R,C223)/60)</x:f>
      </x:c>
      <x:c r="H223" t="n">
        <x:f>IF(E223="","",E223-(D223-1))</x:f>
        <x:v>-22</x:v>
      </x:c>
      <x:c r="I223" t="n">
        <x:f>IF(H223&gt;0,1,0)</x:f>
        <x:v>0</x:v>
      </x:c>
      <x:c r="J223" t="str">
        <x:f>IF(OR(I223=0,F223="",F223=0),"",H223/F223)</x:f>
      </x:c>
      <x:c r="K223" t="str">
        <x:f>IF(OR(I223=0,H223=0,F223=""),"",F223/H223)</x:f>
      </x:c>
      <x:c r="L223" t="str">
        <x:f>IF(OR(I223=0,F223="",G223="",F223=0,G223=0),"",H223/(F223*G223))</x:f>
      </x:c>
      <x:c r="M223" t="str">
        <x:f>IF(J223="","",J223/_xlfn.MAXIFS($J:$J,$D:$D,D223))</x:f>
      </x:c>
      <x:c r="N223" t="str">
        <x:f>IF(L223="","",L223/_xlfn.MAXIFS($L:$L,$D:$D,D223))</x:f>
      </x:c>
      <x:c r="O223" t="str">
        <x:f>IF(OR(M223="",N223=""),"",SQRT(M223*N223))</x:f>
      </x:c>
      <x:c r="P223" t="str">
        <x:f>IF(OR(M223="",N223=""),"",M223^0.7*N223^0.3)</x:f>
      </x:c>
      <x:c r="Q223" t="str">
        <x:f>IF(OR(M223="",N223=""),"",M223^0.3*N223^0.7)</x:f>
      </x:c>
    </x:row>
    <x:row r="224">
      <x:c r="A224" t="inlineStr">
        <x:is>
          <x:t xml:space="preserve">anthropic|claude-sonnet-5|non-reasoning|nonreasoning|fallback-na</x:t>
        </x:is>
      </x:c>
      <x:c r="B224" t="inlineStr">
        <x:is>
          <x:t xml:space="preserve">AA|v4.3.2</x:t>
        </x:is>
      </x:c>
      <x:c r="C224" t="n">
        <x:v>29</x:v>
      </x:c>
      <x:c r="D224" t="n">
        <x:v>65</x:v>
      </x:c>
      <x:c r="E224" t="n">
        <x:f>INDEX(Model_TestVersion_Stats!$W:$W,C224)</x:f>
        <x:v>29</x:v>
      </x:c>
      <x:c r="F224" t="str">
        <x:f>INDEX(Model_TestVersion_Stats!$O:$O,C224)</x:f>
      </x:c>
      <x:c r="G224" t="str">
        <x:f>IF(INDEX(Model_TestVersion_Stats!$R:$R,C224)="","",INDEX(Model_TestVersion_Stats!$R:$R,C224)/60)</x:f>
      </x:c>
      <x:c r="H224" t="n">
        <x:f>IF(E224="","",E224-(D224-1))</x:f>
        <x:v>-35</x:v>
      </x:c>
      <x:c r="I224" t="n">
        <x:f>IF(H224&gt;0,1,0)</x:f>
        <x:v>0</x:v>
      </x:c>
      <x:c r="J224" t="str">
        <x:f>IF(OR(I224=0,F224="",F224=0),"",H224/F224)</x:f>
      </x:c>
      <x:c r="K224" t="str">
        <x:f>IF(OR(I224=0,H224=0,F224=""),"",F224/H224)</x:f>
      </x:c>
      <x:c r="L224" t="str">
        <x:f>IF(OR(I224=0,F224="",G224="",F224=0,G224=0),"",H224/(F224*G224))</x:f>
      </x:c>
      <x:c r="M224" t="str">
        <x:f>IF(J224="","",J224/_xlfn.MAXIFS($J:$J,$D:$D,D224))</x:f>
      </x:c>
      <x:c r="N224" t="str">
        <x:f>IF(L224="","",L224/_xlfn.MAXIFS($L:$L,$D:$D,D224))</x:f>
      </x:c>
      <x:c r="O224" t="str">
        <x:f>IF(OR(M224="",N224=""),"",SQRT(M224*N224))</x:f>
      </x:c>
      <x:c r="P224" t="str">
        <x:f>IF(OR(M224="",N224=""),"",M224^0.7*N224^0.3)</x:f>
      </x:c>
      <x:c r="Q224" t="str">
        <x:f>IF(OR(M224="",N224=""),"",M224^0.3*N224^0.7)</x:f>
      </x:c>
    </x:row>
    <x:row r="225">
      <x:c r="A225" t="inlineStr">
        <x:is>
          <x:t xml:space="preserve">anthropic|claude-sonnet-5|non-reasoning|nonreasoning|fallback-na</x:t>
        </x:is>
      </x:c>
      <x:c r="B225" t="inlineStr">
        <x:is>
          <x:t xml:space="preserve">AA|v4.3.2</x:t>
        </x:is>
      </x:c>
      <x:c r="C225" t="n">
        <x:v>29</x:v>
      </x:c>
      <x:c r="D225" t="n">
        <x:v>80</x:v>
      </x:c>
      <x:c r="E225" t="n">
        <x:f>INDEX(Model_TestVersion_Stats!$W:$W,C225)</x:f>
        <x:v>29</x:v>
      </x:c>
      <x:c r="F225" t="str">
        <x:f>INDEX(Model_TestVersion_Stats!$O:$O,C225)</x:f>
      </x:c>
      <x:c r="G225" t="str">
        <x:f>IF(INDEX(Model_TestVersion_Stats!$R:$R,C225)="","",INDEX(Model_TestVersion_Stats!$R:$R,C225)/60)</x:f>
      </x:c>
      <x:c r="H225" t="n">
        <x:f>IF(E225="","",E225-(D225-1))</x:f>
        <x:v>-50</x:v>
      </x:c>
      <x:c r="I225" t="n">
        <x:f>IF(H225&gt;0,1,0)</x:f>
        <x:v>0</x:v>
      </x:c>
      <x:c r="J225" t="str">
        <x:f>IF(OR(I225=0,F225="",F225=0),"",H225/F225)</x:f>
      </x:c>
      <x:c r="K225" t="str">
        <x:f>IF(OR(I225=0,H225=0,F225=""),"",F225/H225)</x:f>
      </x:c>
      <x:c r="L225" t="str">
        <x:f>IF(OR(I225=0,F225="",G225="",F225=0,G225=0),"",H225/(F225*G225))</x:f>
      </x:c>
      <x:c r="M225" t="str">
        <x:f>IF(J225="","",J225/_xlfn.MAXIFS($J:$J,$D:$D,D225))</x:f>
      </x:c>
      <x:c r="N225" t="str">
        <x:f>IF(L225="","",L225/_xlfn.MAXIFS($L:$L,$D:$D,D225))</x:f>
      </x:c>
      <x:c r="O225" t="str">
        <x:f>IF(OR(M225="",N225=""),"",SQRT(M225*N225))</x:f>
      </x:c>
      <x:c r="P225" t="str">
        <x:f>IF(OR(M225="",N225=""),"",M225^0.7*N225^0.3)</x:f>
      </x:c>
      <x:c r="Q225" t="str">
        <x:f>IF(OR(M225="",N225=""),"",M225^0.3*N225^0.7)</x:f>
      </x:c>
    </x:row>
    <x:row r="226">
      <x:c r="A226" t="inlineStr">
        <x:is>
          <x:t xml:space="preserve">anthropic|claude-sonnet-5|xhigh|reasoning|fallback-na</x:t>
        </x:is>
      </x:c>
      <x:c r="B226" t="inlineStr">
        <x:is>
          <x:t xml:space="preserve">AA|v4.3.2</x:t>
        </x:is>
      </x:c>
      <x:c r="C226" t="n">
        <x:v>30</x:v>
      </x:c>
      <x:c r="D226" t="n">
        <x:v>20</x:v>
      </x:c>
      <x:c r="E226" t="str">
        <x:f>INDEX(Model_TestVersion_Stats!$W:$W,C226)</x:f>
      </x:c>
      <x:c r="F226" t="str">
        <x:f>INDEX(Model_TestVersion_Stats!$O:$O,C226)</x:f>
      </x:c>
      <x:c r="G226" t="str">
        <x:f>IF(INDEX(Model_TestVersion_Stats!$R:$R,C226)="","",INDEX(Model_TestVersion_Stats!$R:$R,C226)/60)</x:f>
      </x:c>
      <x:c r="H226" t="str">
        <x:f>IF(E226="","",E226-(D226-1))</x:f>
      </x:c>
      <x:c r="I226" t="n">
        <x:f>IF(H226&gt;0,1,0)</x:f>
        <x:v>0</x:v>
      </x:c>
      <x:c r="J226" t="str">
        <x:f>IF(OR(I226=0,F226="",F226=0),"",H226/F226)</x:f>
      </x:c>
      <x:c r="K226" t="str">
        <x:f>IF(OR(I226=0,H226=0,F226=""),"",F226/H226)</x:f>
      </x:c>
      <x:c r="L226" t="str">
        <x:f>IF(OR(I226=0,F226="",G226="",F226=0,G226=0),"",H226/(F226*G226))</x:f>
      </x:c>
      <x:c r="M226" t="str">
        <x:f>IF(J226="","",J226/_xlfn.MAXIFS($J:$J,$D:$D,D226))</x:f>
      </x:c>
      <x:c r="N226" t="str">
        <x:f>IF(L226="","",L226/_xlfn.MAXIFS($L:$L,$D:$D,D226))</x:f>
      </x:c>
      <x:c r="O226" t="str">
        <x:f>IF(OR(M226="",N226=""),"",SQRT(M226*N226))</x:f>
      </x:c>
      <x:c r="P226" t="str">
        <x:f>IF(OR(M226="",N226=""),"",M226^0.7*N226^0.3)</x:f>
      </x:c>
      <x:c r="Q226" t="str">
        <x:f>IF(OR(M226="",N226=""),"",M226^0.3*N226^0.7)</x:f>
      </x:c>
    </x:row>
    <x:row r="227">
      <x:c r="A227" t="inlineStr">
        <x:is>
          <x:t xml:space="preserve">anthropic|claude-sonnet-5|xhigh|reasoning|fallback-na</x:t>
        </x:is>
      </x:c>
      <x:c r="B227" t="inlineStr">
        <x:is>
          <x:t xml:space="preserve">AA|v4.3.2</x:t>
        </x:is>
      </x:c>
      <x:c r="C227" t="n">
        <x:v>30</x:v>
      </x:c>
      <x:c r="D227" t="n">
        <x:v>30</x:v>
      </x:c>
      <x:c r="E227" t="str">
        <x:f>INDEX(Model_TestVersion_Stats!$W:$W,C227)</x:f>
      </x:c>
      <x:c r="F227" t="str">
        <x:f>INDEX(Model_TestVersion_Stats!$O:$O,C227)</x:f>
      </x:c>
      <x:c r="G227" t="str">
        <x:f>IF(INDEX(Model_TestVersion_Stats!$R:$R,C227)="","",INDEX(Model_TestVersion_Stats!$R:$R,C227)/60)</x:f>
      </x:c>
      <x:c r="H227" t="str">
        <x:f>IF(E227="","",E227-(D227-1))</x:f>
      </x:c>
      <x:c r="I227" t="n">
        <x:f>IF(H227&gt;0,1,0)</x:f>
        <x:v>0</x:v>
      </x:c>
      <x:c r="J227" t="str">
        <x:f>IF(OR(I227=0,F227="",F227=0),"",H227/F227)</x:f>
      </x:c>
      <x:c r="K227" t="str">
        <x:f>IF(OR(I227=0,H227=0,F227=""),"",F227/H227)</x:f>
      </x:c>
      <x:c r="L227" t="str">
        <x:f>IF(OR(I227=0,F227="",G227="",F227=0,G227=0),"",H227/(F227*G227))</x:f>
      </x:c>
      <x:c r="M227" t="str">
        <x:f>IF(J227="","",J227/_xlfn.MAXIFS($J:$J,$D:$D,D227))</x:f>
      </x:c>
      <x:c r="N227" t="str">
        <x:f>IF(L227="","",L227/_xlfn.MAXIFS($L:$L,$D:$D,D227))</x:f>
      </x:c>
      <x:c r="O227" t="str">
        <x:f>IF(OR(M227="",N227=""),"",SQRT(M227*N227))</x:f>
      </x:c>
      <x:c r="P227" t="str">
        <x:f>IF(OR(M227="",N227=""),"",M227^0.7*N227^0.3)</x:f>
      </x:c>
      <x:c r="Q227" t="str">
        <x:f>IF(OR(M227="",N227=""),"",M227^0.3*N227^0.7)</x:f>
      </x:c>
    </x:row>
    <x:row r="228">
      <x:c r="A228" t="inlineStr">
        <x:is>
          <x:t xml:space="preserve">anthropic|claude-sonnet-5|xhigh|reasoning|fallback-na</x:t>
        </x:is>
      </x:c>
      <x:c r="B228" t="inlineStr">
        <x:is>
          <x:t xml:space="preserve">AA|v4.3.2</x:t>
        </x:is>
      </x:c>
      <x:c r="C228" t="n">
        <x:v>30</x:v>
      </x:c>
      <x:c r="D228" t="n">
        <x:v>40</x:v>
      </x:c>
      <x:c r="E228" t="str">
        <x:f>INDEX(Model_TestVersion_Stats!$W:$W,C228)</x:f>
      </x:c>
      <x:c r="F228" t="str">
        <x:f>INDEX(Model_TestVersion_Stats!$O:$O,C228)</x:f>
      </x:c>
      <x:c r="G228" t="str">
        <x:f>IF(INDEX(Model_TestVersion_Stats!$R:$R,C228)="","",INDEX(Model_TestVersion_Stats!$R:$R,C228)/60)</x:f>
      </x:c>
      <x:c r="H228" t="str">
        <x:f>IF(E228="","",E228-(D228-1))</x:f>
      </x:c>
      <x:c r="I228" t="n">
        <x:f>IF(H228&gt;0,1,0)</x:f>
        <x:v>0</x:v>
      </x:c>
      <x:c r="J228" t="str">
        <x:f>IF(OR(I228=0,F228="",F228=0),"",H228/F228)</x:f>
      </x:c>
      <x:c r="K228" t="str">
        <x:f>IF(OR(I228=0,H228=0,F228=""),"",F228/H228)</x:f>
      </x:c>
      <x:c r="L228" t="str">
        <x:f>IF(OR(I228=0,F228="",G228="",F228=0,G228=0),"",H228/(F228*G228))</x:f>
      </x:c>
      <x:c r="M228" t="str">
        <x:f>IF(J228="","",J228/_xlfn.MAXIFS($J:$J,$D:$D,D228))</x:f>
      </x:c>
      <x:c r="N228" t="str">
        <x:f>IF(L228="","",L228/_xlfn.MAXIFS($L:$L,$D:$D,D228))</x:f>
      </x:c>
      <x:c r="O228" t="str">
        <x:f>IF(OR(M228="",N228=""),"",SQRT(M228*N228))</x:f>
      </x:c>
      <x:c r="P228" t="str">
        <x:f>IF(OR(M228="",N228=""),"",M228^0.7*N228^0.3)</x:f>
      </x:c>
      <x:c r="Q228" t="str">
        <x:f>IF(OR(M228="",N228=""),"",M228^0.3*N228^0.7)</x:f>
      </x:c>
    </x:row>
    <x:row r="229">
      <x:c r="A229" t="inlineStr">
        <x:is>
          <x:t xml:space="preserve">anthropic|claude-sonnet-5|xhigh|reasoning|fallback-na</x:t>
        </x:is>
      </x:c>
      <x:c r="B229" t="inlineStr">
        <x:is>
          <x:t xml:space="preserve">AA|v4.3.2</x:t>
        </x:is>
      </x:c>
      <x:c r="C229" t="n">
        <x:v>30</x:v>
      </x:c>
      <x:c r="D229" t="n">
        <x:v>45</x:v>
      </x:c>
      <x:c r="E229" t="str">
        <x:f>INDEX(Model_TestVersion_Stats!$W:$W,C229)</x:f>
      </x:c>
      <x:c r="F229" t="str">
        <x:f>INDEX(Model_TestVersion_Stats!$O:$O,C229)</x:f>
      </x:c>
      <x:c r="G229" t="str">
        <x:f>IF(INDEX(Model_TestVersion_Stats!$R:$R,C229)="","",INDEX(Model_TestVersion_Stats!$R:$R,C229)/60)</x:f>
      </x:c>
      <x:c r="H229" t="str">
        <x:f>IF(E229="","",E229-(D229-1))</x:f>
      </x:c>
      <x:c r="I229" t="n">
        <x:f>IF(H229&gt;0,1,0)</x:f>
        <x:v>0</x:v>
      </x:c>
      <x:c r="J229" t="str">
        <x:f>IF(OR(I229=0,F229="",F229=0),"",H229/F229)</x:f>
      </x:c>
      <x:c r="K229" t="str">
        <x:f>IF(OR(I229=0,H229=0,F229=""),"",F229/H229)</x:f>
      </x:c>
      <x:c r="L229" t="str">
        <x:f>IF(OR(I229=0,F229="",G229="",F229=0,G229=0),"",H229/(F229*G229))</x:f>
      </x:c>
      <x:c r="M229" t="str">
        <x:f>IF(J229="","",J229/_xlfn.MAXIFS($J:$J,$D:$D,D229))</x:f>
      </x:c>
      <x:c r="N229" t="str">
        <x:f>IF(L229="","",L229/_xlfn.MAXIFS($L:$L,$D:$D,D229))</x:f>
      </x:c>
      <x:c r="O229" t="str">
        <x:f>IF(OR(M229="",N229=""),"",SQRT(M229*N229))</x:f>
      </x:c>
      <x:c r="P229" t="str">
        <x:f>IF(OR(M229="",N229=""),"",M229^0.7*N229^0.3)</x:f>
      </x:c>
      <x:c r="Q229" t="str">
        <x:f>IF(OR(M229="",N229=""),"",M229^0.3*N229^0.7)</x:f>
      </x:c>
    </x:row>
    <x:row r="230">
      <x:c r="A230" t="inlineStr">
        <x:is>
          <x:t xml:space="preserve">anthropic|claude-sonnet-5|xhigh|reasoning|fallback-na</x:t>
        </x:is>
      </x:c>
      <x:c r="B230" t="inlineStr">
        <x:is>
          <x:t xml:space="preserve">AA|v4.3.2</x:t>
        </x:is>
      </x:c>
      <x:c r="C230" t="n">
        <x:v>30</x:v>
      </x:c>
      <x:c r="D230" t="n">
        <x:v>50</x:v>
      </x:c>
      <x:c r="E230" t="str">
        <x:f>INDEX(Model_TestVersion_Stats!$W:$W,C230)</x:f>
      </x:c>
      <x:c r="F230" t="str">
        <x:f>INDEX(Model_TestVersion_Stats!$O:$O,C230)</x:f>
      </x:c>
      <x:c r="G230" t="str">
        <x:f>IF(INDEX(Model_TestVersion_Stats!$R:$R,C230)="","",INDEX(Model_TestVersion_Stats!$R:$R,C230)/60)</x:f>
      </x:c>
      <x:c r="H230" t="str">
        <x:f>IF(E230="","",E230-(D230-1))</x:f>
      </x:c>
      <x:c r="I230" t="n">
        <x:f>IF(H230&gt;0,1,0)</x:f>
        <x:v>0</x:v>
      </x:c>
      <x:c r="J230" t="str">
        <x:f>IF(OR(I230=0,F230="",F230=0),"",H230/F230)</x:f>
      </x:c>
      <x:c r="K230" t="str">
        <x:f>IF(OR(I230=0,H230=0,F230=""),"",F230/H230)</x:f>
      </x:c>
      <x:c r="L230" t="str">
        <x:f>IF(OR(I230=0,F230="",G230="",F230=0,G230=0),"",H230/(F230*G230))</x:f>
      </x:c>
      <x:c r="M230" t="str">
        <x:f>IF(J230="","",J230/_xlfn.MAXIFS($J:$J,$D:$D,D230))</x:f>
      </x:c>
      <x:c r="N230" t="str">
        <x:f>IF(L230="","",L230/_xlfn.MAXIFS($L:$L,$D:$D,D230))</x:f>
      </x:c>
      <x:c r="O230" t="str">
        <x:f>IF(OR(M230="",N230=""),"",SQRT(M230*N230))</x:f>
      </x:c>
      <x:c r="P230" t="str">
        <x:f>IF(OR(M230="",N230=""),"",M230^0.7*N230^0.3)</x:f>
      </x:c>
      <x:c r="Q230" t="str">
        <x:f>IF(OR(M230="",N230=""),"",M230^0.3*N230^0.7)</x:f>
      </x:c>
    </x:row>
    <x:row r="231">
      <x:c r="A231" t="inlineStr">
        <x:is>
          <x:t xml:space="preserve">anthropic|claude-sonnet-5|xhigh|reasoning|fallback-na</x:t>
        </x:is>
      </x:c>
      <x:c r="B231" t="inlineStr">
        <x:is>
          <x:t xml:space="preserve">AA|v4.3.2</x:t>
        </x:is>
      </x:c>
      <x:c r="C231" t="n">
        <x:v>30</x:v>
      </x:c>
      <x:c r="D231" t="n">
        <x:v>52</x:v>
      </x:c>
      <x:c r="E231" t="str">
        <x:f>INDEX(Model_TestVersion_Stats!$W:$W,C231)</x:f>
      </x:c>
      <x:c r="F231" t="str">
        <x:f>INDEX(Model_TestVersion_Stats!$O:$O,C231)</x:f>
      </x:c>
      <x:c r="G231" t="str">
        <x:f>IF(INDEX(Model_TestVersion_Stats!$R:$R,C231)="","",INDEX(Model_TestVersion_Stats!$R:$R,C231)/60)</x:f>
      </x:c>
      <x:c r="H231" t="str">
        <x:f>IF(E231="","",E231-(D231-1))</x:f>
      </x:c>
      <x:c r="I231" t="n">
        <x:f>IF(H231&gt;0,1,0)</x:f>
        <x:v>0</x:v>
      </x:c>
      <x:c r="J231" t="str">
        <x:f>IF(OR(I231=0,F231="",F231=0),"",H231/F231)</x:f>
      </x:c>
      <x:c r="K231" t="str">
        <x:f>IF(OR(I231=0,H231=0,F231=""),"",F231/H231)</x:f>
      </x:c>
      <x:c r="L231" t="str">
        <x:f>IF(OR(I231=0,F231="",G231="",F231=0,G231=0),"",H231/(F231*G231))</x:f>
      </x:c>
      <x:c r="M231" t="str">
        <x:f>IF(J231="","",J231/_xlfn.MAXIFS($J:$J,$D:$D,D231))</x:f>
      </x:c>
      <x:c r="N231" t="str">
        <x:f>IF(L231="","",L231/_xlfn.MAXIFS($L:$L,$D:$D,D231))</x:f>
      </x:c>
      <x:c r="O231" t="str">
        <x:f>IF(OR(M231="",N231=""),"",SQRT(M231*N231))</x:f>
      </x:c>
      <x:c r="P231" t="str">
        <x:f>IF(OR(M231="",N231=""),"",M231^0.7*N231^0.3)</x:f>
      </x:c>
      <x:c r="Q231" t="str">
        <x:f>IF(OR(M231="",N231=""),"",M231^0.3*N231^0.7)</x:f>
      </x:c>
    </x:row>
    <x:row r="232">
      <x:c r="A232" t="inlineStr">
        <x:is>
          <x:t xml:space="preserve">anthropic|claude-sonnet-5|xhigh|reasoning|fallback-na</x:t>
        </x:is>
      </x:c>
      <x:c r="B232" t="inlineStr">
        <x:is>
          <x:t xml:space="preserve">AA|v4.3.2</x:t>
        </x:is>
      </x:c>
      <x:c r="C232" t="n">
        <x:v>30</x:v>
      </x:c>
      <x:c r="D232" t="n">
        <x:v>65</x:v>
      </x:c>
      <x:c r="E232" t="str">
        <x:f>INDEX(Model_TestVersion_Stats!$W:$W,C232)</x:f>
      </x:c>
      <x:c r="F232" t="str">
        <x:f>INDEX(Model_TestVersion_Stats!$O:$O,C232)</x:f>
      </x:c>
      <x:c r="G232" t="str">
        <x:f>IF(INDEX(Model_TestVersion_Stats!$R:$R,C232)="","",INDEX(Model_TestVersion_Stats!$R:$R,C232)/60)</x:f>
      </x:c>
      <x:c r="H232" t="str">
        <x:f>IF(E232="","",E232-(D232-1))</x:f>
      </x:c>
      <x:c r="I232" t="n">
        <x:f>IF(H232&gt;0,1,0)</x:f>
        <x:v>0</x:v>
      </x:c>
      <x:c r="J232" t="str">
        <x:f>IF(OR(I232=0,F232="",F232=0),"",H232/F232)</x:f>
      </x:c>
      <x:c r="K232" t="str">
        <x:f>IF(OR(I232=0,H232=0,F232=""),"",F232/H232)</x:f>
      </x:c>
      <x:c r="L232" t="str">
        <x:f>IF(OR(I232=0,F232="",G232="",F232=0,G232=0),"",H232/(F232*G232))</x:f>
      </x:c>
      <x:c r="M232" t="str">
        <x:f>IF(J232="","",J232/_xlfn.MAXIFS($J:$J,$D:$D,D232))</x:f>
      </x:c>
      <x:c r="N232" t="str">
        <x:f>IF(L232="","",L232/_xlfn.MAXIFS($L:$L,$D:$D,D232))</x:f>
      </x:c>
      <x:c r="O232" t="str">
        <x:f>IF(OR(M232="",N232=""),"",SQRT(M232*N232))</x:f>
      </x:c>
      <x:c r="P232" t="str">
        <x:f>IF(OR(M232="",N232=""),"",M232^0.7*N232^0.3)</x:f>
      </x:c>
      <x:c r="Q232" t="str">
        <x:f>IF(OR(M232="",N232=""),"",M232^0.3*N232^0.7)</x:f>
      </x:c>
    </x:row>
    <x:row r="233">
      <x:c r="A233" t="inlineStr">
        <x:is>
          <x:t xml:space="preserve">anthropic|claude-sonnet-5|xhigh|reasoning|fallback-na</x:t>
        </x:is>
      </x:c>
      <x:c r="B233" t="inlineStr">
        <x:is>
          <x:t xml:space="preserve">AA|v4.3.2</x:t>
        </x:is>
      </x:c>
      <x:c r="C233" t="n">
        <x:v>30</x:v>
      </x:c>
      <x:c r="D233" t="n">
        <x:v>80</x:v>
      </x:c>
      <x:c r="E233" t="str">
        <x:f>INDEX(Model_TestVersion_Stats!$W:$W,C233)</x:f>
      </x:c>
      <x:c r="F233" t="str">
        <x:f>INDEX(Model_TestVersion_Stats!$O:$O,C233)</x:f>
      </x:c>
      <x:c r="G233" t="str">
        <x:f>IF(INDEX(Model_TestVersion_Stats!$R:$R,C233)="","",INDEX(Model_TestVersion_Stats!$R:$R,C233)/60)</x:f>
      </x:c>
      <x:c r="H233" t="str">
        <x:f>IF(E233="","",E233-(D233-1))</x:f>
      </x:c>
      <x:c r="I233" t="n">
        <x:f>IF(H233&gt;0,1,0)</x:f>
        <x:v>0</x:v>
      </x:c>
      <x:c r="J233" t="str">
        <x:f>IF(OR(I233=0,F233="",F233=0),"",H233/F233)</x:f>
      </x:c>
      <x:c r="K233" t="str">
        <x:f>IF(OR(I233=0,H233=0,F233=""),"",F233/H233)</x:f>
      </x:c>
      <x:c r="L233" t="str">
        <x:f>IF(OR(I233=0,F233="",G233="",F233=0,G233=0),"",H233/(F233*G233))</x:f>
      </x:c>
      <x:c r="M233" t="str">
        <x:f>IF(J233="","",J233/_xlfn.MAXIFS($J:$J,$D:$D,D233))</x:f>
      </x:c>
      <x:c r="N233" t="str">
        <x:f>IF(L233="","",L233/_xlfn.MAXIFS($L:$L,$D:$D,D233))</x:f>
      </x:c>
      <x:c r="O233" t="str">
        <x:f>IF(OR(M233="",N233=""),"",SQRT(M233*N233))</x:f>
      </x:c>
      <x:c r="P233" t="str">
        <x:f>IF(OR(M233="",N233=""),"",M233^0.7*N233^0.3)</x:f>
      </x:c>
      <x:c r="Q233" t="str">
        <x:f>IF(OR(M233="",N233=""),"",M233^0.3*N233^0.7)</x:f>
      </x:c>
    </x:row>
    <x:row r="234">
      <x:c r="A234" t="inlineStr">
        <x:is>
          <x:t xml:space="preserve">deepseek|deepseek-v4.1-flash|max|reasoning|fallback-na</x:t>
        </x:is>
      </x:c>
      <x:c r="B234" t="inlineStr">
        <x:is>
          <x:t xml:space="preserve">AA|v4.3.2</x:t>
        </x:is>
      </x:c>
      <x:c r="C234" t="n">
        <x:v>31</x:v>
      </x:c>
      <x:c r="D234" t="n">
        <x:v>20</x:v>
      </x:c>
      <x:c r="E234" t="n">
        <x:f>INDEX(Model_TestVersion_Stats!$W:$W,C234)</x:f>
        <x:v>39</x:v>
      </x:c>
      <x:c r="F234" t="n">
        <x:f>INDEX(Model_TestVersion_Stats!$O:$O,C234)</x:f>
        <x:v>0.27</x:v>
      </x:c>
      <x:c r="G234" t="str">
        <x:f>IF(INDEX(Model_TestVersion_Stats!$R:$R,C234)="","",INDEX(Model_TestVersion_Stats!$R:$R,C234)/60)</x:f>
      </x:c>
      <x:c r="H234" t="n">
        <x:f>IF(E234="","",E234-(D234-1))</x:f>
        <x:v>20</x:v>
      </x:c>
      <x:c r="I234" t="n">
        <x:f>IF(H234&gt;0,1,0)</x:f>
        <x:v>1</x:v>
      </x:c>
      <x:c r="J234" t="n">
        <x:f>IF(OR(I234=0,F234="",F234=0),"",H234/F234)</x:f>
        <x:v>74.07407407407408</x:v>
      </x:c>
      <x:c r="K234" t="n">
        <x:f>IF(OR(I234=0,H234=0,F234=""),"",F234/H234)</x:f>
        <x:v>0.013500000000000002</x:v>
      </x:c>
      <x:c r="L234" t="str">
        <x:f>IF(OR(I234=0,F234="",G234="",F234=0,G234=0),"",H234/(F234*G234))</x:f>
      </x:c>
      <x:c r="M234" t="n">
        <x:f>IF(J234="","",J234/_xlfn.MAXIFS($J:$J,$D:$D,D234))</x:f>
        <x:v>0.13333333333333333</x:v>
      </x:c>
      <x:c r="N234" t="str">
        <x:f>IF(L234="","",L234/_xlfn.MAXIFS($L:$L,$D:$D,D234))</x:f>
      </x:c>
      <x:c r="O234" t="str">
        <x:f>IF(OR(M234="",N234=""),"",SQRT(M234*N234))</x:f>
      </x:c>
      <x:c r="P234" t="str">
        <x:f>IF(OR(M234="",N234=""),"",M234^0.7*N234^0.3)</x:f>
      </x:c>
      <x:c r="Q234" t="str">
        <x:f>IF(OR(M234="",N234=""),"",M234^0.3*N234^0.7)</x:f>
      </x:c>
    </x:row>
    <x:row r="235">
      <x:c r="A235" t="inlineStr">
        <x:is>
          <x:t xml:space="preserve">deepseek|deepseek-v4.1-flash|max|reasoning|fallback-na</x:t>
        </x:is>
      </x:c>
      <x:c r="B235" t="inlineStr">
        <x:is>
          <x:t xml:space="preserve">AA|v4.3.2</x:t>
        </x:is>
      </x:c>
      <x:c r="C235" t="n">
        <x:v>31</x:v>
      </x:c>
      <x:c r="D235" t="n">
        <x:v>30</x:v>
      </x:c>
      <x:c r="E235" t="n">
        <x:f>INDEX(Model_TestVersion_Stats!$W:$W,C235)</x:f>
        <x:v>39</x:v>
      </x:c>
      <x:c r="F235" t="n">
        <x:f>INDEX(Model_TestVersion_Stats!$O:$O,C235)</x:f>
        <x:v>0.27</x:v>
      </x:c>
      <x:c r="G235" t="str">
        <x:f>IF(INDEX(Model_TestVersion_Stats!$R:$R,C235)="","",INDEX(Model_TestVersion_Stats!$R:$R,C235)/60)</x:f>
      </x:c>
      <x:c r="H235" t="n">
        <x:f>IF(E235="","",E235-(D235-1))</x:f>
        <x:v>10</x:v>
      </x:c>
      <x:c r="I235" t="n">
        <x:f>IF(H235&gt;0,1,0)</x:f>
        <x:v>1</x:v>
      </x:c>
      <x:c r="J235" t="n">
        <x:f>IF(OR(I235=0,F235="",F235=0),"",H235/F235)</x:f>
        <x:v>37.03703703703704</x:v>
      </x:c>
      <x:c r="K235" t="n">
        <x:f>IF(OR(I235=0,H235=0,F235=""),"",F235/H235)</x:f>
        <x:v>0.027000000000000003</x:v>
      </x:c>
      <x:c r="L235" t="str">
        <x:f>IF(OR(I235=0,F235="",G235="",F235=0,G235=0),"",H235/(F235*G235))</x:f>
      </x:c>
      <x:c r="M235" t="n">
        <x:f>IF(J235="","",J235/_xlfn.MAXIFS($J:$J,$D:$D,D235))</x:f>
        <x:v>0.2469135802469136</x:v>
      </x:c>
      <x:c r="N235" t="str">
        <x:f>IF(L235="","",L235/_xlfn.MAXIFS($L:$L,$D:$D,D235))</x:f>
      </x:c>
      <x:c r="O235" t="str">
        <x:f>IF(OR(M235="",N235=""),"",SQRT(M235*N235))</x:f>
      </x:c>
      <x:c r="P235" t="str">
        <x:f>IF(OR(M235="",N235=""),"",M235^0.7*N235^0.3)</x:f>
      </x:c>
      <x:c r="Q235" t="str">
        <x:f>IF(OR(M235="",N235=""),"",M235^0.3*N235^0.7)</x:f>
      </x:c>
    </x:row>
    <x:row r="236">
      <x:c r="A236" t="inlineStr">
        <x:is>
          <x:t xml:space="preserve">deepseek|deepseek-v4.1-flash|max|reasoning|fallback-na</x:t>
        </x:is>
      </x:c>
      <x:c r="B236" t="inlineStr">
        <x:is>
          <x:t xml:space="preserve">AA|v4.3.2</x:t>
        </x:is>
      </x:c>
      <x:c r="C236" t="n">
        <x:v>31</x:v>
      </x:c>
      <x:c r="D236" t="n">
        <x:v>40</x:v>
      </x:c>
      <x:c r="E236" t="n">
        <x:f>INDEX(Model_TestVersion_Stats!$W:$W,C236)</x:f>
        <x:v>39</x:v>
      </x:c>
      <x:c r="F236" t="n">
        <x:f>INDEX(Model_TestVersion_Stats!$O:$O,C236)</x:f>
        <x:v>0.27</x:v>
      </x:c>
      <x:c r="G236" t="str">
        <x:f>IF(INDEX(Model_TestVersion_Stats!$R:$R,C236)="","",INDEX(Model_TestVersion_Stats!$R:$R,C236)/60)</x:f>
      </x:c>
      <x:c r="H236" t="n">
        <x:f>IF(E236="","",E236-(D236-1))</x:f>
        <x:v>0</x:v>
      </x:c>
      <x:c r="I236" t="n">
        <x:f>IF(H236&gt;0,1,0)</x:f>
        <x:v>0</x:v>
      </x:c>
      <x:c r="J236" t="str">
        <x:f>IF(OR(I236=0,F236="",F236=0),"",H236/F236)</x:f>
      </x:c>
      <x:c r="K236" t="str">
        <x:f>IF(OR(I236=0,H236=0,F236=""),"",F236/H236)</x:f>
      </x:c>
      <x:c r="L236" t="str">
        <x:f>IF(OR(I236=0,F236="",G236="",F236=0,G236=0),"",H236/(F236*G236))</x:f>
      </x:c>
      <x:c r="M236" t="str">
        <x:f>IF(J236="","",J236/_xlfn.MAXIFS($J:$J,$D:$D,D236))</x:f>
      </x:c>
      <x:c r="N236" t="str">
        <x:f>IF(L236="","",L236/_xlfn.MAXIFS($L:$L,$D:$D,D236))</x:f>
      </x:c>
      <x:c r="O236" t="str">
        <x:f>IF(OR(M236="",N236=""),"",SQRT(M236*N236))</x:f>
      </x:c>
      <x:c r="P236" t="str">
        <x:f>IF(OR(M236="",N236=""),"",M236^0.7*N236^0.3)</x:f>
      </x:c>
      <x:c r="Q236" t="str">
        <x:f>IF(OR(M236="",N236=""),"",M236^0.3*N236^0.7)</x:f>
      </x:c>
    </x:row>
    <x:row r="237">
      <x:c r="A237" t="inlineStr">
        <x:is>
          <x:t xml:space="preserve">deepseek|deepseek-v4.1-flash|max|reasoning|fallback-na</x:t>
        </x:is>
      </x:c>
      <x:c r="B237" t="inlineStr">
        <x:is>
          <x:t xml:space="preserve">AA|v4.3.2</x:t>
        </x:is>
      </x:c>
      <x:c r="C237" t="n">
        <x:v>31</x:v>
      </x:c>
      <x:c r="D237" t="n">
        <x:v>45</x:v>
      </x:c>
      <x:c r="E237" t="n">
        <x:f>INDEX(Model_TestVersion_Stats!$W:$W,C237)</x:f>
        <x:v>39</x:v>
      </x:c>
      <x:c r="F237" t="n">
        <x:f>INDEX(Model_TestVersion_Stats!$O:$O,C237)</x:f>
        <x:v>0.27</x:v>
      </x:c>
      <x:c r="G237" t="str">
        <x:f>IF(INDEX(Model_TestVersion_Stats!$R:$R,C237)="","",INDEX(Model_TestVersion_Stats!$R:$R,C237)/60)</x:f>
      </x:c>
      <x:c r="H237" t="n">
        <x:f>IF(E237="","",E237-(D237-1))</x:f>
        <x:v>-5</x:v>
      </x:c>
      <x:c r="I237" t="n">
        <x:f>IF(H237&gt;0,1,0)</x:f>
        <x:v>0</x:v>
      </x:c>
      <x:c r="J237" t="str">
        <x:f>IF(OR(I237=0,F237="",F237=0),"",H237/F237)</x:f>
      </x:c>
      <x:c r="K237" t="str">
        <x:f>IF(OR(I237=0,H237=0,F237=""),"",F237/H237)</x:f>
      </x:c>
      <x:c r="L237" t="str">
        <x:f>IF(OR(I237=0,F237="",G237="",F237=0,G237=0),"",H237/(F237*G237))</x:f>
      </x:c>
      <x:c r="M237" t="str">
        <x:f>IF(J237="","",J237/_xlfn.MAXIFS($J:$J,$D:$D,D237))</x:f>
      </x:c>
      <x:c r="N237" t="str">
        <x:f>IF(L237="","",L237/_xlfn.MAXIFS($L:$L,$D:$D,D237))</x:f>
      </x:c>
      <x:c r="O237" t="str">
        <x:f>IF(OR(M237="",N237=""),"",SQRT(M237*N237))</x:f>
      </x:c>
      <x:c r="P237" t="str">
        <x:f>IF(OR(M237="",N237=""),"",M237^0.7*N237^0.3)</x:f>
      </x:c>
      <x:c r="Q237" t="str">
        <x:f>IF(OR(M237="",N237=""),"",M237^0.3*N237^0.7)</x:f>
      </x:c>
    </x:row>
    <x:row r="238">
      <x:c r="A238" t="inlineStr">
        <x:is>
          <x:t xml:space="preserve">deepseek|deepseek-v4.1-flash|max|reasoning|fallback-na</x:t>
        </x:is>
      </x:c>
      <x:c r="B238" t="inlineStr">
        <x:is>
          <x:t xml:space="preserve">AA|v4.3.2</x:t>
        </x:is>
      </x:c>
      <x:c r="C238" t="n">
        <x:v>31</x:v>
      </x:c>
      <x:c r="D238" t="n">
        <x:v>50</x:v>
      </x:c>
      <x:c r="E238" t="n">
        <x:f>INDEX(Model_TestVersion_Stats!$W:$W,C238)</x:f>
        <x:v>39</x:v>
      </x:c>
      <x:c r="F238" t="n">
        <x:f>INDEX(Model_TestVersion_Stats!$O:$O,C238)</x:f>
        <x:v>0.27</x:v>
      </x:c>
      <x:c r="G238" t="str">
        <x:f>IF(INDEX(Model_TestVersion_Stats!$R:$R,C238)="","",INDEX(Model_TestVersion_Stats!$R:$R,C238)/60)</x:f>
      </x:c>
      <x:c r="H238" t="n">
        <x:f>IF(E238="","",E238-(D238-1))</x:f>
        <x:v>-10</x:v>
      </x:c>
      <x:c r="I238" t="n">
        <x:f>IF(H238&gt;0,1,0)</x:f>
        <x:v>0</x:v>
      </x:c>
      <x:c r="J238" t="str">
        <x:f>IF(OR(I238=0,F238="",F238=0),"",H238/F238)</x:f>
      </x:c>
      <x:c r="K238" t="str">
        <x:f>IF(OR(I238=0,H238=0,F238=""),"",F238/H238)</x:f>
      </x:c>
      <x:c r="L238" t="str">
        <x:f>IF(OR(I238=0,F238="",G238="",F238=0,G238=0),"",H238/(F238*G238))</x:f>
      </x:c>
      <x:c r="M238" t="str">
        <x:f>IF(J238="","",J238/_xlfn.MAXIFS($J:$J,$D:$D,D238))</x:f>
      </x:c>
      <x:c r="N238" t="str">
        <x:f>IF(L238="","",L238/_xlfn.MAXIFS($L:$L,$D:$D,D238))</x:f>
      </x:c>
      <x:c r="O238" t="str">
        <x:f>IF(OR(M238="",N238=""),"",SQRT(M238*N238))</x:f>
      </x:c>
      <x:c r="P238" t="str">
        <x:f>IF(OR(M238="",N238=""),"",M238^0.7*N238^0.3)</x:f>
      </x:c>
      <x:c r="Q238" t="str">
        <x:f>IF(OR(M238="",N238=""),"",M238^0.3*N238^0.7)</x:f>
      </x:c>
    </x:row>
    <x:row r="239">
      <x:c r="A239" t="inlineStr">
        <x:is>
          <x:t xml:space="preserve">deepseek|deepseek-v4.1-flash|max|reasoning|fallback-na</x:t>
        </x:is>
      </x:c>
      <x:c r="B239" t="inlineStr">
        <x:is>
          <x:t xml:space="preserve">AA|v4.3.2</x:t>
        </x:is>
      </x:c>
      <x:c r="C239" t="n">
        <x:v>31</x:v>
      </x:c>
      <x:c r="D239" t="n">
        <x:v>52</x:v>
      </x:c>
      <x:c r="E239" t="n">
        <x:f>INDEX(Model_TestVersion_Stats!$W:$W,C239)</x:f>
        <x:v>39</x:v>
      </x:c>
      <x:c r="F239" t="n">
        <x:f>INDEX(Model_TestVersion_Stats!$O:$O,C239)</x:f>
        <x:v>0.27</x:v>
      </x:c>
      <x:c r="G239" t="str">
        <x:f>IF(INDEX(Model_TestVersion_Stats!$R:$R,C239)="","",INDEX(Model_TestVersion_Stats!$R:$R,C239)/60)</x:f>
      </x:c>
      <x:c r="H239" t="n">
        <x:f>IF(E239="","",E239-(D239-1))</x:f>
        <x:v>-12</x:v>
      </x:c>
      <x:c r="I239" t="n">
        <x:f>IF(H239&gt;0,1,0)</x:f>
        <x:v>0</x:v>
      </x:c>
      <x:c r="J239" t="str">
        <x:f>IF(OR(I239=0,F239="",F239=0),"",H239/F239)</x:f>
      </x:c>
      <x:c r="K239" t="str">
        <x:f>IF(OR(I239=0,H239=0,F239=""),"",F239/H239)</x:f>
      </x:c>
      <x:c r="L239" t="str">
        <x:f>IF(OR(I239=0,F239="",G239="",F239=0,G239=0),"",H239/(F239*G239))</x:f>
      </x:c>
      <x:c r="M239" t="str">
        <x:f>IF(J239="","",J239/_xlfn.MAXIFS($J:$J,$D:$D,D239))</x:f>
      </x:c>
      <x:c r="N239" t="str">
        <x:f>IF(L239="","",L239/_xlfn.MAXIFS($L:$L,$D:$D,D239))</x:f>
      </x:c>
      <x:c r="O239" t="str">
        <x:f>IF(OR(M239="",N239=""),"",SQRT(M239*N239))</x:f>
      </x:c>
      <x:c r="P239" t="str">
        <x:f>IF(OR(M239="",N239=""),"",M239^0.7*N239^0.3)</x:f>
      </x:c>
      <x:c r="Q239" t="str">
        <x:f>IF(OR(M239="",N239=""),"",M239^0.3*N239^0.7)</x:f>
      </x:c>
    </x:row>
    <x:row r="240">
      <x:c r="A240" t="inlineStr">
        <x:is>
          <x:t xml:space="preserve">deepseek|deepseek-v4.1-flash|max|reasoning|fallback-na</x:t>
        </x:is>
      </x:c>
      <x:c r="B240" t="inlineStr">
        <x:is>
          <x:t xml:space="preserve">AA|v4.3.2</x:t>
        </x:is>
      </x:c>
      <x:c r="C240" t="n">
        <x:v>31</x:v>
      </x:c>
      <x:c r="D240" t="n">
        <x:v>65</x:v>
      </x:c>
      <x:c r="E240" t="n">
        <x:f>INDEX(Model_TestVersion_Stats!$W:$W,C240)</x:f>
        <x:v>39</x:v>
      </x:c>
      <x:c r="F240" t="n">
        <x:f>INDEX(Model_TestVersion_Stats!$O:$O,C240)</x:f>
        <x:v>0.27</x:v>
      </x:c>
      <x:c r="G240" t="str">
        <x:f>IF(INDEX(Model_TestVersion_Stats!$R:$R,C240)="","",INDEX(Model_TestVersion_Stats!$R:$R,C240)/60)</x:f>
      </x:c>
      <x:c r="H240" t="n">
        <x:f>IF(E240="","",E240-(D240-1))</x:f>
        <x:v>-25</x:v>
      </x:c>
      <x:c r="I240" t="n">
        <x:f>IF(H240&gt;0,1,0)</x:f>
        <x:v>0</x:v>
      </x:c>
      <x:c r="J240" t="str">
        <x:f>IF(OR(I240=0,F240="",F240=0),"",H240/F240)</x:f>
      </x:c>
      <x:c r="K240" t="str">
        <x:f>IF(OR(I240=0,H240=0,F240=""),"",F240/H240)</x:f>
      </x:c>
      <x:c r="L240" t="str">
        <x:f>IF(OR(I240=0,F240="",G240="",F240=0,G240=0),"",H240/(F240*G240))</x:f>
      </x:c>
      <x:c r="M240" t="str">
        <x:f>IF(J240="","",J240/_xlfn.MAXIFS($J:$J,$D:$D,D240))</x:f>
      </x:c>
      <x:c r="N240" t="str">
        <x:f>IF(L240="","",L240/_xlfn.MAXIFS($L:$L,$D:$D,D240))</x:f>
      </x:c>
      <x:c r="O240" t="str">
        <x:f>IF(OR(M240="",N240=""),"",SQRT(M240*N240))</x:f>
      </x:c>
      <x:c r="P240" t="str">
        <x:f>IF(OR(M240="",N240=""),"",M240^0.7*N240^0.3)</x:f>
      </x:c>
      <x:c r="Q240" t="str">
        <x:f>IF(OR(M240="",N240=""),"",M240^0.3*N240^0.7)</x:f>
      </x:c>
    </x:row>
    <x:row r="241">
      <x:c r="A241" t="inlineStr">
        <x:is>
          <x:t xml:space="preserve">deepseek|deepseek-v4.1-flash|max|reasoning|fallback-na</x:t>
        </x:is>
      </x:c>
      <x:c r="B241" t="inlineStr">
        <x:is>
          <x:t xml:space="preserve">AA|v4.3.2</x:t>
        </x:is>
      </x:c>
      <x:c r="C241" t="n">
        <x:v>31</x:v>
      </x:c>
      <x:c r="D241" t="n">
        <x:v>80</x:v>
      </x:c>
      <x:c r="E241" t="n">
        <x:f>INDEX(Model_TestVersion_Stats!$W:$W,C241)</x:f>
        <x:v>39</x:v>
      </x:c>
      <x:c r="F241" t="n">
        <x:f>INDEX(Model_TestVersion_Stats!$O:$O,C241)</x:f>
        <x:v>0.27</x:v>
      </x:c>
      <x:c r="G241" t="str">
        <x:f>IF(INDEX(Model_TestVersion_Stats!$R:$R,C241)="","",INDEX(Model_TestVersion_Stats!$R:$R,C241)/60)</x:f>
      </x:c>
      <x:c r="H241" t="n">
        <x:f>IF(E241="","",E241-(D241-1))</x:f>
        <x:v>-40</x:v>
      </x:c>
      <x:c r="I241" t="n">
        <x:f>IF(H241&gt;0,1,0)</x:f>
        <x:v>0</x:v>
      </x:c>
      <x:c r="J241" t="str">
        <x:f>IF(OR(I241=0,F241="",F241=0),"",H241/F241)</x:f>
      </x:c>
      <x:c r="K241" t="str">
        <x:f>IF(OR(I241=0,H241=0,F241=""),"",F241/H241)</x:f>
      </x:c>
      <x:c r="L241" t="str">
        <x:f>IF(OR(I241=0,F241="",G241="",F241=0,G241=0),"",H241/(F241*G241))</x:f>
      </x:c>
      <x:c r="M241" t="str">
        <x:f>IF(J241="","",J241/_xlfn.MAXIFS($J:$J,$D:$D,D241))</x:f>
      </x:c>
      <x:c r="N241" t="str">
        <x:f>IF(L241="","",L241/_xlfn.MAXIFS($L:$L,$D:$D,D241))</x:f>
      </x:c>
      <x:c r="O241" t="str">
        <x:f>IF(OR(M241="",N241=""),"",SQRT(M241*N241))</x:f>
      </x:c>
      <x:c r="P241" t="str">
        <x:f>IF(OR(M241="",N241=""),"",M241^0.7*N241^0.3)</x:f>
      </x:c>
      <x:c r="Q241" t="str">
        <x:f>IF(OR(M241="",N241=""),"",M241^0.3*N241^0.7)</x:f>
      </x:c>
    </x:row>
    <x:row r="242">
      <x:c r="A242" t="inlineStr">
        <x:is>
          <x:t xml:space="preserve">deepseek|deepseek-v4.1-flash|non-reasoning|nonreasoning|fallback-na</x:t>
        </x:is>
      </x:c>
      <x:c r="B242" t="inlineStr">
        <x:is>
          <x:t xml:space="preserve">AA|v4.3.2</x:t>
        </x:is>
      </x:c>
      <x:c r="C242" t="n">
        <x:v>32</x:v>
      </x:c>
      <x:c r="D242" t="n">
        <x:v>20</x:v>
      </x:c>
      <x:c r="E242" t="n">
        <x:f>INDEX(Model_TestVersion_Stats!$W:$W,C242)</x:f>
        <x:v>25</x:v>
      </x:c>
      <x:c r="F242" t="n">
        <x:f>INDEX(Model_TestVersion_Stats!$O:$O,C242)</x:f>
        <x:v>0.15</x:v>
      </x:c>
      <x:c r="G242" t="str">
        <x:f>IF(INDEX(Model_TestVersion_Stats!$R:$R,C242)="","",INDEX(Model_TestVersion_Stats!$R:$R,C242)/60)</x:f>
      </x:c>
      <x:c r="H242" t="n">
        <x:f>IF(E242="","",E242-(D242-1))</x:f>
        <x:v>6</x:v>
      </x:c>
      <x:c r="I242" t="n">
        <x:f>IF(H242&gt;0,1,0)</x:f>
        <x:v>1</x:v>
      </x:c>
      <x:c r="J242" t="n">
        <x:f>IF(OR(I242=0,F242="",F242=0),"",H242/F242)</x:f>
        <x:v>40</x:v>
      </x:c>
      <x:c r="K242" t="n">
        <x:f>IF(OR(I242=0,H242=0,F242=""),"",F242/H242)</x:f>
        <x:v>0.024999999999999998</x:v>
      </x:c>
      <x:c r="L242" t="str">
        <x:f>IF(OR(I242=0,F242="",G242="",F242=0,G242=0),"",H242/(F242*G242))</x:f>
      </x:c>
      <x:c r="M242" t="n">
        <x:f>IF(J242="","",J242/_xlfn.MAXIFS($J:$J,$D:$D,D242))</x:f>
        <x:v>0.07200000000000001</x:v>
      </x:c>
      <x:c r="N242" t="str">
        <x:f>IF(L242="","",L242/_xlfn.MAXIFS($L:$L,$D:$D,D242))</x:f>
      </x:c>
      <x:c r="O242" t="str">
        <x:f>IF(OR(M242="",N242=""),"",SQRT(M242*N242))</x:f>
      </x:c>
      <x:c r="P242" t="str">
        <x:f>IF(OR(M242="",N242=""),"",M242^0.7*N242^0.3)</x:f>
      </x:c>
      <x:c r="Q242" t="str">
        <x:f>IF(OR(M242="",N242=""),"",M242^0.3*N242^0.7)</x:f>
      </x:c>
    </x:row>
    <x:row r="243">
      <x:c r="A243" t="inlineStr">
        <x:is>
          <x:t xml:space="preserve">deepseek|deepseek-v4.1-flash|non-reasoning|nonreasoning|fallback-na</x:t>
        </x:is>
      </x:c>
      <x:c r="B243" t="inlineStr">
        <x:is>
          <x:t xml:space="preserve">AA|v4.3.2</x:t>
        </x:is>
      </x:c>
      <x:c r="C243" t="n">
        <x:v>32</x:v>
      </x:c>
      <x:c r="D243" t="n">
        <x:v>30</x:v>
      </x:c>
      <x:c r="E243" t="n">
        <x:f>INDEX(Model_TestVersion_Stats!$W:$W,C243)</x:f>
        <x:v>25</x:v>
      </x:c>
      <x:c r="F243" t="n">
        <x:f>INDEX(Model_TestVersion_Stats!$O:$O,C243)</x:f>
        <x:v>0.15</x:v>
      </x:c>
      <x:c r="G243" t="str">
        <x:f>IF(INDEX(Model_TestVersion_Stats!$R:$R,C243)="","",INDEX(Model_TestVersion_Stats!$R:$R,C243)/60)</x:f>
      </x:c>
      <x:c r="H243" t="n">
        <x:f>IF(E243="","",E243-(D243-1))</x:f>
        <x:v>-4</x:v>
      </x:c>
      <x:c r="I243" t="n">
        <x:f>IF(H243&gt;0,1,0)</x:f>
        <x:v>0</x:v>
      </x:c>
      <x:c r="J243" t="str">
        <x:f>IF(OR(I243=0,F243="",F243=0),"",H243/F243)</x:f>
      </x:c>
      <x:c r="K243" t="str">
        <x:f>IF(OR(I243=0,H243=0,F243=""),"",F243/H243)</x:f>
      </x:c>
      <x:c r="L243" t="str">
        <x:f>IF(OR(I243=0,F243="",G243="",F243=0,G243=0),"",H243/(F243*G243))</x:f>
      </x:c>
      <x:c r="M243" t="str">
        <x:f>IF(J243="","",J243/_xlfn.MAXIFS($J:$J,$D:$D,D243))</x:f>
      </x:c>
      <x:c r="N243" t="str">
        <x:f>IF(L243="","",L243/_xlfn.MAXIFS($L:$L,$D:$D,D243))</x:f>
      </x:c>
      <x:c r="O243" t="str">
        <x:f>IF(OR(M243="",N243=""),"",SQRT(M243*N243))</x:f>
      </x:c>
      <x:c r="P243" t="str">
        <x:f>IF(OR(M243="",N243=""),"",M243^0.7*N243^0.3)</x:f>
      </x:c>
      <x:c r="Q243" t="str">
        <x:f>IF(OR(M243="",N243=""),"",M243^0.3*N243^0.7)</x:f>
      </x:c>
    </x:row>
    <x:row r="244">
      <x:c r="A244" t="inlineStr">
        <x:is>
          <x:t xml:space="preserve">deepseek|deepseek-v4.1-flash|non-reasoning|nonreasoning|fallback-na</x:t>
        </x:is>
      </x:c>
      <x:c r="B244" t="inlineStr">
        <x:is>
          <x:t xml:space="preserve">AA|v4.3.2</x:t>
        </x:is>
      </x:c>
      <x:c r="C244" t="n">
        <x:v>32</x:v>
      </x:c>
      <x:c r="D244" t="n">
        <x:v>40</x:v>
      </x:c>
      <x:c r="E244" t="n">
        <x:f>INDEX(Model_TestVersion_Stats!$W:$W,C244)</x:f>
        <x:v>25</x:v>
      </x:c>
      <x:c r="F244" t="n">
        <x:f>INDEX(Model_TestVersion_Stats!$O:$O,C244)</x:f>
        <x:v>0.15</x:v>
      </x:c>
      <x:c r="G244" t="str">
        <x:f>IF(INDEX(Model_TestVersion_Stats!$R:$R,C244)="","",INDEX(Model_TestVersion_Stats!$R:$R,C244)/60)</x:f>
      </x:c>
      <x:c r="H244" t="n">
        <x:f>IF(E244="","",E244-(D244-1))</x:f>
        <x:v>-14</x:v>
      </x:c>
      <x:c r="I244" t="n">
        <x:f>IF(H244&gt;0,1,0)</x:f>
        <x:v>0</x:v>
      </x:c>
      <x:c r="J244" t="str">
        <x:f>IF(OR(I244=0,F244="",F244=0),"",H244/F244)</x:f>
      </x:c>
      <x:c r="K244" t="str">
        <x:f>IF(OR(I244=0,H244=0,F244=""),"",F244/H244)</x:f>
      </x:c>
      <x:c r="L244" t="str">
        <x:f>IF(OR(I244=0,F244="",G244="",F244=0,G244=0),"",H244/(F244*G244))</x:f>
      </x:c>
      <x:c r="M244" t="str">
        <x:f>IF(J244="","",J244/_xlfn.MAXIFS($J:$J,$D:$D,D244))</x:f>
      </x:c>
      <x:c r="N244" t="str">
        <x:f>IF(L244="","",L244/_xlfn.MAXIFS($L:$L,$D:$D,D244))</x:f>
      </x:c>
      <x:c r="O244" t="str">
        <x:f>IF(OR(M244="",N244=""),"",SQRT(M244*N244))</x:f>
      </x:c>
      <x:c r="P244" t="str">
        <x:f>IF(OR(M244="",N244=""),"",M244^0.7*N244^0.3)</x:f>
      </x:c>
      <x:c r="Q244" t="str">
        <x:f>IF(OR(M244="",N244=""),"",M244^0.3*N244^0.7)</x:f>
      </x:c>
    </x:row>
    <x:row r="245">
      <x:c r="A245" t="inlineStr">
        <x:is>
          <x:t xml:space="preserve">deepseek|deepseek-v4.1-flash|non-reasoning|nonreasoning|fallback-na</x:t>
        </x:is>
      </x:c>
      <x:c r="B245" t="inlineStr">
        <x:is>
          <x:t xml:space="preserve">AA|v4.3.2</x:t>
        </x:is>
      </x:c>
      <x:c r="C245" t="n">
        <x:v>32</x:v>
      </x:c>
      <x:c r="D245" t="n">
        <x:v>45</x:v>
      </x:c>
      <x:c r="E245" t="n">
        <x:f>INDEX(Model_TestVersion_Stats!$W:$W,C245)</x:f>
        <x:v>25</x:v>
      </x:c>
      <x:c r="F245" t="n">
        <x:f>INDEX(Model_TestVersion_Stats!$O:$O,C245)</x:f>
        <x:v>0.15</x:v>
      </x:c>
      <x:c r="G245" t="str">
        <x:f>IF(INDEX(Model_TestVersion_Stats!$R:$R,C245)="","",INDEX(Model_TestVersion_Stats!$R:$R,C245)/60)</x:f>
      </x:c>
      <x:c r="H245" t="n">
        <x:f>IF(E245="","",E245-(D245-1))</x:f>
        <x:v>-19</x:v>
      </x:c>
      <x:c r="I245" t="n">
        <x:f>IF(H245&gt;0,1,0)</x:f>
        <x:v>0</x:v>
      </x:c>
      <x:c r="J245" t="str">
        <x:f>IF(OR(I245=0,F245="",F245=0),"",H245/F245)</x:f>
      </x:c>
      <x:c r="K245" t="str">
        <x:f>IF(OR(I245=0,H245=0,F245=""),"",F245/H245)</x:f>
      </x:c>
      <x:c r="L245" t="str">
        <x:f>IF(OR(I245=0,F245="",G245="",F245=0,G245=0),"",H245/(F245*G245))</x:f>
      </x:c>
      <x:c r="M245" t="str">
        <x:f>IF(J245="","",J245/_xlfn.MAXIFS($J:$J,$D:$D,D245))</x:f>
      </x:c>
      <x:c r="N245" t="str">
        <x:f>IF(L245="","",L245/_xlfn.MAXIFS($L:$L,$D:$D,D245))</x:f>
      </x:c>
      <x:c r="O245" t="str">
        <x:f>IF(OR(M245="",N245=""),"",SQRT(M245*N245))</x:f>
      </x:c>
      <x:c r="P245" t="str">
        <x:f>IF(OR(M245="",N245=""),"",M245^0.7*N245^0.3)</x:f>
      </x:c>
      <x:c r="Q245" t="str">
        <x:f>IF(OR(M245="",N245=""),"",M245^0.3*N245^0.7)</x:f>
      </x:c>
    </x:row>
    <x:row r="246">
      <x:c r="A246" t="inlineStr">
        <x:is>
          <x:t xml:space="preserve">deepseek|deepseek-v4.1-flash|non-reasoning|nonreasoning|fallback-na</x:t>
        </x:is>
      </x:c>
      <x:c r="B246" t="inlineStr">
        <x:is>
          <x:t xml:space="preserve">AA|v4.3.2</x:t>
        </x:is>
      </x:c>
      <x:c r="C246" t="n">
        <x:v>32</x:v>
      </x:c>
      <x:c r="D246" t="n">
        <x:v>50</x:v>
      </x:c>
      <x:c r="E246" t="n">
        <x:f>INDEX(Model_TestVersion_Stats!$W:$W,C246)</x:f>
        <x:v>25</x:v>
      </x:c>
      <x:c r="F246" t="n">
        <x:f>INDEX(Model_TestVersion_Stats!$O:$O,C246)</x:f>
        <x:v>0.15</x:v>
      </x:c>
      <x:c r="G246" t="str">
        <x:f>IF(INDEX(Model_TestVersion_Stats!$R:$R,C246)="","",INDEX(Model_TestVersion_Stats!$R:$R,C246)/60)</x:f>
      </x:c>
      <x:c r="H246" t="n">
        <x:f>IF(E246="","",E246-(D246-1))</x:f>
        <x:v>-24</x:v>
      </x:c>
      <x:c r="I246" t="n">
        <x:f>IF(H246&gt;0,1,0)</x:f>
        <x:v>0</x:v>
      </x:c>
      <x:c r="J246" t="str">
        <x:f>IF(OR(I246=0,F246="",F246=0),"",H246/F246)</x:f>
      </x:c>
      <x:c r="K246" t="str">
        <x:f>IF(OR(I246=0,H246=0,F246=""),"",F246/H246)</x:f>
      </x:c>
      <x:c r="L246" t="str">
        <x:f>IF(OR(I246=0,F246="",G246="",F246=0,G246=0),"",H246/(F246*G246))</x:f>
      </x:c>
      <x:c r="M246" t="str">
        <x:f>IF(J246="","",J246/_xlfn.MAXIFS($J:$J,$D:$D,D246))</x:f>
      </x:c>
      <x:c r="N246" t="str">
        <x:f>IF(L246="","",L246/_xlfn.MAXIFS($L:$L,$D:$D,D246))</x:f>
      </x:c>
      <x:c r="O246" t="str">
        <x:f>IF(OR(M246="",N246=""),"",SQRT(M246*N246))</x:f>
      </x:c>
      <x:c r="P246" t="str">
        <x:f>IF(OR(M246="",N246=""),"",M246^0.7*N246^0.3)</x:f>
      </x:c>
      <x:c r="Q246" t="str">
        <x:f>IF(OR(M246="",N246=""),"",M246^0.3*N246^0.7)</x:f>
      </x:c>
    </x:row>
    <x:row r="247">
      <x:c r="A247" t="inlineStr">
        <x:is>
          <x:t xml:space="preserve">deepseek|deepseek-v4.1-flash|non-reasoning|nonreasoning|fallback-na</x:t>
        </x:is>
      </x:c>
      <x:c r="B247" t="inlineStr">
        <x:is>
          <x:t xml:space="preserve">AA|v4.3.2</x:t>
        </x:is>
      </x:c>
      <x:c r="C247" t="n">
        <x:v>32</x:v>
      </x:c>
      <x:c r="D247" t="n">
        <x:v>52</x:v>
      </x:c>
      <x:c r="E247" t="n">
        <x:f>INDEX(Model_TestVersion_Stats!$W:$W,C247)</x:f>
        <x:v>25</x:v>
      </x:c>
      <x:c r="F247" t="n">
        <x:f>INDEX(Model_TestVersion_Stats!$O:$O,C247)</x:f>
        <x:v>0.15</x:v>
      </x:c>
      <x:c r="G247" t="str">
        <x:f>IF(INDEX(Model_TestVersion_Stats!$R:$R,C247)="","",INDEX(Model_TestVersion_Stats!$R:$R,C247)/60)</x:f>
      </x:c>
      <x:c r="H247" t="n">
        <x:f>IF(E247="","",E247-(D247-1))</x:f>
        <x:v>-26</x:v>
      </x:c>
      <x:c r="I247" t="n">
        <x:f>IF(H247&gt;0,1,0)</x:f>
        <x:v>0</x:v>
      </x:c>
      <x:c r="J247" t="str">
        <x:f>IF(OR(I247=0,F247="",F247=0),"",H247/F247)</x:f>
      </x:c>
      <x:c r="K247" t="str">
        <x:f>IF(OR(I247=0,H247=0,F247=""),"",F247/H247)</x:f>
      </x:c>
      <x:c r="L247" t="str">
        <x:f>IF(OR(I247=0,F247="",G247="",F247=0,G247=0),"",H247/(F247*G247))</x:f>
      </x:c>
      <x:c r="M247" t="str">
        <x:f>IF(J247="","",J247/_xlfn.MAXIFS($J:$J,$D:$D,D247))</x:f>
      </x:c>
      <x:c r="N247" t="str">
        <x:f>IF(L247="","",L247/_xlfn.MAXIFS($L:$L,$D:$D,D247))</x:f>
      </x:c>
      <x:c r="O247" t="str">
        <x:f>IF(OR(M247="",N247=""),"",SQRT(M247*N247))</x:f>
      </x:c>
      <x:c r="P247" t="str">
        <x:f>IF(OR(M247="",N247=""),"",M247^0.7*N247^0.3)</x:f>
      </x:c>
      <x:c r="Q247" t="str">
        <x:f>IF(OR(M247="",N247=""),"",M247^0.3*N247^0.7)</x:f>
      </x:c>
    </x:row>
    <x:row r="248">
      <x:c r="A248" t="inlineStr">
        <x:is>
          <x:t xml:space="preserve">deepseek|deepseek-v4.1-flash|non-reasoning|nonreasoning|fallback-na</x:t>
        </x:is>
      </x:c>
      <x:c r="B248" t="inlineStr">
        <x:is>
          <x:t xml:space="preserve">AA|v4.3.2</x:t>
        </x:is>
      </x:c>
      <x:c r="C248" t="n">
        <x:v>32</x:v>
      </x:c>
      <x:c r="D248" t="n">
        <x:v>65</x:v>
      </x:c>
      <x:c r="E248" t="n">
        <x:f>INDEX(Model_TestVersion_Stats!$W:$W,C248)</x:f>
        <x:v>25</x:v>
      </x:c>
      <x:c r="F248" t="n">
        <x:f>INDEX(Model_TestVersion_Stats!$O:$O,C248)</x:f>
        <x:v>0.15</x:v>
      </x:c>
      <x:c r="G248" t="str">
        <x:f>IF(INDEX(Model_TestVersion_Stats!$R:$R,C248)="","",INDEX(Model_TestVersion_Stats!$R:$R,C248)/60)</x:f>
      </x:c>
      <x:c r="H248" t="n">
        <x:f>IF(E248="","",E248-(D248-1))</x:f>
        <x:v>-39</x:v>
      </x:c>
      <x:c r="I248" t="n">
        <x:f>IF(H248&gt;0,1,0)</x:f>
        <x:v>0</x:v>
      </x:c>
      <x:c r="J248" t="str">
        <x:f>IF(OR(I248=0,F248="",F248=0),"",H248/F248)</x:f>
      </x:c>
      <x:c r="K248" t="str">
        <x:f>IF(OR(I248=0,H248=0,F248=""),"",F248/H248)</x:f>
      </x:c>
      <x:c r="L248" t="str">
        <x:f>IF(OR(I248=0,F248="",G248="",F248=0,G248=0),"",H248/(F248*G248))</x:f>
      </x:c>
      <x:c r="M248" t="str">
        <x:f>IF(J248="","",J248/_xlfn.MAXIFS($J:$J,$D:$D,D248))</x:f>
      </x:c>
      <x:c r="N248" t="str">
        <x:f>IF(L248="","",L248/_xlfn.MAXIFS($L:$L,$D:$D,D248))</x:f>
      </x:c>
      <x:c r="O248" t="str">
        <x:f>IF(OR(M248="",N248=""),"",SQRT(M248*N248))</x:f>
      </x:c>
      <x:c r="P248" t="str">
        <x:f>IF(OR(M248="",N248=""),"",M248^0.7*N248^0.3)</x:f>
      </x:c>
      <x:c r="Q248" t="str">
        <x:f>IF(OR(M248="",N248=""),"",M248^0.3*N248^0.7)</x:f>
      </x:c>
    </x:row>
    <x:row r="249">
      <x:c r="A249" t="inlineStr">
        <x:is>
          <x:t xml:space="preserve">deepseek|deepseek-v4.1-flash|non-reasoning|nonreasoning|fallback-na</x:t>
        </x:is>
      </x:c>
      <x:c r="B249" t="inlineStr">
        <x:is>
          <x:t xml:space="preserve">AA|v4.3.2</x:t>
        </x:is>
      </x:c>
      <x:c r="C249" t="n">
        <x:v>32</x:v>
      </x:c>
      <x:c r="D249" t="n">
        <x:v>80</x:v>
      </x:c>
      <x:c r="E249" t="n">
        <x:f>INDEX(Model_TestVersion_Stats!$W:$W,C249)</x:f>
        <x:v>25</x:v>
      </x:c>
      <x:c r="F249" t="n">
        <x:f>INDEX(Model_TestVersion_Stats!$O:$O,C249)</x:f>
        <x:v>0.15</x:v>
      </x:c>
      <x:c r="G249" t="str">
        <x:f>IF(INDEX(Model_TestVersion_Stats!$R:$R,C249)="","",INDEX(Model_TestVersion_Stats!$R:$R,C249)/60)</x:f>
      </x:c>
      <x:c r="H249" t="n">
        <x:f>IF(E249="","",E249-(D249-1))</x:f>
        <x:v>-54</x:v>
      </x:c>
      <x:c r="I249" t="n">
        <x:f>IF(H249&gt;0,1,0)</x:f>
        <x:v>0</x:v>
      </x:c>
      <x:c r="J249" t="str">
        <x:f>IF(OR(I249=0,F249="",F249=0),"",H249/F249)</x:f>
      </x:c>
      <x:c r="K249" t="str">
        <x:f>IF(OR(I249=0,H249=0,F249=""),"",F249/H249)</x:f>
      </x:c>
      <x:c r="L249" t="str">
        <x:f>IF(OR(I249=0,F249="",G249="",F249=0,G249=0),"",H249/(F249*G249))</x:f>
      </x:c>
      <x:c r="M249" t="str">
        <x:f>IF(J249="","",J249/_xlfn.MAXIFS($J:$J,$D:$D,D249))</x:f>
      </x:c>
      <x:c r="N249" t="str">
        <x:f>IF(L249="","",L249/_xlfn.MAXIFS($L:$L,$D:$D,D249))</x:f>
      </x:c>
      <x:c r="O249" t="str">
        <x:f>IF(OR(M249="",N249=""),"",SQRT(M249*N249))</x:f>
      </x:c>
      <x:c r="P249" t="str">
        <x:f>IF(OR(M249="",N249=""),"",M249^0.7*N249^0.3)</x:f>
      </x:c>
      <x:c r="Q249" t="str">
        <x:f>IF(OR(M249="",N249=""),"",M249^0.3*N249^0.7)</x:f>
      </x:c>
    </x:row>
    <x:row r="250">
      <x:c r="A250" t="inlineStr">
        <x:is>
          <x:t xml:space="preserve">google|gemini-3.8-flash|high|reasoning|fallback-na</x:t>
        </x:is>
      </x:c>
      <x:c r="B250" t="inlineStr">
        <x:is>
          <x:t xml:space="preserve">AA|v4.3.2</x:t>
        </x:is>
      </x:c>
      <x:c r="C250" t="n">
        <x:v>33</x:v>
      </x:c>
      <x:c r="D250" t="n">
        <x:v>20</x:v>
      </x:c>
      <x:c r="E250" t="n">
        <x:f>INDEX(Model_TestVersion_Stats!$W:$W,C250)</x:f>
        <x:v>41</x:v>
      </x:c>
      <x:c r="F250" t="n">
        <x:f>INDEX(Model_TestVersion_Stats!$O:$O,C250)</x:f>
        <x:v>1.24</x:v>
      </x:c>
      <x:c r="G250" t="n">
        <x:f>IF(INDEX(Model_TestVersion_Stats!$R:$R,C250)="","",INDEX(Model_TestVersion_Stats!$R:$R,C250)/60)</x:f>
        <x:v>5.87726741120114</x:v>
      </x:c>
      <x:c r="H250" t="n">
        <x:f>IF(E250="","",E250-(D250-1))</x:f>
        <x:v>22</x:v>
      </x:c>
      <x:c r="I250" t="n">
        <x:f>IF(H250&gt;0,1,0)</x:f>
        <x:v>1</x:v>
      </x:c>
      <x:c r="J250" t="n">
        <x:f>IF(OR(I250=0,F250="",F250=0),"",H250/F250)</x:f>
        <x:v>17.741935483870968</x:v>
      </x:c>
      <x:c r="K250" t="n">
        <x:f>IF(OR(I250=0,H250=0,F250=""),"",F250/H250)</x:f>
        <x:v>0.056363636363636366</x:v>
      </x:c>
      <x:c r="L250" t="n">
        <x:f>IF(OR(I250=0,F250="",G250="",F250=0,G250=0),"",H250/(F250*G250))</x:f>
        <x:v>3.0187388530352814</x:v>
      </x:c>
      <x:c r="M250" t="n">
        <x:f>IF(J250="","",J250/_xlfn.MAXIFS($J:$J,$D:$D,D250))</x:f>
        <x:v>0.03193548387096774</x:v>
      </x:c>
      <x:c r="N250" t="n">
        <x:f>IF(L250="","",L250/_xlfn.MAXIFS($L:$L,$D:$D,D250))</x:f>
        <x:v>0.0012796433998016558</x:v>
      </x:c>
      <x:c r="O250" t="n">
        <x:f>IF(OR(M250="",N250=""),"",SQRT(M250*N250))</x:f>
        <x:v>0.006392654468603484</x:v>
      </x:c>
      <x:c r="P250" t="n">
        <x:f>IF(OR(M250="",N250=""),"",M250^0.7*N250^0.3)</x:f>
        <x:v>0.012165168782986307</x:v>
      </x:c>
      <x:c r="Q250" t="n">
        <x:f>IF(OR(M250="",N250=""),"",M250^0.3*N250^0.7)</x:f>
        <x:v>0.003359265447439549</x:v>
      </x:c>
    </x:row>
    <x:row r="251">
      <x:c r="A251" t="inlineStr">
        <x:is>
          <x:t xml:space="preserve">google|gemini-3.8-flash|high|reasoning|fallback-na</x:t>
        </x:is>
      </x:c>
      <x:c r="B251" t="inlineStr">
        <x:is>
          <x:t xml:space="preserve">AA|v4.3.2</x:t>
        </x:is>
      </x:c>
      <x:c r="C251" t="n">
        <x:v>33</x:v>
      </x:c>
      <x:c r="D251" t="n">
        <x:v>30</x:v>
      </x:c>
      <x:c r="E251" t="n">
        <x:f>INDEX(Model_TestVersion_Stats!$W:$W,C251)</x:f>
        <x:v>41</x:v>
      </x:c>
      <x:c r="F251" t="n">
        <x:f>INDEX(Model_TestVersion_Stats!$O:$O,C251)</x:f>
        <x:v>1.24</x:v>
      </x:c>
      <x:c r="G251" t="n">
        <x:f>IF(INDEX(Model_TestVersion_Stats!$R:$R,C251)="","",INDEX(Model_TestVersion_Stats!$R:$R,C251)/60)</x:f>
        <x:v>5.87726741120114</x:v>
      </x:c>
      <x:c r="H251" t="n">
        <x:f>IF(E251="","",E251-(D251-1))</x:f>
        <x:v>12</x:v>
      </x:c>
      <x:c r="I251" t="n">
        <x:f>IF(H251&gt;0,1,0)</x:f>
        <x:v>1</x:v>
      </x:c>
      <x:c r="J251" t="n">
        <x:f>IF(OR(I251=0,F251="",F251=0),"",H251/F251)</x:f>
        <x:v>9.67741935483871</x:v>
      </x:c>
      <x:c r="K251" t="n">
        <x:f>IF(OR(I251=0,H251=0,F251=""),"",F251/H251)</x:f>
        <x:v>0.10333333333333333</x:v>
      </x:c>
      <x:c r="L251" t="n">
        <x:f>IF(OR(I251=0,F251="",G251="",F251=0,G251=0),"",H251/(F251*G251))</x:f>
        <x:v>1.6465848289283354</x:v>
      </x:c>
      <x:c r="M251" t="n">
        <x:f>IF(J251="","",J251/_xlfn.MAXIFS($J:$J,$D:$D,D251))</x:f>
        <x:v>0.06451612903225806</x:v>
      </x:c>
      <x:c r="N251" t="n">
        <x:f>IF(L251="","",L251/_xlfn.MAXIFS($L:$L,$D:$D,D251))</x:f>
        <x:v>0.029304270200437587</x:v>
      </x:c>
      <x:c r="O251" t="n">
        <x:f>IF(OR(M251="",N251=""),"",SQRT(M251*N251))</x:f>
        <x:v>0.043481008238627425</x:v>
      </x:c>
      <x:c r="P251" t="n">
        <x:f>IF(OR(M251="",N251=""),"",M251^0.7*N251^0.3)</x:f>
        <x:v>0.050915156651754126</x:v>
      </x:c>
      <x:c r="Q251" t="n">
        <x:f>IF(OR(M251="",N251=""),"",M251^0.3*N251^0.7)</x:f>
        <x:v>0.037132323688577946</x:v>
      </x:c>
    </x:row>
    <x:row r="252">
      <x:c r="A252" t="inlineStr">
        <x:is>
          <x:t xml:space="preserve">google|gemini-3.8-flash|high|reasoning|fallback-na</x:t>
        </x:is>
      </x:c>
      <x:c r="B252" t="inlineStr">
        <x:is>
          <x:t xml:space="preserve">AA|v4.3.2</x:t>
        </x:is>
      </x:c>
      <x:c r="C252" t="n">
        <x:v>33</x:v>
      </x:c>
      <x:c r="D252" t="n">
        <x:v>40</x:v>
      </x:c>
      <x:c r="E252" t="n">
        <x:f>INDEX(Model_TestVersion_Stats!$W:$W,C252)</x:f>
        <x:v>41</x:v>
      </x:c>
      <x:c r="F252" t="n">
        <x:f>INDEX(Model_TestVersion_Stats!$O:$O,C252)</x:f>
        <x:v>1.24</x:v>
      </x:c>
      <x:c r="G252" t="n">
        <x:f>IF(INDEX(Model_TestVersion_Stats!$R:$R,C252)="","",INDEX(Model_TestVersion_Stats!$R:$R,C252)/60)</x:f>
        <x:v>5.87726741120114</x:v>
      </x:c>
      <x:c r="H252" t="n">
        <x:f>IF(E252="","",E252-(D252-1))</x:f>
        <x:v>2</x:v>
      </x:c>
      <x:c r="I252" t="n">
        <x:f>IF(H252&gt;0,1,0)</x:f>
        <x:v>1</x:v>
      </x:c>
      <x:c r="J252" t="n">
        <x:f>IF(OR(I252=0,F252="",F252=0),"",H252/F252)</x:f>
        <x:v>1.6129032258064517</x:v>
      </x:c>
      <x:c r="K252" t="n">
        <x:f>IF(OR(I252=0,H252=0,F252=""),"",F252/H252)</x:f>
        <x:v>0.62</x:v>
      </x:c>
      <x:c r="L252" t="n">
        <x:f>IF(OR(I252=0,F252="",G252="",F252=0,G252=0),"",H252/(F252*G252))</x:f>
        <x:v>0.27443080482138926</x:v>
      </x:c>
      <x:c r="M252" t="n">
        <x:f>IF(J252="","",J252/_xlfn.MAXIFS($J:$J,$D:$D,D252))</x:f>
        <x:v>0.029953917050691246</x:v>
      </x:c>
      <x:c r="N252" t="n">
        <x:f>IF(L252="","",L252/_xlfn.MAXIFS($L:$L,$D:$D,D252))</x:f>
        <x:v>0.045537087532026885</x:v>
      </x:c>
      <x:c r="O252" t="n">
        <x:f>IF(OR(M252="",N252=""),"",SQRT(M252*N252))</x:f>
        <x:v>0.03693256209179645</x:v>
      </x:c>
      <x:c r="P252" t="n">
        <x:f>IF(OR(M252="",N252=""),"",M252^0.7*N252^0.3)</x:f>
        <x:v>0.033964647457208445</x:v>
      </x:c>
      <x:c r="Q252" t="n">
        <x:f>IF(OR(M252="",N252=""),"",M252^0.3*N252^0.7)</x:f>
        <x:v>0.04015982042454295</x:v>
      </x:c>
    </x:row>
    <x:row r="253">
      <x:c r="A253" t="inlineStr">
        <x:is>
          <x:t xml:space="preserve">google|gemini-3.8-flash|high|reasoning|fallback-na</x:t>
        </x:is>
      </x:c>
      <x:c r="B253" t="inlineStr">
        <x:is>
          <x:t xml:space="preserve">AA|v4.3.2</x:t>
        </x:is>
      </x:c>
      <x:c r="C253" t="n">
        <x:v>33</x:v>
      </x:c>
      <x:c r="D253" t="n">
        <x:v>45</x:v>
      </x:c>
      <x:c r="E253" t="n">
        <x:f>INDEX(Model_TestVersion_Stats!$W:$W,C253)</x:f>
        <x:v>41</x:v>
      </x:c>
      <x:c r="F253" t="n">
        <x:f>INDEX(Model_TestVersion_Stats!$O:$O,C253)</x:f>
        <x:v>1.24</x:v>
      </x:c>
      <x:c r="G253" t="n">
        <x:f>IF(INDEX(Model_TestVersion_Stats!$R:$R,C253)="","",INDEX(Model_TestVersion_Stats!$R:$R,C253)/60)</x:f>
        <x:v>5.87726741120114</x:v>
      </x:c>
      <x:c r="H253" t="n">
        <x:f>IF(E253="","",E253-(D253-1))</x:f>
        <x:v>-3</x:v>
      </x:c>
      <x:c r="I253" t="n">
        <x:f>IF(H253&gt;0,1,0)</x:f>
        <x:v>0</x:v>
      </x:c>
      <x:c r="J253" t="str">
        <x:f>IF(OR(I253=0,F253="",F253=0),"",H253/F253)</x:f>
      </x:c>
      <x:c r="K253" t="str">
        <x:f>IF(OR(I253=0,H253=0,F253=""),"",F253/H253)</x:f>
      </x:c>
      <x:c r="L253" t="str">
        <x:f>IF(OR(I253=0,F253="",G253="",F253=0,G253=0),"",H253/(F253*G253))</x:f>
      </x:c>
      <x:c r="M253" t="str">
        <x:f>IF(J253="","",J253/_xlfn.MAXIFS($J:$J,$D:$D,D253))</x:f>
      </x:c>
      <x:c r="N253" t="str">
        <x:f>IF(L253="","",L253/_xlfn.MAXIFS($L:$L,$D:$D,D253))</x:f>
      </x:c>
      <x:c r="O253" t="str">
        <x:f>IF(OR(M253="",N253=""),"",SQRT(M253*N253))</x:f>
      </x:c>
      <x:c r="P253" t="str">
        <x:f>IF(OR(M253="",N253=""),"",M253^0.7*N253^0.3)</x:f>
      </x:c>
      <x:c r="Q253" t="str">
        <x:f>IF(OR(M253="",N253=""),"",M253^0.3*N253^0.7)</x:f>
      </x:c>
    </x:row>
    <x:row r="254">
      <x:c r="A254" t="inlineStr">
        <x:is>
          <x:t xml:space="preserve">google|gemini-3.8-flash|high|reasoning|fallback-na</x:t>
        </x:is>
      </x:c>
      <x:c r="B254" t="inlineStr">
        <x:is>
          <x:t xml:space="preserve">AA|v4.3.2</x:t>
        </x:is>
      </x:c>
      <x:c r="C254" t="n">
        <x:v>33</x:v>
      </x:c>
      <x:c r="D254" t="n">
        <x:v>50</x:v>
      </x:c>
      <x:c r="E254" t="n">
        <x:f>INDEX(Model_TestVersion_Stats!$W:$W,C254)</x:f>
        <x:v>41</x:v>
      </x:c>
      <x:c r="F254" t="n">
        <x:f>INDEX(Model_TestVersion_Stats!$O:$O,C254)</x:f>
        <x:v>1.24</x:v>
      </x:c>
      <x:c r="G254" t="n">
        <x:f>IF(INDEX(Model_TestVersion_Stats!$R:$R,C254)="","",INDEX(Model_TestVersion_Stats!$R:$R,C254)/60)</x:f>
        <x:v>5.87726741120114</x:v>
      </x:c>
      <x:c r="H254" t="n">
        <x:f>IF(E254="","",E254-(D254-1))</x:f>
        <x:v>-8</x:v>
      </x:c>
      <x:c r="I254" t="n">
        <x:f>IF(H254&gt;0,1,0)</x:f>
        <x:v>0</x:v>
      </x:c>
      <x:c r="J254" t="str">
        <x:f>IF(OR(I254=0,F254="",F254=0),"",H254/F254)</x:f>
      </x:c>
      <x:c r="K254" t="str">
        <x:f>IF(OR(I254=0,H254=0,F254=""),"",F254/H254)</x:f>
      </x:c>
      <x:c r="L254" t="str">
        <x:f>IF(OR(I254=0,F254="",G254="",F254=0,G254=0),"",H254/(F254*G254))</x:f>
      </x:c>
      <x:c r="M254" t="str">
        <x:f>IF(J254="","",J254/_xlfn.MAXIFS($J:$J,$D:$D,D254))</x:f>
      </x:c>
      <x:c r="N254" t="str">
        <x:f>IF(L254="","",L254/_xlfn.MAXIFS($L:$L,$D:$D,D254))</x:f>
      </x:c>
      <x:c r="O254" t="str">
        <x:f>IF(OR(M254="",N254=""),"",SQRT(M254*N254))</x:f>
      </x:c>
      <x:c r="P254" t="str">
        <x:f>IF(OR(M254="",N254=""),"",M254^0.7*N254^0.3)</x:f>
      </x:c>
      <x:c r="Q254" t="str">
        <x:f>IF(OR(M254="",N254=""),"",M254^0.3*N254^0.7)</x:f>
      </x:c>
    </x:row>
    <x:row r="255">
      <x:c r="A255" t="inlineStr">
        <x:is>
          <x:t xml:space="preserve">google|gemini-3.8-flash|high|reasoning|fallback-na</x:t>
        </x:is>
      </x:c>
      <x:c r="B255" t="inlineStr">
        <x:is>
          <x:t xml:space="preserve">AA|v4.3.2</x:t>
        </x:is>
      </x:c>
      <x:c r="C255" t="n">
        <x:v>33</x:v>
      </x:c>
      <x:c r="D255" t="n">
        <x:v>52</x:v>
      </x:c>
      <x:c r="E255" t="n">
        <x:f>INDEX(Model_TestVersion_Stats!$W:$W,C255)</x:f>
        <x:v>41</x:v>
      </x:c>
      <x:c r="F255" t="n">
        <x:f>INDEX(Model_TestVersion_Stats!$O:$O,C255)</x:f>
        <x:v>1.24</x:v>
      </x:c>
      <x:c r="G255" t="n">
        <x:f>IF(INDEX(Model_TestVersion_Stats!$R:$R,C255)="","",INDEX(Model_TestVersion_Stats!$R:$R,C255)/60)</x:f>
        <x:v>5.87726741120114</x:v>
      </x:c>
      <x:c r="H255" t="n">
        <x:f>IF(E255="","",E255-(D255-1))</x:f>
        <x:v>-10</x:v>
      </x:c>
      <x:c r="I255" t="n">
        <x:f>IF(H255&gt;0,1,0)</x:f>
        <x:v>0</x:v>
      </x:c>
      <x:c r="J255" t="str">
        <x:f>IF(OR(I255=0,F255="",F255=0),"",H255/F255)</x:f>
      </x:c>
      <x:c r="K255" t="str">
        <x:f>IF(OR(I255=0,H255=0,F255=""),"",F255/H255)</x:f>
      </x:c>
      <x:c r="L255" t="str">
        <x:f>IF(OR(I255=0,F255="",G255="",F255=0,G255=0),"",H255/(F255*G255))</x:f>
      </x:c>
      <x:c r="M255" t="str">
        <x:f>IF(J255="","",J255/_xlfn.MAXIFS($J:$J,$D:$D,D255))</x:f>
      </x:c>
      <x:c r="N255" t="str">
        <x:f>IF(L255="","",L255/_xlfn.MAXIFS($L:$L,$D:$D,D255))</x:f>
      </x:c>
      <x:c r="O255" t="str">
        <x:f>IF(OR(M255="",N255=""),"",SQRT(M255*N255))</x:f>
      </x:c>
      <x:c r="P255" t="str">
        <x:f>IF(OR(M255="",N255=""),"",M255^0.7*N255^0.3)</x:f>
      </x:c>
      <x:c r="Q255" t="str">
        <x:f>IF(OR(M255="",N255=""),"",M255^0.3*N255^0.7)</x:f>
      </x:c>
    </x:row>
    <x:row r="256">
      <x:c r="A256" t="inlineStr">
        <x:is>
          <x:t xml:space="preserve">google|gemini-3.8-flash|high|reasoning|fallback-na</x:t>
        </x:is>
      </x:c>
      <x:c r="B256" t="inlineStr">
        <x:is>
          <x:t xml:space="preserve">AA|v4.3.2</x:t>
        </x:is>
      </x:c>
      <x:c r="C256" t="n">
        <x:v>33</x:v>
      </x:c>
      <x:c r="D256" t="n">
        <x:v>65</x:v>
      </x:c>
      <x:c r="E256" t="n">
        <x:f>INDEX(Model_TestVersion_Stats!$W:$W,C256)</x:f>
        <x:v>41</x:v>
      </x:c>
      <x:c r="F256" t="n">
        <x:f>INDEX(Model_TestVersion_Stats!$O:$O,C256)</x:f>
        <x:v>1.24</x:v>
      </x:c>
      <x:c r="G256" t="n">
        <x:f>IF(INDEX(Model_TestVersion_Stats!$R:$R,C256)="","",INDEX(Model_TestVersion_Stats!$R:$R,C256)/60)</x:f>
        <x:v>5.87726741120114</x:v>
      </x:c>
      <x:c r="H256" t="n">
        <x:f>IF(E256="","",E256-(D256-1))</x:f>
        <x:v>-23</x:v>
      </x:c>
      <x:c r="I256" t="n">
        <x:f>IF(H256&gt;0,1,0)</x:f>
        <x:v>0</x:v>
      </x:c>
      <x:c r="J256" t="str">
        <x:f>IF(OR(I256=0,F256="",F256=0),"",H256/F256)</x:f>
      </x:c>
      <x:c r="K256" t="str">
        <x:f>IF(OR(I256=0,H256=0,F256=""),"",F256/H256)</x:f>
      </x:c>
      <x:c r="L256" t="str">
        <x:f>IF(OR(I256=0,F256="",G256="",F256=0,G256=0),"",H256/(F256*G256))</x:f>
      </x:c>
      <x:c r="M256" t="str">
        <x:f>IF(J256="","",J256/_xlfn.MAXIFS($J:$J,$D:$D,D256))</x:f>
      </x:c>
      <x:c r="N256" t="str">
        <x:f>IF(L256="","",L256/_xlfn.MAXIFS($L:$L,$D:$D,D256))</x:f>
      </x:c>
      <x:c r="O256" t="str">
        <x:f>IF(OR(M256="",N256=""),"",SQRT(M256*N256))</x:f>
      </x:c>
      <x:c r="P256" t="str">
        <x:f>IF(OR(M256="",N256=""),"",M256^0.7*N256^0.3)</x:f>
      </x:c>
      <x:c r="Q256" t="str">
        <x:f>IF(OR(M256="",N256=""),"",M256^0.3*N256^0.7)</x:f>
      </x:c>
    </x:row>
    <x:row r="257">
      <x:c r="A257" t="inlineStr">
        <x:is>
          <x:t xml:space="preserve">google|gemini-3.8-flash|high|reasoning|fallback-na</x:t>
        </x:is>
      </x:c>
      <x:c r="B257" t="inlineStr">
        <x:is>
          <x:t xml:space="preserve">AA|v4.3.2</x:t>
        </x:is>
      </x:c>
      <x:c r="C257" t="n">
        <x:v>33</x:v>
      </x:c>
      <x:c r="D257" t="n">
        <x:v>80</x:v>
      </x:c>
      <x:c r="E257" t="n">
        <x:f>INDEX(Model_TestVersion_Stats!$W:$W,C257)</x:f>
        <x:v>41</x:v>
      </x:c>
      <x:c r="F257" t="n">
        <x:f>INDEX(Model_TestVersion_Stats!$O:$O,C257)</x:f>
        <x:v>1.24</x:v>
      </x:c>
      <x:c r="G257" t="n">
        <x:f>IF(INDEX(Model_TestVersion_Stats!$R:$R,C257)="","",INDEX(Model_TestVersion_Stats!$R:$R,C257)/60)</x:f>
        <x:v>5.87726741120114</x:v>
      </x:c>
      <x:c r="H257" t="n">
        <x:f>IF(E257="","",E257-(D257-1))</x:f>
        <x:v>-38</x:v>
      </x:c>
      <x:c r="I257" t="n">
        <x:f>IF(H257&gt;0,1,0)</x:f>
        <x:v>0</x:v>
      </x:c>
      <x:c r="J257" t="str">
        <x:f>IF(OR(I257=0,F257="",F257=0),"",H257/F257)</x:f>
      </x:c>
      <x:c r="K257" t="str">
        <x:f>IF(OR(I257=0,H257=0,F257=""),"",F257/H257)</x:f>
      </x:c>
      <x:c r="L257" t="str">
        <x:f>IF(OR(I257=0,F257="",G257="",F257=0,G257=0),"",H257/(F257*G257))</x:f>
      </x:c>
      <x:c r="M257" t="str">
        <x:f>IF(J257="","",J257/_xlfn.MAXIFS($J:$J,$D:$D,D257))</x:f>
      </x:c>
      <x:c r="N257" t="str">
        <x:f>IF(L257="","",L257/_xlfn.MAXIFS($L:$L,$D:$D,D257))</x:f>
      </x:c>
      <x:c r="O257" t="str">
        <x:f>IF(OR(M257="",N257=""),"",SQRT(M257*N257))</x:f>
      </x:c>
      <x:c r="P257" t="str">
        <x:f>IF(OR(M257="",N257=""),"",M257^0.7*N257^0.3)</x:f>
      </x:c>
      <x:c r="Q257" t="str">
        <x:f>IF(OR(M257="",N257=""),"",M257^0.3*N257^0.7)</x:f>
      </x:c>
    </x:row>
    <x:row r="258">
      <x:c r="A258" t="inlineStr">
        <x:is>
          <x:t xml:space="preserve">google|gemini-3.8-flash|low|reasoning|fallback-na</x:t>
        </x:is>
      </x:c>
      <x:c r="B258" t="inlineStr">
        <x:is>
          <x:t xml:space="preserve">AA|v4.3.2</x:t>
        </x:is>
      </x:c>
      <x:c r="C258" t="n">
        <x:v>34</x:v>
      </x:c>
      <x:c r="D258" t="n">
        <x:v>20</x:v>
      </x:c>
      <x:c r="E258" t="n">
        <x:f>INDEX(Model_TestVersion_Stats!$W:$W,C258)</x:f>
        <x:v>33</x:v>
      </x:c>
      <x:c r="F258" t="str">
        <x:f>INDEX(Model_TestVersion_Stats!$O:$O,C258)</x:f>
      </x:c>
      <x:c r="G258" t="str">
        <x:f>IF(INDEX(Model_TestVersion_Stats!$R:$R,C258)="","",INDEX(Model_TestVersion_Stats!$R:$R,C258)/60)</x:f>
      </x:c>
      <x:c r="H258" t="n">
        <x:f>IF(E258="","",E258-(D258-1))</x:f>
        <x:v>14</x:v>
      </x:c>
      <x:c r="I258" t="n">
        <x:f>IF(H258&gt;0,1,0)</x:f>
        <x:v>1</x:v>
      </x:c>
      <x:c r="J258" t="str">
        <x:f>IF(OR(I258=0,F258="",F258=0),"",H258/F258)</x:f>
      </x:c>
      <x:c r="K258" t="str">
        <x:f>IF(OR(I258=0,H258=0,F258=""),"",F258/H258)</x:f>
      </x:c>
      <x:c r="L258" t="str">
        <x:f>IF(OR(I258=0,F258="",G258="",F258=0,G258=0),"",H258/(F258*G258))</x:f>
      </x:c>
      <x:c r="M258" t="str">
        <x:f>IF(J258="","",J258/_xlfn.MAXIFS($J:$J,$D:$D,D258))</x:f>
      </x:c>
      <x:c r="N258" t="str">
        <x:f>IF(L258="","",L258/_xlfn.MAXIFS($L:$L,$D:$D,D258))</x:f>
      </x:c>
      <x:c r="O258" t="str">
        <x:f>IF(OR(M258="",N258=""),"",SQRT(M258*N258))</x:f>
      </x:c>
      <x:c r="P258" t="str">
        <x:f>IF(OR(M258="",N258=""),"",M258^0.7*N258^0.3)</x:f>
      </x:c>
      <x:c r="Q258" t="str">
        <x:f>IF(OR(M258="",N258=""),"",M258^0.3*N258^0.7)</x:f>
      </x:c>
    </x:row>
    <x:row r="259">
      <x:c r="A259" t="inlineStr">
        <x:is>
          <x:t xml:space="preserve">google|gemini-3.8-flash|low|reasoning|fallback-na</x:t>
        </x:is>
      </x:c>
      <x:c r="B259" t="inlineStr">
        <x:is>
          <x:t xml:space="preserve">AA|v4.3.2</x:t>
        </x:is>
      </x:c>
      <x:c r="C259" t="n">
        <x:v>34</x:v>
      </x:c>
      <x:c r="D259" t="n">
        <x:v>30</x:v>
      </x:c>
      <x:c r="E259" t="n">
        <x:f>INDEX(Model_TestVersion_Stats!$W:$W,C259)</x:f>
        <x:v>33</x:v>
      </x:c>
      <x:c r="F259" t="str">
        <x:f>INDEX(Model_TestVersion_Stats!$O:$O,C259)</x:f>
      </x:c>
      <x:c r="G259" t="str">
        <x:f>IF(INDEX(Model_TestVersion_Stats!$R:$R,C259)="","",INDEX(Model_TestVersion_Stats!$R:$R,C259)/60)</x:f>
      </x:c>
      <x:c r="H259" t="n">
        <x:f>IF(E259="","",E259-(D259-1))</x:f>
        <x:v>4</x:v>
      </x:c>
      <x:c r="I259" t="n">
        <x:f>IF(H259&gt;0,1,0)</x:f>
        <x:v>1</x:v>
      </x:c>
      <x:c r="J259" t="str">
        <x:f>IF(OR(I259=0,F259="",F259=0),"",H259/F259)</x:f>
      </x:c>
      <x:c r="K259" t="str">
        <x:f>IF(OR(I259=0,H259=0,F259=""),"",F259/H259)</x:f>
      </x:c>
      <x:c r="L259" t="str">
        <x:f>IF(OR(I259=0,F259="",G259="",F259=0,G259=0),"",H259/(F259*G259))</x:f>
      </x:c>
      <x:c r="M259" t="str">
        <x:f>IF(J259="","",J259/_xlfn.MAXIFS($J:$J,$D:$D,D259))</x:f>
      </x:c>
      <x:c r="N259" t="str">
        <x:f>IF(L259="","",L259/_xlfn.MAXIFS($L:$L,$D:$D,D259))</x:f>
      </x:c>
      <x:c r="O259" t="str">
        <x:f>IF(OR(M259="",N259=""),"",SQRT(M259*N259))</x:f>
      </x:c>
      <x:c r="P259" t="str">
        <x:f>IF(OR(M259="",N259=""),"",M259^0.7*N259^0.3)</x:f>
      </x:c>
      <x:c r="Q259" t="str">
        <x:f>IF(OR(M259="",N259=""),"",M259^0.3*N259^0.7)</x:f>
      </x:c>
    </x:row>
    <x:row r="260">
      <x:c r="A260" t="inlineStr">
        <x:is>
          <x:t xml:space="preserve">google|gemini-3.8-flash|low|reasoning|fallback-na</x:t>
        </x:is>
      </x:c>
      <x:c r="B260" t="inlineStr">
        <x:is>
          <x:t xml:space="preserve">AA|v4.3.2</x:t>
        </x:is>
      </x:c>
      <x:c r="C260" t="n">
        <x:v>34</x:v>
      </x:c>
      <x:c r="D260" t="n">
        <x:v>40</x:v>
      </x:c>
      <x:c r="E260" t="n">
        <x:f>INDEX(Model_TestVersion_Stats!$W:$W,C260)</x:f>
        <x:v>33</x:v>
      </x:c>
      <x:c r="F260" t="str">
        <x:f>INDEX(Model_TestVersion_Stats!$O:$O,C260)</x:f>
      </x:c>
      <x:c r="G260" t="str">
        <x:f>IF(INDEX(Model_TestVersion_Stats!$R:$R,C260)="","",INDEX(Model_TestVersion_Stats!$R:$R,C260)/60)</x:f>
      </x:c>
      <x:c r="H260" t="n">
        <x:f>IF(E260="","",E260-(D260-1))</x:f>
        <x:v>-6</x:v>
      </x:c>
      <x:c r="I260" t="n">
        <x:f>IF(H260&gt;0,1,0)</x:f>
        <x:v>0</x:v>
      </x:c>
      <x:c r="J260" t="str">
        <x:f>IF(OR(I260=0,F260="",F260=0),"",H260/F260)</x:f>
      </x:c>
      <x:c r="K260" t="str">
        <x:f>IF(OR(I260=0,H260=0,F260=""),"",F260/H260)</x:f>
      </x:c>
      <x:c r="L260" t="str">
        <x:f>IF(OR(I260=0,F260="",G260="",F260=0,G260=0),"",H260/(F260*G260))</x:f>
      </x:c>
      <x:c r="M260" t="str">
        <x:f>IF(J260="","",J260/_xlfn.MAXIFS($J:$J,$D:$D,D260))</x:f>
      </x:c>
      <x:c r="N260" t="str">
        <x:f>IF(L260="","",L260/_xlfn.MAXIFS($L:$L,$D:$D,D260))</x:f>
      </x:c>
      <x:c r="O260" t="str">
        <x:f>IF(OR(M260="",N260=""),"",SQRT(M260*N260))</x:f>
      </x:c>
      <x:c r="P260" t="str">
        <x:f>IF(OR(M260="",N260=""),"",M260^0.7*N260^0.3)</x:f>
      </x:c>
      <x:c r="Q260" t="str">
        <x:f>IF(OR(M260="",N260=""),"",M260^0.3*N260^0.7)</x:f>
      </x:c>
    </x:row>
    <x:row r="261">
      <x:c r="A261" t="inlineStr">
        <x:is>
          <x:t xml:space="preserve">google|gemini-3.8-flash|low|reasoning|fallback-na</x:t>
        </x:is>
      </x:c>
      <x:c r="B261" t="inlineStr">
        <x:is>
          <x:t xml:space="preserve">AA|v4.3.2</x:t>
        </x:is>
      </x:c>
      <x:c r="C261" t="n">
        <x:v>34</x:v>
      </x:c>
      <x:c r="D261" t="n">
        <x:v>45</x:v>
      </x:c>
      <x:c r="E261" t="n">
        <x:f>INDEX(Model_TestVersion_Stats!$W:$W,C261)</x:f>
        <x:v>33</x:v>
      </x:c>
      <x:c r="F261" t="str">
        <x:f>INDEX(Model_TestVersion_Stats!$O:$O,C261)</x:f>
      </x:c>
      <x:c r="G261" t="str">
        <x:f>IF(INDEX(Model_TestVersion_Stats!$R:$R,C261)="","",INDEX(Model_TestVersion_Stats!$R:$R,C261)/60)</x:f>
      </x:c>
      <x:c r="H261" t="n">
        <x:f>IF(E261="","",E261-(D261-1))</x:f>
        <x:v>-11</x:v>
      </x:c>
      <x:c r="I261" t="n">
        <x:f>IF(H261&gt;0,1,0)</x:f>
        <x:v>0</x:v>
      </x:c>
      <x:c r="J261" t="str">
        <x:f>IF(OR(I261=0,F261="",F261=0),"",H261/F261)</x:f>
      </x:c>
      <x:c r="K261" t="str">
        <x:f>IF(OR(I261=0,H261=0,F261=""),"",F261/H261)</x:f>
      </x:c>
      <x:c r="L261" t="str">
        <x:f>IF(OR(I261=0,F261="",G261="",F261=0,G261=0),"",H261/(F261*G261))</x:f>
      </x:c>
      <x:c r="M261" t="str">
        <x:f>IF(J261="","",J261/_xlfn.MAXIFS($J:$J,$D:$D,D261))</x:f>
      </x:c>
      <x:c r="N261" t="str">
        <x:f>IF(L261="","",L261/_xlfn.MAXIFS($L:$L,$D:$D,D261))</x:f>
      </x:c>
      <x:c r="O261" t="str">
        <x:f>IF(OR(M261="",N261=""),"",SQRT(M261*N261))</x:f>
      </x:c>
      <x:c r="P261" t="str">
        <x:f>IF(OR(M261="",N261=""),"",M261^0.7*N261^0.3)</x:f>
      </x:c>
      <x:c r="Q261" t="str">
        <x:f>IF(OR(M261="",N261=""),"",M261^0.3*N261^0.7)</x:f>
      </x:c>
    </x:row>
    <x:row r="262">
      <x:c r="A262" t="inlineStr">
        <x:is>
          <x:t xml:space="preserve">google|gemini-3.8-flash|low|reasoning|fallback-na</x:t>
        </x:is>
      </x:c>
      <x:c r="B262" t="inlineStr">
        <x:is>
          <x:t xml:space="preserve">AA|v4.3.2</x:t>
        </x:is>
      </x:c>
      <x:c r="C262" t="n">
        <x:v>34</x:v>
      </x:c>
      <x:c r="D262" t="n">
        <x:v>50</x:v>
      </x:c>
      <x:c r="E262" t="n">
        <x:f>INDEX(Model_TestVersion_Stats!$W:$W,C262)</x:f>
        <x:v>33</x:v>
      </x:c>
      <x:c r="F262" t="str">
        <x:f>INDEX(Model_TestVersion_Stats!$O:$O,C262)</x:f>
      </x:c>
      <x:c r="G262" t="str">
        <x:f>IF(INDEX(Model_TestVersion_Stats!$R:$R,C262)="","",INDEX(Model_TestVersion_Stats!$R:$R,C262)/60)</x:f>
      </x:c>
      <x:c r="H262" t="n">
        <x:f>IF(E262="","",E262-(D262-1))</x:f>
        <x:v>-16</x:v>
      </x:c>
      <x:c r="I262" t="n">
        <x:f>IF(H262&gt;0,1,0)</x:f>
        <x:v>0</x:v>
      </x:c>
      <x:c r="J262" t="str">
        <x:f>IF(OR(I262=0,F262="",F262=0),"",H262/F262)</x:f>
      </x:c>
      <x:c r="K262" t="str">
        <x:f>IF(OR(I262=0,H262=0,F262=""),"",F262/H262)</x:f>
      </x:c>
      <x:c r="L262" t="str">
        <x:f>IF(OR(I262=0,F262="",G262="",F262=0,G262=0),"",H262/(F262*G262))</x:f>
      </x:c>
      <x:c r="M262" t="str">
        <x:f>IF(J262="","",J262/_xlfn.MAXIFS($J:$J,$D:$D,D262))</x:f>
      </x:c>
      <x:c r="N262" t="str">
        <x:f>IF(L262="","",L262/_xlfn.MAXIFS($L:$L,$D:$D,D262))</x:f>
      </x:c>
      <x:c r="O262" t="str">
        <x:f>IF(OR(M262="",N262=""),"",SQRT(M262*N262))</x:f>
      </x:c>
      <x:c r="P262" t="str">
        <x:f>IF(OR(M262="",N262=""),"",M262^0.7*N262^0.3)</x:f>
      </x:c>
      <x:c r="Q262" t="str">
        <x:f>IF(OR(M262="",N262=""),"",M262^0.3*N262^0.7)</x:f>
      </x:c>
    </x:row>
    <x:row r="263">
      <x:c r="A263" t="inlineStr">
        <x:is>
          <x:t xml:space="preserve">google|gemini-3.8-flash|low|reasoning|fallback-na</x:t>
        </x:is>
      </x:c>
      <x:c r="B263" t="inlineStr">
        <x:is>
          <x:t xml:space="preserve">AA|v4.3.2</x:t>
        </x:is>
      </x:c>
      <x:c r="C263" t="n">
        <x:v>34</x:v>
      </x:c>
      <x:c r="D263" t="n">
        <x:v>52</x:v>
      </x:c>
      <x:c r="E263" t="n">
        <x:f>INDEX(Model_TestVersion_Stats!$W:$W,C263)</x:f>
        <x:v>33</x:v>
      </x:c>
      <x:c r="F263" t="str">
        <x:f>INDEX(Model_TestVersion_Stats!$O:$O,C263)</x:f>
      </x:c>
      <x:c r="G263" t="str">
        <x:f>IF(INDEX(Model_TestVersion_Stats!$R:$R,C263)="","",INDEX(Model_TestVersion_Stats!$R:$R,C263)/60)</x:f>
      </x:c>
      <x:c r="H263" t="n">
        <x:f>IF(E263="","",E263-(D263-1))</x:f>
        <x:v>-18</x:v>
      </x:c>
      <x:c r="I263" t="n">
        <x:f>IF(H263&gt;0,1,0)</x:f>
        <x:v>0</x:v>
      </x:c>
      <x:c r="J263" t="str">
        <x:f>IF(OR(I263=0,F263="",F263=0),"",H263/F263)</x:f>
      </x:c>
      <x:c r="K263" t="str">
        <x:f>IF(OR(I263=0,H263=0,F263=""),"",F263/H263)</x:f>
      </x:c>
      <x:c r="L263" t="str">
        <x:f>IF(OR(I263=0,F263="",G263="",F263=0,G263=0),"",H263/(F263*G263))</x:f>
      </x:c>
      <x:c r="M263" t="str">
        <x:f>IF(J263="","",J263/_xlfn.MAXIFS($J:$J,$D:$D,D263))</x:f>
      </x:c>
      <x:c r="N263" t="str">
        <x:f>IF(L263="","",L263/_xlfn.MAXIFS($L:$L,$D:$D,D263))</x:f>
      </x:c>
      <x:c r="O263" t="str">
        <x:f>IF(OR(M263="",N263=""),"",SQRT(M263*N263))</x:f>
      </x:c>
      <x:c r="P263" t="str">
        <x:f>IF(OR(M263="",N263=""),"",M263^0.7*N263^0.3)</x:f>
      </x:c>
      <x:c r="Q263" t="str">
        <x:f>IF(OR(M263="",N263=""),"",M263^0.3*N263^0.7)</x:f>
      </x:c>
    </x:row>
    <x:row r="264">
      <x:c r="A264" t="inlineStr">
        <x:is>
          <x:t xml:space="preserve">google|gemini-3.8-flash|low|reasoning|fallback-na</x:t>
        </x:is>
      </x:c>
      <x:c r="B264" t="inlineStr">
        <x:is>
          <x:t xml:space="preserve">AA|v4.3.2</x:t>
        </x:is>
      </x:c>
      <x:c r="C264" t="n">
        <x:v>34</x:v>
      </x:c>
      <x:c r="D264" t="n">
        <x:v>65</x:v>
      </x:c>
      <x:c r="E264" t="n">
        <x:f>INDEX(Model_TestVersion_Stats!$W:$W,C264)</x:f>
        <x:v>33</x:v>
      </x:c>
      <x:c r="F264" t="str">
        <x:f>INDEX(Model_TestVersion_Stats!$O:$O,C264)</x:f>
      </x:c>
      <x:c r="G264" t="str">
        <x:f>IF(INDEX(Model_TestVersion_Stats!$R:$R,C264)="","",INDEX(Model_TestVersion_Stats!$R:$R,C264)/60)</x:f>
      </x:c>
      <x:c r="H264" t="n">
        <x:f>IF(E264="","",E264-(D264-1))</x:f>
        <x:v>-31</x:v>
      </x:c>
      <x:c r="I264" t="n">
        <x:f>IF(H264&gt;0,1,0)</x:f>
        <x:v>0</x:v>
      </x:c>
      <x:c r="J264" t="str">
        <x:f>IF(OR(I264=0,F264="",F264=0),"",H264/F264)</x:f>
      </x:c>
      <x:c r="K264" t="str">
        <x:f>IF(OR(I264=0,H264=0,F264=""),"",F264/H264)</x:f>
      </x:c>
      <x:c r="L264" t="str">
        <x:f>IF(OR(I264=0,F264="",G264="",F264=0,G264=0),"",H264/(F264*G264))</x:f>
      </x:c>
      <x:c r="M264" t="str">
        <x:f>IF(J264="","",J264/_xlfn.MAXIFS($J:$J,$D:$D,D264))</x:f>
      </x:c>
      <x:c r="N264" t="str">
        <x:f>IF(L264="","",L264/_xlfn.MAXIFS($L:$L,$D:$D,D264))</x:f>
      </x:c>
      <x:c r="O264" t="str">
        <x:f>IF(OR(M264="",N264=""),"",SQRT(M264*N264))</x:f>
      </x:c>
      <x:c r="P264" t="str">
        <x:f>IF(OR(M264="",N264=""),"",M264^0.7*N264^0.3)</x:f>
      </x:c>
      <x:c r="Q264" t="str">
        <x:f>IF(OR(M264="",N264=""),"",M264^0.3*N264^0.7)</x:f>
      </x:c>
    </x:row>
    <x:row r="265">
      <x:c r="A265" t="inlineStr">
        <x:is>
          <x:t xml:space="preserve">google|gemini-3.8-flash|low|reasoning|fallback-na</x:t>
        </x:is>
      </x:c>
      <x:c r="B265" t="inlineStr">
        <x:is>
          <x:t xml:space="preserve">AA|v4.3.2</x:t>
        </x:is>
      </x:c>
      <x:c r="C265" t="n">
        <x:v>34</x:v>
      </x:c>
      <x:c r="D265" t="n">
        <x:v>80</x:v>
      </x:c>
      <x:c r="E265" t="n">
        <x:f>INDEX(Model_TestVersion_Stats!$W:$W,C265)</x:f>
        <x:v>33</x:v>
      </x:c>
      <x:c r="F265" t="str">
        <x:f>INDEX(Model_TestVersion_Stats!$O:$O,C265)</x:f>
      </x:c>
      <x:c r="G265" t="str">
        <x:f>IF(INDEX(Model_TestVersion_Stats!$R:$R,C265)="","",INDEX(Model_TestVersion_Stats!$R:$R,C265)/60)</x:f>
      </x:c>
      <x:c r="H265" t="n">
        <x:f>IF(E265="","",E265-(D265-1))</x:f>
        <x:v>-46</x:v>
      </x:c>
      <x:c r="I265" t="n">
        <x:f>IF(H265&gt;0,1,0)</x:f>
        <x:v>0</x:v>
      </x:c>
      <x:c r="J265" t="str">
        <x:f>IF(OR(I265=0,F265="",F265=0),"",H265/F265)</x:f>
      </x:c>
      <x:c r="K265" t="str">
        <x:f>IF(OR(I265=0,H265=0,F265=""),"",F265/H265)</x:f>
      </x:c>
      <x:c r="L265" t="str">
        <x:f>IF(OR(I265=0,F265="",G265="",F265=0,G265=0),"",H265/(F265*G265))</x:f>
      </x:c>
      <x:c r="M265" t="str">
        <x:f>IF(J265="","",J265/_xlfn.MAXIFS($J:$J,$D:$D,D265))</x:f>
      </x:c>
      <x:c r="N265" t="str">
        <x:f>IF(L265="","",L265/_xlfn.MAXIFS($L:$L,$D:$D,D265))</x:f>
      </x:c>
      <x:c r="O265" t="str">
        <x:f>IF(OR(M265="",N265=""),"",SQRT(M265*N265))</x:f>
      </x:c>
      <x:c r="P265" t="str">
        <x:f>IF(OR(M265="",N265=""),"",M265^0.7*N265^0.3)</x:f>
      </x:c>
      <x:c r="Q265" t="str">
        <x:f>IF(OR(M265="",N265=""),"",M265^0.3*N265^0.7)</x:f>
      </x:c>
    </x:row>
    <x:row r="266">
      <x:c r="A266" t="inlineStr">
        <x:is>
          <x:t xml:space="preserve">google|gemini-3.8-flash|medium|reasoning|fallback-na</x:t>
        </x:is>
      </x:c>
      <x:c r="B266" t="inlineStr">
        <x:is>
          <x:t xml:space="preserve">AA|v4.3.2</x:t>
        </x:is>
      </x:c>
      <x:c r="C266" t="n">
        <x:v>35</x:v>
      </x:c>
      <x:c r="D266" t="n">
        <x:v>20</x:v>
      </x:c>
      <x:c r="E266" t="n">
        <x:f>INDEX(Model_TestVersion_Stats!$W:$W,C266)</x:f>
        <x:v>40</x:v>
      </x:c>
      <x:c r="F266" t="n">
        <x:f>INDEX(Model_TestVersion_Stats!$O:$O,C266)</x:f>
        <x:v>0.93</x:v>
      </x:c>
      <x:c r="G266" t="str">
        <x:f>IF(INDEX(Model_TestVersion_Stats!$R:$R,C266)="","",INDEX(Model_TestVersion_Stats!$R:$R,C266)/60)</x:f>
      </x:c>
      <x:c r="H266" t="n">
        <x:f>IF(E266="","",E266-(D266-1))</x:f>
        <x:v>21</x:v>
      </x:c>
      <x:c r="I266" t="n">
        <x:f>IF(H266&gt;0,1,0)</x:f>
        <x:v>1</x:v>
      </x:c>
      <x:c r="J266" t="n">
        <x:f>IF(OR(I266=0,F266="",F266=0),"",H266/F266)</x:f>
        <x:v>22.58064516129032</x:v>
      </x:c>
      <x:c r="K266" t="n">
        <x:f>IF(OR(I266=0,H266=0,F266=""),"",F266/H266)</x:f>
        <x:v>0.04428571428571429</x:v>
      </x:c>
      <x:c r="L266" t="str">
        <x:f>IF(OR(I266=0,F266="",G266="",F266=0,G266=0),"",H266/(F266*G266))</x:f>
      </x:c>
      <x:c r="M266" t="n">
        <x:f>IF(J266="","",J266/_xlfn.MAXIFS($J:$J,$D:$D,D266))</x:f>
        <x:v>0.04064516129032258</x:v>
      </x:c>
      <x:c r="N266" t="str">
        <x:f>IF(L266="","",L266/_xlfn.MAXIFS($L:$L,$D:$D,D266))</x:f>
      </x:c>
      <x:c r="O266" t="str">
        <x:f>IF(OR(M266="",N266=""),"",SQRT(M266*N266))</x:f>
      </x:c>
      <x:c r="P266" t="str">
        <x:f>IF(OR(M266="",N266=""),"",M266^0.7*N266^0.3)</x:f>
      </x:c>
      <x:c r="Q266" t="str">
        <x:f>IF(OR(M266="",N266=""),"",M266^0.3*N266^0.7)</x:f>
      </x:c>
    </x:row>
    <x:row r="267">
      <x:c r="A267" t="inlineStr">
        <x:is>
          <x:t xml:space="preserve">google|gemini-3.8-flash|medium|reasoning|fallback-na</x:t>
        </x:is>
      </x:c>
      <x:c r="B267" t="inlineStr">
        <x:is>
          <x:t xml:space="preserve">AA|v4.3.2</x:t>
        </x:is>
      </x:c>
      <x:c r="C267" t="n">
        <x:v>35</x:v>
      </x:c>
      <x:c r="D267" t="n">
        <x:v>30</x:v>
      </x:c>
      <x:c r="E267" t="n">
        <x:f>INDEX(Model_TestVersion_Stats!$W:$W,C267)</x:f>
        <x:v>40</x:v>
      </x:c>
      <x:c r="F267" t="n">
        <x:f>INDEX(Model_TestVersion_Stats!$O:$O,C267)</x:f>
        <x:v>0.93</x:v>
      </x:c>
      <x:c r="G267" t="str">
        <x:f>IF(INDEX(Model_TestVersion_Stats!$R:$R,C267)="","",INDEX(Model_TestVersion_Stats!$R:$R,C267)/60)</x:f>
      </x:c>
      <x:c r="H267" t="n">
        <x:f>IF(E267="","",E267-(D267-1))</x:f>
        <x:v>11</x:v>
      </x:c>
      <x:c r="I267" t="n">
        <x:f>IF(H267&gt;0,1,0)</x:f>
        <x:v>1</x:v>
      </x:c>
      <x:c r="J267" t="n">
        <x:f>IF(OR(I267=0,F267="",F267=0),"",H267/F267)</x:f>
        <x:v>11.827956989247312</x:v>
      </x:c>
      <x:c r="K267" t="n">
        <x:f>IF(OR(I267=0,H267=0,F267=""),"",F267/H267)</x:f>
        <x:v>0.08454545454545455</x:v>
      </x:c>
      <x:c r="L267" t="str">
        <x:f>IF(OR(I267=0,F267="",G267="",F267=0,G267=0),"",H267/(F267*G267))</x:f>
      </x:c>
      <x:c r="M267" t="n">
        <x:f>IF(J267="","",J267/_xlfn.MAXIFS($J:$J,$D:$D,D267))</x:f>
        <x:v>0.07885304659498207</x:v>
      </x:c>
      <x:c r="N267" t="str">
        <x:f>IF(L267="","",L267/_xlfn.MAXIFS($L:$L,$D:$D,D267))</x:f>
      </x:c>
      <x:c r="O267" t="str">
        <x:f>IF(OR(M267="",N267=""),"",SQRT(M267*N267))</x:f>
      </x:c>
      <x:c r="P267" t="str">
        <x:f>IF(OR(M267="",N267=""),"",M267^0.7*N267^0.3)</x:f>
      </x:c>
      <x:c r="Q267" t="str">
        <x:f>IF(OR(M267="",N267=""),"",M267^0.3*N267^0.7)</x:f>
      </x:c>
    </x:row>
    <x:row r="268">
      <x:c r="A268" t="inlineStr">
        <x:is>
          <x:t xml:space="preserve">google|gemini-3.8-flash|medium|reasoning|fallback-na</x:t>
        </x:is>
      </x:c>
      <x:c r="B268" t="inlineStr">
        <x:is>
          <x:t xml:space="preserve">AA|v4.3.2</x:t>
        </x:is>
      </x:c>
      <x:c r="C268" t="n">
        <x:v>35</x:v>
      </x:c>
      <x:c r="D268" t="n">
        <x:v>40</x:v>
      </x:c>
      <x:c r="E268" t="n">
        <x:f>INDEX(Model_TestVersion_Stats!$W:$W,C268)</x:f>
        <x:v>40</x:v>
      </x:c>
      <x:c r="F268" t="n">
        <x:f>INDEX(Model_TestVersion_Stats!$O:$O,C268)</x:f>
        <x:v>0.93</x:v>
      </x:c>
      <x:c r="G268" t="str">
        <x:f>IF(INDEX(Model_TestVersion_Stats!$R:$R,C268)="","",INDEX(Model_TestVersion_Stats!$R:$R,C268)/60)</x:f>
      </x:c>
      <x:c r="H268" t="n">
        <x:f>IF(E268="","",E268-(D268-1))</x:f>
        <x:v>1</x:v>
      </x:c>
      <x:c r="I268" t="n">
        <x:f>IF(H268&gt;0,1,0)</x:f>
        <x:v>1</x:v>
      </x:c>
      <x:c r="J268" t="n">
        <x:f>IF(OR(I268=0,F268="",F268=0),"",H268/F268)</x:f>
        <x:v>1.075268817204301</x:v>
      </x:c>
      <x:c r="K268" t="n">
        <x:f>IF(OR(I268=0,H268=0,F268=""),"",F268/H268)</x:f>
        <x:v>0.93</x:v>
      </x:c>
      <x:c r="L268" t="str">
        <x:f>IF(OR(I268=0,F268="",G268="",F268=0,G268=0),"",H268/(F268*G268))</x:f>
      </x:c>
      <x:c r="M268" t="n">
        <x:f>IF(J268="","",J268/_xlfn.MAXIFS($J:$J,$D:$D,D268))</x:f>
        <x:v>0.019969278033794162</x:v>
      </x:c>
      <x:c r="N268" t="str">
        <x:f>IF(L268="","",L268/_xlfn.MAXIFS($L:$L,$D:$D,D268))</x:f>
      </x:c>
      <x:c r="O268" t="str">
        <x:f>IF(OR(M268="",N268=""),"",SQRT(M268*N268))</x:f>
      </x:c>
      <x:c r="P268" t="str">
        <x:f>IF(OR(M268="",N268=""),"",M268^0.7*N268^0.3)</x:f>
      </x:c>
      <x:c r="Q268" t="str">
        <x:f>IF(OR(M268="",N268=""),"",M268^0.3*N268^0.7)</x:f>
      </x:c>
    </x:row>
    <x:row r="269">
      <x:c r="A269" t="inlineStr">
        <x:is>
          <x:t xml:space="preserve">google|gemini-3.8-flash|medium|reasoning|fallback-na</x:t>
        </x:is>
      </x:c>
      <x:c r="B269" t="inlineStr">
        <x:is>
          <x:t xml:space="preserve">AA|v4.3.2</x:t>
        </x:is>
      </x:c>
      <x:c r="C269" t="n">
        <x:v>35</x:v>
      </x:c>
      <x:c r="D269" t="n">
        <x:v>45</x:v>
      </x:c>
      <x:c r="E269" t="n">
        <x:f>INDEX(Model_TestVersion_Stats!$W:$W,C269)</x:f>
        <x:v>40</x:v>
      </x:c>
      <x:c r="F269" t="n">
        <x:f>INDEX(Model_TestVersion_Stats!$O:$O,C269)</x:f>
        <x:v>0.93</x:v>
      </x:c>
      <x:c r="G269" t="str">
        <x:f>IF(INDEX(Model_TestVersion_Stats!$R:$R,C269)="","",INDEX(Model_TestVersion_Stats!$R:$R,C269)/60)</x:f>
      </x:c>
      <x:c r="H269" t="n">
        <x:f>IF(E269="","",E269-(D269-1))</x:f>
        <x:v>-4</x:v>
      </x:c>
      <x:c r="I269" t="n">
        <x:f>IF(H269&gt;0,1,0)</x:f>
        <x:v>0</x:v>
      </x:c>
      <x:c r="J269" t="str">
        <x:f>IF(OR(I269=0,F269="",F269=0),"",H269/F269)</x:f>
      </x:c>
      <x:c r="K269" t="str">
        <x:f>IF(OR(I269=0,H269=0,F269=""),"",F269/H269)</x:f>
      </x:c>
      <x:c r="L269" t="str">
        <x:f>IF(OR(I269=0,F269="",G269="",F269=0,G269=0),"",H269/(F269*G269))</x:f>
      </x:c>
      <x:c r="M269" t="str">
        <x:f>IF(J269="","",J269/_xlfn.MAXIFS($J:$J,$D:$D,D269))</x:f>
      </x:c>
      <x:c r="N269" t="str">
        <x:f>IF(L269="","",L269/_xlfn.MAXIFS($L:$L,$D:$D,D269))</x:f>
      </x:c>
      <x:c r="O269" t="str">
        <x:f>IF(OR(M269="",N269=""),"",SQRT(M269*N269))</x:f>
      </x:c>
      <x:c r="P269" t="str">
        <x:f>IF(OR(M269="",N269=""),"",M269^0.7*N269^0.3)</x:f>
      </x:c>
      <x:c r="Q269" t="str">
        <x:f>IF(OR(M269="",N269=""),"",M269^0.3*N269^0.7)</x:f>
      </x:c>
    </x:row>
    <x:row r="270">
      <x:c r="A270" t="inlineStr">
        <x:is>
          <x:t xml:space="preserve">google|gemini-3.8-flash|medium|reasoning|fallback-na</x:t>
        </x:is>
      </x:c>
      <x:c r="B270" t="inlineStr">
        <x:is>
          <x:t xml:space="preserve">AA|v4.3.2</x:t>
        </x:is>
      </x:c>
      <x:c r="C270" t="n">
        <x:v>35</x:v>
      </x:c>
      <x:c r="D270" t="n">
        <x:v>50</x:v>
      </x:c>
      <x:c r="E270" t="n">
        <x:f>INDEX(Model_TestVersion_Stats!$W:$W,C270)</x:f>
        <x:v>40</x:v>
      </x:c>
      <x:c r="F270" t="n">
        <x:f>INDEX(Model_TestVersion_Stats!$O:$O,C270)</x:f>
        <x:v>0.93</x:v>
      </x:c>
      <x:c r="G270" t="str">
        <x:f>IF(INDEX(Model_TestVersion_Stats!$R:$R,C270)="","",INDEX(Model_TestVersion_Stats!$R:$R,C270)/60)</x:f>
      </x:c>
      <x:c r="H270" t="n">
        <x:f>IF(E270="","",E270-(D270-1))</x:f>
        <x:v>-9</x:v>
      </x:c>
      <x:c r="I270" t="n">
        <x:f>IF(H270&gt;0,1,0)</x:f>
        <x:v>0</x:v>
      </x:c>
      <x:c r="J270" t="str">
        <x:f>IF(OR(I270=0,F270="",F270=0),"",H270/F270)</x:f>
      </x:c>
      <x:c r="K270" t="str">
        <x:f>IF(OR(I270=0,H270=0,F270=""),"",F270/H270)</x:f>
      </x:c>
      <x:c r="L270" t="str">
        <x:f>IF(OR(I270=0,F270="",G270="",F270=0,G270=0),"",H270/(F270*G270))</x:f>
      </x:c>
      <x:c r="M270" t="str">
        <x:f>IF(J270="","",J270/_xlfn.MAXIFS($J:$J,$D:$D,D270))</x:f>
      </x:c>
      <x:c r="N270" t="str">
        <x:f>IF(L270="","",L270/_xlfn.MAXIFS($L:$L,$D:$D,D270))</x:f>
      </x:c>
      <x:c r="O270" t="str">
        <x:f>IF(OR(M270="",N270=""),"",SQRT(M270*N270))</x:f>
      </x:c>
      <x:c r="P270" t="str">
        <x:f>IF(OR(M270="",N270=""),"",M270^0.7*N270^0.3)</x:f>
      </x:c>
      <x:c r="Q270" t="str">
        <x:f>IF(OR(M270="",N270=""),"",M270^0.3*N270^0.7)</x:f>
      </x:c>
    </x:row>
    <x:row r="271">
      <x:c r="A271" t="inlineStr">
        <x:is>
          <x:t xml:space="preserve">google|gemini-3.8-flash|medium|reasoning|fallback-na</x:t>
        </x:is>
      </x:c>
      <x:c r="B271" t="inlineStr">
        <x:is>
          <x:t xml:space="preserve">AA|v4.3.2</x:t>
        </x:is>
      </x:c>
      <x:c r="C271" t="n">
        <x:v>35</x:v>
      </x:c>
      <x:c r="D271" t="n">
        <x:v>52</x:v>
      </x:c>
      <x:c r="E271" t="n">
        <x:f>INDEX(Model_TestVersion_Stats!$W:$W,C271)</x:f>
        <x:v>40</x:v>
      </x:c>
      <x:c r="F271" t="n">
        <x:f>INDEX(Model_TestVersion_Stats!$O:$O,C271)</x:f>
        <x:v>0.93</x:v>
      </x:c>
      <x:c r="G271" t="str">
        <x:f>IF(INDEX(Model_TestVersion_Stats!$R:$R,C271)="","",INDEX(Model_TestVersion_Stats!$R:$R,C271)/60)</x:f>
      </x:c>
      <x:c r="H271" t="n">
        <x:f>IF(E271="","",E271-(D271-1))</x:f>
        <x:v>-11</x:v>
      </x:c>
      <x:c r="I271" t="n">
        <x:f>IF(H271&gt;0,1,0)</x:f>
        <x:v>0</x:v>
      </x:c>
      <x:c r="J271" t="str">
        <x:f>IF(OR(I271=0,F271="",F271=0),"",H271/F271)</x:f>
      </x:c>
      <x:c r="K271" t="str">
        <x:f>IF(OR(I271=0,H271=0,F271=""),"",F271/H271)</x:f>
      </x:c>
      <x:c r="L271" t="str">
        <x:f>IF(OR(I271=0,F271="",G271="",F271=0,G271=0),"",H271/(F271*G271))</x:f>
      </x:c>
      <x:c r="M271" t="str">
        <x:f>IF(J271="","",J271/_xlfn.MAXIFS($J:$J,$D:$D,D271))</x:f>
      </x:c>
      <x:c r="N271" t="str">
        <x:f>IF(L271="","",L271/_xlfn.MAXIFS($L:$L,$D:$D,D271))</x:f>
      </x:c>
      <x:c r="O271" t="str">
        <x:f>IF(OR(M271="",N271=""),"",SQRT(M271*N271))</x:f>
      </x:c>
      <x:c r="P271" t="str">
        <x:f>IF(OR(M271="",N271=""),"",M271^0.7*N271^0.3)</x:f>
      </x:c>
      <x:c r="Q271" t="str">
        <x:f>IF(OR(M271="",N271=""),"",M271^0.3*N271^0.7)</x:f>
      </x:c>
    </x:row>
    <x:row r="272">
      <x:c r="A272" t="inlineStr">
        <x:is>
          <x:t xml:space="preserve">google|gemini-3.8-flash|medium|reasoning|fallback-na</x:t>
        </x:is>
      </x:c>
      <x:c r="B272" t="inlineStr">
        <x:is>
          <x:t xml:space="preserve">AA|v4.3.2</x:t>
        </x:is>
      </x:c>
      <x:c r="C272" t="n">
        <x:v>35</x:v>
      </x:c>
      <x:c r="D272" t="n">
        <x:v>65</x:v>
      </x:c>
      <x:c r="E272" t="n">
        <x:f>INDEX(Model_TestVersion_Stats!$W:$W,C272)</x:f>
        <x:v>40</x:v>
      </x:c>
      <x:c r="F272" t="n">
        <x:f>INDEX(Model_TestVersion_Stats!$O:$O,C272)</x:f>
        <x:v>0.93</x:v>
      </x:c>
      <x:c r="G272" t="str">
        <x:f>IF(INDEX(Model_TestVersion_Stats!$R:$R,C272)="","",INDEX(Model_TestVersion_Stats!$R:$R,C272)/60)</x:f>
      </x:c>
      <x:c r="H272" t="n">
        <x:f>IF(E272="","",E272-(D272-1))</x:f>
        <x:v>-24</x:v>
      </x:c>
      <x:c r="I272" t="n">
        <x:f>IF(H272&gt;0,1,0)</x:f>
        <x:v>0</x:v>
      </x:c>
      <x:c r="J272" t="str">
        <x:f>IF(OR(I272=0,F272="",F272=0),"",H272/F272)</x:f>
      </x:c>
      <x:c r="K272" t="str">
        <x:f>IF(OR(I272=0,H272=0,F272=""),"",F272/H272)</x:f>
      </x:c>
      <x:c r="L272" t="str">
        <x:f>IF(OR(I272=0,F272="",G272="",F272=0,G272=0),"",H272/(F272*G272))</x:f>
      </x:c>
      <x:c r="M272" t="str">
        <x:f>IF(J272="","",J272/_xlfn.MAXIFS($J:$J,$D:$D,D272))</x:f>
      </x:c>
      <x:c r="N272" t="str">
        <x:f>IF(L272="","",L272/_xlfn.MAXIFS($L:$L,$D:$D,D272))</x:f>
      </x:c>
      <x:c r="O272" t="str">
        <x:f>IF(OR(M272="",N272=""),"",SQRT(M272*N272))</x:f>
      </x:c>
      <x:c r="P272" t="str">
        <x:f>IF(OR(M272="",N272=""),"",M272^0.7*N272^0.3)</x:f>
      </x:c>
      <x:c r="Q272" t="str">
        <x:f>IF(OR(M272="",N272=""),"",M272^0.3*N272^0.7)</x:f>
      </x:c>
    </x:row>
    <x:row r="273">
      <x:c r="A273" t="inlineStr">
        <x:is>
          <x:t xml:space="preserve">google|gemini-3.8-flash|medium|reasoning|fallback-na</x:t>
        </x:is>
      </x:c>
      <x:c r="B273" t="inlineStr">
        <x:is>
          <x:t xml:space="preserve">AA|v4.3.2</x:t>
        </x:is>
      </x:c>
      <x:c r="C273" t="n">
        <x:v>35</x:v>
      </x:c>
      <x:c r="D273" t="n">
        <x:v>80</x:v>
      </x:c>
      <x:c r="E273" t="n">
        <x:f>INDEX(Model_TestVersion_Stats!$W:$W,C273)</x:f>
        <x:v>40</x:v>
      </x:c>
      <x:c r="F273" t="n">
        <x:f>INDEX(Model_TestVersion_Stats!$O:$O,C273)</x:f>
        <x:v>0.93</x:v>
      </x:c>
      <x:c r="G273" t="str">
        <x:f>IF(INDEX(Model_TestVersion_Stats!$R:$R,C273)="","",INDEX(Model_TestVersion_Stats!$R:$R,C273)/60)</x:f>
      </x:c>
      <x:c r="H273" t="n">
        <x:f>IF(E273="","",E273-(D273-1))</x:f>
        <x:v>-39</x:v>
      </x:c>
      <x:c r="I273" t="n">
        <x:f>IF(H273&gt;0,1,0)</x:f>
        <x:v>0</x:v>
      </x:c>
      <x:c r="J273" t="str">
        <x:f>IF(OR(I273=0,F273="",F273=0),"",H273/F273)</x:f>
      </x:c>
      <x:c r="K273" t="str">
        <x:f>IF(OR(I273=0,H273=0,F273=""),"",F273/H273)</x:f>
      </x:c>
      <x:c r="L273" t="str">
        <x:f>IF(OR(I273=0,F273="",G273="",F273=0,G273=0),"",H273/(F273*G273))</x:f>
      </x:c>
      <x:c r="M273" t="str">
        <x:f>IF(J273="","",J273/_xlfn.MAXIFS($J:$J,$D:$D,D273))</x:f>
      </x:c>
      <x:c r="N273" t="str">
        <x:f>IF(L273="","",L273/_xlfn.MAXIFS($L:$L,$D:$D,D273))</x:f>
      </x:c>
      <x:c r="O273" t="str">
        <x:f>IF(OR(M273="",N273=""),"",SQRT(M273*N273))</x:f>
      </x:c>
      <x:c r="P273" t="str">
        <x:f>IF(OR(M273="",N273=""),"",M273^0.7*N273^0.3)</x:f>
      </x:c>
      <x:c r="Q273" t="str">
        <x:f>IF(OR(M273="",N273=""),"",M273^0.3*N273^0.7)</x:f>
      </x:c>
    </x:row>
    <x:row r="274">
      <x:c r="A274" t="inlineStr">
        <x:is>
          <x:t xml:space="preserve">kimi|kimi-k3|max|reasoning|fallback-na</x:t>
        </x:is>
      </x:c>
      <x:c r="B274" t="inlineStr">
        <x:is>
          <x:t xml:space="preserve">AA|v4.3.2</x:t>
        </x:is>
      </x:c>
      <x:c r="C274" t="n">
        <x:v>36</x:v>
      </x:c>
      <x:c r="D274" t="n">
        <x:v>20</x:v>
      </x:c>
      <x:c r="E274" t="n">
        <x:f>INDEX(Model_TestVersion_Stats!$W:$W,C274)</x:f>
        <x:v>44</x:v>
      </x:c>
      <x:c r="F274" t="n">
        <x:f>INDEX(Model_TestVersion_Stats!$O:$O,C274)</x:f>
        <x:v>2</x:v>
      </x:c>
      <x:c r="G274" t="str">
        <x:f>IF(INDEX(Model_TestVersion_Stats!$R:$R,C274)="","",INDEX(Model_TestVersion_Stats!$R:$R,C274)/60)</x:f>
      </x:c>
      <x:c r="H274" t="n">
        <x:f>IF(E274="","",E274-(D274-1))</x:f>
        <x:v>25</x:v>
      </x:c>
      <x:c r="I274" t="n">
        <x:f>IF(H274&gt;0,1,0)</x:f>
        <x:v>1</x:v>
      </x:c>
      <x:c r="J274" t="n">
        <x:f>IF(OR(I274=0,F274="",F274=0),"",H274/F274)</x:f>
        <x:v>12.5</x:v>
      </x:c>
      <x:c r="K274" t="n">
        <x:f>IF(OR(I274=0,H274=0,F274=""),"",F274/H274)</x:f>
        <x:v>0.08</x:v>
      </x:c>
      <x:c r="L274" t="str">
        <x:f>IF(OR(I274=0,F274="",G274="",F274=0,G274=0),"",H274/(F274*G274))</x:f>
      </x:c>
      <x:c r="M274" t="n">
        <x:f>IF(J274="","",J274/_xlfn.MAXIFS($J:$J,$D:$D,D274))</x:f>
        <x:v>0.0225</x:v>
      </x:c>
      <x:c r="N274" t="str">
        <x:f>IF(L274="","",L274/_xlfn.MAXIFS($L:$L,$D:$D,D274))</x:f>
      </x:c>
      <x:c r="O274" t="str">
        <x:f>IF(OR(M274="",N274=""),"",SQRT(M274*N274))</x:f>
      </x:c>
      <x:c r="P274" t="str">
        <x:f>IF(OR(M274="",N274=""),"",M274^0.7*N274^0.3)</x:f>
      </x:c>
      <x:c r="Q274" t="str">
        <x:f>IF(OR(M274="",N274=""),"",M274^0.3*N274^0.7)</x:f>
      </x:c>
    </x:row>
    <x:row r="275">
      <x:c r="A275" t="inlineStr">
        <x:is>
          <x:t xml:space="preserve">kimi|kimi-k3|max|reasoning|fallback-na</x:t>
        </x:is>
      </x:c>
      <x:c r="B275" t="inlineStr">
        <x:is>
          <x:t xml:space="preserve">AA|v4.3.2</x:t>
        </x:is>
      </x:c>
      <x:c r="C275" t="n">
        <x:v>36</x:v>
      </x:c>
      <x:c r="D275" t="n">
        <x:v>30</x:v>
      </x:c>
      <x:c r="E275" t="n">
        <x:f>INDEX(Model_TestVersion_Stats!$W:$W,C275)</x:f>
        <x:v>44</x:v>
      </x:c>
      <x:c r="F275" t="n">
        <x:f>INDEX(Model_TestVersion_Stats!$O:$O,C275)</x:f>
        <x:v>2</x:v>
      </x:c>
      <x:c r="G275" t="str">
        <x:f>IF(INDEX(Model_TestVersion_Stats!$R:$R,C275)="","",INDEX(Model_TestVersion_Stats!$R:$R,C275)/60)</x:f>
      </x:c>
      <x:c r="H275" t="n">
        <x:f>IF(E275="","",E275-(D275-1))</x:f>
        <x:v>15</x:v>
      </x:c>
      <x:c r="I275" t="n">
        <x:f>IF(H275&gt;0,1,0)</x:f>
        <x:v>1</x:v>
      </x:c>
      <x:c r="J275" t="n">
        <x:f>IF(OR(I275=0,F275="",F275=0),"",H275/F275)</x:f>
        <x:v>7.5</x:v>
      </x:c>
      <x:c r="K275" t="n">
        <x:f>IF(OR(I275=0,H275=0,F275=""),"",F275/H275)</x:f>
        <x:v>0.13333333333333333</x:v>
      </x:c>
      <x:c r="L275" t="str">
        <x:f>IF(OR(I275=0,F275="",G275="",F275=0,G275=0),"",H275/(F275*G275))</x:f>
      </x:c>
      <x:c r="M275" t="n">
        <x:f>IF(J275="","",J275/_xlfn.MAXIFS($J:$J,$D:$D,D275))</x:f>
        <x:v>0.05</x:v>
      </x:c>
      <x:c r="N275" t="str">
        <x:f>IF(L275="","",L275/_xlfn.MAXIFS($L:$L,$D:$D,D275))</x:f>
      </x:c>
      <x:c r="O275" t="str">
        <x:f>IF(OR(M275="",N275=""),"",SQRT(M275*N275))</x:f>
      </x:c>
      <x:c r="P275" t="str">
        <x:f>IF(OR(M275="",N275=""),"",M275^0.7*N275^0.3)</x:f>
      </x:c>
      <x:c r="Q275" t="str">
        <x:f>IF(OR(M275="",N275=""),"",M275^0.3*N275^0.7)</x:f>
      </x:c>
    </x:row>
    <x:row r="276">
      <x:c r="A276" t="inlineStr">
        <x:is>
          <x:t xml:space="preserve">kimi|kimi-k3|max|reasoning|fallback-na</x:t>
        </x:is>
      </x:c>
      <x:c r="B276" t="inlineStr">
        <x:is>
          <x:t xml:space="preserve">AA|v4.3.2</x:t>
        </x:is>
      </x:c>
      <x:c r="C276" t="n">
        <x:v>36</x:v>
      </x:c>
      <x:c r="D276" t="n">
        <x:v>40</x:v>
      </x:c>
      <x:c r="E276" t="n">
        <x:f>INDEX(Model_TestVersion_Stats!$W:$W,C276)</x:f>
        <x:v>44</x:v>
      </x:c>
      <x:c r="F276" t="n">
        <x:f>INDEX(Model_TestVersion_Stats!$O:$O,C276)</x:f>
        <x:v>2</x:v>
      </x:c>
      <x:c r="G276" t="str">
        <x:f>IF(INDEX(Model_TestVersion_Stats!$R:$R,C276)="","",INDEX(Model_TestVersion_Stats!$R:$R,C276)/60)</x:f>
      </x:c>
      <x:c r="H276" t="n">
        <x:f>IF(E276="","",E276-(D276-1))</x:f>
        <x:v>5</x:v>
      </x:c>
      <x:c r="I276" t="n">
        <x:f>IF(H276&gt;0,1,0)</x:f>
        <x:v>1</x:v>
      </x:c>
      <x:c r="J276" t="n">
        <x:f>IF(OR(I276=0,F276="",F276=0),"",H276/F276)</x:f>
        <x:v>2.5</x:v>
      </x:c>
      <x:c r="K276" t="n">
        <x:f>IF(OR(I276=0,H276=0,F276=""),"",F276/H276)</x:f>
        <x:v>0.4</x:v>
      </x:c>
      <x:c r="L276" t="str">
        <x:f>IF(OR(I276=0,F276="",G276="",F276=0,G276=0),"",H276/(F276*G276))</x:f>
      </x:c>
      <x:c r="M276" t="n">
        <x:f>IF(J276="","",J276/_xlfn.MAXIFS($J:$J,$D:$D,D276))</x:f>
        <x:v>0.04642857142857143</x:v>
      </x:c>
      <x:c r="N276" t="str">
        <x:f>IF(L276="","",L276/_xlfn.MAXIFS($L:$L,$D:$D,D276))</x:f>
      </x:c>
      <x:c r="O276" t="str">
        <x:f>IF(OR(M276="",N276=""),"",SQRT(M276*N276))</x:f>
      </x:c>
      <x:c r="P276" t="str">
        <x:f>IF(OR(M276="",N276=""),"",M276^0.7*N276^0.3)</x:f>
      </x:c>
      <x:c r="Q276" t="str">
        <x:f>IF(OR(M276="",N276=""),"",M276^0.3*N276^0.7)</x:f>
      </x:c>
    </x:row>
    <x:row r="277">
      <x:c r="A277" t="inlineStr">
        <x:is>
          <x:t xml:space="preserve">kimi|kimi-k3|max|reasoning|fallback-na</x:t>
        </x:is>
      </x:c>
      <x:c r="B277" t="inlineStr">
        <x:is>
          <x:t xml:space="preserve">AA|v4.3.2</x:t>
        </x:is>
      </x:c>
      <x:c r="C277" t="n">
        <x:v>36</x:v>
      </x:c>
      <x:c r="D277" t="n">
        <x:v>45</x:v>
      </x:c>
      <x:c r="E277" t="n">
        <x:f>INDEX(Model_TestVersion_Stats!$W:$W,C277)</x:f>
        <x:v>44</x:v>
      </x:c>
      <x:c r="F277" t="n">
        <x:f>INDEX(Model_TestVersion_Stats!$O:$O,C277)</x:f>
        <x:v>2</x:v>
      </x:c>
      <x:c r="G277" t="str">
        <x:f>IF(INDEX(Model_TestVersion_Stats!$R:$R,C277)="","",INDEX(Model_TestVersion_Stats!$R:$R,C277)/60)</x:f>
      </x:c>
      <x:c r="H277" t="n">
        <x:f>IF(E277="","",E277-(D277-1))</x:f>
        <x:v>0</x:v>
      </x:c>
      <x:c r="I277" t="n">
        <x:f>IF(H277&gt;0,1,0)</x:f>
        <x:v>0</x:v>
      </x:c>
      <x:c r="J277" t="str">
        <x:f>IF(OR(I277=0,F277="",F277=0),"",H277/F277)</x:f>
      </x:c>
      <x:c r="K277" t="str">
        <x:f>IF(OR(I277=0,H277=0,F277=""),"",F277/H277)</x:f>
      </x:c>
      <x:c r="L277" t="str">
        <x:f>IF(OR(I277=0,F277="",G277="",F277=0,G277=0),"",H277/(F277*G277))</x:f>
      </x:c>
      <x:c r="M277" t="str">
        <x:f>IF(J277="","",J277/_xlfn.MAXIFS($J:$J,$D:$D,D277))</x:f>
      </x:c>
      <x:c r="N277" t="str">
        <x:f>IF(L277="","",L277/_xlfn.MAXIFS($L:$L,$D:$D,D277))</x:f>
      </x:c>
      <x:c r="O277" t="str">
        <x:f>IF(OR(M277="",N277=""),"",SQRT(M277*N277))</x:f>
      </x:c>
      <x:c r="P277" t="str">
        <x:f>IF(OR(M277="",N277=""),"",M277^0.7*N277^0.3)</x:f>
      </x:c>
      <x:c r="Q277" t="str">
        <x:f>IF(OR(M277="",N277=""),"",M277^0.3*N277^0.7)</x:f>
      </x:c>
    </x:row>
    <x:row r="278">
      <x:c r="A278" t="inlineStr">
        <x:is>
          <x:t xml:space="preserve">kimi|kimi-k3|max|reasoning|fallback-na</x:t>
        </x:is>
      </x:c>
      <x:c r="B278" t="inlineStr">
        <x:is>
          <x:t xml:space="preserve">AA|v4.3.2</x:t>
        </x:is>
      </x:c>
      <x:c r="C278" t="n">
        <x:v>36</x:v>
      </x:c>
      <x:c r="D278" t="n">
        <x:v>50</x:v>
      </x:c>
      <x:c r="E278" t="n">
        <x:f>INDEX(Model_TestVersion_Stats!$W:$W,C278)</x:f>
        <x:v>44</x:v>
      </x:c>
      <x:c r="F278" t="n">
        <x:f>INDEX(Model_TestVersion_Stats!$O:$O,C278)</x:f>
        <x:v>2</x:v>
      </x:c>
      <x:c r="G278" t="str">
        <x:f>IF(INDEX(Model_TestVersion_Stats!$R:$R,C278)="","",INDEX(Model_TestVersion_Stats!$R:$R,C278)/60)</x:f>
      </x:c>
      <x:c r="H278" t="n">
        <x:f>IF(E278="","",E278-(D278-1))</x:f>
        <x:v>-5</x:v>
      </x:c>
      <x:c r="I278" t="n">
        <x:f>IF(H278&gt;0,1,0)</x:f>
        <x:v>0</x:v>
      </x:c>
      <x:c r="J278" t="str">
        <x:f>IF(OR(I278=0,F278="",F278=0),"",H278/F278)</x:f>
      </x:c>
      <x:c r="K278" t="str">
        <x:f>IF(OR(I278=0,H278=0,F278=""),"",F278/H278)</x:f>
      </x:c>
      <x:c r="L278" t="str">
        <x:f>IF(OR(I278=0,F278="",G278="",F278=0,G278=0),"",H278/(F278*G278))</x:f>
      </x:c>
      <x:c r="M278" t="str">
        <x:f>IF(J278="","",J278/_xlfn.MAXIFS($J:$J,$D:$D,D278))</x:f>
      </x:c>
      <x:c r="N278" t="str">
        <x:f>IF(L278="","",L278/_xlfn.MAXIFS($L:$L,$D:$D,D278))</x:f>
      </x:c>
      <x:c r="O278" t="str">
        <x:f>IF(OR(M278="",N278=""),"",SQRT(M278*N278))</x:f>
      </x:c>
      <x:c r="P278" t="str">
        <x:f>IF(OR(M278="",N278=""),"",M278^0.7*N278^0.3)</x:f>
      </x:c>
      <x:c r="Q278" t="str">
        <x:f>IF(OR(M278="",N278=""),"",M278^0.3*N278^0.7)</x:f>
      </x:c>
    </x:row>
    <x:row r="279">
      <x:c r="A279" t="inlineStr">
        <x:is>
          <x:t xml:space="preserve">kimi|kimi-k3|max|reasoning|fallback-na</x:t>
        </x:is>
      </x:c>
      <x:c r="B279" t="inlineStr">
        <x:is>
          <x:t xml:space="preserve">AA|v4.3.2</x:t>
        </x:is>
      </x:c>
      <x:c r="C279" t="n">
        <x:v>36</x:v>
      </x:c>
      <x:c r="D279" t="n">
        <x:v>52</x:v>
      </x:c>
      <x:c r="E279" t="n">
        <x:f>INDEX(Model_TestVersion_Stats!$W:$W,C279)</x:f>
        <x:v>44</x:v>
      </x:c>
      <x:c r="F279" t="n">
        <x:f>INDEX(Model_TestVersion_Stats!$O:$O,C279)</x:f>
        <x:v>2</x:v>
      </x:c>
      <x:c r="G279" t="str">
        <x:f>IF(INDEX(Model_TestVersion_Stats!$R:$R,C279)="","",INDEX(Model_TestVersion_Stats!$R:$R,C279)/60)</x:f>
      </x:c>
      <x:c r="H279" t="n">
        <x:f>IF(E279="","",E279-(D279-1))</x:f>
        <x:v>-7</x:v>
      </x:c>
      <x:c r="I279" t="n">
        <x:f>IF(H279&gt;0,1,0)</x:f>
        <x:v>0</x:v>
      </x:c>
      <x:c r="J279" t="str">
        <x:f>IF(OR(I279=0,F279="",F279=0),"",H279/F279)</x:f>
      </x:c>
      <x:c r="K279" t="str">
        <x:f>IF(OR(I279=0,H279=0,F279=""),"",F279/H279)</x:f>
      </x:c>
      <x:c r="L279" t="str">
        <x:f>IF(OR(I279=0,F279="",G279="",F279=0,G279=0),"",H279/(F279*G279))</x:f>
      </x:c>
      <x:c r="M279" t="str">
        <x:f>IF(J279="","",J279/_xlfn.MAXIFS($J:$J,$D:$D,D279))</x:f>
      </x:c>
      <x:c r="N279" t="str">
        <x:f>IF(L279="","",L279/_xlfn.MAXIFS($L:$L,$D:$D,D279))</x:f>
      </x:c>
      <x:c r="O279" t="str">
        <x:f>IF(OR(M279="",N279=""),"",SQRT(M279*N279))</x:f>
      </x:c>
      <x:c r="P279" t="str">
        <x:f>IF(OR(M279="",N279=""),"",M279^0.7*N279^0.3)</x:f>
      </x:c>
      <x:c r="Q279" t="str">
        <x:f>IF(OR(M279="",N279=""),"",M279^0.3*N279^0.7)</x:f>
      </x:c>
    </x:row>
    <x:row r="280">
      <x:c r="A280" t="inlineStr">
        <x:is>
          <x:t xml:space="preserve">kimi|kimi-k3|max|reasoning|fallback-na</x:t>
        </x:is>
      </x:c>
      <x:c r="B280" t="inlineStr">
        <x:is>
          <x:t xml:space="preserve">AA|v4.3.2</x:t>
        </x:is>
      </x:c>
      <x:c r="C280" t="n">
        <x:v>36</x:v>
      </x:c>
      <x:c r="D280" t="n">
        <x:v>65</x:v>
      </x:c>
      <x:c r="E280" t="n">
        <x:f>INDEX(Model_TestVersion_Stats!$W:$W,C280)</x:f>
        <x:v>44</x:v>
      </x:c>
      <x:c r="F280" t="n">
        <x:f>INDEX(Model_TestVersion_Stats!$O:$O,C280)</x:f>
        <x:v>2</x:v>
      </x:c>
      <x:c r="G280" t="str">
        <x:f>IF(INDEX(Model_TestVersion_Stats!$R:$R,C280)="","",INDEX(Model_TestVersion_Stats!$R:$R,C280)/60)</x:f>
      </x:c>
      <x:c r="H280" t="n">
        <x:f>IF(E280="","",E280-(D280-1))</x:f>
        <x:v>-20</x:v>
      </x:c>
      <x:c r="I280" t="n">
        <x:f>IF(H280&gt;0,1,0)</x:f>
        <x:v>0</x:v>
      </x:c>
      <x:c r="J280" t="str">
        <x:f>IF(OR(I280=0,F280="",F280=0),"",H280/F280)</x:f>
      </x:c>
      <x:c r="K280" t="str">
        <x:f>IF(OR(I280=0,H280=0,F280=""),"",F280/H280)</x:f>
      </x:c>
      <x:c r="L280" t="str">
        <x:f>IF(OR(I280=0,F280="",G280="",F280=0,G280=0),"",H280/(F280*G280))</x:f>
      </x:c>
      <x:c r="M280" t="str">
        <x:f>IF(J280="","",J280/_xlfn.MAXIFS($J:$J,$D:$D,D280))</x:f>
      </x:c>
      <x:c r="N280" t="str">
        <x:f>IF(L280="","",L280/_xlfn.MAXIFS($L:$L,$D:$D,D280))</x:f>
      </x:c>
      <x:c r="O280" t="str">
        <x:f>IF(OR(M280="",N280=""),"",SQRT(M280*N280))</x:f>
      </x:c>
      <x:c r="P280" t="str">
        <x:f>IF(OR(M280="",N280=""),"",M280^0.7*N280^0.3)</x:f>
      </x:c>
      <x:c r="Q280" t="str">
        <x:f>IF(OR(M280="",N280=""),"",M280^0.3*N280^0.7)</x:f>
      </x:c>
    </x:row>
    <x:row r="281">
      <x:c r="A281" t="inlineStr">
        <x:is>
          <x:t xml:space="preserve">kimi|kimi-k3|max|reasoning|fallback-na</x:t>
        </x:is>
      </x:c>
      <x:c r="B281" t="inlineStr">
        <x:is>
          <x:t xml:space="preserve">AA|v4.3.2</x:t>
        </x:is>
      </x:c>
      <x:c r="C281" t="n">
        <x:v>36</x:v>
      </x:c>
      <x:c r="D281" t="n">
        <x:v>80</x:v>
      </x:c>
      <x:c r="E281" t="n">
        <x:f>INDEX(Model_TestVersion_Stats!$W:$W,C281)</x:f>
        <x:v>44</x:v>
      </x:c>
      <x:c r="F281" t="n">
        <x:f>INDEX(Model_TestVersion_Stats!$O:$O,C281)</x:f>
        <x:v>2</x:v>
      </x:c>
      <x:c r="G281" t="str">
        <x:f>IF(INDEX(Model_TestVersion_Stats!$R:$R,C281)="","",INDEX(Model_TestVersion_Stats!$R:$R,C281)/60)</x:f>
      </x:c>
      <x:c r="H281" t="n">
        <x:f>IF(E281="","",E281-(D281-1))</x:f>
        <x:v>-35</x:v>
      </x:c>
      <x:c r="I281" t="n">
        <x:f>IF(H281&gt;0,1,0)</x:f>
        <x:v>0</x:v>
      </x:c>
      <x:c r="J281" t="str">
        <x:f>IF(OR(I281=0,F281="",F281=0),"",H281/F281)</x:f>
      </x:c>
      <x:c r="K281" t="str">
        <x:f>IF(OR(I281=0,H281=0,F281=""),"",F281/H281)</x:f>
      </x:c>
      <x:c r="L281" t="str">
        <x:f>IF(OR(I281=0,F281="",G281="",F281=0,G281=0),"",H281/(F281*G281))</x:f>
      </x:c>
      <x:c r="M281" t="str">
        <x:f>IF(J281="","",J281/_xlfn.MAXIFS($J:$J,$D:$D,D281))</x:f>
      </x:c>
      <x:c r="N281" t="str">
        <x:f>IF(L281="","",L281/_xlfn.MAXIFS($L:$L,$D:$D,D281))</x:f>
      </x:c>
      <x:c r="O281" t="str">
        <x:f>IF(OR(M281="",N281=""),"",SQRT(M281*N281))</x:f>
      </x:c>
      <x:c r="P281" t="str">
        <x:f>IF(OR(M281="",N281=""),"",M281^0.7*N281^0.3)</x:f>
      </x:c>
      <x:c r="Q281" t="str">
        <x:f>IF(OR(M281="",N281=""),"",M281^0.3*N281^0.7)</x:f>
      </x:c>
    </x:row>
    <x:row r="282">
      <x:c r="A282" t="inlineStr">
        <x:is>
          <x:t xml:space="preserve">meta|muse-spark-1.3|max|reasoning|fallback-na</x:t>
        </x:is>
      </x:c>
      <x:c r="B282" t="inlineStr">
        <x:is>
          <x:t xml:space="preserve">AA|v4.3.2</x:t>
        </x:is>
      </x:c>
      <x:c r="C282" t="n">
        <x:v>37</x:v>
      </x:c>
      <x:c r="D282" t="n">
        <x:v>20</x:v>
      </x:c>
      <x:c r="E282" t="n">
        <x:f>INDEX(Model_TestVersion_Stats!$W:$W,C282)</x:f>
        <x:v>48</x:v>
      </x:c>
      <x:c r="F282" t="n">
        <x:f>INDEX(Model_TestVersion_Stats!$O:$O,C282)</x:f>
        <x:v>1.6</x:v>
      </x:c>
      <x:c r="G282" t="n">
        <x:f>IF(INDEX(Model_TestVersion_Stats!$R:$R,C282)="","",INDEX(Model_TestVersion_Stats!$R:$R,C282)/60)</x:f>
        <x:v>5.212833333333333</x:v>
      </x:c>
      <x:c r="H282" t="n">
        <x:f>IF(E282="","",E282-(D282-1))</x:f>
        <x:v>29</x:v>
      </x:c>
      <x:c r="I282" t="n">
        <x:f>IF(H282&gt;0,1,0)</x:f>
        <x:v>1</x:v>
      </x:c>
      <x:c r="J282" t="n">
        <x:f>IF(OR(I282=0,F282="",F282=0),"",H282/F282)</x:f>
        <x:v>18.125</x:v>
      </x:c>
      <x:c r="K282" t="n">
        <x:f>IF(OR(I282=0,H282=0,F282=""),"",F282/H282)</x:f>
        <x:v>0.055172413793103454</x:v>
      </x:c>
      <x:c r="L282" t="n">
        <x:f>IF(OR(I282=0,F282="",G282="",F282=0,G282=0),"",H282/(F282*G282))</x:f>
        <x:v>3.4769958755635133</x:v>
      </x:c>
      <x:c r="M282" t="n">
        <x:f>IF(J282="","",J282/_xlfn.MAXIFS($J:$J,$D:$D,D282))</x:f>
        <x:v>0.032625</x:v>
      </x:c>
      <x:c r="N282" t="n">
        <x:f>IF(L282="","",L282/_xlfn.MAXIFS($L:$L,$D:$D,D282))</x:f>
        <x:v>0.0014738985516513734</x:v>
      </x:c>
      <x:c r="O282" t="n">
        <x:f>IF(OR(M282="",N282=""),"",SQRT(M282*N282))</x:f>
        <x:v>0.006934402659755637</x:v>
      </x:c>
      <x:c r="P282" t="n">
        <x:f>IF(OR(M282="",N282=""),"",M282^0.7*N282^0.3)</x:f>
        <x:v>0.012883256155227939</x:v>
      </x:c>
      <x:c r="Q282" t="n">
        <x:f>IF(OR(M282="",N282=""),"",M282^0.3*N282^0.7)</x:f>
        <x:v>0.003732436867531593</x:v>
      </x:c>
    </x:row>
    <x:row r="283">
      <x:c r="A283" t="inlineStr">
        <x:is>
          <x:t xml:space="preserve">meta|muse-spark-1.3|max|reasoning|fallback-na</x:t>
        </x:is>
      </x:c>
      <x:c r="B283" t="inlineStr">
        <x:is>
          <x:t xml:space="preserve">AA|v4.3.2</x:t>
        </x:is>
      </x:c>
      <x:c r="C283" t="n">
        <x:v>37</x:v>
      </x:c>
      <x:c r="D283" t="n">
        <x:v>30</x:v>
      </x:c>
      <x:c r="E283" t="n">
        <x:f>INDEX(Model_TestVersion_Stats!$W:$W,C283)</x:f>
        <x:v>48</x:v>
      </x:c>
      <x:c r="F283" t="n">
        <x:f>INDEX(Model_TestVersion_Stats!$O:$O,C283)</x:f>
        <x:v>1.6</x:v>
      </x:c>
      <x:c r="G283" t="n">
        <x:f>IF(INDEX(Model_TestVersion_Stats!$R:$R,C283)="","",INDEX(Model_TestVersion_Stats!$R:$R,C283)/60)</x:f>
        <x:v>5.212833333333333</x:v>
      </x:c>
      <x:c r="H283" t="n">
        <x:f>IF(E283="","",E283-(D283-1))</x:f>
        <x:v>19</x:v>
      </x:c>
      <x:c r="I283" t="n">
        <x:f>IF(H283&gt;0,1,0)</x:f>
        <x:v>1</x:v>
      </x:c>
      <x:c r="J283" t="n">
        <x:f>IF(OR(I283=0,F283="",F283=0),"",H283/F283)</x:f>
        <x:v>11.875</x:v>
      </x:c>
      <x:c r="K283" t="n">
        <x:f>IF(OR(I283=0,H283=0,F283=""),"",F283/H283)</x:f>
        <x:v>0.08421052631578947</x:v>
      </x:c>
      <x:c r="L283" t="n">
        <x:f>IF(OR(I283=0,F283="",G283="",F283=0,G283=0),"",H283/(F283*G283))</x:f>
        <x:v>2.278031780541612</x:v>
      </x:c>
      <x:c r="M283" t="n">
        <x:f>IF(J283="","",J283/_xlfn.MAXIFS($J:$J,$D:$D,D283))</x:f>
        <x:v>0.07916666666666666</x:v>
      </x:c>
      <x:c r="N283" t="n">
        <x:f>IF(L283="","",L283/_xlfn.MAXIFS($L:$L,$D:$D,D283))</x:f>
        <x:v>0.04054213159829907</x:v>
      </x:c>
      <x:c r="O283" t="n">
        <x:f>IF(OR(M283="",N283=""),"",SQRT(M283*N283))</x:f>
        <x:v>0.05665320307095333</x:v>
      </x:c>
      <x:c r="P283" t="n">
        <x:f>IF(OR(M283="",N283=""),"",M283^0.7*N283^0.3)</x:f>
        <x:v>0.06476667849173529</x:v>
      </x:c>
      <x:c r="Q283" t="n">
        <x:f>IF(OR(M283="",N283=""),"",M283^0.3*N283^0.7)</x:f>
        <x:v>0.049556121958735995</x:v>
      </x:c>
    </x:row>
    <x:row r="284">
      <x:c r="A284" t="inlineStr">
        <x:is>
          <x:t xml:space="preserve">meta|muse-spark-1.3|max|reasoning|fallback-na</x:t>
        </x:is>
      </x:c>
      <x:c r="B284" t="inlineStr">
        <x:is>
          <x:t xml:space="preserve">AA|v4.3.2</x:t>
        </x:is>
      </x:c>
      <x:c r="C284" t="n">
        <x:v>37</x:v>
      </x:c>
      <x:c r="D284" t="n">
        <x:v>40</x:v>
      </x:c>
      <x:c r="E284" t="n">
        <x:f>INDEX(Model_TestVersion_Stats!$W:$W,C284)</x:f>
        <x:v>48</x:v>
      </x:c>
      <x:c r="F284" t="n">
        <x:f>INDEX(Model_TestVersion_Stats!$O:$O,C284)</x:f>
        <x:v>1.6</x:v>
      </x:c>
      <x:c r="G284" t="n">
        <x:f>IF(INDEX(Model_TestVersion_Stats!$R:$R,C284)="","",INDEX(Model_TestVersion_Stats!$R:$R,C284)/60)</x:f>
        <x:v>5.212833333333333</x:v>
      </x:c>
      <x:c r="H284" t="n">
        <x:f>IF(E284="","",E284-(D284-1))</x:f>
        <x:v>9</x:v>
      </x:c>
      <x:c r="I284" t="n">
        <x:f>IF(H284&gt;0,1,0)</x:f>
        <x:v>1</x:v>
      </x:c>
      <x:c r="J284" t="n">
        <x:f>IF(OR(I284=0,F284="",F284=0),"",H284/F284)</x:f>
        <x:v>5.625</x:v>
      </x:c>
      <x:c r="K284" t="n">
        <x:f>IF(OR(I284=0,H284=0,F284=""),"",F284/H284)</x:f>
        <x:v>0.17777777777777778</x:v>
      </x:c>
      <x:c r="L284" t="n">
        <x:f>IF(OR(I284=0,F284="",G284="",F284=0,G284=0),"",H284/(F284*G284))</x:f>
        <x:v>1.079067685519711</x:v>
      </x:c>
      <x:c r="M284" t="n">
        <x:f>IF(J284="","",J284/_xlfn.MAXIFS($J:$J,$D:$D,D284))</x:f>
        <x:v>0.10446428571428572</x:v>
      </x:c>
      <x:c r="N284" t="n">
        <x:f>IF(L284="","",L284/_xlfn.MAXIFS($L:$L,$D:$D,D284))</x:f>
        <x:v>0.17905278410881567</x:v>
      </x:c>
      <x:c r="O284" t="n">
        <x:f>IF(OR(M284="",N284=""),"",SQRT(M284*N284))</x:f>
        <x:v>0.13676483903796924</x:v>
      </x:c>
      <x:c r="P284" t="n">
        <x:f>IF(OR(M284="",N284=""),"",M284^0.7*N284^0.3)</x:f>
        <x:v>0.12279249133237362</x:v>
      </x:c>
      <x:c r="Q284" t="n">
        <x:f>IF(OR(M284="",N284=""),"",M284^0.3*N284^0.7)</x:f>
        <x:v>0.15232707630674372</x:v>
      </x:c>
    </x:row>
    <x:row r="285">
      <x:c r="A285" t="inlineStr">
        <x:is>
          <x:t xml:space="preserve">meta|muse-spark-1.3|max|reasoning|fallback-na</x:t>
        </x:is>
      </x:c>
      <x:c r="B285" t="inlineStr">
        <x:is>
          <x:t xml:space="preserve">AA|v4.3.2</x:t>
        </x:is>
      </x:c>
      <x:c r="C285" t="n">
        <x:v>37</x:v>
      </x:c>
      <x:c r="D285" t="n">
        <x:v>45</x:v>
      </x:c>
      <x:c r="E285" t="n">
        <x:f>INDEX(Model_TestVersion_Stats!$W:$W,C285)</x:f>
        <x:v>48</x:v>
      </x:c>
      <x:c r="F285" t="n">
        <x:f>INDEX(Model_TestVersion_Stats!$O:$O,C285)</x:f>
        <x:v>1.6</x:v>
      </x:c>
      <x:c r="G285" t="n">
        <x:f>IF(INDEX(Model_TestVersion_Stats!$R:$R,C285)="","",INDEX(Model_TestVersion_Stats!$R:$R,C285)/60)</x:f>
        <x:v>5.212833333333333</x:v>
      </x:c>
      <x:c r="H285" t="n">
        <x:f>IF(E285="","",E285-(D285-1))</x:f>
        <x:v>4</x:v>
      </x:c>
      <x:c r="I285" t="n">
        <x:f>IF(H285&gt;0,1,0)</x:f>
        <x:v>1</x:v>
      </x:c>
      <x:c r="J285" t="n">
        <x:f>IF(OR(I285=0,F285="",F285=0),"",H285/F285)</x:f>
        <x:v>2.5</x:v>
      </x:c>
      <x:c r="K285" t="n">
        <x:f>IF(OR(I285=0,H285=0,F285=""),"",F285/H285)</x:f>
        <x:v>0.4</x:v>
      </x:c>
      <x:c r="L285" t="n">
        <x:f>IF(OR(I285=0,F285="",G285="",F285=0,G285=0),"",H285/(F285*G285))</x:f>
        <x:v>0.4795856380087604</x:v>
      </x:c>
      <x:c r="M285" t="n">
        <x:f>IF(J285="","",J285/_xlfn.MAXIFS($J:$J,$D:$D,D285))</x:f>
        <x:v>0.13125</x:v>
      </x:c>
      <x:c r="N285" t="n">
        <x:f>IF(L285="","",L285/_xlfn.MAXIFS($L:$L,$D:$D,D285))</x:f>
        <x:v>0.2785265530581577</x:v>
      </x:c>
      <x:c r="O285" t="n">
        <x:f>IF(OR(M285="",N285=""),"",SQRT(M285*N285))</x:f>
        <x:v>0.19119782971802585</x:v>
      </x:c>
      <x:c r="P285" t="n">
        <x:f>IF(OR(M285="",N285=""),"",M285^0.7*N285^0.3)</x:f>
        <x:v>0.1644862122218558</x:v>
      </x:c>
      <x:c r="Q285" t="n">
        <x:f>IF(OR(M285="",N285=""),"",M285^0.3*N285^0.7)</x:f>
        <x:v>0.22224726069791412</x:v>
      </x:c>
    </x:row>
    <x:row r="286">
      <x:c r="A286" t="inlineStr">
        <x:is>
          <x:t xml:space="preserve">meta|muse-spark-1.3|max|reasoning|fallback-na</x:t>
        </x:is>
      </x:c>
      <x:c r="B286" t="inlineStr">
        <x:is>
          <x:t xml:space="preserve">AA|v4.3.2</x:t>
        </x:is>
      </x:c>
      <x:c r="C286" t="n">
        <x:v>37</x:v>
      </x:c>
      <x:c r="D286" t="n">
        <x:v>50</x:v>
      </x:c>
      <x:c r="E286" t="n">
        <x:f>INDEX(Model_TestVersion_Stats!$W:$W,C286)</x:f>
        <x:v>48</x:v>
      </x:c>
      <x:c r="F286" t="n">
        <x:f>INDEX(Model_TestVersion_Stats!$O:$O,C286)</x:f>
        <x:v>1.6</x:v>
      </x:c>
      <x:c r="G286" t="n">
        <x:f>IF(INDEX(Model_TestVersion_Stats!$R:$R,C286)="","",INDEX(Model_TestVersion_Stats!$R:$R,C286)/60)</x:f>
        <x:v>5.212833333333333</x:v>
      </x:c>
      <x:c r="H286" t="n">
        <x:f>IF(E286="","",E286-(D286-1))</x:f>
        <x:v>-1</x:v>
      </x:c>
      <x:c r="I286" t="n">
        <x:f>IF(H286&gt;0,1,0)</x:f>
        <x:v>0</x:v>
      </x:c>
      <x:c r="J286" t="str">
        <x:f>IF(OR(I286=0,F286="",F286=0),"",H286/F286)</x:f>
      </x:c>
      <x:c r="K286" t="str">
        <x:f>IF(OR(I286=0,H286=0,F286=""),"",F286/H286)</x:f>
      </x:c>
      <x:c r="L286" t="str">
        <x:f>IF(OR(I286=0,F286="",G286="",F286=0,G286=0),"",H286/(F286*G286))</x:f>
      </x:c>
      <x:c r="M286" t="str">
        <x:f>IF(J286="","",J286/_xlfn.MAXIFS($J:$J,$D:$D,D286))</x:f>
      </x:c>
      <x:c r="N286" t="str">
        <x:f>IF(L286="","",L286/_xlfn.MAXIFS($L:$L,$D:$D,D286))</x:f>
      </x:c>
      <x:c r="O286" t="str">
        <x:f>IF(OR(M286="",N286=""),"",SQRT(M286*N286))</x:f>
      </x:c>
      <x:c r="P286" t="str">
        <x:f>IF(OR(M286="",N286=""),"",M286^0.7*N286^0.3)</x:f>
      </x:c>
      <x:c r="Q286" t="str">
        <x:f>IF(OR(M286="",N286=""),"",M286^0.3*N286^0.7)</x:f>
      </x:c>
    </x:row>
    <x:row r="287">
      <x:c r="A287" t="inlineStr">
        <x:is>
          <x:t xml:space="preserve">meta|muse-spark-1.3|max|reasoning|fallback-na</x:t>
        </x:is>
      </x:c>
      <x:c r="B287" t="inlineStr">
        <x:is>
          <x:t xml:space="preserve">AA|v4.3.2</x:t>
        </x:is>
      </x:c>
      <x:c r="C287" t="n">
        <x:v>37</x:v>
      </x:c>
      <x:c r="D287" t="n">
        <x:v>52</x:v>
      </x:c>
      <x:c r="E287" t="n">
        <x:f>INDEX(Model_TestVersion_Stats!$W:$W,C287)</x:f>
        <x:v>48</x:v>
      </x:c>
      <x:c r="F287" t="n">
        <x:f>INDEX(Model_TestVersion_Stats!$O:$O,C287)</x:f>
        <x:v>1.6</x:v>
      </x:c>
      <x:c r="G287" t="n">
        <x:f>IF(INDEX(Model_TestVersion_Stats!$R:$R,C287)="","",INDEX(Model_TestVersion_Stats!$R:$R,C287)/60)</x:f>
        <x:v>5.212833333333333</x:v>
      </x:c>
      <x:c r="H287" t="n">
        <x:f>IF(E287="","",E287-(D287-1))</x:f>
        <x:v>-3</x:v>
      </x:c>
      <x:c r="I287" t="n">
        <x:f>IF(H287&gt;0,1,0)</x:f>
        <x:v>0</x:v>
      </x:c>
      <x:c r="J287" t="str">
        <x:f>IF(OR(I287=0,F287="",F287=0),"",H287/F287)</x:f>
      </x:c>
      <x:c r="K287" t="str">
        <x:f>IF(OR(I287=0,H287=0,F287=""),"",F287/H287)</x:f>
      </x:c>
      <x:c r="L287" t="str">
        <x:f>IF(OR(I287=0,F287="",G287="",F287=0,G287=0),"",H287/(F287*G287))</x:f>
      </x:c>
      <x:c r="M287" t="str">
        <x:f>IF(J287="","",J287/_xlfn.MAXIFS($J:$J,$D:$D,D287))</x:f>
      </x:c>
      <x:c r="N287" t="str">
        <x:f>IF(L287="","",L287/_xlfn.MAXIFS($L:$L,$D:$D,D287))</x:f>
      </x:c>
      <x:c r="O287" t="str">
        <x:f>IF(OR(M287="",N287=""),"",SQRT(M287*N287))</x:f>
      </x:c>
      <x:c r="P287" t="str">
        <x:f>IF(OR(M287="",N287=""),"",M287^0.7*N287^0.3)</x:f>
      </x:c>
      <x:c r="Q287" t="str">
        <x:f>IF(OR(M287="",N287=""),"",M287^0.3*N287^0.7)</x:f>
      </x:c>
    </x:row>
    <x:row r="288">
      <x:c r="A288" t="inlineStr">
        <x:is>
          <x:t xml:space="preserve">meta|muse-spark-1.3|max|reasoning|fallback-na</x:t>
        </x:is>
      </x:c>
      <x:c r="B288" t="inlineStr">
        <x:is>
          <x:t xml:space="preserve">AA|v4.3.2</x:t>
        </x:is>
      </x:c>
      <x:c r="C288" t="n">
        <x:v>37</x:v>
      </x:c>
      <x:c r="D288" t="n">
        <x:v>65</x:v>
      </x:c>
      <x:c r="E288" t="n">
        <x:f>INDEX(Model_TestVersion_Stats!$W:$W,C288)</x:f>
        <x:v>48</x:v>
      </x:c>
      <x:c r="F288" t="n">
        <x:f>INDEX(Model_TestVersion_Stats!$O:$O,C288)</x:f>
        <x:v>1.6</x:v>
      </x:c>
      <x:c r="G288" t="n">
        <x:f>IF(INDEX(Model_TestVersion_Stats!$R:$R,C288)="","",INDEX(Model_TestVersion_Stats!$R:$R,C288)/60)</x:f>
        <x:v>5.212833333333333</x:v>
      </x:c>
      <x:c r="H288" t="n">
        <x:f>IF(E288="","",E288-(D288-1))</x:f>
        <x:v>-16</x:v>
      </x:c>
      <x:c r="I288" t="n">
        <x:f>IF(H288&gt;0,1,0)</x:f>
        <x:v>0</x:v>
      </x:c>
      <x:c r="J288" t="str">
        <x:f>IF(OR(I288=0,F288="",F288=0),"",H288/F288)</x:f>
      </x:c>
      <x:c r="K288" t="str">
        <x:f>IF(OR(I288=0,H288=0,F288=""),"",F288/H288)</x:f>
      </x:c>
      <x:c r="L288" t="str">
        <x:f>IF(OR(I288=0,F288="",G288="",F288=0,G288=0),"",H288/(F288*G288))</x:f>
      </x:c>
      <x:c r="M288" t="str">
        <x:f>IF(J288="","",J288/_xlfn.MAXIFS($J:$J,$D:$D,D288))</x:f>
      </x:c>
      <x:c r="N288" t="str">
        <x:f>IF(L288="","",L288/_xlfn.MAXIFS($L:$L,$D:$D,D288))</x:f>
      </x:c>
      <x:c r="O288" t="str">
        <x:f>IF(OR(M288="",N288=""),"",SQRT(M288*N288))</x:f>
      </x:c>
      <x:c r="P288" t="str">
        <x:f>IF(OR(M288="",N288=""),"",M288^0.7*N288^0.3)</x:f>
      </x:c>
      <x:c r="Q288" t="str">
        <x:f>IF(OR(M288="",N288=""),"",M288^0.3*N288^0.7)</x:f>
      </x:c>
    </x:row>
    <x:row r="289">
      <x:c r="A289" t="inlineStr">
        <x:is>
          <x:t xml:space="preserve">meta|muse-spark-1.3|max|reasoning|fallback-na</x:t>
        </x:is>
      </x:c>
      <x:c r="B289" t="inlineStr">
        <x:is>
          <x:t xml:space="preserve">AA|v4.3.2</x:t>
        </x:is>
      </x:c>
      <x:c r="C289" t="n">
        <x:v>37</x:v>
      </x:c>
      <x:c r="D289" t="n">
        <x:v>80</x:v>
      </x:c>
      <x:c r="E289" t="n">
        <x:f>INDEX(Model_TestVersion_Stats!$W:$W,C289)</x:f>
        <x:v>48</x:v>
      </x:c>
      <x:c r="F289" t="n">
        <x:f>INDEX(Model_TestVersion_Stats!$O:$O,C289)</x:f>
        <x:v>1.6</x:v>
      </x:c>
      <x:c r="G289" t="n">
        <x:f>IF(INDEX(Model_TestVersion_Stats!$R:$R,C289)="","",INDEX(Model_TestVersion_Stats!$R:$R,C289)/60)</x:f>
        <x:v>5.212833333333333</x:v>
      </x:c>
      <x:c r="H289" t="n">
        <x:f>IF(E289="","",E289-(D289-1))</x:f>
        <x:v>-31</x:v>
      </x:c>
      <x:c r="I289" t="n">
        <x:f>IF(H289&gt;0,1,0)</x:f>
        <x:v>0</x:v>
      </x:c>
      <x:c r="J289" t="str">
        <x:f>IF(OR(I289=0,F289="",F289=0),"",H289/F289)</x:f>
      </x:c>
      <x:c r="K289" t="str">
        <x:f>IF(OR(I289=0,H289=0,F289=""),"",F289/H289)</x:f>
      </x:c>
      <x:c r="L289" t="str">
        <x:f>IF(OR(I289=0,F289="",G289="",F289=0,G289=0),"",H289/(F289*G289))</x:f>
      </x:c>
      <x:c r="M289" t="str">
        <x:f>IF(J289="","",J289/_xlfn.MAXIFS($J:$J,$D:$D,D289))</x:f>
      </x:c>
      <x:c r="N289" t="str">
        <x:f>IF(L289="","",L289/_xlfn.MAXIFS($L:$L,$D:$D,D289))</x:f>
      </x:c>
      <x:c r="O289" t="str">
        <x:f>IF(OR(M289="",N289=""),"",SQRT(M289*N289))</x:f>
      </x:c>
      <x:c r="P289" t="str">
        <x:f>IF(OR(M289="",N289=""),"",M289^0.7*N289^0.3)</x:f>
      </x:c>
      <x:c r="Q289" t="str">
        <x:f>IF(OR(M289="",N289=""),"",M289^0.3*N289^0.7)</x:f>
      </x:c>
    </x:row>
    <x:row r="290">
      <x:c r="A290" t="inlineStr">
        <x:is>
          <x:t xml:space="preserve">meta|muse-spark-1.3|xhigh|reasoning|fallback-na</x:t>
        </x:is>
      </x:c>
      <x:c r="B290" t="inlineStr">
        <x:is>
          <x:t xml:space="preserve">AA|v4.3.2</x:t>
        </x:is>
      </x:c>
      <x:c r="C290" t="n">
        <x:v>38</x:v>
      </x:c>
      <x:c r="D290" t="n">
        <x:v>20</x:v>
      </x:c>
      <x:c r="E290" t="n">
        <x:f>INDEX(Model_TestVersion_Stats!$W:$W,C290)</x:f>
        <x:v>45</x:v>
      </x:c>
      <x:c r="F290" t="n">
        <x:f>INDEX(Model_TestVersion_Stats!$O:$O,C290)</x:f>
        <x:v>1.37</x:v>
      </x:c>
      <x:c r="G290" t="str">
        <x:f>IF(INDEX(Model_TestVersion_Stats!$R:$R,C290)="","",INDEX(Model_TestVersion_Stats!$R:$R,C290)/60)</x:f>
      </x:c>
      <x:c r="H290" t="n">
        <x:f>IF(E290="","",E290-(D290-1))</x:f>
        <x:v>26</x:v>
      </x:c>
      <x:c r="I290" t="n">
        <x:f>IF(H290&gt;0,1,0)</x:f>
        <x:v>1</x:v>
      </x:c>
      <x:c r="J290" t="n">
        <x:f>IF(OR(I290=0,F290="",F290=0),"",H290/F290)</x:f>
        <x:v>18.97810218978102</x:v>
      </x:c>
      <x:c r="K290" t="n">
        <x:f>IF(OR(I290=0,H290=0,F290=""),"",F290/H290)</x:f>
        <x:v>0.0526923076923077</x:v>
      </x:c>
      <x:c r="L290" t="str">
        <x:f>IF(OR(I290=0,F290="",G290="",F290=0,G290=0),"",H290/(F290*G290))</x:f>
      </x:c>
      <x:c r="M290" t="n">
        <x:f>IF(J290="","",J290/_xlfn.MAXIFS($J:$J,$D:$D,D290))</x:f>
        <x:v>0.034160583941605836</x:v>
      </x:c>
      <x:c r="N290" t="str">
        <x:f>IF(L290="","",L290/_xlfn.MAXIFS($L:$L,$D:$D,D290))</x:f>
      </x:c>
      <x:c r="O290" t="str">
        <x:f>IF(OR(M290="",N290=""),"",SQRT(M290*N290))</x:f>
      </x:c>
      <x:c r="P290" t="str">
        <x:f>IF(OR(M290="",N290=""),"",M290^0.7*N290^0.3)</x:f>
      </x:c>
      <x:c r="Q290" t="str">
        <x:f>IF(OR(M290="",N290=""),"",M290^0.3*N290^0.7)</x:f>
      </x:c>
    </x:row>
    <x:row r="291">
      <x:c r="A291" t="inlineStr">
        <x:is>
          <x:t xml:space="preserve">meta|muse-spark-1.3|xhigh|reasoning|fallback-na</x:t>
        </x:is>
      </x:c>
      <x:c r="B291" t="inlineStr">
        <x:is>
          <x:t xml:space="preserve">AA|v4.3.2</x:t>
        </x:is>
      </x:c>
      <x:c r="C291" t="n">
        <x:v>38</x:v>
      </x:c>
      <x:c r="D291" t="n">
        <x:v>30</x:v>
      </x:c>
      <x:c r="E291" t="n">
        <x:f>INDEX(Model_TestVersion_Stats!$W:$W,C291)</x:f>
        <x:v>45</x:v>
      </x:c>
      <x:c r="F291" t="n">
        <x:f>INDEX(Model_TestVersion_Stats!$O:$O,C291)</x:f>
        <x:v>1.37</x:v>
      </x:c>
      <x:c r="G291" t="str">
        <x:f>IF(INDEX(Model_TestVersion_Stats!$R:$R,C291)="","",INDEX(Model_TestVersion_Stats!$R:$R,C291)/60)</x:f>
      </x:c>
      <x:c r="H291" t="n">
        <x:f>IF(E291="","",E291-(D291-1))</x:f>
        <x:v>16</x:v>
      </x:c>
      <x:c r="I291" t="n">
        <x:f>IF(H291&gt;0,1,0)</x:f>
        <x:v>1</x:v>
      </x:c>
      <x:c r="J291" t="n">
        <x:f>IF(OR(I291=0,F291="",F291=0),"",H291/F291)</x:f>
        <x:v>11.678832116788321</x:v>
      </x:c>
      <x:c r="K291" t="n">
        <x:f>IF(OR(I291=0,H291=0,F291=""),"",F291/H291)</x:f>
        <x:v>0.085625</x:v>
      </x:c>
      <x:c r="L291" t="str">
        <x:f>IF(OR(I291=0,F291="",G291="",F291=0,G291=0),"",H291/(F291*G291))</x:f>
      </x:c>
      <x:c r="M291" t="n">
        <x:f>IF(J291="","",J291/_xlfn.MAXIFS($J:$J,$D:$D,D291))</x:f>
        <x:v>0.07785888077858881</x:v>
      </x:c>
      <x:c r="N291" t="str">
        <x:f>IF(L291="","",L291/_xlfn.MAXIFS($L:$L,$D:$D,D291))</x:f>
      </x:c>
      <x:c r="O291" t="str">
        <x:f>IF(OR(M291="",N291=""),"",SQRT(M291*N291))</x:f>
      </x:c>
      <x:c r="P291" t="str">
        <x:f>IF(OR(M291="",N291=""),"",M291^0.7*N291^0.3)</x:f>
      </x:c>
      <x:c r="Q291" t="str">
        <x:f>IF(OR(M291="",N291=""),"",M291^0.3*N291^0.7)</x:f>
      </x:c>
    </x:row>
    <x:row r="292">
      <x:c r="A292" t="inlineStr">
        <x:is>
          <x:t xml:space="preserve">meta|muse-spark-1.3|xhigh|reasoning|fallback-na</x:t>
        </x:is>
      </x:c>
      <x:c r="B292" t="inlineStr">
        <x:is>
          <x:t xml:space="preserve">AA|v4.3.2</x:t>
        </x:is>
      </x:c>
      <x:c r="C292" t="n">
        <x:v>38</x:v>
      </x:c>
      <x:c r="D292" t="n">
        <x:v>40</x:v>
      </x:c>
      <x:c r="E292" t="n">
        <x:f>INDEX(Model_TestVersion_Stats!$W:$W,C292)</x:f>
        <x:v>45</x:v>
      </x:c>
      <x:c r="F292" t="n">
        <x:f>INDEX(Model_TestVersion_Stats!$O:$O,C292)</x:f>
        <x:v>1.37</x:v>
      </x:c>
      <x:c r="G292" t="str">
        <x:f>IF(INDEX(Model_TestVersion_Stats!$R:$R,C292)="","",INDEX(Model_TestVersion_Stats!$R:$R,C292)/60)</x:f>
      </x:c>
      <x:c r="H292" t="n">
        <x:f>IF(E292="","",E292-(D292-1))</x:f>
        <x:v>6</x:v>
      </x:c>
      <x:c r="I292" t="n">
        <x:f>IF(H292&gt;0,1,0)</x:f>
        <x:v>1</x:v>
      </x:c>
      <x:c r="J292" t="n">
        <x:f>IF(OR(I292=0,F292="",F292=0),"",H292/F292)</x:f>
        <x:v>4.37956204379562</x:v>
      </x:c>
      <x:c r="K292" t="n">
        <x:f>IF(OR(I292=0,H292=0,F292=""),"",F292/H292)</x:f>
        <x:v>0.22833333333333336</x:v>
      </x:c>
      <x:c r="L292" t="str">
        <x:f>IF(OR(I292=0,F292="",G292="",F292=0,G292=0),"",H292/(F292*G292))</x:f>
      </x:c>
      <x:c r="M292" t="n">
        <x:f>IF(J292="","",J292/_xlfn.MAXIFS($J:$J,$D:$D,D292))</x:f>
        <x:v>0.08133472367049009</x:v>
      </x:c>
      <x:c r="N292" t="str">
        <x:f>IF(L292="","",L292/_xlfn.MAXIFS($L:$L,$D:$D,D292))</x:f>
      </x:c>
      <x:c r="O292" t="str">
        <x:f>IF(OR(M292="",N292=""),"",SQRT(M292*N292))</x:f>
      </x:c>
      <x:c r="P292" t="str">
        <x:f>IF(OR(M292="",N292=""),"",M292^0.7*N292^0.3)</x:f>
      </x:c>
      <x:c r="Q292" t="str">
        <x:f>IF(OR(M292="",N292=""),"",M292^0.3*N292^0.7)</x:f>
      </x:c>
    </x:row>
    <x:row r="293">
      <x:c r="A293" t="inlineStr">
        <x:is>
          <x:t xml:space="preserve">meta|muse-spark-1.3|xhigh|reasoning|fallback-na</x:t>
        </x:is>
      </x:c>
      <x:c r="B293" t="inlineStr">
        <x:is>
          <x:t xml:space="preserve">AA|v4.3.2</x:t>
        </x:is>
      </x:c>
      <x:c r="C293" t="n">
        <x:v>38</x:v>
      </x:c>
      <x:c r="D293" t="n">
        <x:v>45</x:v>
      </x:c>
      <x:c r="E293" t="n">
        <x:f>INDEX(Model_TestVersion_Stats!$W:$W,C293)</x:f>
        <x:v>45</x:v>
      </x:c>
      <x:c r="F293" t="n">
        <x:f>INDEX(Model_TestVersion_Stats!$O:$O,C293)</x:f>
        <x:v>1.37</x:v>
      </x:c>
      <x:c r="G293" t="str">
        <x:f>IF(INDEX(Model_TestVersion_Stats!$R:$R,C293)="","",INDEX(Model_TestVersion_Stats!$R:$R,C293)/60)</x:f>
      </x:c>
      <x:c r="H293" t="n">
        <x:f>IF(E293="","",E293-(D293-1))</x:f>
        <x:v>1</x:v>
      </x:c>
      <x:c r="I293" t="n">
        <x:f>IF(H293&gt;0,1,0)</x:f>
        <x:v>1</x:v>
      </x:c>
      <x:c r="J293" t="n">
        <x:f>IF(OR(I293=0,F293="",F293=0),"",H293/F293)</x:f>
        <x:v>0.7299270072992701</x:v>
      </x:c>
      <x:c r="K293" t="n">
        <x:f>IF(OR(I293=0,H293=0,F293=""),"",F293/H293)</x:f>
        <x:v>1.37</x:v>
      </x:c>
      <x:c r="L293" t="str">
        <x:f>IF(OR(I293=0,F293="",G293="",F293=0,G293=0),"",H293/(F293*G293))</x:f>
      </x:c>
      <x:c r="M293" t="n">
        <x:f>IF(J293="","",J293/_xlfn.MAXIFS($J:$J,$D:$D,D293))</x:f>
        <x:v>0.03832116788321168</x:v>
      </x:c>
      <x:c r="N293" t="str">
        <x:f>IF(L293="","",L293/_xlfn.MAXIFS($L:$L,$D:$D,D293))</x:f>
      </x:c>
      <x:c r="O293" t="str">
        <x:f>IF(OR(M293="",N293=""),"",SQRT(M293*N293))</x:f>
      </x:c>
      <x:c r="P293" t="str">
        <x:f>IF(OR(M293="",N293=""),"",M293^0.7*N293^0.3)</x:f>
      </x:c>
      <x:c r="Q293" t="str">
        <x:f>IF(OR(M293="",N293=""),"",M293^0.3*N293^0.7)</x:f>
      </x:c>
    </x:row>
    <x:row r="294">
      <x:c r="A294" t="inlineStr">
        <x:is>
          <x:t xml:space="preserve">meta|muse-spark-1.3|xhigh|reasoning|fallback-na</x:t>
        </x:is>
      </x:c>
      <x:c r="B294" t="inlineStr">
        <x:is>
          <x:t xml:space="preserve">AA|v4.3.2</x:t>
        </x:is>
      </x:c>
      <x:c r="C294" t="n">
        <x:v>38</x:v>
      </x:c>
      <x:c r="D294" t="n">
        <x:v>50</x:v>
      </x:c>
      <x:c r="E294" t="n">
        <x:f>INDEX(Model_TestVersion_Stats!$W:$W,C294)</x:f>
        <x:v>45</x:v>
      </x:c>
      <x:c r="F294" t="n">
        <x:f>INDEX(Model_TestVersion_Stats!$O:$O,C294)</x:f>
        <x:v>1.37</x:v>
      </x:c>
      <x:c r="G294" t="str">
        <x:f>IF(INDEX(Model_TestVersion_Stats!$R:$R,C294)="","",INDEX(Model_TestVersion_Stats!$R:$R,C294)/60)</x:f>
      </x:c>
      <x:c r="H294" t="n">
        <x:f>IF(E294="","",E294-(D294-1))</x:f>
        <x:v>-4</x:v>
      </x:c>
      <x:c r="I294" t="n">
        <x:f>IF(H294&gt;0,1,0)</x:f>
        <x:v>0</x:v>
      </x:c>
      <x:c r="J294" t="str">
        <x:f>IF(OR(I294=0,F294="",F294=0),"",H294/F294)</x:f>
      </x:c>
      <x:c r="K294" t="str">
        <x:f>IF(OR(I294=0,H294=0,F294=""),"",F294/H294)</x:f>
      </x:c>
      <x:c r="L294" t="str">
        <x:f>IF(OR(I294=0,F294="",G294="",F294=0,G294=0),"",H294/(F294*G294))</x:f>
      </x:c>
      <x:c r="M294" t="str">
        <x:f>IF(J294="","",J294/_xlfn.MAXIFS($J:$J,$D:$D,D294))</x:f>
      </x:c>
      <x:c r="N294" t="str">
        <x:f>IF(L294="","",L294/_xlfn.MAXIFS($L:$L,$D:$D,D294))</x:f>
      </x:c>
      <x:c r="O294" t="str">
        <x:f>IF(OR(M294="",N294=""),"",SQRT(M294*N294))</x:f>
      </x:c>
      <x:c r="P294" t="str">
        <x:f>IF(OR(M294="",N294=""),"",M294^0.7*N294^0.3)</x:f>
      </x:c>
      <x:c r="Q294" t="str">
        <x:f>IF(OR(M294="",N294=""),"",M294^0.3*N294^0.7)</x:f>
      </x:c>
    </x:row>
    <x:row r="295">
      <x:c r="A295" t="inlineStr">
        <x:is>
          <x:t xml:space="preserve">meta|muse-spark-1.3|xhigh|reasoning|fallback-na</x:t>
        </x:is>
      </x:c>
      <x:c r="B295" t="inlineStr">
        <x:is>
          <x:t xml:space="preserve">AA|v4.3.2</x:t>
        </x:is>
      </x:c>
      <x:c r="C295" t="n">
        <x:v>38</x:v>
      </x:c>
      <x:c r="D295" t="n">
        <x:v>52</x:v>
      </x:c>
      <x:c r="E295" t="n">
        <x:f>INDEX(Model_TestVersion_Stats!$W:$W,C295)</x:f>
        <x:v>45</x:v>
      </x:c>
      <x:c r="F295" t="n">
        <x:f>INDEX(Model_TestVersion_Stats!$O:$O,C295)</x:f>
        <x:v>1.37</x:v>
      </x:c>
      <x:c r="G295" t="str">
        <x:f>IF(INDEX(Model_TestVersion_Stats!$R:$R,C295)="","",INDEX(Model_TestVersion_Stats!$R:$R,C295)/60)</x:f>
      </x:c>
      <x:c r="H295" t="n">
        <x:f>IF(E295="","",E295-(D295-1))</x:f>
        <x:v>-6</x:v>
      </x:c>
      <x:c r="I295" t="n">
        <x:f>IF(H295&gt;0,1,0)</x:f>
        <x:v>0</x:v>
      </x:c>
      <x:c r="J295" t="str">
        <x:f>IF(OR(I295=0,F295="",F295=0),"",H295/F295)</x:f>
      </x:c>
      <x:c r="K295" t="str">
        <x:f>IF(OR(I295=0,H295=0,F295=""),"",F295/H295)</x:f>
      </x:c>
      <x:c r="L295" t="str">
        <x:f>IF(OR(I295=0,F295="",G295="",F295=0,G295=0),"",H295/(F295*G295))</x:f>
      </x:c>
      <x:c r="M295" t="str">
        <x:f>IF(J295="","",J295/_xlfn.MAXIFS($J:$J,$D:$D,D295))</x:f>
      </x:c>
      <x:c r="N295" t="str">
        <x:f>IF(L295="","",L295/_xlfn.MAXIFS($L:$L,$D:$D,D295))</x:f>
      </x:c>
      <x:c r="O295" t="str">
        <x:f>IF(OR(M295="",N295=""),"",SQRT(M295*N295))</x:f>
      </x:c>
      <x:c r="P295" t="str">
        <x:f>IF(OR(M295="",N295=""),"",M295^0.7*N295^0.3)</x:f>
      </x:c>
      <x:c r="Q295" t="str">
        <x:f>IF(OR(M295="",N295=""),"",M295^0.3*N295^0.7)</x:f>
      </x:c>
    </x:row>
    <x:row r="296">
      <x:c r="A296" t="inlineStr">
        <x:is>
          <x:t xml:space="preserve">meta|muse-spark-1.3|xhigh|reasoning|fallback-na</x:t>
        </x:is>
      </x:c>
      <x:c r="B296" t="inlineStr">
        <x:is>
          <x:t xml:space="preserve">AA|v4.3.2</x:t>
        </x:is>
      </x:c>
      <x:c r="C296" t="n">
        <x:v>38</x:v>
      </x:c>
      <x:c r="D296" t="n">
        <x:v>65</x:v>
      </x:c>
      <x:c r="E296" t="n">
        <x:f>INDEX(Model_TestVersion_Stats!$W:$W,C296)</x:f>
        <x:v>45</x:v>
      </x:c>
      <x:c r="F296" t="n">
        <x:f>INDEX(Model_TestVersion_Stats!$O:$O,C296)</x:f>
        <x:v>1.37</x:v>
      </x:c>
      <x:c r="G296" t="str">
        <x:f>IF(INDEX(Model_TestVersion_Stats!$R:$R,C296)="","",INDEX(Model_TestVersion_Stats!$R:$R,C296)/60)</x:f>
      </x:c>
      <x:c r="H296" t="n">
        <x:f>IF(E296="","",E296-(D296-1))</x:f>
        <x:v>-19</x:v>
      </x:c>
      <x:c r="I296" t="n">
        <x:f>IF(H296&gt;0,1,0)</x:f>
        <x:v>0</x:v>
      </x:c>
      <x:c r="J296" t="str">
        <x:f>IF(OR(I296=0,F296="",F296=0),"",H296/F296)</x:f>
      </x:c>
      <x:c r="K296" t="str">
        <x:f>IF(OR(I296=0,H296=0,F296=""),"",F296/H296)</x:f>
      </x:c>
      <x:c r="L296" t="str">
        <x:f>IF(OR(I296=0,F296="",G296="",F296=0,G296=0),"",H296/(F296*G296))</x:f>
      </x:c>
      <x:c r="M296" t="str">
        <x:f>IF(J296="","",J296/_xlfn.MAXIFS($J:$J,$D:$D,D296))</x:f>
      </x:c>
      <x:c r="N296" t="str">
        <x:f>IF(L296="","",L296/_xlfn.MAXIFS($L:$L,$D:$D,D296))</x:f>
      </x:c>
      <x:c r="O296" t="str">
        <x:f>IF(OR(M296="",N296=""),"",SQRT(M296*N296))</x:f>
      </x:c>
      <x:c r="P296" t="str">
        <x:f>IF(OR(M296="",N296=""),"",M296^0.7*N296^0.3)</x:f>
      </x:c>
      <x:c r="Q296" t="str">
        <x:f>IF(OR(M296="",N296=""),"",M296^0.3*N296^0.7)</x:f>
      </x:c>
    </x:row>
    <x:row r="297">
      <x:c r="A297" t="inlineStr">
        <x:is>
          <x:t xml:space="preserve">meta|muse-spark-1.3|xhigh|reasoning|fallback-na</x:t>
        </x:is>
      </x:c>
      <x:c r="B297" t="inlineStr">
        <x:is>
          <x:t xml:space="preserve">AA|v4.3.2</x:t>
        </x:is>
      </x:c>
      <x:c r="C297" t="n">
        <x:v>38</x:v>
      </x:c>
      <x:c r="D297" t="n">
        <x:v>80</x:v>
      </x:c>
      <x:c r="E297" t="n">
        <x:f>INDEX(Model_TestVersion_Stats!$W:$W,C297)</x:f>
        <x:v>45</x:v>
      </x:c>
      <x:c r="F297" t="n">
        <x:f>INDEX(Model_TestVersion_Stats!$O:$O,C297)</x:f>
        <x:v>1.37</x:v>
      </x:c>
      <x:c r="G297" t="str">
        <x:f>IF(INDEX(Model_TestVersion_Stats!$R:$R,C297)="","",INDEX(Model_TestVersion_Stats!$R:$R,C297)/60)</x:f>
      </x:c>
      <x:c r="H297" t="n">
        <x:f>IF(E297="","",E297-(D297-1))</x:f>
        <x:v>-34</x:v>
      </x:c>
      <x:c r="I297" t="n">
        <x:f>IF(H297&gt;0,1,0)</x:f>
        <x:v>0</x:v>
      </x:c>
      <x:c r="J297" t="str">
        <x:f>IF(OR(I297=0,F297="",F297=0),"",H297/F297)</x:f>
      </x:c>
      <x:c r="K297" t="str">
        <x:f>IF(OR(I297=0,H297=0,F297=""),"",F297/H297)</x:f>
      </x:c>
      <x:c r="L297" t="str">
        <x:f>IF(OR(I297=0,F297="",G297="",F297=0,G297=0),"",H297/(F297*G297))</x:f>
      </x:c>
      <x:c r="M297" t="str">
        <x:f>IF(J297="","",J297/_xlfn.MAXIFS($J:$J,$D:$D,D297))</x:f>
      </x:c>
      <x:c r="N297" t="str">
        <x:f>IF(L297="","",L297/_xlfn.MAXIFS($L:$L,$D:$D,D297))</x:f>
      </x:c>
      <x:c r="O297" t="str">
        <x:f>IF(OR(M297="",N297=""),"",SQRT(M297*N297))</x:f>
      </x:c>
      <x:c r="P297" t="str">
        <x:f>IF(OR(M297="",N297=""),"",M297^0.7*N297^0.3)</x:f>
      </x:c>
      <x:c r="Q297" t="str">
        <x:f>IF(OR(M297="",N297=""),"",M297^0.3*N297^0.7)</x:f>
      </x:c>
    </x:row>
    <x:row r="298">
      <x:c r="A298" t="inlineStr">
        <x:is>
          <x:t xml:space="preserve">minimax|minimax-m3|reasoning|reasoning|fallback-na</x:t>
        </x:is>
      </x:c>
      <x:c r="B298" t="inlineStr">
        <x:is>
          <x:t xml:space="preserve">AA|v4.3.2</x:t>
        </x:is>
      </x:c>
      <x:c r="C298" t="n">
        <x:v>39</x:v>
      </x:c>
      <x:c r="D298" t="n">
        <x:v>20</x:v>
      </x:c>
      <x:c r="E298" t="n">
        <x:f>INDEX(Model_TestVersion_Stats!$W:$W,C298)</x:f>
        <x:v>29</x:v>
      </x:c>
      <x:c r="F298" t="n">
        <x:f>INDEX(Model_TestVersion_Stats!$O:$O,C298)</x:f>
        <x:v>0.51</x:v>
      </x:c>
      <x:c r="G298" t="n">
        <x:f>IF(INDEX(Model_TestVersion_Stats!$R:$R,C298)="","",INDEX(Model_TestVersion_Stats!$R:$R,C298)/60)</x:f>
        <x:v>4.923333333333333</x:v>
      </x:c>
      <x:c r="H298" t="n">
        <x:f>IF(E298="","",E298-(D298-1))</x:f>
        <x:v>10</x:v>
      </x:c>
      <x:c r="I298" t="n">
        <x:f>IF(H298&gt;0,1,0)</x:f>
        <x:v>1</x:v>
      </x:c>
      <x:c r="J298" t="n">
        <x:f>IF(OR(I298=0,F298="",F298=0),"",H298/F298)</x:f>
        <x:v>19.607843137254903</x:v>
      </x:c>
      <x:c r="K298" t="n">
        <x:f>IF(OR(I298=0,H298=0,F298=""),"",F298/H298)</x:f>
        <x:v>0.051000000000000004</x:v>
      </x:c>
      <x:c r="L298" t="n">
        <x:f>IF(OR(I298=0,F298="",G298="",F298=0,G298=0),"",H298/(F298*G298))</x:f>
        <x:v>3.982635708311761</x:v>
      </x:c>
      <x:c r="M298" t="n">
        <x:f>IF(J298="","",J298/_xlfn.MAXIFS($J:$J,$D:$D,D298))</x:f>
        <x:v>0.03529411764705883</x:v>
      </x:c>
      <x:c r="N298" t="n">
        <x:f>IF(L298="","",L298/_xlfn.MAXIFS($L:$L,$D:$D,D298))</x:f>
        <x:v>0.0016882392767533555</x:v>
      </x:c>
      <x:c r="O298" t="n">
        <x:f>IF(OR(M298="",N298=""),"",SQRT(M298*N298))</x:f>
        <x:v>0.007719126611872514</x:v>
      </x:c>
      <x:c r="P298" t="n">
        <x:f>IF(OR(M298="",N298=""),"",M298^0.7*N298^0.3)</x:f>
        <x:v>0.014178223896587594</x:v>
      </x:c>
      <x:c r="Q298" t="n">
        <x:f>IF(OR(M298="",N298=""),"",M298^0.3*N298^0.7)</x:f>
        <x:v>0.004202565574130856</x:v>
      </x:c>
    </x:row>
    <x:row r="299">
      <x:c r="A299" t="inlineStr">
        <x:is>
          <x:t xml:space="preserve">minimax|minimax-m3|reasoning|reasoning|fallback-na</x:t>
        </x:is>
      </x:c>
      <x:c r="B299" t="inlineStr">
        <x:is>
          <x:t xml:space="preserve">AA|v4.3.2</x:t>
        </x:is>
      </x:c>
      <x:c r="C299" t="n">
        <x:v>39</x:v>
      </x:c>
      <x:c r="D299" t="n">
        <x:v>30</x:v>
      </x:c>
      <x:c r="E299" t="n">
        <x:f>INDEX(Model_TestVersion_Stats!$W:$W,C299)</x:f>
        <x:v>29</x:v>
      </x:c>
      <x:c r="F299" t="n">
        <x:f>INDEX(Model_TestVersion_Stats!$O:$O,C299)</x:f>
        <x:v>0.51</x:v>
      </x:c>
      <x:c r="G299" t="n">
        <x:f>IF(INDEX(Model_TestVersion_Stats!$R:$R,C299)="","",INDEX(Model_TestVersion_Stats!$R:$R,C299)/60)</x:f>
        <x:v>4.923333333333333</x:v>
      </x:c>
      <x:c r="H299" t="n">
        <x:f>IF(E299="","",E299-(D299-1))</x:f>
        <x:v>0</x:v>
      </x:c>
      <x:c r="I299" t="n">
        <x:f>IF(H299&gt;0,1,0)</x:f>
        <x:v>0</x:v>
      </x:c>
      <x:c r="J299" t="str">
        <x:f>IF(OR(I299=0,F299="",F299=0),"",H299/F299)</x:f>
      </x:c>
      <x:c r="K299" t="str">
        <x:f>IF(OR(I299=0,H299=0,F299=""),"",F299/H299)</x:f>
      </x:c>
      <x:c r="L299" t="str">
        <x:f>IF(OR(I299=0,F299="",G299="",F299=0,G299=0),"",H299/(F299*G299))</x:f>
      </x:c>
      <x:c r="M299" t="str">
        <x:f>IF(J299="","",J299/_xlfn.MAXIFS($J:$J,$D:$D,D299))</x:f>
      </x:c>
      <x:c r="N299" t="str">
        <x:f>IF(L299="","",L299/_xlfn.MAXIFS($L:$L,$D:$D,D299))</x:f>
      </x:c>
      <x:c r="O299" t="str">
        <x:f>IF(OR(M299="",N299=""),"",SQRT(M299*N299))</x:f>
      </x:c>
      <x:c r="P299" t="str">
        <x:f>IF(OR(M299="",N299=""),"",M299^0.7*N299^0.3)</x:f>
      </x:c>
      <x:c r="Q299" t="str">
        <x:f>IF(OR(M299="",N299=""),"",M299^0.3*N299^0.7)</x:f>
      </x:c>
    </x:row>
    <x:row r="300">
      <x:c r="A300" t="inlineStr">
        <x:is>
          <x:t xml:space="preserve">minimax|minimax-m3|reasoning|reasoning|fallback-na</x:t>
        </x:is>
      </x:c>
      <x:c r="B300" t="inlineStr">
        <x:is>
          <x:t xml:space="preserve">AA|v4.3.2</x:t>
        </x:is>
      </x:c>
      <x:c r="C300" t="n">
        <x:v>39</x:v>
      </x:c>
      <x:c r="D300" t="n">
        <x:v>40</x:v>
      </x:c>
      <x:c r="E300" t="n">
        <x:f>INDEX(Model_TestVersion_Stats!$W:$W,C300)</x:f>
        <x:v>29</x:v>
      </x:c>
      <x:c r="F300" t="n">
        <x:f>INDEX(Model_TestVersion_Stats!$O:$O,C300)</x:f>
        <x:v>0.51</x:v>
      </x:c>
      <x:c r="G300" t="n">
        <x:f>IF(INDEX(Model_TestVersion_Stats!$R:$R,C300)="","",INDEX(Model_TestVersion_Stats!$R:$R,C300)/60)</x:f>
        <x:v>4.923333333333333</x:v>
      </x:c>
      <x:c r="H300" t="n">
        <x:f>IF(E300="","",E300-(D300-1))</x:f>
        <x:v>-10</x:v>
      </x:c>
      <x:c r="I300" t="n">
        <x:f>IF(H300&gt;0,1,0)</x:f>
        <x:v>0</x:v>
      </x:c>
      <x:c r="J300" t="str">
        <x:f>IF(OR(I300=0,F300="",F300=0),"",H300/F300)</x:f>
      </x:c>
      <x:c r="K300" t="str">
        <x:f>IF(OR(I300=0,H300=0,F300=""),"",F300/H300)</x:f>
      </x:c>
      <x:c r="L300" t="str">
        <x:f>IF(OR(I300=0,F300="",G300="",F300=0,G300=0),"",H300/(F300*G300))</x:f>
      </x:c>
      <x:c r="M300" t="str">
        <x:f>IF(J300="","",J300/_xlfn.MAXIFS($J:$J,$D:$D,D300))</x:f>
      </x:c>
      <x:c r="N300" t="str">
        <x:f>IF(L300="","",L300/_xlfn.MAXIFS($L:$L,$D:$D,D300))</x:f>
      </x:c>
      <x:c r="O300" t="str">
        <x:f>IF(OR(M300="",N300=""),"",SQRT(M300*N300))</x:f>
      </x:c>
      <x:c r="P300" t="str">
        <x:f>IF(OR(M300="",N300=""),"",M300^0.7*N300^0.3)</x:f>
      </x:c>
      <x:c r="Q300" t="str">
        <x:f>IF(OR(M300="",N300=""),"",M300^0.3*N300^0.7)</x:f>
      </x:c>
    </x:row>
    <x:row r="301">
      <x:c r="A301" t="inlineStr">
        <x:is>
          <x:t xml:space="preserve">minimax|minimax-m3|reasoning|reasoning|fallback-na</x:t>
        </x:is>
      </x:c>
      <x:c r="B301" t="inlineStr">
        <x:is>
          <x:t xml:space="preserve">AA|v4.3.2</x:t>
        </x:is>
      </x:c>
      <x:c r="C301" t="n">
        <x:v>39</x:v>
      </x:c>
      <x:c r="D301" t="n">
        <x:v>45</x:v>
      </x:c>
      <x:c r="E301" t="n">
        <x:f>INDEX(Model_TestVersion_Stats!$W:$W,C301)</x:f>
        <x:v>29</x:v>
      </x:c>
      <x:c r="F301" t="n">
        <x:f>INDEX(Model_TestVersion_Stats!$O:$O,C301)</x:f>
        <x:v>0.51</x:v>
      </x:c>
      <x:c r="G301" t="n">
        <x:f>IF(INDEX(Model_TestVersion_Stats!$R:$R,C301)="","",INDEX(Model_TestVersion_Stats!$R:$R,C301)/60)</x:f>
        <x:v>4.923333333333333</x:v>
      </x:c>
      <x:c r="H301" t="n">
        <x:f>IF(E301="","",E301-(D301-1))</x:f>
        <x:v>-15</x:v>
      </x:c>
      <x:c r="I301" t="n">
        <x:f>IF(H301&gt;0,1,0)</x:f>
        <x:v>0</x:v>
      </x:c>
      <x:c r="J301" t="str">
        <x:f>IF(OR(I301=0,F301="",F301=0),"",H301/F301)</x:f>
      </x:c>
      <x:c r="K301" t="str">
        <x:f>IF(OR(I301=0,H301=0,F301=""),"",F301/H301)</x:f>
      </x:c>
      <x:c r="L301" t="str">
        <x:f>IF(OR(I301=0,F301="",G301="",F301=0,G301=0),"",H301/(F301*G301))</x:f>
      </x:c>
      <x:c r="M301" t="str">
        <x:f>IF(J301="","",J301/_xlfn.MAXIFS($J:$J,$D:$D,D301))</x:f>
      </x:c>
      <x:c r="N301" t="str">
        <x:f>IF(L301="","",L301/_xlfn.MAXIFS($L:$L,$D:$D,D301))</x:f>
      </x:c>
      <x:c r="O301" t="str">
        <x:f>IF(OR(M301="",N301=""),"",SQRT(M301*N301))</x:f>
      </x:c>
      <x:c r="P301" t="str">
        <x:f>IF(OR(M301="",N301=""),"",M301^0.7*N301^0.3)</x:f>
      </x:c>
      <x:c r="Q301" t="str">
        <x:f>IF(OR(M301="",N301=""),"",M301^0.3*N301^0.7)</x:f>
      </x:c>
    </x:row>
    <x:row r="302">
      <x:c r="A302" t="inlineStr">
        <x:is>
          <x:t xml:space="preserve">minimax|minimax-m3|reasoning|reasoning|fallback-na</x:t>
        </x:is>
      </x:c>
      <x:c r="B302" t="inlineStr">
        <x:is>
          <x:t xml:space="preserve">AA|v4.3.2</x:t>
        </x:is>
      </x:c>
      <x:c r="C302" t="n">
        <x:v>39</x:v>
      </x:c>
      <x:c r="D302" t="n">
        <x:v>50</x:v>
      </x:c>
      <x:c r="E302" t="n">
        <x:f>INDEX(Model_TestVersion_Stats!$W:$W,C302)</x:f>
        <x:v>29</x:v>
      </x:c>
      <x:c r="F302" t="n">
        <x:f>INDEX(Model_TestVersion_Stats!$O:$O,C302)</x:f>
        <x:v>0.51</x:v>
      </x:c>
      <x:c r="G302" t="n">
        <x:f>IF(INDEX(Model_TestVersion_Stats!$R:$R,C302)="","",INDEX(Model_TestVersion_Stats!$R:$R,C302)/60)</x:f>
        <x:v>4.923333333333333</x:v>
      </x:c>
      <x:c r="H302" t="n">
        <x:f>IF(E302="","",E302-(D302-1))</x:f>
        <x:v>-20</x:v>
      </x:c>
      <x:c r="I302" t="n">
        <x:f>IF(H302&gt;0,1,0)</x:f>
        <x:v>0</x:v>
      </x:c>
      <x:c r="J302" t="str">
        <x:f>IF(OR(I302=0,F302="",F302=0),"",H302/F302)</x:f>
      </x:c>
      <x:c r="K302" t="str">
        <x:f>IF(OR(I302=0,H302=0,F302=""),"",F302/H302)</x:f>
      </x:c>
      <x:c r="L302" t="str">
        <x:f>IF(OR(I302=0,F302="",G302="",F302=0,G302=0),"",H302/(F302*G302))</x:f>
      </x:c>
      <x:c r="M302" t="str">
        <x:f>IF(J302="","",J302/_xlfn.MAXIFS($J:$J,$D:$D,D302))</x:f>
      </x:c>
      <x:c r="N302" t="str">
        <x:f>IF(L302="","",L302/_xlfn.MAXIFS($L:$L,$D:$D,D302))</x:f>
      </x:c>
      <x:c r="O302" t="str">
        <x:f>IF(OR(M302="",N302=""),"",SQRT(M302*N302))</x:f>
      </x:c>
      <x:c r="P302" t="str">
        <x:f>IF(OR(M302="",N302=""),"",M302^0.7*N302^0.3)</x:f>
      </x:c>
      <x:c r="Q302" t="str">
        <x:f>IF(OR(M302="",N302=""),"",M302^0.3*N302^0.7)</x:f>
      </x:c>
    </x:row>
    <x:row r="303">
      <x:c r="A303" t="inlineStr">
        <x:is>
          <x:t xml:space="preserve">minimax|minimax-m3|reasoning|reasoning|fallback-na</x:t>
        </x:is>
      </x:c>
      <x:c r="B303" t="inlineStr">
        <x:is>
          <x:t xml:space="preserve">AA|v4.3.2</x:t>
        </x:is>
      </x:c>
      <x:c r="C303" t="n">
        <x:v>39</x:v>
      </x:c>
      <x:c r="D303" t="n">
        <x:v>52</x:v>
      </x:c>
      <x:c r="E303" t="n">
        <x:f>INDEX(Model_TestVersion_Stats!$W:$W,C303)</x:f>
        <x:v>29</x:v>
      </x:c>
      <x:c r="F303" t="n">
        <x:f>INDEX(Model_TestVersion_Stats!$O:$O,C303)</x:f>
        <x:v>0.51</x:v>
      </x:c>
      <x:c r="G303" t="n">
        <x:f>IF(INDEX(Model_TestVersion_Stats!$R:$R,C303)="","",INDEX(Model_TestVersion_Stats!$R:$R,C303)/60)</x:f>
        <x:v>4.923333333333333</x:v>
      </x:c>
      <x:c r="H303" t="n">
        <x:f>IF(E303="","",E303-(D303-1))</x:f>
        <x:v>-22</x:v>
      </x:c>
      <x:c r="I303" t="n">
        <x:f>IF(H303&gt;0,1,0)</x:f>
        <x:v>0</x:v>
      </x:c>
      <x:c r="J303" t="str">
        <x:f>IF(OR(I303=0,F303="",F303=0),"",H303/F303)</x:f>
      </x:c>
      <x:c r="K303" t="str">
        <x:f>IF(OR(I303=0,H303=0,F303=""),"",F303/H303)</x:f>
      </x:c>
      <x:c r="L303" t="str">
        <x:f>IF(OR(I303=0,F303="",G303="",F303=0,G303=0),"",H303/(F303*G303))</x:f>
      </x:c>
      <x:c r="M303" t="str">
        <x:f>IF(J303="","",J303/_xlfn.MAXIFS($J:$J,$D:$D,D303))</x:f>
      </x:c>
      <x:c r="N303" t="str">
        <x:f>IF(L303="","",L303/_xlfn.MAXIFS($L:$L,$D:$D,D303))</x:f>
      </x:c>
      <x:c r="O303" t="str">
        <x:f>IF(OR(M303="",N303=""),"",SQRT(M303*N303))</x:f>
      </x:c>
      <x:c r="P303" t="str">
        <x:f>IF(OR(M303="",N303=""),"",M303^0.7*N303^0.3)</x:f>
      </x:c>
      <x:c r="Q303" t="str">
        <x:f>IF(OR(M303="",N303=""),"",M303^0.3*N303^0.7)</x:f>
      </x:c>
    </x:row>
    <x:row r="304">
      <x:c r="A304" t="inlineStr">
        <x:is>
          <x:t xml:space="preserve">minimax|minimax-m3|reasoning|reasoning|fallback-na</x:t>
        </x:is>
      </x:c>
      <x:c r="B304" t="inlineStr">
        <x:is>
          <x:t xml:space="preserve">AA|v4.3.2</x:t>
        </x:is>
      </x:c>
      <x:c r="C304" t="n">
        <x:v>39</x:v>
      </x:c>
      <x:c r="D304" t="n">
        <x:v>65</x:v>
      </x:c>
      <x:c r="E304" t="n">
        <x:f>INDEX(Model_TestVersion_Stats!$W:$W,C304)</x:f>
        <x:v>29</x:v>
      </x:c>
      <x:c r="F304" t="n">
        <x:f>INDEX(Model_TestVersion_Stats!$O:$O,C304)</x:f>
        <x:v>0.51</x:v>
      </x:c>
      <x:c r="G304" t="n">
        <x:f>IF(INDEX(Model_TestVersion_Stats!$R:$R,C304)="","",INDEX(Model_TestVersion_Stats!$R:$R,C304)/60)</x:f>
        <x:v>4.923333333333333</x:v>
      </x:c>
      <x:c r="H304" t="n">
        <x:f>IF(E304="","",E304-(D304-1))</x:f>
        <x:v>-35</x:v>
      </x:c>
      <x:c r="I304" t="n">
        <x:f>IF(H304&gt;0,1,0)</x:f>
        <x:v>0</x:v>
      </x:c>
      <x:c r="J304" t="str">
        <x:f>IF(OR(I304=0,F304="",F304=0),"",H304/F304)</x:f>
      </x:c>
      <x:c r="K304" t="str">
        <x:f>IF(OR(I304=0,H304=0,F304=""),"",F304/H304)</x:f>
      </x:c>
      <x:c r="L304" t="str">
        <x:f>IF(OR(I304=0,F304="",G304="",F304=0,G304=0),"",H304/(F304*G304))</x:f>
      </x:c>
      <x:c r="M304" t="str">
        <x:f>IF(J304="","",J304/_xlfn.MAXIFS($J:$J,$D:$D,D304))</x:f>
      </x:c>
      <x:c r="N304" t="str">
        <x:f>IF(L304="","",L304/_xlfn.MAXIFS($L:$L,$D:$D,D304))</x:f>
      </x:c>
      <x:c r="O304" t="str">
        <x:f>IF(OR(M304="",N304=""),"",SQRT(M304*N304))</x:f>
      </x:c>
      <x:c r="P304" t="str">
        <x:f>IF(OR(M304="",N304=""),"",M304^0.7*N304^0.3)</x:f>
      </x:c>
      <x:c r="Q304" t="str">
        <x:f>IF(OR(M304="",N304=""),"",M304^0.3*N304^0.7)</x:f>
      </x:c>
    </x:row>
    <x:row r="305">
      <x:c r="A305" t="inlineStr">
        <x:is>
          <x:t xml:space="preserve">minimax|minimax-m3|reasoning|reasoning|fallback-na</x:t>
        </x:is>
      </x:c>
      <x:c r="B305" t="inlineStr">
        <x:is>
          <x:t xml:space="preserve">AA|v4.3.2</x:t>
        </x:is>
      </x:c>
      <x:c r="C305" t="n">
        <x:v>39</x:v>
      </x:c>
      <x:c r="D305" t="n">
        <x:v>80</x:v>
      </x:c>
      <x:c r="E305" t="n">
        <x:f>INDEX(Model_TestVersion_Stats!$W:$W,C305)</x:f>
        <x:v>29</x:v>
      </x:c>
      <x:c r="F305" t="n">
        <x:f>INDEX(Model_TestVersion_Stats!$O:$O,C305)</x:f>
        <x:v>0.51</x:v>
      </x:c>
      <x:c r="G305" t="n">
        <x:f>IF(INDEX(Model_TestVersion_Stats!$R:$R,C305)="","",INDEX(Model_TestVersion_Stats!$R:$R,C305)/60)</x:f>
        <x:v>4.923333333333333</x:v>
      </x:c>
      <x:c r="H305" t="n">
        <x:f>IF(E305="","",E305-(D305-1))</x:f>
        <x:v>-50</x:v>
      </x:c>
      <x:c r="I305" t="n">
        <x:f>IF(H305&gt;0,1,0)</x:f>
        <x:v>0</x:v>
      </x:c>
      <x:c r="J305" t="str">
        <x:f>IF(OR(I305=0,F305="",F305=0),"",H305/F305)</x:f>
      </x:c>
      <x:c r="K305" t="str">
        <x:f>IF(OR(I305=0,H305=0,F305=""),"",F305/H305)</x:f>
      </x:c>
      <x:c r="L305" t="str">
        <x:f>IF(OR(I305=0,F305="",G305="",F305=0,G305=0),"",H305/(F305*G305))</x:f>
      </x:c>
      <x:c r="M305" t="str">
        <x:f>IF(J305="","",J305/_xlfn.MAXIFS($J:$J,$D:$D,D305))</x:f>
      </x:c>
      <x:c r="N305" t="str">
        <x:f>IF(L305="","",L305/_xlfn.MAXIFS($L:$L,$D:$D,D305))</x:f>
      </x:c>
      <x:c r="O305" t="str">
        <x:f>IF(OR(M305="",N305=""),"",SQRT(M305*N305))</x:f>
      </x:c>
      <x:c r="P305" t="str">
        <x:f>IF(OR(M305="",N305=""),"",M305^0.7*N305^0.3)</x:f>
      </x:c>
      <x:c r="Q305" t="str">
        <x:f>IF(OR(M305="",N305=""),"",M305^0.3*N305^0.7)</x:f>
      </x:c>
    </x:row>
    <x:row r="306">
      <x:c r="A306" t="inlineStr">
        <x:is>
          <x:t xml:space="preserve">openai|gpt-5.6-luna|high|reasoning|fallback-na</x:t>
        </x:is>
      </x:c>
      <x:c r="B306" t="inlineStr">
        <x:is>
          <x:t xml:space="preserve">AA|v4.3.2</x:t>
        </x:is>
      </x:c>
      <x:c r="C306" t="n">
        <x:v>40</x:v>
      </x:c>
      <x:c r="D306" t="n">
        <x:v>20</x:v>
      </x:c>
      <x:c r="E306" t="n">
        <x:f>INDEX(Model_TestVersion_Stats!$W:$W,C306)</x:f>
        <x:v>32</x:v>
      </x:c>
      <x:c r="F306" t="n">
        <x:f>INDEX(Model_TestVersion_Stats!$O:$O,C306)</x:f>
        <x:v>0.04</x:v>
      </x:c>
      <x:c r="G306" t="str">
        <x:f>IF(INDEX(Model_TestVersion_Stats!$R:$R,C306)="","",INDEX(Model_TestVersion_Stats!$R:$R,C306)/60)</x:f>
      </x:c>
      <x:c r="H306" t="n">
        <x:f>IF(E306="","",E306-(D306-1))</x:f>
        <x:v>13</x:v>
      </x:c>
      <x:c r="I306" t="n">
        <x:f>IF(H306&gt;0,1,0)</x:f>
        <x:v>1</x:v>
      </x:c>
      <x:c r="J306" t="n">
        <x:f>IF(OR(I306=0,F306="",F306=0),"",H306/F306)</x:f>
        <x:v>325</x:v>
      </x:c>
      <x:c r="K306" t="n">
        <x:f>IF(OR(I306=0,H306=0,F306=""),"",F306/H306)</x:f>
        <x:v>0.003076923076923077</x:v>
      </x:c>
      <x:c r="L306" t="str">
        <x:f>IF(OR(I306=0,F306="",G306="",F306=0,G306=0),"",H306/(F306*G306))</x:f>
      </x:c>
      <x:c r="M306" t="n">
        <x:f>IF(J306="","",J306/_xlfn.MAXIFS($J:$J,$D:$D,D306))</x:f>
        <x:v>0.585</x:v>
      </x:c>
      <x:c r="N306" t="str">
        <x:f>IF(L306="","",L306/_xlfn.MAXIFS($L:$L,$D:$D,D306))</x:f>
      </x:c>
      <x:c r="O306" t="str">
        <x:f>IF(OR(M306="",N306=""),"",SQRT(M306*N306))</x:f>
      </x:c>
      <x:c r="P306" t="str">
        <x:f>IF(OR(M306="",N306=""),"",M306^0.7*N306^0.3)</x:f>
      </x:c>
      <x:c r="Q306" t="str">
        <x:f>IF(OR(M306="",N306=""),"",M306^0.3*N306^0.7)</x:f>
      </x:c>
    </x:row>
    <x:row r="307">
      <x:c r="A307" t="inlineStr">
        <x:is>
          <x:t xml:space="preserve">openai|gpt-5.6-luna|high|reasoning|fallback-na</x:t>
        </x:is>
      </x:c>
      <x:c r="B307" t="inlineStr">
        <x:is>
          <x:t xml:space="preserve">AA|v4.3.2</x:t>
        </x:is>
      </x:c>
      <x:c r="C307" t="n">
        <x:v>40</x:v>
      </x:c>
      <x:c r="D307" t="n">
        <x:v>30</x:v>
      </x:c>
      <x:c r="E307" t="n">
        <x:f>INDEX(Model_TestVersion_Stats!$W:$W,C307)</x:f>
        <x:v>32</x:v>
      </x:c>
      <x:c r="F307" t="n">
        <x:f>INDEX(Model_TestVersion_Stats!$O:$O,C307)</x:f>
        <x:v>0.04</x:v>
      </x:c>
      <x:c r="G307" t="str">
        <x:f>IF(INDEX(Model_TestVersion_Stats!$R:$R,C307)="","",INDEX(Model_TestVersion_Stats!$R:$R,C307)/60)</x:f>
      </x:c>
      <x:c r="H307" t="n">
        <x:f>IF(E307="","",E307-(D307-1))</x:f>
        <x:v>3</x:v>
      </x:c>
      <x:c r="I307" t="n">
        <x:f>IF(H307&gt;0,1,0)</x:f>
        <x:v>1</x:v>
      </x:c>
      <x:c r="J307" t="n">
        <x:f>IF(OR(I307=0,F307="",F307=0),"",H307/F307)</x:f>
        <x:v>75</x:v>
      </x:c>
      <x:c r="K307" t="n">
        <x:f>IF(OR(I307=0,H307=0,F307=""),"",F307/H307)</x:f>
        <x:v>0.013333333333333334</x:v>
      </x:c>
      <x:c r="L307" t="str">
        <x:f>IF(OR(I307=0,F307="",G307="",F307=0,G307=0),"",H307/(F307*G307))</x:f>
      </x:c>
      <x:c r="M307" t="n">
        <x:f>IF(J307="","",J307/_xlfn.MAXIFS($J:$J,$D:$D,D307))</x:f>
        <x:v>0.5</x:v>
      </x:c>
      <x:c r="N307" t="str">
        <x:f>IF(L307="","",L307/_xlfn.MAXIFS($L:$L,$D:$D,D307))</x:f>
      </x:c>
      <x:c r="O307" t="str">
        <x:f>IF(OR(M307="",N307=""),"",SQRT(M307*N307))</x:f>
      </x:c>
      <x:c r="P307" t="str">
        <x:f>IF(OR(M307="",N307=""),"",M307^0.7*N307^0.3)</x:f>
      </x:c>
      <x:c r="Q307" t="str">
        <x:f>IF(OR(M307="",N307=""),"",M307^0.3*N307^0.7)</x:f>
      </x:c>
    </x:row>
    <x:row r="308">
      <x:c r="A308" t="inlineStr">
        <x:is>
          <x:t xml:space="preserve">openai|gpt-5.6-luna|high|reasoning|fallback-na</x:t>
        </x:is>
      </x:c>
      <x:c r="B308" t="inlineStr">
        <x:is>
          <x:t xml:space="preserve">AA|v4.3.2</x:t>
        </x:is>
      </x:c>
      <x:c r="C308" t="n">
        <x:v>40</x:v>
      </x:c>
      <x:c r="D308" t="n">
        <x:v>40</x:v>
      </x:c>
      <x:c r="E308" t="n">
        <x:f>INDEX(Model_TestVersion_Stats!$W:$W,C308)</x:f>
        <x:v>32</x:v>
      </x:c>
      <x:c r="F308" t="n">
        <x:f>INDEX(Model_TestVersion_Stats!$O:$O,C308)</x:f>
        <x:v>0.04</x:v>
      </x:c>
      <x:c r="G308" t="str">
        <x:f>IF(INDEX(Model_TestVersion_Stats!$R:$R,C308)="","",INDEX(Model_TestVersion_Stats!$R:$R,C308)/60)</x:f>
      </x:c>
      <x:c r="H308" t="n">
        <x:f>IF(E308="","",E308-(D308-1))</x:f>
        <x:v>-7</x:v>
      </x:c>
      <x:c r="I308" t="n">
        <x:f>IF(H308&gt;0,1,0)</x:f>
        <x:v>0</x:v>
      </x:c>
      <x:c r="J308" t="str">
        <x:f>IF(OR(I308=0,F308="",F308=0),"",H308/F308)</x:f>
      </x:c>
      <x:c r="K308" t="str">
        <x:f>IF(OR(I308=0,H308=0,F308=""),"",F308/H308)</x:f>
      </x:c>
      <x:c r="L308" t="str">
        <x:f>IF(OR(I308=0,F308="",G308="",F308=0,G308=0),"",H308/(F308*G308))</x:f>
      </x:c>
      <x:c r="M308" t="str">
        <x:f>IF(J308="","",J308/_xlfn.MAXIFS($J:$J,$D:$D,D308))</x:f>
      </x:c>
      <x:c r="N308" t="str">
        <x:f>IF(L308="","",L308/_xlfn.MAXIFS($L:$L,$D:$D,D308))</x:f>
      </x:c>
      <x:c r="O308" t="str">
        <x:f>IF(OR(M308="",N308=""),"",SQRT(M308*N308))</x:f>
      </x:c>
      <x:c r="P308" t="str">
        <x:f>IF(OR(M308="",N308=""),"",M308^0.7*N308^0.3)</x:f>
      </x:c>
      <x:c r="Q308" t="str">
        <x:f>IF(OR(M308="",N308=""),"",M308^0.3*N308^0.7)</x:f>
      </x:c>
    </x:row>
    <x:row r="309">
      <x:c r="A309" t="inlineStr">
        <x:is>
          <x:t xml:space="preserve">openai|gpt-5.6-luna|high|reasoning|fallback-na</x:t>
        </x:is>
      </x:c>
      <x:c r="B309" t="inlineStr">
        <x:is>
          <x:t xml:space="preserve">AA|v4.3.2</x:t>
        </x:is>
      </x:c>
      <x:c r="C309" t="n">
        <x:v>40</x:v>
      </x:c>
      <x:c r="D309" t="n">
        <x:v>45</x:v>
      </x:c>
      <x:c r="E309" t="n">
        <x:f>INDEX(Model_TestVersion_Stats!$W:$W,C309)</x:f>
        <x:v>32</x:v>
      </x:c>
      <x:c r="F309" t="n">
        <x:f>INDEX(Model_TestVersion_Stats!$O:$O,C309)</x:f>
        <x:v>0.04</x:v>
      </x:c>
      <x:c r="G309" t="str">
        <x:f>IF(INDEX(Model_TestVersion_Stats!$R:$R,C309)="","",INDEX(Model_TestVersion_Stats!$R:$R,C309)/60)</x:f>
      </x:c>
      <x:c r="H309" t="n">
        <x:f>IF(E309="","",E309-(D309-1))</x:f>
        <x:v>-12</x:v>
      </x:c>
      <x:c r="I309" t="n">
        <x:f>IF(H309&gt;0,1,0)</x:f>
        <x:v>0</x:v>
      </x:c>
      <x:c r="J309" t="str">
        <x:f>IF(OR(I309=0,F309="",F309=0),"",H309/F309)</x:f>
      </x:c>
      <x:c r="K309" t="str">
        <x:f>IF(OR(I309=0,H309=0,F309=""),"",F309/H309)</x:f>
      </x:c>
      <x:c r="L309" t="str">
        <x:f>IF(OR(I309=0,F309="",G309="",F309=0,G309=0),"",H309/(F309*G309))</x:f>
      </x:c>
      <x:c r="M309" t="str">
        <x:f>IF(J309="","",J309/_xlfn.MAXIFS($J:$J,$D:$D,D309))</x:f>
      </x:c>
      <x:c r="N309" t="str">
        <x:f>IF(L309="","",L309/_xlfn.MAXIFS($L:$L,$D:$D,D309))</x:f>
      </x:c>
      <x:c r="O309" t="str">
        <x:f>IF(OR(M309="",N309=""),"",SQRT(M309*N309))</x:f>
      </x:c>
      <x:c r="P309" t="str">
        <x:f>IF(OR(M309="",N309=""),"",M309^0.7*N309^0.3)</x:f>
      </x:c>
      <x:c r="Q309" t="str">
        <x:f>IF(OR(M309="",N309=""),"",M309^0.3*N309^0.7)</x:f>
      </x:c>
    </x:row>
    <x:row r="310">
      <x:c r="A310" t="inlineStr">
        <x:is>
          <x:t xml:space="preserve">openai|gpt-5.6-luna|high|reasoning|fallback-na</x:t>
        </x:is>
      </x:c>
      <x:c r="B310" t="inlineStr">
        <x:is>
          <x:t xml:space="preserve">AA|v4.3.2</x:t>
        </x:is>
      </x:c>
      <x:c r="C310" t="n">
        <x:v>40</x:v>
      </x:c>
      <x:c r="D310" t="n">
        <x:v>50</x:v>
      </x:c>
      <x:c r="E310" t="n">
        <x:f>INDEX(Model_TestVersion_Stats!$W:$W,C310)</x:f>
        <x:v>32</x:v>
      </x:c>
      <x:c r="F310" t="n">
        <x:f>INDEX(Model_TestVersion_Stats!$O:$O,C310)</x:f>
        <x:v>0.04</x:v>
      </x:c>
      <x:c r="G310" t="str">
        <x:f>IF(INDEX(Model_TestVersion_Stats!$R:$R,C310)="","",INDEX(Model_TestVersion_Stats!$R:$R,C310)/60)</x:f>
      </x:c>
      <x:c r="H310" t="n">
        <x:f>IF(E310="","",E310-(D310-1))</x:f>
        <x:v>-17</x:v>
      </x:c>
      <x:c r="I310" t="n">
        <x:f>IF(H310&gt;0,1,0)</x:f>
        <x:v>0</x:v>
      </x:c>
      <x:c r="J310" t="str">
        <x:f>IF(OR(I310=0,F310="",F310=0),"",H310/F310)</x:f>
      </x:c>
      <x:c r="K310" t="str">
        <x:f>IF(OR(I310=0,H310=0,F310=""),"",F310/H310)</x:f>
      </x:c>
      <x:c r="L310" t="str">
        <x:f>IF(OR(I310=0,F310="",G310="",F310=0,G310=0),"",H310/(F310*G310))</x:f>
      </x:c>
      <x:c r="M310" t="str">
        <x:f>IF(J310="","",J310/_xlfn.MAXIFS($J:$J,$D:$D,D310))</x:f>
      </x:c>
      <x:c r="N310" t="str">
        <x:f>IF(L310="","",L310/_xlfn.MAXIFS($L:$L,$D:$D,D310))</x:f>
      </x:c>
      <x:c r="O310" t="str">
        <x:f>IF(OR(M310="",N310=""),"",SQRT(M310*N310))</x:f>
      </x:c>
      <x:c r="P310" t="str">
        <x:f>IF(OR(M310="",N310=""),"",M310^0.7*N310^0.3)</x:f>
      </x:c>
      <x:c r="Q310" t="str">
        <x:f>IF(OR(M310="",N310=""),"",M310^0.3*N310^0.7)</x:f>
      </x:c>
    </x:row>
    <x:row r="311">
      <x:c r="A311" t="inlineStr">
        <x:is>
          <x:t xml:space="preserve">openai|gpt-5.6-luna|high|reasoning|fallback-na</x:t>
        </x:is>
      </x:c>
      <x:c r="B311" t="inlineStr">
        <x:is>
          <x:t xml:space="preserve">AA|v4.3.2</x:t>
        </x:is>
      </x:c>
      <x:c r="C311" t="n">
        <x:v>40</x:v>
      </x:c>
      <x:c r="D311" t="n">
        <x:v>52</x:v>
      </x:c>
      <x:c r="E311" t="n">
        <x:f>INDEX(Model_TestVersion_Stats!$W:$W,C311)</x:f>
        <x:v>32</x:v>
      </x:c>
      <x:c r="F311" t="n">
        <x:f>INDEX(Model_TestVersion_Stats!$O:$O,C311)</x:f>
        <x:v>0.04</x:v>
      </x:c>
      <x:c r="G311" t="str">
        <x:f>IF(INDEX(Model_TestVersion_Stats!$R:$R,C311)="","",INDEX(Model_TestVersion_Stats!$R:$R,C311)/60)</x:f>
      </x:c>
      <x:c r="H311" t="n">
        <x:f>IF(E311="","",E311-(D311-1))</x:f>
        <x:v>-19</x:v>
      </x:c>
      <x:c r="I311" t="n">
        <x:f>IF(H311&gt;0,1,0)</x:f>
        <x:v>0</x:v>
      </x:c>
      <x:c r="J311" t="str">
        <x:f>IF(OR(I311=0,F311="",F311=0),"",H311/F311)</x:f>
      </x:c>
      <x:c r="K311" t="str">
        <x:f>IF(OR(I311=0,H311=0,F311=""),"",F311/H311)</x:f>
      </x:c>
      <x:c r="L311" t="str">
        <x:f>IF(OR(I311=0,F311="",G311="",F311=0,G311=0),"",H311/(F311*G311))</x:f>
      </x:c>
      <x:c r="M311" t="str">
        <x:f>IF(J311="","",J311/_xlfn.MAXIFS($J:$J,$D:$D,D311))</x:f>
      </x:c>
      <x:c r="N311" t="str">
        <x:f>IF(L311="","",L311/_xlfn.MAXIFS($L:$L,$D:$D,D311))</x:f>
      </x:c>
      <x:c r="O311" t="str">
        <x:f>IF(OR(M311="",N311=""),"",SQRT(M311*N311))</x:f>
      </x:c>
      <x:c r="P311" t="str">
        <x:f>IF(OR(M311="",N311=""),"",M311^0.7*N311^0.3)</x:f>
      </x:c>
      <x:c r="Q311" t="str">
        <x:f>IF(OR(M311="",N311=""),"",M311^0.3*N311^0.7)</x:f>
      </x:c>
    </x:row>
    <x:row r="312">
      <x:c r="A312" t="inlineStr">
        <x:is>
          <x:t xml:space="preserve">openai|gpt-5.6-luna|high|reasoning|fallback-na</x:t>
        </x:is>
      </x:c>
      <x:c r="B312" t="inlineStr">
        <x:is>
          <x:t xml:space="preserve">AA|v4.3.2</x:t>
        </x:is>
      </x:c>
      <x:c r="C312" t="n">
        <x:v>40</x:v>
      </x:c>
      <x:c r="D312" t="n">
        <x:v>65</x:v>
      </x:c>
      <x:c r="E312" t="n">
        <x:f>INDEX(Model_TestVersion_Stats!$W:$W,C312)</x:f>
        <x:v>32</x:v>
      </x:c>
      <x:c r="F312" t="n">
        <x:f>INDEX(Model_TestVersion_Stats!$O:$O,C312)</x:f>
        <x:v>0.04</x:v>
      </x:c>
      <x:c r="G312" t="str">
        <x:f>IF(INDEX(Model_TestVersion_Stats!$R:$R,C312)="","",INDEX(Model_TestVersion_Stats!$R:$R,C312)/60)</x:f>
      </x:c>
      <x:c r="H312" t="n">
        <x:f>IF(E312="","",E312-(D312-1))</x:f>
        <x:v>-32</x:v>
      </x:c>
      <x:c r="I312" t="n">
        <x:f>IF(H312&gt;0,1,0)</x:f>
        <x:v>0</x:v>
      </x:c>
      <x:c r="J312" t="str">
        <x:f>IF(OR(I312=0,F312="",F312=0),"",H312/F312)</x:f>
      </x:c>
      <x:c r="K312" t="str">
        <x:f>IF(OR(I312=0,H312=0,F312=""),"",F312/H312)</x:f>
      </x:c>
      <x:c r="L312" t="str">
        <x:f>IF(OR(I312=0,F312="",G312="",F312=0,G312=0),"",H312/(F312*G312))</x:f>
      </x:c>
      <x:c r="M312" t="str">
        <x:f>IF(J312="","",J312/_xlfn.MAXIFS($J:$J,$D:$D,D312))</x:f>
      </x:c>
      <x:c r="N312" t="str">
        <x:f>IF(L312="","",L312/_xlfn.MAXIFS($L:$L,$D:$D,D312))</x:f>
      </x:c>
      <x:c r="O312" t="str">
        <x:f>IF(OR(M312="",N312=""),"",SQRT(M312*N312))</x:f>
      </x:c>
      <x:c r="P312" t="str">
        <x:f>IF(OR(M312="",N312=""),"",M312^0.7*N312^0.3)</x:f>
      </x:c>
      <x:c r="Q312" t="str">
        <x:f>IF(OR(M312="",N312=""),"",M312^0.3*N312^0.7)</x:f>
      </x:c>
    </x:row>
    <x:row r="313">
      <x:c r="A313" t="inlineStr">
        <x:is>
          <x:t xml:space="preserve">openai|gpt-5.6-luna|high|reasoning|fallback-na</x:t>
        </x:is>
      </x:c>
      <x:c r="B313" t="inlineStr">
        <x:is>
          <x:t xml:space="preserve">AA|v4.3.2</x:t>
        </x:is>
      </x:c>
      <x:c r="C313" t="n">
        <x:v>40</x:v>
      </x:c>
      <x:c r="D313" t="n">
        <x:v>80</x:v>
      </x:c>
      <x:c r="E313" t="n">
        <x:f>INDEX(Model_TestVersion_Stats!$W:$W,C313)</x:f>
        <x:v>32</x:v>
      </x:c>
      <x:c r="F313" t="n">
        <x:f>INDEX(Model_TestVersion_Stats!$O:$O,C313)</x:f>
        <x:v>0.04</x:v>
      </x:c>
      <x:c r="G313" t="str">
        <x:f>IF(INDEX(Model_TestVersion_Stats!$R:$R,C313)="","",INDEX(Model_TestVersion_Stats!$R:$R,C313)/60)</x:f>
      </x:c>
      <x:c r="H313" t="n">
        <x:f>IF(E313="","",E313-(D313-1))</x:f>
        <x:v>-47</x:v>
      </x:c>
      <x:c r="I313" t="n">
        <x:f>IF(H313&gt;0,1,0)</x:f>
        <x:v>0</x:v>
      </x:c>
      <x:c r="J313" t="str">
        <x:f>IF(OR(I313=0,F313="",F313=0),"",H313/F313)</x:f>
      </x:c>
      <x:c r="K313" t="str">
        <x:f>IF(OR(I313=0,H313=0,F313=""),"",F313/H313)</x:f>
      </x:c>
      <x:c r="L313" t="str">
        <x:f>IF(OR(I313=0,F313="",G313="",F313=0,G313=0),"",H313/(F313*G313))</x:f>
      </x:c>
      <x:c r="M313" t="str">
        <x:f>IF(J313="","",J313/_xlfn.MAXIFS($J:$J,$D:$D,D313))</x:f>
      </x:c>
      <x:c r="N313" t="str">
        <x:f>IF(L313="","",L313/_xlfn.MAXIFS($L:$L,$D:$D,D313))</x:f>
      </x:c>
      <x:c r="O313" t="str">
        <x:f>IF(OR(M313="",N313=""),"",SQRT(M313*N313))</x:f>
      </x:c>
      <x:c r="P313" t="str">
        <x:f>IF(OR(M313="",N313=""),"",M313^0.7*N313^0.3)</x:f>
      </x:c>
      <x:c r="Q313" t="str">
        <x:f>IF(OR(M313="",N313=""),"",M313^0.3*N313^0.7)</x:f>
      </x:c>
    </x:row>
    <x:row r="314">
      <x:c r="A314" t="inlineStr">
        <x:is>
          <x:t xml:space="preserve">openai|gpt-5.6-luna|low|reasoning|fallback-na</x:t>
        </x:is>
      </x:c>
      <x:c r="B314" t="inlineStr">
        <x:is>
          <x:t xml:space="preserve">AA|v4.3.2</x:t>
        </x:is>
      </x:c>
      <x:c r="C314" t="n">
        <x:v>41</x:v>
      </x:c>
      <x:c r="D314" t="n">
        <x:v>20</x:v>
      </x:c>
      <x:c r="E314" t="n">
        <x:f>INDEX(Model_TestVersion_Stats!$W:$W,C314)</x:f>
        <x:v>21</x:v>
      </x:c>
      <x:c r="F314" t="n">
        <x:f>INDEX(Model_TestVersion_Stats!$O:$O,C314)</x:f>
        <x:v>0.01</x:v>
      </x:c>
      <x:c r="G314" t="str">
        <x:f>IF(INDEX(Model_TestVersion_Stats!$R:$R,C314)="","",INDEX(Model_TestVersion_Stats!$R:$R,C314)/60)</x:f>
      </x:c>
      <x:c r="H314" t="n">
        <x:f>IF(E314="","",E314-(D314-1))</x:f>
        <x:v>2</x:v>
      </x:c>
      <x:c r="I314" t="n">
        <x:f>IF(H314&gt;0,1,0)</x:f>
        <x:v>1</x:v>
      </x:c>
      <x:c r="J314" t="n">
        <x:f>IF(OR(I314=0,F314="",F314=0),"",H314/F314)</x:f>
        <x:v>200</x:v>
      </x:c>
      <x:c r="K314" t="n">
        <x:f>IF(OR(I314=0,H314=0,F314=""),"",F314/H314)</x:f>
        <x:v>0.005</x:v>
      </x:c>
      <x:c r="L314" t="str">
        <x:f>IF(OR(I314=0,F314="",G314="",F314=0,G314=0),"",H314/(F314*G314))</x:f>
      </x:c>
      <x:c r="M314" t="n">
        <x:f>IF(J314="","",J314/_xlfn.MAXIFS($J:$J,$D:$D,D314))</x:f>
        <x:v>0.36</x:v>
      </x:c>
      <x:c r="N314" t="str">
        <x:f>IF(L314="","",L314/_xlfn.MAXIFS($L:$L,$D:$D,D314))</x:f>
      </x:c>
      <x:c r="O314" t="str">
        <x:f>IF(OR(M314="",N314=""),"",SQRT(M314*N314))</x:f>
      </x:c>
      <x:c r="P314" t="str">
        <x:f>IF(OR(M314="",N314=""),"",M314^0.7*N314^0.3)</x:f>
      </x:c>
      <x:c r="Q314" t="str">
        <x:f>IF(OR(M314="",N314=""),"",M314^0.3*N314^0.7)</x:f>
      </x:c>
    </x:row>
    <x:row r="315">
      <x:c r="A315" t="inlineStr">
        <x:is>
          <x:t xml:space="preserve">openai|gpt-5.6-luna|low|reasoning|fallback-na</x:t>
        </x:is>
      </x:c>
      <x:c r="B315" t="inlineStr">
        <x:is>
          <x:t xml:space="preserve">AA|v4.3.2</x:t>
        </x:is>
      </x:c>
      <x:c r="C315" t="n">
        <x:v>41</x:v>
      </x:c>
      <x:c r="D315" t="n">
        <x:v>30</x:v>
      </x:c>
      <x:c r="E315" t="n">
        <x:f>INDEX(Model_TestVersion_Stats!$W:$W,C315)</x:f>
        <x:v>21</x:v>
      </x:c>
      <x:c r="F315" t="n">
        <x:f>INDEX(Model_TestVersion_Stats!$O:$O,C315)</x:f>
        <x:v>0.01</x:v>
      </x:c>
      <x:c r="G315" t="str">
        <x:f>IF(INDEX(Model_TestVersion_Stats!$R:$R,C315)="","",INDEX(Model_TestVersion_Stats!$R:$R,C315)/60)</x:f>
      </x:c>
      <x:c r="H315" t="n">
        <x:f>IF(E315="","",E315-(D315-1))</x:f>
        <x:v>-8</x:v>
      </x:c>
      <x:c r="I315" t="n">
        <x:f>IF(H315&gt;0,1,0)</x:f>
        <x:v>0</x:v>
      </x:c>
      <x:c r="J315" t="str">
        <x:f>IF(OR(I315=0,F315="",F315=0),"",H315/F315)</x:f>
      </x:c>
      <x:c r="K315" t="str">
        <x:f>IF(OR(I315=0,H315=0,F315=""),"",F315/H315)</x:f>
      </x:c>
      <x:c r="L315" t="str">
        <x:f>IF(OR(I315=0,F315="",G315="",F315=0,G315=0),"",H315/(F315*G315))</x:f>
      </x:c>
      <x:c r="M315" t="str">
        <x:f>IF(J315="","",J315/_xlfn.MAXIFS($J:$J,$D:$D,D315))</x:f>
      </x:c>
      <x:c r="N315" t="str">
        <x:f>IF(L315="","",L315/_xlfn.MAXIFS($L:$L,$D:$D,D315))</x:f>
      </x:c>
      <x:c r="O315" t="str">
        <x:f>IF(OR(M315="",N315=""),"",SQRT(M315*N315))</x:f>
      </x:c>
      <x:c r="P315" t="str">
        <x:f>IF(OR(M315="",N315=""),"",M315^0.7*N315^0.3)</x:f>
      </x:c>
      <x:c r="Q315" t="str">
        <x:f>IF(OR(M315="",N315=""),"",M315^0.3*N315^0.7)</x:f>
      </x:c>
    </x:row>
    <x:row r="316">
      <x:c r="A316" t="inlineStr">
        <x:is>
          <x:t xml:space="preserve">openai|gpt-5.6-luna|low|reasoning|fallback-na</x:t>
        </x:is>
      </x:c>
      <x:c r="B316" t="inlineStr">
        <x:is>
          <x:t xml:space="preserve">AA|v4.3.2</x:t>
        </x:is>
      </x:c>
      <x:c r="C316" t="n">
        <x:v>41</x:v>
      </x:c>
      <x:c r="D316" t="n">
        <x:v>40</x:v>
      </x:c>
      <x:c r="E316" t="n">
        <x:f>INDEX(Model_TestVersion_Stats!$W:$W,C316)</x:f>
        <x:v>21</x:v>
      </x:c>
      <x:c r="F316" t="n">
        <x:f>INDEX(Model_TestVersion_Stats!$O:$O,C316)</x:f>
        <x:v>0.01</x:v>
      </x:c>
      <x:c r="G316" t="str">
        <x:f>IF(INDEX(Model_TestVersion_Stats!$R:$R,C316)="","",INDEX(Model_TestVersion_Stats!$R:$R,C316)/60)</x:f>
      </x:c>
      <x:c r="H316" t="n">
        <x:f>IF(E316="","",E316-(D316-1))</x:f>
        <x:v>-18</x:v>
      </x:c>
      <x:c r="I316" t="n">
        <x:f>IF(H316&gt;0,1,0)</x:f>
        <x:v>0</x:v>
      </x:c>
      <x:c r="J316" t="str">
        <x:f>IF(OR(I316=0,F316="",F316=0),"",H316/F316)</x:f>
      </x:c>
      <x:c r="K316" t="str">
        <x:f>IF(OR(I316=0,H316=0,F316=""),"",F316/H316)</x:f>
      </x:c>
      <x:c r="L316" t="str">
        <x:f>IF(OR(I316=0,F316="",G316="",F316=0,G316=0),"",H316/(F316*G316))</x:f>
      </x:c>
      <x:c r="M316" t="str">
        <x:f>IF(J316="","",J316/_xlfn.MAXIFS($J:$J,$D:$D,D316))</x:f>
      </x:c>
      <x:c r="N316" t="str">
        <x:f>IF(L316="","",L316/_xlfn.MAXIFS($L:$L,$D:$D,D316))</x:f>
      </x:c>
      <x:c r="O316" t="str">
        <x:f>IF(OR(M316="",N316=""),"",SQRT(M316*N316))</x:f>
      </x:c>
      <x:c r="P316" t="str">
        <x:f>IF(OR(M316="",N316=""),"",M316^0.7*N316^0.3)</x:f>
      </x:c>
      <x:c r="Q316" t="str">
        <x:f>IF(OR(M316="",N316=""),"",M316^0.3*N316^0.7)</x:f>
      </x:c>
    </x:row>
    <x:row r="317">
      <x:c r="A317" t="inlineStr">
        <x:is>
          <x:t xml:space="preserve">openai|gpt-5.6-luna|low|reasoning|fallback-na</x:t>
        </x:is>
      </x:c>
      <x:c r="B317" t="inlineStr">
        <x:is>
          <x:t xml:space="preserve">AA|v4.3.2</x:t>
        </x:is>
      </x:c>
      <x:c r="C317" t="n">
        <x:v>41</x:v>
      </x:c>
      <x:c r="D317" t="n">
        <x:v>45</x:v>
      </x:c>
      <x:c r="E317" t="n">
        <x:f>INDEX(Model_TestVersion_Stats!$W:$W,C317)</x:f>
        <x:v>21</x:v>
      </x:c>
      <x:c r="F317" t="n">
        <x:f>INDEX(Model_TestVersion_Stats!$O:$O,C317)</x:f>
        <x:v>0.01</x:v>
      </x:c>
      <x:c r="G317" t="str">
        <x:f>IF(INDEX(Model_TestVersion_Stats!$R:$R,C317)="","",INDEX(Model_TestVersion_Stats!$R:$R,C317)/60)</x:f>
      </x:c>
      <x:c r="H317" t="n">
        <x:f>IF(E317="","",E317-(D317-1))</x:f>
        <x:v>-23</x:v>
      </x:c>
      <x:c r="I317" t="n">
        <x:f>IF(H317&gt;0,1,0)</x:f>
        <x:v>0</x:v>
      </x:c>
      <x:c r="J317" t="str">
        <x:f>IF(OR(I317=0,F317="",F317=0),"",H317/F317)</x:f>
      </x:c>
      <x:c r="K317" t="str">
        <x:f>IF(OR(I317=0,H317=0,F317=""),"",F317/H317)</x:f>
      </x:c>
      <x:c r="L317" t="str">
        <x:f>IF(OR(I317=0,F317="",G317="",F317=0,G317=0),"",H317/(F317*G317))</x:f>
      </x:c>
      <x:c r="M317" t="str">
        <x:f>IF(J317="","",J317/_xlfn.MAXIFS($J:$J,$D:$D,D317))</x:f>
      </x:c>
      <x:c r="N317" t="str">
        <x:f>IF(L317="","",L317/_xlfn.MAXIFS($L:$L,$D:$D,D317))</x:f>
      </x:c>
      <x:c r="O317" t="str">
        <x:f>IF(OR(M317="",N317=""),"",SQRT(M317*N317))</x:f>
      </x:c>
      <x:c r="P317" t="str">
        <x:f>IF(OR(M317="",N317=""),"",M317^0.7*N317^0.3)</x:f>
      </x:c>
      <x:c r="Q317" t="str">
        <x:f>IF(OR(M317="",N317=""),"",M317^0.3*N317^0.7)</x:f>
      </x:c>
    </x:row>
    <x:row r="318">
      <x:c r="A318" t="inlineStr">
        <x:is>
          <x:t xml:space="preserve">openai|gpt-5.6-luna|low|reasoning|fallback-na</x:t>
        </x:is>
      </x:c>
      <x:c r="B318" t="inlineStr">
        <x:is>
          <x:t xml:space="preserve">AA|v4.3.2</x:t>
        </x:is>
      </x:c>
      <x:c r="C318" t="n">
        <x:v>41</x:v>
      </x:c>
      <x:c r="D318" t="n">
        <x:v>50</x:v>
      </x:c>
      <x:c r="E318" t="n">
        <x:f>INDEX(Model_TestVersion_Stats!$W:$W,C318)</x:f>
        <x:v>21</x:v>
      </x:c>
      <x:c r="F318" t="n">
        <x:f>INDEX(Model_TestVersion_Stats!$O:$O,C318)</x:f>
        <x:v>0.01</x:v>
      </x:c>
      <x:c r="G318" t="str">
        <x:f>IF(INDEX(Model_TestVersion_Stats!$R:$R,C318)="","",INDEX(Model_TestVersion_Stats!$R:$R,C318)/60)</x:f>
      </x:c>
      <x:c r="H318" t="n">
        <x:f>IF(E318="","",E318-(D318-1))</x:f>
        <x:v>-28</x:v>
      </x:c>
      <x:c r="I318" t="n">
        <x:f>IF(H318&gt;0,1,0)</x:f>
        <x:v>0</x:v>
      </x:c>
      <x:c r="J318" t="str">
        <x:f>IF(OR(I318=0,F318="",F318=0),"",H318/F318)</x:f>
      </x:c>
      <x:c r="K318" t="str">
        <x:f>IF(OR(I318=0,H318=0,F318=""),"",F318/H318)</x:f>
      </x:c>
      <x:c r="L318" t="str">
        <x:f>IF(OR(I318=0,F318="",G318="",F318=0,G318=0),"",H318/(F318*G318))</x:f>
      </x:c>
      <x:c r="M318" t="str">
        <x:f>IF(J318="","",J318/_xlfn.MAXIFS($J:$J,$D:$D,D318))</x:f>
      </x:c>
      <x:c r="N318" t="str">
        <x:f>IF(L318="","",L318/_xlfn.MAXIFS($L:$L,$D:$D,D318))</x:f>
      </x:c>
      <x:c r="O318" t="str">
        <x:f>IF(OR(M318="",N318=""),"",SQRT(M318*N318))</x:f>
      </x:c>
      <x:c r="P318" t="str">
        <x:f>IF(OR(M318="",N318=""),"",M318^0.7*N318^0.3)</x:f>
      </x:c>
      <x:c r="Q318" t="str">
        <x:f>IF(OR(M318="",N318=""),"",M318^0.3*N318^0.7)</x:f>
      </x:c>
    </x:row>
    <x:row r="319">
      <x:c r="A319" t="inlineStr">
        <x:is>
          <x:t xml:space="preserve">openai|gpt-5.6-luna|low|reasoning|fallback-na</x:t>
        </x:is>
      </x:c>
      <x:c r="B319" t="inlineStr">
        <x:is>
          <x:t xml:space="preserve">AA|v4.3.2</x:t>
        </x:is>
      </x:c>
      <x:c r="C319" t="n">
        <x:v>41</x:v>
      </x:c>
      <x:c r="D319" t="n">
        <x:v>52</x:v>
      </x:c>
      <x:c r="E319" t="n">
        <x:f>INDEX(Model_TestVersion_Stats!$W:$W,C319)</x:f>
        <x:v>21</x:v>
      </x:c>
      <x:c r="F319" t="n">
        <x:f>INDEX(Model_TestVersion_Stats!$O:$O,C319)</x:f>
        <x:v>0.01</x:v>
      </x:c>
      <x:c r="G319" t="str">
        <x:f>IF(INDEX(Model_TestVersion_Stats!$R:$R,C319)="","",INDEX(Model_TestVersion_Stats!$R:$R,C319)/60)</x:f>
      </x:c>
      <x:c r="H319" t="n">
        <x:f>IF(E319="","",E319-(D319-1))</x:f>
        <x:v>-30</x:v>
      </x:c>
      <x:c r="I319" t="n">
        <x:f>IF(H319&gt;0,1,0)</x:f>
        <x:v>0</x:v>
      </x:c>
      <x:c r="J319" t="str">
        <x:f>IF(OR(I319=0,F319="",F319=0),"",H319/F319)</x:f>
      </x:c>
      <x:c r="K319" t="str">
        <x:f>IF(OR(I319=0,H319=0,F319=""),"",F319/H319)</x:f>
      </x:c>
      <x:c r="L319" t="str">
        <x:f>IF(OR(I319=0,F319="",G319="",F319=0,G319=0),"",H319/(F319*G319))</x:f>
      </x:c>
      <x:c r="M319" t="str">
        <x:f>IF(J319="","",J319/_xlfn.MAXIFS($J:$J,$D:$D,D319))</x:f>
      </x:c>
      <x:c r="N319" t="str">
        <x:f>IF(L319="","",L319/_xlfn.MAXIFS($L:$L,$D:$D,D319))</x:f>
      </x:c>
      <x:c r="O319" t="str">
        <x:f>IF(OR(M319="",N319=""),"",SQRT(M319*N319))</x:f>
      </x:c>
      <x:c r="P319" t="str">
        <x:f>IF(OR(M319="",N319=""),"",M319^0.7*N319^0.3)</x:f>
      </x:c>
      <x:c r="Q319" t="str">
        <x:f>IF(OR(M319="",N319=""),"",M319^0.3*N319^0.7)</x:f>
      </x:c>
    </x:row>
    <x:row r="320">
      <x:c r="A320" t="inlineStr">
        <x:is>
          <x:t xml:space="preserve">openai|gpt-5.6-luna|low|reasoning|fallback-na</x:t>
        </x:is>
      </x:c>
      <x:c r="B320" t="inlineStr">
        <x:is>
          <x:t xml:space="preserve">AA|v4.3.2</x:t>
        </x:is>
      </x:c>
      <x:c r="C320" t="n">
        <x:v>41</x:v>
      </x:c>
      <x:c r="D320" t="n">
        <x:v>65</x:v>
      </x:c>
      <x:c r="E320" t="n">
        <x:f>INDEX(Model_TestVersion_Stats!$W:$W,C320)</x:f>
        <x:v>21</x:v>
      </x:c>
      <x:c r="F320" t="n">
        <x:f>INDEX(Model_TestVersion_Stats!$O:$O,C320)</x:f>
        <x:v>0.01</x:v>
      </x:c>
      <x:c r="G320" t="str">
        <x:f>IF(INDEX(Model_TestVersion_Stats!$R:$R,C320)="","",INDEX(Model_TestVersion_Stats!$R:$R,C320)/60)</x:f>
      </x:c>
      <x:c r="H320" t="n">
        <x:f>IF(E320="","",E320-(D320-1))</x:f>
        <x:v>-43</x:v>
      </x:c>
      <x:c r="I320" t="n">
        <x:f>IF(H320&gt;0,1,0)</x:f>
        <x:v>0</x:v>
      </x:c>
      <x:c r="J320" t="str">
        <x:f>IF(OR(I320=0,F320="",F320=0),"",H320/F320)</x:f>
      </x:c>
      <x:c r="K320" t="str">
        <x:f>IF(OR(I320=0,H320=0,F320=""),"",F320/H320)</x:f>
      </x:c>
      <x:c r="L320" t="str">
        <x:f>IF(OR(I320=0,F320="",G320="",F320=0,G320=0),"",H320/(F320*G320))</x:f>
      </x:c>
      <x:c r="M320" t="str">
        <x:f>IF(J320="","",J320/_xlfn.MAXIFS($J:$J,$D:$D,D320))</x:f>
      </x:c>
      <x:c r="N320" t="str">
        <x:f>IF(L320="","",L320/_xlfn.MAXIFS($L:$L,$D:$D,D320))</x:f>
      </x:c>
      <x:c r="O320" t="str">
        <x:f>IF(OR(M320="",N320=""),"",SQRT(M320*N320))</x:f>
      </x:c>
      <x:c r="P320" t="str">
        <x:f>IF(OR(M320="",N320=""),"",M320^0.7*N320^0.3)</x:f>
      </x:c>
      <x:c r="Q320" t="str">
        <x:f>IF(OR(M320="",N320=""),"",M320^0.3*N320^0.7)</x:f>
      </x:c>
    </x:row>
    <x:row r="321">
      <x:c r="A321" t="inlineStr">
        <x:is>
          <x:t xml:space="preserve">openai|gpt-5.6-luna|low|reasoning|fallback-na</x:t>
        </x:is>
      </x:c>
      <x:c r="B321" t="inlineStr">
        <x:is>
          <x:t xml:space="preserve">AA|v4.3.2</x:t>
        </x:is>
      </x:c>
      <x:c r="C321" t="n">
        <x:v>41</x:v>
      </x:c>
      <x:c r="D321" t="n">
        <x:v>80</x:v>
      </x:c>
      <x:c r="E321" t="n">
        <x:f>INDEX(Model_TestVersion_Stats!$W:$W,C321)</x:f>
        <x:v>21</x:v>
      </x:c>
      <x:c r="F321" t="n">
        <x:f>INDEX(Model_TestVersion_Stats!$O:$O,C321)</x:f>
        <x:v>0.01</x:v>
      </x:c>
      <x:c r="G321" t="str">
        <x:f>IF(INDEX(Model_TestVersion_Stats!$R:$R,C321)="","",INDEX(Model_TestVersion_Stats!$R:$R,C321)/60)</x:f>
      </x:c>
      <x:c r="H321" t="n">
        <x:f>IF(E321="","",E321-(D321-1))</x:f>
        <x:v>-58</x:v>
      </x:c>
      <x:c r="I321" t="n">
        <x:f>IF(H321&gt;0,1,0)</x:f>
        <x:v>0</x:v>
      </x:c>
      <x:c r="J321" t="str">
        <x:f>IF(OR(I321=0,F321="",F321=0),"",H321/F321)</x:f>
      </x:c>
      <x:c r="K321" t="str">
        <x:f>IF(OR(I321=0,H321=0,F321=""),"",F321/H321)</x:f>
      </x:c>
      <x:c r="L321" t="str">
        <x:f>IF(OR(I321=0,F321="",G321="",F321=0,G321=0),"",H321/(F321*G321))</x:f>
      </x:c>
      <x:c r="M321" t="str">
        <x:f>IF(J321="","",J321/_xlfn.MAXIFS($J:$J,$D:$D,D321))</x:f>
      </x:c>
      <x:c r="N321" t="str">
        <x:f>IF(L321="","",L321/_xlfn.MAXIFS($L:$L,$D:$D,D321))</x:f>
      </x:c>
      <x:c r="O321" t="str">
        <x:f>IF(OR(M321="",N321=""),"",SQRT(M321*N321))</x:f>
      </x:c>
      <x:c r="P321" t="str">
        <x:f>IF(OR(M321="",N321=""),"",M321^0.7*N321^0.3)</x:f>
      </x:c>
      <x:c r="Q321" t="str">
        <x:f>IF(OR(M321="",N321=""),"",M321^0.3*N321^0.7)</x:f>
      </x:c>
    </x:row>
    <x:row r="322">
      <x:c r="A322" t="inlineStr">
        <x:is>
          <x:t xml:space="preserve">openai|gpt-5.6-luna|max|reasoning|fallback-na</x:t>
        </x:is>
      </x:c>
      <x:c r="B322" t="inlineStr">
        <x:is>
          <x:t xml:space="preserve">AA|v4.3.2</x:t>
        </x:is>
      </x:c>
      <x:c r="C322" t="n">
        <x:v>42</x:v>
      </x:c>
      <x:c r="D322" t="n">
        <x:v>20</x:v>
      </x:c>
      <x:c r="E322" t="n">
        <x:f>INDEX(Model_TestVersion_Stats!$W:$W,C322)</x:f>
        <x:v>37</x:v>
      </x:c>
      <x:c r="F322" t="n">
        <x:f>INDEX(Model_TestVersion_Stats!$O:$O,C322)</x:f>
        <x:v>0.18</x:v>
      </x:c>
      <x:c r="G322" t="str">
        <x:f>IF(INDEX(Model_TestVersion_Stats!$R:$R,C322)="","",INDEX(Model_TestVersion_Stats!$R:$R,C322)/60)</x:f>
      </x:c>
      <x:c r="H322" t="n">
        <x:f>IF(E322="","",E322-(D322-1))</x:f>
        <x:v>18</x:v>
      </x:c>
      <x:c r="I322" t="n">
        <x:f>IF(H322&gt;0,1,0)</x:f>
        <x:v>1</x:v>
      </x:c>
      <x:c r="J322" t="n">
        <x:f>IF(OR(I322=0,F322="",F322=0),"",H322/F322)</x:f>
        <x:v>100</x:v>
      </x:c>
      <x:c r="K322" t="n">
        <x:f>IF(OR(I322=0,H322=0,F322=""),"",F322/H322)</x:f>
        <x:v>0.01</x:v>
      </x:c>
      <x:c r="L322" t="str">
        <x:f>IF(OR(I322=0,F322="",G322="",F322=0,G322=0),"",H322/(F322*G322))</x:f>
      </x:c>
      <x:c r="M322" t="n">
        <x:f>IF(J322="","",J322/_xlfn.MAXIFS($J:$J,$D:$D,D322))</x:f>
        <x:v>0.18</x:v>
      </x:c>
      <x:c r="N322" t="str">
        <x:f>IF(L322="","",L322/_xlfn.MAXIFS($L:$L,$D:$D,D322))</x:f>
      </x:c>
      <x:c r="O322" t="str">
        <x:f>IF(OR(M322="",N322=""),"",SQRT(M322*N322))</x:f>
      </x:c>
      <x:c r="P322" t="str">
        <x:f>IF(OR(M322="",N322=""),"",M322^0.7*N322^0.3)</x:f>
      </x:c>
      <x:c r="Q322" t="str">
        <x:f>IF(OR(M322="",N322=""),"",M322^0.3*N322^0.7)</x:f>
      </x:c>
    </x:row>
    <x:row r="323">
      <x:c r="A323" t="inlineStr">
        <x:is>
          <x:t xml:space="preserve">openai|gpt-5.6-luna|max|reasoning|fallback-na</x:t>
        </x:is>
      </x:c>
      <x:c r="B323" t="inlineStr">
        <x:is>
          <x:t xml:space="preserve">AA|v4.3.2</x:t>
        </x:is>
      </x:c>
      <x:c r="C323" t="n">
        <x:v>42</x:v>
      </x:c>
      <x:c r="D323" t="n">
        <x:v>30</x:v>
      </x:c>
      <x:c r="E323" t="n">
        <x:f>INDEX(Model_TestVersion_Stats!$W:$W,C323)</x:f>
        <x:v>37</x:v>
      </x:c>
      <x:c r="F323" t="n">
        <x:f>INDEX(Model_TestVersion_Stats!$O:$O,C323)</x:f>
        <x:v>0.18</x:v>
      </x:c>
      <x:c r="G323" t="str">
        <x:f>IF(INDEX(Model_TestVersion_Stats!$R:$R,C323)="","",INDEX(Model_TestVersion_Stats!$R:$R,C323)/60)</x:f>
      </x:c>
      <x:c r="H323" t="n">
        <x:f>IF(E323="","",E323-(D323-1))</x:f>
        <x:v>8</x:v>
      </x:c>
      <x:c r="I323" t="n">
        <x:f>IF(H323&gt;0,1,0)</x:f>
        <x:v>1</x:v>
      </x:c>
      <x:c r="J323" t="n">
        <x:f>IF(OR(I323=0,F323="",F323=0),"",H323/F323)</x:f>
        <x:v>44.44444444444444</x:v>
      </x:c>
      <x:c r="K323" t="n">
        <x:f>IF(OR(I323=0,H323=0,F323=""),"",F323/H323)</x:f>
        <x:v>0.0225</x:v>
      </x:c>
      <x:c r="L323" t="str">
        <x:f>IF(OR(I323=0,F323="",G323="",F323=0,G323=0),"",H323/(F323*G323))</x:f>
      </x:c>
      <x:c r="M323" t="n">
        <x:f>IF(J323="","",J323/_xlfn.MAXIFS($J:$J,$D:$D,D323))</x:f>
        <x:v>0.2962962962962963</x:v>
      </x:c>
      <x:c r="N323" t="str">
        <x:f>IF(L323="","",L323/_xlfn.MAXIFS($L:$L,$D:$D,D323))</x:f>
      </x:c>
      <x:c r="O323" t="str">
        <x:f>IF(OR(M323="",N323=""),"",SQRT(M323*N323))</x:f>
      </x:c>
      <x:c r="P323" t="str">
        <x:f>IF(OR(M323="",N323=""),"",M323^0.7*N323^0.3)</x:f>
      </x:c>
      <x:c r="Q323" t="str">
        <x:f>IF(OR(M323="",N323=""),"",M323^0.3*N323^0.7)</x:f>
      </x:c>
    </x:row>
    <x:row r="324">
      <x:c r="A324" t="inlineStr">
        <x:is>
          <x:t xml:space="preserve">openai|gpt-5.6-luna|max|reasoning|fallback-na</x:t>
        </x:is>
      </x:c>
      <x:c r="B324" t="inlineStr">
        <x:is>
          <x:t xml:space="preserve">AA|v4.3.2</x:t>
        </x:is>
      </x:c>
      <x:c r="C324" t="n">
        <x:v>42</x:v>
      </x:c>
      <x:c r="D324" t="n">
        <x:v>40</x:v>
      </x:c>
      <x:c r="E324" t="n">
        <x:f>INDEX(Model_TestVersion_Stats!$W:$W,C324)</x:f>
        <x:v>37</x:v>
      </x:c>
      <x:c r="F324" t="n">
        <x:f>INDEX(Model_TestVersion_Stats!$O:$O,C324)</x:f>
        <x:v>0.18</x:v>
      </x:c>
      <x:c r="G324" t="str">
        <x:f>IF(INDEX(Model_TestVersion_Stats!$R:$R,C324)="","",INDEX(Model_TestVersion_Stats!$R:$R,C324)/60)</x:f>
      </x:c>
      <x:c r="H324" t="n">
        <x:f>IF(E324="","",E324-(D324-1))</x:f>
        <x:v>-2</x:v>
      </x:c>
      <x:c r="I324" t="n">
        <x:f>IF(H324&gt;0,1,0)</x:f>
        <x:v>0</x:v>
      </x:c>
      <x:c r="J324" t="str">
        <x:f>IF(OR(I324=0,F324="",F324=0),"",H324/F324)</x:f>
      </x:c>
      <x:c r="K324" t="str">
        <x:f>IF(OR(I324=0,H324=0,F324=""),"",F324/H324)</x:f>
      </x:c>
      <x:c r="L324" t="str">
        <x:f>IF(OR(I324=0,F324="",G324="",F324=0,G324=0),"",H324/(F324*G324))</x:f>
      </x:c>
      <x:c r="M324" t="str">
        <x:f>IF(J324="","",J324/_xlfn.MAXIFS($J:$J,$D:$D,D324))</x:f>
      </x:c>
      <x:c r="N324" t="str">
        <x:f>IF(L324="","",L324/_xlfn.MAXIFS($L:$L,$D:$D,D324))</x:f>
      </x:c>
      <x:c r="O324" t="str">
        <x:f>IF(OR(M324="",N324=""),"",SQRT(M324*N324))</x:f>
      </x:c>
      <x:c r="P324" t="str">
        <x:f>IF(OR(M324="",N324=""),"",M324^0.7*N324^0.3)</x:f>
      </x:c>
      <x:c r="Q324" t="str">
        <x:f>IF(OR(M324="",N324=""),"",M324^0.3*N324^0.7)</x:f>
      </x:c>
    </x:row>
    <x:row r="325">
      <x:c r="A325" t="inlineStr">
        <x:is>
          <x:t xml:space="preserve">openai|gpt-5.6-luna|max|reasoning|fallback-na</x:t>
        </x:is>
      </x:c>
      <x:c r="B325" t="inlineStr">
        <x:is>
          <x:t xml:space="preserve">AA|v4.3.2</x:t>
        </x:is>
      </x:c>
      <x:c r="C325" t="n">
        <x:v>42</x:v>
      </x:c>
      <x:c r="D325" t="n">
        <x:v>45</x:v>
      </x:c>
      <x:c r="E325" t="n">
        <x:f>INDEX(Model_TestVersion_Stats!$W:$W,C325)</x:f>
        <x:v>37</x:v>
      </x:c>
      <x:c r="F325" t="n">
        <x:f>INDEX(Model_TestVersion_Stats!$O:$O,C325)</x:f>
        <x:v>0.18</x:v>
      </x:c>
      <x:c r="G325" t="str">
        <x:f>IF(INDEX(Model_TestVersion_Stats!$R:$R,C325)="","",INDEX(Model_TestVersion_Stats!$R:$R,C325)/60)</x:f>
      </x:c>
      <x:c r="H325" t="n">
        <x:f>IF(E325="","",E325-(D325-1))</x:f>
        <x:v>-7</x:v>
      </x:c>
      <x:c r="I325" t="n">
        <x:f>IF(H325&gt;0,1,0)</x:f>
        <x:v>0</x:v>
      </x:c>
      <x:c r="J325" t="str">
        <x:f>IF(OR(I325=0,F325="",F325=0),"",H325/F325)</x:f>
      </x:c>
      <x:c r="K325" t="str">
        <x:f>IF(OR(I325=0,H325=0,F325=""),"",F325/H325)</x:f>
      </x:c>
      <x:c r="L325" t="str">
        <x:f>IF(OR(I325=0,F325="",G325="",F325=0,G325=0),"",H325/(F325*G325))</x:f>
      </x:c>
      <x:c r="M325" t="str">
        <x:f>IF(J325="","",J325/_xlfn.MAXIFS($J:$J,$D:$D,D325))</x:f>
      </x:c>
      <x:c r="N325" t="str">
        <x:f>IF(L325="","",L325/_xlfn.MAXIFS($L:$L,$D:$D,D325))</x:f>
      </x:c>
      <x:c r="O325" t="str">
        <x:f>IF(OR(M325="",N325=""),"",SQRT(M325*N325))</x:f>
      </x:c>
      <x:c r="P325" t="str">
        <x:f>IF(OR(M325="",N325=""),"",M325^0.7*N325^0.3)</x:f>
      </x:c>
      <x:c r="Q325" t="str">
        <x:f>IF(OR(M325="",N325=""),"",M325^0.3*N325^0.7)</x:f>
      </x:c>
    </x:row>
    <x:row r="326">
      <x:c r="A326" t="inlineStr">
        <x:is>
          <x:t xml:space="preserve">openai|gpt-5.6-luna|max|reasoning|fallback-na</x:t>
        </x:is>
      </x:c>
      <x:c r="B326" t="inlineStr">
        <x:is>
          <x:t xml:space="preserve">AA|v4.3.2</x:t>
        </x:is>
      </x:c>
      <x:c r="C326" t="n">
        <x:v>42</x:v>
      </x:c>
      <x:c r="D326" t="n">
        <x:v>50</x:v>
      </x:c>
      <x:c r="E326" t="n">
        <x:f>INDEX(Model_TestVersion_Stats!$W:$W,C326)</x:f>
        <x:v>37</x:v>
      </x:c>
      <x:c r="F326" t="n">
        <x:f>INDEX(Model_TestVersion_Stats!$O:$O,C326)</x:f>
        <x:v>0.18</x:v>
      </x:c>
      <x:c r="G326" t="str">
        <x:f>IF(INDEX(Model_TestVersion_Stats!$R:$R,C326)="","",INDEX(Model_TestVersion_Stats!$R:$R,C326)/60)</x:f>
      </x:c>
      <x:c r="H326" t="n">
        <x:f>IF(E326="","",E326-(D326-1))</x:f>
        <x:v>-12</x:v>
      </x:c>
      <x:c r="I326" t="n">
        <x:f>IF(H326&gt;0,1,0)</x:f>
        <x:v>0</x:v>
      </x:c>
      <x:c r="J326" t="str">
        <x:f>IF(OR(I326=0,F326="",F326=0),"",H326/F326)</x:f>
      </x:c>
      <x:c r="K326" t="str">
        <x:f>IF(OR(I326=0,H326=0,F326=""),"",F326/H326)</x:f>
      </x:c>
      <x:c r="L326" t="str">
        <x:f>IF(OR(I326=0,F326="",G326="",F326=0,G326=0),"",H326/(F326*G326))</x:f>
      </x:c>
      <x:c r="M326" t="str">
        <x:f>IF(J326="","",J326/_xlfn.MAXIFS($J:$J,$D:$D,D326))</x:f>
      </x:c>
      <x:c r="N326" t="str">
        <x:f>IF(L326="","",L326/_xlfn.MAXIFS($L:$L,$D:$D,D326))</x:f>
      </x:c>
      <x:c r="O326" t="str">
        <x:f>IF(OR(M326="",N326=""),"",SQRT(M326*N326))</x:f>
      </x:c>
      <x:c r="P326" t="str">
        <x:f>IF(OR(M326="",N326=""),"",M326^0.7*N326^0.3)</x:f>
      </x:c>
      <x:c r="Q326" t="str">
        <x:f>IF(OR(M326="",N326=""),"",M326^0.3*N326^0.7)</x:f>
      </x:c>
    </x:row>
    <x:row r="327">
      <x:c r="A327" t="inlineStr">
        <x:is>
          <x:t xml:space="preserve">openai|gpt-5.6-luna|max|reasoning|fallback-na</x:t>
        </x:is>
      </x:c>
      <x:c r="B327" t="inlineStr">
        <x:is>
          <x:t xml:space="preserve">AA|v4.3.2</x:t>
        </x:is>
      </x:c>
      <x:c r="C327" t="n">
        <x:v>42</x:v>
      </x:c>
      <x:c r="D327" t="n">
        <x:v>52</x:v>
      </x:c>
      <x:c r="E327" t="n">
        <x:f>INDEX(Model_TestVersion_Stats!$W:$W,C327)</x:f>
        <x:v>37</x:v>
      </x:c>
      <x:c r="F327" t="n">
        <x:f>INDEX(Model_TestVersion_Stats!$O:$O,C327)</x:f>
        <x:v>0.18</x:v>
      </x:c>
      <x:c r="G327" t="str">
        <x:f>IF(INDEX(Model_TestVersion_Stats!$R:$R,C327)="","",INDEX(Model_TestVersion_Stats!$R:$R,C327)/60)</x:f>
      </x:c>
      <x:c r="H327" t="n">
        <x:f>IF(E327="","",E327-(D327-1))</x:f>
        <x:v>-14</x:v>
      </x:c>
      <x:c r="I327" t="n">
        <x:f>IF(H327&gt;0,1,0)</x:f>
        <x:v>0</x:v>
      </x:c>
      <x:c r="J327" t="str">
        <x:f>IF(OR(I327=0,F327="",F327=0),"",H327/F327)</x:f>
      </x:c>
      <x:c r="K327" t="str">
        <x:f>IF(OR(I327=0,H327=0,F327=""),"",F327/H327)</x:f>
      </x:c>
      <x:c r="L327" t="str">
        <x:f>IF(OR(I327=0,F327="",G327="",F327=0,G327=0),"",H327/(F327*G327))</x:f>
      </x:c>
      <x:c r="M327" t="str">
        <x:f>IF(J327="","",J327/_xlfn.MAXIFS($J:$J,$D:$D,D327))</x:f>
      </x:c>
      <x:c r="N327" t="str">
        <x:f>IF(L327="","",L327/_xlfn.MAXIFS($L:$L,$D:$D,D327))</x:f>
      </x:c>
      <x:c r="O327" t="str">
        <x:f>IF(OR(M327="",N327=""),"",SQRT(M327*N327))</x:f>
      </x:c>
      <x:c r="P327" t="str">
        <x:f>IF(OR(M327="",N327=""),"",M327^0.7*N327^0.3)</x:f>
      </x:c>
      <x:c r="Q327" t="str">
        <x:f>IF(OR(M327="",N327=""),"",M327^0.3*N327^0.7)</x:f>
      </x:c>
    </x:row>
    <x:row r="328">
      <x:c r="A328" t="inlineStr">
        <x:is>
          <x:t xml:space="preserve">openai|gpt-5.6-luna|max|reasoning|fallback-na</x:t>
        </x:is>
      </x:c>
      <x:c r="B328" t="inlineStr">
        <x:is>
          <x:t xml:space="preserve">AA|v4.3.2</x:t>
        </x:is>
      </x:c>
      <x:c r="C328" t="n">
        <x:v>42</x:v>
      </x:c>
      <x:c r="D328" t="n">
        <x:v>65</x:v>
      </x:c>
      <x:c r="E328" t="n">
        <x:f>INDEX(Model_TestVersion_Stats!$W:$W,C328)</x:f>
        <x:v>37</x:v>
      </x:c>
      <x:c r="F328" t="n">
        <x:f>INDEX(Model_TestVersion_Stats!$O:$O,C328)</x:f>
        <x:v>0.18</x:v>
      </x:c>
      <x:c r="G328" t="str">
        <x:f>IF(INDEX(Model_TestVersion_Stats!$R:$R,C328)="","",INDEX(Model_TestVersion_Stats!$R:$R,C328)/60)</x:f>
      </x:c>
      <x:c r="H328" t="n">
        <x:f>IF(E328="","",E328-(D328-1))</x:f>
        <x:v>-27</x:v>
      </x:c>
      <x:c r="I328" t="n">
        <x:f>IF(H328&gt;0,1,0)</x:f>
        <x:v>0</x:v>
      </x:c>
      <x:c r="J328" t="str">
        <x:f>IF(OR(I328=0,F328="",F328=0),"",H328/F328)</x:f>
      </x:c>
      <x:c r="K328" t="str">
        <x:f>IF(OR(I328=0,H328=0,F328=""),"",F328/H328)</x:f>
      </x:c>
      <x:c r="L328" t="str">
        <x:f>IF(OR(I328=0,F328="",G328="",F328=0,G328=0),"",H328/(F328*G328))</x:f>
      </x:c>
      <x:c r="M328" t="str">
        <x:f>IF(J328="","",J328/_xlfn.MAXIFS($J:$J,$D:$D,D328))</x:f>
      </x:c>
      <x:c r="N328" t="str">
        <x:f>IF(L328="","",L328/_xlfn.MAXIFS($L:$L,$D:$D,D328))</x:f>
      </x:c>
      <x:c r="O328" t="str">
        <x:f>IF(OR(M328="",N328=""),"",SQRT(M328*N328))</x:f>
      </x:c>
      <x:c r="P328" t="str">
        <x:f>IF(OR(M328="",N328=""),"",M328^0.7*N328^0.3)</x:f>
      </x:c>
      <x:c r="Q328" t="str">
        <x:f>IF(OR(M328="",N328=""),"",M328^0.3*N328^0.7)</x:f>
      </x:c>
    </x:row>
    <x:row r="329">
      <x:c r="A329" t="inlineStr">
        <x:is>
          <x:t xml:space="preserve">openai|gpt-5.6-luna|max|reasoning|fallback-na</x:t>
        </x:is>
      </x:c>
      <x:c r="B329" t="inlineStr">
        <x:is>
          <x:t xml:space="preserve">AA|v4.3.2</x:t>
        </x:is>
      </x:c>
      <x:c r="C329" t="n">
        <x:v>42</x:v>
      </x:c>
      <x:c r="D329" t="n">
        <x:v>80</x:v>
      </x:c>
      <x:c r="E329" t="n">
        <x:f>INDEX(Model_TestVersion_Stats!$W:$W,C329)</x:f>
        <x:v>37</x:v>
      </x:c>
      <x:c r="F329" t="n">
        <x:f>INDEX(Model_TestVersion_Stats!$O:$O,C329)</x:f>
        <x:v>0.18</x:v>
      </x:c>
      <x:c r="G329" t="str">
        <x:f>IF(INDEX(Model_TestVersion_Stats!$R:$R,C329)="","",INDEX(Model_TestVersion_Stats!$R:$R,C329)/60)</x:f>
      </x:c>
      <x:c r="H329" t="n">
        <x:f>IF(E329="","",E329-(D329-1))</x:f>
        <x:v>-42</x:v>
      </x:c>
      <x:c r="I329" t="n">
        <x:f>IF(H329&gt;0,1,0)</x:f>
        <x:v>0</x:v>
      </x:c>
      <x:c r="J329" t="str">
        <x:f>IF(OR(I329=0,F329="",F329=0),"",H329/F329)</x:f>
      </x:c>
      <x:c r="K329" t="str">
        <x:f>IF(OR(I329=0,H329=0,F329=""),"",F329/H329)</x:f>
      </x:c>
      <x:c r="L329" t="str">
        <x:f>IF(OR(I329=0,F329="",G329="",F329=0,G329=0),"",H329/(F329*G329))</x:f>
      </x:c>
      <x:c r="M329" t="str">
        <x:f>IF(J329="","",J329/_xlfn.MAXIFS($J:$J,$D:$D,D329))</x:f>
      </x:c>
      <x:c r="N329" t="str">
        <x:f>IF(L329="","",L329/_xlfn.MAXIFS($L:$L,$D:$D,D329))</x:f>
      </x:c>
      <x:c r="O329" t="str">
        <x:f>IF(OR(M329="",N329=""),"",SQRT(M329*N329))</x:f>
      </x:c>
      <x:c r="P329" t="str">
        <x:f>IF(OR(M329="",N329=""),"",M329^0.7*N329^0.3)</x:f>
      </x:c>
      <x:c r="Q329" t="str">
        <x:f>IF(OR(M329="",N329=""),"",M329^0.3*N329^0.7)</x:f>
      </x:c>
    </x:row>
    <x:row r="330">
      <x:c r="A330" t="inlineStr">
        <x:is>
          <x:t xml:space="preserve">openai|gpt-5.6-luna|medium|reasoning|fallback-na</x:t>
        </x:is>
      </x:c>
      <x:c r="B330" t="inlineStr">
        <x:is>
          <x:t xml:space="preserve">AA|v4.3.2</x:t>
        </x:is>
      </x:c>
      <x:c r="C330" t="n">
        <x:v>43</x:v>
      </x:c>
      <x:c r="D330" t="n">
        <x:v>20</x:v>
      </x:c>
      <x:c r="E330" t="n">
        <x:f>INDEX(Model_TestVersion_Stats!$W:$W,C330)</x:f>
        <x:v>25</x:v>
      </x:c>
      <x:c r="F330" t="n">
        <x:f>INDEX(Model_TestVersion_Stats!$O:$O,C330)</x:f>
        <x:v>0.02</x:v>
      </x:c>
      <x:c r="G330" t="str">
        <x:f>IF(INDEX(Model_TestVersion_Stats!$R:$R,C330)="","",INDEX(Model_TestVersion_Stats!$R:$R,C330)/60)</x:f>
      </x:c>
      <x:c r="H330" t="n">
        <x:f>IF(E330="","",E330-(D330-1))</x:f>
        <x:v>6</x:v>
      </x:c>
      <x:c r="I330" t="n">
        <x:f>IF(H330&gt;0,1,0)</x:f>
        <x:v>1</x:v>
      </x:c>
      <x:c r="J330" t="n">
        <x:f>IF(OR(I330=0,F330="",F330=0),"",H330/F330)</x:f>
        <x:v>300</x:v>
      </x:c>
      <x:c r="K330" t="n">
        <x:f>IF(OR(I330=0,H330=0,F330=""),"",F330/H330)</x:f>
        <x:v>0.0033333333333333335</x:v>
      </x:c>
      <x:c r="L330" t="str">
        <x:f>IF(OR(I330=0,F330="",G330="",F330=0,G330=0),"",H330/(F330*G330))</x:f>
      </x:c>
      <x:c r="M330" t="n">
        <x:f>IF(J330="","",J330/_xlfn.MAXIFS($J:$J,$D:$D,D330))</x:f>
        <x:v>0.54</x:v>
      </x:c>
      <x:c r="N330" t="str">
        <x:f>IF(L330="","",L330/_xlfn.MAXIFS($L:$L,$D:$D,D330))</x:f>
      </x:c>
      <x:c r="O330" t="str">
        <x:f>IF(OR(M330="",N330=""),"",SQRT(M330*N330))</x:f>
      </x:c>
      <x:c r="P330" t="str">
        <x:f>IF(OR(M330="",N330=""),"",M330^0.7*N330^0.3)</x:f>
      </x:c>
      <x:c r="Q330" t="str">
        <x:f>IF(OR(M330="",N330=""),"",M330^0.3*N330^0.7)</x:f>
      </x:c>
    </x:row>
    <x:row r="331">
      <x:c r="A331" t="inlineStr">
        <x:is>
          <x:t xml:space="preserve">openai|gpt-5.6-luna|medium|reasoning|fallback-na</x:t>
        </x:is>
      </x:c>
      <x:c r="B331" t="inlineStr">
        <x:is>
          <x:t xml:space="preserve">AA|v4.3.2</x:t>
        </x:is>
      </x:c>
      <x:c r="C331" t="n">
        <x:v>43</x:v>
      </x:c>
      <x:c r="D331" t="n">
        <x:v>30</x:v>
      </x:c>
      <x:c r="E331" t="n">
        <x:f>INDEX(Model_TestVersion_Stats!$W:$W,C331)</x:f>
        <x:v>25</x:v>
      </x:c>
      <x:c r="F331" t="n">
        <x:f>INDEX(Model_TestVersion_Stats!$O:$O,C331)</x:f>
        <x:v>0.02</x:v>
      </x:c>
      <x:c r="G331" t="str">
        <x:f>IF(INDEX(Model_TestVersion_Stats!$R:$R,C331)="","",INDEX(Model_TestVersion_Stats!$R:$R,C331)/60)</x:f>
      </x:c>
      <x:c r="H331" t="n">
        <x:f>IF(E331="","",E331-(D331-1))</x:f>
        <x:v>-4</x:v>
      </x:c>
      <x:c r="I331" t="n">
        <x:f>IF(H331&gt;0,1,0)</x:f>
        <x:v>0</x:v>
      </x:c>
      <x:c r="J331" t="str">
        <x:f>IF(OR(I331=0,F331="",F331=0),"",H331/F331)</x:f>
      </x:c>
      <x:c r="K331" t="str">
        <x:f>IF(OR(I331=0,H331=0,F331=""),"",F331/H331)</x:f>
      </x:c>
      <x:c r="L331" t="str">
        <x:f>IF(OR(I331=0,F331="",G331="",F331=0,G331=0),"",H331/(F331*G331))</x:f>
      </x:c>
      <x:c r="M331" t="str">
        <x:f>IF(J331="","",J331/_xlfn.MAXIFS($J:$J,$D:$D,D331))</x:f>
      </x:c>
      <x:c r="N331" t="str">
        <x:f>IF(L331="","",L331/_xlfn.MAXIFS($L:$L,$D:$D,D331))</x:f>
      </x:c>
      <x:c r="O331" t="str">
        <x:f>IF(OR(M331="",N331=""),"",SQRT(M331*N331))</x:f>
      </x:c>
      <x:c r="P331" t="str">
        <x:f>IF(OR(M331="",N331=""),"",M331^0.7*N331^0.3)</x:f>
      </x:c>
      <x:c r="Q331" t="str">
        <x:f>IF(OR(M331="",N331=""),"",M331^0.3*N331^0.7)</x:f>
      </x:c>
    </x:row>
    <x:row r="332">
      <x:c r="A332" t="inlineStr">
        <x:is>
          <x:t xml:space="preserve">openai|gpt-5.6-luna|medium|reasoning|fallback-na</x:t>
        </x:is>
      </x:c>
      <x:c r="B332" t="inlineStr">
        <x:is>
          <x:t xml:space="preserve">AA|v4.3.2</x:t>
        </x:is>
      </x:c>
      <x:c r="C332" t="n">
        <x:v>43</x:v>
      </x:c>
      <x:c r="D332" t="n">
        <x:v>40</x:v>
      </x:c>
      <x:c r="E332" t="n">
        <x:f>INDEX(Model_TestVersion_Stats!$W:$W,C332)</x:f>
        <x:v>25</x:v>
      </x:c>
      <x:c r="F332" t="n">
        <x:f>INDEX(Model_TestVersion_Stats!$O:$O,C332)</x:f>
        <x:v>0.02</x:v>
      </x:c>
      <x:c r="G332" t="str">
        <x:f>IF(INDEX(Model_TestVersion_Stats!$R:$R,C332)="","",INDEX(Model_TestVersion_Stats!$R:$R,C332)/60)</x:f>
      </x:c>
      <x:c r="H332" t="n">
        <x:f>IF(E332="","",E332-(D332-1))</x:f>
        <x:v>-14</x:v>
      </x:c>
      <x:c r="I332" t="n">
        <x:f>IF(H332&gt;0,1,0)</x:f>
        <x:v>0</x:v>
      </x:c>
      <x:c r="J332" t="str">
        <x:f>IF(OR(I332=0,F332="",F332=0),"",H332/F332)</x:f>
      </x:c>
      <x:c r="K332" t="str">
        <x:f>IF(OR(I332=0,H332=0,F332=""),"",F332/H332)</x:f>
      </x:c>
      <x:c r="L332" t="str">
        <x:f>IF(OR(I332=0,F332="",G332="",F332=0,G332=0),"",H332/(F332*G332))</x:f>
      </x:c>
      <x:c r="M332" t="str">
        <x:f>IF(J332="","",J332/_xlfn.MAXIFS($J:$J,$D:$D,D332))</x:f>
      </x:c>
      <x:c r="N332" t="str">
        <x:f>IF(L332="","",L332/_xlfn.MAXIFS($L:$L,$D:$D,D332))</x:f>
      </x:c>
      <x:c r="O332" t="str">
        <x:f>IF(OR(M332="",N332=""),"",SQRT(M332*N332))</x:f>
      </x:c>
      <x:c r="P332" t="str">
        <x:f>IF(OR(M332="",N332=""),"",M332^0.7*N332^0.3)</x:f>
      </x:c>
      <x:c r="Q332" t="str">
        <x:f>IF(OR(M332="",N332=""),"",M332^0.3*N332^0.7)</x:f>
      </x:c>
    </x:row>
    <x:row r="333">
      <x:c r="A333" t="inlineStr">
        <x:is>
          <x:t xml:space="preserve">openai|gpt-5.6-luna|medium|reasoning|fallback-na</x:t>
        </x:is>
      </x:c>
      <x:c r="B333" t="inlineStr">
        <x:is>
          <x:t xml:space="preserve">AA|v4.3.2</x:t>
        </x:is>
      </x:c>
      <x:c r="C333" t="n">
        <x:v>43</x:v>
      </x:c>
      <x:c r="D333" t="n">
        <x:v>45</x:v>
      </x:c>
      <x:c r="E333" t="n">
        <x:f>INDEX(Model_TestVersion_Stats!$W:$W,C333)</x:f>
        <x:v>25</x:v>
      </x:c>
      <x:c r="F333" t="n">
        <x:f>INDEX(Model_TestVersion_Stats!$O:$O,C333)</x:f>
        <x:v>0.02</x:v>
      </x:c>
      <x:c r="G333" t="str">
        <x:f>IF(INDEX(Model_TestVersion_Stats!$R:$R,C333)="","",INDEX(Model_TestVersion_Stats!$R:$R,C333)/60)</x:f>
      </x:c>
      <x:c r="H333" t="n">
        <x:f>IF(E333="","",E333-(D333-1))</x:f>
        <x:v>-19</x:v>
      </x:c>
      <x:c r="I333" t="n">
        <x:f>IF(H333&gt;0,1,0)</x:f>
        <x:v>0</x:v>
      </x:c>
      <x:c r="J333" t="str">
        <x:f>IF(OR(I333=0,F333="",F333=0),"",H333/F333)</x:f>
      </x:c>
      <x:c r="K333" t="str">
        <x:f>IF(OR(I333=0,H333=0,F333=""),"",F333/H333)</x:f>
      </x:c>
      <x:c r="L333" t="str">
        <x:f>IF(OR(I333=0,F333="",G333="",F333=0,G333=0),"",H333/(F333*G333))</x:f>
      </x:c>
      <x:c r="M333" t="str">
        <x:f>IF(J333="","",J333/_xlfn.MAXIFS($J:$J,$D:$D,D333))</x:f>
      </x:c>
      <x:c r="N333" t="str">
        <x:f>IF(L333="","",L333/_xlfn.MAXIFS($L:$L,$D:$D,D333))</x:f>
      </x:c>
      <x:c r="O333" t="str">
        <x:f>IF(OR(M333="",N333=""),"",SQRT(M333*N333))</x:f>
      </x:c>
      <x:c r="P333" t="str">
        <x:f>IF(OR(M333="",N333=""),"",M333^0.7*N333^0.3)</x:f>
      </x:c>
      <x:c r="Q333" t="str">
        <x:f>IF(OR(M333="",N333=""),"",M333^0.3*N333^0.7)</x:f>
      </x:c>
    </x:row>
    <x:row r="334">
      <x:c r="A334" t="inlineStr">
        <x:is>
          <x:t xml:space="preserve">openai|gpt-5.6-luna|medium|reasoning|fallback-na</x:t>
        </x:is>
      </x:c>
      <x:c r="B334" t="inlineStr">
        <x:is>
          <x:t xml:space="preserve">AA|v4.3.2</x:t>
        </x:is>
      </x:c>
      <x:c r="C334" t="n">
        <x:v>43</x:v>
      </x:c>
      <x:c r="D334" t="n">
        <x:v>50</x:v>
      </x:c>
      <x:c r="E334" t="n">
        <x:f>INDEX(Model_TestVersion_Stats!$W:$W,C334)</x:f>
        <x:v>25</x:v>
      </x:c>
      <x:c r="F334" t="n">
        <x:f>INDEX(Model_TestVersion_Stats!$O:$O,C334)</x:f>
        <x:v>0.02</x:v>
      </x:c>
      <x:c r="G334" t="str">
        <x:f>IF(INDEX(Model_TestVersion_Stats!$R:$R,C334)="","",INDEX(Model_TestVersion_Stats!$R:$R,C334)/60)</x:f>
      </x:c>
      <x:c r="H334" t="n">
        <x:f>IF(E334="","",E334-(D334-1))</x:f>
        <x:v>-24</x:v>
      </x:c>
      <x:c r="I334" t="n">
        <x:f>IF(H334&gt;0,1,0)</x:f>
        <x:v>0</x:v>
      </x:c>
      <x:c r="J334" t="str">
        <x:f>IF(OR(I334=0,F334="",F334=0),"",H334/F334)</x:f>
      </x:c>
      <x:c r="K334" t="str">
        <x:f>IF(OR(I334=0,H334=0,F334=""),"",F334/H334)</x:f>
      </x:c>
      <x:c r="L334" t="str">
        <x:f>IF(OR(I334=0,F334="",G334="",F334=0,G334=0),"",H334/(F334*G334))</x:f>
      </x:c>
      <x:c r="M334" t="str">
        <x:f>IF(J334="","",J334/_xlfn.MAXIFS($J:$J,$D:$D,D334))</x:f>
      </x:c>
      <x:c r="N334" t="str">
        <x:f>IF(L334="","",L334/_xlfn.MAXIFS($L:$L,$D:$D,D334))</x:f>
      </x:c>
      <x:c r="O334" t="str">
        <x:f>IF(OR(M334="",N334=""),"",SQRT(M334*N334))</x:f>
      </x:c>
      <x:c r="P334" t="str">
        <x:f>IF(OR(M334="",N334=""),"",M334^0.7*N334^0.3)</x:f>
      </x:c>
      <x:c r="Q334" t="str">
        <x:f>IF(OR(M334="",N334=""),"",M334^0.3*N334^0.7)</x:f>
      </x:c>
    </x:row>
    <x:row r="335">
      <x:c r="A335" t="inlineStr">
        <x:is>
          <x:t xml:space="preserve">openai|gpt-5.6-luna|medium|reasoning|fallback-na</x:t>
        </x:is>
      </x:c>
      <x:c r="B335" t="inlineStr">
        <x:is>
          <x:t xml:space="preserve">AA|v4.3.2</x:t>
        </x:is>
      </x:c>
      <x:c r="C335" t="n">
        <x:v>43</x:v>
      </x:c>
      <x:c r="D335" t="n">
        <x:v>52</x:v>
      </x:c>
      <x:c r="E335" t="n">
        <x:f>INDEX(Model_TestVersion_Stats!$W:$W,C335)</x:f>
        <x:v>25</x:v>
      </x:c>
      <x:c r="F335" t="n">
        <x:f>INDEX(Model_TestVersion_Stats!$O:$O,C335)</x:f>
        <x:v>0.02</x:v>
      </x:c>
      <x:c r="G335" t="str">
        <x:f>IF(INDEX(Model_TestVersion_Stats!$R:$R,C335)="","",INDEX(Model_TestVersion_Stats!$R:$R,C335)/60)</x:f>
      </x:c>
      <x:c r="H335" t="n">
        <x:f>IF(E335="","",E335-(D335-1))</x:f>
        <x:v>-26</x:v>
      </x:c>
      <x:c r="I335" t="n">
        <x:f>IF(H335&gt;0,1,0)</x:f>
        <x:v>0</x:v>
      </x:c>
      <x:c r="J335" t="str">
        <x:f>IF(OR(I335=0,F335="",F335=0),"",H335/F335)</x:f>
      </x:c>
      <x:c r="K335" t="str">
        <x:f>IF(OR(I335=0,H335=0,F335=""),"",F335/H335)</x:f>
      </x:c>
      <x:c r="L335" t="str">
        <x:f>IF(OR(I335=0,F335="",G335="",F335=0,G335=0),"",H335/(F335*G335))</x:f>
      </x:c>
      <x:c r="M335" t="str">
        <x:f>IF(J335="","",J335/_xlfn.MAXIFS($J:$J,$D:$D,D335))</x:f>
      </x:c>
      <x:c r="N335" t="str">
        <x:f>IF(L335="","",L335/_xlfn.MAXIFS($L:$L,$D:$D,D335))</x:f>
      </x:c>
      <x:c r="O335" t="str">
        <x:f>IF(OR(M335="",N335=""),"",SQRT(M335*N335))</x:f>
      </x:c>
      <x:c r="P335" t="str">
        <x:f>IF(OR(M335="",N335=""),"",M335^0.7*N335^0.3)</x:f>
      </x:c>
      <x:c r="Q335" t="str">
        <x:f>IF(OR(M335="",N335=""),"",M335^0.3*N335^0.7)</x:f>
      </x:c>
    </x:row>
    <x:row r="336">
      <x:c r="A336" t="inlineStr">
        <x:is>
          <x:t xml:space="preserve">openai|gpt-5.6-luna|medium|reasoning|fallback-na</x:t>
        </x:is>
      </x:c>
      <x:c r="B336" t="inlineStr">
        <x:is>
          <x:t xml:space="preserve">AA|v4.3.2</x:t>
        </x:is>
      </x:c>
      <x:c r="C336" t="n">
        <x:v>43</x:v>
      </x:c>
      <x:c r="D336" t="n">
        <x:v>65</x:v>
      </x:c>
      <x:c r="E336" t="n">
        <x:f>INDEX(Model_TestVersion_Stats!$W:$W,C336)</x:f>
        <x:v>25</x:v>
      </x:c>
      <x:c r="F336" t="n">
        <x:f>INDEX(Model_TestVersion_Stats!$O:$O,C336)</x:f>
        <x:v>0.02</x:v>
      </x:c>
      <x:c r="G336" t="str">
        <x:f>IF(INDEX(Model_TestVersion_Stats!$R:$R,C336)="","",INDEX(Model_TestVersion_Stats!$R:$R,C336)/60)</x:f>
      </x:c>
      <x:c r="H336" t="n">
        <x:f>IF(E336="","",E336-(D336-1))</x:f>
        <x:v>-39</x:v>
      </x:c>
      <x:c r="I336" t="n">
        <x:f>IF(H336&gt;0,1,0)</x:f>
        <x:v>0</x:v>
      </x:c>
      <x:c r="J336" t="str">
        <x:f>IF(OR(I336=0,F336="",F336=0),"",H336/F336)</x:f>
      </x:c>
      <x:c r="K336" t="str">
        <x:f>IF(OR(I336=0,H336=0,F336=""),"",F336/H336)</x:f>
      </x:c>
      <x:c r="L336" t="str">
        <x:f>IF(OR(I336=0,F336="",G336="",F336=0,G336=0),"",H336/(F336*G336))</x:f>
      </x:c>
      <x:c r="M336" t="str">
        <x:f>IF(J336="","",J336/_xlfn.MAXIFS($J:$J,$D:$D,D336))</x:f>
      </x:c>
      <x:c r="N336" t="str">
        <x:f>IF(L336="","",L336/_xlfn.MAXIFS($L:$L,$D:$D,D336))</x:f>
      </x:c>
      <x:c r="O336" t="str">
        <x:f>IF(OR(M336="",N336=""),"",SQRT(M336*N336))</x:f>
      </x:c>
      <x:c r="P336" t="str">
        <x:f>IF(OR(M336="",N336=""),"",M336^0.7*N336^0.3)</x:f>
      </x:c>
      <x:c r="Q336" t="str">
        <x:f>IF(OR(M336="",N336=""),"",M336^0.3*N336^0.7)</x:f>
      </x:c>
    </x:row>
    <x:row r="337">
      <x:c r="A337" t="inlineStr">
        <x:is>
          <x:t xml:space="preserve">openai|gpt-5.6-luna|medium|reasoning|fallback-na</x:t>
        </x:is>
      </x:c>
      <x:c r="B337" t="inlineStr">
        <x:is>
          <x:t xml:space="preserve">AA|v4.3.2</x:t>
        </x:is>
      </x:c>
      <x:c r="C337" t="n">
        <x:v>43</x:v>
      </x:c>
      <x:c r="D337" t="n">
        <x:v>80</x:v>
      </x:c>
      <x:c r="E337" t="n">
        <x:f>INDEX(Model_TestVersion_Stats!$W:$W,C337)</x:f>
        <x:v>25</x:v>
      </x:c>
      <x:c r="F337" t="n">
        <x:f>INDEX(Model_TestVersion_Stats!$O:$O,C337)</x:f>
        <x:v>0.02</x:v>
      </x:c>
      <x:c r="G337" t="str">
        <x:f>IF(INDEX(Model_TestVersion_Stats!$R:$R,C337)="","",INDEX(Model_TestVersion_Stats!$R:$R,C337)/60)</x:f>
      </x:c>
      <x:c r="H337" t="n">
        <x:f>IF(E337="","",E337-(D337-1))</x:f>
        <x:v>-54</x:v>
      </x:c>
      <x:c r="I337" t="n">
        <x:f>IF(H337&gt;0,1,0)</x:f>
        <x:v>0</x:v>
      </x:c>
      <x:c r="J337" t="str">
        <x:f>IF(OR(I337=0,F337="",F337=0),"",H337/F337)</x:f>
      </x:c>
      <x:c r="K337" t="str">
        <x:f>IF(OR(I337=0,H337=0,F337=""),"",F337/H337)</x:f>
      </x:c>
      <x:c r="L337" t="str">
        <x:f>IF(OR(I337=0,F337="",G337="",F337=0,G337=0),"",H337/(F337*G337))</x:f>
      </x:c>
      <x:c r="M337" t="str">
        <x:f>IF(J337="","",J337/_xlfn.MAXIFS($J:$J,$D:$D,D337))</x:f>
      </x:c>
      <x:c r="N337" t="str">
        <x:f>IF(L337="","",L337/_xlfn.MAXIFS($L:$L,$D:$D,D337))</x:f>
      </x:c>
      <x:c r="O337" t="str">
        <x:f>IF(OR(M337="",N337=""),"",SQRT(M337*N337))</x:f>
      </x:c>
      <x:c r="P337" t="str">
        <x:f>IF(OR(M337="",N337=""),"",M337^0.7*N337^0.3)</x:f>
      </x:c>
      <x:c r="Q337" t="str">
        <x:f>IF(OR(M337="",N337=""),"",M337^0.3*N337^0.7)</x:f>
      </x:c>
    </x:row>
    <x:row r="338">
      <x:c r="A338" t="inlineStr">
        <x:is>
          <x:t xml:space="preserve">openai|gpt-5.6-luna|non-reasoning|nonreasoning|fallback-na</x:t>
        </x:is>
      </x:c>
      <x:c r="B338" t="inlineStr">
        <x:is>
          <x:t xml:space="preserve">AA|v4.3.2</x:t>
        </x:is>
      </x:c>
      <x:c r="C338" t="n">
        <x:v>44</x:v>
      </x:c>
      <x:c r="D338" t="n">
        <x:v>20</x:v>
      </x:c>
      <x:c r="E338" t="n">
        <x:f>INDEX(Model_TestVersion_Stats!$W:$W,C338)</x:f>
        <x:v>16</x:v>
      </x:c>
      <x:c r="F338" t="n">
        <x:f>INDEX(Model_TestVersion_Stats!$O:$O,C338)</x:f>
        <x:v>0.01</x:v>
      </x:c>
      <x:c r="G338" t="str">
        <x:f>IF(INDEX(Model_TestVersion_Stats!$R:$R,C338)="","",INDEX(Model_TestVersion_Stats!$R:$R,C338)/60)</x:f>
      </x:c>
      <x:c r="H338" t="n">
        <x:f>IF(E338="","",E338-(D338-1))</x:f>
        <x:v>-3</x:v>
      </x:c>
      <x:c r="I338" t="n">
        <x:f>IF(H338&gt;0,1,0)</x:f>
        <x:v>0</x:v>
      </x:c>
      <x:c r="J338" t="str">
        <x:f>IF(OR(I338=0,F338="",F338=0),"",H338/F338)</x:f>
      </x:c>
      <x:c r="K338" t="str">
        <x:f>IF(OR(I338=0,H338=0,F338=""),"",F338/H338)</x:f>
      </x:c>
      <x:c r="L338" t="str">
        <x:f>IF(OR(I338=0,F338="",G338="",F338=0,G338=0),"",H338/(F338*G338))</x:f>
      </x:c>
      <x:c r="M338" t="str">
        <x:f>IF(J338="","",J338/_xlfn.MAXIFS($J:$J,$D:$D,D338))</x:f>
      </x:c>
      <x:c r="N338" t="str">
        <x:f>IF(L338="","",L338/_xlfn.MAXIFS($L:$L,$D:$D,D338))</x:f>
      </x:c>
      <x:c r="O338" t="str">
        <x:f>IF(OR(M338="",N338=""),"",SQRT(M338*N338))</x:f>
      </x:c>
      <x:c r="P338" t="str">
        <x:f>IF(OR(M338="",N338=""),"",M338^0.7*N338^0.3)</x:f>
      </x:c>
      <x:c r="Q338" t="str">
        <x:f>IF(OR(M338="",N338=""),"",M338^0.3*N338^0.7)</x:f>
      </x:c>
    </x:row>
    <x:row r="339">
      <x:c r="A339" t="inlineStr">
        <x:is>
          <x:t xml:space="preserve">openai|gpt-5.6-luna|non-reasoning|nonreasoning|fallback-na</x:t>
        </x:is>
      </x:c>
      <x:c r="B339" t="inlineStr">
        <x:is>
          <x:t xml:space="preserve">AA|v4.3.2</x:t>
        </x:is>
      </x:c>
      <x:c r="C339" t="n">
        <x:v>44</x:v>
      </x:c>
      <x:c r="D339" t="n">
        <x:v>30</x:v>
      </x:c>
      <x:c r="E339" t="n">
        <x:f>INDEX(Model_TestVersion_Stats!$W:$W,C339)</x:f>
        <x:v>16</x:v>
      </x:c>
      <x:c r="F339" t="n">
        <x:f>INDEX(Model_TestVersion_Stats!$O:$O,C339)</x:f>
        <x:v>0.01</x:v>
      </x:c>
      <x:c r="G339" t="str">
        <x:f>IF(INDEX(Model_TestVersion_Stats!$R:$R,C339)="","",INDEX(Model_TestVersion_Stats!$R:$R,C339)/60)</x:f>
      </x:c>
      <x:c r="H339" t="n">
        <x:f>IF(E339="","",E339-(D339-1))</x:f>
        <x:v>-13</x:v>
      </x:c>
      <x:c r="I339" t="n">
        <x:f>IF(H339&gt;0,1,0)</x:f>
        <x:v>0</x:v>
      </x:c>
      <x:c r="J339" t="str">
        <x:f>IF(OR(I339=0,F339="",F339=0),"",H339/F339)</x:f>
      </x:c>
      <x:c r="K339" t="str">
        <x:f>IF(OR(I339=0,H339=0,F339=""),"",F339/H339)</x:f>
      </x:c>
      <x:c r="L339" t="str">
        <x:f>IF(OR(I339=0,F339="",G339="",F339=0,G339=0),"",H339/(F339*G339))</x:f>
      </x:c>
      <x:c r="M339" t="str">
        <x:f>IF(J339="","",J339/_xlfn.MAXIFS($J:$J,$D:$D,D339))</x:f>
      </x:c>
      <x:c r="N339" t="str">
        <x:f>IF(L339="","",L339/_xlfn.MAXIFS($L:$L,$D:$D,D339))</x:f>
      </x:c>
      <x:c r="O339" t="str">
        <x:f>IF(OR(M339="",N339=""),"",SQRT(M339*N339))</x:f>
      </x:c>
      <x:c r="P339" t="str">
        <x:f>IF(OR(M339="",N339=""),"",M339^0.7*N339^0.3)</x:f>
      </x:c>
      <x:c r="Q339" t="str">
        <x:f>IF(OR(M339="",N339=""),"",M339^0.3*N339^0.7)</x:f>
      </x:c>
    </x:row>
    <x:row r="340">
      <x:c r="A340" t="inlineStr">
        <x:is>
          <x:t xml:space="preserve">openai|gpt-5.6-luna|non-reasoning|nonreasoning|fallback-na</x:t>
        </x:is>
      </x:c>
      <x:c r="B340" t="inlineStr">
        <x:is>
          <x:t xml:space="preserve">AA|v4.3.2</x:t>
        </x:is>
      </x:c>
      <x:c r="C340" t="n">
        <x:v>44</x:v>
      </x:c>
      <x:c r="D340" t="n">
        <x:v>40</x:v>
      </x:c>
      <x:c r="E340" t="n">
        <x:f>INDEX(Model_TestVersion_Stats!$W:$W,C340)</x:f>
        <x:v>16</x:v>
      </x:c>
      <x:c r="F340" t="n">
        <x:f>INDEX(Model_TestVersion_Stats!$O:$O,C340)</x:f>
        <x:v>0.01</x:v>
      </x:c>
      <x:c r="G340" t="str">
        <x:f>IF(INDEX(Model_TestVersion_Stats!$R:$R,C340)="","",INDEX(Model_TestVersion_Stats!$R:$R,C340)/60)</x:f>
      </x:c>
      <x:c r="H340" t="n">
        <x:f>IF(E340="","",E340-(D340-1))</x:f>
        <x:v>-23</x:v>
      </x:c>
      <x:c r="I340" t="n">
        <x:f>IF(H340&gt;0,1,0)</x:f>
        <x:v>0</x:v>
      </x:c>
      <x:c r="J340" t="str">
        <x:f>IF(OR(I340=0,F340="",F340=0),"",H340/F340)</x:f>
      </x:c>
      <x:c r="K340" t="str">
        <x:f>IF(OR(I340=0,H340=0,F340=""),"",F340/H340)</x:f>
      </x:c>
      <x:c r="L340" t="str">
        <x:f>IF(OR(I340=0,F340="",G340="",F340=0,G340=0),"",H340/(F340*G340))</x:f>
      </x:c>
      <x:c r="M340" t="str">
        <x:f>IF(J340="","",J340/_xlfn.MAXIFS($J:$J,$D:$D,D340))</x:f>
      </x:c>
      <x:c r="N340" t="str">
        <x:f>IF(L340="","",L340/_xlfn.MAXIFS($L:$L,$D:$D,D340))</x:f>
      </x:c>
      <x:c r="O340" t="str">
        <x:f>IF(OR(M340="",N340=""),"",SQRT(M340*N340))</x:f>
      </x:c>
      <x:c r="P340" t="str">
        <x:f>IF(OR(M340="",N340=""),"",M340^0.7*N340^0.3)</x:f>
      </x:c>
      <x:c r="Q340" t="str">
        <x:f>IF(OR(M340="",N340=""),"",M340^0.3*N340^0.7)</x:f>
      </x:c>
    </x:row>
    <x:row r="341">
      <x:c r="A341" t="inlineStr">
        <x:is>
          <x:t xml:space="preserve">openai|gpt-5.6-luna|non-reasoning|nonreasoning|fallback-na</x:t>
        </x:is>
      </x:c>
      <x:c r="B341" t="inlineStr">
        <x:is>
          <x:t xml:space="preserve">AA|v4.3.2</x:t>
        </x:is>
      </x:c>
      <x:c r="C341" t="n">
        <x:v>44</x:v>
      </x:c>
      <x:c r="D341" t="n">
        <x:v>45</x:v>
      </x:c>
      <x:c r="E341" t="n">
        <x:f>INDEX(Model_TestVersion_Stats!$W:$W,C341)</x:f>
        <x:v>16</x:v>
      </x:c>
      <x:c r="F341" t="n">
        <x:f>INDEX(Model_TestVersion_Stats!$O:$O,C341)</x:f>
        <x:v>0.01</x:v>
      </x:c>
      <x:c r="G341" t="str">
        <x:f>IF(INDEX(Model_TestVersion_Stats!$R:$R,C341)="","",INDEX(Model_TestVersion_Stats!$R:$R,C341)/60)</x:f>
      </x:c>
      <x:c r="H341" t="n">
        <x:f>IF(E341="","",E341-(D341-1))</x:f>
        <x:v>-28</x:v>
      </x:c>
      <x:c r="I341" t="n">
        <x:f>IF(H341&gt;0,1,0)</x:f>
        <x:v>0</x:v>
      </x:c>
      <x:c r="J341" t="str">
        <x:f>IF(OR(I341=0,F341="",F341=0),"",H341/F341)</x:f>
      </x:c>
      <x:c r="K341" t="str">
        <x:f>IF(OR(I341=0,H341=0,F341=""),"",F341/H341)</x:f>
      </x:c>
      <x:c r="L341" t="str">
        <x:f>IF(OR(I341=0,F341="",G341="",F341=0,G341=0),"",H341/(F341*G341))</x:f>
      </x:c>
      <x:c r="M341" t="str">
        <x:f>IF(J341="","",J341/_xlfn.MAXIFS($J:$J,$D:$D,D341))</x:f>
      </x:c>
      <x:c r="N341" t="str">
        <x:f>IF(L341="","",L341/_xlfn.MAXIFS($L:$L,$D:$D,D341))</x:f>
      </x:c>
      <x:c r="O341" t="str">
        <x:f>IF(OR(M341="",N341=""),"",SQRT(M341*N341))</x:f>
      </x:c>
      <x:c r="P341" t="str">
        <x:f>IF(OR(M341="",N341=""),"",M341^0.7*N341^0.3)</x:f>
      </x:c>
      <x:c r="Q341" t="str">
        <x:f>IF(OR(M341="",N341=""),"",M341^0.3*N341^0.7)</x:f>
      </x:c>
    </x:row>
    <x:row r="342">
      <x:c r="A342" t="inlineStr">
        <x:is>
          <x:t xml:space="preserve">openai|gpt-5.6-luna|non-reasoning|nonreasoning|fallback-na</x:t>
        </x:is>
      </x:c>
      <x:c r="B342" t="inlineStr">
        <x:is>
          <x:t xml:space="preserve">AA|v4.3.2</x:t>
        </x:is>
      </x:c>
      <x:c r="C342" t="n">
        <x:v>44</x:v>
      </x:c>
      <x:c r="D342" t="n">
        <x:v>50</x:v>
      </x:c>
      <x:c r="E342" t="n">
        <x:f>INDEX(Model_TestVersion_Stats!$W:$W,C342)</x:f>
        <x:v>16</x:v>
      </x:c>
      <x:c r="F342" t="n">
        <x:f>INDEX(Model_TestVersion_Stats!$O:$O,C342)</x:f>
        <x:v>0.01</x:v>
      </x:c>
      <x:c r="G342" t="str">
        <x:f>IF(INDEX(Model_TestVersion_Stats!$R:$R,C342)="","",INDEX(Model_TestVersion_Stats!$R:$R,C342)/60)</x:f>
      </x:c>
      <x:c r="H342" t="n">
        <x:f>IF(E342="","",E342-(D342-1))</x:f>
        <x:v>-33</x:v>
      </x:c>
      <x:c r="I342" t="n">
        <x:f>IF(H342&gt;0,1,0)</x:f>
        <x:v>0</x:v>
      </x:c>
      <x:c r="J342" t="str">
        <x:f>IF(OR(I342=0,F342="",F342=0),"",H342/F342)</x:f>
      </x:c>
      <x:c r="K342" t="str">
        <x:f>IF(OR(I342=0,H342=0,F342=""),"",F342/H342)</x:f>
      </x:c>
      <x:c r="L342" t="str">
        <x:f>IF(OR(I342=0,F342="",G342="",F342=0,G342=0),"",H342/(F342*G342))</x:f>
      </x:c>
      <x:c r="M342" t="str">
        <x:f>IF(J342="","",J342/_xlfn.MAXIFS($J:$J,$D:$D,D342))</x:f>
      </x:c>
      <x:c r="N342" t="str">
        <x:f>IF(L342="","",L342/_xlfn.MAXIFS($L:$L,$D:$D,D342))</x:f>
      </x:c>
      <x:c r="O342" t="str">
        <x:f>IF(OR(M342="",N342=""),"",SQRT(M342*N342))</x:f>
      </x:c>
      <x:c r="P342" t="str">
        <x:f>IF(OR(M342="",N342=""),"",M342^0.7*N342^0.3)</x:f>
      </x:c>
      <x:c r="Q342" t="str">
        <x:f>IF(OR(M342="",N342=""),"",M342^0.3*N342^0.7)</x:f>
      </x:c>
    </x:row>
    <x:row r="343">
      <x:c r="A343" t="inlineStr">
        <x:is>
          <x:t xml:space="preserve">openai|gpt-5.6-luna|non-reasoning|nonreasoning|fallback-na</x:t>
        </x:is>
      </x:c>
      <x:c r="B343" t="inlineStr">
        <x:is>
          <x:t xml:space="preserve">AA|v4.3.2</x:t>
        </x:is>
      </x:c>
      <x:c r="C343" t="n">
        <x:v>44</x:v>
      </x:c>
      <x:c r="D343" t="n">
        <x:v>52</x:v>
      </x:c>
      <x:c r="E343" t="n">
        <x:f>INDEX(Model_TestVersion_Stats!$W:$W,C343)</x:f>
        <x:v>16</x:v>
      </x:c>
      <x:c r="F343" t="n">
        <x:f>INDEX(Model_TestVersion_Stats!$O:$O,C343)</x:f>
        <x:v>0.01</x:v>
      </x:c>
      <x:c r="G343" t="str">
        <x:f>IF(INDEX(Model_TestVersion_Stats!$R:$R,C343)="","",INDEX(Model_TestVersion_Stats!$R:$R,C343)/60)</x:f>
      </x:c>
      <x:c r="H343" t="n">
        <x:f>IF(E343="","",E343-(D343-1))</x:f>
        <x:v>-35</x:v>
      </x:c>
      <x:c r="I343" t="n">
        <x:f>IF(H343&gt;0,1,0)</x:f>
        <x:v>0</x:v>
      </x:c>
      <x:c r="J343" t="str">
        <x:f>IF(OR(I343=0,F343="",F343=0),"",H343/F343)</x:f>
      </x:c>
      <x:c r="K343" t="str">
        <x:f>IF(OR(I343=0,H343=0,F343=""),"",F343/H343)</x:f>
      </x:c>
      <x:c r="L343" t="str">
        <x:f>IF(OR(I343=0,F343="",G343="",F343=0,G343=0),"",H343/(F343*G343))</x:f>
      </x:c>
      <x:c r="M343" t="str">
        <x:f>IF(J343="","",J343/_xlfn.MAXIFS($J:$J,$D:$D,D343))</x:f>
      </x:c>
      <x:c r="N343" t="str">
        <x:f>IF(L343="","",L343/_xlfn.MAXIFS($L:$L,$D:$D,D343))</x:f>
      </x:c>
      <x:c r="O343" t="str">
        <x:f>IF(OR(M343="",N343=""),"",SQRT(M343*N343))</x:f>
      </x:c>
      <x:c r="P343" t="str">
        <x:f>IF(OR(M343="",N343=""),"",M343^0.7*N343^0.3)</x:f>
      </x:c>
      <x:c r="Q343" t="str">
        <x:f>IF(OR(M343="",N343=""),"",M343^0.3*N343^0.7)</x:f>
      </x:c>
    </x:row>
    <x:row r="344">
      <x:c r="A344" t="inlineStr">
        <x:is>
          <x:t xml:space="preserve">openai|gpt-5.6-luna|non-reasoning|nonreasoning|fallback-na</x:t>
        </x:is>
      </x:c>
      <x:c r="B344" t="inlineStr">
        <x:is>
          <x:t xml:space="preserve">AA|v4.3.2</x:t>
        </x:is>
      </x:c>
      <x:c r="C344" t="n">
        <x:v>44</x:v>
      </x:c>
      <x:c r="D344" t="n">
        <x:v>65</x:v>
      </x:c>
      <x:c r="E344" t="n">
        <x:f>INDEX(Model_TestVersion_Stats!$W:$W,C344)</x:f>
        <x:v>16</x:v>
      </x:c>
      <x:c r="F344" t="n">
        <x:f>INDEX(Model_TestVersion_Stats!$O:$O,C344)</x:f>
        <x:v>0.01</x:v>
      </x:c>
      <x:c r="G344" t="str">
        <x:f>IF(INDEX(Model_TestVersion_Stats!$R:$R,C344)="","",INDEX(Model_TestVersion_Stats!$R:$R,C344)/60)</x:f>
      </x:c>
      <x:c r="H344" t="n">
        <x:f>IF(E344="","",E344-(D344-1))</x:f>
        <x:v>-48</x:v>
      </x:c>
      <x:c r="I344" t="n">
        <x:f>IF(H344&gt;0,1,0)</x:f>
        <x:v>0</x:v>
      </x:c>
      <x:c r="J344" t="str">
        <x:f>IF(OR(I344=0,F344="",F344=0),"",H344/F344)</x:f>
      </x:c>
      <x:c r="K344" t="str">
        <x:f>IF(OR(I344=0,H344=0,F344=""),"",F344/H344)</x:f>
      </x:c>
      <x:c r="L344" t="str">
        <x:f>IF(OR(I344=0,F344="",G344="",F344=0,G344=0),"",H344/(F344*G344))</x:f>
      </x:c>
      <x:c r="M344" t="str">
        <x:f>IF(J344="","",J344/_xlfn.MAXIFS($J:$J,$D:$D,D344))</x:f>
      </x:c>
      <x:c r="N344" t="str">
        <x:f>IF(L344="","",L344/_xlfn.MAXIFS($L:$L,$D:$D,D344))</x:f>
      </x:c>
      <x:c r="O344" t="str">
        <x:f>IF(OR(M344="",N344=""),"",SQRT(M344*N344))</x:f>
      </x:c>
      <x:c r="P344" t="str">
        <x:f>IF(OR(M344="",N344=""),"",M344^0.7*N344^0.3)</x:f>
      </x:c>
      <x:c r="Q344" t="str">
        <x:f>IF(OR(M344="",N344=""),"",M344^0.3*N344^0.7)</x:f>
      </x:c>
    </x:row>
    <x:row r="345">
      <x:c r="A345" t="inlineStr">
        <x:is>
          <x:t xml:space="preserve">openai|gpt-5.6-luna|non-reasoning|nonreasoning|fallback-na</x:t>
        </x:is>
      </x:c>
      <x:c r="B345" t="inlineStr">
        <x:is>
          <x:t xml:space="preserve">AA|v4.3.2</x:t>
        </x:is>
      </x:c>
      <x:c r="C345" t="n">
        <x:v>44</x:v>
      </x:c>
      <x:c r="D345" t="n">
        <x:v>80</x:v>
      </x:c>
      <x:c r="E345" t="n">
        <x:f>INDEX(Model_TestVersion_Stats!$W:$W,C345)</x:f>
        <x:v>16</x:v>
      </x:c>
      <x:c r="F345" t="n">
        <x:f>INDEX(Model_TestVersion_Stats!$O:$O,C345)</x:f>
        <x:v>0.01</x:v>
      </x:c>
      <x:c r="G345" t="str">
        <x:f>IF(INDEX(Model_TestVersion_Stats!$R:$R,C345)="","",INDEX(Model_TestVersion_Stats!$R:$R,C345)/60)</x:f>
      </x:c>
      <x:c r="H345" t="n">
        <x:f>IF(E345="","",E345-(D345-1))</x:f>
        <x:v>-63</x:v>
      </x:c>
      <x:c r="I345" t="n">
        <x:f>IF(H345&gt;0,1,0)</x:f>
        <x:v>0</x:v>
      </x:c>
      <x:c r="J345" t="str">
        <x:f>IF(OR(I345=0,F345="",F345=0),"",H345/F345)</x:f>
      </x:c>
      <x:c r="K345" t="str">
        <x:f>IF(OR(I345=0,H345=0,F345=""),"",F345/H345)</x:f>
      </x:c>
      <x:c r="L345" t="str">
        <x:f>IF(OR(I345=0,F345="",G345="",F345=0,G345=0),"",H345/(F345*G345))</x:f>
      </x:c>
      <x:c r="M345" t="str">
        <x:f>IF(J345="","",J345/_xlfn.MAXIFS($J:$J,$D:$D,D345))</x:f>
      </x:c>
      <x:c r="N345" t="str">
        <x:f>IF(L345="","",L345/_xlfn.MAXIFS($L:$L,$D:$D,D345))</x:f>
      </x:c>
      <x:c r="O345" t="str">
        <x:f>IF(OR(M345="",N345=""),"",SQRT(M345*N345))</x:f>
      </x:c>
      <x:c r="P345" t="str">
        <x:f>IF(OR(M345="",N345=""),"",M345^0.7*N345^0.3)</x:f>
      </x:c>
      <x:c r="Q345" t="str">
        <x:f>IF(OR(M345="",N345=""),"",M345^0.3*N345^0.7)</x:f>
      </x:c>
    </x:row>
    <x:row r="346">
      <x:c r="A346" t="inlineStr">
        <x:is>
          <x:t xml:space="preserve">openai|gpt-5.6-luna|xhigh|reasoning|fallback-na</x:t>
        </x:is>
      </x:c>
      <x:c r="B346" t="inlineStr">
        <x:is>
          <x:t xml:space="preserve">AA|v4.3.2</x:t>
        </x:is>
      </x:c>
      <x:c r="C346" t="n">
        <x:v>45</x:v>
      </x:c>
      <x:c r="D346" t="n">
        <x:v>20</x:v>
      </x:c>
      <x:c r="E346" t="n">
        <x:f>INDEX(Model_TestVersion_Stats!$W:$W,C346)</x:f>
        <x:v>35</x:v>
      </x:c>
      <x:c r="F346" t="n">
        <x:f>INDEX(Model_TestVersion_Stats!$O:$O,C346)</x:f>
        <x:v>0.09</x:v>
      </x:c>
      <x:c r="G346" t="str">
        <x:f>IF(INDEX(Model_TestVersion_Stats!$R:$R,C346)="","",INDEX(Model_TestVersion_Stats!$R:$R,C346)/60)</x:f>
      </x:c>
      <x:c r="H346" t="n">
        <x:f>IF(E346="","",E346-(D346-1))</x:f>
        <x:v>16</x:v>
      </x:c>
      <x:c r="I346" t="n">
        <x:f>IF(H346&gt;0,1,0)</x:f>
        <x:v>1</x:v>
      </x:c>
      <x:c r="J346" t="n">
        <x:f>IF(OR(I346=0,F346="",F346=0),"",H346/F346)</x:f>
        <x:v>177.77777777777777</x:v>
      </x:c>
      <x:c r="K346" t="n">
        <x:f>IF(OR(I346=0,H346=0,F346=""),"",F346/H346)</x:f>
        <x:v>0.005625</x:v>
      </x:c>
      <x:c r="L346" t="str">
        <x:f>IF(OR(I346=0,F346="",G346="",F346=0,G346=0),"",H346/(F346*G346))</x:f>
      </x:c>
      <x:c r="M346" t="n">
        <x:f>IF(J346="","",J346/_xlfn.MAXIFS($J:$J,$D:$D,D346))</x:f>
        <x:v>0.32</x:v>
      </x:c>
      <x:c r="N346" t="str">
        <x:f>IF(L346="","",L346/_xlfn.MAXIFS($L:$L,$D:$D,D346))</x:f>
      </x:c>
      <x:c r="O346" t="str">
        <x:f>IF(OR(M346="",N346=""),"",SQRT(M346*N346))</x:f>
      </x:c>
      <x:c r="P346" t="str">
        <x:f>IF(OR(M346="",N346=""),"",M346^0.7*N346^0.3)</x:f>
      </x:c>
      <x:c r="Q346" t="str">
        <x:f>IF(OR(M346="",N346=""),"",M346^0.3*N346^0.7)</x:f>
      </x:c>
    </x:row>
    <x:row r="347">
      <x:c r="A347" t="inlineStr">
        <x:is>
          <x:t xml:space="preserve">openai|gpt-5.6-luna|xhigh|reasoning|fallback-na</x:t>
        </x:is>
      </x:c>
      <x:c r="B347" t="inlineStr">
        <x:is>
          <x:t xml:space="preserve">AA|v4.3.2</x:t>
        </x:is>
      </x:c>
      <x:c r="C347" t="n">
        <x:v>45</x:v>
      </x:c>
      <x:c r="D347" t="n">
        <x:v>30</x:v>
      </x:c>
      <x:c r="E347" t="n">
        <x:f>INDEX(Model_TestVersion_Stats!$W:$W,C347)</x:f>
        <x:v>35</x:v>
      </x:c>
      <x:c r="F347" t="n">
        <x:f>INDEX(Model_TestVersion_Stats!$O:$O,C347)</x:f>
        <x:v>0.09</x:v>
      </x:c>
      <x:c r="G347" t="str">
        <x:f>IF(INDEX(Model_TestVersion_Stats!$R:$R,C347)="","",INDEX(Model_TestVersion_Stats!$R:$R,C347)/60)</x:f>
      </x:c>
      <x:c r="H347" t="n">
        <x:f>IF(E347="","",E347-(D347-1))</x:f>
        <x:v>6</x:v>
      </x:c>
      <x:c r="I347" t="n">
        <x:f>IF(H347&gt;0,1,0)</x:f>
        <x:v>1</x:v>
      </x:c>
      <x:c r="J347" t="n">
        <x:f>IF(OR(I347=0,F347="",F347=0),"",H347/F347)</x:f>
        <x:v>66.66666666666667</x:v>
      </x:c>
      <x:c r="K347" t="n">
        <x:f>IF(OR(I347=0,H347=0,F347=""),"",F347/H347)</x:f>
        <x:v>0.015</x:v>
      </x:c>
      <x:c r="L347" t="str">
        <x:f>IF(OR(I347=0,F347="",G347="",F347=0,G347=0),"",H347/(F347*G347))</x:f>
      </x:c>
      <x:c r="M347" t="n">
        <x:f>IF(J347="","",J347/_xlfn.MAXIFS($J:$J,$D:$D,D347))</x:f>
        <x:v>0.4444444444444445</x:v>
      </x:c>
      <x:c r="N347" t="str">
        <x:f>IF(L347="","",L347/_xlfn.MAXIFS($L:$L,$D:$D,D347))</x:f>
      </x:c>
      <x:c r="O347" t="str">
        <x:f>IF(OR(M347="",N347=""),"",SQRT(M347*N347))</x:f>
      </x:c>
      <x:c r="P347" t="str">
        <x:f>IF(OR(M347="",N347=""),"",M347^0.7*N347^0.3)</x:f>
      </x:c>
      <x:c r="Q347" t="str">
        <x:f>IF(OR(M347="",N347=""),"",M347^0.3*N347^0.7)</x:f>
      </x:c>
    </x:row>
    <x:row r="348">
      <x:c r="A348" t="inlineStr">
        <x:is>
          <x:t xml:space="preserve">openai|gpt-5.6-luna|xhigh|reasoning|fallback-na</x:t>
        </x:is>
      </x:c>
      <x:c r="B348" t="inlineStr">
        <x:is>
          <x:t xml:space="preserve">AA|v4.3.2</x:t>
        </x:is>
      </x:c>
      <x:c r="C348" t="n">
        <x:v>45</x:v>
      </x:c>
      <x:c r="D348" t="n">
        <x:v>40</x:v>
      </x:c>
      <x:c r="E348" t="n">
        <x:f>INDEX(Model_TestVersion_Stats!$W:$W,C348)</x:f>
        <x:v>35</x:v>
      </x:c>
      <x:c r="F348" t="n">
        <x:f>INDEX(Model_TestVersion_Stats!$O:$O,C348)</x:f>
        <x:v>0.09</x:v>
      </x:c>
      <x:c r="G348" t="str">
        <x:f>IF(INDEX(Model_TestVersion_Stats!$R:$R,C348)="","",INDEX(Model_TestVersion_Stats!$R:$R,C348)/60)</x:f>
      </x:c>
      <x:c r="H348" t="n">
        <x:f>IF(E348="","",E348-(D348-1))</x:f>
        <x:v>-4</x:v>
      </x:c>
      <x:c r="I348" t="n">
        <x:f>IF(H348&gt;0,1,0)</x:f>
        <x:v>0</x:v>
      </x:c>
      <x:c r="J348" t="str">
        <x:f>IF(OR(I348=0,F348="",F348=0),"",H348/F348)</x:f>
      </x:c>
      <x:c r="K348" t="str">
        <x:f>IF(OR(I348=0,H348=0,F348=""),"",F348/H348)</x:f>
      </x:c>
      <x:c r="L348" t="str">
        <x:f>IF(OR(I348=0,F348="",G348="",F348=0,G348=0),"",H348/(F348*G348))</x:f>
      </x:c>
      <x:c r="M348" t="str">
        <x:f>IF(J348="","",J348/_xlfn.MAXIFS($J:$J,$D:$D,D348))</x:f>
      </x:c>
      <x:c r="N348" t="str">
        <x:f>IF(L348="","",L348/_xlfn.MAXIFS($L:$L,$D:$D,D348))</x:f>
      </x:c>
      <x:c r="O348" t="str">
        <x:f>IF(OR(M348="",N348=""),"",SQRT(M348*N348))</x:f>
      </x:c>
      <x:c r="P348" t="str">
        <x:f>IF(OR(M348="",N348=""),"",M348^0.7*N348^0.3)</x:f>
      </x:c>
      <x:c r="Q348" t="str">
        <x:f>IF(OR(M348="",N348=""),"",M348^0.3*N348^0.7)</x:f>
      </x:c>
    </x:row>
    <x:row r="349">
      <x:c r="A349" t="inlineStr">
        <x:is>
          <x:t xml:space="preserve">openai|gpt-5.6-luna|xhigh|reasoning|fallback-na</x:t>
        </x:is>
      </x:c>
      <x:c r="B349" t="inlineStr">
        <x:is>
          <x:t xml:space="preserve">AA|v4.3.2</x:t>
        </x:is>
      </x:c>
      <x:c r="C349" t="n">
        <x:v>45</x:v>
      </x:c>
      <x:c r="D349" t="n">
        <x:v>45</x:v>
      </x:c>
      <x:c r="E349" t="n">
        <x:f>INDEX(Model_TestVersion_Stats!$W:$W,C349)</x:f>
        <x:v>35</x:v>
      </x:c>
      <x:c r="F349" t="n">
        <x:f>INDEX(Model_TestVersion_Stats!$O:$O,C349)</x:f>
        <x:v>0.09</x:v>
      </x:c>
      <x:c r="G349" t="str">
        <x:f>IF(INDEX(Model_TestVersion_Stats!$R:$R,C349)="","",INDEX(Model_TestVersion_Stats!$R:$R,C349)/60)</x:f>
      </x:c>
      <x:c r="H349" t="n">
        <x:f>IF(E349="","",E349-(D349-1))</x:f>
        <x:v>-9</x:v>
      </x:c>
      <x:c r="I349" t="n">
        <x:f>IF(H349&gt;0,1,0)</x:f>
        <x:v>0</x:v>
      </x:c>
      <x:c r="J349" t="str">
        <x:f>IF(OR(I349=0,F349="",F349=0),"",H349/F349)</x:f>
      </x:c>
      <x:c r="K349" t="str">
        <x:f>IF(OR(I349=0,H349=0,F349=""),"",F349/H349)</x:f>
      </x:c>
      <x:c r="L349" t="str">
        <x:f>IF(OR(I349=0,F349="",G349="",F349=0,G349=0),"",H349/(F349*G349))</x:f>
      </x:c>
      <x:c r="M349" t="str">
        <x:f>IF(J349="","",J349/_xlfn.MAXIFS($J:$J,$D:$D,D349))</x:f>
      </x:c>
      <x:c r="N349" t="str">
        <x:f>IF(L349="","",L349/_xlfn.MAXIFS($L:$L,$D:$D,D349))</x:f>
      </x:c>
      <x:c r="O349" t="str">
        <x:f>IF(OR(M349="",N349=""),"",SQRT(M349*N349))</x:f>
      </x:c>
      <x:c r="P349" t="str">
        <x:f>IF(OR(M349="",N349=""),"",M349^0.7*N349^0.3)</x:f>
      </x:c>
      <x:c r="Q349" t="str">
        <x:f>IF(OR(M349="",N349=""),"",M349^0.3*N349^0.7)</x:f>
      </x:c>
    </x:row>
    <x:row r="350">
      <x:c r="A350" t="inlineStr">
        <x:is>
          <x:t xml:space="preserve">openai|gpt-5.6-luna|xhigh|reasoning|fallback-na</x:t>
        </x:is>
      </x:c>
      <x:c r="B350" t="inlineStr">
        <x:is>
          <x:t xml:space="preserve">AA|v4.3.2</x:t>
        </x:is>
      </x:c>
      <x:c r="C350" t="n">
        <x:v>45</x:v>
      </x:c>
      <x:c r="D350" t="n">
        <x:v>50</x:v>
      </x:c>
      <x:c r="E350" t="n">
        <x:f>INDEX(Model_TestVersion_Stats!$W:$W,C350)</x:f>
        <x:v>35</x:v>
      </x:c>
      <x:c r="F350" t="n">
        <x:f>INDEX(Model_TestVersion_Stats!$O:$O,C350)</x:f>
        <x:v>0.09</x:v>
      </x:c>
      <x:c r="G350" t="str">
        <x:f>IF(INDEX(Model_TestVersion_Stats!$R:$R,C350)="","",INDEX(Model_TestVersion_Stats!$R:$R,C350)/60)</x:f>
      </x:c>
      <x:c r="H350" t="n">
        <x:f>IF(E350="","",E350-(D350-1))</x:f>
        <x:v>-14</x:v>
      </x:c>
      <x:c r="I350" t="n">
        <x:f>IF(H350&gt;0,1,0)</x:f>
        <x:v>0</x:v>
      </x:c>
      <x:c r="J350" t="str">
        <x:f>IF(OR(I350=0,F350="",F350=0),"",H350/F350)</x:f>
      </x:c>
      <x:c r="K350" t="str">
        <x:f>IF(OR(I350=0,H350=0,F350=""),"",F350/H350)</x:f>
      </x:c>
      <x:c r="L350" t="str">
        <x:f>IF(OR(I350=0,F350="",G350="",F350=0,G350=0),"",H350/(F350*G350))</x:f>
      </x:c>
      <x:c r="M350" t="str">
        <x:f>IF(J350="","",J350/_xlfn.MAXIFS($J:$J,$D:$D,D350))</x:f>
      </x:c>
      <x:c r="N350" t="str">
        <x:f>IF(L350="","",L350/_xlfn.MAXIFS($L:$L,$D:$D,D350))</x:f>
      </x:c>
      <x:c r="O350" t="str">
        <x:f>IF(OR(M350="",N350=""),"",SQRT(M350*N350))</x:f>
      </x:c>
      <x:c r="P350" t="str">
        <x:f>IF(OR(M350="",N350=""),"",M350^0.7*N350^0.3)</x:f>
      </x:c>
      <x:c r="Q350" t="str">
        <x:f>IF(OR(M350="",N350=""),"",M350^0.3*N350^0.7)</x:f>
      </x:c>
    </x:row>
    <x:row r="351">
      <x:c r="A351" t="inlineStr">
        <x:is>
          <x:t xml:space="preserve">openai|gpt-5.6-luna|xhigh|reasoning|fallback-na</x:t>
        </x:is>
      </x:c>
      <x:c r="B351" t="inlineStr">
        <x:is>
          <x:t xml:space="preserve">AA|v4.3.2</x:t>
        </x:is>
      </x:c>
      <x:c r="C351" t="n">
        <x:v>45</x:v>
      </x:c>
      <x:c r="D351" t="n">
        <x:v>52</x:v>
      </x:c>
      <x:c r="E351" t="n">
        <x:f>INDEX(Model_TestVersion_Stats!$W:$W,C351)</x:f>
        <x:v>35</x:v>
      </x:c>
      <x:c r="F351" t="n">
        <x:f>INDEX(Model_TestVersion_Stats!$O:$O,C351)</x:f>
        <x:v>0.09</x:v>
      </x:c>
      <x:c r="G351" t="str">
        <x:f>IF(INDEX(Model_TestVersion_Stats!$R:$R,C351)="","",INDEX(Model_TestVersion_Stats!$R:$R,C351)/60)</x:f>
      </x:c>
      <x:c r="H351" t="n">
        <x:f>IF(E351="","",E351-(D351-1))</x:f>
        <x:v>-16</x:v>
      </x:c>
      <x:c r="I351" t="n">
        <x:f>IF(H351&gt;0,1,0)</x:f>
        <x:v>0</x:v>
      </x:c>
      <x:c r="J351" t="str">
        <x:f>IF(OR(I351=0,F351="",F351=0),"",H351/F351)</x:f>
      </x:c>
      <x:c r="K351" t="str">
        <x:f>IF(OR(I351=0,H351=0,F351=""),"",F351/H351)</x:f>
      </x:c>
      <x:c r="L351" t="str">
        <x:f>IF(OR(I351=0,F351="",G351="",F351=0,G351=0),"",H351/(F351*G351))</x:f>
      </x:c>
      <x:c r="M351" t="str">
        <x:f>IF(J351="","",J351/_xlfn.MAXIFS($J:$J,$D:$D,D351))</x:f>
      </x:c>
      <x:c r="N351" t="str">
        <x:f>IF(L351="","",L351/_xlfn.MAXIFS($L:$L,$D:$D,D351))</x:f>
      </x:c>
      <x:c r="O351" t="str">
        <x:f>IF(OR(M351="",N351=""),"",SQRT(M351*N351))</x:f>
      </x:c>
      <x:c r="P351" t="str">
        <x:f>IF(OR(M351="",N351=""),"",M351^0.7*N351^0.3)</x:f>
      </x:c>
      <x:c r="Q351" t="str">
        <x:f>IF(OR(M351="",N351=""),"",M351^0.3*N351^0.7)</x:f>
      </x:c>
    </x:row>
    <x:row r="352">
      <x:c r="A352" t="inlineStr">
        <x:is>
          <x:t xml:space="preserve">openai|gpt-5.6-luna|xhigh|reasoning|fallback-na</x:t>
        </x:is>
      </x:c>
      <x:c r="B352" t="inlineStr">
        <x:is>
          <x:t xml:space="preserve">AA|v4.3.2</x:t>
        </x:is>
      </x:c>
      <x:c r="C352" t="n">
        <x:v>45</x:v>
      </x:c>
      <x:c r="D352" t="n">
        <x:v>65</x:v>
      </x:c>
      <x:c r="E352" t="n">
        <x:f>INDEX(Model_TestVersion_Stats!$W:$W,C352)</x:f>
        <x:v>35</x:v>
      </x:c>
      <x:c r="F352" t="n">
        <x:f>INDEX(Model_TestVersion_Stats!$O:$O,C352)</x:f>
        <x:v>0.09</x:v>
      </x:c>
      <x:c r="G352" t="str">
        <x:f>IF(INDEX(Model_TestVersion_Stats!$R:$R,C352)="","",INDEX(Model_TestVersion_Stats!$R:$R,C352)/60)</x:f>
      </x:c>
      <x:c r="H352" t="n">
        <x:f>IF(E352="","",E352-(D352-1))</x:f>
        <x:v>-29</x:v>
      </x:c>
      <x:c r="I352" t="n">
        <x:f>IF(H352&gt;0,1,0)</x:f>
        <x:v>0</x:v>
      </x:c>
      <x:c r="J352" t="str">
        <x:f>IF(OR(I352=0,F352="",F352=0),"",H352/F352)</x:f>
      </x:c>
      <x:c r="K352" t="str">
        <x:f>IF(OR(I352=0,H352=0,F352=""),"",F352/H352)</x:f>
      </x:c>
      <x:c r="L352" t="str">
        <x:f>IF(OR(I352=0,F352="",G352="",F352=0,G352=0),"",H352/(F352*G352))</x:f>
      </x:c>
      <x:c r="M352" t="str">
        <x:f>IF(J352="","",J352/_xlfn.MAXIFS($J:$J,$D:$D,D352))</x:f>
      </x:c>
      <x:c r="N352" t="str">
        <x:f>IF(L352="","",L352/_xlfn.MAXIFS($L:$L,$D:$D,D352))</x:f>
      </x:c>
      <x:c r="O352" t="str">
        <x:f>IF(OR(M352="",N352=""),"",SQRT(M352*N352))</x:f>
      </x:c>
      <x:c r="P352" t="str">
        <x:f>IF(OR(M352="",N352=""),"",M352^0.7*N352^0.3)</x:f>
      </x:c>
      <x:c r="Q352" t="str">
        <x:f>IF(OR(M352="",N352=""),"",M352^0.3*N352^0.7)</x:f>
      </x:c>
    </x:row>
    <x:row r="353">
      <x:c r="A353" t="inlineStr">
        <x:is>
          <x:t xml:space="preserve">openai|gpt-5.6-luna|xhigh|reasoning|fallback-na</x:t>
        </x:is>
      </x:c>
      <x:c r="B353" t="inlineStr">
        <x:is>
          <x:t xml:space="preserve">AA|v4.3.2</x:t>
        </x:is>
      </x:c>
      <x:c r="C353" t="n">
        <x:v>45</x:v>
      </x:c>
      <x:c r="D353" t="n">
        <x:v>80</x:v>
      </x:c>
      <x:c r="E353" t="n">
        <x:f>INDEX(Model_TestVersion_Stats!$W:$W,C353)</x:f>
        <x:v>35</x:v>
      </x:c>
      <x:c r="F353" t="n">
        <x:f>INDEX(Model_TestVersion_Stats!$O:$O,C353)</x:f>
        <x:v>0.09</x:v>
      </x:c>
      <x:c r="G353" t="str">
        <x:f>IF(INDEX(Model_TestVersion_Stats!$R:$R,C353)="","",INDEX(Model_TestVersion_Stats!$R:$R,C353)/60)</x:f>
      </x:c>
      <x:c r="H353" t="n">
        <x:f>IF(E353="","",E353-(D353-1))</x:f>
        <x:v>-44</x:v>
      </x:c>
      <x:c r="I353" t="n">
        <x:f>IF(H353&gt;0,1,0)</x:f>
        <x:v>0</x:v>
      </x:c>
      <x:c r="J353" t="str">
        <x:f>IF(OR(I353=0,F353="",F353=0),"",H353/F353)</x:f>
      </x:c>
      <x:c r="K353" t="str">
        <x:f>IF(OR(I353=0,H353=0,F353=""),"",F353/H353)</x:f>
      </x:c>
      <x:c r="L353" t="str">
        <x:f>IF(OR(I353=0,F353="",G353="",F353=0,G353=0),"",H353/(F353*G353))</x:f>
      </x:c>
      <x:c r="M353" t="str">
        <x:f>IF(J353="","",J353/_xlfn.MAXIFS($J:$J,$D:$D,D353))</x:f>
      </x:c>
      <x:c r="N353" t="str">
        <x:f>IF(L353="","",L353/_xlfn.MAXIFS($L:$L,$D:$D,D353))</x:f>
      </x:c>
      <x:c r="O353" t="str">
        <x:f>IF(OR(M353="",N353=""),"",SQRT(M353*N353))</x:f>
      </x:c>
      <x:c r="P353" t="str">
        <x:f>IF(OR(M353="",N353=""),"",M353^0.7*N353^0.3)</x:f>
      </x:c>
      <x:c r="Q353" t="str">
        <x:f>IF(OR(M353="",N353=""),"",M353^0.3*N353^0.7)</x:f>
      </x:c>
    </x:row>
    <x:row r="354">
      <x:c r="A354" t="inlineStr">
        <x:is>
          <x:t xml:space="preserve">openai|gpt-5.6-sol|high|reasoning|fallback-na</x:t>
        </x:is>
      </x:c>
      <x:c r="B354" t="inlineStr">
        <x:is>
          <x:t xml:space="preserve">AA|v4.3.2</x:t>
        </x:is>
      </x:c>
      <x:c r="C354" t="n">
        <x:v>46</x:v>
      </x:c>
      <x:c r="D354" t="n">
        <x:v>20</x:v>
      </x:c>
      <x:c r="E354" t="n">
        <x:f>INDEX(Model_TestVersion_Stats!$W:$W,C354)</x:f>
        <x:v>42</x:v>
      </x:c>
      <x:c r="F354" t="n">
        <x:f>INDEX(Model_TestVersion_Stats!$O:$O,C354)</x:f>
        <x:v>0.81</x:v>
      </x:c>
      <x:c r="G354" t="str">
        <x:f>IF(INDEX(Model_TestVersion_Stats!$R:$R,C354)="","",INDEX(Model_TestVersion_Stats!$R:$R,C354)/60)</x:f>
      </x:c>
      <x:c r="H354" t="n">
        <x:f>IF(E354="","",E354-(D354-1))</x:f>
        <x:v>23</x:v>
      </x:c>
      <x:c r="I354" t="n">
        <x:f>IF(H354&gt;0,1,0)</x:f>
        <x:v>1</x:v>
      </x:c>
      <x:c r="J354" t="n">
        <x:f>IF(OR(I354=0,F354="",F354=0),"",H354/F354)</x:f>
        <x:v>28.39506172839506</x:v>
      </x:c>
      <x:c r="K354" t="n">
        <x:f>IF(OR(I354=0,H354=0,F354=""),"",F354/H354)</x:f>
        <x:v>0.035217391304347825</x:v>
      </x:c>
      <x:c r="L354" t="str">
        <x:f>IF(OR(I354=0,F354="",G354="",F354=0,G354=0),"",H354/(F354*G354))</x:f>
      </x:c>
      <x:c r="M354" t="n">
        <x:f>IF(J354="","",J354/_xlfn.MAXIFS($J:$J,$D:$D,D354))</x:f>
        <x:v>0.05111111111111111</x:v>
      </x:c>
      <x:c r="N354" t="str">
        <x:f>IF(L354="","",L354/_xlfn.MAXIFS($L:$L,$D:$D,D354))</x:f>
      </x:c>
      <x:c r="O354" t="str">
        <x:f>IF(OR(M354="",N354=""),"",SQRT(M354*N354))</x:f>
      </x:c>
      <x:c r="P354" t="str">
        <x:f>IF(OR(M354="",N354=""),"",M354^0.7*N354^0.3)</x:f>
      </x:c>
      <x:c r="Q354" t="str">
        <x:f>IF(OR(M354="",N354=""),"",M354^0.3*N354^0.7)</x:f>
      </x:c>
    </x:row>
    <x:row r="355">
      <x:c r="A355" t="inlineStr">
        <x:is>
          <x:t xml:space="preserve">openai|gpt-5.6-sol|high|reasoning|fallback-na</x:t>
        </x:is>
      </x:c>
      <x:c r="B355" t="inlineStr">
        <x:is>
          <x:t xml:space="preserve">AA|v4.3.2</x:t>
        </x:is>
      </x:c>
      <x:c r="C355" t="n">
        <x:v>46</x:v>
      </x:c>
      <x:c r="D355" t="n">
        <x:v>30</x:v>
      </x:c>
      <x:c r="E355" t="n">
        <x:f>INDEX(Model_TestVersion_Stats!$W:$W,C355)</x:f>
        <x:v>42</x:v>
      </x:c>
      <x:c r="F355" t="n">
        <x:f>INDEX(Model_TestVersion_Stats!$O:$O,C355)</x:f>
        <x:v>0.81</x:v>
      </x:c>
      <x:c r="G355" t="str">
        <x:f>IF(INDEX(Model_TestVersion_Stats!$R:$R,C355)="","",INDEX(Model_TestVersion_Stats!$R:$R,C355)/60)</x:f>
      </x:c>
      <x:c r="H355" t="n">
        <x:f>IF(E355="","",E355-(D355-1))</x:f>
        <x:v>13</x:v>
      </x:c>
      <x:c r="I355" t="n">
        <x:f>IF(H355&gt;0,1,0)</x:f>
        <x:v>1</x:v>
      </x:c>
      <x:c r="J355" t="n">
        <x:f>IF(OR(I355=0,F355="",F355=0),"",H355/F355)</x:f>
        <x:v>16.049382716049383</x:v>
      </x:c>
      <x:c r="K355" t="n">
        <x:f>IF(OR(I355=0,H355=0,F355=""),"",F355/H355)</x:f>
        <x:v>0.062307692307692314</x:v>
      </x:c>
      <x:c r="L355" t="str">
        <x:f>IF(OR(I355=0,F355="",G355="",F355=0,G355=0),"",H355/(F355*G355))</x:f>
      </x:c>
      <x:c r="M355" t="n">
        <x:f>IF(J355="","",J355/_xlfn.MAXIFS($J:$J,$D:$D,D355))</x:f>
        <x:v>0.10699588477366255</x:v>
      </x:c>
      <x:c r="N355" t="str">
        <x:f>IF(L355="","",L355/_xlfn.MAXIFS($L:$L,$D:$D,D355))</x:f>
      </x:c>
      <x:c r="O355" t="str">
        <x:f>IF(OR(M355="",N355=""),"",SQRT(M355*N355))</x:f>
      </x:c>
      <x:c r="P355" t="str">
        <x:f>IF(OR(M355="",N355=""),"",M355^0.7*N355^0.3)</x:f>
      </x:c>
      <x:c r="Q355" t="str">
        <x:f>IF(OR(M355="",N355=""),"",M355^0.3*N355^0.7)</x:f>
      </x:c>
    </x:row>
    <x:row r="356">
      <x:c r="A356" t="inlineStr">
        <x:is>
          <x:t xml:space="preserve">openai|gpt-5.6-sol|high|reasoning|fallback-na</x:t>
        </x:is>
      </x:c>
      <x:c r="B356" t="inlineStr">
        <x:is>
          <x:t xml:space="preserve">AA|v4.3.2</x:t>
        </x:is>
      </x:c>
      <x:c r="C356" t="n">
        <x:v>46</x:v>
      </x:c>
      <x:c r="D356" t="n">
        <x:v>40</x:v>
      </x:c>
      <x:c r="E356" t="n">
        <x:f>INDEX(Model_TestVersion_Stats!$W:$W,C356)</x:f>
        <x:v>42</x:v>
      </x:c>
      <x:c r="F356" t="n">
        <x:f>INDEX(Model_TestVersion_Stats!$O:$O,C356)</x:f>
        <x:v>0.81</x:v>
      </x:c>
      <x:c r="G356" t="str">
        <x:f>IF(INDEX(Model_TestVersion_Stats!$R:$R,C356)="","",INDEX(Model_TestVersion_Stats!$R:$R,C356)/60)</x:f>
      </x:c>
      <x:c r="H356" t="n">
        <x:f>IF(E356="","",E356-(D356-1))</x:f>
        <x:v>3</x:v>
      </x:c>
      <x:c r="I356" t="n">
        <x:f>IF(H356&gt;0,1,0)</x:f>
        <x:v>1</x:v>
      </x:c>
      <x:c r="J356" t="n">
        <x:f>IF(OR(I356=0,F356="",F356=0),"",H356/F356)</x:f>
        <x:v>3.7037037037037033</x:v>
      </x:c>
      <x:c r="K356" t="n">
        <x:f>IF(OR(I356=0,H356=0,F356=""),"",F356/H356)</x:f>
        <x:v>0.27</x:v>
      </x:c>
      <x:c r="L356" t="str">
        <x:f>IF(OR(I356=0,F356="",G356="",F356=0,G356=0),"",H356/(F356*G356))</x:f>
      </x:c>
      <x:c r="M356" t="n">
        <x:f>IF(J356="","",J356/_xlfn.MAXIFS($J:$J,$D:$D,D356))</x:f>
        <x:v>0.06878306878306878</x:v>
      </x:c>
      <x:c r="N356" t="str">
        <x:f>IF(L356="","",L356/_xlfn.MAXIFS($L:$L,$D:$D,D356))</x:f>
      </x:c>
      <x:c r="O356" t="str">
        <x:f>IF(OR(M356="",N356=""),"",SQRT(M356*N356))</x:f>
      </x:c>
      <x:c r="P356" t="str">
        <x:f>IF(OR(M356="",N356=""),"",M356^0.7*N356^0.3)</x:f>
      </x:c>
      <x:c r="Q356" t="str">
        <x:f>IF(OR(M356="",N356=""),"",M356^0.3*N356^0.7)</x:f>
      </x:c>
    </x:row>
    <x:row r="357">
      <x:c r="A357" t="inlineStr">
        <x:is>
          <x:t xml:space="preserve">openai|gpt-5.6-sol|high|reasoning|fallback-na</x:t>
        </x:is>
      </x:c>
      <x:c r="B357" t="inlineStr">
        <x:is>
          <x:t xml:space="preserve">AA|v4.3.2</x:t>
        </x:is>
      </x:c>
      <x:c r="C357" t="n">
        <x:v>46</x:v>
      </x:c>
      <x:c r="D357" t="n">
        <x:v>45</x:v>
      </x:c>
      <x:c r="E357" t="n">
        <x:f>INDEX(Model_TestVersion_Stats!$W:$W,C357)</x:f>
        <x:v>42</x:v>
      </x:c>
      <x:c r="F357" t="n">
        <x:f>INDEX(Model_TestVersion_Stats!$O:$O,C357)</x:f>
        <x:v>0.81</x:v>
      </x:c>
      <x:c r="G357" t="str">
        <x:f>IF(INDEX(Model_TestVersion_Stats!$R:$R,C357)="","",INDEX(Model_TestVersion_Stats!$R:$R,C357)/60)</x:f>
      </x:c>
      <x:c r="H357" t="n">
        <x:f>IF(E357="","",E357-(D357-1))</x:f>
        <x:v>-2</x:v>
      </x:c>
      <x:c r="I357" t="n">
        <x:f>IF(H357&gt;0,1,0)</x:f>
        <x:v>0</x:v>
      </x:c>
      <x:c r="J357" t="str">
        <x:f>IF(OR(I357=0,F357="",F357=0),"",H357/F357)</x:f>
      </x:c>
      <x:c r="K357" t="str">
        <x:f>IF(OR(I357=0,H357=0,F357=""),"",F357/H357)</x:f>
      </x:c>
      <x:c r="L357" t="str">
        <x:f>IF(OR(I357=0,F357="",G357="",F357=0,G357=0),"",H357/(F357*G357))</x:f>
      </x:c>
      <x:c r="M357" t="str">
        <x:f>IF(J357="","",J357/_xlfn.MAXIFS($J:$J,$D:$D,D357))</x:f>
      </x:c>
      <x:c r="N357" t="str">
        <x:f>IF(L357="","",L357/_xlfn.MAXIFS($L:$L,$D:$D,D357))</x:f>
      </x:c>
      <x:c r="O357" t="str">
        <x:f>IF(OR(M357="",N357=""),"",SQRT(M357*N357))</x:f>
      </x:c>
      <x:c r="P357" t="str">
        <x:f>IF(OR(M357="",N357=""),"",M357^0.7*N357^0.3)</x:f>
      </x:c>
      <x:c r="Q357" t="str">
        <x:f>IF(OR(M357="",N357=""),"",M357^0.3*N357^0.7)</x:f>
      </x:c>
    </x:row>
    <x:row r="358">
      <x:c r="A358" t="inlineStr">
        <x:is>
          <x:t xml:space="preserve">openai|gpt-5.6-sol|high|reasoning|fallback-na</x:t>
        </x:is>
      </x:c>
      <x:c r="B358" t="inlineStr">
        <x:is>
          <x:t xml:space="preserve">AA|v4.3.2</x:t>
        </x:is>
      </x:c>
      <x:c r="C358" t="n">
        <x:v>46</x:v>
      </x:c>
      <x:c r="D358" t="n">
        <x:v>50</x:v>
      </x:c>
      <x:c r="E358" t="n">
        <x:f>INDEX(Model_TestVersion_Stats!$W:$W,C358)</x:f>
        <x:v>42</x:v>
      </x:c>
      <x:c r="F358" t="n">
        <x:f>INDEX(Model_TestVersion_Stats!$O:$O,C358)</x:f>
        <x:v>0.81</x:v>
      </x:c>
      <x:c r="G358" t="str">
        <x:f>IF(INDEX(Model_TestVersion_Stats!$R:$R,C358)="","",INDEX(Model_TestVersion_Stats!$R:$R,C358)/60)</x:f>
      </x:c>
      <x:c r="H358" t="n">
        <x:f>IF(E358="","",E358-(D358-1))</x:f>
        <x:v>-7</x:v>
      </x:c>
      <x:c r="I358" t="n">
        <x:f>IF(H358&gt;0,1,0)</x:f>
        <x:v>0</x:v>
      </x:c>
      <x:c r="J358" t="str">
        <x:f>IF(OR(I358=0,F358="",F358=0),"",H358/F358)</x:f>
      </x:c>
      <x:c r="K358" t="str">
        <x:f>IF(OR(I358=0,H358=0,F358=""),"",F358/H358)</x:f>
      </x:c>
      <x:c r="L358" t="str">
        <x:f>IF(OR(I358=0,F358="",G358="",F358=0,G358=0),"",H358/(F358*G358))</x:f>
      </x:c>
      <x:c r="M358" t="str">
        <x:f>IF(J358="","",J358/_xlfn.MAXIFS($J:$J,$D:$D,D358))</x:f>
      </x:c>
      <x:c r="N358" t="str">
        <x:f>IF(L358="","",L358/_xlfn.MAXIFS($L:$L,$D:$D,D358))</x:f>
      </x:c>
      <x:c r="O358" t="str">
        <x:f>IF(OR(M358="",N358=""),"",SQRT(M358*N358))</x:f>
      </x:c>
      <x:c r="P358" t="str">
        <x:f>IF(OR(M358="",N358=""),"",M358^0.7*N358^0.3)</x:f>
      </x:c>
      <x:c r="Q358" t="str">
        <x:f>IF(OR(M358="",N358=""),"",M358^0.3*N358^0.7)</x:f>
      </x:c>
    </x:row>
    <x:row r="359">
      <x:c r="A359" t="inlineStr">
        <x:is>
          <x:t xml:space="preserve">openai|gpt-5.6-sol|high|reasoning|fallback-na</x:t>
        </x:is>
      </x:c>
      <x:c r="B359" t="inlineStr">
        <x:is>
          <x:t xml:space="preserve">AA|v4.3.2</x:t>
        </x:is>
      </x:c>
      <x:c r="C359" t="n">
        <x:v>46</x:v>
      </x:c>
      <x:c r="D359" t="n">
        <x:v>52</x:v>
      </x:c>
      <x:c r="E359" t="n">
        <x:f>INDEX(Model_TestVersion_Stats!$W:$W,C359)</x:f>
        <x:v>42</x:v>
      </x:c>
      <x:c r="F359" t="n">
        <x:f>INDEX(Model_TestVersion_Stats!$O:$O,C359)</x:f>
        <x:v>0.81</x:v>
      </x:c>
      <x:c r="G359" t="str">
        <x:f>IF(INDEX(Model_TestVersion_Stats!$R:$R,C359)="","",INDEX(Model_TestVersion_Stats!$R:$R,C359)/60)</x:f>
      </x:c>
      <x:c r="H359" t="n">
        <x:f>IF(E359="","",E359-(D359-1))</x:f>
        <x:v>-9</x:v>
      </x:c>
      <x:c r="I359" t="n">
        <x:f>IF(H359&gt;0,1,0)</x:f>
        <x:v>0</x:v>
      </x:c>
      <x:c r="J359" t="str">
        <x:f>IF(OR(I359=0,F359="",F359=0),"",H359/F359)</x:f>
      </x:c>
      <x:c r="K359" t="str">
        <x:f>IF(OR(I359=0,H359=0,F359=""),"",F359/H359)</x:f>
      </x:c>
      <x:c r="L359" t="str">
        <x:f>IF(OR(I359=0,F359="",G359="",F359=0,G359=0),"",H359/(F359*G359))</x:f>
      </x:c>
      <x:c r="M359" t="str">
        <x:f>IF(J359="","",J359/_xlfn.MAXIFS($J:$J,$D:$D,D359))</x:f>
      </x:c>
      <x:c r="N359" t="str">
        <x:f>IF(L359="","",L359/_xlfn.MAXIFS($L:$L,$D:$D,D359))</x:f>
      </x:c>
      <x:c r="O359" t="str">
        <x:f>IF(OR(M359="",N359=""),"",SQRT(M359*N359))</x:f>
      </x:c>
      <x:c r="P359" t="str">
        <x:f>IF(OR(M359="",N359=""),"",M359^0.7*N359^0.3)</x:f>
      </x:c>
      <x:c r="Q359" t="str">
        <x:f>IF(OR(M359="",N359=""),"",M359^0.3*N359^0.7)</x:f>
      </x:c>
    </x:row>
    <x:row r="360">
      <x:c r="A360" t="inlineStr">
        <x:is>
          <x:t xml:space="preserve">openai|gpt-5.6-sol|high|reasoning|fallback-na</x:t>
        </x:is>
      </x:c>
      <x:c r="B360" t="inlineStr">
        <x:is>
          <x:t xml:space="preserve">AA|v4.3.2</x:t>
        </x:is>
      </x:c>
      <x:c r="C360" t="n">
        <x:v>46</x:v>
      </x:c>
      <x:c r="D360" t="n">
        <x:v>65</x:v>
      </x:c>
      <x:c r="E360" t="n">
        <x:f>INDEX(Model_TestVersion_Stats!$W:$W,C360)</x:f>
        <x:v>42</x:v>
      </x:c>
      <x:c r="F360" t="n">
        <x:f>INDEX(Model_TestVersion_Stats!$O:$O,C360)</x:f>
        <x:v>0.81</x:v>
      </x:c>
      <x:c r="G360" t="str">
        <x:f>IF(INDEX(Model_TestVersion_Stats!$R:$R,C360)="","",INDEX(Model_TestVersion_Stats!$R:$R,C360)/60)</x:f>
      </x:c>
      <x:c r="H360" t="n">
        <x:f>IF(E360="","",E360-(D360-1))</x:f>
        <x:v>-22</x:v>
      </x:c>
      <x:c r="I360" t="n">
        <x:f>IF(H360&gt;0,1,0)</x:f>
        <x:v>0</x:v>
      </x:c>
      <x:c r="J360" t="str">
        <x:f>IF(OR(I360=0,F360="",F360=0),"",H360/F360)</x:f>
      </x:c>
      <x:c r="K360" t="str">
        <x:f>IF(OR(I360=0,H360=0,F360=""),"",F360/H360)</x:f>
      </x:c>
      <x:c r="L360" t="str">
        <x:f>IF(OR(I360=0,F360="",G360="",F360=0,G360=0),"",H360/(F360*G360))</x:f>
      </x:c>
      <x:c r="M360" t="str">
        <x:f>IF(J360="","",J360/_xlfn.MAXIFS($J:$J,$D:$D,D360))</x:f>
      </x:c>
      <x:c r="N360" t="str">
        <x:f>IF(L360="","",L360/_xlfn.MAXIFS($L:$L,$D:$D,D360))</x:f>
      </x:c>
      <x:c r="O360" t="str">
        <x:f>IF(OR(M360="",N360=""),"",SQRT(M360*N360))</x:f>
      </x:c>
      <x:c r="P360" t="str">
        <x:f>IF(OR(M360="",N360=""),"",M360^0.7*N360^0.3)</x:f>
      </x:c>
      <x:c r="Q360" t="str">
        <x:f>IF(OR(M360="",N360=""),"",M360^0.3*N360^0.7)</x:f>
      </x:c>
    </x:row>
    <x:row r="361">
      <x:c r="A361" t="inlineStr">
        <x:is>
          <x:t xml:space="preserve">openai|gpt-5.6-sol|high|reasoning|fallback-na</x:t>
        </x:is>
      </x:c>
      <x:c r="B361" t="inlineStr">
        <x:is>
          <x:t xml:space="preserve">AA|v4.3.2</x:t>
        </x:is>
      </x:c>
      <x:c r="C361" t="n">
        <x:v>46</x:v>
      </x:c>
      <x:c r="D361" t="n">
        <x:v>80</x:v>
      </x:c>
      <x:c r="E361" t="n">
        <x:f>INDEX(Model_TestVersion_Stats!$W:$W,C361)</x:f>
        <x:v>42</x:v>
      </x:c>
      <x:c r="F361" t="n">
        <x:f>INDEX(Model_TestVersion_Stats!$O:$O,C361)</x:f>
        <x:v>0.81</x:v>
      </x:c>
      <x:c r="G361" t="str">
        <x:f>IF(INDEX(Model_TestVersion_Stats!$R:$R,C361)="","",INDEX(Model_TestVersion_Stats!$R:$R,C361)/60)</x:f>
      </x:c>
      <x:c r="H361" t="n">
        <x:f>IF(E361="","",E361-(D361-1))</x:f>
        <x:v>-37</x:v>
      </x:c>
      <x:c r="I361" t="n">
        <x:f>IF(H361&gt;0,1,0)</x:f>
        <x:v>0</x:v>
      </x:c>
      <x:c r="J361" t="str">
        <x:f>IF(OR(I361=0,F361="",F361=0),"",H361/F361)</x:f>
      </x:c>
      <x:c r="K361" t="str">
        <x:f>IF(OR(I361=0,H361=0,F361=""),"",F361/H361)</x:f>
      </x:c>
      <x:c r="L361" t="str">
        <x:f>IF(OR(I361=0,F361="",G361="",F361=0,G361=0),"",H361/(F361*G361))</x:f>
      </x:c>
      <x:c r="M361" t="str">
        <x:f>IF(J361="","",J361/_xlfn.MAXIFS($J:$J,$D:$D,D361))</x:f>
      </x:c>
      <x:c r="N361" t="str">
        <x:f>IF(L361="","",L361/_xlfn.MAXIFS($L:$L,$D:$D,D361))</x:f>
      </x:c>
      <x:c r="O361" t="str">
        <x:f>IF(OR(M361="",N361=""),"",SQRT(M361*N361))</x:f>
      </x:c>
      <x:c r="P361" t="str">
        <x:f>IF(OR(M361="",N361=""),"",M361^0.7*N361^0.3)</x:f>
      </x:c>
      <x:c r="Q361" t="str">
        <x:f>IF(OR(M361="",N361=""),"",M361^0.3*N361^0.7)</x:f>
      </x:c>
    </x:row>
    <x:row r="362">
      <x:c r="A362" t="inlineStr">
        <x:is>
          <x:t xml:space="preserve">openai|gpt-5.6-sol|low|reasoning|fallback-na</x:t>
        </x:is>
      </x:c>
      <x:c r="B362" t="inlineStr">
        <x:is>
          <x:t xml:space="preserve">AA|v4.3.2</x:t>
        </x:is>
      </x:c>
      <x:c r="C362" t="n">
        <x:v>47</x:v>
      </x:c>
      <x:c r="D362" t="n">
        <x:v>20</x:v>
      </x:c>
      <x:c r="E362" t="n">
        <x:f>INDEX(Model_TestVersion_Stats!$W:$W,C362)</x:f>
        <x:v>33</x:v>
      </x:c>
      <x:c r="F362" t="n">
        <x:f>INDEX(Model_TestVersion_Stats!$O:$O,C362)</x:f>
        <x:v>0.26</x:v>
      </x:c>
      <x:c r="G362" t="str">
        <x:f>IF(INDEX(Model_TestVersion_Stats!$R:$R,C362)="","",INDEX(Model_TestVersion_Stats!$R:$R,C362)/60)</x:f>
      </x:c>
      <x:c r="H362" t="n">
        <x:f>IF(E362="","",E362-(D362-1))</x:f>
        <x:v>14</x:v>
      </x:c>
      <x:c r="I362" t="n">
        <x:f>IF(H362&gt;0,1,0)</x:f>
        <x:v>1</x:v>
      </x:c>
      <x:c r="J362" t="n">
        <x:f>IF(OR(I362=0,F362="",F362=0),"",H362/F362)</x:f>
        <x:v>53.84615384615385</x:v>
      </x:c>
      <x:c r="K362" t="n">
        <x:f>IF(OR(I362=0,H362=0,F362=""),"",F362/H362)</x:f>
        <x:v>0.018571428571428572</x:v>
      </x:c>
      <x:c r="L362" t="str">
        <x:f>IF(OR(I362=0,F362="",G362="",F362=0,G362=0),"",H362/(F362*G362))</x:f>
      </x:c>
      <x:c r="M362" t="n">
        <x:f>IF(J362="","",J362/_xlfn.MAXIFS($J:$J,$D:$D,D362))</x:f>
        <x:v>0.09692307692307693</x:v>
      </x:c>
      <x:c r="N362" t="str">
        <x:f>IF(L362="","",L362/_xlfn.MAXIFS($L:$L,$D:$D,D362))</x:f>
      </x:c>
      <x:c r="O362" t="str">
        <x:f>IF(OR(M362="",N362=""),"",SQRT(M362*N362))</x:f>
      </x:c>
      <x:c r="P362" t="str">
        <x:f>IF(OR(M362="",N362=""),"",M362^0.7*N362^0.3)</x:f>
      </x:c>
      <x:c r="Q362" t="str">
        <x:f>IF(OR(M362="",N362=""),"",M362^0.3*N362^0.7)</x:f>
      </x:c>
    </x:row>
    <x:row r="363">
      <x:c r="A363" t="inlineStr">
        <x:is>
          <x:t xml:space="preserve">openai|gpt-5.6-sol|low|reasoning|fallback-na</x:t>
        </x:is>
      </x:c>
      <x:c r="B363" t="inlineStr">
        <x:is>
          <x:t xml:space="preserve">AA|v4.3.2</x:t>
        </x:is>
      </x:c>
      <x:c r="C363" t="n">
        <x:v>47</x:v>
      </x:c>
      <x:c r="D363" t="n">
        <x:v>30</x:v>
      </x:c>
      <x:c r="E363" t="n">
        <x:f>INDEX(Model_TestVersion_Stats!$W:$W,C363)</x:f>
        <x:v>33</x:v>
      </x:c>
      <x:c r="F363" t="n">
        <x:f>INDEX(Model_TestVersion_Stats!$O:$O,C363)</x:f>
        <x:v>0.26</x:v>
      </x:c>
      <x:c r="G363" t="str">
        <x:f>IF(INDEX(Model_TestVersion_Stats!$R:$R,C363)="","",INDEX(Model_TestVersion_Stats!$R:$R,C363)/60)</x:f>
      </x:c>
      <x:c r="H363" t="n">
        <x:f>IF(E363="","",E363-(D363-1))</x:f>
        <x:v>4</x:v>
      </x:c>
      <x:c r="I363" t="n">
        <x:f>IF(H363&gt;0,1,0)</x:f>
        <x:v>1</x:v>
      </x:c>
      <x:c r="J363" t="n">
        <x:f>IF(OR(I363=0,F363="",F363=0),"",H363/F363)</x:f>
        <x:v>15.384615384615383</x:v>
      </x:c>
      <x:c r="K363" t="n">
        <x:f>IF(OR(I363=0,H363=0,F363=""),"",F363/H363)</x:f>
        <x:v>0.065</x:v>
      </x:c>
      <x:c r="L363" t="str">
        <x:f>IF(OR(I363=0,F363="",G363="",F363=0,G363=0),"",H363/(F363*G363))</x:f>
      </x:c>
      <x:c r="M363" t="n">
        <x:f>IF(J363="","",J363/_xlfn.MAXIFS($J:$J,$D:$D,D363))</x:f>
        <x:v>0.10256410256410256</x:v>
      </x:c>
      <x:c r="N363" t="str">
        <x:f>IF(L363="","",L363/_xlfn.MAXIFS($L:$L,$D:$D,D363))</x:f>
      </x:c>
      <x:c r="O363" t="str">
        <x:f>IF(OR(M363="",N363=""),"",SQRT(M363*N363))</x:f>
      </x:c>
      <x:c r="P363" t="str">
        <x:f>IF(OR(M363="",N363=""),"",M363^0.7*N363^0.3)</x:f>
      </x:c>
      <x:c r="Q363" t="str">
        <x:f>IF(OR(M363="",N363=""),"",M363^0.3*N363^0.7)</x:f>
      </x:c>
    </x:row>
    <x:row r="364">
      <x:c r="A364" t="inlineStr">
        <x:is>
          <x:t xml:space="preserve">openai|gpt-5.6-sol|low|reasoning|fallback-na</x:t>
        </x:is>
      </x:c>
      <x:c r="B364" t="inlineStr">
        <x:is>
          <x:t xml:space="preserve">AA|v4.3.2</x:t>
        </x:is>
      </x:c>
      <x:c r="C364" t="n">
        <x:v>47</x:v>
      </x:c>
      <x:c r="D364" t="n">
        <x:v>40</x:v>
      </x:c>
      <x:c r="E364" t="n">
        <x:f>INDEX(Model_TestVersion_Stats!$W:$W,C364)</x:f>
        <x:v>33</x:v>
      </x:c>
      <x:c r="F364" t="n">
        <x:f>INDEX(Model_TestVersion_Stats!$O:$O,C364)</x:f>
        <x:v>0.26</x:v>
      </x:c>
      <x:c r="G364" t="str">
        <x:f>IF(INDEX(Model_TestVersion_Stats!$R:$R,C364)="","",INDEX(Model_TestVersion_Stats!$R:$R,C364)/60)</x:f>
      </x:c>
      <x:c r="H364" t="n">
        <x:f>IF(E364="","",E364-(D364-1))</x:f>
        <x:v>-6</x:v>
      </x:c>
      <x:c r="I364" t="n">
        <x:f>IF(H364&gt;0,1,0)</x:f>
        <x:v>0</x:v>
      </x:c>
      <x:c r="J364" t="str">
        <x:f>IF(OR(I364=0,F364="",F364=0),"",H364/F364)</x:f>
      </x:c>
      <x:c r="K364" t="str">
        <x:f>IF(OR(I364=0,H364=0,F364=""),"",F364/H364)</x:f>
      </x:c>
      <x:c r="L364" t="str">
        <x:f>IF(OR(I364=0,F364="",G364="",F364=0,G364=0),"",H364/(F364*G364))</x:f>
      </x:c>
      <x:c r="M364" t="str">
        <x:f>IF(J364="","",J364/_xlfn.MAXIFS($J:$J,$D:$D,D364))</x:f>
      </x:c>
      <x:c r="N364" t="str">
        <x:f>IF(L364="","",L364/_xlfn.MAXIFS($L:$L,$D:$D,D364))</x:f>
      </x:c>
      <x:c r="O364" t="str">
        <x:f>IF(OR(M364="",N364=""),"",SQRT(M364*N364))</x:f>
      </x:c>
      <x:c r="P364" t="str">
        <x:f>IF(OR(M364="",N364=""),"",M364^0.7*N364^0.3)</x:f>
      </x:c>
      <x:c r="Q364" t="str">
        <x:f>IF(OR(M364="",N364=""),"",M364^0.3*N364^0.7)</x:f>
      </x:c>
    </x:row>
    <x:row r="365">
      <x:c r="A365" t="inlineStr">
        <x:is>
          <x:t xml:space="preserve">openai|gpt-5.6-sol|low|reasoning|fallback-na</x:t>
        </x:is>
      </x:c>
      <x:c r="B365" t="inlineStr">
        <x:is>
          <x:t xml:space="preserve">AA|v4.3.2</x:t>
        </x:is>
      </x:c>
      <x:c r="C365" t="n">
        <x:v>47</x:v>
      </x:c>
      <x:c r="D365" t="n">
        <x:v>45</x:v>
      </x:c>
      <x:c r="E365" t="n">
        <x:f>INDEX(Model_TestVersion_Stats!$W:$W,C365)</x:f>
        <x:v>33</x:v>
      </x:c>
      <x:c r="F365" t="n">
        <x:f>INDEX(Model_TestVersion_Stats!$O:$O,C365)</x:f>
        <x:v>0.26</x:v>
      </x:c>
      <x:c r="G365" t="str">
        <x:f>IF(INDEX(Model_TestVersion_Stats!$R:$R,C365)="","",INDEX(Model_TestVersion_Stats!$R:$R,C365)/60)</x:f>
      </x:c>
      <x:c r="H365" t="n">
        <x:f>IF(E365="","",E365-(D365-1))</x:f>
        <x:v>-11</x:v>
      </x:c>
      <x:c r="I365" t="n">
        <x:f>IF(H365&gt;0,1,0)</x:f>
        <x:v>0</x:v>
      </x:c>
      <x:c r="J365" t="str">
        <x:f>IF(OR(I365=0,F365="",F365=0),"",H365/F365)</x:f>
      </x:c>
      <x:c r="K365" t="str">
        <x:f>IF(OR(I365=0,H365=0,F365=""),"",F365/H365)</x:f>
      </x:c>
      <x:c r="L365" t="str">
        <x:f>IF(OR(I365=0,F365="",G365="",F365=0,G365=0),"",H365/(F365*G365))</x:f>
      </x:c>
      <x:c r="M365" t="str">
        <x:f>IF(J365="","",J365/_xlfn.MAXIFS($J:$J,$D:$D,D365))</x:f>
      </x:c>
      <x:c r="N365" t="str">
        <x:f>IF(L365="","",L365/_xlfn.MAXIFS($L:$L,$D:$D,D365))</x:f>
      </x:c>
      <x:c r="O365" t="str">
        <x:f>IF(OR(M365="",N365=""),"",SQRT(M365*N365))</x:f>
      </x:c>
      <x:c r="P365" t="str">
        <x:f>IF(OR(M365="",N365=""),"",M365^0.7*N365^0.3)</x:f>
      </x:c>
      <x:c r="Q365" t="str">
        <x:f>IF(OR(M365="",N365=""),"",M365^0.3*N365^0.7)</x:f>
      </x:c>
    </x:row>
    <x:row r="366">
      <x:c r="A366" t="inlineStr">
        <x:is>
          <x:t xml:space="preserve">openai|gpt-5.6-sol|low|reasoning|fallback-na</x:t>
        </x:is>
      </x:c>
      <x:c r="B366" t="inlineStr">
        <x:is>
          <x:t xml:space="preserve">AA|v4.3.2</x:t>
        </x:is>
      </x:c>
      <x:c r="C366" t="n">
        <x:v>47</x:v>
      </x:c>
      <x:c r="D366" t="n">
        <x:v>50</x:v>
      </x:c>
      <x:c r="E366" t="n">
        <x:f>INDEX(Model_TestVersion_Stats!$W:$W,C366)</x:f>
        <x:v>33</x:v>
      </x:c>
      <x:c r="F366" t="n">
        <x:f>INDEX(Model_TestVersion_Stats!$O:$O,C366)</x:f>
        <x:v>0.26</x:v>
      </x:c>
      <x:c r="G366" t="str">
        <x:f>IF(INDEX(Model_TestVersion_Stats!$R:$R,C366)="","",INDEX(Model_TestVersion_Stats!$R:$R,C366)/60)</x:f>
      </x:c>
      <x:c r="H366" t="n">
        <x:f>IF(E366="","",E366-(D366-1))</x:f>
        <x:v>-16</x:v>
      </x:c>
      <x:c r="I366" t="n">
        <x:f>IF(H366&gt;0,1,0)</x:f>
        <x:v>0</x:v>
      </x:c>
      <x:c r="J366" t="str">
        <x:f>IF(OR(I366=0,F366="",F366=0),"",H366/F366)</x:f>
      </x:c>
      <x:c r="K366" t="str">
        <x:f>IF(OR(I366=0,H366=0,F366=""),"",F366/H366)</x:f>
      </x:c>
      <x:c r="L366" t="str">
        <x:f>IF(OR(I366=0,F366="",G366="",F366=0,G366=0),"",H366/(F366*G366))</x:f>
      </x:c>
      <x:c r="M366" t="str">
        <x:f>IF(J366="","",J366/_xlfn.MAXIFS($J:$J,$D:$D,D366))</x:f>
      </x:c>
      <x:c r="N366" t="str">
        <x:f>IF(L366="","",L366/_xlfn.MAXIFS($L:$L,$D:$D,D366))</x:f>
      </x:c>
      <x:c r="O366" t="str">
        <x:f>IF(OR(M366="",N366=""),"",SQRT(M366*N366))</x:f>
      </x:c>
      <x:c r="P366" t="str">
        <x:f>IF(OR(M366="",N366=""),"",M366^0.7*N366^0.3)</x:f>
      </x:c>
      <x:c r="Q366" t="str">
        <x:f>IF(OR(M366="",N366=""),"",M366^0.3*N366^0.7)</x:f>
      </x:c>
    </x:row>
    <x:row r="367">
      <x:c r="A367" t="inlineStr">
        <x:is>
          <x:t xml:space="preserve">openai|gpt-5.6-sol|low|reasoning|fallback-na</x:t>
        </x:is>
      </x:c>
      <x:c r="B367" t="inlineStr">
        <x:is>
          <x:t xml:space="preserve">AA|v4.3.2</x:t>
        </x:is>
      </x:c>
      <x:c r="C367" t="n">
        <x:v>47</x:v>
      </x:c>
      <x:c r="D367" t="n">
        <x:v>52</x:v>
      </x:c>
      <x:c r="E367" t="n">
        <x:f>INDEX(Model_TestVersion_Stats!$W:$W,C367)</x:f>
        <x:v>33</x:v>
      </x:c>
      <x:c r="F367" t="n">
        <x:f>INDEX(Model_TestVersion_Stats!$O:$O,C367)</x:f>
        <x:v>0.26</x:v>
      </x:c>
      <x:c r="G367" t="str">
        <x:f>IF(INDEX(Model_TestVersion_Stats!$R:$R,C367)="","",INDEX(Model_TestVersion_Stats!$R:$R,C367)/60)</x:f>
      </x:c>
      <x:c r="H367" t="n">
        <x:f>IF(E367="","",E367-(D367-1))</x:f>
        <x:v>-18</x:v>
      </x:c>
      <x:c r="I367" t="n">
        <x:f>IF(H367&gt;0,1,0)</x:f>
        <x:v>0</x:v>
      </x:c>
      <x:c r="J367" t="str">
        <x:f>IF(OR(I367=0,F367="",F367=0),"",H367/F367)</x:f>
      </x:c>
      <x:c r="K367" t="str">
        <x:f>IF(OR(I367=0,H367=0,F367=""),"",F367/H367)</x:f>
      </x:c>
      <x:c r="L367" t="str">
        <x:f>IF(OR(I367=0,F367="",G367="",F367=0,G367=0),"",H367/(F367*G367))</x:f>
      </x:c>
      <x:c r="M367" t="str">
        <x:f>IF(J367="","",J367/_xlfn.MAXIFS($J:$J,$D:$D,D367))</x:f>
      </x:c>
      <x:c r="N367" t="str">
        <x:f>IF(L367="","",L367/_xlfn.MAXIFS($L:$L,$D:$D,D367))</x:f>
      </x:c>
      <x:c r="O367" t="str">
        <x:f>IF(OR(M367="",N367=""),"",SQRT(M367*N367))</x:f>
      </x:c>
      <x:c r="P367" t="str">
        <x:f>IF(OR(M367="",N367=""),"",M367^0.7*N367^0.3)</x:f>
      </x:c>
      <x:c r="Q367" t="str">
        <x:f>IF(OR(M367="",N367=""),"",M367^0.3*N367^0.7)</x:f>
      </x:c>
    </x:row>
    <x:row r="368">
      <x:c r="A368" t="inlineStr">
        <x:is>
          <x:t xml:space="preserve">openai|gpt-5.6-sol|low|reasoning|fallback-na</x:t>
        </x:is>
      </x:c>
      <x:c r="B368" t="inlineStr">
        <x:is>
          <x:t xml:space="preserve">AA|v4.3.2</x:t>
        </x:is>
      </x:c>
      <x:c r="C368" t="n">
        <x:v>47</x:v>
      </x:c>
      <x:c r="D368" t="n">
        <x:v>65</x:v>
      </x:c>
      <x:c r="E368" t="n">
        <x:f>INDEX(Model_TestVersion_Stats!$W:$W,C368)</x:f>
        <x:v>33</x:v>
      </x:c>
      <x:c r="F368" t="n">
        <x:f>INDEX(Model_TestVersion_Stats!$O:$O,C368)</x:f>
        <x:v>0.26</x:v>
      </x:c>
      <x:c r="G368" t="str">
        <x:f>IF(INDEX(Model_TestVersion_Stats!$R:$R,C368)="","",INDEX(Model_TestVersion_Stats!$R:$R,C368)/60)</x:f>
      </x:c>
      <x:c r="H368" t="n">
        <x:f>IF(E368="","",E368-(D368-1))</x:f>
        <x:v>-31</x:v>
      </x:c>
      <x:c r="I368" t="n">
        <x:f>IF(H368&gt;0,1,0)</x:f>
        <x:v>0</x:v>
      </x:c>
      <x:c r="J368" t="str">
        <x:f>IF(OR(I368=0,F368="",F368=0),"",H368/F368)</x:f>
      </x:c>
      <x:c r="K368" t="str">
        <x:f>IF(OR(I368=0,H368=0,F368=""),"",F368/H368)</x:f>
      </x:c>
      <x:c r="L368" t="str">
        <x:f>IF(OR(I368=0,F368="",G368="",F368=0,G368=0),"",H368/(F368*G368))</x:f>
      </x:c>
      <x:c r="M368" t="str">
        <x:f>IF(J368="","",J368/_xlfn.MAXIFS($J:$J,$D:$D,D368))</x:f>
      </x:c>
      <x:c r="N368" t="str">
        <x:f>IF(L368="","",L368/_xlfn.MAXIFS($L:$L,$D:$D,D368))</x:f>
      </x:c>
      <x:c r="O368" t="str">
        <x:f>IF(OR(M368="",N368=""),"",SQRT(M368*N368))</x:f>
      </x:c>
      <x:c r="P368" t="str">
        <x:f>IF(OR(M368="",N368=""),"",M368^0.7*N368^0.3)</x:f>
      </x:c>
      <x:c r="Q368" t="str">
        <x:f>IF(OR(M368="",N368=""),"",M368^0.3*N368^0.7)</x:f>
      </x:c>
    </x:row>
    <x:row r="369">
      <x:c r="A369" t="inlineStr">
        <x:is>
          <x:t xml:space="preserve">openai|gpt-5.6-sol|low|reasoning|fallback-na</x:t>
        </x:is>
      </x:c>
      <x:c r="B369" t="inlineStr">
        <x:is>
          <x:t xml:space="preserve">AA|v4.3.2</x:t>
        </x:is>
      </x:c>
      <x:c r="C369" t="n">
        <x:v>47</x:v>
      </x:c>
      <x:c r="D369" t="n">
        <x:v>80</x:v>
      </x:c>
      <x:c r="E369" t="n">
        <x:f>INDEX(Model_TestVersion_Stats!$W:$W,C369)</x:f>
        <x:v>33</x:v>
      </x:c>
      <x:c r="F369" t="n">
        <x:f>INDEX(Model_TestVersion_Stats!$O:$O,C369)</x:f>
        <x:v>0.26</x:v>
      </x:c>
      <x:c r="G369" t="str">
        <x:f>IF(INDEX(Model_TestVersion_Stats!$R:$R,C369)="","",INDEX(Model_TestVersion_Stats!$R:$R,C369)/60)</x:f>
      </x:c>
      <x:c r="H369" t="n">
        <x:f>IF(E369="","",E369-(D369-1))</x:f>
        <x:v>-46</x:v>
      </x:c>
      <x:c r="I369" t="n">
        <x:f>IF(H369&gt;0,1,0)</x:f>
        <x:v>0</x:v>
      </x:c>
      <x:c r="J369" t="str">
        <x:f>IF(OR(I369=0,F369="",F369=0),"",H369/F369)</x:f>
      </x:c>
      <x:c r="K369" t="str">
        <x:f>IF(OR(I369=0,H369=0,F369=""),"",F369/H369)</x:f>
      </x:c>
      <x:c r="L369" t="str">
        <x:f>IF(OR(I369=0,F369="",G369="",F369=0,G369=0),"",H369/(F369*G369))</x:f>
      </x:c>
      <x:c r="M369" t="str">
        <x:f>IF(J369="","",J369/_xlfn.MAXIFS($J:$J,$D:$D,D369))</x:f>
      </x:c>
      <x:c r="N369" t="str">
        <x:f>IF(L369="","",L369/_xlfn.MAXIFS($L:$L,$D:$D,D369))</x:f>
      </x:c>
      <x:c r="O369" t="str">
        <x:f>IF(OR(M369="",N369=""),"",SQRT(M369*N369))</x:f>
      </x:c>
      <x:c r="P369" t="str">
        <x:f>IF(OR(M369="",N369=""),"",M369^0.7*N369^0.3)</x:f>
      </x:c>
      <x:c r="Q369" t="str">
        <x:f>IF(OR(M369="",N369=""),"",M369^0.3*N369^0.7)</x:f>
      </x:c>
    </x:row>
    <x:row r="370">
      <x:c r="A370" t="inlineStr">
        <x:is>
          <x:t xml:space="preserve">openai|gpt-5.6-sol|max|reasoning|fallback-na</x:t>
        </x:is>
      </x:c>
      <x:c r="B370" t="inlineStr">
        <x:is>
          <x:t xml:space="preserve">AA|v4.3.2</x:t>
        </x:is>
      </x:c>
      <x:c r="C370" t="n">
        <x:v>48</x:v>
      </x:c>
      <x:c r="D370" t="n">
        <x:v>20</x:v>
      </x:c>
      <x:c r="E370" t="n">
        <x:f>INDEX(Model_TestVersion_Stats!$W:$W,C370)</x:f>
        <x:v>47</x:v>
      </x:c>
      <x:c r="F370" t="n">
        <x:f>INDEX(Model_TestVersion_Stats!$O:$O,C370)</x:f>
        <x:v>1.99</x:v>
      </x:c>
      <x:c r="G370" t="str">
        <x:f>IF(INDEX(Model_TestVersion_Stats!$R:$R,C370)="","",INDEX(Model_TestVersion_Stats!$R:$R,C370)/60)</x:f>
      </x:c>
      <x:c r="H370" t="n">
        <x:f>IF(E370="","",E370-(D370-1))</x:f>
        <x:v>28</x:v>
      </x:c>
      <x:c r="I370" t="n">
        <x:f>IF(H370&gt;0,1,0)</x:f>
        <x:v>1</x:v>
      </x:c>
      <x:c r="J370" t="n">
        <x:f>IF(OR(I370=0,F370="",F370=0),"",H370/F370)</x:f>
        <x:v>14.07035175879397</x:v>
      </x:c>
      <x:c r="K370" t="n">
        <x:f>IF(OR(I370=0,H370=0,F370=""),"",F370/H370)</x:f>
        <x:v>0.07107142857142858</x:v>
      </x:c>
      <x:c r="L370" t="str">
        <x:f>IF(OR(I370=0,F370="",G370="",F370=0,G370=0),"",H370/(F370*G370))</x:f>
      </x:c>
      <x:c r="M370" t="n">
        <x:f>IF(J370="","",J370/_xlfn.MAXIFS($J:$J,$D:$D,D370))</x:f>
        <x:v>0.025326633165829147</x:v>
      </x:c>
      <x:c r="N370" t="str">
        <x:f>IF(L370="","",L370/_xlfn.MAXIFS($L:$L,$D:$D,D370))</x:f>
      </x:c>
      <x:c r="O370" t="str">
        <x:f>IF(OR(M370="",N370=""),"",SQRT(M370*N370))</x:f>
      </x:c>
      <x:c r="P370" t="str">
        <x:f>IF(OR(M370="",N370=""),"",M370^0.7*N370^0.3)</x:f>
      </x:c>
      <x:c r="Q370" t="str">
        <x:f>IF(OR(M370="",N370=""),"",M370^0.3*N370^0.7)</x:f>
      </x:c>
    </x:row>
    <x:row r="371">
      <x:c r="A371" t="inlineStr">
        <x:is>
          <x:t xml:space="preserve">openai|gpt-5.6-sol|max|reasoning|fallback-na</x:t>
        </x:is>
      </x:c>
      <x:c r="B371" t="inlineStr">
        <x:is>
          <x:t xml:space="preserve">AA|v4.3.2</x:t>
        </x:is>
      </x:c>
      <x:c r="C371" t="n">
        <x:v>48</x:v>
      </x:c>
      <x:c r="D371" t="n">
        <x:v>30</x:v>
      </x:c>
      <x:c r="E371" t="n">
        <x:f>INDEX(Model_TestVersion_Stats!$W:$W,C371)</x:f>
        <x:v>47</x:v>
      </x:c>
      <x:c r="F371" t="n">
        <x:f>INDEX(Model_TestVersion_Stats!$O:$O,C371)</x:f>
        <x:v>1.99</x:v>
      </x:c>
      <x:c r="G371" t="str">
        <x:f>IF(INDEX(Model_TestVersion_Stats!$R:$R,C371)="","",INDEX(Model_TestVersion_Stats!$R:$R,C371)/60)</x:f>
      </x:c>
      <x:c r="H371" t="n">
        <x:f>IF(E371="","",E371-(D371-1))</x:f>
        <x:v>18</x:v>
      </x:c>
      <x:c r="I371" t="n">
        <x:f>IF(H371&gt;0,1,0)</x:f>
        <x:v>1</x:v>
      </x:c>
      <x:c r="J371" t="n">
        <x:f>IF(OR(I371=0,F371="",F371=0),"",H371/F371)</x:f>
        <x:v>9.045226130653266</x:v>
      </x:c>
      <x:c r="K371" t="n">
        <x:f>IF(OR(I371=0,H371=0,F371=""),"",F371/H371)</x:f>
        <x:v>0.11055555555555556</x:v>
      </x:c>
      <x:c r="L371" t="str">
        <x:f>IF(OR(I371=0,F371="",G371="",F371=0,G371=0),"",H371/(F371*G371))</x:f>
      </x:c>
      <x:c r="M371" t="n">
        <x:f>IF(J371="","",J371/_xlfn.MAXIFS($J:$J,$D:$D,D371))</x:f>
        <x:v>0.06030150753768844</x:v>
      </x:c>
      <x:c r="N371" t="str">
        <x:f>IF(L371="","",L371/_xlfn.MAXIFS($L:$L,$D:$D,D371))</x:f>
      </x:c>
      <x:c r="O371" t="str">
        <x:f>IF(OR(M371="",N371=""),"",SQRT(M371*N371))</x:f>
      </x:c>
      <x:c r="P371" t="str">
        <x:f>IF(OR(M371="",N371=""),"",M371^0.7*N371^0.3)</x:f>
      </x:c>
      <x:c r="Q371" t="str">
        <x:f>IF(OR(M371="",N371=""),"",M371^0.3*N371^0.7)</x:f>
      </x:c>
    </x:row>
    <x:row r="372">
      <x:c r="A372" t="inlineStr">
        <x:is>
          <x:t xml:space="preserve">openai|gpt-5.6-sol|max|reasoning|fallback-na</x:t>
        </x:is>
      </x:c>
      <x:c r="B372" t="inlineStr">
        <x:is>
          <x:t xml:space="preserve">AA|v4.3.2</x:t>
        </x:is>
      </x:c>
      <x:c r="C372" t="n">
        <x:v>48</x:v>
      </x:c>
      <x:c r="D372" t="n">
        <x:v>40</x:v>
      </x:c>
      <x:c r="E372" t="n">
        <x:f>INDEX(Model_TestVersion_Stats!$W:$W,C372)</x:f>
        <x:v>47</x:v>
      </x:c>
      <x:c r="F372" t="n">
        <x:f>INDEX(Model_TestVersion_Stats!$O:$O,C372)</x:f>
        <x:v>1.99</x:v>
      </x:c>
      <x:c r="G372" t="str">
        <x:f>IF(INDEX(Model_TestVersion_Stats!$R:$R,C372)="","",INDEX(Model_TestVersion_Stats!$R:$R,C372)/60)</x:f>
      </x:c>
      <x:c r="H372" t="n">
        <x:f>IF(E372="","",E372-(D372-1))</x:f>
        <x:v>8</x:v>
      </x:c>
      <x:c r="I372" t="n">
        <x:f>IF(H372&gt;0,1,0)</x:f>
        <x:v>1</x:v>
      </x:c>
      <x:c r="J372" t="n">
        <x:f>IF(OR(I372=0,F372="",F372=0),"",H372/F372)</x:f>
        <x:v>4.0201005025125625</x:v>
      </x:c>
      <x:c r="K372" t="n">
        <x:f>IF(OR(I372=0,H372=0,F372=""),"",F372/H372)</x:f>
        <x:v>0.24875</x:v>
      </x:c>
      <x:c r="L372" t="str">
        <x:f>IF(OR(I372=0,F372="",G372="",F372=0,G372=0),"",H372/(F372*G372))</x:f>
      </x:c>
      <x:c r="M372" t="n">
        <x:f>IF(J372="","",J372/_xlfn.MAXIFS($J:$J,$D:$D,D372))</x:f>
        <x:v>0.07465900933237615</x:v>
      </x:c>
      <x:c r="N372" t="str">
        <x:f>IF(L372="","",L372/_xlfn.MAXIFS($L:$L,$D:$D,D372))</x:f>
      </x:c>
      <x:c r="O372" t="str">
        <x:f>IF(OR(M372="",N372=""),"",SQRT(M372*N372))</x:f>
      </x:c>
      <x:c r="P372" t="str">
        <x:f>IF(OR(M372="",N372=""),"",M372^0.7*N372^0.3)</x:f>
      </x:c>
      <x:c r="Q372" t="str">
        <x:f>IF(OR(M372="",N372=""),"",M372^0.3*N372^0.7)</x:f>
      </x:c>
    </x:row>
    <x:row r="373">
      <x:c r="A373" t="inlineStr">
        <x:is>
          <x:t xml:space="preserve">openai|gpt-5.6-sol|max|reasoning|fallback-na</x:t>
        </x:is>
      </x:c>
      <x:c r="B373" t="inlineStr">
        <x:is>
          <x:t xml:space="preserve">AA|v4.3.2</x:t>
        </x:is>
      </x:c>
      <x:c r="C373" t="n">
        <x:v>48</x:v>
      </x:c>
      <x:c r="D373" t="n">
        <x:v>45</x:v>
      </x:c>
      <x:c r="E373" t="n">
        <x:f>INDEX(Model_TestVersion_Stats!$W:$W,C373)</x:f>
        <x:v>47</x:v>
      </x:c>
      <x:c r="F373" t="n">
        <x:f>INDEX(Model_TestVersion_Stats!$O:$O,C373)</x:f>
        <x:v>1.99</x:v>
      </x:c>
      <x:c r="G373" t="str">
        <x:f>IF(INDEX(Model_TestVersion_Stats!$R:$R,C373)="","",INDEX(Model_TestVersion_Stats!$R:$R,C373)/60)</x:f>
      </x:c>
      <x:c r="H373" t="n">
        <x:f>IF(E373="","",E373-(D373-1))</x:f>
        <x:v>3</x:v>
      </x:c>
      <x:c r="I373" t="n">
        <x:f>IF(H373&gt;0,1,0)</x:f>
        <x:v>1</x:v>
      </x:c>
      <x:c r="J373" t="n">
        <x:f>IF(OR(I373=0,F373="",F373=0),"",H373/F373)</x:f>
        <x:v>1.5075376884422111</x:v>
      </x:c>
      <x:c r="K373" t="n">
        <x:f>IF(OR(I373=0,H373=0,F373=""),"",F373/H373)</x:f>
        <x:v>0.6633333333333333</x:v>
      </x:c>
      <x:c r="L373" t="str">
        <x:f>IF(OR(I373=0,F373="",G373="",F373=0,G373=0),"",H373/(F373*G373))</x:f>
      </x:c>
      <x:c r="M373" t="n">
        <x:f>IF(J373="","",J373/_xlfn.MAXIFS($J:$J,$D:$D,D373))</x:f>
        <x:v>0.07914572864321609</x:v>
      </x:c>
      <x:c r="N373" t="str">
        <x:f>IF(L373="","",L373/_xlfn.MAXIFS($L:$L,$D:$D,D373))</x:f>
      </x:c>
      <x:c r="O373" t="str">
        <x:f>IF(OR(M373="",N373=""),"",SQRT(M373*N373))</x:f>
      </x:c>
      <x:c r="P373" t="str">
        <x:f>IF(OR(M373="",N373=""),"",M373^0.7*N373^0.3)</x:f>
      </x:c>
      <x:c r="Q373" t="str">
        <x:f>IF(OR(M373="",N373=""),"",M373^0.3*N373^0.7)</x:f>
      </x:c>
    </x:row>
    <x:row r="374">
      <x:c r="A374" t="inlineStr">
        <x:is>
          <x:t xml:space="preserve">openai|gpt-5.6-sol|max|reasoning|fallback-na</x:t>
        </x:is>
      </x:c>
      <x:c r="B374" t="inlineStr">
        <x:is>
          <x:t xml:space="preserve">AA|v4.3.2</x:t>
        </x:is>
      </x:c>
      <x:c r="C374" t="n">
        <x:v>48</x:v>
      </x:c>
      <x:c r="D374" t="n">
        <x:v>50</x:v>
      </x:c>
      <x:c r="E374" t="n">
        <x:f>INDEX(Model_TestVersion_Stats!$W:$W,C374)</x:f>
        <x:v>47</x:v>
      </x:c>
      <x:c r="F374" t="n">
        <x:f>INDEX(Model_TestVersion_Stats!$O:$O,C374)</x:f>
        <x:v>1.99</x:v>
      </x:c>
      <x:c r="G374" t="str">
        <x:f>IF(INDEX(Model_TestVersion_Stats!$R:$R,C374)="","",INDEX(Model_TestVersion_Stats!$R:$R,C374)/60)</x:f>
      </x:c>
      <x:c r="H374" t="n">
        <x:f>IF(E374="","",E374-(D374-1))</x:f>
        <x:v>-2</x:v>
      </x:c>
      <x:c r="I374" t="n">
        <x:f>IF(H374&gt;0,1,0)</x:f>
        <x:v>0</x:v>
      </x:c>
      <x:c r="J374" t="str">
        <x:f>IF(OR(I374=0,F374="",F374=0),"",H374/F374)</x:f>
      </x:c>
      <x:c r="K374" t="str">
        <x:f>IF(OR(I374=0,H374=0,F374=""),"",F374/H374)</x:f>
      </x:c>
      <x:c r="L374" t="str">
        <x:f>IF(OR(I374=0,F374="",G374="",F374=0,G374=0),"",H374/(F374*G374))</x:f>
      </x:c>
      <x:c r="M374" t="str">
        <x:f>IF(J374="","",J374/_xlfn.MAXIFS($J:$J,$D:$D,D374))</x:f>
      </x:c>
      <x:c r="N374" t="str">
        <x:f>IF(L374="","",L374/_xlfn.MAXIFS($L:$L,$D:$D,D374))</x:f>
      </x:c>
      <x:c r="O374" t="str">
        <x:f>IF(OR(M374="",N374=""),"",SQRT(M374*N374))</x:f>
      </x:c>
      <x:c r="P374" t="str">
        <x:f>IF(OR(M374="",N374=""),"",M374^0.7*N374^0.3)</x:f>
      </x:c>
      <x:c r="Q374" t="str">
        <x:f>IF(OR(M374="",N374=""),"",M374^0.3*N374^0.7)</x:f>
      </x:c>
    </x:row>
    <x:row r="375">
      <x:c r="A375" t="inlineStr">
        <x:is>
          <x:t xml:space="preserve">openai|gpt-5.6-sol|max|reasoning|fallback-na</x:t>
        </x:is>
      </x:c>
      <x:c r="B375" t="inlineStr">
        <x:is>
          <x:t xml:space="preserve">AA|v4.3.2</x:t>
        </x:is>
      </x:c>
      <x:c r="C375" t="n">
        <x:v>48</x:v>
      </x:c>
      <x:c r="D375" t="n">
        <x:v>52</x:v>
      </x:c>
      <x:c r="E375" t="n">
        <x:f>INDEX(Model_TestVersion_Stats!$W:$W,C375)</x:f>
        <x:v>47</x:v>
      </x:c>
      <x:c r="F375" t="n">
        <x:f>INDEX(Model_TestVersion_Stats!$O:$O,C375)</x:f>
        <x:v>1.99</x:v>
      </x:c>
      <x:c r="G375" t="str">
        <x:f>IF(INDEX(Model_TestVersion_Stats!$R:$R,C375)="","",INDEX(Model_TestVersion_Stats!$R:$R,C375)/60)</x:f>
      </x:c>
      <x:c r="H375" t="n">
        <x:f>IF(E375="","",E375-(D375-1))</x:f>
        <x:v>-4</x:v>
      </x:c>
      <x:c r="I375" t="n">
        <x:f>IF(H375&gt;0,1,0)</x:f>
        <x:v>0</x:v>
      </x:c>
      <x:c r="J375" t="str">
        <x:f>IF(OR(I375=0,F375="",F375=0),"",H375/F375)</x:f>
      </x:c>
      <x:c r="K375" t="str">
        <x:f>IF(OR(I375=0,H375=0,F375=""),"",F375/H375)</x:f>
      </x:c>
      <x:c r="L375" t="str">
        <x:f>IF(OR(I375=0,F375="",G375="",F375=0,G375=0),"",H375/(F375*G375))</x:f>
      </x:c>
      <x:c r="M375" t="str">
        <x:f>IF(J375="","",J375/_xlfn.MAXIFS($J:$J,$D:$D,D375))</x:f>
      </x:c>
      <x:c r="N375" t="str">
        <x:f>IF(L375="","",L375/_xlfn.MAXIFS($L:$L,$D:$D,D375))</x:f>
      </x:c>
      <x:c r="O375" t="str">
        <x:f>IF(OR(M375="",N375=""),"",SQRT(M375*N375))</x:f>
      </x:c>
      <x:c r="P375" t="str">
        <x:f>IF(OR(M375="",N375=""),"",M375^0.7*N375^0.3)</x:f>
      </x:c>
      <x:c r="Q375" t="str">
        <x:f>IF(OR(M375="",N375=""),"",M375^0.3*N375^0.7)</x:f>
      </x:c>
    </x:row>
    <x:row r="376">
      <x:c r="A376" t="inlineStr">
        <x:is>
          <x:t xml:space="preserve">openai|gpt-5.6-sol|max|reasoning|fallback-na</x:t>
        </x:is>
      </x:c>
      <x:c r="B376" t="inlineStr">
        <x:is>
          <x:t xml:space="preserve">AA|v4.3.2</x:t>
        </x:is>
      </x:c>
      <x:c r="C376" t="n">
        <x:v>48</x:v>
      </x:c>
      <x:c r="D376" t="n">
        <x:v>65</x:v>
      </x:c>
      <x:c r="E376" t="n">
        <x:f>INDEX(Model_TestVersion_Stats!$W:$W,C376)</x:f>
        <x:v>47</x:v>
      </x:c>
      <x:c r="F376" t="n">
        <x:f>INDEX(Model_TestVersion_Stats!$O:$O,C376)</x:f>
        <x:v>1.99</x:v>
      </x:c>
      <x:c r="G376" t="str">
        <x:f>IF(INDEX(Model_TestVersion_Stats!$R:$R,C376)="","",INDEX(Model_TestVersion_Stats!$R:$R,C376)/60)</x:f>
      </x:c>
      <x:c r="H376" t="n">
        <x:f>IF(E376="","",E376-(D376-1))</x:f>
        <x:v>-17</x:v>
      </x:c>
      <x:c r="I376" t="n">
        <x:f>IF(H376&gt;0,1,0)</x:f>
        <x:v>0</x:v>
      </x:c>
      <x:c r="J376" t="str">
        <x:f>IF(OR(I376=0,F376="",F376=0),"",H376/F376)</x:f>
      </x:c>
      <x:c r="K376" t="str">
        <x:f>IF(OR(I376=0,H376=0,F376=""),"",F376/H376)</x:f>
      </x:c>
      <x:c r="L376" t="str">
        <x:f>IF(OR(I376=0,F376="",G376="",F376=0,G376=0),"",H376/(F376*G376))</x:f>
      </x:c>
      <x:c r="M376" t="str">
        <x:f>IF(J376="","",J376/_xlfn.MAXIFS($J:$J,$D:$D,D376))</x:f>
      </x:c>
      <x:c r="N376" t="str">
        <x:f>IF(L376="","",L376/_xlfn.MAXIFS($L:$L,$D:$D,D376))</x:f>
      </x:c>
      <x:c r="O376" t="str">
        <x:f>IF(OR(M376="",N376=""),"",SQRT(M376*N376))</x:f>
      </x:c>
      <x:c r="P376" t="str">
        <x:f>IF(OR(M376="",N376=""),"",M376^0.7*N376^0.3)</x:f>
      </x:c>
      <x:c r="Q376" t="str">
        <x:f>IF(OR(M376="",N376=""),"",M376^0.3*N376^0.7)</x:f>
      </x:c>
    </x:row>
    <x:row r="377">
      <x:c r="A377" t="inlineStr">
        <x:is>
          <x:t xml:space="preserve">openai|gpt-5.6-sol|max|reasoning|fallback-na</x:t>
        </x:is>
      </x:c>
      <x:c r="B377" t="inlineStr">
        <x:is>
          <x:t xml:space="preserve">AA|v4.3.2</x:t>
        </x:is>
      </x:c>
      <x:c r="C377" t="n">
        <x:v>48</x:v>
      </x:c>
      <x:c r="D377" t="n">
        <x:v>80</x:v>
      </x:c>
      <x:c r="E377" t="n">
        <x:f>INDEX(Model_TestVersion_Stats!$W:$W,C377)</x:f>
        <x:v>47</x:v>
      </x:c>
      <x:c r="F377" t="n">
        <x:f>INDEX(Model_TestVersion_Stats!$O:$O,C377)</x:f>
        <x:v>1.99</x:v>
      </x:c>
      <x:c r="G377" t="str">
        <x:f>IF(INDEX(Model_TestVersion_Stats!$R:$R,C377)="","",INDEX(Model_TestVersion_Stats!$R:$R,C377)/60)</x:f>
      </x:c>
      <x:c r="H377" t="n">
        <x:f>IF(E377="","",E377-(D377-1))</x:f>
        <x:v>-32</x:v>
      </x:c>
      <x:c r="I377" t="n">
        <x:f>IF(H377&gt;0,1,0)</x:f>
        <x:v>0</x:v>
      </x:c>
      <x:c r="J377" t="str">
        <x:f>IF(OR(I377=0,F377="",F377=0),"",H377/F377)</x:f>
      </x:c>
      <x:c r="K377" t="str">
        <x:f>IF(OR(I377=0,H377=0,F377=""),"",F377/H377)</x:f>
      </x:c>
      <x:c r="L377" t="str">
        <x:f>IF(OR(I377=0,F377="",G377="",F377=0,G377=0),"",H377/(F377*G377))</x:f>
      </x:c>
      <x:c r="M377" t="str">
        <x:f>IF(J377="","",J377/_xlfn.MAXIFS($J:$J,$D:$D,D377))</x:f>
      </x:c>
      <x:c r="N377" t="str">
        <x:f>IF(L377="","",L377/_xlfn.MAXIFS($L:$L,$D:$D,D377))</x:f>
      </x:c>
      <x:c r="O377" t="str">
        <x:f>IF(OR(M377="",N377=""),"",SQRT(M377*N377))</x:f>
      </x:c>
      <x:c r="P377" t="str">
        <x:f>IF(OR(M377="",N377=""),"",M377^0.7*N377^0.3)</x:f>
      </x:c>
      <x:c r="Q377" t="str">
        <x:f>IF(OR(M377="",N377=""),"",M377^0.3*N377^0.7)</x:f>
      </x:c>
    </x:row>
    <x:row r="378">
      <x:c r="A378" t="inlineStr">
        <x:is>
          <x:t xml:space="preserve">openai|gpt-5.6-sol|medium|reasoning|fallback-na</x:t>
        </x:is>
      </x:c>
      <x:c r="B378" t="inlineStr">
        <x:is>
          <x:t xml:space="preserve">AA|v4.3.2</x:t>
        </x:is>
      </x:c>
      <x:c r="C378" t="n">
        <x:v>49</x:v>
      </x:c>
      <x:c r="D378" t="n">
        <x:v>20</x:v>
      </x:c>
      <x:c r="E378" t="n">
        <x:f>INDEX(Model_TestVersion_Stats!$W:$W,C378)</x:f>
        <x:v>39</x:v>
      </x:c>
      <x:c r="F378" t="n">
        <x:f>INDEX(Model_TestVersion_Stats!$O:$O,C378)</x:f>
        <x:v>0.5</x:v>
      </x:c>
      <x:c r="G378" t="str">
        <x:f>IF(INDEX(Model_TestVersion_Stats!$R:$R,C378)="","",INDEX(Model_TestVersion_Stats!$R:$R,C378)/60)</x:f>
      </x:c>
      <x:c r="H378" t="n">
        <x:f>IF(E378="","",E378-(D378-1))</x:f>
        <x:v>20</x:v>
      </x:c>
      <x:c r="I378" t="n">
        <x:f>IF(H378&gt;0,1,0)</x:f>
        <x:v>1</x:v>
      </x:c>
      <x:c r="J378" t="n">
        <x:f>IF(OR(I378=0,F378="",F378=0),"",H378/F378)</x:f>
        <x:v>40</x:v>
      </x:c>
      <x:c r="K378" t="n">
        <x:f>IF(OR(I378=0,H378=0,F378=""),"",F378/H378)</x:f>
        <x:v>0.025</x:v>
      </x:c>
      <x:c r="L378" t="str">
        <x:f>IF(OR(I378=0,F378="",G378="",F378=0,G378=0),"",H378/(F378*G378))</x:f>
      </x:c>
      <x:c r="M378" t="n">
        <x:f>IF(J378="","",J378/_xlfn.MAXIFS($J:$J,$D:$D,D378))</x:f>
        <x:v>0.07200000000000001</x:v>
      </x:c>
      <x:c r="N378" t="str">
        <x:f>IF(L378="","",L378/_xlfn.MAXIFS($L:$L,$D:$D,D378))</x:f>
      </x:c>
      <x:c r="O378" t="str">
        <x:f>IF(OR(M378="",N378=""),"",SQRT(M378*N378))</x:f>
      </x:c>
      <x:c r="P378" t="str">
        <x:f>IF(OR(M378="",N378=""),"",M378^0.7*N378^0.3)</x:f>
      </x:c>
      <x:c r="Q378" t="str">
        <x:f>IF(OR(M378="",N378=""),"",M378^0.3*N378^0.7)</x:f>
      </x:c>
    </x:row>
    <x:row r="379">
      <x:c r="A379" t="inlineStr">
        <x:is>
          <x:t xml:space="preserve">openai|gpt-5.6-sol|medium|reasoning|fallback-na</x:t>
        </x:is>
      </x:c>
      <x:c r="B379" t="inlineStr">
        <x:is>
          <x:t xml:space="preserve">AA|v4.3.2</x:t>
        </x:is>
      </x:c>
      <x:c r="C379" t="n">
        <x:v>49</x:v>
      </x:c>
      <x:c r="D379" t="n">
        <x:v>30</x:v>
      </x:c>
      <x:c r="E379" t="n">
        <x:f>INDEX(Model_TestVersion_Stats!$W:$W,C379)</x:f>
        <x:v>39</x:v>
      </x:c>
      <x:c r="F379" t="n">
        <x:f>INDEX(Model_TestVersion_Stats!$O:$O,C379)</x:f>
        <x:v>0.5</x:v>
      </x:c>
      <x:c r="G379" t="str">
        <x:f>IF(INDEX(Model_TestVersion_Stats!$R:$R,C379)="","",INDEX(Model_TestVersion_Stats!$R:$R,C379)/60)</x:f>
      </x:c>
      <x:c r="H379" t="n">
        <x:f>IF(E379="","",E379-(D379-1))</x:f>
        <x:v>10</x:v>
      </x:c>
      <x:c r="I379" t="n">
        <x:f>IF(H379&gt;0,1,0)</x:f>
        <x:v>1</x:v>
      </x:c>
      <x:c r="J379" t="n">
        <x:f>IF(OR(I379=0,F379="",F379=0),"",H379/F379)</x:f>
        <x:v>20</x:v>
      </x:c>
      <x:c r="K379" t="n">
        <x:f>IF(OR(I379=0,H379=0,F379=""),"",F379/H379)</x:f>
        <x:v>0.05</x:v>
      </x:c>
      <x:c r="L379" t="str">
        <x:f>IF(OR(I379=0,F379="",G379="",F379=0,G379=0),"",H379/(F379*G379))</x:f>
      </x:c>
      <x:c r="M379" t="n">
        <x:f>IF(J379="","",J379/_xlfn.MAXIFS($J:$J,$D:$D,D379))</x:f>
        <x:v>0.13333333333333333</x:v>
      </x:c>
      <x:c r="N379" t="str">
        <x:f>IF(L379="","",L379/_xlfn.MAXIFS($L:$L,$D:$D,D379))</x:f>
      </x:c>
      <x:c r="O379" t="str">
        <x:f>IF(OR(M379="",N379=""),"",SQRT(M379*N379))</x:f>
      </x:c>
      <x:c r="P379" t="str">
        <x:f>IF(OR(M379="",N379=""),"",M379^0.7*N379^0.3)</x:f>
      </x:c>
      <x:c r="Q379" t="str">
        <x:f>IF(OR(M379="",N379=""),"",M379^0.3*N379^0.7)</x:f>
      </x:c>
    </x:row>
    <x:row r="380">
      <x:c r="A380" t="inlineStr">
        <x:is>
          <x:t xml:space="preserve">openai|gpt-5.6-sol|medium|reasoning|fallback-na</x:t>
        </x:is>
      </x:c>
      <x:c r="B380" t="inlineStr">
        <x:is>
          <x:t xml:space="preserve">AA|v4.3.2</x:t>
        </x:is>
      </x:c>
      <x:c r="C380" t="n">
        <x:v>49</x:v>
      </x:c>
      <x:c r="D380" t="n">
        <x:v>40</x:v>
      </x:c>
      <x:c r="E380" t="n">
        <x:f>INDEX(Model_TestVersion_Stats!$W:$W,C380)</x:f>
        <x:v>39</x:v>
      </x:c>
      <x:c r="F380" t="n">
        <x:f>INDEX(Model_TestVersion_Stats!$O:$O,C380)</x:f>
        <x:v>0.5</x:v>
      </x:c>
      <x:c r="G380" t="str">
        <x:f>IF(INDEX(Model_TestVersion_Stats!$R:$R,C380)="","",INDEX(Model_TestVersion_Stats!$R:$R,C380)/60)</x:f>
      </x:c>
      <x:c r="H380" t="n">
        <x:f>IF(E380="","",E380-(D380-1))</x:f>
        <x:v>0</x:v>
      </x:c>
      <x:c r="I380" t="n">
        <x:f>IF(H380&gt;0,1,0)</x:f>
        <x:v>0</x:v>
      </x:c>
      <x:c r="J380" t="str">
        <x:f>IF(OR(I380=0,F380="",F380=0),"",H380/F380)</x:f>
      </x:c>
      <x:c r="K380" t="str">
        <x:f>IF(OR(I380=0,H380=0,F380=""),"",F380/H380)</x:f>
      </x:c>
      <x:c r="L380" t="str">
        <x:f>IF(OR(I380=0,F380="",G380="",F380=0,G380=0),"",H380/(F380*G380))</x:f>
      </x:c>
      <x:c r="M380" t="str">
        <x:f>IF(J380="","",J380/_xlfn.MAXIFS($J:$J,$D:$D,D380))</x:f>
      </x:c>
      <x:c r="N380" t="str">
        <x:f>IF(L380="","",L380/_xlfn.MAXIFS($L:$L,$D:$D,D380))</x:f>
      </x:c>
      <x:c r="O380" t="str">
        <x:f>IF(OR(M380="",N380=""),"",SQRT(M380*N380))</x:f>
      </x:c>
      <x:c r="P380" t="str">
        <x:f>IF(OR(M380="",N380=""),"",M380^0.7*N380^0.3)</x:f>
      </x:c>
      <x:c r="Q380" t="str">
        <x:f>IF(OR(M380="",N380=""),"",M380^0.3*N380^0.7)</x:f>
      </x:c>
    </x:row>
    <x:row r="381">
      <x:c r="A381" t="inlineStr">
        <x:is>
          <x:t xml:space="preserve">openai|gpt-5.6-sol|medium|reasoning|fallback-na</x:t>
        </x:is>
      </x:c>
      <x:c r="B381" t="inlineStr">
        <x:is>
          <x:t xml:space="preserve">AA|v4.3.2</x:t>
        </x:is>
      </x:c>
      <x:c r="C381" t="n">
        <x:v>49</x:v>
      </x:c>
      <x:c r="D381" t="n">
        <x:v>45</x:v>
      </x:c>
      <x:c r="E381" t="n">
        <x:f>INDEX(Model_TestVersion_Stats!$W:$W,C381)</x:f>
        <x:v>39</x:v>
      </x:c>
      <x:c r="F381" t="n">
        <x:f>INDEX(Model_TestVersion_Stats!$O:$O,C381)</x:f>
        <x:v>0.5</x:v>
      </x:c>
      <x:c r="G381" t="str">
        <x:f>IF(INDEX(Model_TestVersion_Stats!$R:$R,C381)="","",INDEX(Model_TestVersion_Stats!$R:$R,C381)/60)</x:f>
      </x:c>
      <x:c r="H381" t="n">
        <x:f>IF(E381="","",E381-(D381-1))</x:f>
        <x:v>-5</x:v>
      </x:c>
      <x:c r="I381" t="n">
        <x:f>IF(H381&gt;0,1,0)</x:f>
        <x:v>0</x:v>
      </x:c>
      <x:c r="J381" t="str">
        <x:f>IF(OR(I381=0,F381="",F381=0),"",H381/F381)</x:f>
      </x:c>
      <x:c r="K381" t="str">
        <x:f>IF(OR(I381=0,H381=0,F381=""),"",F381/H381)</x:f>
      </x:c>
      <x:c r="L381" t="str">
        <x:f>IF(OR(I381=0,F381="",G381="",F381=0,G381=0),"",H381/(F381*G381))</x:f>
      </x:c>
      <x:c r="M381" t="str">
        <x:f>IF(J381="","",J381/_xlfn.MAXIFS($J:$J,$D:$D,D381))</x:f>
      </x:c>
      <x:c r="N381" t="str">
        <x:f>IF(L381="","",L381/_xlfn.MAXIFS($L:$L,$D:$D,D381))</x:f>
      </x:c>
      <x:c r="O381" t="str">
        <x:f>IF(OR(M381="",N381=""),"",SQRT(M381*N381))</x:f>
      </x:c>
      <x:c r="P381" t="str">
        <x:f>IF(OR(M381="",N381=""),"",M381^0.7*N381^0.3)</x:f>
      </x:c>
      <x:c r="Q381" t="str">
        <x:f>IF(OR(M381="",N381=""),"",M381^0.3*N381^0.7)</x:f>
      </x:c>
    </x:row>
    <x:row r="382">
      <x:c r="A382" t="inlineStr">
        <x:is>
          <x:t xml:space="preserve">openai|gpt-5.6-sol|medium|reasoning|fallback-na</x:t>
        </x:is>
      </x:c>
      <x:c r="B382" t="inlineStr">
        <x:is>
          <x:t xml:space="preserve">AA|v4.3.2</x:t>
        </x:is>
      </x:c>
      <x:c r="C382" t="n">
        <x:v>49</x:v>
      </x:c>
      <x:c r="D382" t="n">
        <x:v>50</x:v>
      </x:c>
      <x:c r="E382" t="n">
        <x:f>INDEX(Model_TestVersion_Stats!$W:$W,C382)</x:f>
        <x:v>39</x:v>
      </x:c>
      <x:c r="F382" t="n">
        <x:f>INDEX(Model_TestVersion_Stats!$O:$O,C382)</x:f>
        <x:v>0.5</x:v>
      </x:c>
      <x:c r="G382" t="str">
        <x:f>IF(INDEX(Model_TestVersion_Stats!$R:$R,C382)="","",INDEX(Model_TestVersion_Stats!$R:$R,C382)/60)</x:f>
      </x:c>
      <x:c r="H382" t="n">
        <x:f>IF(E382="","",E382-(D382-1))</x:f>
        <x:v>-10</x:v>
      </x:c>
      <x:c r="I382" t="n">
        <x:f>IF(H382&gt;0,1,0)</x:f>
        <x:v>0</x:v>
      </x:c>
      <x:c r="J382" t="str">
        <x:f>IF(OR(I382=0,F382="",F382=0),"",H382/F382)</x:f>
      </x:c>
      <x:c r="K382" t="str">
        <x:f>IF(OR(I382=0,H382=0,F382=""),"",F382/H382)</x:f>
      </x:c>
      <x:c r="L382" t="str">
        <x:f>IF(OR(I382=0,F382="",G382="",F382=0,G382=0),"",H382/(F382*G382))</x:f>
      </x:c>
      <x:c r="M382" t="str">
        <x:f>IF(J382="","",J382/_xlfn.MAXIFS($J:$J,$D:$D,D382))</x:f>
      </x:c>
      <x:c r="N382" t="str">
        <x:f>IF(L382="","",L382/_xlfn.MAXIFS($L:$L,$D:$D,D382))</x:f>
      </x:c>
      <x:c r="O382" t="str">
        <x:f>IF(OR(M382="",N382=""),"",SQRT(M382*N382))</x:f>
      </x:c>
      <x:c r="P382" t="str">
        <x:f>IF(OR(M382="",N382=""),"",M382^0.7*N382^0.3)</x:f>
      </x:c>
      <x:c r="Q382" t="str">
        <x:f>IF(OR(M382="",N382=""),"",M382^0.3*N382^0.7)</x:f>
      </x:c>
    </x:row>
    <x:row r="383">
      <x:c r="A383" t="inlineStr">
        <x:is>
          <x:t xml:space="preserve">openai|gpt-5.6-sol|medium|reasoning|fallback-na</x:t>
        </x:is>
      </x:c>
      <x:c r="B383" t="inlineStr">
        <x:is>
          <x:t xml:space="preserve">AA|v4.3.2</x:t>
        </x:is>
      </x:c>
      <x:c r="C383" t="n">
        <x:v>49</x:v>
      </x:c>
      <x:c r="D383" t="n">
        <x:v>52</x:v>
      </x:c>
      <x:c r="E383" t="n">
        <x:f>INDEX(Model_TestVersion_Stats!$W:$W,C383)</x:f>
        <x:v>39</x:v>
      </x:c>
      <x:c r="F383" t="n">
        <x:f>INDEX(Model_TestVersion_Stats!$O:$O,C383)</x:f>
        <x:v>0.5</x:v>
      </x:c>
      <x:c r="G383" t="str">
        <x:f>IF(INDEX(Model_TestVersion_Stats!$R:$R,C383)="","",INDEX(Model_TestVersion_Stats!$R:$R,C383)/60)</x:f>
      </x:c>
      <x:c r="H383" t="n">
        <x:f>IF(E383="","",E383-(D383-1))</x:f>
        <x:v>-12</x:v>
      </x:c>
      <x:c r="I383" t="n">
        <x:f>IF(H383&gt;0,1,0)</x:f>
        <x:v>0</x:v>
      </x:c>
      <x:c r="J383" t="str">
        <x:f>IF(OR(I383=0,F383="",F383=0),"",H383/F383)</x:f>
      </x:c>
      <x:c r="K383" t="str">
        <x:f>IF(OR(I383=0,H383=0,F383=""),"",F383/H383)</x:f>
      </x:c>
      <x:c r="L383" t="str">
        <x:f>IF(OR(I383=0,F383="",G383="",F383=0,G383=0),"",H383/(F383*G383))</x:f>
      </x:c>
      <x:c r="M383" t="str">
        <x:f>IF(J383="","",J383/_xlfn.MAXIFS($J:$J,$D:$D,D383))</x:f>
      </x:c>
      <x:c r="N383" t="str">
        <x:f>IF(L383="","",L383/_xlfn.MAXIFS($L:$L,$D:$D,D383))</x:f>
      </x:c>
      <x:c r="O383" t="str">
        <x:f>IF(OR(M383="",N383=""),"",SQRT(M383*N383))</x:f>
      </x:c>
      <x:c r="P383" t="str">
        <x:f>IF(OR(M383="",N383=""),"",M383^0.7*N383^0.3)</x:f>
      </x:c>
      <x:c r="Q383" t="str">
        <x:f>IF(OR(M383="",N383=""),"",M383^0.3*N383^0.7)</x:f>
      </x:c>
    </x:row>
    <x:row r="384">
      <x:c r="A384" t="inlineStr">
        <x:is>
          <x:t xml:space="preserve">openai|gpt-5.6-sol|medium|reasoning|fallback-na</x:t>
        </x:is>
      </x:c>
      <x:c r="B384" t="inlineStr">
        <x:is>
          <x:t xml:space="preserve">AA|v4.3.2</x:t>
        </x:is>
      </x:c>
      <x:c r="C384" t="n">
        <x:v>49</x:v>
      </x:c>
      <x:c r="D384" t="n">
        <x:v>65</x:v>
      </x:c>
      <x:c r="E384" t="n">
        <x:f>INDEX(Model_TestVersion_Stats!$W:$W,C384)</x:f>
        <x:v>39</x:v>
      </x:c>
      <x:c r="F384" t="n">
        <x:f>INDEX(Model_TestVersion_Stats!$O:$O,C384)</x:f>
        <x:v>0.5</x:v>
      </x:c>
      <x:c r="G384" t="str">
        <x:f>IF(INDEX(Model_TestVersion_Stats!$R:$R,C384)="","",INDEX(Model_TestVersion_Stats!$R:$R,C384)/60)</x:f>
      </x:c>
      <x:c r="H384" t="n">
        <x:f>IF(E384="","",E384-(D384-1))</x:f>
        <x:v>-25</x:v>
      </x:c>
      <x:c r="I384" t="n">
        <x:f>IF(H384&gt;0,1,0)</x:f>
        <x:v>0</x:v>
      </x:c>
      <x:c r="J384" t="str">
        <x:f>IF(OR(I384=0,F384="",F384=0),"",H384/F384)</x:f>
      </x:c>
      <x:c r="K384" t="str">
        <x:f>IF(OR(I384=0,H384=0,F384=""),"",F384/H384)</x:f>
      </x:c>
      <x:c r="L384" t="str">
        <x:f>IF(OR(I384=0,F384="",G384="",F384=0,G384=0),"",H384/(F384*G384))</x:f>
      </x:c>
      <x:c r="M384" t="str">
        <x:f>IF(J384="","",J384/_xlfn.MAXIFS($J:$J,$D:$D,D384))</x:f>
      </x:c>
      <x:c r="N384" t="str">
        <x:f>IF(L384="","",L384/_xlfn.MAXIFS($L:$L,$D:$D,D384))</x:f>
      </x:c>
      <x:c r="O384" t="str">
        <x:f>IF(OR(M384="",N384=""),"",SQRT(M384*N384))</x:f>
      </x:c>
      <x:c r="P384" t="str">
        <x:f>IF(OR(M384="",N384=""),"",M384^0.7*N384^0.3)</x:f>
      </x:c>
      <x:c r="Q384" t="str">
        <x:f>IF(OR(M384="",N384=""),"",M384^0.3*N384^0.7)</x:f>
      </x:c>
    </x:row>
    <x:row r="385">
      <x:c r="A385" t="inlineStr">
        <x:is>
          <x:t xml:space="preserve">openai|gpt-5.6-sol|medium|reasoning|fallback-na</x:t>
        </x:is>
      </x:c>
      <x:c r="B385" t="inlineStr">
        <x:is>
          <x:t xml:space="preserve">AA|v4.3.2</x:t>
        </x:is>
      </x:c>
      <x:c r="C385" t="n">
        <x:v>49</x:v>
      </x:c>
      <x:c r="D385" t="n">
        <x:v>80</x:v>
      </x:c>
      <x:c r="E385" t="n">
        <x:f>INDEX(Model_TestVersion_Stats!$W:$W,C385)</x:f>
        <x:v>39</x:v>
      </x:c>
      <x:c r="F385" t="n">
        <x:f>INDEX(Model_TestVersion_Stats!$O:$O,C385)</x:f>
        <x:v>0.5</x:v>
      </x:c>
      <x:c r="G385" t="str">
        <x:f>IF(INDEX(Model_TestVersion_Stats!$R:$R,C385)="","",INDEX(Model_TestVersion_Stats!$R:$R,C385)/60)</x:f>
      </x:c>
      <x:c r="H385" t="n">
        <x:f>IF(E385="","",E385-(D385-1))</x:f>
        <x:v>-40</x:v>
      </x:c>
      <x:c r="I385" t="n">
        <x:f>IF(H385&gt;0,1,0)</x:f>
        <x:v>0</x:v>
      </x:c>
      <x:c r="J385" t="str">
        <x:f>IF(OR(I385=0,F385="",F385=0),"",H385/F385)</x:f>
      </x:c>
      <x:c r="K385" t="str">
        <x:f>IF(OR(I385=0,H385=0,F385=""),"",F385/H385)</x:f>
      </x:c>
      <x:c r="L385" t="str">
        <x:f>IF(OR(I385=0,F385="",G385="",F385=0,G385=0),"",H385/(F385*G385))</x:f>
      </x:c>
      <x:c r="M385" t="str">
        <x:f>IF(J385="","",J385/_xlfn.MAXIFS($J:$J,$D:$D,D385))</x:f>
      </x:c>
      <x:c r="N385" t="str">
        <x:f>IF(L385="","",L385/_xlfn.MAXIFS($L:$L,$D:$D,D385))</x:f>
      </x:c>
      <x:c r="O385" t="str">
        <x:f>IF(OR(M385="",N385=""),"",SQRT(M385*N385))</x:f>
      </x:c>
      <x:c r="P385" t="str">
        <x:f>IF(OR(M385="",N385=""),"",M385^0.7*N385^0.3)</x:f>
      </x:c>
      <x:c r="Q385" t="str">
        <x:f>IF(OR(M385="",N385=""),"",M385^0.3*N385^0.7)</x:f>
      </x:c>
    </x:row>
    <x:row r="386">
      <x:c r="A386" t="inlineStr">
        <x:is>
          <x:t xml:space="preserve">openai|gpt-5.6-sol|non-reasoning|nonreasoning|fallback-na</x:t>
        </x:is>
      </x:c>
      <x:c r="B386" t="inlineStr">
        <x:is>
          <x:t xml:space="preserve">AA|v4.3.2</x:t>
        </x:is>
      </x:c>
      <x:c r="C386" t="n">
        <x:v>50</x:v>
      </x:c>
      <x:c r="D386" t="n">
        <x:v>20</x:v>
      </x:c>
      <x:c r="E386" t="n">
        <x:f>INDEX(Model_TestVersion_Stats!$W:$W,C386)</x:f>
        <x:v>28</x:v>
      </x:c>
      <x:c r="F386" t="str">
        <x:f>INDEX(Model_TestVersion_Stats!$O:$O,C386)</x:f>
      </x:c>
      <x:c r="G386" t="str">
        <x:f>IF(INDEX(Model_TestVersion_Stats!$R:$R,C386)="","",INDEX(Model_TestVersion_Stats!$R:$R,C386)/60)</x:f>
      </x:c>
      <x:c r="H386" t="n">
        <x:f>IF(E386="","",E386-(D386-1))</x:f>
        <x:v>9</x:v>
      </x:c>
      <x:c r="I386" t="n">
        <x:f>IF(H386&gt;0,1,0)</x:f>
        <x:v>1</x:v>
      </x:c>
      <x:c r="J386" t="str">
        <x:f>IF(OR(I386=0,F386="",F386=0),"",H386/F386)</x:f>
      </x:c>
      <x:c r="K386" t="str">
        <x:f>IF(OR(I386=0,H386=0,F386=""),"",F386/H386)</x:f>
      </x:c>
      <x:c r="L386" t="str">
        <x:f>IF(OR(I386=0,F386="",G386="",F386=0,G386=0),"",H386/(F386*G386))</x:f>
      </x:c>
      <x:c r="M386" t="str">
        <x:f>IF(J386="","",J386/_xlfn.MAXIFS($J:$J,$D:$D,D386))</x:f>
      </x:c>
      <x:c r="N386" t="str">
        <x:f>IF(L386="","",L386/_xlfn.MAXIFS($L:$L,$D:$D,D386))</x:f>
      </x:c>
      <x:c r="O386" t="str">
        <x:f>IF(OR(M386="",N386=""),"",SQRT(M386*N386))</x:f>
      </x:c>
      <x:c r="P386" t="str">
        <x:f>IF(OR(M386="",N386=""),"",M386^0.7*N386^0.3)</x:f>
      </x:c>
      <x:c r="Q386" t="str">
        <x:f>IF(OR(M386="",N386=""),"",M386^0.3*N386^0.7)</x:f>
      </x:c>
    </x:row>
    <x:row r="387">
      <x:c r="A387" t="inlineStr">
        <x:is>
          <x:t xml:space="preserve">openai|gpt-5.6-sol|non-reasoning|nonreasoning|fallback-na</x:t>
        </x:is>
      </x:c>
      <x:c r="B387" t="inlineStr">
        <x:is>
          <x:t xml:space="preserve">AA|v4.3.2</x:t>
        </x:is>
      </x:c>
      <x:c r="C387" t="n">
        <x:v>50</x:v>
      </x:c>
      <x:c r="D387" t="n">
        <x:v>30</x:v>
      </x:c>
      <x:c r="E387" t="n">
        <x:f>INDEX(Model_TestVersion_Stats!$W:$W,C387)</x:f>
        <x:v>28</x:v>
      </x:c>
      <x:c r="F387" t="str">
        <x:f>INDEX(Model_TestVersion_Stats!$O:$O,C387)</x:f>
      </x:c>
      <x:c r="G387" t="str">
        <x:f>IF(INDEX(Model_TestVersion_Stats!$R:$R,C387)="","",INDEX(Model_TestVersion_Stats!$R:$R,C387)/60)</x:f>
      </x:c>
      <x:c r="H387" t="n">
        <x:f>IF(E387="","",E387-(D387-1))</x:f>
        <x:v>-1</x:v>
      </x:c>
      <x:c r="I387" t="n">
        <x:f>IF(H387&gt;0,1,0)</x:f>
        <x:v>0</x:v>
      </x:c>
      <x:c r="J387" t="str">
        <x:f>IF(OR(I387=0,F387="",F387=0),"",H387/F387)</x:f>
      </x:c>
      <x:c r="K387" t="str">
        <x:f>IF(OR(I387=0,H387=0,F387=""),"",F387/H387)</x:f>
      </x:c>
      <x:c r="L387" t="str">
        <x:f>IF(OR(I387=0,F387="",G387="",F387=0,G387=0),"",H387/(F387*G387))</x:f>
      </x:c>
      <x:c r="M387" t="str">
        <x:f>IF(J387="","",J387/_xlfn.MAXIFS($J:$J,$D:$D,D387))</x:f>
      </x:c>
      <x:c r="N387" t="str">
        <x:f>IF(L387="","",L387/_xlfn.MAXIFS($L:$L,$D:$D,D387))</x:f>
      </x:c>
      <x:c r="O387" t="str">
        <x:f>IF(OR(M387="",N387=""),"",SQRT(M387*N387))</x:f>
      </x:c>
      <x:c r="P387" t="str">
        <x:f>IF(OR(M387="",N387=""),"",M387^0.7*N387^0.3)</x:f>
      </x:c>
      <x:c r="Q387" t="str">
        <x:f>IF(OR(M387="",N387=""),"",M387^0.3*N387^0.7)</x:f>
      </x:c>
    </x:row>
    <x:row r="388">
      <x:c r="A388" t="inlineStr">
        <x:is>
          <x:t xml:space="preserve">openai|gpt-5.6-sol|non-reasoning|nonreasoning|fallback-na</x:t>
        </x:is>
      </x:c>
      <x:c r="B388" t="inlineStr">
        <x:is>
          <x:t xml:space="preserve">AA|v4.3.2</x:t>
        </x:is>
      </x:c>
      <x:c r="C388" t="n">
        <x:v>50</x:v>
      </x:c>
      <x:c r="D388" t="n">
        <x:v>40</x:v>
      </x:c>
      <x:c r="E388" t="n">
        <x:f>INDEX(Model_TestVersion_Stats!$W:$W,C388)</x:f>
        <x:v>28</x:v>
      </x:c>
      <x:c r="F388" t="str">
        <x:f>INDEX(Model_TestVersion_Stats!$O:$O,C388)</x:f>
      </x:c>
      <x:c r="G388" t="str">
        <x:f>IF(INDEX(Model_TestVersion_Stats!$R:$R,C388)="","",INDEX(Model_TestVersion_Stats!$R:$R,C388)/60)</x:f>
      </x:c>
      <x:c r="H388" t="n">
        <x:f>IF(E388="","",E388-(D388-1))</x:f>
        <x:v>-11</x:v>
      </x:c>
      <x:c r="I388" t="n">
        <x:f>IF(H388&gt;0,1,0)</x:f>
        <x:v>0</x:v>
      </x:c>
      <x:c r="J388" t="str">
        <x:f>IF(OR(I388=0,F388="",F388=0),"",H388/F388)</x:f>
      </x:c>
      <x:c r="K388" t="str">
        <x:f>IF(OR(I388=0,H388=0,F388=""),"",F388/H388)</x:f>
      </x:c>
      <x:c r="L388" t="str">
        <x:f>IF(OR(I388=0,F388="",G388="",F388=0,G388=0),"",H388/(F388*G388))</x:f>
      </x:c>
      <x:c r="M388" t="str">
        <x:f>IF(J388="","",J388/_xlfn.MAXIFS($J:$J,$D:$D,D388))</x:f>
      </x:c>
      <x:c r="N388" t="str">
        <x:f>IF(L388="","",L388/_xlfn.MAXIFS($L:$L,$D:$D,D388))</x:f>
      </x:c>
      <x:c r="O388" t="str">
        <x:f>IF(OR(M388="",N388=""),"",SQRT(M388*N388))</x:f>
      </x:c>
      <x:c r="P388" t="str">
        <x:f>IF(OR(M388="",N388=""),"",M388^0.7*N388^0.3)</x:f>
      </x:c>
      <x:c r="Q388" t="str">
        <x:f>IF(OR(M388="",N388=""),"",M388^0.3*N388^0.7)</x:f>
      </x:c>
    </x:row>
    <x:row r="389">
      <x:c r="A389" t="inlineStr">
        <x:is>
          <x:t xml:space="preserve">openai|gpt-5.6-sol|non-reasoning|nonreasoning|fallback-na</x:t>
        </x:is>
      </x:c>
      <x:c r="B389" t="inlineStr">
        <x:is>
          <x:t xml:space="preserve">AA|v4.3.2</x:t>
        </x:is>
      </x:c>
      <x:c r="C389" t="n">
        <x:v>50</x:v>
      </x:c>
      <x:c r="D389" t="n">
        <x:v>45</x:v>
      </x:c>
      <x:c r="E389" t="n">
        <x:f>INDEX(Model_TestVersion_Stats!$W:$W,C389)</x:f>
        <x:v>28</x:v>
      </x:c>
      <x:c r="F389" t="str">
        <x:f>INDEX(Model_TestVersion_Stats!$O:$O,C389)</x:f>
      </x:c>
      <x:c r="G389" t="str">
        <x:f>IF(INDEX(Model_TestVersion_Stats!$R:$R,C389)="","",INDEX(Model_TestVersion_Stats!$R:$R,C389)/60)</x:f>
      </x:c>
      <x:c r="H389" t="n">
        <x:f>IF(E389="","",E389-(D389-1))</x:f>
        <x:v>-16</x:v>
      </x:c>
      <x:c r="I389" t="n">
        <x:f>IF(H389&gt;0,1,0)</x:f>
        <x:v>0</x:v>
      </x:c>
      <x:c r="J389" t="str">
        <x:f>IF(OR(I389=0,F389="",F389=0),"",H389/F389)</x:f>
      </x:c>
      <x:c r="K389" t="str">
        <x:f>IF(OR(I389=0,H389=0,F389=""),"",F389/H389)</x:f>
      </x:c>
      <x:c r="L389" t="str">
        <x:f>IF(OR(I389=0,F389="",G389="",F389=0,G389=0),"",H389/(F389*G389))</x:f>
      </x:c>
      <x:c r="M389" t="str">
        <x:f>IF(J389="","",J389/_xlfn.MAXIFS($J:$J,$D:$D,D389))</x:f>
      </x:c>
      <x:c r="N389" t="str">
        <x:f>IF(L389="","",L389/_xlfn.MAXIFS($L:$L,$D:$D,D389))</x:f>
      </x:c>
      <x:c r="O389" t="str">
        <x:f>IF(OR(M389="",N389=""),"",SQRT(M389*N389))</x:f>
      </x:c>
      <x:c r="P389" t="str">
        <x:f>IF(OR(M389="",N389=""),"",M389^0.7*N389^0.3)</x:f>
      </x:c>
      <x:c r="Q389" t="str">
        <x:f>IF(OR(M389="",N389=""),"",M389^0.3*N389^0.7)</x:f>
      </x:c>
    </x:row>
    <x:row r="390">
      <x:c r="A390" t="inlineStr">
        <x:is>
          <x:t xml:space="preserve">openai|gpt-5.6-sol|non-reasoning|nonreasoning|fallback-na</x:t>
        </x:is>
      </x:c>
      <x:c r="B390" t="inlineStr">
        <x:is>
          <x:t xml:space="preserve">AA|v4.3.2</x:t>
        </x:is>
      </x:c>
      <x:c r="C390" t="n">
        <x:v>50</x:v>
      </x:c>
      <x:c r="D390" t="n">
        <x:v>50</x:v>
      </x:c>
      <x:c r="E390" t="n">
        <x:f>INDEX(Model_TestVersion_Stats!$W:$W,C390)</x:f>
        <x:v>28</x:v>
      </x:c>
      <x:c r="F390" t="str">
        <x:f>INDEX(Model_TestVersion_Stats!$O:$O,C390)</x:f>
      </x:c>
      <x:c r="G390" t="str">
        <x:f>IF(INDEX(Model_TestVersion_Stats!$R:$R,C390)="","",INDEX(Model_TestVersion_Stats!$R:$R,C390)/60)</x:f>
      </x:c>
      <x:c r="H390" t="n">
        <x:f>IF(E390="","",E390-(D390-1))</x:f>
        <x:v>-21</x:v>
      </x:c>
      <x:c r="I390" t="n">
        <x:f>IF(H390&gt;0,1,0)</x:f>
        <x:v>0</x:v>
      </x:c>
      <x:c r="J390" t="str">
        <x:f>IF(OR(I390=0,F390="",F390=0),"",H390/F390)</x:f>
      </x:c>
      <x:c r="K390" t="str">
        <x:f>IF(OR(I390=0,H390=0,F390=""),"",F390/H390)</x:f>
      </x:c>
      <x:c r="L390" t="str">
        <x:f>IF(OR(I390=0,F390="",G390="",F390=0,G390=0),"",H390/(F390*G390))</x:f>
      </x:c>
      <x:c r="M390" t="str">
        <x:f>IF(J390="","",J390/_xlfn.MAXIFS($J:$J,$D:$D,D390))</x:f>
      </x:c>
      <x:c r="N390" t="str">
        <x:f>IF(L390="","",L390/_xlfn.MAXIFS($L:$L,$D:$D,D390))</x:f>
      </x:c>
      <x:c r="O390" t="str">
        <x:f>IF(OR(M390="",N390=""),"",SQRT(M390*N390))</x:f>
      </x:c>
      <x:c r="P390" t="str">
        <x:f>IF(OR(M390="",N390=""),"",M390^0.7*N390^0.3)</x:f>
      </x:c>
      <x:c r="Q390" t="str">
        <x:f>IF(OR(M390="",N390=""),"",M390^0.3*N390^0.7)</x:f>
      </x:c>
    </x:row>
    <x:row r="391">
      <x:c r="A391" t="inlineStr">
        <x:is>
          <x:t xml:space="preserve">openai|gpt-5.6-sol|non-reasoning|nonreasoning|fallback-na</x:t>
        </x:is>
      </x:c>
      <x:c r="B391" t="inlineStr">
        <x:is>
          <x:t xml:space="preserve">AA|v4.3.2</x:t>
        </x:is>
      </x:c>
      <x:c r="C391" t="n">
        <x:v>50</x:v>
      </x:c>
      <x:c r="D391" t="n">
        <x:v>52</x:v>
      </x:c>
      <x:c r="E391" t="n">
        <x:f>INDEX(Model_TestVersion_Stats!$W:$W,C391)</x:f>
        <x:v>28</x:v>
      </x:c>
      <x:c r="F391" t="str">
        <x:f>INDEX(Model_TestVersion_Stats!$O:$O,C391)</x:f>
      </x:c>
      <x:c r="G391" t="str">
        <x:f>IF(INDEX(Model_TestVersion_Stats!$R:$R,C391)="","",INDEX(Model_TestVersion_Stats!$R:$R,C391)/60)</x:f>
      </x:c>
      <x:c r="H391" t="n">
        <x:f>IF(E391="","",E391-(D391-1))</x:f>
        <x:v>-23</x:v>
      </x:c>
      <x:c r="I391" t="n">
        <x:f>IF(H391&gt;0,1,0)</x:f>
        <x:v>0</x:v>
      </x:c>
      <x:c r="J391" t="str">
        <x:f>IF(OR(I391=0,F391="",F391=0),"",H391/F391)</x:f>
      </x:c>
      <x:c r="K391" t="str">
        <x:f>IF(OR(I391=0,H391=0,F391=""),"",F391/H391)</x:f>
      </x:c>
      <x:c r="L391" t="str">
        <x:f>IF(OR(I391=0,F391="",G391="",F391=0,G391=0),"",H391/(F391*G391))</x:f>
      </x:c>
      <x:c r="M391" t="str">
        <x:f>IF(J391="","",J391/_xlfn.MAXIFS($J:$J,$D:$D,D391))</x:f>
      </x:c>
      <x:c r="N391" t="str">
        <x:f>IF(L391="","",L391/_xlfn.MAXIFS($L:$L,$D:$D,D391))</x:f>
      </x:c>
      <x:c r="O391" t="str">
        <x:f>IF(OR(M391="",N391=""),"",SQRT(M391*N391))</x:f>
      </x:c>
      <x:c r="P391" t="str">
        <x:f>IF(OR(M391="",N391=""),"",M391^0.7*N391^0.3)</x:f>
      </x:c>
      <x:c r="Q391" t="str">
        <x:f>IF(OR(M391="",N391=""),"",M391^0.3*N391^0.7)</x:f>
      </x:c>
    </x:row>
    <x:row r="392">
      <x:c r="A392" t="inlineStr">
        <x:is>
          <x:t xml:space="preserve">openai|gpt-5.6-sol|non-reasoning|nonreasoning|fallback-na</x:t>
        </x:is>
      </x:c>
      <x:c r="B392" t="inlineStr">
        <x:is>
          <x:t xml:space="preserve">AA|v4.3.2</x:t>
        </x:is>
      </x:c>
      <x:c r="C392" t="n">
        <x:v>50</x:v>
      </x:c>
      <x:c r="D392" t="n">
        <x:v>65</x:v>
      </x:c>
      <x:c r="E392" t="n">
        <x:f>INDEX(Model_TestVersion_Stats!$W:$W,C392)</x:f>
        <x:v>28</x:v>
      </x:c>
      <x:c r="F392" t="str">
        <x:f>INDEX(Model_TestVersion_Stats!$O:$O,C392)</x:f>
      </x:c>
      <x:c r="G392" t="str">
        <x:f>IF(INDEX(Model_TestVersion_Stats!$R:$R,C392)="","",INDEX(Model_TestVersion_Stats!$R:$R,C392)/60)</x:f>
      </x:c>
      <x:c r="H392" t="n">
        <x:f>IF(E392="","",E392-(D392-1))</x:f>
        <x:v>-36</x:v>
      </x:c>
      <x:c r="I392" t="n">
        <x:f>IF(H392&gt;0,1,0)</x:f>
        <x:v>0</x:v>
      </x:c>
      <x:c r="J392" t="str">
        <x:f>IF(OR(I392=0,F392="",F392=0),"",H392/F392)</x:f>
      </x:c>
      <x:c r="K392" t="str">
        <x:f>IF(OR(I392=0,H392=0,F392=""),"",F392/H392)</x:f>
      </x:c>
      <x:c r="L392" t="str">
        <x:f>IF(OR(I392=0,F392="",G392="",F392=0,G392=0),"",H392/(F392*G392))</x:f>
      </x:c>
      <x:c r="M392" t="str">
        <x:f>IF(J392="","",J392/_xlfn.MAXIFS($J:$J,$D:$D,D392))</x:f>
      </x:c>
      <x:c r="N392" t="str">
        <x:f>IF(L392="","",L392/_xlfn.MAXIFS($L:$L,$D:$D,D392))</x:f>
      </x:c>
      <x:c r="O392" t="str">
        <x:f>IF(OR(M392="",N392=""),"",SQRT(M392*N392))</x:f>
      </x:c>
      <x:c r="P392" t="str">
        <x:f>IF(OR(M392="",N392=""),"",M392^0.7*N392^0.3)</x:f>
      </x:c>
      <x:c r="Q392" t="str">
        <x:f>IF(OR(M392="",N392=""),"",M392^0.3*N392^0.7)</x:f>
      </x:c>
    </x:row>
    <x:row r="393">
      <x:c r="A393" t="inlineStr">
        <x:is>
          <x:t xml:space="preserve">openai|gpt-5.6-sol|non-reasoning|nonreasoning|fallback-na</x:t>
        </x:is>
      </x:c>
      <x:c r="B393" t="inlineStr">
        <x:is>
          <x:t xml:space="preserve">AA|v4.3.2</x:t>
        </x:is>
      </x:c>
      <x:c r="C393" t="n">
        <x:v>50</x:v>
      </x:c>
      <x:c r="D393" t="n">
        <x:v>80</x:v>
      </x:c>
      <x:c r="E393" t="n">
        <x:f>INDEX(Model_TestVersion_Stats!$W:$W,C393)</x:f>
        <x:v>28</x:v>
      </x:c>
      <x:c r="F393" t="str">
        <x:f>INDEX(Model_TestVersion_Stats!$O:$O,C393)</x:f>
      </x:c>
      <x:c r="G393" t="str">
        <x:f>IF(INDEX(Model_TestVersion_Stats!$R:$R,C393)="","",INDEX(Model_TestVersion_Stats!$R:$R,C393)/60)</x:f>
      </x:c>
      <x:c r="H393" t="n">
        <x:f>IF(E393="","",E393-(D393-1))</x:f>
        <x:v>-51</x:v>
      </x:c>
      <x:c r="I393" t="n">
        <x:f>IF(H393&gt;0,1,0)</x:f>
        <x:v>0</x:v>
      </x:c>
      <x:c r="J393" t="str">
        <x:f>IF(OR(I393=0,F393="",F393=0),"",H393/F393)</x:f>
      </x:c>
      <x:c r="K393" t="str">
        <x:f>IF(OR(I393=0,H393=0,F393=""),"",F393/H393)</x:f>
      </x:c>
      <x:c r="L393" t="str">
        <x:f>IF(OR(I393=0,F393="",G393="",F393=0,G393=0),"",H393/(F393*G393))</x:f>
      </x:c>
      <x:c r="M393" t="str">
        <x:f>IF(J393="","",J393/_xlfn.MAXIFS($J:$J,$D:$D,D393))</x:f>
      </x:c>
      <x:c r="N393" t="str">
        <x:f>IF(L393="","",L393/_xlfn.MAXIFS($L:$L,$D:$D,D393))</x:f>
      </x:c>
      <x:c r="O393" t="str">
        <x:f>IF(OR(M393="",N393=""),"",SQRT(M393*N393))</x:f>
      </x:c>
      <x:c r="P393" t="str">
        <x:f>IF(OR(M393="",N393=""),"",M393^0.7*N393^0.3)</x:f>
      </x:c>
      <x:c r="Q393" t="str">
        <x:f>IF(OR(M393="",N393=""),"",M393^0.3*N393^0.7)</x:f>
      </x:c>
    </x:row>
    <x:row r="394">
      <x:c r="A394" t="inlineStr">
        <x:is>
          <x:t xml:space="preserve">openai|gpt-5.6-sol|xhigh|reasoning|fallback-na</x:t>
        </x:is>
      </x:c>
      <x:c r="B394" t="inlineStr">
        <x:is>
          <x:t xml:space="preserve">AA|v4.3.2</x:t>
        </x:is>
      </x:c>
      <x:c r="C394" t="n">
        <x:v>51</x:v>
      </x:c>
      <x:c r="D394" t="n">
        <x:v>20</x:v>
      </x:c>
      <x:c r="E394" t="n">
        <x:f>INDEX(Model_TestVersion_Stats!$W:$W,C394)</x:f>
        <x:v>44</x:v>
      </x:c>
      <x:c r="F394" t="n">
        <x:f>INDEX(Model_TestVersion_Stats!$O:$O,C394)</x:f>
        <x:v>1.18</x:v>
      </x:c>
      <x:c r="G394" t="str">
        <x:f>IF(INDEX(Model_TestVersion_Stats!$R:$R,C394)="","",INDEX(Model_TestVersion_Stats!$R:$R,C394)/60)</x:f>
      </x:c>
      <x:c r="H394" t="n">
        <x:f>IF(E394="","",E394-(D394-1))</x:f>
        <x:v>25</x:v>
      </x:c>
      <x:c r="I394" t="n">
        <x:f>IF(H394&gt;0,1,0)</x:f>
        <x:v>1</x:v>
      </x:c>
      <x:c r="J394" t="n">
        <x:f>IF(OR(I394=0,F394="",F394=0),"",H394/F394)</x:f>
        <x:v>21.186440677966104</x:v>
      </x:c>
      <x:c r="K394" t="n">
        <x:f>IF(OR(I394=0,H394=0,F394=""),"",F394/H394)</x:f>
        <x:v>0.0472</x:v>
      </x:c>
      <x:c r="L394" t="str">
        <x:f>IF(OR(I394=0,F394="",G394="",F394=0,G394=0),"",H394/(F394*G394))</x:f>
      </x:c>
      <x:c r="M394" t="n">
        <x:f>IF(J394="","",J394/_xlfn.MAXIFS($J:$J,$D:$D,D394))</x:f>
        <x:v>0.038135593220338986</x:v>
      </x:c>
      <x:c r="N394" t="str">
        <x:f>IF(L394="","",L394/_xlfn.MAXIFS($L:$L,$D:$D,D394))</x:f>
      </x:c>
      <x:c r="O394" t="str">
        <x:f>IF(OR(M394="",N394=""),"",SQRT(M394*N394))</x:f>
      </x:c>
      <x:c r="P394" t="str">
        <x:f>IF(OR(M394="",N394=""),"",M394^0.7*N394^0.3)</x:f>
      </x:c>
      <x:c r="Q394" t="str">
        <x:f>IF(OR(M394="",N394=""),"",M394^0.3*N394^0.7)</x:f>
      </x:c>
    </x:row>
    <x:row r="395">
      <x:c r="A395" t="inlineStr">
        <x:is>
          <x:t xml:space="preserve">openai|gpt-5.6-sol|xhigh|reasoning|fallback-na</x:t>
        </x:is>
      </x:c>
      <x:c r="B395" t="inlineStr">
        <x:is>
          <x:t xml:space="preserve">AA|v4.3.2</x:t>
        </x:is>
      </x:c>
      <x:c r="C395" t="n">
        <x:v>51</x:v>
      </x:c>
      <x:c r="D395" t="n">
        <x:v>30</x:v>
      </x:c>
      <x:c r="E395" t="n">
        <x:f>INDEX(Model_TestVersion_Stats!$W:$W,C395)</x:f>
        <x:v>44</x:v>
      </x:c>
      <x:c r="F395" t="n">
        <x:f>INDEX(Model_TestVersion_Stats!$O:$O,C395)</x:f>
        <x:v>1.18</x:v>
      </x:c>
      <x:c r="G395" t="str">
        <x:f>IF(INDEX(Model_TestVersion_Stats!$R:$R,C395)="","",INDEX(Model_TestVersion_Stats!$R:$R,C395)/60)</x:f>
      </x:c>
      <x:c r="H395" t="n">
        <x:f>IF(E395="","",E395-(D395-1))</x:f>
        <x:v>15</x:v>
      </x:c>
      <x:c r="I395" t="n">
        <x:f>IF(H395&gt;0,1,0)</x:f>
        <x:v>1</x:v>
      </x:c>
      <x:c r="J395" t="n">
        <x:f>IF(OR(I395=0,F395="",F395=0),"",H395/F395)</x:f>
        <x:v>12.711864406779661</x:v>
      </x:c>
      <x:c r="K395" t="n">
        <x:f>IF(OR(I395=0,H395=0,F395=""),"",F395/H395)</x:f>
        <x:v>0.07866666666666666</x:v>
      </x:c>
      <x:c r="L395" t="str">
        <x:f>IF(OR(I395=0,F395="",G395="",F395=0,G395=0),"",H395/(F395*G395))</x:f>
      </x:c>
      <x:c r="M395" t="n">
        <x:f>IF(J395="","",J395/_xlfn.MAXIFS($J:$J,$D:$D,D395))</x:f>
        <x:v>0.0847457627118644</x:v>
      </x:c>
      <x:c r="N395" t="str">
        <x:f>IF(L395="","",L395/_xlfn.MAXIFS($L:$L,$D:$D,D395))</x:f>
      </x:c>
      <x:c r="O395" t="str">
        <x:f>IF(OR(M395="",N395=""),"",SQRT(M395*N395))</x:f>
      </x:c>
      <x:c r="P395" t="str">
        <x:f>IF(OR(M395="",N395=""),"",M395^0.7*N395^0.3)</x:f>
      </x:c>
      <x:c r="Q395" t="str">
        <x:f>IF(OR(M395="",N395=""),"",M395^0.3*N395^0.7)</x:f>
      </x:c>
    </x:row>
    <x:row r="396">
      <x:c r="A396" t="inlineStr">
        <x:is>
          <x:t xml:space="preserve">openai|gpt-5.6-sol|xhigh|reasoning|fallback-na</x:t>
        </x:is>
      </x:c>
      <x:c r="B396" t="inlineStr">
        <x:is>
          <x:t xml:space="preserve">AA|v4.3.2</x:t>
        </x:is>
      </x:c>
      <x:c r="C396" t="n">
        <x:v>51</x:v>
      </x:c>
      <x:c r="D396" t="n">
        <x:v>40</x:v>
      </x:c>
      <x:c r="E396" t="n">
        <x:f>INDEX(Model_TestVersion_Stats!$W:$W,C396)</x:f>
        <x:v>44</x:v>
      </x:c>
      <x:c r="F396" t="n">
        <x:f>INDEX(Model_TestVersion_Stats!$O:$O,C396)</x:f>
        <x:v>1.18</x:v>
      </x:c>
      <x:c r="G396" t="str">
        <x:f>IF(INDEX(Model_TestVersion_Stats!$R:$R,C396)="","",INDEX(Model_TestVersion_Stats!$R:$R,C396)/60)</x:f>
      </x:c>
      <x:c r="H396" t="n">
        <x:f>IF(E396="","",E396-(D396-1))</x:f>
        <x:v>5</x:v>
      </x:c>
      <x:c r="I396" t="n">
        <x:f>IF(H396&gt;0,1,0)</x:f>
        <x:v>1</x:v>
      </x:c>
      <x:c r="J396" t="n">
        <x:f>IF(OR(I396=0,F396="",F396=0),"",H396/F396)</x:f>
        <x:v>4.237288135593221</x:v>
      </x:c>
      <x:c r="K396" t="n">
        <x:f>IF(OR(I396=0,H396=0,F396=""),"",F396/H396)</x:f>
        <x:v>0.236</x:v>
      </x:c>
      <x:c r="L396" t="str">
        <x:f>IF(OR(I396=0,F396="",G396="",F396=0,G396=0),"",H396/(F396*G396))</x:f>
      </x:c>
      <x:c r="M396" t="n">
        <x:f>IF(J396="","",J396/_xlfn.MAXIFS($J:$J,$D:$D,D396))</x:f>
        <x:v>0.07869249394673124</x:v>
      </x:c>
      <x:c r="N396" t="str">
        <x:f>IF(L396="","",L396/_xlfn.MAXIFS($L:$L,$D:$D,D396))</x:f>
      </x:c>
      <x:c r="O396" t="str">
        <x:f>IF(OR(M396="",N396=""),"",SQRT(M396*N396))</x:f>
      </x:c>
      <x:c r="P396" t="str">
        <x:f>IF(OR(M396="",N396=""),"",M396^0.7*N396^0.3)</x:f>
      </x:c>
      <x:c r="Q396" t="str">
        <x:f>IF(OR(M396="",N396=""),"",M396^0.3*N396^0.7)</x:f>
      </x:c>
    </x:row>
    <x:row r="397">
      <x:c r="A397" t="inlineStr">
        <x:is>
          <x:t xml:space="preserve">openai|gpt-5.6-sol|xhigh|reasoning|fallback-na</x:t>
        </x:is>
      </x:c>
      <x:c r="B397" t="inlineStr">
        <x:is>
          <x:t xml:space="preserve">AA|v4.3.2</x:t>
        </x:is>
      </x:c>
      <x:c r="C397" t="n">
        <x:v>51</x:v>
      </x:c>
      <x:c r="D397" t="n">
        <x:v>45</x:v>
      </x:c>
      <x:c r="E397" t="n">
        <x:f>INDEX(Model_TestVersion_Stats!$W:$W,C397)</x:f>
        <x:v>44</x:v>
      </x:c>
      <x:c r="F397" t="n">
        <x:f>INDEX(Model_TestVersion_Stats!$O:$O,C397)</x:f>
        <x:v>1.18</x:v>
      </x:c>
      <x:c r="G397" t="str">
        <x:f>IF(INDEX(Model_TestVersion_Stats!$R:$R,C397)="","",INDEX(Model_TestVersion_Stats!$R:$R,C397)/60)</x:f>
      </x:c>
      <x:c r="H397" t="n">
        <x:f>IF(E397="","",E397-(D397-1))</x:f>
        <x:v>0</x:v>
      </x:c>
      <x:c r="I397" t="n">
        <x:f>IF(H397&gt;0,1,0)</x:f>
        <x:v>0</x:v>
      </x:c>
      <x:c r="J397" t="str">
        <x:f>IF(OR(I397=0,F397="",F397=0),"",H397/F397)</x:f>
      </x:c>
      <x:c r="K397" t="str">
        <x:f>IF(OR(I397=0,H397=0,F397=""),"",F397/H397)</x:f>
      </x:c>
      <x:c r="L397" t="str">
        <x:f>IF(OR(I397=0,F397="",G397="",F397=0,G397=0),"",H397/(F397*G397))</x:f>
      </x:c>
      <x:c r="M397" t="str">
        <x:f>IF(J397="","",J397/_xlfn.MAXIFS($J:$J,$D:$D,D397))</x:f>
      </x:c>
      <x:c r="N397" t="str">
        <x:f>IF(L397="","",L397/_xlfn.MAXIFS($L:$L,$D:$D,D397))</x:f>
      </x:c>
      <x:c r="O397" t="str">
        <x:f>IF(OR(M397="",N397=""),"",SQRT(M397*N397))</x:f>
      </x:c>
      <x:c r="P397" t="str">
        <x:f>IF(OR(M397="",N397=""),"",M397^0.7*N397^0.3)</x:f>
      </x:c>
      <x:c r="Q397" t="str">
        <x:f>IF(OR(M397="",N397=""),"",M397^0.3*N397^0.7)</x:f>
      </x:c>
    </x:row>
    <x:row r="398">
      <x:c r="A398" t="inlineStr">
        <x:is>
          <x:t xml:space="preserve">openai|gpt-5.6-sol|xhigh|reasoning|fallback-na</x:t>
        </x:is>
      </x:c>
      <x:c r="B398" t="inlineStr">
        <x:is>
          <x:t xml:space="preserve">AA|v4.3.2</x:t>
        </x:is>
      </x:c>
      <x:c r="C398" t="n">
        <x:v>51</x:v>
      </x:c>
      <x:c r="D398" t="n">
        <x:v>50</x:v>
      </x:c>
      <x:c r="E398" t="n">
        <x:f>INDEX(Model_TestVersion_Stats!$W:$W,C398)</x:f>
        <x:v>44</x:v>
      </x:c>
      <x:c r="F398" t="n">
        <x:f>INDEX(Model_TestVersion_Stats!$O:$O,C398)</x:f>
        <x:v>1.18</x:v>
      </x:c>
      <x:c r="G398" t="str">
        <x:f>IF(INDEX(Model_TestVersion_Stats!$R:$R,C398)="","",INDEX(Model_TestVersion_Stats!$R:$R,C398)/60)</x:f>
      </x:c>
      <x:c r="H398" t="n">
        <x:f>IF(E398="","",E398-(D398-1))</x:f>
        <x:v>-5</x:v>
      </x:c>
      <x:c r="I398" t="n">
        <x:f>IF(H398&gt;0,1,0)</x:f>
        <x:v>0</x:v>
      </x:c>
      <x:c r="J398" t="str">
        <x:f>IF(OR(I398=0,F398="",F398=0),"",H398/F398)</x:f>
      </x:c>
      <x:c r="K398" t="str">
        <x:f>IF(OR(I398=0,H398=0,F398=""),"",F398/H398)</x:f>
      </x:c>
      <x:c r="L398" t="str">
        <x:f>IF(OR(I398=0,F398="",G398="",F398=0,G398=0),"",H398/(F398*G398))</x:f>
      </x:c>
      <x:c r="M398" t="str">
        <x:f>IF(J398="","",J398/_xlfn.MAXIFS($J:$J,$D:$D,D398))</x:f>
      </x:c>
      <x:c r="N398" t="str">
        <x:f>IF(L398="","",L398/_xlfn.MAXIFS($L:$L,$D:$D,D398))</x:f>
      </x:c>
      <x:c r="O398" t="str">
        <x:f>IF(OR(M398="",N398=""),"",SQRT(M398*N398))</x:f>
      </x:c>
      <x:c r="P398" t="str">
        <x:f>IF(OR(M398="",N398=""),"",M398^0.7*N398^0.3)</x:f>
      </x:c>
      <x:c r="Q398" t="str">
        <x:f>IF(OR(M398="",N398=""),"",M398^0.3*N398^0.7)</x:f>
      </x:c>
    </x:row>
    <x:row r="399">
      <x:c r="A399" t="inlineStr">
        <x:is>
          <x:t xml:space="preserve">openai|gpt-5.6-sol|xhigh|reasoning|fallback-na</x:t>
        </x:is>
      </x:c>
      <x:c r="B399" t="inlineStr">
        <x:is>
          <x:t xml:space="preserve">AA|v4.3.2</x:t>
        </x:is>
      </x:c>
      <x:c r="C399" t="n">
        <x:v>51</x:v>
      </x:c>
      <x:c r="D399" t="n">
        <x:v>52</x:v>
      </x:c>
      <x:c r="E399" t="n">
        <x:f>INDEX(Model_TestVersion_Stats!$W:$W,C399)</x:f>
        <x:v>44</x:v>
      </x:c>
      <x:c r="F399" t="n">
        <x:f>INDEX(Model_TestVersion_Stats!$O:$O,C399)</x:f>
        <x:v>1.18</x:v>
      </x:c>
      <x:c r="G399" t="str">
        <x:f>IF(INDEX(Model_TestVersion_Stats!$R:$R,C399)="","",INDEX(Model_TestVersion_Stats!$R:$R,C399)/60)</x:f>
      </x:c>
      <x:c r="H399" t="n">
        <x:f>IF(E399="","",E399-(D399-1))</x:f>
        <x:v>-7</x:v>
      </x:c>
      <x:c r="I399" t="n">
        <x:f>IF(H399&gt;0,1,0)</x:f>
        <x:v>0</x:v>
      </x:c>
      <x:c r="J399" t="str">
        <x:f>IF(OR(I399=0,F399="",F399=0),"",H399/F399)</x:f>
      </x:c>
      <x:c r="K399" t="str">
        <x:f>IF(OR(I399=0,H399=0,F399=""),"",F399/H399)</x:f>
      </x:c>
      <x:c r="L399" t="str">
        <x:f>IF(OR(I399=0,F399="",G399="",F399=0,G399=0),"",H399/(F399*G399))</x:f>
      </x:c>
      <x:c r="M399" t="str">
        <x:f>IF(J399="","",J399/_xlfn.MAXIFS($J:$J,$D:$D,D399))</x:f>
      </x:c>
      <x:c r="N399" t="str">
        <x:f>IF(L399="","",L399/_xlfn.MAXIFS($L:$L,$D:$D,D399))</x:f>
      </x:c>
      <x:c r="O399" t="str">
        <x:f>IF(OR(M399="",N399=""),"",SQRT(M399*N399))</x:f>
      </x:c>
      <x:c r="P399" t="str">
        <x:f>IF(OR(M399="",N399=""),"",M399^0.7*N399^0.3)</x:f>
      </x:c>
      <x:c r="Q399" t="str">
        <x:f>IF(OR(M399="",N399=""),"",M399^0.3*N399^0.7)</x:f>
      </x:c>
    </x:row>
    <x:row r="400">
      <x:c r="A400" t="inlineStr">
        <x:is>
          <x:t xml:space="preserve">openai|gpt-5.6-sol|xhigh|reasoning|fallback-na</x:t>
        </x:is>
      </x:c>
      <x:c r="B400" t="inlineStr">
        <x:is>
          <x:t xml:space="preserve">AA|v4.3.2</x:t>
        </x:is>
      </x:c>
      <x:c r="C400" t="n">
        <x:v>51</x:v>
      </x:c>
      <x:c r="D400" t="n">
        <x:v>65</x:v>
      </x:c>
      <x:c r="E400" t="n">
        <x:f>INDEX(Model_TestVersion_Stats!$W:$W,C400)</x:f>
        <x:v>44</x:v>
      </x:c>
      <x:c r="F400" t="n">
        <x:f>INDEX(Model_TestVersion_Stats!$O:$O,C400)</x:f>
        <x:v>1.18</x:v>
      </x:c>
      <x:c r="G400" t="str">
        <x:f>IF(INDEX(Model_TestVersion_Stats!$R:$R,C400)="","",INDEX(Model_TestVersion_Stats!$R:$R,C400)/60)</x:f>
      </x:c>
      <x:c r="H400" t="n">
        <x:f>IF(E400="","",E400-(D400-1))</x:f>
        <x:v>-20</x:v>
      </x:c>
      <x:c r="I400" t="n">
        <x:f>IF(H400&gt;0,1,0)</x:f>
        <x:v>0</x:v>
      </x:c>
      <x:c r="J400" t="str">
        <x:f>IF(OR(I400=0,F400="",F400=0),"",H400/F400)</x:f>
      </x:c>
      <x:c r="K400" t="str">
        <x:f>IF(OR(I400=0,H400=0,F400=""),"",F400/H400)</x:f>
      </x:c>
      <x:c r="L400" t="str">
        <x:f>IF(OR(I400=0,F400="",G400="",F400=0,G400=0),"",H400/(F400*G400))</x:f>
      </x:c>
      <x:c r="M400" t="str">
        <x:f>IF(J400="","",J400/_xlfn.MAXIFS($J:$J,$D:$D,D400))</x:f>
      </x:c>
      <x:c r="N400" t="str">
        <x:f>IF(L400="","",L400/_xlfn.MAXIFS($L:$L,$D:$D,D400))</x:f>
      </x:c>
      <x:c r="O400" t="str">
        <x:f>IF(OR(M400="",N400=""),"",SQRT(M400*N400))</x:f>
      </x:c>
      <x:c r="P400" t="str">
        <x:f>IF(OR(M400="",N400=""),"",M400^0.7*N400^0.3)</x:f>
      </x:c>
      <x:c r="Q400" t="str">
        <x:f>IF(OR(M400="",N400=""),"",M400^0.3*N400^0.7)</x:f>
      </x:c>
    </x:row>
    <x:row r="401">
      <x:c r="A401" t="inlineStr">
        <x:is>
          <x:t xml:space="preserve">openai|gpt-5.6-sol|xhigh|reasoning|fallback-na</x:t>
        </x:is>
      </x:c>
      <x:c r="B401" t="inlineStr">
        <x:is>
          <x:t xml:space="preserve">AA|v4.3.2</x:t>
        </x:is>
      </x:c>
      <x:c r="C401" t="n">
        <x:v>51</x:v>
      </x:c>
      <x:c r="D401" t="n">
        <x:v>80</x:v>
      </x:c>
      <x:c r="E401" t="n">
        <x:f>INDEX(Model_TestVersion_Stats!$W:$W,C401)</x:f>
        <x:v>44</x:v>
      </x:c>
      <x:c r="F401" t="n">
        <x:f>INDEX(Model_TestVersion_Stats!$O:$O,C401)</x:f>
        <x:v>1.18</x:v>
      </x:c>
      <x:c r="G401" t="str">
        <x:f>IF(INDEX(Model_TestVersion_Stats!$R:$R,C401)="","",INDEX(Model_TestVersion_Stats!$R:$R,C401)/60)</x:f>
      </x:c>
      <x:c r="H401" t="n">
        <x:f>IF(E401="","",E401-(D401-1))</x:f>
        <x:v>-35</x:v>
      </x:c>
      <x:c r="I401" t="n">
        <x:f>IF(H401&gt;0,1,0)</x:f>
        <x:v>0</x:v>
      </x:c>
      <x:c r="J401" t="str">
        <x:f>IF(OR(I401=0,F401="",F401=0),"",H401/F401)</x:f>
      </x:c>
      <x:c r="K401" t="str">
        <x:f>IF(OR(I401=0,H401=0,F401=""),"",F401/H401)</x:f>
      </x:c>
      <x:c r="L401" t="str">
        <x:f>IF(OR(I401=0,F401="",G401="",F401=0,G401=0),"",H401/(F401*G401))</x:f>
      </x:c>
      <x:c r="M401" t="str">
        <x:f>IF(J401="","",J401/_xlfn.MAXIFS($J:$J,$D:$D,D401))</x:f>
      </x:c>
      <x:c r="N401" t="str">
        <x:f>IF(L401="","",L401/_xlfn.MAXIFS($L:$L,$D:$D,D401))</x:f>
      </x:c>
      <x:c r="O401" t="str">
        <x:f>IF(OR(M401="",N401=""),"",SQRT(M401*N401))</x:f>
      </x:c>
      <x:c r="P401" t="str">
        <x:f>IF(OR(M401="",N401=""),"",M401^0.7*N401^0.3)</x:f>
      </x:c>
      <x:c r="Q401" t="str">
        <x:f>IF(OR(M401="",N401=""),"",M401^0.3*N401^0.7)</x:f>
      </x:c>
    </x:row>
    <x:row r="402">
      <x:c r="A402" t="inlineStr">
        <x:is>
          <x:t xml:space="preserve">openai|gpt-6-astra|high|reasoning|fallback-na</x:t>
        </x:is>
      </x:c>
      <x:c r="B402" t="inlineStr">
        <x:is>
          <x:t xml:space="preserve">AA|v4.3.2</x:t>
        </x:is>
      </x:c>
      <x:c r="C402" t="n">
        <x:v>52</x:v>
      </x:c>
      <x:c r="D402" t="n">
        <x:v>20</x:v>
      </x:c>
      <x:c r="E402" t="n">
        <x:f>INDEX(Model_TestVersion_Stats!$W:$W,C402)</x:f>
        <x:v>51</x:v>
      </x:c>
      <x:c r="F402" t="n">
        <x:f>INDEX(Model_TestVersion_Stats!$O:$O,C402)</x:f>
        <x:v>1.73</x:v>
      </x:c>
      <x:c r="G402" t="n">
        <x:f>IF(INDEX(Model_TestVersion_Stats!$R:$R,C402)="","",INDEX(Model_TestVersion_Stats!$R:$R,C402)/60)</x:f>
        <x:v>3.793</x:v>
      </x:c>
      <x:c r="H402" t="n">
        <x:f>IF(E402="","",E402-(D402-1))</x:f>
        <x:v>32</x:v>
      </x:c>
      <x:c r="I402" t="n">
        <x:f>IF(H402&gt;0,1,0)</x:f>
        <x:v>1</x:v>
      </x:c>
      <x:c r="J402" t="n">
        <x:f>IF(OR(I402=0,F402="",F402=0),"",H402/F402)</x:f>
        <x:v>18.497109826589597</x:v>
      </x:c>
      <x:c r="K402" t="n">
        <x:f>IF(OR(I402=0,H402=0,F402=""),"",F402/H402)</x:f>
        <x:v>0.0540625</x:v>
      </x:c>
      <x:c r="L402" t="n">
        <x:f>IF(OR(I402=0,F402="",G402="",F402=0,G402=0),"",H402/(F402*G402))</x:f>
        <x:v>4.876643771840126</x:v>
      </x:c>
      <x:c r="M402" t="n">
        <x:f>IF(J402="","",J402/_xlfn.MAXIFS($J:$J,$D:$D,D402))</x:f>
        <x:v>0.033294797687861276</x:v>
      </x:c>
      <x:c r="N402" t="n">
        <x:f>IF(L402="","",L402/_xlfn.MAXIFS($L:$L,$D:$D,D402))</x:f>
        <x:v>0.0020672092948830294</x:v>
      </x:c>
      <x:c r="O402" t="n">
        <x:f>IF(OR(M402="",N402=""),"",SQRT(M402*N402))</x:f>
        <x:v>0.008296222950933565</x:v>
      </x:c>
      <x:c r="P402" t="n">
        <x:f>IF(OR(M402="",N402=""),"",M402^0.7*N402^0.3)</x:f>
        <x:v>0.014463679872880914</x:v>
      </x:c>
      <x:c r="Q402" t="n">
        <x:f>IF(OR(M402="",N402=""),"",M402^0.3*N402^0.7)</x:f>
        <x:v>0.004758630988552684</x:v>
      </x:c>
    </x:row>
    <x:row r="403">
      <x:c r="A403" t="inlineStr">
        <x:is>
          <x:t xml:space="preserve">openai|gpt-6-astra|high|reasoning|fallback-na</x:t>
        </x:is>
      </x:c>
      <x:c r="B403" t="inlineStr">
        <x:is>
          <x:t xml:space="preserve">AA|v4.3.2</x:t>
        </x:is>
      </x:c>
      <x:c r="C403" t="n">
        <x:v>52</x:v>
      </x:c>
      <x:c r="D403" t="n">
        <x:v>30</x:v>
      </x:c>
      <x:c r="E403" t="n">
        <x:f>INDEX(Model_TestVersion_Stats!$W:$W,C403)</x:f>
        <x:v>51</x:v>
      </x:c>
      <x:c r="F403" t="n">
        <x:f>INDEX(Model_TestVersion_Stats!$O:$O,C403)</x:f>
        <x:v>1.73</x:v>
      </x:c>
      <x:c r="G403" t="n">
        <x:f>IF(INDEX(Model_TestVersion_Stats!$R:$R,C403)="","",INDEX(Model_TestVersion_Stats!$R:$R,C403)/60)</x:f>
        <x:v>3.793</x:v>
      </x:c>
      <x:c r="H403" t="n">
        <x:f>IF(E403="","",E403-(D403-1))</x:f>
        <x:v>22</x:v>
      </x:c>
      <x:c r="I403" t="n">
        <x:f>IF(H403&gt;0,1,0)</x:f>
        <x:v>1</x:v>
      </x:c>
      <x:c r="J403" t="n">
        <x:f>IF(OR(I403=0,F403="",F403=0),"",H403/F403)</x:f>
        <x:v>12.716763005780347</x:v>
      </x:c>
      <x:c r="K403" t="n">
        <x:f>IF(OR(I403=0,H403=0,F403=""),"",F403/H403)</x:f>
        <x:v>0.07863636363636363</x:v>
      </x:c>
      <x:c r="L403" t="n">
        <x:f>IF(OR(I403=0,F403="",G403="",F403=0,G403=0),"",H403/(F403*G403))</x:f>
        <x:v>3.352692593140086</x:v>
      </x:c>
      <x:c r="M403" t="n">
        <x:f>IF(J403="","",J403/_xlfn.MAXIFS($J:$J,$D:$D,D403))</x:f>
        <x:v>0.08477842003853565</x:v>
      </x:c>
      <x:c r="N403" t="n">
        <x:f>IF(L403="","",L403/_xlfn.MAXIFS($L:$L,$D:$D,D403))</x:f>
        <x:v>0.059667870080114115</x:v>
      </x:c>
      <x:c r="O403" t="n">
        <x:f>IF(OR(M403="",N403=""),"",SQRT(M403*N403))</x:f>
        <x:v>0.07112346836633242</x:v>
      </x:c>
      <x:c r="P403" t="n">
        <x:f>IF(OR(M403="",N403=""),"",M403^0.7*N403^0.3)</x:f>
        <x:v>0.07629953367846017</x:v>
      </x:c>
      <x:c r="Q403" t="n">
        <x:f>IF(OR(M403="",N403=""),"",M403^0.3*N403^0.7)</x:f>
        <x:v>0.06629854087672818</x:v>
      </x:c>
    </x:row>
    <x:row r="404">
      <x:c r="A404" t="inlineStr">
        <x:is>
          <x:t xml:space="preserve">openai|gpt-6-astra|high|reasoning|fallback-na</x:t>
        </x:is>
      </x:c>
      <x:c r="B404" t="inlineStr">
        <x:is>
          <x:t xml:space="preserve">AA|v4.3.2</x:t>
        </x:is>
      </x:c>
      <x:c r="C404" t="n">
        <x:v>52</x:v>
      </x:c>
      <x:c r="D404" t="n">
        <x:v>40</x:v>
      </x:c>
      <x:c r="E404" t="n">
        <x:f>INDEX(Model_TestVersion_Stats!$W:$W,C404)</x:f>
        <x:v>51</x:v>
      </x:c>
      <x:c r="F404" t="n">
        <x:f>INDEX(Model_TestVersion_Stats!$O:$O,C404)</x:f>
        <x:v>1.73</x:v>
      </x:c>
      <x:c r="G404" t="n">
        <x:f>IF(INDEX(Model_TestVersion_Stats!$R:$R,C404)="","",INDEX(Model_TestVersion_Stats!$R:$R,C404)/60)</x:f>
        <x:v>3.793</x:v>
      </x:c>
      <x:c r="H404" t="n">
        <x:f>IF(E404="","",E404-(D404-1))</x:f>
        <x:v>12</x:v>
      </x:c>
      <x:c r="I404" t="n">
        <x:f>IF(H404&gt;0,1,0)</x:f>
        <x:v>1</x:v>
      </x:c>
      <x:c r="J404" t="n">
        <x:f>IF(OR(I404=0,F404="",F404=0),"",H404/F404)</x:f>
        <x:v>6.936416184971098</x:v>
      </x:c>
      <x:c r="K404" t="n">
        <x:f>IF(OR(I404=0,H404=0,F404=""),"",F404/H404)</x:f>
        <x:v>0.14416666666666667</x:v>
      </x:c>
      <x:c r="L404" t="n">
        <x:f>IF(OR(I404=0,F404="",G404="",F404=0,G404=0),"",H404/(F404*G404))</x:f>
        <x:v>1.828741414440047</x:v>
      </x:c>
      <x:c r="M404" t="n">
        <x:f>IF(J404="","",J404/_xlfn.MAXIFS($J:$J,$D:$D,D404))</x:f>
        <x:v>0.12881915772089184</x:v>
      </x:c>
      <x:c r="N404" t="n">
        <x:f>IF(L404="","",L404/_xlfn.MAXIFS($L:$L,$D:$D,D404))</x:f>
        <x:v>0.30344828787350675</x:v>
      </x:c>
      <x:c r="O404" t="n">
        <x:f>IF(OR(M404="",N404=""),"",SQRT(M404*N404))</x:f>
        <x:v>0.19771179240427683</x:v>
      </x:c>
      <x:c r="P404" t="n">
        <x:f>IF(OR(M404="",N404=""),"",M404^0.7*N404^0.3)</x:f>
        <x:v>0.16657573034057652</x:v>
      </x:c>
      <x:c r="Q404" t="n">
        <x:f>IF(OR(M404="",N404=""),"",M404^0.3*N404^0.7)</x:f>
        <x:v>0.23466775607580725</x:v>
      </x:c>
    </x:row>
    <x:row r="405">
      <x:c r="A405" t="inlineStr">
        <x:is>
          <x:t xml:space="preserve">openai|gpt-6-astra|high|reasoning|fallback-na</x:t>
        </x:is>
      </x:c>
      <x:c r="B405" t="inlineStr">
        <x:is>
          <x:t xml:space="preserve">AA|v4.3.2</x:t>
        </x:is>
      </x:c>
      <x:c r="C405" t="n">
        <x:v>52</x:v>
      </x:c>
      <x:c r="D405" t="n">
        <x:v>45</x:v>
      </x:c>
      <x:c r="E405" t="n">
        <x:f>INDEX(Model_TestVersion_Stats!$W:$W,C405)</x:f>
        <x:v>51</x:v>
      </x:c>
      <x:c r="F405" t="n">
        <x:f>INDEX(Model_TestVersion_Stats!$O:$O,C405)</x:f>
        <x:v>1.73</x:v>
      </x:c>
      <x:c r="G405" t="n">
        <x:f>IF(INDEX(Model_TestVersion_Stats!$R:$R,C405)="","",INDEX(Model_TestVersion_Stats!$R:$R,C405)/60)</x:f>
        <x:v>3.793</x:v>
      </x:c>
      <x:c r="H405" t="n">
        <x:f>IF(E405="","",E405-(D405-1))</x:f>
        <x:v>7</x:v>
      </x:c>
      <x:c r="I405" t="n">
        <x:f>IF(H405&gt;0,1,0)</x:f>
        <x:v>1</x:v>
      </x:c>
      <x:c r="J405" t="n">
        <x:f>IF(OR(I405=0,F405="",F405=0),"",H405/F405)</x:f>
        <x:v>4.046242774566474</x:v>
      </x:c>
      <x:c r="K405" t="n">
        <x:f>IF(OR(I405=0,H405=0,F405=""),"",F405/H405)</x:f>
        <x:v>0.24714285714285714</x:v>
      </x:c>
      <x:c r="L405" t="n">
        <x:f>IF(OR(I405=0,F405="",G405="",F405=0,G405=0),"",H405/(F405*G405))</x:f>
        <x:v>1.0667658250900274</x:v>
      </x:c>
      <x:c r="M405" t="n">
        <x:f>IF(J405="","",J405/_xlfn.MAXIFS($J:$J,$D:$D,D405))</x:f>
        <x:v>0.2124277456647399</x:v>
      </x:c>
      <x:c r="N405" t="n">
        <x:f>IF(L405="","",L405/_xlfn.MAXIFS($L:$L,$D:$D,D405))</x:f>
        <x:v>0.6195402544084097</x:v>
      </x:c>
      <x:c r="O405" t="n">
        <x:f>IF(OR(M405="",N405=""),"",SQRT(M405*N405))</x:f>
        <x:v>0.36277753457530676</x:v>
      </x:c>
      <x:c r="P405" t="n">
        <x:f>IF(OR(M405="",N405=""),"",M405^0.7*N405^0.3)</x:f>
        <x:v>0.2928658459307634</x:v>
      </x:c>
      <x:c r="Q405" t="n">
        <x:f>IF(OR(M405="",N405=""),"",M405^0.3*N405^0.7)</x:f>
        <x:v>0.4493782440703288</x:v>
      </x:c>
    </x:row>
    <x:row r="406">
      <x:c r="A406" t="inlineStr">
        <x:is>
          <x:t xml:space="preserve">openai|gpt-6-astra|high|reasoning|fallback-na</x:t>
        </x:is>
      </x:c>
      <x:c r="B406" t="inlineStr">
        <x:is>
          <x:t xml:space="preserve">AA|v4.3.2</x:t>
        </x:is>
      </x:c>
      <x:c r="C406" t="n">
        <x:v>52</x:v>
      </x:c>
      <x:c r="D406" t="n">
        <x:v>50</x:v>
      </x:c>
      <x:c r="E406" t="n">
        <x:f>INDEX(Model_TestVersion_Stats!$W:$W,C406)</x:f>
        <x:v>51</x:v>
      </x:c>
      <x:c r="F406" t="n">
        <x:f>INDEX(Model_TestVersion_Stats!$O:$O,C406)</x:f>
        <x:v>1.73</x:v>
      </x:c>
      <x:c r="G406" t="n">
        <x:f>IF(INDEX(Model_TestVersion_Stats!$R:$R,C406)="","",INDEX(Model_TestVersion_Stats!$R:$R,C406)/60)</x:f>
        <x:v>3.793</x:v>
      </x:c>
      <x:c r="H406" t="n">
        <x:f>IF(E406="","",E406-(D406-1))</x:f>
        <x:v>2</x:v>
      </x:c>
      <x:c r="I406" t="n">
        <x:f>IF(H406&gt;0,1,0)</x:f>
        <x:v>1</x:v>
      </x:c>
      <x:c r="J406" t="n">
        <x:f>IF(OR(I406=0,F406="",F406=0),"",H406/F406)</x:f>
        <x:v>1.1560693641618498</x:v>
      </x:c>
      <x:c r="K406" t="n">
        <x:f>IF(OR(I406=0,H406=0,F406=""),"",F406/H406)</x:f>
        <x:v>0.865</x:v>
      </x:c>
      <x:c r="L406" t="n">
        <x:f>IF(OR(I406=0,F406="",G406="",F406=0,G406=0),"",H406/(F406*G406))</x:f>
        <x:v>0.30479023574000785</x:v>
      </x:c>
      <x:c r="M406" t="n">
        <x:f>IF(J406="","",J406/_xlfn.MAXIFS($J:$J,$D:$D,D406))</x:f>
        <x:v>0.22543352601156072</x:v>
      </x:c>
      <x:c r="N406" t="n">
        <x:f>IF(L406="","",L406/_xlfn.MAXIFS($L:$L,$D:$D,D406))</x:f>
        <x:v>1</x:v>
      </x:c>
      <x:c r="O406" t="n">
        <x:f>IF(OR(M406="",N406=""),"",SQRT(M406*N406))</x:f>
        <x:v>0.47479840565397935</x:v>
      </x:c>
      <x:c r="P406" t="n">
        <x:f>IF(OR(M406="",N406=""),"",M406^0.7*N406^0.3)</x:f>
        <x:v>0.35246252872918954</x:v>
      </x:c>
      <x:c r="Q406" t="n">
        <x:f>IF(OR(M406="",N406=""),"",M406^0.3*N406^0.7)</x:f>
        <x:v>0.639595723336508</x:v>
      </x:c>
    </x:row>
    <x:row r="407">
      <x:c r="A407" t="inlineStr">
        <x:is>
          <x:t xml:space="preserve">openai|gpt-6-astra|high|reasoning|fallback-na</x:t>
        </x:is>
      </x:c>
      <x:c r="B407" t="inlineStr">
        <x:is>
          <x:t xml:space="preserve">AA|v4.3.2</x:t>
        </x:is>
      </x:c>
      <x:c r="C407" t="n">
        <x:v>52</x:v>
      </x:c>
      <x:c r="D407" t="n">
        <x:v>52</x:v>
      </x:c>
      <x:c r="E407" t="n">
        <x:f>INDEX(Model_TestVersion_Stats!$W:$W,C407)</x:f>
        <x:v>51</x:v>
      </x:c>
      <x:c r="F407" t="n">
        <x:f>INDEX(Model_TestVersion_Stats!$O:$O,C407)</x:f>
        <x:v>1.73</x:v>
      </x:c>
      <x:c r="G407" t="n">
        <x:f>IF(INDEX(Model_TestVersion_Stats!$R:$R,C407)="","",INDEX(Model_TestVersion_Stats!$R:$R,C407)/60)</x:f>
        <x:v>3.793</x:v>
      </x:c>
      <x:c r="H407" t="n">
        <x:f>IF(E407="","",E407-(D407-1))</x:f>
        <x:v>0</x:v>
      </x:c>
      <x:c r="I407" t="n">
        <x:f>IF(H407&gt;0,1,0)</x:f>
        <x:v>0</x:v>
      </x:c>
      <x:c r="J407" t="str">
        <x:f>IF(OR(I407=0,F407="",F407=0),"",H407/F407)</x:f>
      </x:c>
      <x:c r="K407" t="str">
        <x:f>IF(OR(I407=0,H407=0,F407=""),"",F407/H407)</x:f>
      </x:c>
      <x:c r="L407" t="str">
        <x:f>IF(OR(I407=0,F407="",G407="",F407=0,G407=0),"",H407/(F407*G407))</x:f>
      </x:c>
      <x:c r="M407" t="str">
        <x:f>IF(J407="","",J407/_xlfn.MAXIFS($J:$J,$D:$D,D407))</x:f>
      </x:c>
      <x:c r="N407" t="str">
        <x:f>IF(L407="","",L407/_xlfn.MAXIFS($L:$L,$D:$D,D407))</x:f>
      </x:c>
      <x:c r="O407" t="str">
        <x:f>IF(OR(M407="",N407=""),"",SQRT(M407*N407))</x:f>
      </x:c>
      <x:c r="P407" t="str">
        <x:f>IF(OR(M407="",N407=""),"",M407^0.7*N407^0.3)</x:f>
      </x:c>
      <x:c r="Q407" t="str">
        <x:f>IF(OR(M407="",N407=""),"",M407^0.3*N407^0.7)</x:f>
      </x:c>
    </x:row>
    <x:row r="408">
      <x:c r="A408" t="inlineStr">
        <x:is>
          <x:t xml:space="preserve">openai|gpt-6-astra|high|reasoning|fallback-na</x:t>
        </x:is>
      </x:c>
      <x:c r="B408" t="inlineStr">
        <x:is>
          <x:t xml:space="preserve">AA|v4.3.2</x:t>
        </x:is>
      </x:c>
      <x:c r="C408" t="n">
        <x:v>52</x:v>
      </x:c>
      <x:c r="D408" t="n">
        <x:v>65</x:v>
      </x:c>
      <x:c r="E408" t="n">
        <x:f>INDEX(Model_TestVersion_Stats!$W:$W,C408)</x:f>
        <x:v>51</x:v>
      </x:c>
      <x:c r="F408" t="n">
        <x:f>INDEX(Model_TestVersion_Stats!$O:$O,C408)</x:f>
        <x:v>1.73</x:v>
      </x:c>
      <x:c r="G408" t="n">
        <x:f>IF(INDEX(Model_TestVersion_Stats!$R:$R,C408)="","",INDEX(Model_TestVersion_Stats!$R:$R,C408)/60)</x:f>
        <x:v>3.793</x:v>
      </x:c>
      <x:c r="H408" t="n">
        <x:f>IF(E408="","",E408-(D408-1))</x:f>
        <x:v>-13</x:v>
      </x:c>
      <x:c r="I408" t="n">
        <x:f>IF(H408&gt;0,1,0)</x:f>
        <x:v>0</x:v>
      </x:c>
      <x:c r="J408" t="str">
        <x:f>IF(OR(I408=0,F408="",F408=0),"",H408/F408)</x:f>
      </x:c>
      <x:c r="K408" t="str">
        <x:f>IF(OR(I408=0,H408=0,F408=""),"",F408/H408)</x:f>
      </x:c>
      <x:c r="L408" t="str">
        <x:f>IF(OR(I408=0,F408="",G408="",F408=0,G408=0),"",H408/(F408*G408))</x:f>
      </x:c>
      <x:c r="M408" t="str">
        <x:f>IF(J408="","",J408/_xlfn.MAXIFS($J:$J,$D:$D,D408))</x:f>
      </x:c>
      <x:c r="N408" t="str">
        <x:f>IF(L408="","",L408/_xlfn.MAXIFS($L:$L,$D:$D,D408))</x:f>
      </x:c>
      <x:c r="O408" t="str">
        <x:f>IF(OR(M408="",N408=""),"",SQRT(M408*N408))</x:f>
      </x:c>
      <x:c r="P408" t="str">
        <x:f>IF(OR(M408="",N408=""),"",M408^0.7*N408^0.3)</x:f>
      </x:c>
      <x:c r="Q408" t="str">
        <x:f>IF(OR(M408="",N408=""),"",M408^0.3*N408^0.7)</x:f>
      </x:c>
    </x:row>
    <x:row r="409">
      <x:c r="A409" t="inlineStr">
        <x:is>
          <x:t xml:space="preserve">openai|gpt-6-astra|high|reasoning|fallback-na</x:t>
        </x:is>
      </x:c>
      <x:c r="B409" t="inlineStr">
        <x:is>
          <x:t xml:space="preserve">AA|v4.3.2</x:t>
        </x:is>
      </x:c>
      <x:c r="C409" t="n">
        <x:v>52</x:v>
      </x:c>
      <x:c r="D409" t="n">
        <x:v>80</x:v>
      </x:c>
      <x:c r="E409" t="n">
        <x:f>INDEX(Model_TestVersion_Stats!$W:$W,C409)</x:f>
        <x:v>51</x:v>
      </x:c>
      <x:c r="F409" t="n">
        <x:f>INDEX(Model_TestVersion_Stats!$O:$O,C409)</x:f>
        <x:v>1.73</x:v>
      </x:c>
      <x:c r="G409" t="n">
        <x:f>IF(INDEX(Model_TestVersion_Stats!$R:$R,C409)="","",INDEX(Model_TestVersion_Stats!$R:$R,C409)/60)</x:f>
        <x:v>3.793</x:v>
      </x:c>
      <x:c r="H409" t="n">
        <x:f>IF(E409="","",E409-(D409-1))</x:f>
        <x:v>-28</x:v>
      </x:c>
      <x:c r="I409" t="n">
        <x:f>IF(H409&gt;0,1,0)</x:f>
        <x:v>0</x:v>
      </x:c>
      <x:c r="J409" t="str">
        <x:f>IF(OR(I409=0,F409="",F409=0),"",H409/F409)</x:f>
      </x:c>
      <x:c r="K409" t="str">
        <x:f>IF(OR(I409=0,H409=0,F409=""),"",F409/H409)</x:f>
      </x:c>
      <x:c r="L409" t="str">
        <x:f>IF(OR(I409=0,F409="",G409="",F409=0,G409=0),"",H409/(F409*G409))</x:f>
      </x:c>
      <x:c r="M409" t="str">
        <x:f>IF(J409="","",J409/_xlfn.MAXIFS($J:$J,$D:$D,D409))</x:f>
      </x:c>
      <x:c r="N409" t="str">
        <x:f>IF(L409="","",L409/_xlfn.MAXIFS($L:$L,$D:$D,D409))</x:f>
      </x:c>
      <x:c r="O409" t="str">
        <x:f>IF(OR(M409="",N409=""),"",SQRT(M409*N409))</x:f>
      </x:c>
      <x:c r="P409" t="str">
        <x:f>IF(OR(M409="",N409=""),"",M409^0.7*N409^0.3)</x:f>
      </x:c>
      <x:c r="Q409" t="str">
        <x:f>IF(OR(M409="",N409=""),"",M409^0.3*N409^0.7)</x:f>
      </x:c>
    </x:row>
    <x:row r="410">
      <x:c r="A410" t="inlineStr">
        <x:is>
          <x:t xml:space="preserve">openai|gpt-6-astra|low|reasoning|fallback-na</x:t>
        </x:is>
      </x:c>
      <x:c r="B410" t="inlineStr">
        <x:is>
          <x:t xml:space="preserve">AA|v4.3.2</x:t>
        </x:is>
      </x:c>
      <x:c r="C410" t="n">
        <x:v>53</x:v>
      </x:c>
      <x:c r="D410" t="n">
        <x:v>20</x:v>
      </x:c>
      <x:c r="E410" t="n">
        <x:f>INDEX(Model_TestVersion_Stats!$W:$W,C410)</x:f>
        <x:v>46</x:v>
      </x:c>
      <x:c r="F410" t="n">
        <x:f>INDEX(Model_TestVersion_Stats!$O:$O,C410)</x:f>
        <x:v>0.82</x:v>
      </x:c>
      <x:c r="G410" t="n">
        <x:f>IF(INDEX(Model_TestVersion_Stats!$R:$R,C410)="","",INDEX(Model_TestVersion_Stats!$R:$R,C410)/60)</x:f>
        <x:v>1.4164999999999999</x:v>
      </x:c>
      <x:c r="H410" t="n">
        <x:f>IF(E410="","",E410-(D410-1))</x:f>
        <x:v>27</x:v>
      </x:c>
      <x:c r="I410" t="n">
        <x:f>IF(H410&gt;0,1,0)</x:f>
        <x:v>1</x:v>
      </x:c>
      <x:c r="J410" t="n">
        <x:f>IF(OR(I410=0,F410="",F410=0),"",H410/F410)</x:f>
        <x:v>32.926829268292686</x:v>
      </x:c>
      <x:c r="K410" t="n">
        <x:f>IF(OR(I410=0,H410=0,F410=""),"",F410/H410)</x:f>
        <x:v>0.030370370370370367</x:v>
      </x:c>
      <x:c r="L410" t="n">
        <x:f>IF(OR(I410=0,F410="",G410="",F410=0,G410=0),"",H410/(F410*G410))</x:f>
        <x:v>23.245202448494663</x:v>
      </x:c>
      <x:c r="M410" t="n">
        <x:f>IF(J410="","",J410/_xlfn.MAXIFS($J:$J,$D:$D,D410))</x:f>
        <x:v>0.05926829268292683</x:v>
      </x:c>
      <x:c r="N410" t="n">
        <x:f>IF(L410="","",L410/_xlfn.MAXIFS($L:$L,$D:$D,D410))</x:f>
        <x:v>0.009853641317916887</x:v>
      </x:c>
      <x:c r="O410" t="n">
        <x:f>IF(OR(M410="",N410=""),"",SQRT(M410*N410))</x:f>
        <x:v>0.024166267763617928</x:v>
      </x:c>
      <x:c r="P410" t="n">
        <x:f>IF(OR(M410="",N410=""),"",M410^0.7*N410^0.3)</x:f>
        <x:v>0.034598296539388874</x:v>
      </x:c>
      <x:c r="Q410" t="n">
        <x:f>IF(OR(M410="",N410=""),"",M410^0.3*N410^0.7)</x:f>
        <x:v>0.016879689349965747</x:v>
      </x:c>
    </x:row>
    <x:row r="411">
      <x:c r="A411" t="inlineStr">
        <x:is>
          <x:t xml:space="preserve">openai|gpt-6-astra|low|reasoning|fallback-na</x:t>
        </x:is>
      </x:c>
      <x:c r="B411" t="inlineStr">
        <x:is>
          <x:t xml:space="preserve">AA|v4.3.2</x:t>
        </x:is>
      </x:c>
      <x:c r="C411" t="n">
        <x:v>53</x:v>
      </x:c>
      <x:c r="D411" t="n">
        <x:v>30</x:v>
      </x:c>
      <x:c r="E411" t="n">
        <x:f>INDEX(Model_TestVersion_Stats!$W:$W,C411)</x:f>
        <x:v>46</x:v>
      </x:c>
      <x:c r="F411" t="n">
        <x:f>INDEX(Model_TestVersion_Stats!$O:$O,C411)</x:f>
        <x:v>0.82</x:v>
      </x:c>
      <x:c r="G411" t="n">
        <x:f>IF(INDEX(Model_TestVersion_Stats!$R:$R,C411)="","",INDEX(Model_TestVersion_Stats!$R:$R,C411)/60)</x:f>
        <x:v>1.4164999999999999</x:v>
      </x:c>
      <x:c r="H411" t="n">
        <x:f>IF(E411="","",E411-(D411-1))</x:f>
        <x:v>17</x:v>
      </x:c>
      <x:c r="I411" t="n">
        <x:f>IF(H411&gt;0,1,0)</x:f>
        <x:v>1</x:v>
      </x:c>
      <x:c r="J411" t="n">
        <x:f>IF(OR(I411=0,F411="",F411=0),"",H411/F411)</x:f>
        <x:v>20.731707317073173</x:v>
      </x:c>
      <x:c r="K411" t="n">
        <x:f>IF(OR(I411=0,H411=0,F411=""),"",F411/H411)</x:f>
        <x:v>0.04823529411764706</x:v>
      </x:c>
      <x:c r="L411" t="n">
        <x:f>IF(OR(I411=0,F411="",G411="",F411=0,G411=0),"",H411/(F411*G411))</x:f>
        <x:v>14.635868208311456</x:v>
      </x:c>
      <x:c r="M411" t="n">
        <x:f>IF(J411="","",J411/_xlfn.MAXIFS($J:$J,$D:$D,D411))</x:f>
        <x:v>0.13821138211382114</x:v>
      </x:c>
      <x:c r="N411" t="n">
        <x:f>IF(L411="","",L411/_xlfn.MAXIFS($L:$L,$D:$D,D411))</x:f>
        <x:v>0.26047454650331897</x:v>
      </x:c>
      <x:c r="O411" t="n">
        <x:f>IF(OR(M411="",N411=""),"",SQRT(M411*N411))</x:f>
        <x:v>0.18973810128093538</x:v>
      </x:c>
      <x:c r="P411" t="n">
        <x:f>IF(OR(M411="",N411=""),"",M411^0.7*N411^0.3)</x:f>
        <x:v>0.16715149071351137</x:v>
      </x:c>
      <x:c r="Q411" t="n">
        <x:f>IF(OR(M411="",N411=""),"",M411^0.3*N411^0.7)</x:f>
        <x:v>0.21537676346181975</x:v>
      </x:c>
    </x:row>
    <x:row r="412">
      <x:c r="A412" t="inlineStr">
        <x:is>
          <x:t xml:space="preserve">openai|gpt-6-astra|low|reasoning|fallback-na</x:t>
        </x:is>
      </x:c>
      <x:c r="B412" t="inlineStr">
        <x:is>
          <x:t xml:space="preserve">AA|v4.3.2</x:t>
        </x:is>
      </x:c>
      <x:c r="C412" t="n">
        <x:v>53</x:v>
      </x:c>
      <x:c r="D412" t="n">
        <x:v>40</x:v>
      </x:c>
      <x:c r="E412" t="n">
        <x:f>INDEX(Model_TestVersion_Stats!$W:$W,C412)</x:f>
        <x:v>46</x:v>
      </x:c>
      <x:c r="F412" t="n">
        <x:f>INDEX(Model_TestVersion_Stats!$O:$O,C412)</x:f>
        <x:v>0.82</x:v>
      </x:c>
      <x:c r="G412" t="n">
        <x:f>IF(INDEX(Model_TestVersion_Stats!$R:$R,C412)="","",INDEX(Model_TestVersion_Stats!$R:$R,C412)/60)</x:f>
        <x:v>1.4164999999999999</x:v>
      </x:c>
      <x:c r="H412" t="n">
        <x:f>IF(E412="","",E412-(D412-1))</x:f>
        <x:v>7</x:v>
      </x:c>
      <x:c r="I412" t="n">
        <x:f>IF(H412&gt;0,1,0)</x:f>
        <x:v>1</x:v>
      </x:c>
      <x:c r="J412" t="n">
        <x:f>IF(OR(I412=0,F412="",F412=0),"",H412/F412)</x:f>
        <x:v>8.536585365853659</x:v>
      </x:c>
      <x:c r="K412" t="n">
        <x:f>IF(OR(I412=0,H412=0,F412=""),"",F412/H412)</x:f>
        <x:v>0.11714285714285713</x:v>
      </x:c>
      <x:c r="L412" t="n">
        <x:f>IF(OR(I412=0,F412="",G412="",F412=0,G412=0),"",H412/(F412*G412))</x:f>
        <x:v>6.026533968128246</x:v>
      </x:c>
      <x:c r="M412" t="n">
        <x:f>IF(J412="","",J412/_xlfn.MAXIFS($J:$J,$D:$D,D412))</x:f>
        <x:v>0.15853658536585366</x:v>
      </x:c>
      <x:c r="N412" t="n">
        <x:f>IF(L412="","",L412/_xlfn.MAXIFS($L:$L,$D:$D,D412))</x:f>
        <x:v>1</x:v>
      </x:c>
      <x:c r="O412" t="n">
        <x:f>IF(OR(M412="",N412=""),"",SQRT(M412*N412))</x:f>
        <x:v>0.39816652969059774</x:v>
      </x:c>
      <x:c r="P412" t="n">
        <x:f>IF(OR(M412="",N412=""),"",M412^0.7*N412^0.3)</x:f>
        <x:v>0.27548036513348295</x:v>
      </x:c>
      <x:c r="Q412" t="n">
        <x:f>IF(OR(M412="",N412=""),"",M412^0.3*N412^0.7)</x:f>
        <x:v>0.5754914158366073</x:v>
      </x:c>
    </x:row>
    <x:row r="413">
      <x:c r="A413" t="inlineStr">
        <x:is>
          <x:t xml:space="preserve">openai|gpt-6-astra|low|reasoning|fallback-na</x:t>
        </x:is>
      </x:c>
      <x:c r="B413" t="inlineStr">
        <x:is>
          <x:t xml:space="preserve">AA|v4.3.2</x:t>
        </x:is>
      </x:c>
      <x:c r="C413" t="n">
        <x:v>53</x:v>
      </x:c>
      <x:c r="D413" t="n">
        <x:v>45</x:v>
      </x:c>
      <x:c r="E413" t="n">
        <x:f>INDEX(Model_TestVersion_Stats!$W:$W,C413)</x:f>
        <x:v>46</x:v>
      </x:c>
      <x:c r="F413" t="n">
        <x:f>INDEX(Model_TestVersion_Stats!$O:$O,C413)</x:f>
        <x:v>0.82</x:v>
      </x:c>
      <x:c r="G413" t="n">
        <x:f>IF(INDEX(Model_TestVersion_Stats!$R:$R,C413)="","",INDEX(Model_TestVersion_Stats!$R:$R,C413)/60)</x:f>
        <x:v>1.4164999999999999</x:v>
      </x:c>
      <x:c r="H413" t="n">
        <x:f>IF(E413="","",E413-(D413-1))</x:f>
        <x:v>2</x:v>
      </x:c>
      <x:c r="I413" t="n">
        <x:f>IF(H413&gt;0,1,0)</x:f>
        <x:v>1</x:v>
      </x:c>
      <x:c r="J413" t="n">
        <x:f>IF(OR(I413=0,F413="",F413=0),"",H413/F413)</x:f>
        <x:v>2.4390243902439024</x:v>
      </x:c>
      <x:c r="K413" t="n">
        <x:f>IF(OR(I413=0,H413=0,F413=""),"",F413/H413)</x:f>
        <x:v>0.41</x:v>
      </x:c>
      <x:c r="L413" t="n">
        <x:f>IF(OR(I413=0,F413="",G413="",F413=0,G413=0),"",H413/(F413*G413))</x:f>
        <x:v>1.7218668480366417</x:v>
      </x:c>
      <x:c r="M413" t="n">
        <x:f>IF(J413="","",J413/_xlfn.MAXIFS($J:$J,$D:$D,D413))</x:f>
        <x:v>0.12804878048780488</x:v>
      </x:c>
      <x:c r="N413" t="n">
        <x:f>IF(L413="","",L413/_xlfn.MAXIFS($L:$L,$D:$D,D413))</x:f>
        <x:v>1</x:v>
      </x:c>
      <x:c r="O413" t="n">
        <x:f>IF(OR(M413="",N413=""),"",SQRT(M413*N413))</x:f>
        <x:v>0.3578390427102734</x:v>
      </x:c>
      <x:c r="P413" t="n">
        <x:f>IF(OR(M413="",N413=""),"",M413^0.7*N413^0.3)</x:f>
        <x:v>0.2372262876730764</x:v>
      </x:c>
      <x:c r="Q413" t="n">
        <x:f>IF(OR(M413="",N413=""),"",M413^0.3*N413^0.7)</x:f>
        <x:v>0.5397748358490102</x:v>
      </x:c>
    </x:row>
    <x:row r="414">
      <x:c r="A414" t="inlineStr">
        <x:is>
          <x:t xml:space="preserve">openai|gpt-6-astra|low|reasoning|fallback-na</x:t>
        </x:is>
      </x:c>
      <x:c r="B414" t="inlineStr">
        <x:is>
          <x:t xml:space="preserve">AA|v4.3.2</x:t>
        </x:is>
      </x:c>
      <x:c r="C414" t="n">
        <x:v>53</x:v>
      </x:c>
      <x:c r="D414" t="n">
        <x:v>50</x:v>
      </x:c>
      <x:c r="E414" t="n">
        <x:f>INDEX(Model_TestVersion_Stats!$W:$W,C414)</x:f>
        <x:v>46</x:v>
      </x:c>
      <x:c r="F414" t="n">
        <x:f>INDEX(Model_TestVersion_Stats!$O:$O,C414)</x:f>
        <x:v>0.82</x:v>
      </x:c>
      <x:c r="G414" t="n">
        <x:f>IF(INDEX(Model_TestVersion_Stats!$R:$R,C414)="","",INDEX(Model_TestVersion_Stats!$R:$R,C414)/60)</x:f>
        <x:v>1.4164999999999999</x:v>
      </x:c>
      <x:c r="H414" t="n">
        <x:f>IF(E414="","",E414-(D414-1))</x:f>
        <x:v>-3</x:v>
      </x:c>
      <x:c r="I414" t="n">
        <x:f>IF(H414&gt;0,1,0)</x:f>
        <x:v>0</x:v>
      </x:c>
      <x:c r="J414" t="str">
        <x:f>IF(OR(I414=0,F414="",F414=0),"",H414/F414)</x:f>
      </x:c>
      <x:c r="K414" t="str">
        <x:f>IF(OR(I414=0,H414=0,F414=""),"",F414/H414)</x:f>
      </x:c>
      <x:c r="L414" t="str">
        <x:f>IF(OR(I414=0,F414="",G414="",F414=0,G414=0),"",H414/(F414*G414))</x:f>
      </x:c>
      <x:c r="M414" t="str">
        <x:f>IF(J414="","",J414/_xlfn.MAXIFS($J:$J,$D:$D,D414))</x:f>
      </x:c>
      <x:c r="N414" t="str">
        <x:f>IF(L414="","",L414/_xlfn.MAXIFS($L:$L,$D:$D,D414))</x:f>
      </x:c>
      <x:c r="O414" t="str">
        <x:f>IF(OR(M414="",N414=""),"",SQRT(M414*N414))</x:f>
      </x:c>
      <x:c r="P414" t="str">
        <x:f>IF(OR(M414="",N414=""),"",M414^0.7*N414^0.3)</x:f>
      </x:c>
      <x:c r="Q414" t="str">
        <x:f>IF(OR(M414="",N414=""),"",M414^0.3*N414^0.7)</x:f>
      </x:c>
    </x:row>
    <x:row r="415">
      <x:c r="A415" t="inlineStr">
        <x:is>
          <x:t xml:space="preserve">openai|gpt-6-astra|low|reasoning|fallback-na</x:t>
        </x:is>
      </x:c>
      <x:c r="B415" t="inlineStr">
        <x:is>
          <x:t xml:space="preserve">AA|v4.3.2</x:t>
        </x:is>
      </x:c>
      <x:c r="C415" t="n">
        <x:v>53</x:v>
      </x:c>
      <x:c r="D415" t="n">
        <x:v>52</x:v>
      </x:c>
      <x:c r="E415" t="n">
        <x:f>INDEX(Model_TestVersion_Stats!$W:$W,C415)</x:f>
        <x:v>46</x:v>
      </x:c>
      <x:c r="F415" t="n">
        <x:f>INDEX(Model_TestVersion_Stats!$O:$O,C415)</x:f>
        <x:v>0.82</x:v>
      </x:c>
      <x:c r="G415" t="n">
        <x:f>IF(INDEX(Model_TestVersion_Stats!$R:$R,C415)="","",INDEX(Model_TestVersion_Stats!$R:$R,C415)/60)</x:f>
        <x:v>1.4164999999999999</x:v>
      </x:c>
      <x:c r="H415" t="n">
        <x:f>IF(E415="","",E415-(D415-1))</x:f>
        <x:v>-5</x:v>
      </x:c>
      <x:c r="I415" t="n">
        <x:f>IF(H415&gt;0,1,0)</x:f>
        <x:v>0</x:v>
      </x:c>
      <x:c r="J415" t="str">
        <x:f>IF(OR(I415=0,F415="",F415=0),"",H415/F415)</x:f>
      </x:c>
      <x:c r="K415" t="str">
        <x:f>IF(OR(I415=0,H415=0,F415=""),"",F415/H415)</x:f>
      </x:c>
      <x:c r="L415" t="str">
        <x:f>IF(OR(I415=0,F415="",G415="",F415=0,G415=0),"",H415/(F415*G415))</x:f>
      </x:c>
      <x:c r="M415" t="str">
        <x:f>IF(J415="","",J415/_xlfn.MAXIFS($J:$J,$D:$D,D415))</x:f>
      </x:c>
      <x:c r="N415" t="str">
        <x:f>IF(L415="","",L415/_xlfn.MAXIFS($L:$L,$D:$D,D415))</x:f>
      </x:c>
      <x:c r="O415" t="str">
        <x:f>IF(OR(M415="",N415=""),"",SQRT(M415*N415))</x:f>
      </x:c>
      <x:c r="P415" t="str">
        <x:f>IF(OR(M415="",N415=""),"",M415^0.7*N415^0.3)</x:f>
      </x:c>
      <x:c r="Q415" t="str">
        <x:f>IF(OR(M415="",N415=""),"",M415^0.3*N415^0.7)</x:f>
      </x:c>
    </x:row>
    <x:row r="416">
      <x:c r="A416" t="inlineStr">
        <x:is>
          <x:t xml:space="preserve">openai|gpt-6-astra|low|reasoning|fallback-na</x:t>
        </x:is>
      </x:c>
      <x:c r="B416" t="inlineStr">
        <x:is>
          <x:t xml:space="preserve">AA|v4.3.2</x:t>
        </x:is>
      </x:c>
      <x:c r="C416" t="n">
        <x:v>53</x:v>
      </x:c>
      <x:c r="D416" t="n">
        <x:v>65</x:v>
      </x:c>
      <x:c r="E416" t="n">
        <x:f>INDEX(Model_TestVersion_Stats!$W:$W,C416)</x:f>
        <x:v>46</x:v>
      </x:c>
      <x:c r="F416" t="n">
        <x:f>INDEX(Model_TestVersion_Stats!$O:$O,C416)</x:f>
        <x:v>0.82</x:v>
      </x:c>
      <x:c r="G416" t="n">
        <x:f>IF(INDEX(Model_TestVersion_Stats!$R:$R,C416)="","",INDEX(Model_TestVersion_Stats!$R:$R,C416)/60)</x:f>
        <x:v>1.4164999999999999</x:v>
      </x:c>
      <x:c r="H416" t="n">
        <x:f>IF(E416="","",E416-(D416-1))</x:f>
        <x:v>-18</x:v>
      </x:c>
      <x:c r="I416" t="n">
        <x:f>IF(H416&gt;0,1,0)</x:f>
        <x:v>0</x:v>
      </x:c>
      <x:c r="J416" t="str">
        <x:f>IF(OR(I416=0,F416="",F416=0),"",H416/F416)</x:f>
      </x:c>
      <x:c r="K416" t="str">
        <x:f>IF(OR(I416=0,H416=0,F416=""),"",F416/H416)</x:f>
      </x:c>
      <x:c r="L416" t="str">
        <x:f>IF(OR(I416=0,F416="",G416="",F416=0,G416=0),"",H416/(F416*G416))</x:f>
      </x:c>
      <x:c r="M416" t="str">
        <x:f>IF(J416="","",J416/_xlfn.MAXIFS($J:$J,$D:$D,D416))</x:f>
      </x:c>
      <x:c r="N416" t="str">
        <x:f>IF(L416="","",L416/_xlfn.MAXIFS($L:$L,$D:$D,D416))</x:f>
      </x:c>
      <x:c r="O416" t="str">
        <x:f>IF(OR(M416="",N416=""),"",SQRT(M416*N416))</x:f>
      </x:c>
      <x:c r="P416" t="str">
        <x:f>IF(OR(M416="",N416=""),"",M416^0.7*N416^0.3)</x:f>
      </x:c>
      <x:c r="Q416" t="str">
        <x:f>IF(OR(M416="",N416=""),"",M416^0.3*N416^0.7)</x:f>
      </x:c>
    </x:row>
    <x:row r="417">
      <x:c r="A417" t="inlineStr">
        <x:is>
          <x:t xml:space="preserve">openai|gpt-6-astra|low|reasoning|fallback-na</x:t>
        </x:is>
      </x:c>
      <x:c r="B417" t="inlineStr">
        <x:is>
          <x:t xml:space="preserve">AA|v4.3.2</x:t>
        </x:is>
      </x:c>
      <x:c r="C417" t="n">
        <x:v>53</x:v>
      </x:c>
      <x:c r="D417" t="n">
        <x:v>80</x:v>
      </x:c>
      <x:c r="E417" t="n">
        <x:f>INDEX(Model_TestVersion_Stats!$W:$W,C417)</x:f>
        <x:v>46</x:v>
      </x:c>
      <x:c r="F417" t="n">
        <x:f>INDEX(Model_TestVersion_Stats!$O:$O,C417)</x:f>
        <x:v>0.82</x:v>
      </x:c>
      <x:c r="G417" t="n">
        <x:f>IF(INDEX(Model_TestVersion_Stats!$R:$R,C417)="","",INDEX(Model_TestVersion_Stats!$R:$R,C417)/60)</x:f>
        <x:v>1.4164999999999999</x:v>
      </x:c>
      <x:c r="H417" t="n">
        <x:f>IF(E417="","",E417-(D417-1))</x:f>
        <x:v>-33</x:v>
      </x:c>
      <x:c r="I417" t="n">
        <x:f>IF(H417&gt;0,1,0)</x:f>
        <x:v>0</x:v>
      </x:c>
      <x:c r="J417" t="str">
        <x:f>IF(OR(I417=0,F417="",F417=0),"",H417/F417)</x:f>
      </x:c>
      <x:c r="K417" t="str">
        <x:f>IF(OR(I417=0,H417=0,F417=""),"",F417/H417)</x:f>
      </x:c>
      <x:c r="L417" t="str">
        <x:f>IF(OR(I417=0,F417="",G417="",F417=0,G417=0),"",H417/(F417*G417))</x:f>
      </x:c>
      <x:c r="M417" t="str">
        <x:f>IF(J417="","",J417/_xlfn.MAXIFS($J:$J,$D:$D,D417))</x:f>
      </x:c>
      <x:c r="N417" t="str">
        <x:f>IF(L417="","",L417/_xlfn.MAXIFS($L:$L,$D:$D,D417))</x:f>
      </x:c>
      <x:c r="O417" t="str">
        <x:f>IF(OR(M417="",N417=""),"",SQRT(M417*N417))</x:f>
      </x:c>
      <x:c r="P417" t="str">
        <x:f>IF(OR(M417="",N417=""),"",M417^0.7*N417^0.3)</x:f>
      </x:c>
      <x:c r="Q417" t="str">
        <x:f>IF(OR(M417="",N417=""),"",M417^0.3*N417^0.7)</x:f>
      </x:c>
    </x:row>
    <x:row r="418">
      <x:c r="A418" t="inlineStr">
        <x:is>
          <x:t xml:space="preserve">openai|gpt-6-astra|max|reasoning|fallback-na</x:t>
        </x:is>
      </x:c>
      <x:c r="B418" t="inlineStr">
        <x:is>
          <x:t xml:space="preserve">AA|v4.3.2</x:t>
        </x:is>
      </x:c>
      <x:c r="C418" t="n">
        <x:v>54</x:v>
      </x:c>
      <x:c r="D418" t="n">
        <x:v>20</x:v>
      </x:c>
      <x:c r="E418" t="n">
        <x:f>INDEX(Model_TestVersion_Stats!$W:$W,C418)</x:f>
        <x:v>53</x:v>
      </x:c>
      <x:c r="F418" t="n">
        <x:f>INDEX(Model_TestVersion_Stats!$O:$O,C418)</x:f>
        <x:v>3.26</x:v>
      </x:c>
      <x:c r="G418" t="n">
        <x:f>IF(INDEX(Model_TestVersion_Stats!$R:$R,C418)="","",INDEX(Model_TestVersion_Stats!$R:$R,C418)/60)</x:f>
        <x:v>7.071833333333333</x:v>
      </x:c>
      <x:c r="H418" t="n">
        <x:f>IF(E418="","",E418-(D418-1))</x:f>
        <x:v>34</x:v>
      </x:c>
      <x:c r="I418" t="n">
        <x:f>IF(H418&gt;0,1,0)</x:f>
        <x:v>1</x:v>
      </x:c>
      <x:c r="J418" t="n">
        <x:f>IF(OR(I418=0,F418="",F418=0),"",H418/F418)</x:f>
        <x:v>10.429447852760736</x:v>
      </x:c>
      <x:c r="K418" t="n">
        <x:f>IF(OR(I418=0,H418=0,F418=""),"",F418/H418)</x:f>
        <x:v>0.09588235294117646</x:v>
      </x:c>
      <x:c r="L418" t="n">
        <x:f>IF(OR(I418=0,F418="",G418="",F418=0,G418=0),"",H418/(F418*G418))</x:f>
        <x:v>1.4747869981043207</x:v>
      </x:c>
      <x:c r="M418" t="n">
        <x:f>IF(J418="","",J418/_xlfn.MAXIFS($J:$J,$D:$D,D418))</x:f>
        <x:v>0.018773006134969326</x:v>
      </x:c>
      <x:c r="N418" t="n">
        <x:f>IF(L418="","",L418/_xlfn.MAXIFS($L:$L,$D:$D,D418))</x:f>
        <x:v>0.0006251622084964216</x:v>
      </x:c>
      <x:c r="O418" t="n">
        <x:f>IF(OR(M418="",N418=""),"",SQRT(M418*N418))</x:f>
        <x:v>0.0034258099736345993</x:v>
      </x:c>
      <x:c r="P418" t="n">
        <x:f>IF(OR(M418="",N418=""),"",M418^0.7*N418^0.3)</x:f>
        <x:v>0.006765057472150566</x:v>
      </x:c>
      <x:c r="Q418" t="n">
        <x:f>IF(OR(M418="",N418=""),"",M418^0.3*N418^0.7)</x:f>
        <x:v>0.0017348225087174983</x:v>
      </x:c>
    </x:row>
    <x:row r="419">
      <x:c r="A419" t="inlineStr">
        <x:is>
          <x:t xml:space="preserve">openai|gpt-6-astra|max|reasoning|fallback-na</x:t>
        </x:is>
      </x:c>
      <x:c r="B419" t="inlineStr">
        <x:is>
          <x:t xml:space="preserve">AA|v4.3.2</x:t>
        </x:is>
      </x:c>
      <x:c r="C419" t="n">
        <x:v>54</x:v>
      </x:c>
      <x:c r="D419" t="n">
        <x:v>30</x:v>
      </x:c>
      <x:c r="E419" t="n">
        <x:f>INDEX(Model_TestVersion_Stats!$W:$W,C419)</x:f>
        <x:v>53</x:v>
      </x:c>
      <x:c r="F419" t="n">
        <x:f>INDEX(Model_TestVersion_Stats!$O:$O,C419)</x:f>
        <x:v>3.26</x:v>
      </x:c>
      <x:c r="G419" t="n">
        <x:f>IF(INDEX(Model_TestVersion_Stats!$R:$R,C419)="","",INDEX(Model_TestVersion_Stats!$R:$R,C419)/60)</x:f>
        <x:v>7.071833333333333</x:v>
      </x:c>
      <x:c r="H419" t="n">
        <x:f>IF(E419="","",E419-(D419-1))</x:f>
        <x:v>24</x:v>
      </x:c>
      <x:c r="I419" t="n">
        <x:f>IF(H419&gt;0,1,0)</x:f>
        <x:v>1</x:v>
      </x:c>
      <x:c r="J419" t="n">
        <x:f>IF(OR(I419=0,F419="",F419=0),"",H419/F419)</x:f>
        <x:v>7.361963190184049</x:v>
      </x:c>
      <x:c r="K419" t="n">
        <x:f>IF(OR(I419=0,H419=0,F419=""),"",F419/H419)</x:f>
        <x:v>0.13583333333333333</x:v>
      </x:c>
      <x:c r="L419" t="n">
        <x:f>IF(OR(I419=0,F419="",G419="",F419=0,G419=0),"",H419/(F419*G419))</x:f>
        <x:v>1.0410261163089323</x:v>
      </x:c>
      <x:c r="M419" t="n">
        <x:f>IF(J419="","",J419/_xlfn.MAXIFS($J:$J,$D:$D,D419))</x:f>
        <x:v>0.049079754601226995</x:v>
      </x:c>
      <x:c r="N419" t="n">
        <x:f>IF(L419="","",L419/_xlfn.MAXIFS($L:$L,$D:$D,D419))</x:f>
        <x:v>0.01852714179195007</x:v>
      </x:c>
      <x:c r="O419" t="n">
        <x:f>IF(OR(M419="",N419=""),"",SQRT(M419*N419))</x:f>
        <x:v>0.030154727201734826</x:v>
      </x:c>
      <x:c r="P419" t="n">
        <x:f>IF(OR(M419="",N419=""),"",M419^0.7*N419^0.3)</x:f>
        <x:v>0.036641580256173166</x:v>
      </x:c>
      <x:c r="Q419" t="n">
        <x:f>IF(OR(M419="",N419=""),"",M419^0.3*N419^0.7)</x:f>
        <x:v>0.024816276106373762</x:v>
      </x:c>
    </x:row>
    <x:row r="420">
      <x:c r="A420" t="inlineStr">
        <x:is>
          <x:t xml:space="preserve">openai|gpt-6-astra|max|reasoning|fallback-na</x:t>
        </x:is>
      </x:c>
      <x:c r="B420" t="inlineStr">
        <x:is>
          <x:t xml:space="preserve">AA|v4.3.2</x:t>
        </x:is>
      </x:c>
      <x:c r="C420" t="n">
        <x:v>54</x:v>
      </x:c>
      <x:c r="D420" t="n">
        <x:v>40</x:v>
      </x:c>
      <x:c r="E420" t="n">
        <x:f>INDEX(Model_TestVersion_Stats!$W:$W,C420)</x:f>
        <x:v>53</x:v>
      </x:c>
      <x:c r="F420" t="n">
        <x:f>INDEX(Model_TestVersion_Stats!$O:$O,C420)</x:f>
        <x:v>3.26</x:v>
      </x:c>
      <x:c r="G420" t="n">
        <x:f>IF(INDEX(Model_TestVersion_Stats!$R:$R,C420)="","",INDEX(Model_TestVersion_Stats!$R:$R,C420)/60)</x:f>
        <x:v>7.071833333333333</x:v>
      </x:c>
      <x:c r="H420" t="n">
        <x:f>IF(E420="","",E420-(D420-1))</x:f>
        <x:v>14</x:v>
      </x:c>
      <x:c r="I420" t="n">
        <x:f>IF(H420&gt;0,1,0)</x:f>
        <x:v>1</x:v>
      </x:c>
      <x:c r="J420" t="n">
        <x:f>IF(OR(I420=0,F420="",F420=0),"",H420/F420)</x:f>
        <x:v>4.294478527607362</x:v>
      </x:c>
      <x:c r="K420" t="n">
        <x:f>IF(OR(I420=0,H420=0,F420=""),"",F420/H420)</x:f>
        <x:v>0.23285714285714285</x:v>
      </x:c>
      <x:c r="L420" t="n">
        <x:f>IF(OR(I420=0,F420="",G420="",F420=0,G420=0),"",H420/(F420*G420))</x:f>
        <x:v>0.6072652345135438</x:v>
      </x:c>
      <x:c r="M420" t="n">
        <x:f>IF(J420="","",J420/_xlfn.MAXIFS($J:$J,$D:$D,D420))</x:f>
        <x:v>0.07975460122699386</x:v>
      </x:c>
      <x:c r="N420" t="n">
        <x:f>IF(L420="","",L420/_xlfn.MAXIFS($L:$L,$D:$D,D420))</x:f>
        <x:v>0.10076525540635947</x:v>
      </x:c>
      <x:c r="O420" t="n">
        <x:f>IF(OR(M420="",N420=""),"",SQRT(M420*N420))</x:f>
        <x:v>0.08964648773081066</x:v>
      </x:c>
      <x:c r="P420" t="n">
        <x:f>IF(OR(M420="",N420=""),"",M420^0.7*N420^0.3)</x:f>
        <x:v>0.08555044374425375</x:v>
      </x:c>
      <x:c r="Q420" t="n">
        <x:f>IF(OR(M420="",N420=""),"",M420^0.3*N420^0.7)</x:f>
        <x:v>0.09393864497646379</x:v>
      </x:c>
    </x:row>
    <x:row r="421">
      <x:c r="A421" t="inlineStr">
        <x:is>
          <x:t xml:space="preserve">openai|gpt-6-astra|max|reasoning|fallback-na</x:t>
        </x:is>
      </x:c>
      <x:c r="B421" t="inlineStr">
        <x:is>
          <x:t xml:space="preserve">AA|v4.3.2</x:t>
        </x:is>
      </x:c>
      <x:c r="C421" t="n">
        <x:v>54</x:v>
      </x:c>
      <x:c r="D421" t="n">
        <x:v>45</x:v>
      </x:c>
      <x:c r="E421" t="n">
        <x:f>INDEX(Model_TestVersion_Stats!$W:$W,C421)</x:f>
        <x:v>53</x:v>
      </x:c>
      <x:c r="F421" t="n">
        <x:f>INDEX(Model_TestVersion_Stats!$O:$O,C421)</x:f>
        <x:v>3.26</x:v>
      </x:c>
      <x:c r="G421" t="n">
        <x:f>IF(INDEX(Model_TestVersion_Stats!$R:$R,C421)="","",INDEX(Model_TestVersion_Stats!$R:$R,C421)/60)</x:f>
        <x:v>7.071833333333333</x:v>
      </x:c>
      <x:c r="H421" t="n">
        <x:f>IF(E421="","",E421-(D421-1))</x:f>
        <x:v>9</x:v>
      </x:c>
      <x:c r="I421" t="n">
        <x:f>IF(H421&gt;0,1,0)</x:f>
        <x:v>1</x:v>
      </x:c>
      <x:c r="J421" t="n">
        <x:f>IF(OR(I421=0,F421="",F421=0),"",H421/F421)</x:f>
        <x:v>2.7607361963190185</x:v>
      </x:c>
      <x:c r="K421" t="n">
        <x:f>IF(OR(I421=0,H421=0,F421=""),"",F421/H421)</x:f>
        <x:v>0.3622222222222222</x:v>
      </x:c>
      <x:c r="L421" t="n">
        <x:f>IF(OR(I421=0,F421="",G421="",F421=0,G421=0),"",H421/(F421*G421))</x:f>
        <x:v>0.39038479361584955</x:v>
      </x:c>
      <x:c r="M421" t="n">
        <x:f>IF(J421="","",J421/_xlfn.MAXIFS($J:$J,$D:$D,D421))</x:f>
        <x:v>0.14493865030674846</x:v>
      </x:c>
      <x:c r="N421" t="n">
        <x:f>IF(L421="","",L421/_xlfn.MAXIFS($L:$L,$D:$D,D421))</x:f>
        <x:v>0.22672182466430882</x:v>
      </x:c>
      <x:c r="O421" t="n">
        <x:f>IF(OR(M421="",N421=""),"",SQRT(M421*N421))</x:f>
        <x:v>0.18127535756943963</x:v>
      </x:c>
      <x:c r="P421" t="n">
        <x:f>IF(OR(M421="",N421=""),"",M421^0.7*N421^0.3)</x:f>
        <x:v>0.16575893486601043</x:v>
      </x:c>
      <x:c r="Q421" t="n">
        <x:f>IF(OR(M421="",N421=""),"",M421^0.3*N421^0.7)</x:f>
        <x:v>0.19824424721654288</x:v>
      </x:c>
    </x:row>
    <x:row r="422">
      <x:c r="A422" t="inlineStr">
        <x:is>
          <x:t xml:space="preserve">openai|gpt-6-astra|max|reasoning|fallback-na</x:t>
        </x:is>
      </x:c>
      <x:c r="B422" t="inlineStr">
        <x:is>
          <x:t xml:space="preserve">AA|v4.3.2</x:t>
        </x:is>
      </x:c>
      <x:c r="C422" t="n">
        <x:v>54</x:v>
      </x:c>
      <x:c r="D422" t="n">
        <x:v>50</x:v>
      </x:c>
      <x:c r="E422" t="n">
        <x:f>INDEX(Model_TestVersion_Stats!$W:$W,C422)</x:f>
        <x:v>53</x:v>
      </x:c>
      <x:c r="F422" t="n">
        <x:f>INDEX(Model_TestVersion_Stats!$O:$O,C422)</x:f>
        <x:v>3.26</x:v>
      </x:c>
      <x:c r="G422" t="n">
        <x:f>IF(INDEX(Model_TestVersion_Stats!$R:$R,C422)="","",INDEX(Model_TestVersion_Stats!$R:$R,C422)/60)</x:f>
        <x:v>7.071833333333333</x:v>
      </x:c>
      <x:c r="H422" t="n">
        <x:f>IF(E422="","",E422-(D422-1))</x:f>
        <x:v>4</x:v>
      </x:c>
      <x:c r="I422" t="n">
        <x:f>IF(H422&gt;0,1,0)</x:f>
        <x:v>1</x:v>
      </x:c>
      <x:c r="J422" t="n">
        <x:f>IF(OR(I422=0,F422="",F422=0),"",H422/F422)</x:f>
        <x:v>1.2269938650306749</x:v>
      </x:c>
      <x:c r="K422" t="n">
        <x:f>IF(OR(I422=0,H422=0,F422=""),"",F422/H422)</x:f>
        <x:v>0.815</x:v>
      </x:c>
      <x:c r="L422" t="n">
        <x:f>IF(OR(I422=0,F422="",G422="",F422=0,G422=0),"",H422/(F422*G422))</x:f>
        <x:v>0.17350435271815537</x:v>
      </x:c>
      <x:c r="M422" t="n">
        <x:f>IF(J422="","",J422/_xlfn.MAXIFS($J:$J,$D:$D,D422))</x:f>
        <x:v>0.23926380368098163</x:v>
      </x:c>
      <x:c r="N422" t="n">
        <x:f>IF(L422="","",L422/_xlfn.MAXIFS($L:$L,$D:$D,D422))</x:f>
        <x:v>0.5692582385288683</x:v>
      </x:c>
      <x:c r="O422" t="n">
        <x:f>IF(OR(M422="",N422=""),"",SQRT(M422*N422))</x:f>
        <x:v>0.3690567590861229</x:v>
      </x:c>
      <x:c r="P422" t="n">
        <x:f>IF(OR(M422="",N422=""),"",M422^0.7*N422^0.3)</x:f>
        <x:v>0.3103178082530293</x:v>
      </x:c>
      <x:c r="Q422" t="n">
        <x:f>IF(OR(M422="",N422=""),"",M422^0.3*N422^0.7)</x:f>
        <x:v>0.4389141963650839</x:v>
      </x:c>
    </x:row>
    <x:row r="423">
      <x:c r="A423" t="inlineStr">
        <x:is>
          <x:t xml:space="preserve">openai|gpt-6-astra|max|reasoning|fallback-na</x:t>
        </x:is>
      </x:c>
      <x:c r="B423" t="inlineStr">
        <x:is>
          <x:t xml:space="preserve">AA|v4.3.2</x:t>
        </x:is>
      </x:c>
      <x:c r="C423" t="n">
        <x:v>54</x:v>
      </x:c>
      <x:c r="D423" t="n">
        <x:v>52</x:v>
      </x:c>
      <x:c r="E423" t="n">
        <x:f>INDEX(Model_TestVersion_Stats!$W:$W,C423)</x:f>
        <x:v>53</x:v>
      </x:c>
      <x:c r="F423" t="n">
        <x:f>INDEX(Model_TestVersion_Stats!$O:$O,C423)</x:f>
        <x:v>3.26</x:v>
      </x:c>
      <x:c r="G423" t="n">
        <x:f>IF(INDEX(Model_TestVersion_Stats!$R:$R,C423)="","",INDEX(Model_TestVersion_Stats!$R:$R,C423)/60)</x:f>
        <x:v>7.071833333333333</x:v>
      </x:c>
      <x:c r="H423" t="n">
        <x:f>IF(E423="","",E423-(D423-1))</x:f>
        <x:v>2</x:v>
      </x:c>
      <x:c r="I423" t="n">
        <x:f>IF(H423&gt;0,1,0)</x:f>
        <x:v>1</x:v>
      </x:c>
      <x:c r="J423" t="n">
        <x:f>IF(OR(I423=0,F423="",F423=0),"",H423/F423)</x:f>
        <x:v>0.6134969325153374</x:v>
      </x:c>
      <x:c r="K423" t="n">
        <x:f>IF(OR(I423=0,H423=0,F423=""),"",F423/H423)</x:f>
        <x:v>1.63</x:v>
      </x:c>
      <x:c r="L423" t="n">
        <x:f>IF(OR(I423=0,F423="",G423="",F423=0,G423=0),"",H423/(F423*G423))</x:f>
        <x:v>0.08675217635907768</x:v>
      </x:c>
      <x:c r="M423" t="n">
        <x:f>IF(J423="","",J423/_xlfn.MAXIFS($J:$J,$D:$D,D423))</x:f>
        <x:v>0.3721881390593047</x:v>
      </x:c>
      <x:c r="N423" t="n">
        <x:f>IF(L423="","",L423/_xlfn.MAXIFS($L:$L,$D:$D,D423))</x:f>
        <x:v>1</x:v>
      </x:c>
      <x:c r="O423" t="n">
        <x:f>IF(OR(M423="",N423=""),"",SQRT(M423*N423))</x:f>
        <x:v>0.6100722408529212</x:v>
      </x:c>
      <x:c r="P423" t="n">
        <x:f>IF(OR(M423="",N423=""),"",M423^0.7*N423^0.3)</x:f>
        <x:v>0.5006494809011522</x:v>
      </x:c>
      <x:c r="Q423" t="n">
        <x:f>IF(OR(M423="",N423=""),"",M423^0.3*N423^0.7)</x:f>
        <x:v>0.7434106161248357</x:v>
      </x:c>
    </x:row>
    <x:row r="424">
      <x:c r="A424" t="inlineStr">
        <x:is>
          <x:t xml:space="preserve">openai|gpt-6-astra|max|reasoning|fallback-na</x:t>
        </x:is>
      </x:c>
      <x:c r="B424" t="inlineStr">
        <x:is>
          <x:t xml:space="preserve">AA|v4.3.2</x:t>
        </x:is>
      </x:c>
      <x:c r="C424" t="n">
        <x:v>54</x:v>
      </x:c>
      <x:c r="D424" t="n">
        <x:v>65</x:v>
      </x:c>
      <x:c r="E424" t="n">
        <x:f>INDEX(Model_TestVersion_Stats!$W:$W,C424)</x:f>
        <x:v>53</x:v>
      </x:c>
      <x:c r="F424" t="n">
        <x:f>INDEX(Model_TestVersion_Stats!$O:$O,C424)</x:f>
        <x:v>3.26</x:v>
      </x:c>
      <x:c r="G424" t="n">
        <x:f>IF(INDEX(Model_TestVersion_Stats!$R:$R,C424)="","",INDEX(Model_TestVersion_Stats!$R:$R,C424)/60)</x:f>
        <x:v>7.071833333333333</x:v>
      </x:c>
      <x:c r="H424" t="n">
        <x:f>IF(E424="","",E424-(D424-1))</x:f>
        <x:v>-11</x:v>
      </x:c>
      <x:c r="I424" t="n">
        <x:f>IF(H424&gt;0,1,0)</x:f>
        <x:v>0</x:v>
      </x:c>
      <x:c r="J424" t="str">
        <x:f>IF(OR(I424=0,F424="",F424=0),"",H424/F424)</x:f>
      </x:c>
      <x:c r="K424" t="str">
        <x:f>IF(OR(I424=0,H424=0,F424=""),"",F424/H424)</x:f>
      </x:c>
      <x:c r="L424" t="str">
        <x:f>IF(OR(I424=0,F424="",G424="",F424=0,G424=0),"",H424/(F424*G424))</x:f>
      </x:c>
      <x:c r="M424" t="str">
        <x:f>IF(J424="","",J424/_xlfn.MAXIFS($J:$J,$D:$D,D424))</x:f>
      </x:c>
      <x:c r="N424" t="str">
        <x:f>IF(L424="","",L424/_xlfn.MAXIFS($L:$L,$D:$D,D424))</x:f>
      </x:c>
      <x:c r="O424" t="str">
        <x:f>IF(OR(M424="",N424=""),"",SQRT(M424*N424))</x:f>
      </x:c>
      <x:c r="P424" t="str">
        <x:f>IF(OR(M424="",N424=""),"",M424^0.7*N424^0.3)</x:f>
      </x:c>
      <x:c r="Q424" t="str">
        <x:f>IF(OR(M424="",N424=""),"",M424^0.3*N424^0.7)</x:f>
      </x:c>
    </x:row>
    <x:row r="425">
      <x:c r="A425" t="inlineStr">
        <x:is>
          <x:t xml:space="preserve">openai|gpt-6-astra|max|reasoning|fallback-na</x:t>
        </x:is>
      </x:c>
      <x:c r="B425" t="inlineStr">
        <x:is>
          <x:t xml:space="preserve">AA|v4.3.2</x:t>
        </x:is>
      </x:c>
      <x:c r="C425" t="n">
        <x:v>54</x:v>
      </x:c>
      <x:c r="D425" t="n">
        <x:v>80</x:v>
      </x:c>
      <x:c r="E425" t="n">
        <x:f>INDEX(Model_TestVersion_Stats!$W:$W,C425)</x:f>
        <x:v>53</x:v>
      </x:c>
      <x:c r="F425" t="n">
        <x:f>INDEX(Model_TestVersion_Stats!$O:$O,C425)</x:f>
        <x:v>3.26</x:v>
      </x:c>
      <x:c r="G425" t="n">
        <x:f>IF(INDEX(Model_TestVersion_Stats!$R:$R,C425)="","",INDEX(Model_TestVersion_Stats!$R:$R,C425)/60)</x:f>
        <x:v>7.071833333333333</x:v>
      </x:c>
      <x:c r="H425" t="n">
        <x:f>IF(E425="","",E425-(D425-1))</x:f>
        <x:v>-26</x:v>
      </x:c>
      <x:c r="I425" t="n">
        <x:f>IF(H425&gt;0,1,0)</x:f>
        <x:v>0</x:v>
      </x:c>
      <x:c r="J425" t="str">
        <x:f>IF(OR(I425=0,F425="",F425=0),"",H425/F425)</x:f>
      </x:c>
      <x:c r="K425" t="str">
        <x:f>IF(OR(I425=0,H425=0,F425=""),"",F425/H425)</x:f>
      </x:c>
      <x:c r="L425" t="str">
        <x:f>IF(OR(I425=0,F425="",G425="",F425=0,G425=0),"",H425/(F425*G425))</x:f>
      </x:c>
      <x:c r="M425" t="str">
        <x:f>IF(J425="","",J425/_xlfn.MAXIFS($J:$J,$D:$D,D425))</x:f>
      </x:c>
      <x:c r="N425" t="str">
        <x:f>IF(L425="","",L425/_xlfn.MAXIFS($L:$L,$D:$D,D425))</x:f>
      </x:c>
      <x:c r="O425" t="str">
        <x:f>IF(OR(M425="",N425=""),"",SQRT(M425*N425))</x:f>
      </x:c>
      <x:c r="P425" t="str">
        <x:f>IF(OR(M425="",N425=""),"",M425^0.7*N425^0.3)</x:f>
      </x:c>
      <x:c r="Q425" t="str">
        <x:f>IF(OR(M425="",N425=""),"",M425^0.3*N425^0.7)</x:f>
      </x:c>
    </x:row>
    <x:row r="426">
      <x:c r="A426" t="inlineStr">
        <x:is>
          <x:t xml:space="preserve">openai|gpt-6-astra|medium|reasoning|fallback-na</x:t>
        </x:is>
      </x:c>
      <x:c r="B426" t="inlineStr">
        <x:is>
          <x:t xml:space="preserve">AA|v4.3.2</x:t>
        </x:is>
      </x:c>
      <x:c r="C426" t="n">
        <x:v>55</x:v>
      </x:c>
      <x:c r="D426" t="n">
        <x:v>20</x:v>
      </x:c>
      <x:c r="E426" t="n">
        <x:f>INDEX(Model_TestVersion_Stats!$W:$W,C426)</x:f>
        <x:v>50</x:v>
      </x:c>
      <x:c r="F426" t="n">
        <x:f>INDEX(Model_TestVersion_Stats!$O:$O,C426)</x:f>
        <x:v>1.54</x:v>
      </x:c>
      <x:c r="G426" t="n">
        <x:f>IF(INDEX(Model_TestVersion_Stats!$R:$R,C426)="","",INDEX(Model_TestVersion_Stats!$R:$R,C426)/60)</x:f>
        <x:v>3.056</x:v>
      </x:c>
      <x:c r="H426" t="n">
        <x:f>IF(E426="","",E426-(D426-1))</x:f>
        <x:v>31</x:v>
      </x:c>
      <x:c r="I426" t="n">
        <x:f>IF(H426&gt;0,1,0)</x:f>
        <x:v>1</x:v>
      </x:c>
      <x:c r="J426" t="n">
        <x:f>IF(OR(I426=0,F426="",F426=0),"",H426/F426)</x:f>
        <x:v>20.12987012987013</x:v>
      </x:c>
      <x:c r="K426" t="n">
        <x:f>IF(OR(I426=0,H426=0,F426=""),"",F426/H426)</x:f>
        <x:v>0.04967741935483871</x:v>
      </x:c>
      <x:c r="L426" t="n">
        <x:f>IF(OR(I426=0,F426="",G426="",F426=0,G426=0),"",H426/(F426*G426))</x:f>
        <x:v>6.586999388046508</x:v>
      </x:c>
      <x:c r="M426" t="n">
        <x:f>IF(J426="","",J426/_xlfn.MAXIFS($J:$J,$D:$D,D426))</x:f>
        <x:v>0.036233766233766236</x:v>
      </x:c>
      <x:c r="N426" t="n">
        <x:f>IF(L426="","",L426/_xlfn.MAXIFS($L:$L,$D:$D,D426))</x:f>
        <x:v>0.002792229040592915</x:v>
      </x:c>
      <x:c r="O426" t="n">
        <x:f>IF(OR(M426="",N426=""),"",SQRT(M426*N426))</x:f>
        <x:v>0.010058477734129408</x:v>
      </x:c>
      <x:c r="P426" t="n">
        <x:f>IF(OR(M426="",N426=""),"",M426^0.7*N426^0.3)</x:f>
        <x:v>0.016794409814730345</x:v>
      </x:c>
      <x:c r="Q426" t="n">
        <x:f>IF(OR(M426="",N426=""),"",M426^0.3*N426^0.7)</x:f>
        <x:v>0.0060242054019212085</x:v>
      </x:c>
    </x:row>
    <x:row r="427">
      <x:c r="A427" t="inlineStr">
        <x:is>
          <x:t xml:space="preserve">openai|gpt-6-astra|medium|reasoning|fallback-na</x:t>
        </x:is>
      </x:c>
      <x:c r="B427" t="inlineStr">
        <x:is>
          <x:t xml:space="preserve">AA|v4.3.2</x:t>
        </x:is>
      </x:c>
      <x:c r="C427" t="n">
        <x:v>55</x:v>
      </x:c>
      <x:c r="D427" t="n">
        <x:v>30</x:v>
      </x:c>
      <x:c r="E427" t="n">
        <x:f>INDEX(Model_TestVersion_Stats!$W:$W,C427)</x:f>
        <x:v>50</x:v>
      </x:c>
      <x:c r="F427" t="n">
        <x:f>INDEX(Model_TestVersion_Stats!$O:$O,C427)</x:f>
        <x:v>1.54</x:v>
      </x:c>
      <x:c r="G427" t="n">
        <x:f>IF(INDEX(Model_TestVersion_Stats!$R:$R,C427)="","",INDEX(Model_TestVersion_Stats!$R:$R,C427)/60)</x:f>
        <x:v>3.056</x:v>
      </x:c>
      <x:c r="H427" t="n">
        <x:f>IF(E427="","",E427-(D427-1))</x:f>
        <x:v>21</x:v>
      </x:c>
      <x:c r="I427" t="n">
        <x:f>IF(H427&gt;0,1,0)</x:f>
        <x:v>1</x:v>
      </x:c>
      <x:c r="J427" t="n">
        <x:f>IF(OR(I427=0,F427="",F427=0),"",H427/F427)</x:f>
        <x:v>13.636363636363637</x:v>
      </x:c>
      <x:c r="K427" t="n">
        <x:f>IF(OR(I427=0,H427=0,F427=""),"",F427/H427)</x:f>
        <x:v>0.07333333333333333</x:v>
      </x:c>
      <x:c r="L427" t="n">
        <x:f>IF(OR(I427=0,F427="",G427="",F427=0,G427=0),"",H427/(F427*G427))</x:f>
        <x:v>4.462160875773441</x:v>
      </x:c>
      <x:c r="M427" t="n">
        <x:f>IF(J427="","",J427/_xlfn.MAXIFS($J:$J,$D:$D,D427))</x:f>
        <x:v>0.09090909090909091</x:v>
      </x:c>
      <x:c r="N427" t="n">
        <x:f>IF(L427="","",L427/_xlfn.MAXIFS($L:$L,$D:$D,D427))</x:f>
        <x:v>0.07941307710613994</x:v>
      </x:c>
      <x:c r="O427" t="n">
        <x:f>IF(OR(M427="",N427=""),"",SQRT(M427*N427))</x:f>
        <x:v>0.08496687970034396</x:v>
      </x:c>
      <x:c r="P427" t="n">
        <x:f>IF(OR(M427="",N427=""),"",M427^0.7*N427^0.3)</x:f>
        <x:v>0.08729567505662043</x:v>
      </x:c>
      <x:c r="Q427" t="n">
        <x:f>IF(OR(M427="",N427=""),"",M427^0.3*N427^0.7)</x:f>
        <x:v>0.08270020984808472</x:v>
      </x:c>
    </x:row>
    <x:row r="428">
      <x:c r="A428" t="inlineStr">
        <x:is>
          <x:t xml:space="preserve">openai|gpt-6-astra|medium|reasoning|fallback-na</x:t>
        </x:is>
      </x:c>
      <x:c r="B428" t="inlineStr">
        <x:is>
          <x:t xml:space="preserve">AA|v4.3.2</x:t>
        </x:is>
      </x:c>
      <x:c r="C428" t="n">
        <x:v>55</x:v>
      </x:c>
      <x:c r="D428" t="n">
        <x:v>40</x:v>
      </x:c>
      <x:c r="E428" t="n">
        <x:f>INDEX(Model_TestVersion_Stats!$W:$W,C428)</x:f>
        <x:v>50</x:v>
      </x:c>
      <x:c r="F428" t="n">
        <x:f>INDEX(Model_TestVersion_Stats!$O:$O,C428)</x:f>
        <x:v>1.54</x:v>
      </x:c>
      <x:c r="G428" t="n">
        <x:f>IF(INDEX(Model_TestVersion_Stats!$R:$R,C428)="","",INDEX(Model_TestVersion_Stats!$R:$R,C428)/60)</x:f>
        <x:v>3.056</x:v>
      </x:c>
      <x:c r="H428" t="n">
        <x:f>IF(E428="","",E428-(D428-1))</x:f>
        <x:v>11</x:v>
      </x:c>
      <x:c r="I428" t="n">
        <x:f>IF(H428&gt;0,1,0)</x:f>
        <x:v>1</x:v>
      </x:c>
      <x:c r="J428" t="n">
        <x:f>IF(OR(I428=0,F428="",F428=0),"",H428/F428)</x:f>
        <x:v>7.142857142857142</x:v>
      </x:c>
      <x:c r="K428" t="n">
        <x:f>IF(OR(I428=0,H428=0,F428=""),"",F428/H428)</x:f>
        <x:v>0.14</x:v>
      </x:c>
      <x:c r="L428" t="n">
        <x:f>IF(OR(I428=0,F428="",G428="",F428=0,G428=0),"",H428/(F428*G428))</x:f>
        <x:v>2.3373223635003737</x:v>
      </x:c>
      <x:c r="M428" t="n">
        <x:f>IF(J428="","",J428/_xlfn.MAXIFS($J:$J,$D:$D,D428))</x:f>
        <x:v>0.13265306122448978</x:v>
      </x:c>
      <x:c r="N428" t="n">
        <x:f>IF(L428="","",L428/_xlfn.MAXIFS($L:$L,$D:$D,D428))</x:f>
        <x:v>0.38783857783951264</x:v>
      </x:c>
      <x:c r="O428" t="n">
        <x:f>IF(OR(M428="",N428=""),"",SQRT(M428*N428))</x:f>
        <x:v>0.22682145976817078</x:v>
      </x:c>
      <x:c r="P428" t="n">
        <x:f>IF(OR(M428="",N428=""),"",M428^0.7*N428^0.3)</x:f>
        <x:v>0.1830195129701401</x:v>
      </x:c>
      <x:c r="Q428" t="n">
        <x:f>IF(OR(M428="",N428=""),"",M428^0.3*N428^0.7)</x:f>
        <x:v>0.28110649939144866</x:v>
      </x:c>
    </x:row>
    <x:row r="429">
      <x:c r="A429" t="inlineStr">
        <x:is>
          <x:t xml:space="preserve">openai|gpt-6-astra|medium|reasoning|fallback-na</x:t>
        </x:is>
      </x:c>
      <x:c r="B429" t="inlineStr">
        <x:is>
          <x:t xml:space="preserve">AA|v4.3.2</x:t>
        </x:is>
      </x:c>
      <x:c r="C429" t="n">
        <x:v>55</x:v>
      </x:c>
      <x:c r="D429" t="n">
        <x:v>45</x:v>
      </x:c>
      <x:c r="E429" t="n">
        <x:f>INDEX(Model_TestVersion_Stats!$W:$W,C429)</x:f>
        <x:v>50</x:v>
      </x:c>
      <x:c r="F429" t="n">
        <x:f>INDEX(Model_TestVersion_Stats!$O:$O,C429)</x:f>
        <x:v>1.54</x:v>
      </x:c>
      <x:c r="G429" t="n">
        <x:f>IF(INDEX(Model_TestVersion_Stats!$R:$R,C429)="","",INDEX(Model_TestVersion_Stats!$R:$R,C429)/60)</x:f>
        <x:v>3.056</x:v>
      </x:c>
      <x:c r="H429" t="n">
        <x:f>IF(E429="","",E429-(D429-1))</x:f>
        <x:v>6</x:v>
      </x:c>
      <x:c r="I429" t="n">
        <x:f>IF(H429&gt;0,1,0)</x:f>
        <x:v>1</x:v>
      </x:c>
      <x:c r="J429" t="n">
        <x:f>IF(OR(I429=0,F429="",F429=0),"",H429/F429)</x:f>
        <x:v>3.896103896103896</x:v>
      </x:c>
      <x:c r="K429" t="n">
        <x:f>IF(OR(I429=0,H429=0,F429=""),"",F429/H429)</x:f>
        <x:v>0.25666666666666665</x:v>
      </x:c>
      <x:c r="L429" t="n">
        <x:f>IF(OR(I429=0,F429="",G429="",F429=0,G429=0),"",H429/(F429*G429))</x:f>
        <x:v>1.2749031073638404</x:v>
      </x:c>
      <x:c r="M429" t="n">
        <x:f>IF(J429="","",J429/_xlfn.MAXIFS($J:$J,$D:$D,D429))</x:f>
        <x:v>0.20454545454545456</x:v>
      </x:c>
      <x:c r="N429" t="n">
        <x:f>IF(L429="","",L429/_xlfn.MAXIFS($L:$L,$D:$D,D429))</x:f>
        <x:v>0.7404191031481606</x:v>
      </x:c>
      <x:c r="O429" t="n">
        <x:f>IF(OR(M429="",N429=""),"",SQRT(M429*N429))</x:f>
        <x:v>0.3891649547525809</x:v>
      </x:c>
      <x:c r="P429" t="n">
        <x:f>IF(OR(M429="",N429=""),"",M429^0.7*N429^0.3)</x:f>
        <x:v>0.3008819725647624</x:v>
      </x:c>
      <x:c r="Q429" t="n">
        <x:f>IF(OR(M429="",N429=""),"",M429^0.3*N429^0.7)</x:f>
        <x:v>0.5033513996089616</x:v>
      </x:c>
    </x:row>
    <x:row r="430">
      <x:c r="A430" t="inlineStr">
        <x:is>
          <x:t xml:space="preserve">openai|gpt-6-astra|medium|reasoning|fallback-na</x:t>
        </x:is>
      </x:c>
      <x:c r="B430" t="inlineStr">
        <x:is>
          <x:t xml:space="preserve">AA|v4.3.2</x:t>
        </x:is>
      </x:c>
      <x:c r="C430" t="n">
        <x:v>55</x:v>
      </x:c>
      <x:c r="D430" t="n">
        <x:v>50</x:v>
      </x:c>
      <x:c r="E430" t="n">
        <x:f>INDEX(Model_TestVersion_Stats!$W:$W,C430)</x:f>
        <x:v>50</x:v>
      </x:c>
      <x:c r="F430" t="n">
        <x:f>INDEX(Model_TestVersion_Stats!$O:$O,C430)</x:f>
        <x:v>1.54</x:v>
      </x:c>
      <x:c r="G430" t="n">
        <x:f>IF(INDEX(Model_TestVersion_Stats!$R:$R,C430)="","",INDEX(Model_TestVersion_Stats!$R:$R,C430)/60)</x:f>
        <x:v>3.056</x:v>
      </x:c>
      <x:c r="H430" t="n">
        <x:f>IF(E430="","",E430-(D430-1))</x:f>
        <x:v>1</x:v>
      </x:c>
      <x:c r="I430" t="n">
        <x:f>IF(H430&gt;0,1,0)</x:f>
        <x:v>1</x:v>
      </x:c>
      <x:c r="J430" t="n">
        <x:f>IF(OR(I430=0,F430="",F430=0),"",H430/F430)</x:f>
        <x:v>0.6493506493506493</x:v>
      </x:c>
      <x:c r="K430" t="n">
        <x:f>IF(OR(I430=0,H430=0,F430=""),"",F430/H430)</x:f>
        <x:v>1.54</x:v>
      </x:c>
      <x:c r="L430" t="n">
        <x:f>IF(OR(I430=0,F430="",G430="",F430=0,G430=0),"",H430/(F430*G430))</x:f>
        <x:v>0.2124838512273067</x:v>
      </x:c>
      <x:c r="M430" t="n">
        <x:f>IF(J430="","",J430/_xlfn.MAXIFS($J:$J,$D:$D,D430))</x:f>
        <x:v>0.12662337662337664</x:v>
      </x:c>
      <x:c r="N430" t="n">
        <x:f>IF(L430="","",L430/_xlfn.MAXIFS($L:$L,$D:$D,D430))</x:f>
        <x:v>0.6971478292649758</x:v>
      </x:c>
      <x:c r="O430" t="n">
        <x:f>IF(OR(M430="",N430=""),"",SQRT(M430*N430))</x:f>
        <x:v>0.29711144735130707</x:v>
      </x:c>
      <x:c r="P430" t="n">
        <x:f>IF(OR(M430="",N430=""),"",M430^0.7*N430^0.3)</x:f>
        <x:v>0.21123077244211394</x:v>
      </x:c>
      <x:c r="Q430" t="n">
        <x:f>IF(OR(M430="",N430=""),"",M430^0.3*N430^0.7)</x:f>
        <x:v>0.41790886397188937</x:v>
      </x:c>
    </x:row>
    <x:row r="431">
      <x:c r="A431" t="inlineStr">
        <x:is>
          <x:t xml:space="preserve">openai|gpt-6-astra|medium|reasoning|fallback-na</x:t>
        </x:is>
      </x:c>
      <x:c r="B431" t="inlineStr">
        <x:is>
          <x:t xml:space="preserve">AA|v4.3.2</x:t>
        </x:is>
      </x:c>
      <x:c r="C431" t="n">
        <x:v>55</x:v>
      </x:c>
      <x:c r="D431" t="n">
        <x:v>52</x:v>
      </x:c>
      <x:c r="E431" t="n">
        <x:f>INDEX(Model_TestVersion_Stats!$W:$W,C431)</x:f>
        <x:v>50</x:v>
      </x:c>
      <x:c r="F431" t="n">
        <x:f>INDEX(Model_TestVersion_Stats!$O:$O,C431)</x:f>
        <x:v>1.54</x:v>
      </x:c>
      <x:c r="G431" t="n">
        <x:f>IF(INDEX(Model_TestVersion_Stats!$R:$R,C431)="","",INDEX(Model_TestVersion_Stats!$R:$R,C431)/60)</x:f>
        <x:v>3.056</x:v>
      </x:c>
      <x:c r="H431" t="n">
        <x:f>IF(E431="","",E431-(D431-1))</x:f>
        <x:v>-1</x:v>
      </x:c>
      <x:c r="I431" t="n">
        <x:f>IF(H431&gt;0,1,0)</x:f>
        <x:v>0</x:v>
      </x:c>
      <x:c r="J431" t="str">
        <x:f>IF(OR(I431=0,F431="",F431=0),"",H431/F431)</x:f>
      </x:c>
      <x:c r="K431" t="str">
        <x:f>IF(OR(I431=0,H431=0,F431=""),"",F431/H431)</x:f>
      </x:c>
      <x:c r="L431" t="str">
        <x:f>IF(OR(I431=0,F431="",G431="",F431=0,G431=0),"",H431/(F431*G431))</x:f>
      </x:c>
      <x:c r="M431" t="str">
        <x:f>IF(J431="","",J431/_xlfn.MAXIFS($J:$J,$D:$D,D431))</x:f>
      </x:c>
      <x:c r="N431" t="str">
        <x:f>IF(L431="","",L431/_xlfn.MAXIFS($L:$L,$D:$D,D431))</x:f>
      </x:c>
      <x:c r="O431" t="str">
        <x:f>IF(OR(M431="",N431=""),"",SQRT(M431*N431))</x:f>
      </x:c>
      <x:c r="P431" t="str">
        <x:f>IF(OR(M431="",N431=""),"",M431^0.7*N431^0.3)</x:f>
      </x:c>
      <x:c r="Q431" t="str">
        <x:f>IF(OR(M431="",N431=""),"",M431^0.3*N431^0.7)</x:f>
      </x:c>
    </x:row>
    <x:row r="432">
      <x:c r="A432" t="inlineStr">
        <x:is>
          <x:t xml:space="preserve">openai|gpt-6-astra|medium|reasoning|fallback-na</x:t>
        </x:is>
      </x:c>
      <x:c r="B432" t="inlineStr">
        <x:is>
          <x:t xml:space="preserve">AA|v4.3.2</x:t>
        </x:is>
      </x:c>
      <x:c r="C432" t="n">
        <x:v>55</x:v>
      </x:c>
      <x:c r="D432" t="n">
        <x:v>65</x:v>
      </x:c>
      <x:c r="E432" t="n">
        <x:f>INDEX(Model_TestVersion_Stats!$W:$W,C432)</x:f>
        <x:v>50</x:v>
      </x:c>
      <x:c r="F432" t="n">
        <x:f>INDEX(Model_TestVersion_Stats!$O:$O,C432)</x:f>
        <x:v>1.54</x:v>
      </x:c>
      <x:c r="G432" t="n">
        <x:f>IF(INDEX(Model_TestVersion_Stats!$R:$R,C432)="","",INDEX(Model_TestVersion_Stats!$R:$R,C432)/60)</x:f>
        <x:v>3.056</x:v>
      </x:c>
      <x:c r="H432" t="n">
        <x:f>IF(E432="","",E432-(D432-1))</x:f>
        <x:v>-14</x:v>
      </x:c>
      <x:c r="I432" t="n">
        <x:f>IF(H432&gt;0,1,0)</x:f>
        <x:v>0</x:v>
      </x:c>
      <x:c r="J432" t="str">
        <x:f>IF(OR(I432=0,F432="",F432=0),"",H432/F432)</x:f>
      </x:c>
      <x:c r="K432" t="str">
        <x:f>IF(OR(I432=0,H432=0,F432=""),"",F432/H432)</x:f>
      </x:c>
      <x:c r="L432" t="str">
        <x:f>IF(OR(I432=0,F432="",G432="",F432=0,G432=0),"",H432/(F432*G432))</x:f>
      </x:c>
      <x:c r="M432" t="str">
        <x:f>IF(J432="","",J432/_xlfn.MAXIFS($J:$J,$D:$D,D432))</x:f>
      </x:c>
      <x:c r="N432" t="str">
        <x:f>IF(L432="","",L432/_xlfn.MAXIFS($L:$L,$D:$D,D432))</x:f>
      </x:c>
      <x:c r="O432" t="str">
        <x:f>IF(OR(M432="",N432=""),"",SQRT(M432*N432))</x:f>
      </x:c>
      <x:c r="P432" t="str">
        <x:f>IF(OR(M432="",N432=""),"",M432^0.7*N432^0.3)</x:f>
      </x:c>
      <x:c r="Q432" t="str">
        <x:f>IF(OR(M432="",N432=""),"",M432^0.3*N432^0.7)</x:f>
      </x:c>
    </x:row>
    <x:row r="433">
      <x:c r="A433" t="inlineStr">
        <x:is>
          <x:t xml:space="preserve">openai|gpt-6-astra|medium|reasoning|fallback-na</x:t>
        </x:is>
      </x:c>
      <x:c r="B433" t="inlineStr">
        <x:is>
          <x:t xml:space="preserve">AA|v4.3.2</x:t>
        </x:is>
      </x:c>
      <x:c r="C433" t="n">
        <x:v>55</x:v>
      </x:c>
      <x:c r="D433" t="n">
        <x:v>80</x:v>
      </x:c>
      <x:c r="E433" t="n">
        <x:f>INDEX(Model_TestVersion_Stats!$W:$W,C433)</x:f>
        <x:v>50</x:v>
      </x:c>
      <x:c r="F433" t="n">
        <x:f>INDEX(Model_TestVersion_Stats!$O:$O,C433)</x:f>
        <x:v>1.54</x:v>
      </x:c>
      <x:c r="G433" t="n">
        <x:f>IF(INDEX(Model_TestVersion_Stats!$R:$R,C433)="","",INDEX(Model_TestVersion_Stats!$R:$R,C433)/60)</x:f>
        <x:v>3.056</x:v>
      </x:c>
      <x:c r="H433" t="n">
        <x:f>IF(E433="","",E433-(D433-1))</x:f>
        <x:v>-29</x:v>
      </x:c>
      <x:c r="I433" t="n">
        <x:f>IF(H433&gt;0,1,0)</x:f>
        <x:v>0</x:v>
      </x:c>
      <x:c r="J433" t="str">
        <x:f>IF(OR(I433=0,F433="",F433=0),"",H433/F433)</x:f>
      </x:c>
      <x:c r="K433" t="str">
        <x:f>IF(OR(I433=0,H433=0,F433=""),"",F433/H433)</x:f>
      </x:c>
      <x:c r="L433" t="str">
        <x:f>IF(OR(I433=0,F433="",G433="",F433=0,G433=0),"",H433/(F433*G433))</x:f>
      </x:c>
      <x:c r="M433" t="str">
        <x:f>IF(J433="","",J433/_xlfn.MAXIFS($J:$J,$D:$D,D433))</x:f>
      </x:c>
      <x:c r="N433" t="str">
        <x:f>IF(L433="","",L433/_xlfn.MAXIFS($L:$L,$D:$D,D433))</x:f>
      </x:c>
      <x:c r="O433" t="str">
        <x:f>IF(OR(M433="",N433=""),"",SQRT(M433*N433))</x:f>
      </x:c>
      <x:c r="P433" t="str">
        <x:f>IF(OR(M433="",N433=""),"",M433^0.7*N433^0.3)</x:f>
      </x:c>
      <x:c r="Q433" t="str">
        <x:f>IF(OR(M433="",N433=""),"",M433^0.3*N433^0.7)</x:f>
      </x:c>
    </x:row>
    <x:row r="434">
      <x:c r="A434" t="inlineStr">
        <x:is>
          <x:t xml:space="preserve">openai|gpt-6-astra|xhigh|reasoning|fallback-na</x:t>
        </x:is>
      </x:c>
      <x:c r="B434" t="inlineStr">
        <x:is>
          <x:t xml:space="preserve">AA|v4.3.2</x:t>
        </x:is>
      </x:c>
      <x:c r="C434" t="n">
        <x:v>56</x:v>
      </x:c>
      <x:c r="D434" t="n">
        <x:v>20</x:v>
      </x:c>
      <x:c r="E434" t="n">
        <x:f>INDEX(Model_TestVersion_Stats!$W:$W,C434)</x:f>
        <x:v>52</x:v>
      </x:c>
      <x:c r="F434" t="n">
        <x:f>INDEX(Model_TestVersion_Stats!$O:$O,C434)</x:f>
        <x:v>2.31</x:v>
      </x:c>
      <x:c r="G434" t="n">
        <x:f>IF(INDEX(Model_TestVersion_Stats!$R:$R,C434)="","",INDEX(Model_TestVersion_Stats!$R:$R,C434)/60)</x:f>
        <x:v>5.181333333333333</x:v>
      </x:c>
      <x:c r="H434" t="n">
        <x:f>IF(E434="","",E434-(D434-1))</x:f>
        <x:v>33</x:v>
      </x:c>
      <x:c r="I434" t="n">
        <x:f>IF(H434&gt;0,1,0)</x:f>
        <x:v>1</x:v>
      </x:c>
      <x:c r="J434" t="n">
        <x:f>IF(OR(I434=0,F434="",F434=0),"",H434/F434)</x:f>
        <x:v>14.285714285714285</x:v>
      </x:c>
      <x:c r="K434" t="n">
        <x:f>IF(OR(I434=0,H434=0,F434=""),"",F434/H434)</x:f>
        <x:v>0.07</x:v>
      </x:c>
      <x:c r="L434" t="n">
        <x:f>IF(OR(I434=0,F434="",G434="",F434=0,G434=0),"",H434/(F434*G434))</x:f>
        <x:v>2.757150209543416</x:v>
      </x:c>
      <x:c r="M434" t="n">
        <x:f>IF(J434="","",J434/_xlfn.MAXIFS($J:$J,$D:$D,D434))</x:f>
        <x:v>0.025714285714285714</x:v>
      </x:c>
      <x:c r="N434" t="n">
        <x:f>IF(L434="","",L434/_xlfn.MAXIFS($L:$L,$D:$D,D434))</x:f>
        <x:v>0.0011687559738254541</x:v>
      </x:c>
      <x:c r="O434" t="n">
        <x:f>IF(OR(M434="",N434=""),"",SQRT(M434*N434))</x:f>
        <x:v>0.00548212778410226</x:v>
      </x:c>
      <x:c r="P434" t="n">
        <x:f>IF(OR(M434="",N434=""),"",M434^0.7*N434^0.3)</x:f>
        <x:v>0.01017277124581517</x:v>
      </x:c>
      <x:c r="Q434" t="n">
        <x:f>IF(OR(M434="",N434=""),"",M434^0.3*N434^0.7)</x:f>
        <x:v>0.002954330173657385</x:v>
      </x:c>
    </x:row>
    <x:row r="435">
      <x:c r="A435" t="inlineStr">
        <x:is>
          <x:t xml:space="preserve">openai|gpt-6-astra|xhigh|reasoning|fallback-na</x:t>
        </x:is>
      </x:c>
      <x:c r="B435" t="inlineStr">
        <x:is>
          <x:t xml:space="preserve">AA|v4.3.2</x:t>
        </x:is>
      </x:c>
      <x:c r="C435" t="n">
        <x:v>56</x:v>
      </x:c>
      <x:c r="D435" t="n">
        <x:v>30</x:v>
      </x:c>
      <x:c r="E435" t="n">
        <x:f>INDEX(Model_TestVersion_Stats!$W:$W,C435)</x:f>
        <x:v>52</x:v>
      </x:c>
      <x:c r="F435" t="n">
        <x:f>INDEX(Model_TestVersion_Stats!$O:$O,C435)</x:f>
        <x:v>2.31</x:v>
      </x:c>
      <x:c r="G435" t="n">
        <x:f>IF(INDEX(Model_TestVersion_Stats!$R:$R,C435)="","",INDEX(Model_TestVersion_Stats!$R:$R,C435)/60)</x:f>
        <x:v>5.181333333333333</x:v>
      </x:c>
      <x:c r="H435" t="n">
        <x:f>IF(E435="","",E435-(D435-1))</x:f>
        <x:v>23</x:v>
      </x:c>
      <x:c r="I435" t="n">
        <x:f>IF(H435&gt;0,1,0)</x:f>
        <x:v>1</x:v>
      </x:c>
      <x:c r="J435" t="n">
        <x:f>IF(OR(I435=0,F435="",F435=0),"",H435/F435)</x:f>
        <x:v>9.956709956709956</x:v>
      </x:c>
      <x:c r="K435" t="n">
        <x:f>IF(OR(I435=0,H435=0,F435=""),"",F435/H435)</x:f>
        <x:v>0.10043478260869565</x:v>
      </x:c>
      <x:c r="L435" t="n">
        <x:f>IF(OR(I435=0,F435="",G435="",F435=0,G435=0),"",H435/(F435*G435))</x:f>
        <x:v>1.9216501460454114</x:v>
      </x:c>
      <x:c r="M435" t="n">
        <x:f>IF(J435="","",J435/_xlfn.MAXIFS($J:$J,$D:$D,D435))</x:f>
        <x:v>0.06637806637806637</x:v>
      </x:c>
      <x:c r="N435" t="n">
        <x:f>IF(L435="","",L435/_xlfn.MAXIFS($L:$L,$D:$D,D435))</x:f>
        <x:v>0.03419960764917019</x:v>
      </x:c>
      <x:c r="O435" t="n">
        <x:f>IF(OR(M435="",N435=""),"",SQRT(M435*N435))</x:f>
        <x:v>0.04764560658277366</x:v>
      </x:c>
      <x:c r="P435" t="n">
        <x:f>IF(OR(M435="",N435=""),"",M435^0.7*N435^0.3)</x:f>
        <x:v>0.05440308843343409</x:v>
      </x:c>
      <x:c r="Q435" t="n">
        <x:f>IF(OR(M435="",N435=""),"",M435^0.3*N435^0.7)</x:f>
        <x:v>0.04172748077378133</x:v>
      </x:c>
    </x:row>
    <x:row r="436">
      <x:c r="A436" t="inlineStr">
        <x:is>
          <x:t xml:space="preserve">openai|gpt-6-astra|xhigh|reasoning|fallback-na</x:t>
        </x:is>
      </x:c>
      <x:c r="B436" t="inlineStr">
        <x:is>
          <x:t xml:space="preserve">AA|v4.3.2</x:t>
        </x:is>
      </x:c>
      <x:c r="C436" t="n">
        <x:v>56</x:v>
      </x:c>
      <x:c r="D436" t="n">
        <x:v>40</x:v>
      </x:c>
      <x:c r="E436" t="n">
        <x:f>INDEX(Model_TestVersion_Stats!$W:$W,C436)</x:f>
        <x:v>52</x:v>
      </x:c>
      <x:c r="F436" t="n">
        <x:f>INDEX(Model_TestVersion_Stats!$O:$O,C436)</x:f>
        <x:v>2.31</x:v>
      </x:c>
      <x:c r="G436" t="n">
        <x:f>IF(INDEX(Model_TestVersion_Stats!$R:$R,C436)="","",INDEX(Model_TestVersion_Stats!$R:$R,C436)/60)</x:f>
        <x:v>5.181333333333333</x:v>
      </x:c>
      <x:c r="H436" t="n">
        <x:f>IF(E436="","",E436-(D436-1))</x:f>
        <x:v>13</x:v>
      </x:c>
      <x:c r="I436" t="n">
        <x:f>IF(H436&gt;0,1,0)</x:f>
        <x:v>1</x:v>
      </x:c>
      <x:c r="J436" t="n">
        <x:f>IF(OR(I436=0,F436="",F436=0),"",H436/F436)</x:f>
        <x:v>5.627705627705628</x:v>
      </x:c>
      <x:c r="K436" t="n">
        <x:f>IF(OR(I436=0,H436=0,F436=""),"",F436/H436)</x:f>
        <x:v>0.1776923076923077</x:v>
      </x:c>
      <x:c r="L436" t="n">
        <x:f>IF(OR(I436=0,F436="",G436="",F436=0,G436=0),"",H436/(F436*G436))</x:f>
        <x:v>1.0861500825474064</x:v>
      </x:c>
      <x:c r="M436" t="n">
        <x:f>IF(J436="","",J436/_xlfn.MAXIFS($J:$J,$D:$D,D436))</x:f>
        <x:v>0.10451453308596166</x:v>
      </x:c>
      <x:c r="N436" t="n">
        <x:f>IF(L436="","",L436/_xlfn.MAXIFS($L:$L,$D:$D,D436))</x:f>
        <x:v>0.18022798648304125</x:v>
      </x:c>
      <x:c r="O436" t="n">
        <x:f>IF(OR(M436="",N436=""),"",SQRT(M436*N436))</x:f>
        <x:v>0.1372459247347551</x:v>
      </x:c>
      <x:c r="P436" t="n">
        <x:f>IF(OR(M436="",N436=""),"",M436^0.7*N436^0.3)</x:f>
        <x:v>0.12307514285189092</x:v>
      </x:c>
      <x:c r="Q436" t="n">
        <x:f>IF(OR(M436="",N436=""),"",M436^0.3*N436^0.7)</x:f>
        <x:v>0.15304832007358232</x:v>
      </x:c>
    </x:row>
    <x:row r="437">
      <x:c r="A437" t="inlineStr">
        <x:is>
          <x:t xml:space="preserve">openai|gpt-6-astra|xhigh|reasoning|fallback-na</x:t>
        </x:is>
      </x:c>
      <x:c r="B437" t="inlineStr">
        <x:is>
          <x:t xml:space="preserve">AA|v4.3.2</x:t>
        </x:is>
      </x:c>
      <x:c r="C437" t="n">
        <x:v>56</x:v>
      </x:c>
      <x:c r="D437" t="n">
        <x:v>45</x:v>
      </x:c>
      <x:c r="E437" t="n">
        <x:f>INDEX(Model_TestVersion_Stats!$W:$W,C437)</x:f>
        <x:v>52</x:v>
      </x:c>
      <x:c r="F437" t="n">
        <x:f>INDEX(Model_TestVersion_Stats!$O:$O,C437)</x:f>
        <x:v>2.31</x:v>
      </x:c>
      <x:c r="G437" t="n">
        <x:f>IF(INDEX(Model_TestVersion_Stats!$R:$R,C437)="","",INDEX(Model_TestVersion_Stats!$R:$R,C437)/60)</x:f>
        <x:v>5.181333333333333</x:v>
      </x:c>
      <x:c r="H437" t="n">
        <x:f>IF(E437="","",E437-(D437-1))</x:f>
        <x:v>8</x:v>
      </x:c>
      <x:c r="I437" t="n">
        <x:f>IF(H437&gt;0,1,0)</x:f>
        <x:v>1</x:v>
      </x:c>
      <x:c r="J437" t="n">
        <x:f>IF(OR(I437=0,F437="",F437=0),"",H437/F437)</x:f>
        <x:v>3.463203463203463</x:v>
      </x:c>
      <x:c r="K437" t="n">
        <x:f>IF(OR(I437=0,H437=0,F437=""),"",F437/H437)</x:f>
        <x:v>0.28875</x:v>
      </x:c>
      <x:c r="L437" t="n">
        <x:f>IF(OR(I437=0,F437="",G437="",F437=0,G437=0),"",H437/(F437*G437))</x:f>
        <x:v>0.6684000507984039</x:v>
      </x:c>
      <x:c r="M437" t="n">
        <x:f>IF(J437="","",J437/_xlfn.MAXIFS($J:$J,$D:$D,D437))</x:f>
        <x:v>0.18181818181818182</x:v>
      </x:c>
      <x:c r="N437" t="n">
        <x:f>IF(L437="","",L437/_xlfn.MAXIFS($L:$L,$D:$D,D437))</x:f>
        <x:v>0.38818335550193495</x:v>
      </x:c>
      <x:c r="O437" t="n">
        <x:f>IF(OR(M437="",N437=""),"",SQRT(M437*N437))</x:f>
        <x:v>0.26566669326327436</x:v>
      </x:c>
      <x:c r="P437" t="n">
        <x:f>IF(OR(M437="",N437=""),"",M437^0.7*N437^0.3)</x:f>
        <x:v>0.22827438967015765</x:v>
      </x:c>
      <x:c r="Q437" t="n">
        <x:f>IF(OR(M437="",N437=""),"",M437^0.3*N437^0.7)</x:f>
        <x:v>0.3091840132019396</x:v>
      </x:c>
    </x:row>
    <x:row r="438">
      <x:c r="A438" t="inlineStr">
        <x:is>
          <x:t xml:space="preserve">openai|gpt-6-astra|xhigh|reasoning|fallback-na</x:t>
        </x:is>
      </x:c>
      <x:c r="B438" t="inlineStr">
        <x:is>
          <x:t xml:space="preserve">AA|v4.3.2</x:t>
        </x:is>
      </x:c>
      <x:c r="C438" t="n">
        <x:v>56</x:v>
      </x:c>
      <x:c r="D438" t="n">
        <x:v>50</x:v>
      </x:c>
      <x:c r="E438" t="n">
        <x:f>INDEX(Model_TestVersion_Stats!$W:$W,C438)</x:f>
        <x:v>52</x:v>
      </x:c>
      <x:c r="F438" t="n">
        <x:f>INDEX(Model_TestVersion_Stats!$O:$O,C438)</x:f>
        <x:v>2.31</x:v>
      </x:c>
      <x:c r="G438" t="n">
        <x:f>IF(INDEX(Model_TestVersion_Stats!$R:$R,C438)="","",INDEX(Model_TestVersion_Stats!$R:$R,C438)/60)</x:f>
        <x:v>5.181333333333333</x:v>
      </x:c>
      <x:c r="H438" t="n">
        <x:f>IF(E438="","",E438-(D438-1))</x:f>
        <x:v>3</x:v>
      </x:c>
      <x:c r="I438" t="n">
        <x:f>IF(H438&gt;0,1,0)</x:f>
        <x:v>1</x:v>
      </x:c>
      <x:c r="J438" t="n">
        <x:f>IF(OR(I438=0,F438="",F438=0),"",H438/F438)</x:f>
        <x:v>1.2987012987012987</x:v>
      </x:c>
      <x:c r="K438" t="n">
        <x:f>IF(OR(I438=0,H438=0,F438=""),"",F438/H438)</x:f>
        <x:v>0.77</x:v>
      </x:c>
      <x:c r="L438" t="n">
        <x:f>IF(OR(I438=0,F438="",G438="",F438=0,G438=0),"",H438/(F438*G438))</x:f>
        <x:v>0.2506500190494015</x:v>
      </x:c>
      <x:c r="M438" t="n">
        <x:f>IF(J438="","",J438/_xlfn.MAXIFS($J:$J,$D:$D,D438))</x:f>
        <x:v>0.2532467532467533</x:v>
      </x:c>
      <x:c r="N438" t="n">
        <x:f>IF(L438="","",L438/_xlfn.MAXIFS($L:$L,$D:$D,D438))</x:f>
        <x:v>0.8223689267500385</x:v>
      </x:c>
      <x:c r="O438" t="n">
        <x:f>IF(OR(M438="",N438=""),"",SQRT(M438*N438))</x:f>
        <x:v>0.4563576017450178</x:v>
      </x:c>
      <x:c r="P438" t="n">
        <x:f>IF(OR(M438="",N438=""),"",M438^0.7*N438^0.3)</x:f>
        <x:v>0.3605792474286639</x:v>
      </x:c>
      <x:c r="Q438" t="n">
        <x:f>IF(OR(M438="",N438=""),"",M438^0.3*N438^0.7)</x:f>
        <x:v>0.5775769464149941</x:v>
      </x:c>
    </x:row>
    <x:row r="439">
      <x:c r="A439" t="inlineStr">
        <x:is>
          <x:t xml:space="preserve">openai|gpt-6-astra|xhigh|reasoning|fallback-na</x:t>
        </x:is>
      </x:c>
      <x:c r="B439" t="inlineStr">
        <x:is>
          <x:t xml:space="preserve">AA|v4.3.2</x:t>
        </x:is>
      </x:c>
      <x:c r="C439" t="n">
        <x:v>56</x:v>
      </x:c>
      <x:c r="D439" t="n">
        <x:v>52</x:v>
      </x:c>
      <x:c r="E439" t="n">
        <x:f>INDEX(Model_TestVersion_Stats!$W:$W,C439)</x:f>
        <x:v>52</x:v>
      </x:c>
      <x:c r="F439" t="n">
        <x:f>INDEX(Model_TestVersion_Stats!$O:$O,C439)</x:f>
        <x:v>2.31</x:v>
      </x:c>
      <x:c r="G439" t="n">
        <x:f>IF(INDEX(Model_TestVersion_Stats!$R:$R,C439)="","",INDEX(Model_TestVersion_Stats!$R:$R,C439)/60)</x:f>
        <x:v>5.181333333333333</x:v>
      </x:c>
      <x:c r="H439" t="n">
        <x:f>IF(E439="","",E439-(D439-1))</x:f>
        <x:v>1</x:v>
      </x:c>
      <x:c r="I439" t="n">
        <x:f>IF(H439&gt;0,1,0)</x:f>
        <x:v>1</x:v>
      </x:c>
      <x:c r="J439" t="n">
        <x:f>IF(OR(I439=0,F439="",F439=0),"",H439/F439)</x:f>
        <x:v>0.4329004329004329</x:v>
      </x:c>
      <x:c r="K439" t="n">
        <x:f>IF(OR(I439=0,H439=0,F439=""),"",F439/H439)</x:f>
        <x:v>2.31</x:v>
      </x:c>
      <x:c r="L439" t="n">
        <x:f>IF(OR(I439=0,F439="",G439="",F439=0,G439=0),"",H439/(F439*G439))</x:f>
        <x:v>0.08355000634980049</x:v>
      </x:c>
      <x:c r="M439" t="n">
        <x:f>IF(J439="","",J439/_xlfn.MAXIFS($J:$J,$D:$D,D439))</x:f>
        <x:v>0.26262626262626265</x:v>
      </x:c>
      <x:c r="N439" t="n">
        <x:f>IF(L439="","",L439/_xlfn.MAXIFS($L:$L,$D:$D,D439))</x:f>
        <x:v>0.963088303444711</x:v>
      </x:c>
      <x:c r="O439" t="n">
        <x:f>IF(OR(M439="",N439=""),"",SQRT(M439*N439))</x:f>
        <x:v>0.5029237334952015</x:v>
      </x:c>
      <x:c r="P439" t="n">
        <x:f>IF(OR(M439="",N439=""),"",M439^0.7*N439^0.3)</x:f>
        <x:v>0.38782565968991345</x:v>
      </x:c>
      <x:c r="Q439" t="n">
        <x:f>IF(OR(M439="",N439=""),"",M439^0.3*N439^0.7)</x:f>
        <x:v>0.6521803686609722</x:v>
      </x:c>
    </x:row>
    <x:row r="440">
      <x:c r="A440" t="inlineStr">
        <x:is>
          <x:t xml:space="preserve">openai|gpt-6-astra|xhigh|reasoning|fallback-na</x:t>
        </x:is>
      </x:c>
      <x:c r="B440" t="inlineStr">
        <x:is>
          <x:t xml:space="preserve">AA|v4.3.2</x:t>
        </x:is>
      </x:c>
      <x:c r="C440" t="n">
        <x:v>56</x:v>
      </x:c>
      <x:c r="D440" t="n">
        <x:v>65</x:v>
      </x:c>
      <x:c r="E440" t="n">
        <x:f>INDEX(Model_TestVersion_Stats!$W:$W,C440)</x:f>
        <x:v>52</x:v>
      </x:c>
      <x:c r="F440" t="n">
        <x:f>INDEX(Model_TestVersion_Stats!$O:$O,C440)</x:f>
        <x:v>2.31</x:v>
      </x:c>
      <x:c r="G440" t="n">
        <x:f>IF(INDEX(Model_TestVersion_Stats!$R:$R,C440)="","",INDEX(Model_TestVersion_Stats!$R:$R,C440)/60)</x:f>
        <x:v>5.181333333333333</x:v>
      </x:c>
      <x:c r="H440" t="n">
        <x:f>IF(E440="","",E440-(D440-1))</x:f>
        <x:v>-12</x:v>
      </x:c>
      <x:c r="I440" t="n">
        <x:f>IF(H440&gt;0,1,0)</x:f>
        <x:v>0</x:v>
      </x:c>
      <x:c r="J440" t="str">
        <x:f>IF(OR(I440=0,F440="",F440=0),"",H440/F440)</x:f>
      </x:c>
      <x:c r="K440" t="str">
        <x:f>IF(OR(I440=0,H440=0,F440=""),"",F440/H440)</x:f>
      </x:c>
      <x:c r="L440" t="str">
        <x:f>IF(OR(I440=0,F440="",G440="",F440=0,G440=0),"",H440/(F440*G440))</x:f>
      </x:c>
      <x:c r="M440" t="str">
        <x:f>IF(J440="","",J440/_xlfn.MAXIFS($J:$J,$D:$D,D440))</x:f>
      </x:c>
      <x:c r="N440" t="str">
        <x:f>IF(L440="","",L440/_xlfn.MAXIFS($L:$L,$D:$D,D440))</x:f>
      </x:c>
      <x:c r="O440" t="str">
        <x:f>IF(OR(M440="",N440=""),"",SQRT(M440*N440))</x:f>
      </x:c>
      <x:c r="P440" t="str">
        <x:f>IF(OR(M440="",N440=""),"",M440^0.7*N440^0.3)</x:f>
      </x:c>
      <x:c r="Q440" t="str">
        <x:f>IF(OR(M440="",N440=""),"",M440^0.3*N440^0.7)</x:f>
      </x:c>
    </x:row>
    <x:row r="441">
      <x:c r="A441" t="inlineStr">
        <x:is>
          <x:t xml:space="preserve">openai|gpt-6-astra|xhigh|reasoning|fallback-na</x:t>
        </x:is>
      </x:c>
      <x:c r="B441" t="inlineStr">
        <x:is>
          <x:t xml:space="preserve">AA|v4.3.2</x:t>
        </x:is>
      </x:c>
      <x:c r="C441" t="n">
        <x:v>56</x:v>
      </x:c>
      <x:c r="D441" t="n">
        <x:v>80</x:v>
      </x:c>
      <x:c r="E441" t="n">
        <x:f>INDEX(Model_TestVersion_Stats!$W:$W,C441)</x:f>
        <x:v>52</x:v>
      </x:c>
      <x:c r="F441" t="n">
        <x:f>INDEX(Model_TestVersion_Stats!$O:$O,C441)</x:f>
        <x:v>2.31</x:v>
      </x:c>
      <x:c r="G441" t="n">
        <x:f>IF(INDEX(Model_TestVersion_Stats!$R:$R,C441)="","",INDEX(Model_TestVersion_Stats!$R:$R,C441)/60)</x:f>
        <x:v>5.181333333333333</x:v>
      </x:c>
      <x:c r="H441" t="n">
        <x:f>IF(E441="","",E441-(D441-1))</x:f>
        <x:v>-27</x:v>
      </x:c>
      <x:c r="I441" t="n">
        <x:f>IF(H441&gt;0,1,0)</x:f>
        <x:v>0</x:v>
      </x:c>
      <x:c r="J441" t="str">
        <x:f>IF(OR(I441=0,F441="",F441=0),"",H441/F441)</x:f>
      </x:c>
      <x:c r="K441" t="str">
        <x:f>IF(OR(I441=0,H441=0,F441=""),"",F441/H441)</x:f>
      </x:c>
      <x:c r="L441" t="str">
        <x:f>IF(OR(I441=0,F441="",G441="",F441=0,G441=0),"",H441/(F441*G441))</x:f>
      </x:c>
      <x:c r="M441" t="str">
        <x:f>IF(J441="","",J441/_xlfn.MAXIFS($J:$J,$D:$D,D441))</x:f>
      </x:c>
      <x:c r="N441" t="str">
        <x:f>IF(L441="","",L441/_xlfn.MAXIFS($L:$L,$D:$D,D441))</x:f>
      </x:c>
      <x:c r="O441" t="str">
        <x:f>IF(OR(M441="",N441=""),"",SQRT(M441*N441))</x:f>
      </x:c>
      <x:c r="P441" t="str">
        <x:f>IF(OR(M441="",N441=""),"",M441^0.7*N441^0.3)</x:f>
      </x:c>
      <x:c r="Q441" t="str">
        <x:f>IF(OR(M441="",N441=""),"",M441^0.3*N441^0.7)</x:f>
      </x:c>
    </x:row>
    <x:row r="442">
      <x:c r="A442" t="inlineStr">
        <x:is>
          <x:t xml:space="preserve">openai|gpt-6-luna|high|reasoning|fallback-na</x:t>
        </x:is>
      </x:c>
      <x:c r="B442" t="inlineStr">
        <x:is>
          <x:t xml:space="preserve">AA|v4.3.2</x:t>
        </x:is>
      </x:c>
      <x:c r="C442" t="n">
        <x:v>57</x:v>
      </x:c>
      <x:c r="D442" t="n">
        <x:v>20</x:v>
      </x:c>
      <x:c r="E442" t="n">
        <x:f>INDEX(Model_TestVersion_Stats!$W:$W,C442)</x:f>
        <x:v>32.5</x:v>
      </x:c>
      <x:c r="F442" t="n">
        <x:f>INDEX(Model_TestVersion_Stats!$O:$O,C442)</x:f>
        <x:v>0.03</x:v>
      </x:c>
      <x:c r="G442" t="n">
        <x:f>IF(INDEX(Model_TestVersion_Stats!$R:$R,C442)="","",INDEX(Model_TestVersion_Stats!$R:$R,C442)/60)</x:f>
        <x:v>2.1698333333333335</x:v>
      </x:c>
      <x:c r="H442" t="n">
        <x:f>IF(E442="","",E442-(D442-1))</x:f>
        <x:v>13.5</x:v>
      </x:c>
      <x:c r="I442" t="n">
        <x:f>IF(H442&gt;0,1,0)</x:f>
        <x:v>1</x:v>
      </x:c>
      <x:c r="J442" t="n">
        <x:f>IF(OR(I442=0,F442="",F442=0),"",H442/F442)</x:f>
        <x:v>450</x:v>
      </x:c>
      <x:c r="K442" t="n">
        <x:f>IF(OR(I442=0,H442=0,F442=""),"",F442/H442)</x:f>
        <x:v>0.0022222222222222222</x:v>
      </x:c>
      <x:c r="L442" t="n">
        <x:f>IF(OR(I442=0,F442="",G442="",F442=0,G442=0),"",H442/(F442*G442))</x:f>
        <x:v>207.38920039941624</x:v>
      </x:c>
      <x:c r="M442" t="n">
        <x:f>IF(J442="","",J442/_xlfn.MAXIFS($J:$J,$D:$D,D442))</x:f>
        <x:v>0.81</x:v>
      </x:c>
      <x:c r="N442" t="n">
        <x:f>IF(L442="","",L442/_xlfn.MAXIFS($L:$L,$D:$D,D442))</x:f>
        <x:v>0.08791228204931255</x:v>
      </x:c>
      <x:c r="O442" t="n">
        <x:f>IF(OR(M442="",N442=""),"",SQRT(M442*N442))</x:f>
        <x:v>0.266850048641448</x:v>
      </x:c>
      <x:c r="P442" t="n">
        <x:f>IF(OR(M442="",N442=""),"",M442^0.7*N442^0.3)</x:f>
        <x:v>0.4160584811642536</x:v>
      </x:c>
      <x:c r="Q442" t="n">
        <x:f>IF(OR(M442="",N442=""),"",M442^0.3*N442^0.7)</x:f>
        <x:v>0.17115129647322574</x:v>
      </x:c>
    </x:row>
    <x:row r="443">
      <x:c r="A443" t="inlineStr">
        <x:is>
          <x:t xml:space="preserve">openai|gpt-6-luna|high|reasoning|fallback-na</x:t>
        </x:is>
      </x:c>
      <x:c r="B443" t="inlineStr">
        <x:is>
          <x:t xml:space="preserve">AA|v4.3.2</x:t>
        </x:is>
      </x:c>
      <x:c r="C443" t="n">
        <x:v>57</x:v>
      </x:c>
      <x:c r="D443" t="n">
        <x:v>30</x:v>
      </x:c>
      <x:c r="E443" t="n">
        <x:f>INDEX(Model_TestVersion_Stats!$W:$W,C443)</x:f>
        <x:v>32.5</x:v>
      </x:c>
      <x:c r="F443" t="n">
        <x:f>INDEX(Model_TestVersion_Stats!$O:$O,C443)</x:f>
        <x:v>0.03</x:v>
      </x:c>
      <x:c r="G443" t="n">
        <x:f>IF(INDEX(Model_TestVersion_Stats!$R:$R,C443)="","",INDEX(Model_TestVersion_Stats!$R:$R,C443)/60)</x:f>
        <x:v>2.1698333333333335</x:v>
      </x:c>
      <x:c r="H443" t="n">
        <x:f>IF(E443="","",E443-(D443-1))</x:f>
        <x:v>3.5</x:v>
      </x:c>
      <x:c r="I443" t="n">
        <x:f>IF(H443&gt;0,1,0)</x:f>
        <x:v>1</x:v>
      </x:c>
      <x:c r="J443" t="n">
        <x:f>IF(OR(I443=0,F443="",F443=0),"",H443/F443)</x:f>
        <x:v>116.66666666666667</x:v>
      </x:c>
      <x:c r="K443" t="n">
        <x:f>IF(OR(I443=0,H443=0,F443=""),"",F443/H443)</x:f>
        <x:v>0.008571428571428572</x:v>
      </x:c>
      <x:c r="L443" t="n">
        <x:f>IF(OR(I443=0,F443="",G443="",F443=0,G443=0),"",H443/(F443*G443))</x:f>
        <x:v>53.76757047392273</x:v>
      </x:c>
      <x:c r="M443" t="n">
        <x:f>IF(J443="","",J443/_xlfn.MAXIFS($J:$J,$D:$D,D443))</x:f>
        <x:v>0.7777777777777778</x:v>
      </x:c>
      <x:c r="N443" t="n">
        <x:f>IF(L443="","",L443/_xlfn.MAXIFS($L:$L,$D:$D,D443))</x:f>
        <x:v>0.9569014517244029</x:v>
      </x:c>
      <x:c r="O443" t="n">
        <x:f>IF(OR(M443="",N443=""),"",SQRT(M443*N443))</x:f>
        <x:v>0.8627031266168771</x:v>
      </x:c>
      <x:c r="P443" t="n">
        <x:f>IF(OR(M443="",N443=""),"",M443^0.7*N443^0.3)</x:f>
        <x:v>0.827673471455131</x:v>
      </x:c>
      <x:c r="Q443" t="n">
        <x:f>IF(OR(M443="",N443=""),"",M443^0.3*N443^0.7)</x:f>
        <x:v>0.8992153431788256</x:v>
      </x:c>
    </x:row>
    <x:row r="444">
      <x:c r="A444" t="inlineStr">
        <x:is>
          <x:t xml:space="preserve">openai|gpt-6-luna|high|reasoning|fallback-na</x:t>
        </x:is>
      </x:c>
      <x:c r="B444" t="inlineStr">
        <x:is>
          <x:t xml:space="preserve">AA|v4.3.2</x:t>
        </x:is>
      </x:c>
      <x:c r="C444" t="n">
        <x:v>57</x:v>
      </x:c>
      <x:c r="D444" t="n">
        <x:v>40</x:v>
      </x:c>
      <x:c r="E444" t="n">
        <x:f>INDEX(Model_TestVersion_Stats!$W:$W,C444)</x:f>
        <x:v>32.5</x:v>
      </x:c>
      <x:c r="F444" t="n">
        <x:f>INDEX(Model_TestVersion_Stats!$O:$O,C444)</x:f>
        <x:v>0.03</x:v>
      </x:c>
      <x:c r="G444" t="n">
        <x:f>IF(INDEX(Model_TestVersion_Stats!$R:$R,C444)="","",INDEX(Model_TestVersion_Stats!$R:$R,C444)/60)</x:f>
        <x:v>2.1698333333333335</x:v>
      </x:c>
      <x:c r="H444" t="n">
        <x:f>IF(E444="","",E444-(D444-1))</x:f>
        <x:v>-6.5</x:v>
      </x:c>
      <x:c r="I444" t="n">
        <x:f>IF(H444&gt;0,1,0)</x:f>
        <x:v>0</x:v>
      </x:c>
      <x:c r="J444" t="str">
        <x:f>IF(OR(I444=0,F444="",F444=0),"",H444/F444)</x:f>
      </x:c>
      <x:c r="K444" t="str">
        <x:f>IF(OR(I444=0,H444=0,F444=""),"",F444/H444)</x:f>
      </x:c>
      <x:c r="L444" t="str">
        <x:f>IF(OR(I444=0,F444="",G444="",F444=0,G444=0),"",H444/(F444*G444))</x:f>
      </x:c>
      <x:c r="M444" t="str">
        <x:f>IF(J444="","",J444/_xlfn.MAXIFS($J:$J,$D:$D,D444))</x:f>
      </x:c>
      <x:c r="N444" t="str">
        <x:f>IF(L444="","",L444/_xlfn.MAXIFS($L:$L,$D:$D,D444))</x:f>
      </x:c>
      <x:c r="O444" t="str">
        <x:f>IF(OR(M444="",N444=""),"",SQRT(M444*N444))</x:f>
      </x:c>
      <x:c r="P444" t="str">
        <x:f>IF(OR(M444="",N444=""),"",M444^0.7*N444^0.3)</x:f>
      </x:c>
      <x:c r="Q444" t="str">
        <x:f>IF(OR(M444="",N444=""),"",M444^0.3*N444^0.7)</x:f>
      </x:c>
    </x:row>
    <x:row r="445">
      <x:c r="A445" t="inlineStr">
        <x:is>
          <x:t xml:space="preserve">openai|gpt-6-luna|high|reasoning|fallback-na</x:t>
        </x:is>
      </x:c>
      <x:c r="B445" t="inlineStr">
        <x:is>
          <x:t xml:space="preserve">AA|v4.3.2</x:t>
        </x:is>
      </x:c>
      <x:c r="C445" t="n">
        <x:v>57</x:v>
      </x:c>
      <x:c r="D445" t="n">
        <x:v>45</x:v>
      </x:c>
      <x:c r="E445" t="n">
        <x:f>INDEX(Model_TestVersion_Stats!$W:$W,C445)</x:f>
        <x:v>32.5</x:v>
      </x:c>
      <x:c r="F445" t="n">
        <x:f>INDEX(Model_TestVersion_Stats!$O:$O,C445)</x:f>
        <x:v>0.03</x:v>
      </x:c>
      <x:c r="G445" t="n">
        <x:f>IF(INDEX(Model_TestVersion_Stats!$R:$R,C445)="","",INDEX(Model_TestVersion_Stats!$R:$R,C445)/60)</x:f>
        <x:v>2.1698333333333335</x:v>
      </x:c>
      <x:c r="H445" t="n">
        <x:f>IF(E445="","",E445-(D445-1))</x:f>
        <x:v>-11.5</x:v>
      </x:c>
      <x:c r="I445" t="n">
        <x:f>IF(H445&gt;0,1,0)</x:f>
        <x:v>0</x:v>
      </x:c>
      <x:c r="J445" t="str">
        <x:f>IF(OR(I445=0,F445="",F445=0),"",H445/F445)</x:f>
      </x:c>
      <x:c r="K445" t="str">
        <x:f>IF(OR(I445=0,H445=0,F445=""),"",F445/H445)</x:f>
      </x:c>
      <x:c r="L445" t="str">
        <x:f>IF(OR(I445=0,F445="",G445="",F445=0,G445=0),"",H445/(F445*G445))</x:f>
      </x:c>
      <x:c r="M445" t="str">
        <x:f>IF(J445="","",J445/_xlfn.MAXIFS($J:$J,$D:$D,D445))</x:f>
      </x:c>
      <x:c r="N445" t="str">
        <x:f>IF(L445="","",L445/_xlfn.MAXIFS($L:$L,$D:$D,D445))</x:f>
      </x:c>
      <x:c r="O445" t="str">
        <x:f>IF(OR(M445="",N445=""),"",SQRT(M445*N445))</x:f>
      </x:c>
      <x:c r="P445" t="str">
        <x:f>IF(OR(M445="",N445=""),"",M445^0.7*N445^0.3)</x:f>
      </x:c>
      <x:c r="Q445" t="str">
        <x:f>IF(OR(M445="",N445=""),"",M445^0.3*N445^0.7)</x:f>
      </x:c>
    </x:row>
    <x:row r="446">
      <x:c r="A446" t="inlineStr">
        <x:is>
          <x:t xml:space="preserve">openai|gpt-6-luna|high|reasoning|fallback-na</x:t>
        </x:is>
      </x:c>
      <x:c r="B446" t="inlineStr">
        <x:is>
          <x:t xml:space="preserve">AA|v4.3.2</x:t>
        </x:is>
      </x:c>
      <x:c r="C446" t="n">
        <x:v>57</x:v>
      </x:c>
      <x:c r="D446" t="n">
        <x:v>50</x:v>
      </x:c>
      <x:c r="E446" t="n">
        <x:f>INDEX(Model_TestVersion_Stats!$W:$W,C446)</x:f>
        <x:v>32.5</x:v>
      </x:c>
      <x:c r="F446" t="n">
        <x:f>INDEX(Model_TestVersion_Stats!$O:$O,C446)</x:f>
        <x:v>0.03</x:v>
      </x:c>
      <x:c r="G446" t="n">
        <x:f>IF(INDEX(Model_TestVersion_Stats!$R:$R,C446)="","",INDEX(Model_TestVersion_Stats!$R:$R,C446)/60)</x:f>
        <x:v>2.1698333333333335</x:v>
      </x:c>
      <x:c r="H446" t="n">
        <x:f>IF(E446="","",E446-(D446-1))</x:f>
        <x:v>-16.5</x:v>
      </x:c>
      <x:c r="I446" t="n">
        <x:f>IF(H446&gt;0,1,0)</x:f>
        <x:v>0</x:v>
      </x:c>
      <x:c r="J446" t="str">
        <x:f>IF(OR(I446=0,F446="",F446=0),"",H446/F446)</x:f>
      </x:c>
      <x:c r="K446" t="str">
        <x:f>IF(OR(I446=0,H446=0,F446=""),"",F446/H446)</x:f>
      </x:c>
      <x:c r="L446" t="str">
        <x:f>IF(OR(I446=0,F446="",G446="",F446=0,G446=0),"",H446/(F446*G446))</x:f>
      </x:c>
      <x:c r="M446" t="str">
        <x:f>IF(J446="","",J446/_xlfn.MAXIFS($J:$J,$D:$D,D446))</x:f>
      </x:c>
      <x:c r="N446" t="str">
        <x:f>IF(L446="","",L446/_xlfn.MAXIFS($L:$L,$D:$D,D446))</x:f>
      </x:c>
      <x:c r="O446" t="str">
        <x:f>IF(OR(M446="",N446=""),"",SQRT(M446*N446))</x:f>
      </x:c>
      <x:c r="P446" t="str">
        <x:f>IF(OR(M446="",N446=""),"",M446^0.7*N446^0.3)</x:f>
      </x:c>
      <x:c r="Q446" t="str">
        <x:f>IF(OR(M446="",N446=""),"",M446^0.3*N446^0.7)</x:f>
      </x:c>
    </x:row>
    <x:row r="447">
      <x:c r="A447" t="inlineStr">
        <x:is>
          <x:t xml:space="preserve">openai|gpt-6-luna|high|reasoning|fallback-na</x:t>
        </x:is>
      </x:c>
      <x:c r="B447" t="inlineStr">
        <x:is>
          <x:t xml:space="preserve">AA|v4.3.2</x:t>
        </x:is>
      </x:c>
      <x:c r="C447" t="n">
        <x:v>57</x:v>
      </x:c>
      <x:c r="D447" t="n">
        <x:v>52</x:v>
      </x:c>
      <x:c r="E447" t="n">
        <x:f>INDEX(Model_TestVersion_Stats!$W:$W,C447)</x:f>
        <x:v>32.5</x:v>
      </x:c>
      <x:c r="F447" t="n">
        <x:f>INDEX(Model_TestVersion_Stats!$O:$O,C447)</x:f>
        <x:v>0.03</x:v>
      </x:c>
      <x:c r="G447" t="n">
        <x:f>IF(INDEX(Model_TestVersion_Stats!$R:$R,C447)="","",INDEX(Model_TestVersion_Stats!$R:$R,C447)/60)</x:f>
        <x:v>2.1698333333333335</x:v>
      </x:c>
      <x:c r="H447" t="n">
        <x:f>IF(E447="","",E447-(D447-1))</x:f>
        <x:v>-18.5</x:v>
      </x:c>
      <x:c r="I447" t="n">
        <x:f>IF(H447&gt;0,1,0)</x:f>
        <x:v>0</x:v>
      </x:c>
      <x:c r="J447" t="str">
        <x:f>IF(OR(I447=0,F447="",F447=0),"",H447/F447)</x:f>
      </x:c>
      <x:c r="K447" t="str">
        <x:f>IF(OR(I447=0,H447=0,F447=""),"",F447/H447)</x:f>
      </x:c>
      <x:c r="L447" t="str">
        <x:f>IF(OR(I447=0,F447="",G447="",F447=0,G447=0),"",H447/(F447*G447))</x:f>
      </x:c>
      <x:c r="M447" t="str">
        <x:f>IF(J447="","",J447/_xlfn.MAXIFS($J:$J,$D:$D,D447))</x:f>
      </x:c>
      <x:c r="N447" t="str">
        <x:f>IF(L447="","",L447/_xlfn.MAXIFS($L:$L,$D:$D,D447))</x:f>
      </x:c>
      <x:c r="O447" t="str">
        <x:f>IF(OR(M447="",N447=""),"",SQRT(M447*N447))</x:f>
      </x:c>
      <x:c r="P447" t="str">
        <x:f>IF(OR(M447="",N447=""),"",M447^0.7*N447^0.3)</x:f>
      </x:c>
      <x:c r="Q447" t="str">
        <x:f>IF(OR(M447="",N447=""),"",M447^0.3*N447^0.7)</x:f>
      </x:c>
    </x:row>
    <x:row r="448">
      <x:c r="A448" t="inlineStr">
        <x:is>
          <x:t xml:space="preserve">openai|gpt-6-luna|high|reasoning|fallback-na</x:t>
        </x:is>
      </x:c>
      <x:c r="B448" t="inlineStr">
        <x:is>
          <x:t xml:space="preserve">AA|v4.3.2</x:t>
        </x:is>
      </x:c>
      <x:c r="C448" t="n">
        <x:v>57</x:v>
      </x:c>
      <x:c r="D448" t="n">
        <x:v>65</x:v>
      </x:c>
      <x:c r="E448" t="n">
        <x:f>INDEX(Model_TestVersion_Stats!$W:$W,C448)</x:f>
        <x:v>32.5</x:v>
      </x:c>
      <x:c r="F448" t="n">
        <x:f>INDEX(Model_TestVersion_Stats!$O:$O,C448)</x:f>
        <x:v>0.03</x:v>
      </x:c>
      <x:c r="G448" t="n">
        <x:f>IF(INDEX(Model_TestVersion_Stats!$R:$R,C448)="","",INDEX(Model_TestVersion_Stats!$R:$R,C448)/60)</x:f>
        <x:v>2.1698333333333335</x:v>
      </x:c>
      <x:c r="H448" t="n">
        <x:f>IF(E448="","",E448-(D448-1))</x:f>
        <x:v>-31.5</x:v>
      </x:c>
      <x:c r="I448" t="n">
        <x:f>IF(H448&gt;0,1,0)</x:f>
        <x:v>0</x:v>
      </x:c>
      <x:c r="J448" t="str">
        <x:f>IF(OR(I448=0,F448="",F448=0),"",H448/F448)</x:f>
      </x:c>
      <x:c r="K448" t="str">
        <x:f>IF(OR(I448=0,H448=0,F448=""),"",F448/H448)</x:f>
      </x:c>
      <x:c r="L448" t="str">
        <x:f>IF(OR(I448=0,F448="",G448="",F448=0,G448=0),"",H448/(F448*G448))</x:f>
      </x:c>
      <x:c r="M448" t="str">
        <x:f>IF(J448="","",J448/_xlfn.MAXIFS($J:$J,$D:$D,D448))</x:f>
      </x:c>
      <x:c r="N448" t="str">
        <x:f>IF(L448="","",L448/_xlfn.MAXIFS($L:$L,$D:$D,D448))</x:f>
      </x:c>
      <x:c r="O448" t="str">
        <x:f>IF(OR(M448="",N448=""),"",SQRT(M448*N448))</x:f>
      </x:c>
      <x:c r="P448" t="str">
        <x:f>IF(OR(M448="",N448=""),"",M448^0.7*N448^0.3)</x:f>
      </x:c>
      <x:c r="Q448" t="str">
        <x:f>IF(OR(M448="",N448=""),"",M448^0.3*N448^0.7)</x:f>
      </x:c>
    </x:row>
    <x:row r="449">
      <x:c r="A449" t="inlineStr">
        <x:is>
          <x:t xml:space="preserve">openai|gpt-6-luna|high|reasoning|fallback-na</x:t>
        </x:is>
      </x:c>
      <x:c r="B449" t="inlineStr">
        <x:is>
          <x:t xml:space="preserve">AA|v4.3.2</x:t>
        </x:is>
      </x:c>
      <x:c r="C449" t="n">
        <x:v>57</x:v>
      </x:c>
      <x:c r="D449" t="n">
        <x:v>80</x:v>
      </x:c>
      <x:c r="E449" t="n">
        <x:f>INDEX(Model_TestVersion_Stats!$W:$W,C449)</x:f>
        <x:v>32.5</x:v>
      </x:c>
      <x:c r="F449" t="n">
        <x:f>INDEX(Model_TestVersion_Stats!$O:$O,C449)</x:f>
        <x:v>0.03</x:v>
      </x:c>
      <x:c r="G449" t="n">
        <x:f>IF(INDEX(Model_TestVersion_Stats!$R:$R,C449)="","",INDEX(Model_TestVersion_Stats!$R:$R,C449)/60)</x:f>
        <x:v>2.1698333333333335</x:v>
      </x:c>
      <x:c r="H449" t="n">
        <x:f>IF(E449="","",E449-(D449-1))</x:f>
        <x:v>-46.5</x:v>
      </x:c>
      <x:c r="I449" t="n">
        <x:f>IF(H449&gt;0,1,0)</x:f>
        <x:v>0</x:v>
      </x:c>
      <x:c r="J449" t="str">
        <x:f>IF(OR(I449=0,F449="",F449=0),"",H449/F449)</x:f>
      </x:c>
      <x:c r="K449" t="str">
        <x:f>IF(OR(I449=0,H449=0,F449=""),"",F449/H449)</x:f>
      </x:c>
      <x:c r="L449" t="str">
        <x:f>IF(OR(I449=0,F449="",G449="",F449=0,G449=0),"",H449/(F449*G449))</x:f>
      </x:c>
      <x:c r="M449" t="str">
        <x:f>IF(J449="","",J449/_xlfn.MAXIFS($J:$J,$D:$D,D449))</x:f>
      </x:c>
      <x:c r="N449" t="str">
        <x:f>IF(L449="","",L449/_xlfn.MAXIFS($L:$L,$D:$D,D449))</x:f>
      </x:c>
      <x:c r="O449" t="str">
        <x:f>IF(OR(M449="",N449=""),"",SQRT(M449*N449))</x:f>
      </x:c>
      <x:c r="P449" t="str">
        <x:f>IF(OR(M449="",N449=""),"",M449^0.7*N449^0.3)</x:f>
      </x:c>
      <x:c r="Q449" t="str">
        <x:f>IF(OR(M449="",N449=""),"",M449^0.3*N449^0.7)</x:f>
      </x:c>
    </x:row>
    <x:row r="450">
      <x:c r="A450" t="inlineStr">
        <x:is>
          <x:t xml:space="preserve">openai|gpt-6-luna|low|reasoning|fallback-na</x:t>
        </x:is>
      </x:c>
      <x:c r="B450" t="inlineStr">
        <x:is>
          <x:t xml:space="preserve">AA|v4.3.2</x:t>
        </x:is>
      </x:c>
      <x:c r="C450" t="n">
        <x:v>58</x:v>
      </x:c>
      <x:c r="D450" t="n">
        <x:v>20</x:v>
      </x:c>
      <x:c r="E450" t="n">
        <x:f>INDEX(Model_TestVersion_Stats!$W:$W,C450)</x:f>
        <x:v>21.5</x:v>
      </x:c>
      <x:c r="F450" t="n">
        <x:f>INDEX(Model_TestVersion_Stats!$O:$O,C450)</x:f>
        <x:v>0.0045</x:v>
      </x:c>
      <x:c r="G450" t="n">
        <x:f>IF(INDEX(Model_TestVersion_Stats!$R:$R,C450)="","",INDEX(Model_TestVersion_Stats!$R:$R,C450)/60)</x:f>
        <x:v>0.23550000000000001</x:v>
      </x:c>
      <x:c r="H450" t="n">
        <x:f>IF(E450="","",E450-(D450-1))</x:f>
        <x:v>2.5</x:v>
      </x:c>
      <x:c r="I450" t="n">
        <x:f>IF(H450&gt;0,1,0)</x:f>
        <x:v>1</x:v>
      </x:c>
      <x:c r="J450" t="n">
        <x:f>IF(OR(I450=0,F450="",F450=0),"",H450/F450)</x:f>
        <x:v>555.5555555555555</x:v>
      </x:c>
      <x:c r="K450" t="n">
        <x:f>IF(OR(I450=0,H450=0,F450=""),"",F450/H450)</x:f>
        <x:v>0.0018</x:v>
      </x:c>
      <x:c r="L450" t="n">
        <x:f>IF(OR(I450=0,F450="",G450="",F450=0,G450=0),"",H450/(F450*G450))</x:f>
        <x:v>2359.046945034206</x:v>
      </x:c>
      <x:c r="M450" t="n">
        <x:f>IF(J450="","",J450/_xlfn.MAXIFS($J:$J,$D:$D,D450))</x:f>
        <x:v>1</x:v>
      </x:c>
      <x:c r="N450" t="n">
        <x:f>IF(L450="","",L450/_xlfn.MAXIFS($L:$L,$D:$D,D450))</x:f>
        <x:v>1</x:v>
      </x:c>
      <x:c r="O450" t="n">
        <x:f>IF(OR(M450="",N450=""),"",SQRT(M450*N450))</x:f>
        <x:v>1</x:v>
      </x:c>
      <x:c r="P450" t="n">
        <x:f>IF(OR(M450="",N450=""),"",M450^0.7*N450^0.3)</x:f>
        <x:v>1</x:v>
      </x:c>
      <x:c r="Q450" t="n">
        <x:f>IF(OR(M450="",N450=""),"",M450^0.3*N450^0.7)</x:f>
        <x:v>1</x:v>
      </x:c>
    </x:row>
    <x:row r="451">
      <x:c r="A451" t="inlineStr">
        <x:is>
          <x:t xml:space="preserve">openai|gpt-6-luna|low|reasoning|fallback-na</x:t>
        </x:is>
      </x:c>
      <x:c r="B451" t="inlineStr">
        <x:is>
          <x:t xml:space="preserve">AA|v4.3.2</x:t>
        </x:is>
      </x:c>
      <x:c r="C451" t="n">
        <x:v>58</x:v>
      </x:c>
      <x:c r="D451" t="n">
        <x:v>30</x:v>
      </x:c>
      <x:c r="E451" t="n">
        <x:f>INDEX(Model_TestVersion_Stats!$W:$W,C451)</x:f>
        <x:v>21.5</x:v>
      </x:c>
      <x:c r="F451" t="n">
        <x:f>INDEX(Model_TestVersion_Stats!$O:$O,C451)</x:f>
        <x:v>0.0045</x:v>
      </x:c>
      <x:c r="G451" t="n">
        <x:f>IF(INDEX(Model_TestVersion_Stats!$R:$R,C451)="","",INDEX(Model_TestVersion_Stats!$R:$R,C451)/60)</x:f>
        <x:v>0.23550000000000001</x:v>
      </x:c>
      <x:c r="H451" t="n">
        <x:f>IF(E451="","",E451-(D451-1))</x:f>
        <x:v>-7.5</x:v>
      </x:c>
      <x:c r="I451" t="n">
        <x:f>IF(H451&gt;0,1,0)</x:f>
        <x:v>0</x:v>
      </x:c>
      <x:c r="J451" t="str">
        <x:f>IF(OR(I451=0,F451="",F451=0),"",H451/F451)</x:f>
      </x:c>
      <x:c r="K451" t="str">
        <x:f>IF(OR(I451=0,H451=0,F451=""),"",F451/H451)</x:f>
      </x:c>
      <x:c r="L451" t="str">
        <x:f>IF(OR(I451=0,F451="",G451="",F451=0,G451=0),"",H451/(F451*G451))</x:f>
      </x:c>
      <x:c r="M451" t="str">
        <x:f>IF(J451="","",J451/_xlfn.MAXIFS($J:$J,$D:$D,D451))</x:f>
      </x:c>
      <x:c r="N451" t="str">
        <x:f>IF(L451="","",L451/_xlfn.MAXIFS($L:$L,$D:$D,D451))</x:f>
      </x:c>
      <x:c r="O451" t="str">
        <x:f>IF(OR(M451="",N451=""),"",SQRT(M451*N451))</x:f>
      </x:c>
      <x:c r="P451" t="str">
        <x:f>IF(OR(M451="",N451=""),"",M451^0.7*N451^0.3)</x:f>
      </x:c>
      <x:c r="Q451" t="str">
        <x:f>IF(OR(M451="",N451=""),"",M451^0.3*N451^0.7)</x:f>
      </x:c>
    </x:row>
    <x:row r="452">
      <x:c r="A452" t="inlineStr">
        <x:is>
          <x:t xml:space="preserve">openai|gpt-6-luna|low|reasoning|fallback-na</x:t>
        </x:is>
      </x:c>
      <x:c r="B452" t="inlineStr">
        <x:is>
          <x:t xml:space="preserve">AA|v4.3.2</x:t>
        </x:is>
      </x:c>
      <x:c r="C452" t="n">
        <x:v>58</x:v>
      </x:c>
      <x:c r="D452" t="n">
        <x:v>40</x:v>
      </x:c>
      <x:c r="E452" t="n">
        <x:f>INDEX(Model_TestVersion_Stats!$W:$W,C452)</x:f>
        <x:v>21.5</x:v>
      </x:c>
      <x:c r="F452" t="n">
        <x:f>INDEX(Model_TestVersion_Stats!$O:$O,C452)</x:f>
        <x:v>0.0045</x:v>
      </x:c>
      <x:c r="G452" t="n">
        <x:f>IF(INDEX(Model_TestVersion_Stats!$R:$R,C452)="","",INDEX(Model_TestVersion_Stats!$R:$R,C452)/60)</x:f>
        <x:v>0.23550000000000001</x:v>
      </x:c>
      <x:c r="H452" t="n">
        <x:f>IF(E452="","",E452-(D452-1))</x:f>
        <x:v>-17.5</x:v>
      </x:c>
      <x:c r="I452" t="n">
        <x:f>IF(H452&gt;0,1,0)</x:f>
        <x:v>0</x:v>
      </x:c>
      <x:c r="J452" t="str">
        <x:f>IF(OR(I452=0,F452="",F452=0),"",H452/F452)</x:f>
      </x:c>
      <x:c r="K452" t="str">
        <x:f>IF(OR(I452=0,H452=0,F452=""),"",F452/H452)</x:f>
      </x:c>
      <x:c r="L452" t="str">
        <x:f>IF(OR(I452=0,F452="",G452="",F452=0,G452=0),"",H452/(F452*G452))</x:f>
      </x:c>
      <x:c r="M452" t="str">
        <x:f>IF(J452="","",J452/_xlfn.MAXIFS($J:$J,$D:$D,D452))</x:f>
      </x:c>
      <x:c r="N452" t="str">
        <x:f>IF(L452="","",L452/_xlfn.MAXIFS($L:$L,$D:$D,D452))</x:f>
      </x:c>
      <x:c r="O452" t="str">
        <x:f>IF(OR(M452="",N452=""),"",SQRT(M452*N452))</x:f>
      </x:c>
      <x:c r="P452" t="str">
        <x:f>IF(OR(M452="",N452=""),"",M452^0.7*N452^0.3)</x:f>
      </x:c>
      <x:c r="Q452" t="str">
        <x:f>IF(OR(M452="",N452=""),"",M452^0.3*N452^0.7)</x:f>
      </x:c>
    </x:row>
    <x:row r="453">
      <x:c r="A453" t="inlineStr">
        <x:is>
          <x:t xml:space="preserve">openai|gpt-6-luna|low|reasoning|fallback-na</x:t>
        </x:is>
      </x:c>
      <x:c r="B453" t="inlineStr">
        <x:is>
          <x:t xml:space="preserve">AA|v4.3.2</x:t>
        </x:is>
      </x:c>
      <x:c r="C453" t="n">
        <x:v>58</x:v>
      </x:c>
      <x:c r="D453" t="n">
        <x:v>45</x:v>
      </x:c>
      <x:c r="E453" t="n">
        <x:f>INDEX(Model_TestVersion_Stats!$W:$W,C453)</x:f>
        <x:v>21.5</x:v>
      </x:c>
      <x:c r="F453" t="n">
        <x:f>INDEX(Model_TestVersion_Stats!$O:$O,C453)</x:f>
        <x:v>0.0045</x:v>
      </x:c>
      <x:c r="G453" t="n">
        <x:f>IF(INDEX(Model_TestVersion_Stats!$R:$R,C453)="","",INDEX(Model_TestVersion_Stats!$R:$R,C453)/60)</x:f>
        <x:v>0.23550000000000001</x:v>
      </x:c>
      <x:c r="H453" t="n">
        <x:f>IF(E453="","",E453-(D453-1))</x:f>
        <x:v>-22.5</x:v>
      </x:c>
      <x:c r="I453" t="n">
        <x:f>IF(H453&gt;0,1,0)</x:f>
        <x:v>0</x:v>
      </x:c>
      <x:c r="J453" t="str">
        <x:f>IF(OR(I453=0,F453="",F453=0),"",H453/F453)</x:f>
      </x:c>
      <x:c r="K453" t="str">
        <x:f>IF(OR(I453=0,H453=0,F453=""),"",F453/H453)</x:f>
      </x:c>
      <x:c r="L453" t="str">
        <x:f>IF(OR(I453=0,F453="",G453="",F453=0,G453=0),"",H453/(F453*G453))</x:f>
      </x:c>
      <x:c r="M453" t="str">
        <x:f>IF(J453="","",J453/_xlfn.MAXIFS($J:$J,$D:$D,D453))</x:f>
      </x:c>
      <x:c r="N453" t="str">
        <x:f>IF(L453="","",L453/_xlfn.MAXIFS($L:$L,$D:$D,D453))</x:f>
      </x:c>
      <x:c r="O453" t="str">
        <x:f>IF(OR(M453="",N453=""),"",SQRT(M453*N453))</x:f>
      </x:c>
      <x:c r="P453" t="str">
        <x:f>IF(OR(M453="",N453=""),"",M453^0.7*N453^0.3)</x:f>
      </x:c>
      <x:c r="Q453" t="str">
        <x:f>IF(OR(M453="",N453=""),"",M453^0.3*N453^0.7)</x:f>
      </x:c>
    </x:row>
    <x:row r="454">
      <x:c r="A454" t="inlineStr">
        <x:is>
          <x:t xml:space="preserve">openai|gpt-6-luna|low|reasoning|fallback-na</x:t>
        </x:is>
      </x:c>
      <x:c r="B454" t="inlineStr">
        <x:is>
          <x:t xml:space="preserve">AA|v4.3.2</x:t>
        </x:is>
      </x:c>
      <x:c r="C454" t="n">
        <x:v>58</x:v>
      </x:c>
      <x:c r="D454" t="n">
        <x:v>50</x:v>
      </x:c>
      <x:c r="E454" t="n">
        <x:f>INDEX(Model_TestVersion_Stats!$W:$W,C454)</x:f>
        <x:v>21.5</x:v>
      </x:c>
      <x:c r="F454" t="n">
        <x:f>INDEX(Model_TestVersion_Stats!$O:$O,C454)</x:f>
        <x:v>0.0045</x:v>
      </x:c>
      <x:c r="G454" t="n">
        <x:f>IF(INDEX(Model_TestVersion_Stats!$R:$R,C454)="","",INDEX(Model_TestVersion_Stats!$R:$R,C454)/60)</x:f>
        <x:v>0.23550000000000001</x:v>
      </x:c>
      <x:c r="H454" t="n">
        <x:f>IF(E454="","",E454-(D454-1))</x:f>
        <x:v>-27.5</x:v>
      </x:c>
      <x:c r="I454" t="n">
        <x:f>IF(H454&gt;0,1,0)</x:f>
        <x:v>0</x:v>
      </x:c>
      <x:c r="J454" t="str">
        <x:f>IF(OR(I454=0,F454="",F454=0),"",H454/F454)</x:f>
      </x:c>
      <x:c r="K454" t="str">
        <x:f>IF(OR(I454=0,H454=0,F454=""),"",F454/H454)</x:f>
      </x:c>
      <x:c r="L454" t="str">
        <x:f>IF(OR(I454=0,F454="",G454="",F454=0,G454=0),"",H454/(F454*G454))</x:f>
      </x:c>
      <x:c r="M454" t="str">
        <x:f>IF(J454="","",J454/_xlfn.MAXIFS($J:$J,$D:$D,D454))</x:f>
      </x:c>
      <x:c r="N454" t="str">
        <x:f>IF(L454="","",L454/_xlfn.MAXIFS($L:$L,$D:$D,D454))</x:f>
      </x:c>
      <x:c r="O454" t="str">
        <x:f>IF(OR(M454="",N454=""),"",SQRT(M454*N454))</x:f>
      </x:c>
      <x:c r="P454" t="str">
        <x:f>IF(OR(M454="",N454=""),"",M454^0.7*N454^0.3)</x:f>
      </x:c>
      <x:c r="Q454" t="str">
        <x:f>IF(OR(M454="",N454=""),"",M454^0.3*N454^0.7)</x:f>
      </x:c>
    </x:row>
    <x:row r="455">
      <x:c r="A455" t="inlineStr">
        <x:is>
          <x:t xml:space="preserve">openai|gpt-6-luna|low|reasoning|fallback-na</x:t>
        </x:is>
      </x:c>
      <x:c r="B455" t="inlineStr">
        <x:is>
          <x:t xml:space="preserve">AA|v4.3.2</x:t>
        </x:is>
      </x:c>
      <x:c r="C455" t="n">
        <x:v>58</x:v>
      </x:c>
      <x:c r="D455" t="n">
        <x:v>52</x:v>
      </x:c>
      <x:c r="E455" t="n">
        <x:f>INDEX(Model_TestVersion_Stats!$W:$W,C455)</x:f>
        <x:v>21.5</x:v>
      </x:c>
      <x:c r="F455" t="n">
        <x:f>INDEX(Model_TestVersion_Stats!$O:$O,C455)</x:f>
        <x:v>0.0045</x:v>
      </x:c>
      <x:c r="G455" t="n">
        <x:f>IF(INDEX(Model_TestVersion_Stats!$R:$R,C455)="","",INDEX(Model_TestVersion_Stats!$R:$R,C455)/60)</x:f>
        <x:v>0.23550000000000001</x:v>
      </x:c>
      <x:c r="H455" t="n">
        <x:f>IF(E455="","",E455-(D455-1))</x:f>
        <x:v>-29.5</x:v>
      </x:c>
      <x:c r="I455" t="n">
        <x:f>IF(H455&gt;0,1,0)</x:f>
        <x:v>0</x:v>
      </x:c>
      <x:c r="J455" t="str">
        <x:f>IF(OR(I455=0,F455="",F455=0),"",H455/F455)</x:f>
      </x:c>
      <x:c r="K455" t="str">
        <x:f>IF(OR(I455=0,H455=0,F455=""),"",F455/H455)</x:f>
      </x:c>
      <x:c r="L455" t="str">
        <x:f>IF(OR(I455=0,F455="",G455="",F455=0,G455=0),"",H455/(F455*G455))</x:f>
      </x:c>
      <x:c r="M455" t="str">
        <x:f>IF(J455="","",J455/_xlfn.MAXIFS($J:$J,$D:$D,D455))</x:f>
      </x:c>
      <x:c r="N455" t="str">
        <x:f>IF(L455="","",L455/_xlfn.MAXIFS($L:$L,$D:$D,D455))</x:f>
      </x:c>
      <x:c r="O455" t="str">
        <x:f>IF(OR(M455="",N455=""),"",SQRT(M455*N455))</x:f>
      </x:c>
      <x:c r="P455" t="str">
        <x:f>IF(OR(M455="",N455=""),"",M455^0.7*N455^0.3)</x:f>
      </x:c>
      <x:c r="Q455" t="str">
        <x:f>IF(OR(M455="",N455=""),"",M455^0.3*N455^0.7)</x:f>
      </x:c>
    </x:row>
    <x:row r="456">
      <x:c r="A456" t="inlineStr">
        <x:is>
          <x:t xml:space="preserve">openai|gpt-6-luna|low|reasoning|fallback-na</x:t>
        </x:is>
      </x:c>
      <x:c r="B456" t="inlineStr">
        <x:is>
          <x:t xml:space="preserve">AA|v4.3.2</x:t>
        </x:is>
      </x:c>
      <x:c r="C456" t="n">
        <x:v>58</x:v>
      </x:c>
      <x:c r="D456" t="n">
        <x:v>65</x:v>
      </x:c>
      <x:c r="E456" t="n">
        <x:f>INDEX(Model_TestVersion_Stats!$W:$W,C456)</x:f>
        <x:v>21.5</x:v>
      </x:c>
      <x:c r="F456" t="n">
        <x:f>INDEX(Model_TestVersion_Stats!$O:$O,C456)</x:f>
        <x:v>0.0045</x:v>
      </x:c>
      <x:c r="G456" t="n">
        <x:f>IF(INDEX(Model_TestVersion_Stats!$R:$R,C456)="","",INDEX(Model_TestVersion_Stats!$R:$R,C456)/60)</x:f>
        <x:v>0.23550000000000001</x:v>
      </x:c>
      <x:c r="H456" t="n">
        <x:f>IF(E456="","",E456-(D456-1))</x:f>
        <x:v>-42.5</x:v>
      </x:c>
      <x:c r="I456" t="n">
        <x:f>IF(H456&gt;0,1,0)</x:f>
        <x:v>0</x:v>
      </x:c>
      <x:c r="J456" t="str">
        <x:f>IF(OR(I456=0,F456="",F456=0),"",H456/F456)</x:f>
      </x:c>
      <x:c r="K456" t="str">
        <x:f>IF(OR(I456=0,H456=0,F456=""),"",F456/H456)</x:f>
      </x:c>
      <x:c r="L456" t="str">
        <x:f>IF(OR(I456=0,F456="",G456="",F456=0,G456=0),"",H456/(F456*G456))</x:f>
      </x:c>
      <x:c r="M456" t="str">
        <x:f>IF(J456="","",J456/_xlfn.MAXIFS($J:$J,$D:$D,D456))</x:f>
      </x:c>
      <x:c r="N456" t="str">
        <x:f>IF(L456="","",L456/_xlfn.MAXIFS($L:$L,$D:$D,D456))</x:f>
      </x:c>
      <x:c r="O456" t="str">
        <x:f>IF(OR(M456="",N456=""),"",SQRT(M456*N456))</x:f>
      </x:c>
      <x:c r="P456" t="str">
        <x:f>IF(OR(M456="",N456=""),"",M456^0.7*N456^0.3)</x:f>
      </x:c>
      <x:c r="Q456" t="str">
        <x:f>IF(OR(M456="",N456=""),"",M456^0.3*N456^0.7)</x:f>
      </x:c>
    </x:row>
    <x:row r="457">
      <x:c r="A457" t="inlineStr">
        <x:is>
          <x:t xml:space="preserve">openai|gpt-6-luna|low|reasoning|fallback-na</x:t>
        </x:is>
      </x:c>
      <x:c r="B457" t="inlineStr">
        <x:is>
          <x:t xml:space="preserve">AA|v4.3.2</x:t>
        </x:is>
      </x:c>
      <x:c r="C457" t="n">
        <x:v>58</x:v>
      </x:c>
      <x:c r="D457" t="n">
        <x:v>80</x:v>
      </x:c>
      <x:c r="E457" t="n">
        <x:f>INDEX(Model_TestVersion_Stats!$W:$W,C457)</x:f>
        <x:v>21.5</x:v>
      </x:c>
      <x:c r="F457" t="n">
        <x:f>INDEX(Model_TestVersion_Stats!$O:$O,C457)</x:f>
        <x:v>0.0045</x:v>
      </x:c>
      <x:c r="G457" t="n">
        <x:f>IF(INDEX(Model_TestVersion_Stats!$R:$R,C457)="","",INDEX(Model_TestVersion_Stats!$R:$R,C457)/60)</x:f>
        <x:v>0.23550000000000001</x:v>
      </x:c>
      <x:c r="H457" t="n">
        <x:f>IF(E457="","",E457-(D457-1))</x:f>
        <x:v>-57.5</x:v>
      </x:c>
      <x:c r="I457" t="n">
        <x:f>IF(H457&gt;0,1,0)</x:f>
        <x:v>0</x:v>
      </x:c>
      <x:c r="J457" t="str">
        <x:f>IF(OR(I457=0,F457="",F457=0),"",H457/F457)</x:f>
      </x:c>
      <x:c r="K457" t="str">
        <x:f>IF(OR(I457=0,H457=0,F457=""),"",F457/H457)</x:f>
      </x:c>
      <x:c r="L457" t="str">
        <x:f>IF(OR(I457=0,F457="",G457="",F457=0,G457=0),"",H457/(F457*G457))</x:f>
      </x:c>
      <x:c r="M457" t="str">
        <x:f>IF(J457="","",J457/_xlfn.MAXIFS($J:$J,$D:$D,D457))</x:f>
      </x:c>
      <x:c r="N457" t="str">
        <x:f>IF(L457="","",L457/_xlfn.MAXIFS($L:$L,$D:$D,D457))</x:f>
      </x:c>
      <x:c r="O457" t="str">
        <x:f>IF(OR(M457="",N457=""),"",SQRT(M457*N457))</x:f>
      </x:c>
      <x:c r="P457" t="str">
        <x:f>IF(OR(M457="",N457=""),"",M457^0.7*N457^0.3)</x:f>
      </x:c>
      <x:c r="Q457" t="str">
        <x:f>IF(OR(M457="",N457=""),"",M457^0.3*N457^0.7)</x:f>
      </x:c>
    </x:row>
    <x:row r="458">
      <x:c r="A458" t="inlineStr">
        <x:is>
          <x:t xml:space="preserve">openai|gpt-6-luna|max|reasoning|fallback-na</x:t>
        </x:is>
      </x:c>
      <x:c r="B458" t="inlineStr">
        <x:is>
          <x:t xml:space="preserve">AA|v4.3.2</x:t>
        </x:is>
      </x:c>
      <x:c r="C458" t="n">
        <x:v>59</x:v>
      </x:c>
      <x:c r="D458" t="n">
        <x:v>20</x:v>
      </x:c>
      <x:c r="E458" t="n">
        <x:f>INDEX(Model_TestVersion_Stats!$W:$W,C458)</x:f>
        <x:v>37.5</x:v>
      </x:c>
      <x:c r="F458" t="n">
        <x:f>INDEX(Model_TestVersion_Stats!$O:$O,C458)</x:f>
        <x:v>0.07</x:v>
      </x:c>
      <x:c r="G458" t="n">
        <x:f>IF(INDEX(Model_TestVersion_Stats!$R:$R,C458)="","",INDEX(Model_TestVersion_Stats!$R:$R,C458)/60)</x:f>
        <x:v>5.2219999999999995</x:v>
      </x:c>
      <x:c r="H458" t="n">
        <x:f>IF(E458="","",E458-(D458-1))</x:f>
        <x:v>18.5</x:v>
      </x:c>
      <x:c r="I458" t="n">
        <x:f>IF(H458&gt;0,1,0)</x:f>
        <x:v>1</x:v>
      </x:c>
      <x:c r="J458" t="n">
        <x:f>IF(OR(I458=0,F458="",F458=0),"",H458/F458)</x:f>
        <x:v>264.2857142857143</x:v>
      </x:c>
      <x:c r="K458" t="n">
        <x:f>IF(OR(I458=0,H458=0,F458=""),"",F458/H458)</x:f>
        <x:v>0.003783783783783784</x:v>
      </x:c>
      <x:c r="L458" t="n">
        <x:f>IF(OR(I458=0,F458="",G458="",F458=0,G458=0),"",H458/(F458*G458))</x:f>
        <x:v>50.61005635498167</x:v>
      </x:c>
      <x:c r="M458" t="n">
        <x:f>IF(J458="","",J458/_xlfn.MAXIFS($J:$J,$D:$D,D458))</x:f>
        <x:v>0.4757142857142857</x:v>
      </x:c>
      <x:c r="N458" t="n">
        <x:f>IF(L458="","",L458/_xlfn.MAXIFS($L:$L,$D:$D,D458))</x:f>
        <x:v>0.02145360288887673</x:v>
      </x:c>
      <x:c r="O458" t="n">
        <x:f>IF(OR(M458="",N458=""),"",SQRT(M458*N458))</x:f>
        <x:v>0.10102368719404341</x:v>
      </x:c>
      <x:c r="P458" t="n">
        <x:f>IF(OR(M458="",N458=""),"",M458^0.7*N458^0.3)</x:f>
        <x:v>0.18775538710057138</x:v>
      </x:c>
      <x:c r="Q458" t="n">
        <x:f>IF(OR(M458="",N458=""),"",M458^0.3*N458^0.7)</x:f>
        <x:v>0.05435681783560859</x:v>
      </x:c>
    </x:row>
    <x:row r="459">
      <x:c r="A459" t="inlineStr">
        <x:is>
          <x:t xml:space="preserve">openai|gpt-6-luna|max|reasoning|fallback-na</x:t>
        </x:is>
      </x:c>
      <x:c r="B459" t="inlineStr">
        <x:is>
          <x:t xml:space="preserve">AA|v4.3.2</x:t>
        </x:is>
      </x:c>
      <x:c r="C459" t="n">
        <x:v>59</x:v>
      </x:c>
      <x:c r="D459" t="n">
        <x:v>30</x:v>
      </x:c>
      <x:c r="E459" t="n">
        <x:f>INDEX(Model_TestVersion_Stats!$W:$W,C459)</x:f>
        <x:v>37.5</x:v>
      </x:c>
      <x:c r="F459" t="n">
        <x:f>INDEX(Model_TestVersion_Stats!$O:$O,C459)</x:f>
        <x:v>0.07</x:v>
      </x:c>
      <x:c r="G459" t="n">
        <x:f>IF(INDEX(Model_TestVersion_Stats!$R:$R,C459)="","",INDEX(Model_TestVersion_Stats!$R:$R,C459)/60)</x:f>
        <x:v>5.2219999999999995</x:v>
      </x:c>
      <x:c r="H459" t="n">
        <x:f>IF(E459="","",E459-(D459-1))</x:f>
        <x:v>8.5</x:v>
      </x:c>
      <x:c r="I459" t="n">
        <x:f>IF(H459&gt;0,1,0)</x:f>
        <x:v>1</x:v>
      </x:c>
      <x:c r="J459" t="n">
        <x:f>IF(OR(I459=0,F459="",F459=0),"",H459/F459)</x:f>
        <x:v>121.42857142857142</x:v>
      </x:c>
      <x:c r="K459" t="n">
        <x:f>IF(OR(I459=0,H459=0,F459=""),"",F459/H459)</x:f>
        <x:v>0.00823529411764706</x:v>
      </x:c>
      <x:c r="L459" t="n">
        <x:f>IF(OR(I459=0,F459="",G459="",F459=0,G459=0),"",H459/(F459*G459))</x:f>
        <x:v>23.25326913607266</x:v>
      </x:c>
      <x:c r="M459" t="n">
        <x:f>IF(J459="","",J459/_xlfn.MAXIFS($J:$J,$D:$D,D459))</x:f>
        <x:v>0.8095238095238094</x:v>
      </x:c>
      <x:c r="N459" t="n">
        <x:f>IF(L459="","",L459/_xlfn.MAXIFS($L:$L,$D:$D,D459))</x:f>
        <x:v>0.4138384308146852</x:v>
      </x:c>
      <x:c r="O459" t="n">
        <x:f>IF(OR(M459="",N459=""),"",SQRT(M459*N459))</x:f>
        <x:v>0.5788022659254708</x:v>
      </x:c>
      <x:c r="P459" t="n">
        <x:f>IF(OR(M459="",N459=""),"",M459^0.7*N459^0.3)</x:f>
        <x:v>0.6619268291852239</x:v>
      </x:c>
      <x:c r="Q459" t="n">
        <x:f>IF(OR(M459="",N459=""),"",M459^0.3*N459^0.7)</x:f>
        <x:v>0.5061164592056663</x:v>
      </x:c>
    </x:row>
    <x:row r="460">
      <x:c r="A460" t="inlineStr">
        <x:is>
          <x:t xml:space="preserve">openai|gpt-6-luna|max|reasoning|fallback-na</x:t>
        </x:is>
      </x:c>
      <x:c r="B460" t="inlineStr">
        <x:is>
          <x:t xml:space="preserve">AA|v4.3.2</x:t>
        </x:is>
      </x:c>
      <x:c r="C460" t="n">
        <x:v>59</x:v>
      </x:c>
      <x:c r="D460" t="n">
        <x:v>40</x:v>
      </x:c>
      <x:c r="E460" t="n">
        <x:f>INDEX(Model_TestVersion_Stats!$W:$W,C460)</x:f>
        <x:v>37.5</x:v>
      </x:c>
      <x:c r="F460" t="n">
        <x:f>INDEX(Model_TestVersion_Stats!$O:$O,C460)</x:f>
        <x:v>0.07</x:v>
      </x:c>
      <x:c r="G460" t="n">
        <x:f>IF(INDEX(Model_TestVersion_Stats!$R:$R,C460)="","",INDEX(Model_TestVersion_Stats!$R:$R,C460)/60)</x:f>
        <x:v>5.2219999999999995</x:v>
      </x:c>
      <x:c r="H460" t="n">
        <x:f>IF(E460="","",E460-(D460-1))</x:f>
        <x:v>-1.5</x:v>
      </x:c>
      <x:c r="I460" t="n">
        <x:f>IF(H460&gt;0,1,0)</x:f>
        <x:v>0</x:v>
      </x:c>
      <x:c r="J460" t="str">
        <x:f>IF(OR(I460=0,F460="",F460=0),"",H460/F460)</x:f>
      </x:c>
      <x:c r="K460" t="str">
        <x:f>IF(OR(I460=0,H460=0,F460=""),"",F460/H460)</x:f>
      </x:c>
      <x:c r="L460" t="str">
        <x:f>IF(OR(I460=0,F460="",G460="",F460=0,G460=0),"",H460/(F460*G460))</x:f>
      </x:c>
      <x:c r="M460" t="str">
        <x:f>IF(J460="","",J460/_xlfn.MAXIFS($J:$J,$D:$D,D460))</x:f>
      </x:c>
      <x:c r="N460" t="str">
        <x:f>IF(L460="","",L460/_xlfn.MAXIFS($L:$L,$D:$D,D460))</x:f>
      </x:c>
      <x:c r="O460" t="str">
        <x:f>IF(OR(M460="",N460=""),"",SQRT(M460*N460))</x:f>
      </x:c>
      <x:c r="P460" t="str">
        <x:f>IF(OR(M460="",N460=""),"",M460^0.7*N460^0.3)</x:f>
      </x:c>
      <x:c r="Q460" t="str">
        <x:f>IF(OR(M460="",N460=""),"",M460^0.3*N460^0.7)</x:f>
      </x:c>
    </x:row>
    <x:row r="461">
      <x:c r="A461" t="inlineStr">
        <x:is>
          <x:t xml:space="preserve">openai|gpt-6-luna|max|reasoning|fallback-na</x:t>
        </x:is>
      </x:c>
      <x:c r="B461" t="inlineStr">
        <x:is>
          <x:t xml:space="preserve">AA|v4.3.2</x:t>
        </x:is>
      </x:c>
      <x:c r="C461" t="n">
        <x:v>59</x:v>
      </x:c>
      <x:c r="D461" t="n">
        <x:v>45</x:v>
      </x:c>
      <x:c r="E461" t="n">
        <x:f>INDEX(Model_TestVersion_Stats!$W:$W,C461)</x:f>
        <x:v>37.5</x:v>
      </x:c>
      <x:c r="F461" t="n">
        <x:f>INDEX(Model_TestVersion_Stats!$O:$O,C461)</x:f>
        <x:v>0.07</x:v>
      </x:c>
      <x:c r="G461" t="n">
        <x:f>IF(INDEX(Model_TestVersion_Stats!$R:$R,C461)="","",INDEX(Model_TestVersion_Stats!$R:$R,C461)/60)</x:f>
        <x:v>5.2219999999999995</x:v>
      </x:c>
      <x:c r="H461" t="n">
        <x:f>IF(E461="","",E461-(D461-1))</x:f>
        <x:v>-6.5</x:v>
      </x:c>
      <x:c r="I461" t="n">
        <x:f>IF(H461&gt;0,1,0)</x:f>
        <x:v>0</x:v>
      </x:c>
      <x:c r="J461" t="str">
        <x:f>IF(OR(I461=0,F461="",F461=0),"",H461/F461)</x:f>
      </x:c>
      <x:c r="K461" t="str">
        <x:f>IF(OR(I461=0,H461=0,F461=""),"",F461/H461)</x:f>
      </x:c>
      <x:c r="L461" t="str">
        <x:f>IF(OR(I461=0,F461="",G461="",F461=0,G461=0),"",H461/(F461*G461))</x:f>
      </x:c>
      <x:c r="M461" t="str">
        <x:f>IF(J461="","",J461/_xlfn.MAXIFS($J:$J,$D:$D,D461))</x:f>
      </x:c>
      <x:c r="N461" t="str">
        <x:f>IF(L461="","",L461/_xlfn.MAXIFS($L:$L,$D:$D,D461))</x:f>
      </x:c>
      <x:c r="O461" t="str">
        <x:f>IF(OR(M461="",N461=""),"",SQRT(M461*N461))</x:f>
      </x:c>
      <x:c r="P461" t="str">
        <x:f>IF(OR(M461="",N461=""),"",M461^0.7*N461^0.3)</x:f>
      </x:c>
      <x:c r="Q461" t="str">
        <x:f>IF(OR(M461="",N461=""),"",M461^0.3*N461^0.7)</x:f>
      </x:c>
    </x:row>
    <x:row r="462">
      <x:c r="A462" t="inlineStr">
        <x:is>
          <x:t xml:space="preserve">openai|gpt-6-luna|max|reasoning|fallback-na</x:t>
        </x:is>
      </x:c>
      <x:c r="B462" t="inlineStr">
        <x:is>
          <x:t xml:space="preserve">AA|v4.3.2</x:t>
        </x:is>
      </x:c>
      <x:c r="C462" t="n">
        <x:v>59</x:v>
      </x:c>
      <x:c r="D462" t="n">
        <x:v>50</x:v>
      </x:c>
      <x:c r="E462" t="n">
        <x:f>INDEX(Model_TestVersion_Stats!$W:$W,C462)</x:f>
        <x:v>37.5</x:v>
      </x:c>
      <x:c r="F462" t="n">
        <x:f>INDEX(Model_TestVersion_Stats!$O:$O,C462)</x:f>
        <x:v>0.07</x:v>
      </x:c>
      <x:c r="G462" t="n">
        <x:f>IF(INDEX(Model_TestVersion_Stats!$R:$R,C462)="","",INDEX(Model_TestVersion_Stats!$R:$R,C462)/60)</x:f>
        <x:v>5.2219999999999995</x:v>
      </x:c>
      <x:c r="H462" t="n">
        <x:f>IF(E462="","",E462-(D462-1))</x:f>
        <x:v>-11.5</x:v>
      </x:c>
      <x:c r="I462" t="n">
        <x:f>IF(H462&gt;0,1,0)</x:f>
        <x:v>0</x:v>
      </x:c>
      <x:c r="J462" t="str">
        <x:f>IF(OR(I462=0,F462="",F462=0),"",H462/F462)</x:f>
      </x:c>
      <x:c r="K462" t="str">
        <x:f>IF(OR(I462=0,H462=0,F462=""),"",F462/H462)</x:f>
      </x:c>
      <x:c r="L462" t="str">
        <x:f>IF(OR(I462=0,F462="",G462="",F462=0,G462=0),"",H462/(F462*G462))</x:f>
      </x:c>
      <x:c r="M462" t="str">
        <x:f>IF(J462="","",J462/_xlfn.MAXIFS($J:$J,$D:$D,D462))</x:f>
      </x:c>
      <x:c r="N462" t="str">
        <x:f>IF(L462="","",L462/_xlfn.MAXIFS($L:$L,$D:$D,D462))</x:f>
      </x:c>
      <x:c r="O462" t="str">
        <x:f>IF(OR(M462="",N462=""),"",SQRT(M462*N462))</x:f>
      </x:c>
      <x:c r="P462" t="str">
        <x:f>IF(OR(M462="",N462=""),"",M462^0.7*N462^0.3)</x:f>
      </x:c>
      <x:c r="Q462" t="str">
        <x:f>IF(OR(M462="",N462=""),"",M462^0.3*N462^0.7)</x:f>
      </x:c>
    </x:row>
    <x:row r="463">
      <x:c r="A463" t="inlineStr">
        <x:is>
          <x:t xml:space="preserve">openai|gpt-6-luna|max|reasoning|fallback-na</x:t>
        </x:is>
      </x:c>
      <x:c r="B463" t="inlineStr">
        <x:is>
          <x:t xml:space="preserve">AA|v4.3.2</x:t>
        </x:is>
      </x:c>
      <x:c r="C463" t="n">
        <x:v>59</x:v>
      </x:c>
      <x:c r="D463" t="n">
        <x:v>52</x:v>
      </x:c>
      <x:c r="E463" t="n">
        <x:f>INDEX(Model_TestVersion_Stats!$W:$W,C463)</x:f>
        <x:v>37.5</x:v>
      </x:c>
      <x:c r="F463" t="n">
        <x:f>INDEX(Model_TestVersion_Stats!$O:$O,C463)</x:f>
        <x:v>0.07</x:v>
      </x:c>
      <x:c r="G463" t="n">
        <x:f>IF(INDEX(Model_TestVersion_Stats!$R:$R,C463)="","",INDEX(Model_TestVersion_Stats!$R:$R,C463)/60)</x:f>
        <x:v>5.2219999999999995</x:v>
      </x:c>
      <x:c r="H463" t="n">
        <x:f>IF(E463="","",E463-(D463-1))</x:f>
        <x:v>-13.5</x:v>
      </x:c>
      <x:c r="I463" t="n">
        <x:f>IF(H463&gt;0,1,0)</x:f>
        <x:v>0</x:v>
      </x:c>
      <x:c r="J463" t="str">
        <x:f>IF(OR(I463=0,F463="",F463=0),"",H463/F463)</x:f>
      </x:c>
      <x:c r="K463" t="str">
        <x:f>IF(OR(I463=0,H463=0,F463=""),"",F463/H463)</x:f>
      </x:c>
      <x:c r="L463" t="str">
        <x:f>IF(OR(I463=0,F463="",G463="",F463=0,G463=0),"",H463/(F463*G463))</x:f>
      </x:c>
      <x:c r="M463" t="str">
        <x:f>IF(J463="","",J463/_xlfn.MAXIFS($J:$J,$D:$D,D463))</x:f>
      </x:c>
      <x:c r="N463" t="str">
        <x:f>IF(L463="","",L463/_xlfn.MAXIFS($L:$L,$D:$D,D463))</x:f>
      </x:c>
      <x:c r="O463" t="str">
        <x:f>IF(OR(M463="",N463=""),"",SQRT(M463*N463))</x:f>
      </x:c>
      <x:c r="P463" t="str">
        <x:f>IF(OR(M463="",N463=""),"",M463^0.7*N463^0.3)</x:f>
      </x:c>
      <x:c r="Q463" t="str">
        <x:f>IF(OR(M463="",N463=""),"",M463^0.3*N463^0.7)</x:f>
      </x:c>
    </x:row>
    <x:row r="464">
      <x:c r="A464" t="inlineStr">
        <x:is>
          <x:t xml:space="preserve">openai|gpt-6-luna|max|reasoning|fallback-na</x:t>
        </x:is>
      </x:c>
      <x:c r="B464" t="inlineStr">
        <x:is>
          <x:t xml:space="preserve">AA|v4.3.2</x:t>
        </x:is>
      </x:c>
      <x:c r="C464" t="n">
        <x:v>59</x:v>
      </x:c>
      <x:c r="D464" t="n">
        <x:v>65</x:v>
      </x:c>
      <x:c r="E464" t="n">
        <x:f>INDEX(Model_TestVersion_Stats!$W:$W,C464)</x:f>
        <x:v>37.5</x:v>
      </x:c>
      <x:c r="F464" t="n">
        <x:f>INDEX(Model_TestVersion_Stats!$O:$O,C464)</x:f>
        <x:v>0.07</x:v>
      </x:c>
      <x:c r="G464" t="n">
        <x:f>IF(INDEX(Model_TestVersion_Stats!$R:$R,C464)="","",INDEX(Model_TestVersion_Stats!$R:$R,C464)/60)</x:f>
        <x:v>5.2219999999999995</x:v>
      </x:c>
      <x:c r="H464" t="n">
        <x:f>IF(E464="","",E464-(D464-1))</x:f>
        <x:v>-26.5</x:v>
      </x:c>
      <x:c r="I464" t="n">
        <x:f>IF(H464&gt;0,1,0)</x:f>
        <x:v>0</x:v>
      </x:c>
      <x:c r="J464" t="str">
        <x:f>IF(OR(I464=0,F464="",F464=0),"",H464/F464)</x:f>
      </x:c>
      <x:c r="K464" t="str">
        <x:f>IF(OR(I464=0,H464=0,F464=""),"",F464/H464)</x:f>
      </x:c>
      <x:c r="L464" t="str">
        <x:f>IF(OR(I464=0,F464="",G464="",F464=0,G464=0),"",H464/(F464*G464))</x:f>
      </x:c>
      <x:c r="M464" t="str">
        <x:f>IF(J464="","",J464/_xlfn.MAXIFS($J:$J,$D:$D,D464))</x:f>
      </x:c>
      <x:c r="N464" t="str">
        <x:f>IF(L464="","",L464/_xlfn.MAXIFS($L:$L,$D:$D,D464))</x:f>
      </x:c>
      <x:c r="O464" t="str">
        <x:f>IF(OR(M464="",N464=""),"",SQRT(M464*N464))</x:f>
      </x:c>
      <x:c r="P464" t="str">
        <x:f>IF(OR(M464="",N464=""),"",M464^0.7*N464^0.3)</x:f>
      </x:c>
      <x:c r="Q464" t="str">
        <x:f>IF(OR(M464="",N464=""),"",M464^0.3*N464^0.7)</x:f>
      </x:c>
    </x:row>
    <x:row r="465">
      <x:c r="A465" t="inlineStr">
        <x:is>
          <x:t xml:space="preserve">openai|gpt-6-luna|max|reasoning|fallback-na</x:t>
        </x:is>
      </x:c>
      <x:c r="B465" t="inlineStr">
        <x:is>
          <x:t xml:space="preserve">AA|v4.3.2</x:t>
        </x:is>
      </x:c>
      <x:c r="C465" t="n">
        <x:v>59</x:v>
      </x:c>
      <x:c r="D465" t="n">
        <x:v>80</x:v>
      </x:c>
      <x:c r="E465" t="n">
        <x:f>INDEX(Model_TestVersion_Stats!$W:$W,C465)</x:f>
        <x:v>37.5</x:v>
      </x:c>
      <x:c r="F465" t="n">
        <x:f>INDEX(Model_TestVersion_Stats!$O:$O,C465)</x:f>
        <x:v>0.07</x:v>
      </x:c>
      <x:c r="G465" t="n">
        <x:f>IF(INDEX(Model_TestVersion_Stats!$R:$R,C465)="","",INDEX(Model_TestVersion_Stats!$R:$R,C465)/60)</x:f>
        <x:v>5.2219999999999995</x:v>
      </x:c>
      <x:c r="H465" t="n">
        <x:f>IF(E465="","",E465-(D465-1))</x:f>
        <x:v>-41.5</x:v>
      </x:c>
      <x:c r="I465" t="n">
        <x:f>IF(H465&gt;0,1,0)</x:f>
        <x:v>0</x:v>
      </x:c>
      <x:c r="J465" t="str">
        <x:f>IF(OR(I465=0,F465="",F465=0),"",H465/F465)</x:f>
      </x:c>
      <x:c r="K465" t="str">
        <x:f>IF(OR(I465=0,H465=0,F465=""),"",F465/H465)</x:f>
      </x:c>
      <x:c r="L465" t="str">
        <x:f>IF(OR(I465=0,F465="",G465="",F465=0,G465=0),"",H465/(F465*G465))</x:f>
      </x:c>
      <x:c r="M465" t="str">
        <x:f>IF(J465="","",J465/_xlfn.MAXIFS($J:$J,$D:$D,D465))</x:f>
      </x:c>
      <x:c r="N465" t="str">
        <x:f>IF(L465="","",L465/_xlfn.MAXIFS($L:$L,$D:$D,D465))</x:f>
      </x:c>
      <x:c r="O465" t="str">
        <x:f>IF(OR(M465="",N465=""),"",SQRT(M465*N465))</x:f>
      </x:c>
      <x:c r="P465" t="str">
        <x:f>IF(OR(M465="",N465=""),"",M465^0.7*N465^0.3)</x:f>
      </x:c>
      <x:c r="Q465" t="str">
        <x:f>IF(OR(M465="",N465=""),"",M465^0.3*N465^0.7)</x:f>
      </x:c>
    </x:row>
    <x:row r="466">
      <x:c r="A466" t="inlineStr">
        <x:is>
          <x:t xml:space="preserve">openai|gpt-6-luna|medium|reasoning|fallback-na</x:t>
        </x:is>
      </x:c>
      <x:c r="B466" t="inlineStr">
        <x:is>
          <x:t xml:space="preserve">AA|v4.3.2</x:t>
        </x:is>
      </x:c>
      <x:c r="C466" t="n">
        <x:v>60</x:v>
      </x:c>
      <x:c r="D466" t="n">
        <x:v>20</x:v>
      </x:c>
      <x:c r="E466" t="n">
        <x:f>INDEX(Model_TestVersion_Stats!$W:$W,C466)</x:f>
        <x:v>29.5</x:v>
      </x:c>
      <x:c r="F466" t="n">
        <x:f>INDEX(Model_TestVersion_Stats!$O:$O,C466)</x:f>
        <x:v>0.02</x:v>
      </x:c>
      <x:c r="G466" t="str">
        <x:f>IF(INDEX(Model_TestVersion_Stats!$R:$R,C466)="","",INDEX(Model_TestVersion_Stats!$R:$R,C466)/60)</x:f>
      </x:c>
      <x:c r="H466" t="n">
        <x:f>IF(E466="","",E466-(D466-1))</x:f>
        <x:v>10.5</x:v>
      </x:c>
      <x:c r="I466" t="n">
        <x:f>IF(H466&gt;0,1,0)</x:f>
        <x:v>1</x:v>
      </x:c>
      <x:c r="J466" t="n">
        <x:f>IF(OR(I466=0,F466="",F466=0),"",H466/F466)</x:f>
        <x:v>525</x:v>
      </x:c>
      <x:c r="K466" t="n">
        <x:f>IF(OR(I466=0,H466=0,F466=""),"",F466/H466)</x:f>
        <x:v>0.0019047619047619048</x:v>
      </x:c>
      <x:c r="L466" t="str">
        <x:f>IF(OR(I466=0,F466="",G466="",F466=0,G466=0),"",H466/(F466*G466))</x:f>
      </x:c>
      <x:c r="M466" t="n">
        <x:f>IF(J466="","",J466/_xlfn.MAXIFS($J:$J,$D:$D,D466))</x:f>
        <x:v>0.9450000000000001</x:v>
      </x:c>
      <x:c r="N466" t="str">
        <x:f>IF(L466="","",L466/_xlfn.MAXIFS($L:$L,$D:$D,D466))</x:f>
      </x:c>
      <x:c r="O466" t="str">
        <x:f>IF(OR(M466="",N466=""),"",SQRT(M466*N466))</x:f>
      </x:c>
      <x:c r="P466" t="str">
        <x:f>IF(OR(M466="",N466=""),"",M466^0.7*N466^0.3)</x:f>
      </x:c>
      <x:c r="Q466" t="str">
        <x:f>IF(OR(M466="",N466=""),"",M466^0.3*N466^0.7)</x:f>
      </x:c>
    </x:row>
    <x:row r="467">
      <x:c r="A467" t="inlineStr">
        <x:is>
          <x:t xml:space="preserve">openai|gpt-6-luna|medium|reasoning|fallback-na</x:t>
        </x:is>
      </x:c>
      <x:c r="B467" t="inlineStr">
        <x:is>
          <x:t xml:space="preserve">AA|v4.3.2</x:t>
        </x:is>
      </x:c>
      <x:c r="C467" t="n">
        <x:v>60</x:v>
      </x:c>
      <x:c r="D467" t="n">
        <x:v>30</x:v>
      </x:c>
      <x:c r="E467" t="n">
        <x:f>INDEX(Model_TestVersion_Stats!$W:$W,C467)</x:f>
        <x:v>29.5</x:v>
      </x:c>
      <x:c r="F467" t="n">
        <x:f>INDEX(Model_TestVersion_Stats!$O:$O,C467)</x:f>
        <x:v>0.02</x:v>
      </x:c>
      <x:c r="G467" t="str">
        <x:f>IF(INDEX(Model_TestVersion_Stats!$R:$R,C467)="","",INDEX(Model_TestVersion_Stats!$R:$R,C467)/60)</x:f>
      </x:c>
      <x:c r="H467" t="n">
        <x:f>IF(E467="","",E467-(D467-1))</x:f>
        <x:v>0.5</x:v>
      </x:c>
      <x:c r="I467" t="n">
        <x:f>IF(H467&gt;0,1,0)</x:f>
        <x:v>1</x:v>
      </x:c>
      <x:c r="J467" t="n">
        <x:f>IF(OR(I467=0,F467="",F467=0),"",H467/F467)</x:f>
        <x:v>25</x:v>
      </x:c>
      <x:c r="K467" t="n">
        <x:f>IF(OR(I467=0,H467=0,F467=""),"",F467/H467)</x:f>
        <x:v>0.04</x:v>
      </x:c>
      <x:c r="L467" t="str">
        <x:f>IF(OR(I467=0,F467="",G467="",F467=0,G467=0),"",H467/(F467*G467))</x:f>
      </x:c>
      <x:c r="M467" t="n">
        <x:f>IF(J467="","",J467/_xlfn.MAXIFS($J:$J,$D:$D,D467))</x:f>
        <x:v>0.16666666666666666</x:v>
      </x:c>
      <x:c r="N467" t="str">
        <x:f>IF(L467="","",L467/_xlfn.MAXIFS($L:$L,$D:$D,D467))</x:f>
      </x:c>
      <x:c r="O467" t="str">
        <x:f>IF(OR(M467="",N467=""),"",SQRT(M467*N467))</x:f>
      </x:c>
      <x:c r="P467" t="str">
        <x:f>IF(OR(M467="",N467=""),"",M467^0.7*N467^0.3)</x:f>
      </x:c>
      <x:c r="Q467" t="str">
        <x:f>IF(OR(M467="",N467=""),"",M467^0.3*N467^0.7)</x:f>
      </x:c>
    </x:row>
    <x:row r="468">
      <x:c r="A468" t="inlineStr">
        <x:is>
          <x:t xml:space="preserve">openai|gpt-6-luna|medium|reasoning|fallback-na</x:t>
        </x:is>
      </x:c>
      <x:c r="B468" t="inlineStr">
        <x:is>
          <x:t xml:space="preserve">AA|v4.3.2</x:t>
        </x:is>
      </x:c>
      <x:c r="C468" t="n">
        <x:v>60</x:v>
      </x:c>
      <x:c r="D468" t="n">
        <x:v>40</x:v>
      </x:c>
      <x:c r="E468" t="n">
        <x:f>INDEX(Model_TestVersion_Stats!$W:$W,C468)</x:f>
        <x:v>29.5</x:v>
      </x:c>
      <x:c r="F468" t="n">
        <x:f>INDEX(Model_TestVersion_Stats!$O:$O,C468)</x:f>
        <x:v>0.02</x:v>
      </x:c>
      <x:c r="G468" t="str">
        <x:f>IF(INDEX(Model_TestVersion_Stats!$R:$R,C468)="","",INDEX(Model_TestVersion_Stats!$R:$R,C468)/60)</x:f>
      </x:c>
      <x:c r="H468" t="n">
        <x:f>IF(E468="","",E468-(D468-1))</x:f>
        <x:v>-9.5</x:v>
      </x:c>
      <x:c r="I468" t="n">
        <x:f>IF(H468&gt;0,1,0)</x:f>
        <x:v>0</x:v>
      </x:c>
      <x:c r="J468" t="str">
        <x:f>IF(OR(I468=0,F468="",F468=0),"",H468/F468)</x:f>
      </x:c>
      <x:c r="K468" t="str">
        <x:f>IF(OR(I468=0,H468=0,F468=""),"",F468/H468)</x:f>
      </x:c>
      <x:c r="L468" t="str">
        <x:f>IF(OR(I468=0,F468="",G468="",F468=0,G468=0),"",H468/(F468*G468))</x:f>
      </x:c>
      <x:c r="M468" t="str">
        <x:f>IF(J468="","",J468/_xlfn.MAXIFS($J:$J,$D:$D,D468))</x:f>
      </x:c>
      <x:c r="N468" t="str">
        <x:f>IF(L468="","",L468/_xlfn.MAXIFS($L:$L,$D:$D,D468))</x:f>
      </x:c>
      <x:c r="O468" t="str">
        <x:f>IF(OR(M468="",N468=""),"",SQRT(M468*N468))</x:f>
      </x:c>
      <x:c r="P468" t="str">
        <x:f>IF(OR(M468="",N468=""),"",M468^0.7*N468^0.3)</x:f>
      </x:c>
      <x:c r="Q468" t="str">
        <x:f>IF(OR(M468="",N468=""),"",M468^0.3*N468^0.7)</x:f>
      </x:c>
    </x:row>
    <x:row r="469">
      <x:c r="A469" t="inlineStr">
        <x:is>
          <x:t xml:space="preserve">openai|gpt-6-luna|medium|reasoning|fallback-na</x:t>
        </x:is>
      </x:c>
      <x:c r="B469" t="inlineStr">
        <x:is>
          <x:t xml:space="preserve">AA|v4.3.2</x:t>
        </x:is>
      </x:c>
      <x:c r="C469" t="n">
        <x:v>60</x:v>
      </x:c>
      <x:c r="D469" t="n">
        <x:v>45</x:v>
      </x:c>
      <x:c r="E469" t="n">
        <x:f>INDEX(Model_TestVersion_Stats!$W:$W,C469)</x:f>
        <x:v>29.5</x:v>
      </x:c>
      <x:c r="F469" t="n">
        <x:f>INDEX(Model_TestVersion_Stats!$O:$O,C469)</x:f>
        <x:v>0.02</x:v>
      </x:c>
      <x:c r="G469" t="str">
        <x:f>IF(INDEX(Model_TestVersion_Stats!$R:$R,C469)="","",INDEX(Model_TestVersion_Stats!$R:$R,C469)/60)</x:f>
      </x:c>
      <x:c r="H469" t="n">
        <x:f>IF(E469="","",E469-(D469-1))</x:f>
        <x:v>-14.5</x:v>
      </x:c>
      <x:c r="I469" t="n">
        <x:f>IF(H469&gt;0,1,0)</x:f>
        <x:v>0</x:v>
      </x:c>
      <x:c r="J469" t="str">
        <x:f>IF(OR(I469=0,F469="",F469=0),"",H469/F469)</x:f>
      </x:c>
      <x:c r="K469" t="str">
        <x:f>IF(OR(I469=0,H469=0,F469=""),"",F469/H469)</x:f>
      </x:c>
      <x:c r="L469" t="str">
        <x:f>IF(OR(I469=0,F469="",G469="",F469=0,G469=0),"",H469/(F469*G469))</x:f>
      </x:c>
      <x:c r="M469" t="str">
        <x:f>IF(J469="","",J469/_xlfn.MAXIFS($J:$J,$D:$D,D469))</x:f>
      </x:c>
      <x:c r="N469" t="str">
        <x:f>IF(L469="","",L469/_xlfn.MAXIFS($L:$L,$D:$D,D469))</x:f>
      </x:c>
      <x:c r="O469" t="str">
        <x:f>IF(OR(M469="",N469=""),"",SQRT(M469*N469))</x:f>
      </x:c>
      <x:c r="P469" t="str">
        <x:f>IF(OR(M469="",N469=""),"",M469^0.7*N469^0.3)</x:f>
      </x:c>
      <x:c r="Q469" t="str">
        <x:f>IF(OR(M469="",N469=""),"",M469^0.3*N469^0.7)</x:f>
      </x:c>
    </x:row>
    <x:row r="470">
      <x:c r="A470" t="inlineStr">
        <x:is>
          <x:t xml:space="preserve">openai|gpt-6-luna|medium|reasoning|fallback-na</x:t>
        </x:is>
      </x:c>
      <x:c r="B470" t="inlineStr">
        <x:is>
          <x:t xml:space="preserve">AA|v4.3.2</x:t>
        </x:is>
      </x:c>
      <x:c r="C470" t="n">
        <x:v>60</x:v>
      </x:c>
      <x:c r="D470" t="n">
        <x:v>50</x:v>
      </x:c>
      <x:c r="E470" t="n">
        <x:f>INDEX(Model_TestVersion_Stats!$W:$W,C470)</x:f>
        <x:v>29.5</x:v>
      </x:c>
      <x:c r="F470" t="n">
        <x:f>INDEX(Model_TestVersion_Stats!$O:$O,C470)</x:f>
        <x:v>0.02</x:v>
      </x:c>
      <x:c r="G470" t="str">
        <x:f>IF(INDEX(Model_TestVersion_Stats!$R:$R,C470)="","",INDEX(Model_TestVersion_Stats!$R:$R,C470)/60)</x:f>
      </x:c>
      <x:c r="H470" t="n">
        <x:f>IF(E470="","",E470-(D470-1))</x:f>
        <x:v>-19.5</x:v>
      </x:c>
      <x:c r="I470" t="n">
        <x:f>IF(H470&gt;0,1,0)</x:f>
        <x:v>0</x:v>
      </x:c>
      <x:c r="J470" t="str">
        <x:f>IF(OR(I470=0,F470="",F470=0),"",H470/F470)</x:f>
      </x:c>
      <x:c r="K470" t="str">
        <x:f>IF(OR(I470=0,H470=0,F470=""),"",F470/H470)</x:f>
      </x:c>
      <x:c r="L470" t="str">
        <x:f>IF(OR(I470=0,F470="",G470="",F470=0,G470=0),"",H470/(F470*G470))</x:f>
      </x:c>
      <x:c r="M470" t="str">
        <x:f>IF(J470="","",J470/_xlfn.MAXIFS($J:$J,$D:$D,D470))</x:f>
      </x:c>
      <x:c r="N470" t="str">
        <x:f>IF(L470="","",L470/_xlfn.MAXIFS($L:$L,$D:$D,D470))</x:f>
      </x:c>
      <x:c r="O470" t="str">
        <x:f>IF(OR(M470="",N470=""),"",SQRT(M470*N470))</x:f>
      </x:c>
      <x:c r="P470" t="str">
        <x:f>IF(OR(M470="",N470=""),"",M470^0.7*N470^0.3)</x:f>
      </x:c>
      <x:c r="Q470" t="str">
        <x:f>IF(OR(M470="",N470=""),"",M470^0.3*N470^0.7)</x:f>
      </x:c>
    </x:row>
    <x:row r="471">
      <x:c r="A471" t="inlineStr">
        <x:is>
          <x:t xml:space="preserve">openai|gpt-6-luna|medium|reasoning|fallback-na</x:t>
        </x:is>
      </x:c>
      <x:c r="B471" t="inlineStr">
        <x:is>
          <x:t xml:space="preserve">AA|v4.3.2</x:t>
        </x:is>
      </x:c>
      <x:c r="C471" t="n">
        <x:v>60</x:v>
      </x:c>
      <x:c r="D471" t="n">
        <x:v>52</x:v>
      </x:c>
      <x:c r="E471" t="n">
        <x:f>INDEX(Model_TestVersion_Stats!$W:$W,C471)</x:f>
        <x:v>29.5</x:v>
      </x:c>
      <x:c r="F471" t="n">
        <x:f>INDEX(Model_TestVersion_Stats!$O:$O,C471)</x:f>
        <x:v>0.02</x:v>
      </x:c>
      <x:c r="G471" t="str">
        <x:f>IF(INDEX(Model_TestVersion_Stats!$R:$R,C471)="","",INDEX(Model_TestVersion_Stats!$R:$R,C471)/60)</x:f>
      </x:c>
      <x:c r="H471" t="n">
        <x:f>IF(E471="","",E471-(D471-1))</x:f>
        <x:v>-21.5</x:v>
      </x:c>
      <x:c r="I471" t="n">
        <x:f>IF(H471&gt;0,1,0)</x:f>
        <x:v>0</x:v>
      </x:c>
      <x:c r="J471" t="str">
        <x:f>IF(OR(I471=0,F471="",F471=0),"",H471/F471)</x:f>
      </x:c>
      <x:c r="K471" t="str">
        <x:f>IF(OR(I471=0,H471=0,F471=""),"",F471/H471)</x:f>
      </x:c>
      <x:c r="L471" t="str">
        <x:f>IF(OR(I471=0,F471="",G471="",F471=0,G471=0),"",H471/(F471*G471))</x:f>
      </x:c>
      <x:c r="M471" t="str">
        <x:f>IF(J471="","",J471/_xlfn.MAXIFS($J:$J,$D:$D,D471))</x:f>
      </x:c>
      <x:c r="N471" t="str">
        <x:f>IF(L471="","",L471/_xlfn.MAXIFS($L:$L,$D:$D,D471))</x:f>
      </x:c>
      <x:c r="O471" t="str">
        <x:f>IF(OR(M471="",N471=""),"",SQRT(M471*N471))</x:f>
      </x:c>
      <x:c r="P471" t="str">
        <x:f>IF(OR(M471="",N471=""),"",M471^0.7*N471^0.3)</x:f>
      </x:c>
      <x:c r="Q471" t="str">
        <x:f>IF(OR(M471="",N471=""),"",M471^0.3*N471^0.7)</x:f>
      </x:c>
    </x:row>
    <x:row r="472">
      <x:c r="A472" t="inlineStr">
        <x:is>
          <x:t xml:space="preserve">openai|gpt-6-luna|medium|reasoning|fallback-na</x:t>
        </x:is>
      </x:c>
      <x:c r="B472" t="inlineStr">
        <x:is>
          <x:t xml:space="preserve">AA|v4.3.2</x:t>
        </x:is>
      </x:c>
      <x:c r="C472" t="n">
        <x:v>60</x:v>
      </x:c>
      <x:c r="D472" t="n">
        <x:v>65</x:v>
      </x:c>
      <x:c r="E472" t="n">
        <x:f>INDEX(Model_TestVersion_Stats!$W:$W,C472)</x:f>
        <x:v>29.5</x:v>
      </x:c>
      <x:c r="F472" t="n">
        <x:f>INDEX(Model_TestVersion_Stats!$O:$O,C472)</x:f>
        <x:v>0.02</x:v>
      </x:c>
      <x:c r="G472" t="str">
        <x:f>IF(INDEX(Model_TestVersion_Stats!$R:$R,C472)="","",INDEX(Model_TestVersion_Stats!$R:$R,C472)/60)</x:f>
      </x:c>
      <x:c r="H472" t="n">
        <x:f>IF(E472="","",E472-(D472-1))</x:f>
        <x:v>-34.5</x:v>
      </x:c>
      <x:c r="I472" t="n">
        <x:f>IF(H472&gt;0,1,0)</x:f>
        <x:v>0</x:v>
      </x:c>
      <x:c r="J472" t="str">
        <x:f>IF(OR(I472=0,F472="",F472=0),"",H472/F472)</x:f>
      </x:c>
      <x:c r="K472" t="str">
        <x:f>IF(OR(I472=0,H472=0,F472=""),"",F472/H472)</x:f>
      </x:c>
      <x:c r="L472" t="str">
        <x:f>IF(OR(I472=0,F472="",G472="",F472=0,G472=0),"",H472/(F472*G472))</x:f>
      </x:c>
      <x:c r="M472" t="str">
        <x:f>IF(J472="","",J472/_xlfn.MAXIFS($J:$J,$D:$D,D472))</x:f>
      </x:c>
      <x:c r="N472" t="str">
        <x:f>IF(L472="","",L472/_xlfn.MAXIFS($L:$L,$D:$D,D472))</x:f>
      </x:c>
      <x:c r="O472" t="str">
        <x:f>IF(OR(M472="",N472=""),"",SQRT(M472*N472))</x:f>
      </x:c>
      <x:c r="P472" t="str">
        <x:f>IF(OR(M472="",N472=""),"",M472^0.7*N472^0.3)</x:f>
      </x:c>
      <x:c r="Q472" t="str">
        <x:f>IF(OR(M472="",N472=""),"",M472^0.3*N472^0.7)</x:f>
      </x:c>
    </x:row>
    <x:row r="473">
      <x:c r="A473" t="inlineStr">
        <x:is>
          <x:t xml:space="preserve">openai|gpt-6-luna|medium|reasoning|fallback-na</x:t>
        </x:is>
      </x:c>
      <x:c r="B473" t="inlineStr">
        <x:is>
          <x:t xml:space="preserve">AA|v4.3.2</x:t>
        </x:is>
      </x:c>
      <x:c r="C473" t="n">
        <x:v>60</x:v>
      </x:c>
      <x:c r="D473" t="n">
        <x:v>80</x:v>
      </x:c>
      <x:c r="E473" t="n">
        <x:f>INDEX(Model_TestVersion_Stats!$W:$W,C473)</x:f>
        <x:v>29.5</x:v>
      </x:c>
      <x:c r="F473" t="n">
        <x:f>INDEX(Model_TestVersion_Stats!$O:$O,C473)</x:f>
        <x:v>0.02</x:v>
      </x:c>
      <x:c r="G473" t="str">
        <x:f>IF(INDEX(Model_TestVersion_Stats!$R:$R,C473)="","",INDEX(Model_TestVersion_Stats!$R:$R,C473)/60)</x:f>
      </x:c>
      <x:c r="H473" t="n">
        <x:f>IF(E473="","",E473-(D473-1))</x:f>
        <x:v>-49.5</x:v>
      </x:c>
      <x:c r="I473" t="n">
        <x:f>IF(H473&gt;0,1,0)</x:f>
        <x:v>0</x:v>
      </x:c>
      <x:c r="J473" t="str">
        <x:f>IF(OR(I473=0,F473="",F473=0),"",H473/F473)</x:f>
      </x:c>
      <x:c r="K473" t="str">
        <x:f>IF(OR(I473=0,H473=0,F473=""),"",F473/H473)</x:f>
      </x:c>
      <x:c r="L473" t="str">
        <x:f>IF(OR(I473=0,F473="",G473="",F473=0,G473=0),"",H473/(F473*G473))</x:f>
      </x:c>
      <x:c r="M473" t="str">
        <x:f>IF(J473="","",J473/_xlfn.MAXIFS($J:$J,$D:$D,D473))</x:f>
      </x:c>
      <x:c r="N473" t="str">
        <x:f>IF(L473="","",L473/_xlfn.MAXIFS($L:$L,$D:$D,D473))</x:f>
      </x:c>
      <x:c r="O473" t="str">
        <x:f>IF(OR(M473="",N473=""),"",SQRT(M473*N473))</x:f>
      </x:c>
      <x:c r="P473" t="str">
        <x:f>IF(OR(M473="",N473=""),"",M473^0.7*N473^0.3)</x:f>
      </x:c>
      <x:c r="Q473" t="str">
        <x:f>IF(OR(M473="",N473=""),"",M473^0.3*N473^0.7)</x:f>
      </x:c>
    </x:row>
    <x:row r="474">
      <x:c r="A474" t="inlineStr">
        <x:is>
          <x:t xml:space="preserve">openai|gpt-6-luna|non-reasoning|nonreasoning|fallback-na</x:t>
        </x:is>
      </x:c>
      <x:c r="B474" t="inlineStr">
        <x:is>
          <x:t xml:space="preserve">AA|v4.3.2</x:t>
        </x:is>
      </x:c>
      <x:c r="C474" t="n">
        <x:v>61</x:v>
      </x:c>
      <x:c r="D474" t="n">
        <x:v>20</x:v>
      </x:c>
      <x:c r="E474" t="n">
        <x:f>INDEX(Model_TestVersion_Stats!$W:$W,C474)</x:f>
        <x:v>18</x:v>
      </x:c>
      <x:c r="F474" t="n">
        <x:f>INDEX(Model_TestVersion_Stats!$O:$O,C474)</x:f>
        <x:v>0.01</x:v>
      </x:c>
      <x:c r="G474" t="n">
        <x:f>IF(INDEX(Model_TestVersion_Stats!$R:$R,C474)="","",INDEX(Model_TestVersion_Stats!$R:$R,C474)/60)</x:f>
        <x:v>0.42250000000000004</x:v>
      </x:c>
      <x:c r="H474" t="n">
        <x:f>IF(E474="","",E474-(D474-1))</x:f>
        <x:v>-1</x:v>
      </x:c>
      <x:c r="I474" t="n">
        <x:f>IF(H474&gt;0,1,0)</x:f>
        <x:v>0</x:v>
      </x:c>
      <x:c r="J474" t="str">
        <x:f>IF(OR(I474=0,F474="",F474=0),"",H474/F474)</x:f>
      </x:c>
      <x:c r="K474" t="str">
        <x:f>IF(OR(I474=0,H474=0,F474=""),"",F474/H474)</x:f>
      </x:c>
      <x:c r="L474" t="str">
        <x:f>IF(OR(I474=0,F474="",G474="",F474=0,G474=0),"",H474/(F474*G474))</x:f>
      </x:c>
      <x:c r="M474" t="str">
        <x:f>IF(J474="","",J474/_xlfn.MAXIFS($J:$J,$D:$D,D474))</x:f>
      </x:c>
      <x:c r="N474" t="str">
        <x:f>IF(L474="","",L474/_xlfn.MAXIFS($L:$L,$D:$D,D474))</x:f>
      </x:c>
      <x:c r="O474" t="str">
        <x:f>IF(OR(M474="",N474=""),"",SQRT(M474*N474))</x:f>
      </x:c>
      <x:c r="P474" t="str">
        <x:f>IF(OR(M474="",N474=""),"",M474^0.7*N474^0.3)</x:f>
      </x:c>
      <x:c r="Q474" t="str">
        <x:f>IF(OR(M474="",N474=""),"",M474^0.3*N474^0.7)</x:f>
      </x:c>
    </x:row>
    <x:row r="475">
      <x:c r="A475" t="inlineStr">
        <x:is>
          <x:t xml:space="preserve">openai|gpt-6-luna|non-reasoning|nonreasoning|fallback-na</x:t>
        </x:is>
      </x:c>
      <x:c r="B475" t="inlineStr">
        <x:is>
          <x:t xml:space="preserve">AA|v4.3.2</x:t>
        </x:is>
      </x:c>
      <x:c r="C475" t="n">
        <x:v>61</x:v>
      </x:c>
      <x:c r="D475" t="n">
        <x:v>30</x:v>
      </x:c>
      <x:c r="E475" t="n">
        <x:f>INDEX(Model_TestVersion_Stats!$W:$W,C475)</x:f>
        <x:v>18</x:v>
      </x:c>
      <x:c r="F475" t="n">
        <x:f>INDEX(Model_TestVersion_Stats!$O:$O,C475)</x:f>
        <x:v>0.01</x:v>
      </x:c>
      <x:c r="G475" t="n">
        <x:f>IF(INDEX(Model_TestVersion_Stats!$R:$R,C475)="","",INDEX(Model_TestVersion_Stats!$R:$R,C475)/60)</x:f>
        <x:v>0.42250000000000004</x:v>
      </x:c>
      <x:c r="H475" t="n">
        <x:f>IF(E475="","",E475-(D475-1))</x:f>
        <x:v>-11</x:v>
      </x:c>
      <x:c r="I475" t="n">
        <x:f>IF(H475&gt;0,1,0)</x:f>
        <x:v>0</x:v>
      </x:c>
      <x:c r="J475" t="str">
        <x:f>IF(OR(I475=0,F475="",F475=0),"",H475/F475)</x:f>
      </x:c>
      <x:c r="K475" t="str">
        <x:f>IF(OR(I475=0,H475=0,F475=""),"",F475/H475)</x:f>
      </x:c>
      <x:c r="L475" t="str">
        <x:f>IF(OR(I475=0,F475="",G475="",F475=0,G475=0),"",H475/(F475*G475))</x:f>
      </x:c>
      <x:c r="M475" t="str">
        <x:f>IF(J475="","",J475/_xlfn.MAXIFS($J:$J,$D:$D,D475))</x:f>
      </x:c>
      <x:c r="N475" t="str">
        <x:f>IF(L475="","",L475/_xlfn.MAXIFS($L:$L,$D:$D,D475))</x:f>
      </x:c>
      <x:c r="O475" t="str">
        <x:f>IF(OR(M475="",N475=""),"",SQRT(M475*N475))</x:f>
      </x:c>
      <x:c r="P475" t="str">
        <x:f>IF(OR(M475="",N475=""),"",M475^0.7*N475^0.3)</x:f>
      </x:c>
      <x:c r="Q475" t="str">
        <x:f>IF(OR(M475="",N475=""),"",M475^0.3*N475^0.7)</x:f>
      </x:c>
    </x:row>
    <x:row r="476">
      <x:c r="A476" t="inlineStr">
        <x:is>
          <x:t xml:space="preserve">openai|gpt-6-luna|non-reasoning|nonreasoning|fallback-na</x:t>
        </x:is>
      </x:c>
      <x:c r="B476" t="inlineStr">
        <x:is>
          <x:t xml:space="preserve">AA|v4.3.2</x:t>
        </x:is>
      </x:c>
      <x:c r="C476" t="n">
        <x:v>61</x:v>
      </x:c>
      <x:c r="D476" t="n">
        <x:v>40</x:v>
      </x:c>
      <x:c r="E476" t="n">
        <x:f>INDEX(Model_TestVersion_Stats!$W:$W,C476)</x:f>
        <x:v>18</x:v>
      </x:c>
      <x:c r="F476" t="n">
        <x:f>INDEX(Model_TestVersion_Stats!$O:$O,C476)</x:f>
        <x:v>0.01</x:v>
      </x:c>
      <x:c r="G476" t="n">
        <x:f>IF(INDEX(Model_TestVersion_Stats!$R:$R,C476)="","",INDEX(Model_TestVersion_Stats!$R:$R,C476)/60)</x:f>
        <x:v>0.42250000000000004</x:v>
      </x:c>
      <x:c r="H476" t="n">
        <x:f>IF(E476="","",E476-(D476-1))</x:f>
        <x:v>-21</x:v>
      </x:c>
      <x:c r="I476" t="n">
        <x:f>IF(H476&gt;0,1,0)</x:f>
        <x:v>0</x:v>
      </x:c>
      <x:c r="J476" t="str">
        <x:f>IF(OR(I476=0,F476="",F476=0),"",H476/F476)</x:f>
      </x:c>
      <x:c r="K476" t="str">
        <x:f>IF(OR(I476=0,H476=0,F476=""),"",F476/H476)</x:f>
      </x:c>
      <x:c r="L476" t="str">
        <x:f>IF(OR(I476=0,F476="",G476="",F476=0,G476=0),"",H476/(F476*G476))</x:f>
      </x:c>
      <x:c r="M476" t="str">
        <x:f>IF(J476="","",J476/_xlfn.MAXIFS($J:$J,$D:$D,D476))</x:f>
      </x:c>
      <x:c r="N476" t="str">
        <x:f>IF(L476="","",L476/_xlfn.MAXIFS($L:$L,$D:$D,D476))</x:f>
      </x:c>
      <x:c r="O476" t="str">
        <x:f>IF(OR(M476="",N476=""),"",SQRT(M476*N476))</x:f>
      </x:c>
      <x:c r="P476" t="str">
        <x:f>IF(OR(M476="",N476=""),"",M476^0.7*N476^0.3)</x:f>
      </x:c>
      <x:c r="Q476" t="str">
        <x:f>IF(OR(M476="",N476=""),"",M476^0.3*N476^0.7)</x:f>
      </x:c>
    </x:row>
    <x:row r="477">
      <x:c r="A477" t="inlineStr">
        <x:is>
          <x:t xml:space="preserve">openai|gpt-6-luna|non-reasoning|nonreasoning|fallback-na</x:t>
        </x:is>
      </x:c>
      <x:c r="B477" t="inlineStr">
        <x:is>
          <x:t xml:space="preserve">AA|v4.3.2</x:t>
        </x:is>
      </x:c>
      <x:c r="C477" t="n">
        <x:v>61</x:v>
      </x:c>
      <x:c r="D477" t="n">
        <x:v>45</x:v>
      </x:c>
      <x:c r="E477" t="n">
        <x:f>INDEX(Model_TestVersion_Stats!$W:$W,C477)</x:f>
        <x:v>18</x:v>
      </x:c>
      <x:c r="F477" t="n">
        <x:f>INDEX(Model_TestVersion_Stats!$O:$O,C477)</x:f>
        <x:v>0.01</x:v>
      </x:c>
      <x:c r="G477" t="n">
        <x:f>IF(INDEX(Model_TestVersion_Stats!$R:$R,C477)="","",INDEX(Model_TestVersion_Stats!$R:$R,C477)/60)</x:f>
        <x:v>0.42250000000000004</x:v>
      </x:c>
      <x:c r="H477" t="n">
        <x:f>IF(E477="","",E477-(D477-1))</x:f>
        <x:v>-26</x:v>
      </x:c>
      <x:c r="I477" t="n">
        <x:f>IF(H477&gt;0,1,0)</x:f>
        <x:v>0</x:v>
      </x:c>
      <x:c r="J477" t="str">
        <x:f>IF(OR(I477=0,F477="",F477=0),"",H477/F477)</x:f>
      </x:c>
      <x:c r="K477" t="str">
        <x:f>IF(OR(I477=0,H477=0,F477=""),"",F477/H477)</x:f>
      </x:c>
      <x:c r="L477" t="str">
        <x:f>IF(OR(I477=0,F477="",G477="",F477=0,G477=0),"",H477/(F477*G477))</x:f>
      </x:c>
      <x:c r="M477" t="str">
        <x:f>IF(J477="","",J477/_xlfn.MAXIFS($J:$J,$D:$D,D477))</x:f>
      </x:c>
      <x:c r="N477" t="str">
        <x:f>IF(L477="","",L477/_xlfn.MAXIFS($L:$L,$D:$D,D477))</x:f>
      </x:c>
      <x:c r="O477" t="str">
        <x:f>IF(OR(M477="",N477=""),"",SQRT(M477*N477))</x:f>
      </x:c>
      <x:c r="P477" t="str">
        <x:f>IF(OR(M477="",N477=""),"",M477^0.7*N477^0.3)</x:f>
      </x:c>
      <x:c r="Q477" t="str">
        <x:f>IF(OR(M477="",N477=""),"",M477^0.3*N477^0.7)</x:f>
      </x:c>
    </x:row>
    <x:row r="478">
      <x:c r="A478" t="inlineStr">
        <x:is>
          <x:t xml:space="preserve">openai|gpt-6-luna|non-reasoning|nonreasoning|fallback-na</x:t>
        </x:is>
      </x:c>
      <x:c r="B478" t="inlineStr">
        <x:is>
          <x:t xml:space="preserve">AA|v4.3.2</x:t>
        </x:is>
      </x:c>
      <x:c r="C478" t="n">
        <x:v>61</x:v>
      </x:c>
      <x:c r="D478" t="n">
        <x:v>50</x:v>
      </x:c>
      <x:c r="E478" t="n">
        <x:f>INDEX(Model_TestVersion_Stats!$W:$W,C478)</x:f>
        <x:v>18</x:v>
      </x:c>
      <x:c r="F478" t="n">
        <x:f>INDEX(Model_TestVersion_Stats!$O:$O,C478)</x:f>
        <x:v>0.01</x:v>
      </x:c>
      <x:c r="G478" t="n">
        <x:f>IF(INDEX(Model_TestVersion_Stats!$R:$R,C478)="","",INDEX(Model_TestVersion_Stats!$R:$R,C478)/60)</x:f>
        <x:v>0.42250000000000004</x:v>
      </x:c>
      <x:c r="H478" t="n">
        <x:f>IF(E478="","",E478-(D478-1))</x:f>
        <x:v>-31</x:v>
      </x:c>
      <x:c r="I478" t="n">
        <x:f>IF(H478&gt;0,1,0)</x:f>
        <x:v>0</x:v>
      </x:c>
      <x:c r="J478" t="str">
        <x:f>IF(OR(I478=0,F478="",F478=0),"",H478/F478)</x:f>
      </x:c>
      <x:c r="K478" t="str">
        <x:f>IF(OR(I478=0,H478=0,F478=""),"",F478/H478)</x:f>
      </x:c>
      <x:c r="L478" t="str">
        <x:f>IF(OR(I478=0,F478="",G478="",F478=0,G478=0),"",H478/(F478*G478))</x:f>
      </x:c>
      <x:c r="M478" t="str">
        <x:f>IF(J478="","",J478/_xlfn.MAXIFS($J:$J,$D:$D,D478))</x:f>
      </x:c>
      <x:c r="N478" t="str">
        <x:f>IF(L478="","",L478/_xlfn.MAXIFS($L:$L,$D:$D,D478))</x:f>
      </x:c>
      <x:c r="O478" t="str">
        <x:f>IF(OR(M478="",N478=""),"",SQRT(M478*N478))</x:f>
      </x:c>
      <x:c r="P478" t="str">
        <x:f>IF(OR(M478="",N478=""),"",M478^0.7*N478^0.3)</x:f>
      </x:c>
      <x:c r="Q478" t="str">
        <x:f>IF(OR(M478="",N478=""),"",M478^0.3*N478^0.7)</x:f>
      </x:c>
    </x:row>
    <x:row r="479">
      <x:c r="A479" t="inlineStr">
        <x:is>
          <x:t xml:space="preserve">openai|gpt-6-luna|non-reasoning|nonreasoning|fallback-na</x:t>
        </x:is>
      </x:c>
      <x:c r="B479" t="inlineStr">
        <x:is>
          <x:t xml:space="preserve">AA|v4.3.2</x:t>
        </x:is>
      </x:c>
      <x:c r="C479" t="n">
        <x:v>61</x:v>
      </x:c>
      <x:c r="D479" t="n">
        <x:v>52</x:v>
      </x:c>
      <x:c r="E479" t="n">
        <x:f>INDEX(Model_TestVersion_Stats!$W:$W,C479)</x:f>
        <x:v>18</x:v>
      </x:c>
      <x:c r="F479" t="n">
        <x:f>INDEX(Model_TestVersion_Stats!$O:$O,C479)</x:f>
        <x:v>0.01</x:v>
      </x:c>
      <x:c r="G479" t="n">
        <x:f>IF(INDEX(Model_TestVersion_Stats!$R:$R,C479)="","",INDEX(Model_TestVersion_Stats!$R:$R,C479)/60)</x:f>
        <x:v>0.42250000000000004</x:v>
      </x:c>
      <x:c r="H479" t="n">
        <x:f>IF(E479="","",E479-(D479-1))</x:f>
        <x:v>-33</x:v>
      </x:c>
      <x:c r="I479" t="n">
        <x:f>IF(H479&gt;0,1,0)</x:f>
        <x:v>0</x:v>
      </x:c>
      <x:c r="J479" t="str">
        <x:f>IF(OR(I479=0,F479="",F479=0),"",H479/F479)</x:f>
      </x:c>
      <x:c r="K479" t="str">
        <x:f>IF(OR(I479=0,H479=0,F479=""),"",F479/H479)</x:f>
      </x:c>
      <x:c r="L479" t="str">
        <x:f>IF(OR(I479=0,F479="",G479="",F479=0,G479=0),"",H479/(F479*G479))</x:f>
      </x:c>
      <x:c r="M479" t="str">
        <x:f>IF(J479="","",J479/_xlfn.MAXIFS($J:$J,$D:$D,D479))</x:f>
      </x:c>
      <x:c r="N479" t="str">
        <x:f>IF(L479="","",L479/_xlfn.MAXIFS($L:$L,$D:$D,D479))</x:f>
      </x:c>
      <x:c r="O479" t="str">
        <x:f>IF(OR(M479="",N479=""),"",SQRT(M479*N479))</x:f>
      </x:c>
      <x:c r="P479" t="str">
        <x:f>IF(OR(M479="",N479=""),"",M479^0.7*N479^0.3)</x:f>
      </x:c>
      <x:c r="Q479" t="str">
        <x:f>IF(OR(M479="",N479=""),"",M479^0.3*N479^0.7)</x:f>
      </x:c>
    </x:row>
    <x:row r="480">
      <x:c r="A480" t="inlineStr">
        <x:is>
          <x:t xml:space="preserve">openai|gpt-6-luna|non-reasoning|nonreasoning|fallback-na</x:t>
        </x:is>
      </x:c>
      <x:c r="B480" t="inlineStr">
        <x:is>
          <x:t xml:space="preserve">AA|v4.3.2</x:t>
        </x:is>
      </x:c>
      <x:c r="C480" t="n">
        <x:v>61</x:v>
      </x:c>
      <x:c r="D480" t="n">
        <x:v>65</x:v>
      </x:c>
      <x:c r="E480" t="n">
        <x:f>INDEX(Model_TestVersion_Stats!$W:$W,C480)</x:f>
        <x:v>18</x:v>
      </x:c>
      <x:c r="F480" t="n">
        <x:f>INDEX(Model_TestVersion_Stats!$O:$O,C480)</x:f>
        <x:v>0.01</x:v>
      </x:c>
      <x:c r="G480" t="n">
        <x:f>IF(INDEX(Model_TestVersion_Stats!$R:$R,C480)="","",INDEX(Model_TestVersion_Stats!$R:$R,C480)/60)</x:f>
        <x:v>0.42250000000000004</x:v>
      </x:c>
      <x:c r="H480" t="n">
        <x:f>IF(E480="","",E480-(D480-1))</x:f>
        <x:v>-46</x:v>
      </x:c>
      <x:c r="I480" t="n">
        <x:f>IF(H480&gt;0,1,0)</x:f>
        <x:v>0</x:v>
      </x:c>
      <x:c r="J480" t="str">
        <x:f>IF(OR(I480=0,F480="",F480=0),"",H480/F480)</x:f>
      </x:c>
      <x:c r="K480" t="str">
        <x:f>IF(OR(I480=0,H480=0,F480=""),"",F480/H480)</x:f>
      </x:c>
      <x:c r="L480" t="str">
        <x:f>IF(OR(I480=0,F480="",G480="",F480=0,G480=0),"",H480/(F480*G480))</x:f>
      </x:c>
      <x:c r="M480" t="str">
        <x:f>IF(J480="","",J480/_xlfn.MAXIFS($J:$J,$D:$D,D480))</x:f>
      </x:c>
      <x:c r="N480" t="str">
        <x:f>IF(L480="","",L480/_xlfn.MAXIFS($L:$L,$D:$D,D480))</x:f>
      </x:c>
      <x:c r="O480" t="str">
        <x:f>IF(OR(M480="",N480=""),"",SQRT(M480*N480))</x:f>
      </x:c>
      <x:c r="P480" t="str">
        <x:f>IF(OR(M480="",N480=""),"",M480^0.7*N480^0.3)</x:f>
      </x:c>
      <x:c r="Q480" t="str">
        <x:f>IF(OR(M480="",N480=""),"",M480^0.3*N480^0.7)</x:f>
      </x:c>
    </x:row>
    <x:row r="481">
      <x:c r="A481" t="inlineStr">
        <x:is>
          <x:t xml:space="preserve">openai|gpt-6-luna|non-reasoning|nonreasoning|fallback-na</x:t>
        </x:is>
      </x:c>
      <x:c r="B481" t="inlineStr">
        <x:is>
          <x:t xml:space="preserve">AA|v4.3.2</x:t>
        </x:is>
      </x:c>
      <x:c r="C481" t="n">
        <x:v>61</x:v>
      </x:c>
      <x:c r="D481" t="n">
        <x:v>80</x:v>
      </x:c>
      <x:c r="E481" t="n">
        <x:f>INDEX(Model_TestVersion_Stats!$W:$W,C481)</x:f>
        <x:v>18</x:v>
      </x:c>
      <x:c r="F481" t="n">
        <x:f>INDEX(Model_TestVersion_Stats!$O:$O,C481)</x:f>
        <x:v>0.01</x:v>
      </x:c>
      <x:c r="G481" t="n">
        <x:f>IF(INDEX(Model_TestVersion_Stats!$R:$R,C481)="","",INDEX(Model_TestVersion_Stats!$R:$R,C481)/60)</x:f>
        <x:v>0.42250000000000004</x:v>
      </x:c>
      <x:c r="H481" t="n">
        <x:f>IF(E481="","",E481-(D481-1))</x:f>
        <x:v>-61</x:v>
      </x:c>
      <x:c r="I481" t="n">
        <x:f>IF(H481&gt;0,1,0)</x:f>
        <x:v>0</x:v>
      </x:c>
      <x:c r="J481" t="str">
        <x:f>IF(OR(I481=0,F481="",F481=0),"",H481/F481)</x:f>
      </x:c>
      <x:c r="K481" t="str">
        <x:f>IF(OR(I481=0,H481=0,F481=""),"",F481/H481)</x:f>
      </x:c>
      <x:c r="L481" t="str">
        <x:f>IF(OR(I481=0,F481="",G481="",F481=0,G481=0),"",H481/(F481*G481))</x:f>
      </x:c>
      <x:c r="M481" t="str">
        <x:f>IF(J481="","",J481/_xlfn.MAXIFS($J:$J,$D:$D,D481))</x:f>
      </x:c>
      <x:c r="N481" t="str">
        <x:f>IF(L481="","",L481/_xlfn.MAXIFS($L:$L,$D:$D,D481))</x:f>
      </x:c>
      <x:c r="O481" t="str">
        <x:f>IF(OR(M481="",N481=""),"",SQRT(M481*N481))</x:f>
      </x:c>
      <x:c r="P481" t="str">
        <x:f>IF(OR(M481="",N481=""),"",M481^0.7*N481^0.3)</x:f>
      </x:c>
      <x:c r="Q481" t="str">
        <x:f>IF(OR(M481="",N481=""),"",M481^0.3*N481^0.7)</x:f>
      </x:c>
    </x:row>
    <x:row r="482">
      <x:c r="A482" t="inlineStr">
        <x:is>
          <x:t xml:space="preserve">openai|gpt-6-luna|xhigh|reasoning|fallback-na</x:t>
        </x:is>
      </x:c>
      <x:c r="B482" t="inlineStr">
        <x:is>
          <x:t xml:space="preserve">AA|v4.3.2</x:t>
        </x:is>
      </x:c>
      <x:c r="C482" t="n">
        <x:v>62</x:v>
      </x:c>
      <x:c r="D482" t="n">
        <x:v>20</x:v>
      </x:c>
      <x:c r="E482" t="n">
        <x:f>INDEX(Model_TestVersion_Stats!$W:$W,C482)</x:f>
        <x:v>34.5</x:v>
      </x:c>
      <x:c r="F482" t="n">
        <x:f>INDEX(Model_TestVersion_Stats!$O:$O,C482)</x:f>
        <x:v>0.04</x:v>
      </x:c>
      <x:c r="G482" t="n">
        <x:f>IF(INDEX(Model_TestVersion_Stats!$R:$R,C482)="","",INDEX(Model_TestVersion_Stats!$R:$R,C482)/60)</x:f>
        <x:v>2.903833333333333</x:v>
      </x:c>
      <x:c r="H482" t="n">
        <x:f>IF(E482="","",E482-(D482-1))</x:f>
        <x:v>15.5</x:v>
      </x:c>
      <x:c r="I482" t="n">
        <x:f>IF(H482&gt;0,1,0)</x:f>
        <x:v>1</x:v>
      </x:c>
      <x:c r="J482" t="n">
        <x:f>IF(OR(I482=0,F482="",F482=0),"",H482/F482)</x:f>
        <x:v>387.5</x:v>
      </x:c>
      <x:c r="K482" t="n">
        <x:f>IF(OR(I482=0,H482=0,F482=""),"",F482/H482)</x:f>
        <x:v>0.0025806451612903226</x:v>
      </x:c>
      <x:c r="L482" t="n">
        <x:f>IF(OR(I482=0,F482="",G482="",F482=0,G482=0),"",H482/(F482*G482))</x:f>
        <x:v>133.44429776731906</x:v>
      </x:c>
      <x:c r="M482" t="n">
        <x:f>IF(J482="","",J482/_xlfn.MAXIFS($J:$J,$D:$D,D482))</x:f>
        <x:v>0.6975</x:v>
      </x:c>
      <x:c r="N482" t="n">
        <x:f>IF(L482="","",L482/_xlfn.MAXIFS($L:$L,$D:$D,D482))</x:f>
        <x:v>0.05656703782356655</x:v>
      </x:c>
      <x:c r="O482" t="n">
        <x:f>IF(OR(M482="",N482=""),"",SQRT(M482*N482))</x:f>
        <x:v>0.19863410805281573</x:v>
      </x:c>
      <x:c r="P482" t="n">
        <x:f>IF(OR(M482="",N482=""),"",M482^0.7*N482^0.3)</x:f>
        <x:v>0.3282841988306385</x:v>
      </x:c>
      <x:c r="Q482" t="n">
        <x:f>IF(OR(M482="",N482=""),"",M482^0.3*N482^0.7)</x:f>
        <x:v>0.12018704836382556</x:v>
      </x:c>
    </x:row>
    <x:row r="483">
      <x:c r="A483" t="inlineStr">
        <x:is>
          <x:t xml:space="preserve">openai|gpt-6-luna|xhigh|reasoning|fallback-na</x:t>
        </x:is>
      </x:c>
      <x:c r="B483" t="inlineStr">
        <x:is>
          <x:t xml:space="preserve">AA|v4.3.2</x:t>
        </x:is>
      </x:c>
      <x:c r="C483" t="n">
        <x:v>62</x:v>
      </x:c>
      <x:c r="D483" t="n">
        <x:v>30</x:v>
      </x:c>
      <x:c r="E483" t="n">
        <x:f>INDEX(Model_TestVersion_Stats!$W:$W,C483)</x:f>
        <x:v>34.5</x:v>
      </x:c>
      <x:c r="F483" t="n">
        <x:f>INDEX(Model_TestVersion_Stats!$O:$O,C483)</x:f>
        <x:v>0.04</x:v>
      </x:c>
      <x:c r="G483" t="n">
        <x:f>IF(INDEX(Model_TestVersion_Stats!$R:$R,C483)="","",INDEX(Model_TestVersion_Stats!$R:$R,C483)/60)</x:f>
        <x:v>2.903833333333333</x:v>
      </x:c>
      <x:c r="H483" t="n">
        <x:f>IF(E483="","",E483-(D483-1))</x:f>
        <x:v>5.5</x:v>
      </x:c>
      <x:c r="I483" t="n">
        <x:f>IF(H483&gt;0,1,0)</x:f>
        <x:v>1</x:v>
      </x:c>
      <x:c r="J483" t="n">
        <x:f>IF(OR(I483=0,F483="",F483=0),"",H483/F483)</x:f>
        <x:v>137.5</x:v>
      </x:c>
      <x:c r="K483" t="n">
        <x:f>IF(OR(I483=0,H483=0,F483=""),"",F483/H483)</x:f>
        <x:v>0.007272727272727273</x:v>
      </x:c>
      <x:c r="L483" t="n">
        <x:f>IF(OR(I483=0,F483="",G483="",F483=0,G483=0),"",H483/(F483*G483))</x:f>
        <x:v>47.35120243356483</x:v>
      </x:c>
      <x:c r="M483" t="n">
        <x:f>IF(J483="","",J483/_xlfn.MAXIFS($J:$J,$D:$D,D483))</x:f>
        <x:v>0.9166666666666666</x:v>
      </x:c>
      <x:c r="N483" t="n">
        <x:f>IF(L483="","",L483/_xlfn.MAXIFS($L:$L,$D:$D,D483))</x:f>
        <x:v>0.8427093497101533</x:v>
      </x:c>
      <x:c r="O483" t="n">
        <x:f>IF(OR(M483="",N483=""),"",SQRT(M483*N483))</x:f>
        <x:v>0.8789104451351346</x:v>
      </x:c>
      <x:c r="P483" t="n">
        <x:f>IF(OR(M483="",N483=""),"",M483^0.7*N483^0.3)</x:f>
        <x:v>0.8938226404140787</x:v>
      </x:c>
      <x:c r="Q483" t="n">
        <x:f>IF(OR(M483="",N483=""),"",M483^0.3*N483^0.7)</x:f>
        <x:v>0.8642470392222045</x:v>
      </x:c>
    </x:row>
    <x:row r="484">
      <x:c r="A484" t="inlineStr">
        <x:is>
          <x:t xml:space="preserve">openai|gpt-6-luna|xhigh|reasoning|fallback-na</x:t>
        </x:is>
      </x:c>
      <x:c r="B484" t="inlineStr">
        <x:is>
          <x:t xml:space="preserve">AA|v4.3.2</x:t>
        </x:is>
      </x:c>
      <x:c r="C484" t="n">
        <x:v>62</x:v>
      </x:c>
      <x:c r="D484" t="n">
        <x:v>40</x:v>
      </x:c>
      <x:c r="E484" t="n">
        <x:f>INDEX(Model_TestVersion_Stats!$W:$W,C484)</x:f>
        <x:v>34.5</x:v>
      </x:c>
      <x:c r="F484" t="n">
        <x:f>INDEX(Model_TestVersion_Stats!$O:$O,C484)</x:f>
        <x:v>0.04</x:v>
      </x:c>
      <x:c r="G484" t="n">
        <x:f>IF(INDEX(Model_TestVersion_Stats!$R:$R,C484)="","",INDEX(Model_TestVersion_Stats!$R:$R,C484)/60)</x:f>
        <x:v>2.903833333333333</x:v>
      </x:c>
      <x:c r="H484" t="n">
        <x:f>IF(E484="","",E484-(D484-1))</x:f>
        <x:v>-4.5</x:v>
      </x:c>
      <x:c r="I484" t="n">
        <x:f>IF(H484&gt;0,1,0)</x:f>
        <x:v>0</x:v>
      </x:c>
      <x:c r="J484" t="str">
        <x:f>IF(OR(I484=0,F484="",F484=0),"",H484/F484)</x:f>
      </x:c>
      <x:c r="K484" t="str">
        <x:f>IF(OR(I484=0,H484=0,F484=""),"",F484/H484)</x:f>
      </x:c>
      <x:c r="L484" t="str">
        <x:f>IF(OR(I484=0,F484="",G484="",F484=0,G484=0),"",H484/(F484*G484))</x:f>
      </x:c>
      <x:c r="M484" t="str">
        <x:f>IF(J484="","",J484/_xlfn.MAXIFS($J:$J,$D:$D,D484))</x:f>
      </x:c>
      <x:c r="N484" t="str">
        <x:f>IF(L484="","",L484/_xlfn.MAXIFS($L:$L,$D:$D,D484))</x:f>
      </x:c>
      <x:c r="O484" t="str">
        <x:f>IF(OR(M484="",N484=""),"",SQRT(M484*N484))</x:f>
      </x:c>
      <x:c r="P484" t="str">
        <x:f>IF(OR(M484="",N484=""),"",M484^0.7*N484^0.3)</x:f>
      </x:c>
      <x:c r="Q484" t="str">
        <x:f>IF(OR(M484="",N484=""),"",M484^0.3*N484^0.7)</x:f>
      </x:c>
    </x:row>
    <x:row r="485">
      <x:c r="A485" t="inlineStr">
        <x:is>
          <x:t xml:space="preserve">openai|gpt-6-luna|xhigh|reasoning|fallback-na</x:t>
        </x:is>
      </x:c>
      <x:c r="B485" t="inlineStr">
        <x:is>
          <x:t xml:space="preserve">AA|v4.3.2</x:t>
        </x:is>
      </x:c>
      <x:c r="C485" t="n">
        <x:v>62</x:v>
      </x:c>
      <x:c r="D485" t="n">
        <x:v>45</x:v>
      </x:c>
      <x:c r="E485" t="n">
        <x:f>INDEX(Model_TestVersion_Stats!$W:$W,C485)</x:f>
        <x:v>34.5</x:v>
      </x:c>
      <x:c r="F485" t="n">
        <x:f>INDEX(Model_TestVersion_Stats!$O:$O,C485)</x:f>
        <x:v>0.04</x:v>
      </x:c>
      <x:c r="G485" t="n">
        <x:f>IF(INDEX(Model_TestVersion_Stats!$R:$R,C485)="","",INDEX(Model_TestVersion_Stats!$R:$R,C485)/60)</x:f>
        <x:v>2.903833333333333</x:v>
      </x:c>
      <x:c r="H485" t="n">
        <x:f>IF(E485="","",E485-(D485-1))</x:f>
        <x:v>-9.5</x:v>
      </x:c>
      <x:c r="I485" t="n">
        <x:f>IF(H485&gt;0,1,0)</x:f>
        <x:v>0</x:v>
      </x:c>
      <x:c r="J485" t="str">
        <x:f>IF(OR(I485=0,F485="",F485=0),"",H485/F485)</x:f>
      </x:c>
      <x:c r="K485" t="str">
        <x:f>IF(OR(I485=0,H485=0,F485=""),"",F485/H485)</x:f>
      </x:c>
      <x:c r="L485" t="str">
        <x:f>IF(OR(I485=0,F485="",G485="",F485=0,G485=0),"",H485/(F485*G485))</x:f>
      </x:c>
      <x:c r="M485" t="str">
        <x:f>IF(J485="","",J485/_xlfn.MAXIFS($J:$J,$D:$D,D485))</x:f>
      </x:c>
      <x:c r="N485" t="str">
        <x:f>IF(L485="","",L485/_xlfn.MAXIFS($L:$L,$D:$D,D485))</x:f>
      </x:c>
      <x:c r="O485" t="str">
        <x:f>IF(OR(M485="",N485=""),"",SQRT(M485*N485))</x:f>
      </x:c>
      <x:c r="P485" t="str">
        <x:f>IF(OR(M485="",N485=""),"",M485^0.7*N485^0.3)</x:f>
      </x:c>
      <x:c r="Q485" t="str">
        <x:f>IF(OR(M485="",N485=""),"",M485^0.3*N485^0.7)</x:f>
      </x:c>
    </x:row>
    <x:row r="486">
      <x:c r="A486" t="inlineStr">
        <x:is>
          <x:t xml:space="preserve">openai|gpt-6-luna|xhigh|reasoning|fallback-na</x:t>
        </x:is>
      </x:c>
      <x:c r="B486" t="inlineStr">
        <x:is>
          <x:t xml:space="preserve">AA|v4.3.2</x:t>
        </x:is>
      </x:c>
      <x:c r="C486" t="n">
        <x:v>62</x:v>
      </x:c>
      <x:c r="D486" t="n">
        <x:v>50</x:v>
      </x:c>
      <x:c r="E486" t="n">
        <x:f>INDEX(Model_TestVersion_Stats!$W:$W,C486)</x:f>
        <x:v>34.5</x:v>
      </x:c>
      <x:c r="F486" t="n">
        <x:f>INDEX(Model_TestVersion_Stats!$O:$O,C486)</x:f>
        <x:v>0.04</x:v>
      </x:c>
      <x:c r="G486" t="n">
        <x:f>IF(INDEX(Model_TestVersion_Stats!$R:$R,C486)="","",INDEX(Model_TestVersion_Stats!$R:$R,C486)/60)</x:f>
        <x:v>2.903833333333333</x:v>
      </x:c>
      <x:c r="H486" t="n">
        <x:f>IF(E486="","",E486-(D486-1))</x:f>
        <x:v>-14.5</x:v>
      </x:c>
      <x:c r="I486" t="n">
        <x:f>IF(H486&gt;0,1,0)</x:f>
        <x:v>0</x:v>
      </x:c>
      <x:c r="J486" t="str">
        <x:f>IF(OR(I486=0,F486="",F486=0),"",H486/F486)</x:f>
      </x:c>
      <x:c r="K486" t="str">
        <x:f>IF(OR(I486=0,H486=0,F486=""),"",F486/H486)</x:f>
      </x:c>
      <x:c r="L486" t="str">
        <x:f>IF(OR(I486=0,F486="",G486="",F486=0,G486=0),"",H486/(F486*G486))</x:f>
      </x:c>
      <x:c r="M486" t="str">
        <x:f>IF(J486="","",J486/_xlfn.MAXIFS($J:$J,$D:$D,D486))</x:f>
      </x:c>
      <x:c r="N486" t="str">
        <x:f>IF(L486="","",L486/_xlfn.MAXIFS($L:$L,$D:$D,D486))</x:f>
      </x:c>
      <x:c r="O486" t="str">
        <x:f>IF(OR(M486="",N486=""),"",SQRT(M486*N486))</x:f>
      </x:c>
      <x:c r="P486" t="str">
        <x:f>IF(OR(M486="",N486=""),"",M486^0.7*N486^0.3)</x:f>
      </x:c>
      <x:c r="Q486" t="str">
        <x:f>IF(OR(M486="",N486=""),"",M486^0.3*N486^0.7)</x:f>
      </x:c>
    </x:row>
    <x:row r="487">
      <x:c r="A487" t="inlineStr">
        <x:is>
          <x:t xml:space="preserve">openai|gpt-6-luna|xhigh|reasoning|fallback-na</x:t>
        </x:is>
      </x:c>
      <x:c r="B487" t="inlineStr">
        <x:is>
          <x:t xml:space="preserve">AA|v4.3.2</x:t>
        </x:is>
      </x:c>
      <x:c r="C487" t="n">
        <x:v>62</x:v>
      </x:c>
      <x:c r="D487" t="n">
        <x:v>52</x:v>
      </x:c>
      <x:c r="E487" t="n">
        <x:f>INDEX(Model_TestVersion_Stats!$W:$W,C487)</x:f>
        <x:v>34.5</x:v>
      </x:c>
      <x:c r="F487" t="n">
        <x:f>INDEX(Model_TestVersion_Stats!$O:$O,C487)</x:f>
        <x:v>0.04</x:v>
      </x:c>
      <x:c r="G487" t="n">
        <x:f>IF(INDEX(Model_TestVersion_Stats!$R:$R,C487)="","",INDEX(Model_TestVersion_Stats!$R:$R,C487)/60)</x:f>
        <x:v>2.903833333333333</x:v>
      </x:c>
      <x:c r="H487" t="n">
        <x:f>IF(E487="","",E487-(D487-1))</x:f>
        <x:v>-16.5</x:v>
      </x:c>
      <x:c r="I487" t="n">
        <x:f>IF(H487&gt;0,1,0)</x:f>
        <x:v>0</x:v>
      </x:c>
      <x:c r="J487" t="str">
        <x:f>IF(OR(I487=0,F487="",F487=0),"",H487/F487)</x:f>
      </x:c>
      <x:c r="K487" t="str">
        <x:f>IF(OR(I487=0,H487=0,F487=""),"",F487/H487)</x:f>
      </x:c>
      <x:c r="L487" t="str">
        <x:f>IF(OR(I487=0,F487="",G487="",F487=0,G487=0),"",H487/(F487*G487))</x:f>
      </x:c>
      <x:c r="M487" t="str">
        <x:f>IF(J487="","",J487/_xlfn.MAXIFS($J:$J,$D:$D,D487))</x:f>
      </x:c>
      <x:c r="N487" t="str">
        <x:f>IF(L487="","",L487/_xlfn.MAXIFS($L:$L,$D:$D,D487))</x:f>
      </x:c>
      <x:c r="O487" t="str">
        <x:f>IF(OR(M487="",N487=""),"",SQRT(M487*N487))</x:f>
      </x:c>
      <x:c r="P487" t="str">
        <x:f>IF(OR(M487="",N487=""),"",M487^0.7*N487^0.3)</x:f>
      </x:c>
      <x:c r="Q487" t="str">
        <x:f>IF(OR(M487="",N487=""),"",M487^0.3*N487^0.7)</x:f>
      </x:c>
    </x:row>
    <x:row r="488">
      <x:c r="A488" t="inlineStr">
        <x:is>
          <x:t xml:space="preserve">openai|gpt-6-luna|xhigh|reasoning|fallback-na</x:t>
        </x:is>
      </x:c>
      <x:c r="B488" t="inlineStr">
        <x:is>
          <x:t xml:space="preserve">AA|v4.3.2</x:t>
        </x:is>
      </x:c>
      <x:c r="C488" t="n">
        <x:v>62</x:v>
      </x:c>
      <x:c r="D488" t="n">
        <x:v>65</x:v>
      </x:c>
      <x:c r="E488" t="n">
        <x:f>INDEX(Model_TestVersion_Stats!$W:$W,C488)</x:f>
        <x:v>34.5</x:v>
      </x:c>
      <x:c r="F488" t="n">
        <x:f>INDEX(Model_TestVersion_Stats!$O:$O,C488)</x:f>
        <x:v>0.04</x:v>
      </x:c>
      <x:c r="G488" t="n">
        <x:f>IF(INDEX(Model_TestVersion_Stats!$R:$R,C488)="","",INDEX(Model_TestVersion_Stats!$R:$R,C488)/60)</x:f>
        <x:v>2.903833333333333</x:v>
      </x:c>
      <x:c r="H488" t="n">
        <x:f>IF(E488="","",E488-(D488-1))</x:f>
        <x:v>-29.5</x:v>
      </x:c>
      <x:c r="I488" t="n">
        <x:f>IF(H488&gt;0,1,0)</x:f>
        <x:v>0</x:v>
      </x:c>
      <x:c r="J488" t="str">
        <x:f>IF(OR(I488=0,F488="",F488=0),"",H488/F488)</x:f>
      </x:c>
      <x:c r="K488" t="str">
        <x:f>IF(OR(I488=0,H488=0,F488=""),"",F488/H488)</x:f>
      </x:c>
      <x:c r="L488" t="str">
        <x:f>IF(OR(I488=0,F488="",G488="",F488=0,G488=0),"",H488/(F488*G488))</x:f>
      </x:c>
      <x:c r="M488" t="str">
        <x:f>IF(J488="","",J488/_xlfn.MAXIFS($J:$J,$D:$D,D488))</x:f>
      </x:c>
      <x:c r="N488" t="str">
        <x:f>IF(L488="","",L488/_xlfn.MAXIFS($L:$L,$D:$D,D488))</x:f>
      </x:c>
      <x:c r="O488" t="str">
        <x:f>IF(OR(M488="",N488=""),"",SQRT(M488*N488))</x:f>
      </x:c>
      <x:c r="P488" t="str">
        <x:f>IF(OR(M488="",N488=""),"",M488^0.7*N488^0.3)</x:f>
      </x:c>
      <x:c r="Q488" t="str">
        <x:f>IF(OR(M488="",N488=""),"",M488^0.3*N488^0.7)</x:f>
      </x:c>
    </x:row>
    <x:row r="489">
      <x:c r="A489" t="inlineStr">
        <x:is>
          <x:t xml:space="preserve">openai|gpt-6-luna|xhigh|reasoning|fallback-na</x:t>
        </x:is>
      </x:c>
      <x:c r="B489" t="inlineStr">
        <x:is>
          <x:t xml:space="preserve">AA|v4.3.2</x:t>
        </x:is>
      </x:c>
      <x:c r="C489" t="n">
        <x:v>62</x:v>
      </x:c>
      <x:c r="D489" t="n">
        <x:v>80</x:v>
      </x:c>
      <x:c r="E489" t="n">
        <x:f>INDEX(Model_TestVersion_Stats!$W:$W,C489)</x:f>
        <x:v>34.5</x:v>
      </x:c>
      <x:c r="F489" t="n">
        <x:f>INDEX(Model_TestVersion_Stats!$O:$O,C489)</x:f>
        <x:v>0.04</x:v>
      </x:c>
      <x:c r="G489" t="n">
        <x:f>IF(INDEX(Model_TestVersion_Stats!$R:$R,C489)="","",INDEX(Model_TestVersion_Stats!$R:$R,C489)/60)</x:f>
        <x:v>2.903833333333333</x:v>
      </x:c>
      <x:c r="H489" t="n">
        <x:f>IF(E489="","",E489-(D489-1))</x:f>
        <x:v>-44.5</x:v>
      </x:c>
      <x:c r="I489" t="n">
        <x:f>IF(H489&gt;0,1,0)</x:f>
        <x:v>0</x:v>
      </x:c>
      <x:c r="J489" t="str">
        <x:f>IF(OR(I489=0,F489="",F489=0),"",H489/F489)</x:f>
      </x:c>
      <x:c r="K489" t="str">
        <x:f>IF(OR(I489=0,H489=0,F489=""),"",F489/H489)</x:f>
      </x:c>
      <x:c r="L489" t="str">
        <x:f>IF(OR(I489=0,F489="",G489="",F489=0,G489=0),"",H489/(F489*G489))</x:f>
      </x:c>
      <x:c r="M489" t="str">
        <x:f>IF(J489="","",J489/_xlfn.MAXIFS($J:$J,$D:$D,D489))</x:f>
      </x:c>
      <x:c r="N489" t="str">
        <x:f>IF(L489="","",L489/_xlfn.MAXIFS($L:$L,$D:$D,D489))</x:f>
      </x:c>
      <x:c r="O489" t="str">
        <x:f>IF(OR(M489="",N489=""),"",SQRT(M489*N489))</x:f>
      </x:c>
      <x:c r="P489" t="str">
        <x:f>IF(OR(M489="",N489=""),"",M489^0.7*N489^0.3)</x:f>
      </x:c>
      <x:c r="Q489" t="str">
        <x:f>IF(OR(M489="",N489=""),"",M489^0.3*N489^0.7)</x:f>
      </x:c>
    </x:row>
    <x:row r="490">
      <x:c r="A490" t="inlineStr">
        <x:is>
          <x:t xml:space="preserve">openai|gpt-6-sol|high|reasoning|fallback-na</x:t>
        </x:is>
      </x:c>
      <x:c r="B490" t="inlineStr">
        <x:is>
          <x:t xml:space="preserve">AA|v4.3.2</x:t>
        </x:is>
      </x:c>
      <x:c r="C490" t="n">
        <x:v>63</x:v>
      </x:c>
      <x:c r="D490" t="n">
        <x:v>20</x:v>
      </x:c>
      <x:c r="E490" t="n">
        <x:f>INDEX(Model_TestVersion_Stats!$W:$W,C490)</x:f>
        <x:v>43</x:v>
      </x:c>
      <x:c r="F490" t="n">
        <x:f>INDEX(Model_TestVersion_Stats!$O:$O,C490)</x:f>
        <x:v>0.37</x:v>
      </x:c>
      <x:c r="G490" t="n">
        <x:f>IF(INDEX(Model_TestVersion_Stats!$R:$R,C490)="","",INDEX(Model_TestVersion_Stats!$R:$R,C490)/60)</x:f>
        <x:v>2.1011666666666664</x:v>
      </x:c>
      <x:c r="H490" t="n">
        <x:f>IF(E490="","",E490-(D490-1))</x:f>
        <x:v>24</x:v>
      </x:c>
      <x:c r="I490" t="n">
        <x:f>IF(H490&gt;0,1,0)</x:f>
        <x:v>1</x:v>
      </x:c>
      <x:c r="J490" t="n">
        <x:f>IF(OR(I490=0,F490="",F490=0),"",H490/F490)</x:f>
        <x:v>64.86486486486487</x:v>
      </x:c>
      <x:c r="K490" t="n">
        <x:f>IF(OR(I490=0,H490=0,F490=""),"",F490/H490)</x:f>
        <x:v>0.015416666666666667</x:v>
      </x:c>
      <x:c r="L490" t="n">
        <x:f>IF(OR(I490=0,F490="",G490="",F490=0,G490=0),"",H490/(F490*G490))</x:f>
        <x:v>30.87088039892038</x:v>
      </x:c>
      <x:c r="M490" t="n">
        <x:f>IF(J490="","",J490/_xlfn.MAXIFS($J:$J,$D:$D,D490))</x:f>
        <x:v>0.11675675675675677</x:v>
      </x:c>
      <x:c r="N490" t="n">
        <x:f>IF(L490="","",L490/_xlfn.MAXIFS($L:$L,$D:$D,D490))</x:f>
        <x:v>0.01308616620110235</x:v>
      </x:c>
      <x:c r="O490" t="n">
        <x:f>IF(OR(M490="",N490=""),"",SQRT(M490*N490))</x:f>
        <x:v>0.03908834000083144</x:v>
      </x:c>
      <x:c r="P490" t="n">
        <x:f>IF(OR(M490="",N490=""),"",M490^0.7*N490^0.3)</x:f>
        <x:v>0.06055376421567069</x:v>
      </x:c>
      <x:c r="Q490" t="n">
        <x:f>IF(OR(M490="",N490=""),"",M490^0.3*N490^0.7)</x:f>
        <x:v>0.02523209487982904</x:v>
      </x:c>
    </x:row>
    <x:row r="491">
      <x:c r="A491" t="inlineStr">
        <x:is>
          <x:t xml:space="preserve">openai|gpt-6-sol|high|reasoning|fallback-na</x:t>
        </x:is>
      </x:c>
      <x:c r="B491" t="inlineStr">
        <x:is>
          <x:t xml:space="preserve">AA|v4.3.2</x:t>
        </x:is>
      </x:c>
      <x:c r="C491" t="n">
        <x:v>63</x:v>
      </x:c>
      <x:c r="D491" t="n">
        <x:v>30</x:v>
      </x:c>
      <x:c r="E491" t="n">
        <x:f>INDEX(Model_TestVersion_Stats!$W:$W,C491)</x:f>
        <x:v>43</x:v>
      </x:c>
      <x:c r="F491" t="n">
        <x:f>INDEX(Model_TestVersion_Stats!$O:$O,C491)</x:f>
        <x:v>0.37</x:v>
      </x:c>
      <x:c r="G491" t="n">
        <x:f>IF(INDEX(Model_TestVersion_Stats!$R:$R,C491)="","",INDEX(Model_TestVersion_Stats!$R:$R,C491)/60)</x:f>
        <x:v>2.1011666666666664</x:v>
      </x:c>
      <x:c r="H491" t="n">
        <x:f>IF(E491="","",E491-(D491-1))</x:f>
        <x:v>14</x:v>
      </x:c>
      <x:c r="I491" t="n">
        <x:f>IF(H491&gt;0,1,0)</x:f>
        <x:v>1</x:v>
      </x:c>
      <x:c r="J491" t="n">
        <x:f>IF(OR(I491=0,F491="",F491=0),"",H491/F491)</x:f>
        <x:v>37.83783783783784</x:v>
      </x:c>
      <x:c r="K491" t="n">
        <x:f>IF(OR(I491=0,H491=0,F491=""),"",F491/H491)</x:f>
        <x:v>0.02642857142857143</x:v>
      </x:c>
      <x:c r="L491" t="n">
        <x:f>IF(OR(I491=0,F491="",G491="",F491=0,G491=0),"",H491/(F491*G491))</x:f>
        <x:v>18.00801356603689</x:v>
      </x:c>
      <x:c r="M491" t="n">
        <x:f>IF(J491="","",J491/_xlfn.MAXIFS($J:$J,$D:$D,D491))</x:f>
        <x:v>0.2522522522522523</x:v>
      </x:c>
      <x:c r="N491" t="n">
        <x:f>IF(L491="","",L491/_xlfn.MAXIFS($L:$L,$D:$D,D491))</x:f>
        <x:v>0.32048861743475854</x:v>
      </x:c>
      <x:c r="O491" t="n">
        <x:f>IF(OR(M491="",N491=""),"",SQRT(M491*N491))</x:f>
        <x:v>0.2843307503052181</x:v>
      </x:c>
      <x:c r="P491" t="n">
        <x:f>IF(OR(M491="",N491=""),"",M491^0.7*N491^0.3)</x:f>
        <x:v>0.2710368365045188</x:v>
      </x:c>
      <x:c r="Q491" t="n">
        <x:f>IF(OR(M491="",N491=""),"",M491^0.3*N491^0.7)</x:f>
        <x:v>0.29827670884795193</x:v>
      </x:c>
    </x:row>
    <x:row r="492">
      <x:c r="A492" t="inlineStr">
        <x:is>
          <x:t xml:space="preserve">openai|gpt-6-sol|high|reasoning|fallback-na</x:t>
        </x:is>
      </x:c>
      <x:c r="B492" t="inlineStr">
        <x:is>
          <x:t xml:space="preserve">AA|v4.3.2</x:t>
        </x:is>
      </x:c>
      <x:c r="C492" t="n">
        <x:v>63</x:v>
      </x:c>
      <x:c r="D492" t="n">
        <x:v>40</x:v>
      </x:c>
      <x:c r="E492" t="n">
        <x:f>INDEX(Model_TestVersion_Stats!$W:$W,C492)</x:f>
        <x:v>43</x:v>
      </x:c>
      <x:c r="F492" t="n">
        <x:f>INDEX(Model_TestVersion_Stats!$O:$O,C492)</x:f>
        <x:v>0.37</x:v>
      </x:c>
      <x:c r="G492" t="n">
        <x:f>IF(INDEX(Model_TestVersion_Stats!$R:$R,C492)="","",INDEX(Model_TestVersion_Stats!$R:$R,C492)/60)</x:f>
        <x:v>2.1011666666666664</x:v>
      </x:c>
      <x:c r="H492" t="n">
        <x:f>IF(E492="","",E492-(D492-1))</x:f>
        <x:v>4</x:v>
      </x:c>
      <x:c r="I492" t="n">
        <x:f>IF(H492&gt;0,1,0)</x:f>
        <x:v>1</x:v>
      </x:c>
      <x:c r="J492" t="n">
        <x:f>IF(OR(I492=0,F492="",F492=0),"",H492/F492)</x:f>
        <x:v>10.81081081081081</x:v>
      </x:c>
      <x:c r="K492" t="n">
        <x:f>IF(OR(I492=0,H492=0,F492=""),"",F492/H492)</x:f>
        <x:v>0.0925</x:v>
      </x:c>
      <x:c r="L492" t="n">
        <x:f>IF(OR(I492=0,F492="",G492="",F492=0,G492=0),"",H492/(F492*G492))</x:f>
        <x:v>5.145146733153397</x:v>
      </x:c>
      <x:c r="M492" t="n">
        <x:f>IF(J492="","",J492/_xlfn.MAXIFS($J:$J,$D:$D,D492))</x:f>
        <x:v>0.20077220077220076</x:v>
      </x:c>
      <x:c r="N492" t="n">
        <x:f>IF(L492="","",L492/_xlfn.MAXIFS($L:$L,$D:$D,D492))</x:f>
        <x:v>0.8537488978513806</x:v>
      </x:c>
      <x:c r="O492" t="n">
        <x:f>IF(OR(M492="",N492=""),"",SQRT(M492*N492))</x:f>
        <x:v>0.41401575468629515</x:v>
      </x:c>
      <x:c r="P492" t="n">
        <x:f>IF(OR(M492="",N492=""),"",M492^0.7*N492^0.3)</x:f>
        <x:v>0.3099499370606668</x:v>
      </x:c>
      <x:c r="Q492" t="n">
        <x:f>IF(OR(M492="",N492=""),"",M492^0.3*N492^0.7)</x:f>
        <x:v>0.5530217129707384</x:v>
      </x:c>
    </x:row>
    <x:row r="493">
      <x:c r="A493" t="inlineStr">
        <x:is>
          <x:t xml:space="preserve">openai|gpt-6-sol|high|reasoning|fallback-na</x:t>
        </x:is>
      </x:c>
      <x:c r="B493" t="inlineStr">
        <x:is>
          <x:t xml:space="preserve">AA|v4.3.2</x:t>
        </x:is>
      </x:c>
      <x:c r="C493" t="n">
        <x:v>63</x:v>
      </x:c>
      <x:c r="D493" t="n">
        <x:v>45</x:v>
      </x:c>
      <x:c r="E493" t="n">
        <x:f>INDEX(Model_TestVersion_Stats!$W:$W,C493)</x:f>
        <x:v>43</x:v>
      </x:c>
      <x:c r="F493" t="n">
        <x:f>INDEX(Model_TestVersion_Stats!$O:$O,C493)</x:f>
        <x:v>0.37</x:v>
      </x:c>
      <x:c r="G493" t="n">
        <x:f>IF(INDEX(Model_TestVersion_Stats!$R:$R,C493)="","",INDEX(Model_TestVersion_Stats!$R:$R,C493)/60)</x:f>
        <x:v>2.1011666666666664</x:v>
      </x:c>
      <x:c r="H493" t="n">
        <x:f>IF(E493="","",E493-(D493-1))</x:f>
        <x:v>-1</x:v>
      </x:c>
      <x:c r="I493" t="n">
        <x:f>IF(H493&gt;0,1,0)</x:f>
        <x:v>0</x:v>
      </x:c>
      <x:c r="J493" t="str">
        <x:f>IF(OR(I493=0,F493="",F493=0),"",H493/F493)</x:f>
      </x:c>
      <x:c r="K493" t="str">
        <x:f>IF(OR(I493=0,H493=0,F493=""),"",F493/H493)</x:f>
      </x:c>
      <x:c r="L493" t="str">
        <x:f>IF(OR(I493=0,F493="",G493="",F493=0,G493=0),"",H493/(F493*G493))</x:f>
      </x:c>
      <x:c r="M493" t="str">
        <x:f>IF(J493="","",J493/_xlfn.MAXIFS($J:$J,$D:$D,D493))</x:f>
      </x:c>
      <x:c r="N493" t="str">
        <x:f>IF(L493="","",L493/_xlfn.MAXIFS($L:$L,$D:$D,D493))</x:f>
      </x:c>
      <x:c r="O493" t="str">
        <x:f>IF(OR(M493="",N493=""),"",SQRT(M493*N493))</x:f>
      </x:c>
      <x:c r="P493" t="str">
        <x:f>IF(OR(M493="",N493=""),"",M493^0.7*N493^0.3)</x:f>
      </x:c>
      <x:c r="Q493" t="str">
        <x:f>IF(OR(M493="",N493=""),"",M493^0.3*N493^0.7)</x:f>
      </x:c>
    </x:row>
    <x:row r="494">
      <x:c r="A494" t="inlineStr">
        <x:is>
          <x:t xml:space="preserve">openai|gpt-6-sol|high|reasoning|fallback-na</x:t>
        </x:is>
      </x:c>
      <x:c r="B494" t="inlineStr">
        <x:is>
          <x:t xml:space="preserve">AA|v4.3.2</x:t>
        </x:is>
      </x:c>
      <x:c r="C494" t="n">
        <x:v>63</x:v>
      </x:c>
      <x:c r="D494" t="n">
        <x:v>50</x:v>
      </x:c>
      <x:c r="E494" t="n">
        <x:f>INDEX(Model_TestVersion_Stats!$W:$W,C494)</x:f>
        <x:v>43</x:v>
      </x:c>
      <x:c r="F494" t="n">
        <x:f>INDEX(Model_TestVersion_Stats!$O:$O,C494)</x:f>
        <x:v>0.37</x:v>
      </x:c>
      <x:c r="G494" t="n">
        <x:f>IF(INDEX(Model_TestVersion_Stats!$R:$R,C494)="","",INDEX(Model_TestVersion_Stats!$R:$R,C494)/60)</x:f>
        <x:v>2.1011666666666664</x:v>
      </x:c>
      <x:c r="H494" t="n">
        <x:f>IF(E494="","",E494-(D494-1))</x:f>
        <x:v>-6</x:v>
      </x:c>
      <x:c r="I494" t="n">
        <x:f>IF(H494&gt;0,1,0)</x:f>
        <x:v>0</x:v>
      </x:c>
      <x:c r="J494" t="str">
        <x:f>IF(OR(I494=0,F494="",F494=0),"",H494/F494)</x:f>
      </x:c>
      <x:c r="K494" t="str">
        <x:f>IF(OR(I494=0,H494=0,F494=""),"",F494/H494)</x:f>
      </x:c>
      <x:c r="L494" t="str">
        <x:f>IF(OR(I494=0,F494="",G494="",F494=0,G494=0),"",H494/(F494*G494))</x:f>
      </x:c>
      <x:c r="M494" t="str">
        <x:f>IF(J494="","",J494/_xlfn.MAXIFS($J:$J,$D:$D,D494))</x:f>
      </x:c>
      <x:c r="N494" t="str">
        <x:f>IF(L494="","",L494/_xlfn.MAXIFS($L:$L,$D:$D,D494))</x:f>
      </x:c>
      <x:c r="O494" t="str">
        <x:f>IF(OR(M494="",N494=""),"",SQRT(M494*N494))</x:f>
      </x:c>
      <x:c r="P494" t="str">
        <x:f>IF(OR(M494="",N494=""),"",M494^0.7*N494^0.3)</x:f>
      </x:c>
      <x:c r="Q494" t="str">
        <x:f>IF(OR(M494="",N494=""),"",M494^0.3*N494^0.7)</x:f>
      </x:c>
    </x:row>
    <x:row r="495">
      <x:c r="A495" t="inlineStr">
        <x:is>
          <x:t xml:space="preserve">openai|gpt-6-sol|high|reasoning|fallback-na</x:t>
        </x:is>
      </x:c>
      <x:c r="B495" t="inlineStr">
        <x:is>
          <x:t xml:space="preserve">AA|v4.3.2</x:t>
        </x:is>
      </x:c>
      <x:c r="C495" t="n">
        <x:v>63</x:v>
      </x:c>
      <x:c r="D495" t="n">
        <x:v>52</x:v>
      </x:c>
      <x:c r="E495" t="n">
        <x:f>INDEX(Model_TestVersion_Stats!$W:$W,C495)</x:f>
        <x:v>43</x:v>
      </x:c>
      <x:c r="F495" t="n">
        <x:f>INDEX(Model_TestVersion_Stats!$O:$O,C495)</x:f>
        <x:v>0.37</x:v>
      </x:c>
      <x:c r="G495" t="n">
        <x:f>IF(INDEX(Model_TestVersion_Stats!$R:$R,C495)="","",INDEX(Model_TestVersion_Stats!$R:$R,C495)/60)</x:f>
        <x:v>2.1011666666666664</x:v>
      </x:c>
      <x:c r="H495" t="n">
        <x:f>IF(E495="","",E495-(D495-1))</x:f>
        <x:v>-8</x:v>
      </x:c>
      <x:c r="I495" t="n">
        <x:f>IF(H495&gt;0,1,0)</x:f>
        <x:v>0</x:v>
      </x:c>
      <x:c r="J495" t="str">
        <x:f>IF(OR(I495=0,F495="",F495=0),"",H495/F495)</x:f>
      </x:c>
      <x:c r="K495" t="str">
        <x:f>IF(OR(I495=0,H495=0,F495=""),"",F495/H495)</x:f>
      </x:c>
      <x:c r="L495" t="str">
        <x:f>IF(OR(I495=0,F495="",G495="",F495=0,G495=0),"",H495/(F495*G495))</x:f>
      </x:c>
      <x:c r="M495" t="str">
        <x:f>IF(J495="","",J495/_xlfn.MAXIFS($J:$J,$D:$D,D495))</x:f>
      </x:c>
      <x:c r="N495" t="str">
        <x:f>IF(L495="","",L495/_xlfn.MAXIFS($L:$L,$D:$D,D495))</x:f>
      </x:c>
      <x:c r="O495" t="str">
        <x:f>IF(OR(M495="",N495=""),"",SQRT(M495*N495))</x:f>
      </x:c>
      <x:c r="P495" t="str">
        <x:f>IF(OR(M495="",N495=""),"",M495^0.7*N495^0.3)</x:f>
      </x:c>
      <x:c r="Q495" t="str">
        <x:f>IF(OR(M495="",N495=""),"",M495^0.3*N495^0.7)</x:f>
      </x:c>
    </x:row>
    <x:row r="496">
      <x:c r="A496" t="inlineStr">
        <x:is>
          <x:t xml:space="preserve">openai|gpt-6-sol|high|reasoning|fallback-na</x:t>
        </x:is>
      </x:c>
      <x:c r="B496" t="inlineStr">
        <x:is>
          <x:t xml:space="preserve">AA|v4.3.2</x:t>
        </x:is>
      </x:c>
      <x:c r="C496" t="n">
        <x:v>63</x:v>
      </x:c>
      <x:c r="D496" t="n">
        <x:v>65</x:v>
      </x:c>
      <x:c r="E496" t="n">
        <x:f>INDEX(Model_TestVersion_Stats!$W:$W,C496)</x:f>
        <x:v>43</x:v>
      </x:c>
      <x:c r="F496" t="n">
        <x:f>INDEX(Model_TestVersion_Stats!$O:$O,C496)</x:f>
        <x:v>0.37</x:v>
      </x:c>
      <x:c r="G496" t="n">
        <x:f>IF(INDEX(Model_TestVersion_Stats!$R:$R,C496)="","",INDEX(Model_TestVersion_Stats!$R:$R,C496)/60)</x:f>
        <x:v>2.1011666666666664</x:v>
      </x:c>
      <x:c r="H496" t="n">
        <x:f>IF(E496="","",E496-(D496-1))</x:f>
        <x:v>-21</x:v>
      </x:c>
      <x:c r="I496" t="n">
        <x:f>IF(H496&gt;0,1,0)</x:f>
        <x:v>0</x:v>
      </x:c>
      <x:c r="J496" t="str">
        <x:f>IF(OR(I496=0,F496="",F496=0),"",H496/F496)</x:f>
      </x:c>
      <x:c r="K496" t="str">
        <x:f>IF(OR(I496=0,H496=0,F496=""),"",F496/H496)</x:f>
      </x:c>
      <x:c r="L496" t="str">
        <x:f>IF(OR(I496=0,F496="",G496="",F496=0,G496=0),"",H496/(F496*G496))</x:f>
      </x:c>
      <x:c r="M496" t="str">
        <x:f>IF(J496="","",J496/_xlfn.MAXIFS($J:$J,$D:$D,D496))</x:f>
      </x:c>
      <x:c r="N496" t="str">
        <x:f>IF(L496="","",L496/_xlfn.MAXIFS($L:$L,$D:$D,D496))</x:f>
      </x:c>
      <x:c r="O496" t="str">
        <x:f>IF(OR(M496="",N496=""),"",SQRT(M496*N496))</x:f>
      </x:c>
      <x:c r="P496" t="str">
        <x:f>IF(OR(M496="",N496=""),"",M496^0.7*N496^0.3)</x:f>
      </x:c>
      <x:c r="Q496" t="str">
        <x:f>IF(OR(M496="",N496=""),"",M496^0.3*N496^0.7)</x:f>
      </x:c>
    </x:row>
    <x:row r="497">
      <x:c r="A497" t="inlineStr">
        <x:is>
          <x:t xml:space="preserve">openai|gpt-6-sol|high|reasoning|fallback-na</x:t>
        </x:is>
      </x:c>
      <x:c r="B497" t="inlineStr">
        <x:is>
          <x:t xml:space="preserve">AA|v4.3.2</x:t>
        </x:is>
      </x:c>
      <x:c r="C497" t="n">
        <x:v>63</x:v>
      </x:c>
      <x:c r="D497" t="n">
        <x:v>80</x:v>
      </x:c>
      <x:c r="E497" t="n">
        <x:f>INDEX(Model_TestVersion_Stats!$W:$W,C497)</x:f>
        <x:v>43</x:v>
      </x:c>
      <x:c r="F497" t="n">
        <x:f>INDEX(Model_TestVersion_Stats!$O:$O,C497)</x:f>
        <x:v>0.37</x:v>
      </x:c>
      <x:c r="G497" t="n">
        <x:f>IF(INDEX(Model_TestVersion_Stats!$R:$R,C497)="","",INDEX(Model_TestVersion_Stats!$R:$R,C497)/60)</x:f>
        <x:v>2.1011666666666664</x:v>
      </x:c>
      <x:c r="H497" t="n">
        <x:f>IF(E497="","",E497-(D497-1))</x:f>
        <x:v>-36</x:v>
      </x:c>
      <x:c r="I497" t="n">
        <x:f>IF(H497&gt;0,1,0)</x:f>
        <x:v>0</x:v>
      </x:c>
      <x:c r="J497" t="str">
        <x:f>IF(OR(I497=0,F497="",F497=0),"",H497/F497)</x:f>
      </x:c>
      <x:c r="K497" t="str">
        <x:f>IF(OR(I497=0,H497=0,F497=""),"",F497/H497)</x:f>
      </x:c>
      <x:c r="L497" t="str">
        <x:f>IF(OR(I497=0,F497="",G497="",F497=0,G497=0),"",H497/(F497*G497))</x:f>
      </x:c>
      <x:c r="M497" t="str">
        <x:f>IF(J497="","",J497/_xlfn.MAXIFS($J:$J,$D:$D,D497))</x:f>
      </x:c>
      <x:c r="N497" t="str">
        <x:f>IF(L497="","",L497/_xlfn.MAXIFS($L:$L,$D:$D,D497))</x:f>
      </x:c>
      <x:c r="O497" t="str">
        <x:f>IF(OR(M497="",N497=""),"",SQRT(M497*N497))</x:f>
      </x:c>
      <x:c r="P497" t="str">
        <x:f>IF(OR(M497="",N497=""),"",M497^0.7*N497^0.3)</x:f>
      </x:c>
      <x:c r="Q497" t="str">
        <x:f>IF(OR(M497="",N497=""),"",M497^0.3*N497^0.7)</x:f>
      </x:c>
    </x:row>
    <x:row r="498">
      <x:c r="A498" t="inlineStr">
        <x:is>
          <x:t xml:space="preserve">openai|gpt-6-sol|low|reasoning|fallback-na</x:t>
        </x:is>
      </x:c>
      <x:c r="B498" t="inlineStr">
        <x:is>
          <x:t xml:space="preserve">AA|v4.3.2</x:t>
        </x:is>
      </x:c>
      <x:c r="C498" t="n">
        <x:v>64</x:v>
      </x:c>
      <x:c r="D498" t="n">
        <x:v>20</x:v>
      </x:c>
      <x:c r="E498" t="n">
        <x:f>INDEX(Model_TestVersion_Stats!$W:$W,C498)</x:f>
        <x:v>34</x:v>
      </x:c>
      <x:c r="F498" t="n">
        <x:f>INDEX(Model_TestVersion_Stats!$O:$O,C498)</x:f>
        <x:v>0.13</x:v>
      </x:c>
      <x:c r="G498" t="n">
        <x:f>IF(INDEX(Model_TestVersion_Stats!$R:$R,C498)="","",INDEX(Model_TestVersion_Stats!$R:$R,C498)/60)</x:f>
        <x:v>0.6845</x:v>
      </x:c>
      <x:c r="H498" t="n">
        <x:f>IF(E498="","",E498-(D498-1))</x:f>
        <x:v>15</x:v>
      </x:c>
      <x:c r="I498" t="n">
        <x:f>IF(H498&gt;0,1,0)</x:f>
        <x:v>1</x:v>
      </x:c>
      <x:c r="J498" t="n">
        <x:f>IF(OR(I498=0,F498="",F498=0),"",H498/F498)</x:f>
        <x:v>115.38461538461539</x:v>
      </x:c>
      <x:c r="K498" t="n">
        <x:f>IF(OR(I498=0,H498=0,F498=""),"",F498/H498)</x:f>
        <x:v>0.008666666666666666</x:v>
      </x:c>
      <x:c r="L498" t="n">
        <x:f>IF(OR(I498=0,F498="",G498="",F498=0,G498=0),"",H498/(F498*G498))</x:f>
        <x:v>168.56773613530368</x:v>
      </x:c>
      <x:c r="M498" t="n">
        <x:f>IF(J498="","",J498/_xlfn.MAXIFS($J:$J,$D:$D,D498))</x:f>
        <x:v>0.2076923076923077</x:v>
      </x:c>
      <x:c r="N498" t="n">
        <x:f>IF(L498="","",L498/_xlfn.MAXIFS($L:$L,$D:$D,D498))</x:f>
        <x:v>0.07145586334775524</x:v>
      </x:c>
      <x:c r="O498" t="n">
        <x:f>IF(OR(M498="",N498=""),"",SQRT(M498*N498))</x:f>
        <x:v>0.1218229582502472</x:v>
      </x:c>
      <x:c r="P498" t="n">
        <x:f>IF(OR(M498="",N498=""),"",M498^0.7*N498^0.3)</x:f>
        <x:v>0.1508014958793924</x:v>
      </x:c>
      <x:c r="Q498" t="n">
        <x:f>IF(OR(M498="",N498=""),"",M498^0.3*N498^0.7)</x:f>
        <x:v>0.09841303675602024</x:v>
      </x:c>
    </x:row>
    <x:row r="499">
      <x:c r="A499" t="inlineStr">
        <x:is>
          <x:t xml:space="preserve">openai|gpt-6-sol|low|reasoning|fallback-na</x:t>
        </x:is>
      </x:c>
      <x:c r="B499" t="inlineStr">
        <x:is>
          <x:t xml:space="preserve">AA|v4.3.2</x:t>
        </x:is>
      </x:c>
      <x:c r="C499" t="n">
        <x:v>64</x:v>
      </x:c>
      <x:c r="D499" t="n">
        <x:v>30</x:v>
      </x:c>
      <x:c r="E499" t="n">
        <x:f>INDEX(Model_TestVersion_Stats!$W:$W,C499)</x:f>
        <x:v>34</x:v>
      </x:c>
      <x:c r="F499" t="n">
        <x:f>INDEX(Model_TestVersion_Stats!$O:$O,C499)</x:f>
        <x:v>0.13</x:v>
      </x:c>
      <x:c r="G499" t="n">
        <x:f>IF(INDEX(Model_TestVersion_Stats!$R:$R,C499)="","",INDEX(Model_TestVersion_Stats!$R:$R,C499)/60)</x:f>
        <x:v>0.6845</x:v>
      </x:c>
      <x:c r="H499" t="n">
        <x:f>IF(E499="","",E499-(D499-1))</x:f>
        <x:v>5</x:v>
      </x:c>
      <x:c r="I499" t="n">
        <x:f>IF(H499&gt;0,1,0)</x:f>
        <x:v>1</x:v>
      </x:c>
      <x:c r="J499" t="n">
        <x:f>IF(OR(I499=0,F499="",F499=0),"",H499/F499)</x:f>
        <x:v>38.46153846153846</x:v>
      </x:c>
      <x:c r="K499" t="n">
        <x:f>IF(OR(I499=0,H499=0,F499=""),"",F499/H499)</x:f>
        <x:v>0.026000000000000002</x:v>
      </x:c>
      <x:c r="L499" t="n">
        <x:f>IF(OR(I499=0,F499="",G499="",F499=0,G499=0),"",H499/(F499*G499))</x:f>
        <x:v>56.18924537843456</x:v>
      </x:c>
      <x:c r="M499" t="n">
        <x:f>IF(J499="","",J499/_xlfn.MAXIFS($J:$J,$D:$D,D499))</x:f>
        <x:v>0.2564102564102564</x:v>
      </x:c>
      <x:c r="N499" t="n">
        <x:f>IF(L499="","",L499/_xlfn.MAXIFS($L:$L,$D:$D,D499))</x:f>
        <x:v>1</x:v>
      </x:c>
      <x:c r="O499" t="n">
        <x:f>IF(OR(M499="",N499=""),"",SQRT(M499*N499))</x:f>
        <x:v>0.5063696835418333</x:v>
      </x:c>
      <x:c r="P499" t="n">
        <x:f>IF(OR(M499="",N499=""),"",M499^0.7*N499^0.3)</x:f>
        <x:v>0.385704561536193</x:v>
      </x:c>
      <x:c r="Q499" t="n">
        <x:f>IF(OR(M499="",N499=""),"",M499^0.3*N499^0.7)</x:f>
        <x:v>0.6647840911940988</x:v>
      </x:c>
    </x:row>
    <x:row r="500">
      <x:c r="A500" t="inlineStr">
        <x:is>
          <x:t xml:space="preserve">openai|gpt-6-sol|low|reasoning|fallback-na</x:t>
        </x:is>
      </x:c>
      <x:c r="B500" t="inlineStr">
        <x:is>
          <x:t xml:space="preserve">AA|v4.3.2</x:t>
        </x:is>
      </x:c>
      <x:c r="C500" t="n">
        <x:v>64</x:v>
      </x:c>
      <x:c r="D500" t="n">
        <x:v>40</x:v>
      </x:c>
      <x:c r="E500" t="n">
        <x:f>INDEX(Model_TestVersion_Stats!$W:$W,C500)</x:f>
        <x:v>34</x:v>
      </x:c>
      <x:c r="F500" t="n">
        <x:f>INDEX(Model_TestVersion_Stats!$O:$O,C500)</x:f>
        <x:v>0.13</x:v>
      </x:c>
      <x:c r="G500" t="n">
        <x:f>IF(INDEX(Model_TestVersion_Stats!$R:$R,C500)="","",INDEX(Model_TestVersion_Stats!$R:$R,C500)/60)</x:f>
        <x:v>0.6845</x:v>
      </x:c>
      <x:c r="H500" t="n">
        <x:f>IF(E500="","",E500-(D500-1))</x:f>
        <x:v>-5</x:v>
      </x:c>
      <x:c r="I500" t="n">
        <x:f>IF(H500&gt;0,1,0)</x:f>
        <x:v>0</x:v>
      </x:c>
      <x:c r="J500" t="str">
        <x:f>IF(OR(I500=0,F500="",F500=0),"",H500/F500)</x:f>
      </x:c>
      <x:c r="K500" t="str">
        <x:f>IF(OR(I500=0,H500=0,F500=""),"",F500/H500)</x:f>
      </x:c>
      <x:c r="L500" t="str">
        <x:f>IF(OR(I500=0,F500="",G500="",F500=0,G500=0),"",H500/(F500*G500))</x:f>
      </x:c>
      <x:c r="M500" t="str">
        <x:f>IF(J500="","",J500/_xlfn.MAXIFS($J:$J,$D:$D,D500))</x:f>
      </x:c>
      <x:c r="N500" t="str">
        <x:f>IF(L500="","",L500/_xlfn.MAXIFS($L:$L,$D:$D,D500))</x:f>
      </x:c>
      <x:c r="O500" t="str">
        <x:f>IF(OR(M500="",N500=""),"",SQRT(M500*N500))</x:f>
      </x:c>
      <x:c r="P500" t="str">
        <x:f>IF(OR(M500="",N500=""),"",M500^0.7*N500^0.3)</x:f>
      </x:c>
      <x:c r="Q500" t="str">
        <x:f>IF(OR(M500="",N500=""),"",M500^0.3*N500^0.7)</x:f>
      </x:c>
    </x:row>
    <x:row r="501">
      <x:c r="A501" t="inlineStr">
        <x:is>
          <x:t xml:space="preserve">openai|gpt-6-sol|low|reasoning|fallback-na</x:t>
        </x:is>
      </x:c>
      <x:c r="B501" t="inlineStr">
        <x:is>
          <x:t xml:space="preserve">AA|v4.3.2</x:t>
        </x:is>
      </x:c>
      <x:c r="C501" t="n">
        <x:v>64</x:v>
      </x:c>
      <x:c r="D501" t="n">
        <x:v>45</x:v>
      </x:c>
      <x:c r="E501" t="n">
        <x:f>INDEX(Model_TestVersion_Stats!$W:$W,C501)</x:f>
        <x:v>34</x:v>
      </x:c>
      <x:c r="F501" t="n">
        <x:f>INDEX(Model_TestVersion_Stats!$O:$O,C501)</x:f>
        <x:v>0.13</x:v>
      </x:c>
      <x:c r="G501" t="n">
        <x:f>IF(INDEX(Model_TestVersion_Stats!$R:$R,C501)="","",INDEX(Model_TestVersion_Stats!$R:$R,C501)/60)</x:f>
        <x:v>0.6845</x:v>
      </x:c>
      <x:c r="H501" t="n">
        <x:f>IF(E501="","",E501-(D501-1))</x:f>
        <x:v>-10</x:v>
      </x:c>
      <x:c r="I501" t="n">
        <x:f>IF(H501&gt;0,1,0)</x:f>
        <x:v>0</x:v>
      </x:c>
      <x:c r="J501" t="str">
        <x:f>IF(OR(I501=0,F501="",F501=0),"",H501/F501)</x:f>
      </x:c>
      <x:c r="K501" t="str">
        <x:f>IF(OR(I501=0,H501=0,F501=""),"",F501/H501)</x:f>
      </x:c>
      <x:c r="L501" t="str">
        <x:f>IF(OR(I501=0,F501="",G501="",F501=0,G501=0),"",H501/(F501*G501))</x:f>
      </x:c>
      <x:c r="M501" t="str">
        <x:f>IF(J501="","",J501/_xlfn.MAXIFS($J:$J,$D:$D,D501))</x:f>
      </x:c>
      <x:c r="N501" t="str">
        <x:f>IF(L501="","",L501/_xlfn.MAXIFS($L:$L,$D:$D,D501))</x:f>
      </x:c>
      <x:c r="O501" t="str">
        <x:f>IF(OR(M501="",N501=""),"",SQRT(M501*N501))</x:f>
      </x:c>
      <x:c r="P501" t="str">
        <x:f>IF(OR(M501="",N501=""),"",M501^0.7*N501^0.3)</x:f>
      </x:c>
      <x:c r="Q501" t="str">
        <x:f>IF(OR(M501="",N501=""),"",M501^0.3*N501^0.7)</x:f>
      </x:c>
    </x:row>
    <x:row r="502">
      <x:c r="A502" t="inlineStr">
        <x:is>
          <x:t xml:space="preserve">openai|gpt-6-sol|low|reasoning|fallback-na</x:t>
        </x:is>
      </x:c>
      <x:c r="B502" t="inlineStr">
        <x:is>
          <x:t xml:space="preserve">AA|v4.3.2</x:t>
        </x:is>
      </x:c>
      <x:c r="C502" t="n">
        <x:v>64</x:v>
      </x:c>
      <x:c r="D502" t="n">
        <x:v>50</x:v>
      </x:c>
      <x:c r="E502" t="n">
        <x:f>INDEX(Model_TestVersion_Stats!$W:$W,C502)</x:f>
        <x:v>34</x:v>
      </x:c>
      <x:c r="F502" t="n">
        <x:f>INDEX(Model_TestVersion_Stats!$O:$O,C502)</x:f>
        <x:v>0.13</x:v>
      </x:c>
      <x:c r="G502" t="n">
        <x:f>IF(INDEX(Model_TestVersion_Stats!$R:$R,C502)="","",INDEX(Model_TestVersion_Stats!$R:$R,C502)/60)</x:f>
        <x:v>0.6845</x:v>
      </x:c>
      <x:c r="H502" t="n">
        <x:f>IF(E502="","",E502-(D502-1))</x:f>
        <x:v>-15</x:v>
      </x:c>
      <x:c r="I502" t="n">
        <x:f>IF(H502&gt;0,1,0)</x:f>
        <x:v>0</x:v>
      </x:c>
      <x:c r="J502" t="str">
        <x:f>IF(OR(I502=0,F502="",F502=0),"",H502/F502)</x:f>
      </x:c>
      <x:c r="K502" t="str">
        <x:f>IF(OR(I502=0,H502=0,F502=""),"",F502/H502)</x:f>
      </x:c>
      <x:c r="L502" t="str">
        <x:f>IF(OR(I502=0,F502="",G502="",F502=0,G502=0),"",H502/(F502*G502))</x:f>
      </x:c>
      <x:c r="M502" t="str">
        <x:f>IF(J502="","",J502/_xlfn.MAXIFS($J:$J,$D:$D,D502))</x:f>
      </x:c>
      <x:c r="N502" t="str">
        <x:f>IF(L502="","",L502/_xlfn.MAXIFS($L:$L,$D:$D,D502))</x:f>
      </x:c>
      <x:c r="O502" t="str">
        <x:f>IF(OR(M502="",N502=""),"",SQRT(M502*N502))</x:f>
      </x:c>
      <x:c r="P502" t="str">
        <x:f>IF(OR(M502="",N502=""),"",M502^0.7*N502^0.3)</x:f>
      </x:c>
      <x:c r="Q502" t="str">
        <x:f>IF(OR(M502="",N502=""),"",M502^0.3*N502^0.7)</x:f>
      </x:c>
    </x:row>
    <x:row r="503">
      <x:c r="A503" t="inlineStr">
        <x:is>
          <x:t xml:space="preserve">openai|gpt-6-sol|low|reasoning|fallback-na</x:t>
        </x:is>
      </x:c>
      <x:c r="B503" t="inlineStr">
        <x:is>
          <x:t xml:space="preserve">AA|v4.3.2</x:t>
        </x:is>
      </x:c>
      <x:c r="C503" t="n">
        <x:v>64</x:v>
      </x:c>
      <x:c r="D503" t="n">
        <x:v>52</x:v>
      </x:c>
      <x:c r="E503" t="n">
        <x:f>INDEX(Model_TestVersion_Stats!$W:$W,C503)</x:f>
        <x:v>34</x:v>
      </x:c>
      <x:c r="F503" t="n">
        <x:f>INDEX(Model_TestVersion_Stats!$O:$O,C503)</x:f>
        <x:v>0.13</x:v>
      </x:c>
      <x:c r="G503" t="n">
        <x:f>IF(INDEX(Model_TestVersion_Stats!$R:$R,C503)="","",INDEX(Model_TestVersion_Stats!$R:$R,C503)/60)</x:f>
        <x:v>0.6845</x:v>
      </x:c>
      <x:c r="H503" t="n">
        <x:f>IF(E503="","",E503-(D503-1))</x:f>
        <x:v>-17</x:v>
      </x:c>
      <x:c r="I503" t="n">
        <x:f>IF(H503&gt;0,1,0)</x:f>
        <x:v>0</x:v>
      </x:c>
      <x:c r="J503" t="str">
        <x:f>IF(OR(I503=0,F503="",F503=0),"",H503/F503)</x:f>
      </x:c>
      <x:c r="K503" t="str">
        <x:f>IF(OR(I503=0,H503=0,F503=""),"",F503/H503)</x:f>
      </x:c>
      <x:c r="L503" t="str">
        <x:f>IF(OR(I503=0,F503="",G503="",F503=0,G503=0),"",H503/(F503*G503))</x:f>
      </x:c>
      <x:c r="M503" t="str">
        <x:f>IF(J503="","",J503/_xlfn.MAXIFS($J:$J,$D:$D,D503))</x:f>
      </x:c>
      <x:c r="N503" t="str">
        <x:f>IF(L503="","",L503/_xlfn.MAXIFS($L:$L,$D:$D,D503))</x:f>
      </x:c>
      <x:c r="O503" t="str">
        <x:f>IF(OR(M503="",N503=""),"",SQRT(M503*N503))</x:f>
      </x:c>
      <x:c r="P503" t="str">
        <x:f>IF(OR(M503="",N503=""),"",M503^0.7*N503^0.3)</x:f>
      </x:c>
      <x:c r="Q503" t="str">
        <x:f>IF(OR(M503="",N503=""),"",M503^0.3*N503^0.7)</x:f>
      </x:c>
    </x:row>
    <x:row r="504">
      <x:c r="A504" t="inlineStr">
        <x:is>
          <x:t xml:space="preserve">openai|gpt-6-sol|low|reasoning|fallback-na</x:t>
        </x:is>
      </x:c>
      <x:c r="B504" t="inlineStr">
        <x:is>
          <x:t xml:space="preserve">AA|v4.3.2</x:t>
        </x:is>
      </x:c>
      <x:c r="C504" t="n">
        <x:v>64</x:v>
      </x:c>
      <x:c r="D504" t="n">
        <x:v>65</x:v>
      </x:c>
      <x:c r="E504" t="n">
        <x:f>INDEX(Model_TestVersion_Stats!$W:$W,C504)</x:f>
        <x:v>34</x:v>
      </x:c>
      <x:c r="F504" t="n">
        <x:f>INDEX(Model_TestVersion_Stats!$O:$O,C504)</x:f>
        <x:v>0.13</x:v>
      </x:c>
      <x:c r="G504" t="n">
        <x:f>IF(INDEX(Model_TestVersion_Stats!$R:$R,C504)="","",INDEX(Model_TestVersion_Stats!$R:$R,C504)/60)</x:f>
        <x:v>0.6845</x:v>
      </x:c>
      <x:c r="H504" t="n">
        <x:f>IF(E504="","",E504-(D504-1))</x:f>
        <x:v>-30</x:v>
      </x:c>
      <x:c r="I504" t="n">
        <x:f>IF(H504&gt;0,1,0)</x:f>
        <x:v>0</x:v>
      </x:c>
      <x:c r="J504" t="str">
        <x:f>IF(OR(I504=0,F504="",F504=0),"",H504/F504)</x:f>
      </x:c>
      <x:c r="K504" t="str">
        <x:f>IF(OR(I504=0,H504=0,F504=""),"",F504/H504)</x:f>
      </x:c>
      <x:c r="L504" t="str">
        <x:f>IF(OR(I504=0,F504="",G504="",F504=0,G504=0),"",H504/(F504*G504))</x:f>
      </x:c>
      <x:c r="M504" t="str">
        <x:f>IF(J504="","",J504/_xlfn.MAXIFS($J:$J,$D:$D,D504))</x:f>
      </x:c>
      <x:c r="N504" t="str">
        <x:f>IF(L504="","",L504/_xlfn.MAXIFS($L:$L,$D:$D,D504))</x:f>
      </x:c>
      <x:c r="O504" t="str">
        <x:f>IF(OR(M504="",N504=""),"",SQRT(M504*N504))</x:f>
      </x:c>
      <x:c r="P504" t="str">
        <x:f>IF(OR(M504="",N504=""),"",M504^0.7*N504^0.3)</x:f>
      </x:c>
      <x:c r="Q504" t="str">
        <x:f>IF(OR(M504="",N504=""),"",M504^0.3*N504^0.7)</x:f>
      </x:c>
    </x:row>
    <x:row r="505">
      <x:c r="A505" t="inlineStr">
        <x:is>
          <x:t xml:space="preserve">openai|gpt-6-sol|low|reasoning|fallback-na</x:t>
        </x:is>
      </x:c>
      <x:c r="B505" t="inlineStr">
        <x:is>
          <x:t xml:space="preserve">AA|v4.3.2</x:t>
        </x:is>
      </x:c>
      <x:c r="C505" t="n">
        <x:v>64</x:v>
      </x:c>
      <x:c r="D505" t="n">
        <x:v>80</x:v>
      </x:c>
      <x:c r="E505" t="n">
        <x:f>INDEX(Model_TestVersion_Stats!$W:$W,C505)</x:f>
        <x:v>34</x:v>
      </x:c>
      <x:c r="F505" t="n">
        <x:f>INDEX(Model_TestVersion_Stats!$O:$O,C505)</x:f>
        <x:v>0.13</x:v>
      </x:c>
      <x:c r="G505" t="n">
        <x:f>IF(INDEX(Model_TestVersion_Stats!$R:$R,C505)="","",INDEX(Model_TestVersion_Stats!$R:$R,C505)/60)</x:f>
        <x:v>0.6845</x:v>
      </x:c>
      <x:c r="H505" t="n">
        <x:f>IF(E505="","",E505-(D505-1))</x:f>
        <x:v>-45</x:v>
      </x:c>
      <x:c r="I505" t="n">
        <x:f>IF(H505&gt;0,1,0)</x:f>
        <x:v>0</x:v>
      </x:c>
      <x:c r="J505" t="str">
        <x:f>IF(OR(I505=0,F505="",F505=0),"",H505/F505)</x:f>
      </x:c>
      <x:c r="K505" t="str">
        <x:f>IF(OR(I505=0,H505=0,F505=""),"",F505/H505)</x:f>
      </x:c>
      <x:c r="L505" t="str">
        <x:f>IF(OR(I505=0,F505="",G505="",F505=0,G505=0),"",H505/(F505*G505))</x:f>
      </x:c>
      <x:c r="M505" t="str">
        <x:f>IF(J505="","",J505/_xlfn.MAXIFS($J:$J,$D:$D,D505))</x:f>
      </x:c>
      <x:c r="N505" t="str">
        <x:f>IF(L505="","",L505/_xlfn.MAXIFS($L:$L,$D:$D,D505))</x:f>
      </x:c>
      <x:c r="O505" t="str">
        <x:f>IF(OR(M505="",N505=""),"",SQRT(M505*N505))</x:f>
      </x:c>
      <x:c r="P505" t="str">
        <x:f>IF(OR(M505="",N505=""),"",M505^0.7*N505^0.3)</x:f>
      </x:c>
      <x:c r="Q505" t="str">
        <x:f>IF(OR(M505="",N505=""),"",M505^0.3*N505^0.7)</x:f>
      </x:c>
    </x:row>
    <x:row r="506">
      <x:c r="A506" t="inlineStr">
        <x:is>
          <x:t xml:space="preserve">openai|gpt-6-sol|max|reasoning|fallback-na</x:t>
        </x:is>
      </x:c>
      <x:c r="B506" t="inlineStr">
        <x:is>
          <x:t xml:space="preserve">AA|v4.3.2</x:t>
        </x:is>
      </x:c>
      <x:c r="C506" t="n">
        <x:v>65</x:v>
      </x:c>
      <x:c r="D506" t="n">
        <x:v>20</x:v>
      </x:c>
      <x:c r="E506" t="n">
        <x:f>INDEX(Model_TestVersion_Stats!$W:$W,C506)</x:f>
        <x:v>48</x:v>
      </x:c>
      <x:c r="F506" t="n">
        <x:f>INDEX(Model_TestVersion_Stats!$O:$O,C506)</x:f>
        <x:v>1.05</x:v>
      </x:c>
      <x:c r="G506" t="n">
        <x:f>IF(INDEX(Model_TestVersion_Stats!$R:$R,C506)="","",INDEX(Model_TestVersion_Stats!$R:$R,C506)/60)</x:f>
        <x:v>5.351333333333334</x:v>
      </x:c>
      <x:c r="H506" t="n">
        <x:f>IF(E506="","",E506-(D506-1))</x:f>
        <x:v>29</x:v>
      </x:c>
      <x:c r="I506" t="n">
        <x:f>IF(H506&gt;0,1,0)</x:f>
        <x:v>1</x:v>
      </x:c>
      <x:c r="J506" t="n">
        <x:f>IF(OR(I506=0,F506="",F506=0),"",H506/F506)</x:f>
        <x:v>27.619047619047617</x:v>
      </x:c>
      <x:c r="K506" t="n">
        <x:f>IF(OR(I506=0,H506=0,F506=""),"",F506/H506)</x:f>
        <x:v>0.03620689655172414</x:v>
      </x:c>
      <x:c r="L506" t="n">
        <x:f>IF(OR(I506=0,F506="",G506="",F506=0,G506=0),"",H506/(F506*G506))</x:f>
        <x:v>5.161152538753136</x:v>
      </x:c>
      <x:c r="M506" t="n">
        <x:f>IF(J506="","",J506/_xlfn.MAXIFS($J:$J,$D:$D,D506))</x:f>
        <x:v>0.04971428571428571</x:v>
      </x:c>
      <x:c r="N506" t="n">
        <x:f>IF(L506="","",L506/_xlfn.MAXIFS($L:$L,$D:$D,D506))</x:f>
        <x:v>0.0021878125611774542</x:v>
      </x:c>
      <x:c r="O506" t="n">
        <x:f>IF(OR(M506="",N506=""),"",SQRT(M506*N506))</x:f>
        <x:v>0.010429071807005605</x:v>
      </x:c>
      <x:c r="P506" t="n">
        <x:f>IF(OR(M506="",N506=""),"",M506^0.7*N506^0.3)</x:f>
        <x:v>0.019477798836346562</x:v>
      </x:c>
      <x:c r="Q506" t="n">
        <x:f>IF(OR(M506="",N506=""),"",M506^0.3*N506^0.7)</x:f>
        <x:v>0.00558407752690808</x:v>
      </x:c>
    </x:row>
    <x:row r="507">
      <x:c r="A507" t="inlineStr">
        <x:is>
          <x:t xml:space="preserve">openai|gpt-6-sol|max|reasoning|fallback-na</x:t>
        </x:is>
      </x:c>
      <x:c r="B507" t="inlineStr">
        <x:is>
          <x:t xml:space="preserve">AA|v4.3.2</x:t>
        </x:is>
      </x:c>
      <x:c r="C507" t="n">
        <x:v>65</x:v>
      </x:c>
      <x:c r="D507" t="n">
        <x:v>30</x:v>
      </x:c>
      <x:c r="E507" t="n">
        <x:f>INDEX(Model_TestVersion_Stats!$W:$W,C507)</x:f>
        <x:v>48</x:v>
      </x:c>
      <x:c r="F507" t="n">
        <x:f>INDEX(Model_TestVersion_Stats!$O:$O,C507)</x:f>
        <x:v>1.05</x:v>
      </x:c>
      <x:c r="G507" t="n">
        <x:f>IF(INDEX(Model_TestVersion_Stats!$R:$R,C507)="","",INDEX(Model_TestVersion_Stats!$R:$R,C507)/60)</x:f>
        <x:v>5.351333333333334</x:v>
      </x:c>
      <x:c r="H507" t="n">
        <x:f>IF(E507="","",E507-(D507-1))</x:f>
        <x:v>19</x:v>
      </x:c>
      <x:c r="I507" t="n">
        <x:f>IF(H507&gt;0,1,0)</x:f>
        <x:v>1</x:v>
      </x:c>
      <x:c r="J507" t="n">
        <x:f>IF(OR(I507=0,F507="",F507=0),"",H507/F507)</x:f>
        <x:v>18.095238095238095</x:v>
      </x:c>
      <x:c r="K507" t="n">
        <x:f>IF(OR(I507=0,H507=0,F507=""),"",F507/H507)</x:f>
        <x:v>0.05526315789473685</x:v>
      </x:c>
      <x:c r="L507" t="n">
        <x:f>IF(OR(I507=0,F507="",G507="",F507=0,G507=0),"",H507/(F507*G507))</x:f>
        <x:v>3.3814447667692957</x:v>
      </x:c>
      <x:c r="M507" t="n">
        <x:f>IF(J507="","",J507/_xlfn.MAXIFS($J:$J,$D:$D,D507))</x:f>
        <x:v>0.12063492063492064</x:v>
      </x:c>
      <x:c r="N507" t="n">
        <x:f>IF(L507="","",L507/_xlfn.MAXIFS($L:$L,$D:$D,D507))</x:f>
        <x:v>0.06017957251419316</x:v>
      </x:c>
      <x:c r="O507" t="n">
        <x:f>IF(OR(M507="",N507=""),"",SQRT(M507*N507))</x:f>
        <x:v>0.08520421324144213</x:v>
      </x:c>
      <x:c r="P507" t="n">
        <x:f>IF(OR(M507="",N507=""),"",M507^0.7*N507^0.3)</x:f>
        <x:v>0.09791874971363047</x:v>
      </x:c>
      <x:c r="Q507" t="n">
        <x:f>IF(OR(M507="",N507=""),"",M507^0.3*N507^0.7)</x:f>
        <x:v>0.07414063164945184</x:v>
      </x:c>
    </x:row>
    <x:row r="508">
      <x:c r="A508" t="inlineStr">
        <x:is>
          <x:t xml:space="preserve">openai|gpt-6-sol|max|reasoning|fallback-na</x:t>
        </x:is>
      </x:c>
      <x:c r="B508" t="inlineStr">
        <x:is>
          <x:t xml:space="preserve">AA|v4.3.2</x:t>
        </x:is>
      </x:c>
      <x:c r="C508" t="n">
        <x:v>65</x:v>
      </x:c>
      <x:c r="D508" t="n">
        <x:v>40</x:v>
      </x:c>
      <x:c r="E508" t="n">
        <x:f>INDEX(Model_TestVersion_Stats!$W:$W,C508)</x:f>
        <x:v>48</x:v>
      </x:c>
      <x:c r="F508" t="n">
        <x:f>INDEX(Model_TestVersion_Stats!$O:$O,C508)</x:f>
        <x:v>1.05</x:v>
      </x:c>
      <x:c r="G508" t="n">
        <x:f>IF(INDEX(Model_TestVersion_Stats!$R:$R,C508)="","",INDEX(Model_TestVersion_Stats!$R:$R,C508)/60)</x:f>
        <x:v>5.351333333333334</x:v>
      </x:c>
      <x:c r="H508" t="n">
        <x:f>IF(E508="","",E508-(D508-1))</x:f>
        <x:v>9</x:v>
      </x:c>
      <x:c r="I508" t="n">
        <x:f>IF(H508&gt;0,1,0)</x:f>
        <x:v>1</x:v>
      </x:c>
      <x:c r="J508" t="n">
        <x:f>IF(OR(I508=0,F508="",F508=0),"",H508/F508)</x:f>
        <x:v>8.571428571428571</x:v>
      </x:c>
      <x:c r="K508" t="n">
        <x:f>IF(OR(I508=0,H508=0,F508=""),"",F508/H508)</x:f>
        <x:v>0.11666666666666667</x:v>
      </x:c>
      <x:c r="L508" t="n">
        <x:f>IF(OR(I508=0,F508="",G508="",F508=0,G508=0),"",H508/(F508*G508))</x:f>
        <x:v>1.601736994785456</x:v>
      </x:c>
      <x:c r="M508" t="n">
        <x:f>IF(J508="","",J508/_xlfn.MAXIFS($J:$J,$D:$D,D508))</x:f>
        <x:v>0.15918367346938775</x:v>
      </x:c>
      <x:c r="N508" t="n">
        <x:f>IF(L508="","",L508/_xlfn.MAXIFS($L:$L,$D:$D,D508))</x:f>
        <x:v>0.2657807959361643</x:v>
      </x:c>
      <x:c r="O508" t="n">
        <x:f>IF(OR(M508="",N508=""),"",SQRT(M508*N508))</x:f>
        <x:v>0.2056889968732804</x:v>
      </x:c>
      <x:c r="P508" t="n">
        <x:f>IF(OR(M508="",N508=""),"",M508^0.7*N508^0.3)</x:f>
        <x:v>0.18564619192293674</x:v>
      </x:c>
      <x:c r="Q508" t="n">
        <x:f>IF(OR(M508="",N508=""),"",M508^0.3*N508^0.7)</x:f>
        <x:v>0.2278956707730302</x:v>
      </x:c>
    </x:row>
    <x:row r="509">
      <x:c r="A509" t="inlineStr">
        <x:is>
          <x:t xml:space="preserve">openai|gpt-6-sol|max|reasoning|fallback-na</x:t>
        </x:is>
      </x:c>
      <x:c r="B509" t="inlineStr">
        <x:is>
          <x:t xml:space="preserve">AA|v4.3.2</x:t>
        </x:is>
      </x:c>
      <x:c r="C509" t="n">
        <x:v>65</x:v>
      </x:c>
      <x:c r="D509" t="n">
        <x:v>45</x:v>
      </x:c>
      <x:c r="E509" t="n">
        <x:f>INDEX(Model_TestVersion_Stats!$W:$W,C509)</x:f>
        <x:v>48</x:v>
      </x:c>
      <x:c r="F509" t="n">
        <x:f>INDEX(Model_TestVersion_Stats!$O:$O,C509)</x:f>
        <x:v>1.05</x:v>
      </x:c>
      <x:c r="G509" t="n">
        <x:f>IF(INDEX(Model_TestVersion_Stats!$R:$R,C509)="","",INDEX(Model_TestVersion_Stats!$R:$R,C509)/60)</x:f>
        <x:v>5.351333333333334</x:v>
      </x:c>
      <x:c r="H509" t="n">
        <x:f>IF(E509="","",E509-(D509-1))</x:f>
        <x:v>4</x:v>
      </x:c>
      <x:c r="I509" t="n">
        <x:f>IF(H509&gt;0,1,0)</x:f>
        <x:v>1</x:v>
      </x:c>
      <x:c r="J509" t="n">
        <x:f>IF(OR(I509=0,F509="",F509=0),"",H509/F509)</x:f>
        <x:v>3.8095238095238093</x:v>
      </x:c>
      <x:c r="K509" t="n">
        <x:f>IF(OR(I509=0,H509=0,F509=""),"",F509/H509)</x:f>
        <x:v>0.2625</x:v>
      </x:c>
      <x:c r="L509" t="n">
        <x:f>IF(OR(I509=0,F509="",G509="",F509=0,G509=0),"",H509/(F509*G509))</x:f>
        <x:v>0.711883108793536</x:v>
      </x:c>
      <x:c r="M509" t="n">
        <x:f>IF(J509="","",J509/_xlfn.MAXIFS($J:$J,$D:$D,D509))</x:f>
        <x:v>0.19999999999999998</x:v>
      </x:c>
      <x:c r="N509" t="n">
        <x:f>IF(L509="","",L509/_xlfn.MAXIFS($L:$L,$D:$D,D509))</x:f>
        <x:v>0.41343679367847785</x:v>
      </x:c>
      <x:c r="O509" t="n">
        <x:f>IF(OR(M509="",N509=""),"",SQRT(M509*N509))</x:f>
        <x:v>0.2875540970594847</x:v>
      </x:c>
      <x:c r="P509" t="n">
        <x:f>IF(OR(M509="",N509=""),"",M509^0.7*N509^0.3)</x:f>
        <x:v>0.24868164650361502</x:v>
      </x:c>
      <x:c r="Q509" t="n">
        <x:f>IF(OR(M509="",N509=""),"",M509^0.3*N509^0.7)</x:f>
        <x:v>0.33250286017586567</x:v>
      </x:c>
    </x:row>
    <x:row r="510">
      <x:c r="A510" t="inlineStr">
        <x:is>
          <x:t xml:space="preserve">openai|gpt-6-sol|max|reasoning|fallback-na</x:t>
        </x:is>
      </x:c>
      <x:c r="B510" t="inlineStr">
        <x:is>
          <x:t xml:space="preserve">AA|v4.3.2</x:t>
        </x:is>
      </x:c>
      <x:c r="C510" t="n">
        <x:v>65</x:v>
      </x:c>
      <x:c r="D510" t="n">
        <x:v>50</x:v>
      </x:c>
      <x:c r="E510" t="n">
        <x:f>INDEX(Model_TestVersion_Stats!$W:$W,C510)</x:f>
        <x:v>48</x:v>
      </x:c>
      <x:c r="F510" t="n">
        <x:f>INDEX(Model_TestVersion_Stats!$O:$O,C510)</x:f>
        <x:v>1.05</x:v>
      </x:c>
      <x:c r="G510" t="n">
        <x:f>IF(INDEX(Model_TestVersion_Stats!$R:$R,C510)="","",INDEX(Model_TestVersion_Stats!$R:$R,C510)/60)</x:f>
        <x:v>5.351333333333334</x:v>
      </x:c>
      <x:c r="H510" t="n">
        <x:f>IF(E510="","",E510-(D510-1))</x:f>
        <x:v>-1</x:v>
      </x:c>
      <x:c r="I510" t="n">
        <x:f>IF(H510&gt;0,1,0)</x:f>
        <x:v>0</x:v>
      </x:c>
      <x:c r="J510" t="str">
        <x:f>IF(OR(I510=0,F510="",F510=0),"",H510/F510)</x:f>
      </x:c>
      <x:c r="K510" t="str">
        <x:f>IF(OR(I510=0,H510=0,F510=""),"",F510/H510)</x:f>
      </x:c>
      <x:c r="L510" t="str">
        <x:f>IF(OR(I510=0,F510="",G510="",F510=0,G510=0),"",H510/(F510*G510))</x:f>
      </x:c>
      <x:c r="M510" t="str">
        <x:f>IF(J510="","",J510/_xlfn.MAXIFS($J:$J,$D:$D,D510))</x:f>
      </x:c>
      <x:c r="N510" t="str">
        <x:f>IF(L510="","",L510/_xlfn.MAXIFS($L:$L,$D:$D,D510))</x:f>
      </x:c>
      <x:c r="O510" t="str">
        <x:f>IF(OR(M510="",N510=""),"",SQRT(M510*N510))</x:f>
      </x:c>
      <x:c r="P510" t="str">
        <x:f>IF(OR(M510="",N510=""),"",M510^0.7*N510^0.3)</x:f>
      </x:c>
      <x:c r="Q510" t="str">
        <x:f>IF(OR(M510="",N510=""),"",M510^0.3*N510^0.7)</x:f>
      </x:c>
    </x:row>
    <x:row r="511">
      <x:c r="A511" t="inlineStr">
        <x:is>
          <x:t xml:space="preserve">openai|gpt-6-sol|max|reasoning|fallback-na</x:t>
        </x:is>
      </x:c>
      <x:c r="B511" t="inlineStr">
        <x:is>
          <x:t xml:space="preserve">AA|v4.3.2</x:t>
        </x:is>
      </x:c>
      <x:c r="C511" t="n">
        <x:v>65</x:v>
      </x:c>
      <x:c r="D511" t="n">
        <x:v>52</x:v>
      </x:c>
      <x:c r="E511" t="n">
        <x:f>INDEX(Model_TestVersion_Stats!$W:$W,C511)</x:f>
        <x:v>48</x:v>
      </x:c>
      <x:c r="F511" t="n">
        <x:f>INDEX(Model_TestVersion_Stats!$O:$O,C511)</x:f>
        <x:v>1.05</x:v>
      </x:c>
      <x:c r="G511" t="n">
        <x:f>IF(INDEX(Model_TestVersion_Stats!$R:$R,C511)="","",INDEX(Model_TestVersion_Stats!$R:$R,C511)/60)</x:f>
        <x:v>5.351333333333334</x:v>
      </x:c>
      <x:c r="H511" t="n">
        <x:f>IF(E511="","",E511-(D511-1))</x:f>
        <x:v>-3</x:v>
      </x:c>
      <x:c r="I511" t="n">
        <x:f>IF(H511&gt;0,1,0)</x:f>
        <x:v>0</x:v>
      </x:c>
      <x:c r="J511" t="str">
        <x:f>IF(OR(I511=0,F511="",F511=0),"",H511/F511)</x:f>
      </x:c>
      <x:c r="K511" t="str">
        <x:f>IF(OR(I511=0,H511=0,F511=""),"",F511/H511)</x:f>
      </x:c>
      <x:c r="L511" t="str">
        <x:f>IF(OR(I511=0,F511="",G511="",F511=0,G511=0),"",H511/(F511*G511))</x:f>
      </x:c>
      <x:c r="M511" t="str">
        <x:f>IF(J511="","",J511/_xlfn.MAXIFS($J:$J,$D:$D,D511))</x:f>
      </x:c>
      <x:c r="N511" t="str">
        <x:f>IF(L511="","",L511/_xlfn.MAXIFS($L:$L,$D:$D,D511))</x:f>
      </x:c>
      <x:c r="O511" t="str">
        <x:f>IF(OR(M511="",N511=""),"",SQRT(M511*N511))</x:f>
      </x:c>
      <x:c r="P511" t="str">
        <x:f>IF(OR(M511="",N511=""),"",M511^0.7*N511^0.3)</x:f>
      </x:c>
      <x:c r="Q511" t="str">
        <x:f>IF(OR(M511="",N511=""),"",M511^0.3*N511^0.7)</x:f>
      </x:c>
    </x:row>
    <x:row r="512">
      <x:c r="A512" t="inlineStr">
        <x:is>
          <x:t xml:space="preserve">openai|gpt-6-sol|max|reasoning|fallback-na</x:t>
        </x:is>
      </x:c>
      <x:c r="B512" t="inlineStr">
        <x:is>
          <x:t xml:space="preserve">AA|v4.3.2</x:t>
        </x:is>
      </x:c>
      <x:c r="C512" t="n">
        <x:v>65</x:v>
      </x:c>
      <x:c r="D512" t="n">
        <x:v>65</x:v>
      </x:c>
      <x:c r="E512" t="n">
        <x:f>INDEX(Model_TestVersion_Stats!$W:$W,C512)</x:f>
        <x:v>48</x:v>
      </x:c>
      <x:c r="F512" t="n">
        <x:f>INDEX(Model_TestVersion_Stats!$O:$O,C512)</x:f>
        <x:v>1.05</x:v>
      </x:c>
      <x:c r="G512" t="n">
        <x:f>IF(INDEX(Model_TestVersion_Stats!$R:$R,C512)="","",INDEX(Model_TestVersion_Stats!$R:$R,C512)/60)</x:f>
        <x:v>5.351333333333334</x:v>
      </x:c>
      <x:c r="H512" t="n">
        <x:f>IF(E512="","",E512-(D512-1))</x:f>
        <x:v>-16</x:v>
      </x:c>
      <x:c r="I512" t="n">
        <x:f>IF(H512&gt;0,1,0)</x:f>
        <x:v>0</x:v>
      </x:c>
      <x:c r="J512" t="str">
        <x:f>IF(OR(I512=0,F512="",F512=0),"",H512/F512)</x:f>
      </x:c>
      <x:c r="K512" t="str">
        <x:f>IF(OR(I512=0,H512=0,F512=""),"",F512/H512)</x:f>
      </x:c>
      <x:c r="L512" t="str">
        <x:f>IF(OR(I512=0,F512="",G512="",F512=0,G512=0),"",H512/(F512*G512))</x:f>
      </x:c>
      <x:c r="M512" t="str">
        <x:f>IF(J512="","",J512/_xlfn.MAXIFS($J:$J,$D:$D,D512))</x:f>
      </x:c>
      <x:c r="N512" t="str">
        <x:f>IF(L512="","",L512/_xlfn.MAXIFS($L:$L,$D:$D,D512))</x:f>
      </x:c>
      <x:c r="O512" t="str">
        <x:f>IF(OR(M512="",N512=""),"",SQRT(M512*N512))</x:f>
      </x:c>
      <x:c r="P512" t="str">
        <x:f>IF(OR(M512="",N512=""),"",M512^0.7*N512^0.3)</x:f>
      </x:c>
      <x:c r="Q512" t="str">
        <x:f>IF(OR(M512="",N512=""),"",M512^0.3*N512^0.7)</x:f>
      </x:c>
    </x:row>
    <x:row r="513">
      <x:c r="A513" t="inlineStr">
        <x:is>
          <x:t xml:space="preserve">openai|gpt-6-sol|max|reasoning|fallback-na</x:t>
        </x:is>
      </x:c>
      <x:c r="B513" t="inlineStr">
        <x:is>
          <x:t xml:space="preserve">AA|v4.3.2</x:t>
        </x:is>
      </x:c>
      <x:c r="C513" t="n">
        <x:v>65</x:v>
      </x:c>
      <x:c r="D513" t="n">
        <x:v>80</x:v>
      </x:c>
      <x:c r="E513" t="n">
        <x:f>INDEX(Model_TestVersion_Stats!$W:$W,C513)</x:f>
        <x:v>48</x:v>
      </x:c>
      <x:c r="F513" t="n">
        <x:f>INDEX(Model_TestVersion_Stats!$O:$O,C513)</x:f>
        <x:v>1.05</x:v>
      </x:c>
      <x:c r="G513" t="n">
        <x:f>IF(INDEX(Model_TestVersion_Stats!$R:$R,C513)="","",INDEX(Model_TestVersion_Stats!$R:$R,C513)/60)</x:f>
        <x:v>5.351333333333334</x:v>
      </x:c>
      <x:c r="H513" t="n">
        <x:f>IF(E513="","",E513-(D513-1))</x:f>
        <x:v>-31</x:v>
      </x:c>
      <x:c r="I513" t="n">
        <x:f>IF(H513&gt;0,1,0)</x:f>
        <x:v>0</x:v>
      </x:c>
      <x:c r="J513" t="str">
        <x:f>IF(OR(I513=0,F513="",F513=0),"",H513/F513)</x:f>
      </x:c>
      <x:c r="K513" t="str">
        <x:f>IF(OR(I513=0,H513=0,F513=""),"",F513/H513)</x:f>
      </x:c>
      <x:c r="L513" t="str">
        <x:f>IF(OR(I513=0,F513="",G513="",F513=0,G513=0),"",H513/(F513*G513))</x:f>
      </x:c>
      <x:c r="M513" t="str">
        <x:f>IF(J513="","",J513/_xlfn.MAXIFS($J:$J,$D:$D,D513))</x:f>
      </x:c>
      <x:c r="N513" t="str">
        <x:f>IF(L513="","",L513/_xlfn.MAXIFS($L:$L,$D:$D,D513))</x:f>
      </x:c>
      <x:c r="O513" t="str">
        <x:f>IF(OR(M513="",N513=""),"",SQRT(M513*N513))</x:f>
      </x:c>
      <x:c r="P513" t="str">
        <x:f>IF(OR(M513="",N513=""),"",M513^0.7*N513^0.3)</x:f>
      </x:c>
      <x:c r="Q513" t="str">
        <x:f>IF(OR(M513="",N513=""),"",M513^0.3*N513^0.7)</x:f>
      </x:c>
    </x:row>
    <x:row r="514">
      <x:c r="A514" t="inlineStr">
        <x:is>
          <x:t xml:space="preserve">openai|gpt-6-sol|medium|reasoning|fallback-na</x:t>
        </x:is>
      </x:c>
      <x:c r="B514" t="inlineStr">
        <x:is>
          <x:t xml:space="preserve">AA|v4.3.2</x:t>
        </x:is>
      </x:c>
      <x:c r="C514" t="n">
        <x:v>66</x:v>
      </x:c>
      <x:c r="D514" t="n">
        <x:v>20</x:v>
      </x:c>
      <x:c r="E514" t="n">
        <x:f>INDEX(Model_TestVersion_Stats!$W:$W,C514)</x:f>
        <x:v>40</x:v>
      </x:c>
      <x:c r="F514" t="n">
        <x:f>INDEX(Model_TestVersion_Stats!$O:$O,C514)</x:f>
        <x:v>0.25</x:v>
      </x:c>
      <x:c r="G514" t="str">
        <x:f>IF(INDEX(Model_TestVersion_Stats!$R:$R,C514)="","",INDEX(Model_TestVersion_Stats!$R:$R,C514)/60)</x:f>
      </x:c>
      <x:c r="H514" t="n">
        <x:f>IF(E514="","",E514-(D514-1))</x:f>
        <x:v>21</x:v>
      </x:c>
      <x:c r="I514" t="n">
        <x:f>IF(H514&gt;0,1,0)</x:f>
        <x:v>1</x:v>
      </x:c>
      <x:c r="J514" t="n">
        <x:f>IF(OR(I514=0,F514="",F514=0),"",H514/F514)</x:f>
        <x:v>84</x:v>
      </x:c>
      <x:c r="K514" t="n">
        <x:f>IF(OR(I514=0,H514=0,F514=""),"",F514/H514)</x:f>
        <x:v>0.011904761904761904</x:v>
      </x:c>
      <x:c r="L514" t="str">
        <x:f>IF(OR(I514=0,F514="",G514="",F514=0,G514=0),"",H514/(F514*G514))</x:f>
      </x:c>
      <x:c r="M514" t="n">
        <x:f>IF(J514="","",J514/_xlfn.MAXIFS($J:$J,$D:$D,D514))</x:f>
        <x:v>0.1512</x:v>
      </x:c>
      <x:c r="N514" t="str">
        <x:f>IF(L514="","",L514/_xlfn.MAXIFS($L:$L,$D:$D,D514))</x:f>
      </x:c>
      <x:c r="O514" t="str">
        <x:f>IF(OR(M514="",N514=""),"",SQRT(M514*N514))</x:f>
      </x:c>
      <x:c r="P514" t="str">
        <x:f>IF(OR(M514="",N514=""),"",M514^0.7*N514^0.3)</x:f>
      </x:c>
      <x:c r="Q514" t="str">
        <x:f>IF(OR(M514="",N514=""),"",M514^0.3*N514^0.7)</x:f>
      </x:c>
    </x:row>
    <x:row r="515">
      <x:c r="A515" t="inlineStr">
        <x:is>
          <x:t xml:space="preserve">openai|gpt-6-sol|medium|reasoning|fallback-na</x:t>
        </x:is>
      </x:c>
      <x:c r="B515" t="inlineStr">
        <x:is>
          <x:t xml:space="preserve">AA|v4.3.2</x:t>
        </x:is>
      </x:c>
      <x:c r="C515" t="n">
        <x:v>66</x:v>
      </x:c>
      <x:c r="D515" t="n">
        <x:v>30</x:v>
      </x:c>
      <x:c r="E515" t="n">
        <x:f>INDEX(Model_TestVersion_Stats!$W:$W,C515)</x:f>
        <x:v>40</x:v>
      </x:c>
      <x:c r="F515" t="n">
        <x:f>INDEX(Model_TestVersion_Stats!$O:$O,C515)</x:f>
        <x:v>0.25</x:v>
      </x:c>
      <x:c r="G515" t="str">
        <x:f>IF(INDEX(Model_TestVersion_Stats!$R:$R,C515)="","",INDEX(Model_TestVersion_Stats!$R:$R,C515)/60)</x:f>
      </x:c>
      <x:c r="H515" t="n">
        <x:f>IF(E515="","",E515-(D515-1))</x:f>
        <x:v>11</x:v>
      </x:c>
      <x:c r="I515" t="n">
        <x:f>IF(H515&gt;0,1,0)</x:f>
        <x:v>1</x:v>
      </x:c>
      <x:c r="J515" t="n">
        <x:f>IF(OR(I515=0,F515="",F515=0),"",H515/F515)</x:f>
        <x:v>44</x:v>
      </x:c>
      <x:c r="K515" t="n">
        <x:f>IF(OR(I515=0,H515=0,F515=""),"",F515/H515)</x:f>
        <x:v>0.022727272727272728</x:v>
      </x:c>
      <x:c r="L515" t="str">
        <x:f>IF(OR(I515=0,F515="",G515="",F515=0,G515=0),"",H515/(F515*G515))</x:f>
      </x:c>
      <x:c r="M515" t="n">
        <x:f>IF(J515="","",J515/_xlfn.MAXIFS($J:$J,$D:$D,D515))</x:f>
        <x:v>0.29333333333333333</x:v>
      </x:c>
      <x:c r="N515" t="str">
        <x:f>IF(L515="","",L515/_xlfn.MAXIFS($L:$L,$D:$D,D515))</x:f>
      </x:c>
      <x:c r="O515" t="str">
        <x:f>IF(OR(M515="",N515=""),"",SQRT(M515*N515))</x:f>
      </x:c>
      <x:c r="P515" t="str">
        <x:f>IF(OR(M515="",N515=""),"",M515^0.7*N515^0.3)</x:f>
      </x:c>
      <x:c r="Q515" t="str">
        <x:f>IF(OR(M515="",N515=""),"",M515^0.3*N515^0.7)</x:f>
      </x:c>
    </x:row>
    <x:row r="516">
      <x:c r="A516" t="inlineStr">
        <x:is>
          <x:t xml:space="preserve">openai|gpt-6-sol|medium|reasoning|fallback-na</x:t>
        </x:is>
      </x:c>
      <x:c r="B516" t="inlineStr">
        <x:is>
          <x:t xml:space="preserve">AA|v4.3.2</x:t>
        </x:is>
      </x:c>
      <x:c r="C516" t="n">
        <x:v>66</x:v>
      </x:c>
      <x:c r="D516" t="n">
        <x:v>40</x:v>
      </x:c>
      <x:c r="E516" t="n">
        <x:f>INDEX(Model_TestVersion_Stats!$W:$W,C516)</x:f>
        <x:v>40</x:v>
      </x:c>
      <x:c r="F516" t="n">
        <x:f>INDEX(Model_TestVersion_Stats!$O:$O,C516)</x:f>
        <x:v>0.25</x:v>
      </x:c>
      <x:c r="G516" t="str">
        <x:f>IF(INDEX(Model_TestVersion_Stats!$R:$R,C516)="","",INDEX(Model_TestVersion_Stats!$R:$R,C516)/60)</x:f>
      </x:c>
      <x:c r="H516" t="n">
        <x:f>IF(E516="","",E516-(D516-1))</x:f>
        <x:v>1</x:v>
      </x:c>
      <x:c r="I516" t="n">
        <x:f>IF(H516&gt;0,1,0)</x:f>
        <x:v>1</x:v>
      </x:c>
      <x:c r="J516" t="n">
        <x:f>IF(OR(I516=0,F516="",F516=0),"",H516/F516)</x:f>
        <x:v>4</x:v>
      </x:c>
      <x:c r="K516" t="n">
        <x:f>IF(OR(I516=0,H516=0,F516=""),"",F516/H516)</x:f>
        <x:v>0.25</x:v>
      </x:c>
      <x:c r="L516" t="str">
        <x:f>IF(OR(I516=0,F516="",G516="",F516=0,G516=0),"",H516/(F516*G516))</x:f>
      </x:c>
      <x:c r="M516" t="n">
        <x:f>IF(J516="","",J516/_xlfn.MAXIFS($J:$J,$D:$D,D516))</x:f>
        <x:v>0.07428571428571429</x:v>
      </x:c>
      <x:c r="N516" t="str">
        <x:f>IF(L516="","",L516/_xlfn.MAXIFS($L:$L,$D:$D,D516))</x:f>
      </x:c>
      <x:c r="O516" t="str">
        <x:f>IF(OR(M516="",N516=""),"",SQRT(M516*N516))</x:f>
      </x:c>
      <x:c r="P516" t="str">
        <x:f>IF(OR(M516="",N516=""),"",M516^0.7*N516^0.3)</x:f>
      </x:c>
      <x:c r="Q516" t="str">
        <x:f>IF(OR(M516="",N516=""),"",M516^0.3*N516^0.7)</x:f>
      </x:c>
    </x:row>
    <x:row r="517">
      <x:c r="A517" t="inlineStr">
        <x:is>
          <x:t xml:space="preserve">openai|gpt-6-sol|medium|reasoning|fallback-na</x:t>
        </x:is>
      </x:c>
      <x:c r="B517" t="inlineStr">
        <x:is>
          <x:t xml:space="preserve">AA|v4.3.2</x:t>
        </x:is>
      </x:c>
      <x:c r="C517" t="n">
        <x:v>66</x:v>
      </x:c>
      <x:c r="D517" t="n">
        <x:v>45</x:v>
      </x:c>
      <x:c r="E517" t="n">
        <x:f>INDEX(Model_TestVersion_Stats!$W:$W,C517)</x:f>
        <x:v>40</x:v>
      </x:c>
      <x:c r="F517" t="n">
        <x:f>INDEX(Model_TestVersion_Stats!$O:$O,C517)</x:f>
        <x:v>0.25</x:v>
      </x:c>
      <x:c r="G517" t="str">
        <x:f>IF(INDEX(Model_TestVersion_Stats!$R:$R,C517)="","",INDEX(Model_TestVersion_Stats!$R:$R,C517)/60)</x:f>
      </x:c>
      <x:c r="H517" t="n">
        <x:f>IF(E517="","",E517-(D517-1))</x:f>
        <x:v>-4</x:v>
      </x:c>
      <x:c r="I517" t="n">
        <x:f>IF(H517&gt;0,1,0)</x:f>
        <x:v>0</x:v>
      </x:c>
      <x:c r="J517" t="str">
        <x:f>IF(OR(I517=0,F517="",F517=0),"",H517/F517)</x:f>
      </x:c>
      <x:c r="K517" t="str">
        <x:f>IF(OR(I517=0,H517=0,F517=""),"",F517/H517)</x:f>
      </x:c>
      <x:c r="L517" t="str">
        <x:f>IF(OR(I517=0,F517="",G517="",F517=0,G517=0),"",H517/(F517*G517))</x:f>
      </x:c>
      <x:c r="M517" t="str">
        <x:f>IF(J517="","",J517/_xlfn.MAXIFS($J:$J,$D:$D,D517))</x:f>
      </x:c>
      <x:c r="N517" t="str">
        <x:f>IF(L517="","",L517/_xlfn.MAXIFS($L:$L,$D:$D,D517))</x:f>
      </x:c>
      <x:c r="O517" t="str">
        <x:f>IF(OR(M517="",N517=""),"",SQRT(M517*N517))</x:f>
      </x:c>
      <x:c r="P517" t="str">
        <x:f>IF(OR(M517="",N517=""),"",M517^0.7*N517^0.3)</x:f>
      </x:c>
      <x:c r="Q517" t="str">
        <x:f>IF(OR(M517="",N517=""),"",M517^0.3*N517^0.7)</x:f>
      </x:c>
    </x:row>
    <x:row r="518">
      <x:c r="A518" t="inlineStr">
        <x:is>
          <x:t xml:space="preserve">openai|gpt-6-sol|medium|reasoning|fallback-na</x:t>
        </x:is>
      </x:c>
      <x:c r="B518" t="inlineStr">
        <x:is>
          <x:t xml:space="preserve">AA|v4.3.2</x:t>
        </x:is>
      </x:c>
      <x:c r="C518" t="n">
        <x:v>66</x:v>
      </x:c>
      <x:c r="D518" t="n">
        <x:v>50</x:v>
      </x:c>
      <x:c r="E518" t="n">
        <x:f>INDEX(Model_TestVersion_Stats!$W:$W,C518)</x:f>
        <x:v>40</x:v>
      </x:c>
      <x:c r="F518" t="n">
        <x:f>INDEX(Model_TestVersion_Stats!$O:$O,C518)</x:f>
        <x:v>0.25</x:v>
      </x:c>
      <x:c r="G518" t="str">
        <x:f>IF(INDEX(Model_TestVersion_Stats!$R:$R,C518)="","",INDEX(Model_TestVersion_Stats!$R:$R,C518)/60)</x:f>
      </x:c>
      <x:c r="H518" t="n">
        <x:f>IF(E518="","",E518-(D518-1))</x:f>
        <x:v>-9</x:v>
      </x:c>
      <x:c r="I518" t="n">
        <x:f>IF(H518&gt;0,1,0)</x:f>
        <x:v>0</x:v>
      </x:c>
      <x:c r="J518" t="str">
        <x:f>IF(OR(I518=0,F518="",F518=0),"",H518/F518)</x:f>
      </x:c>
      <x:c r="K518" t="str">
        <x:f>IF(OR(I518=0,H518=0,F518=""),"",F518/H518)</x:f>
      </x:c>
      <x:c r="L518" t="str">
        <x:f>IF(OR(I518=0,F518="",G518="",F518=0,G518=0),"",H518/(F518*G518))</x:f>
      </x:c>
      <x:c r="M518" t="str">
        <x:f>IF(J518="","",J518/_xlfn.MAXIFS($J:$J,$D:$D,D518))</x:f>
      </x:c>
      <x:c r="N518" t="str">
        <x:f>IF(L518="","",L518/_xlfn.MAXIFS($L:$L,$D:$D,D518))</x:f>
      </x:c>
      <x:c r="O518" t="str">
        <x:f>IF(OR(M518="",N518=""),"",SQRT(M518*N518))</x:f>
      </x:c>
      <x:c r="P518" t="str">
        <x:f>IF(OR(M518="",N518=""),"",M518^0.7*N518^0.3)</x:f>
      </x:c>
      <x:c r="Q518" t="str">
        <x:f>IF(OR(M518="",N518=""),"",M518^0.3*N518^0.7)</x:f>
      </x:c>
    </x:row>
    <x:row r="519">
      <x:c r="A519" t="inlineStr">
        <x:is>
          <x:t xml:space="preserve">openai|gpt-6-sol|medium|reasoning|fallback-na</x:t>
        </x:is>
      </x:c>
      <x:c r="B519" t="inlineStr">
        <x:is>
          <x:t xml:space="preserve">AA|v4.3.2</x:t>
        </x:is>
      </x:c>
      <x:c r="C519" t="n">
        <x:v>66</x:v>
      </x:c>
      <x:c r="D519" t="n">
        <x:v>52</x:v>
      </x:c>
      <x:c r="E519" t="n">
        <x:f>INDEX(Model_TestVersion_Stats!$W:$W,C519)</x:f>
        <x:v>40</x:v>
      </x:c>
      <x:c r="F519" t="n">
        <x:f>INDEX(Model_TestVersion_Stats!$O:$O,C519)</x:f>
        <x:v>0.25</x:v>
      </x:c>
      <x:c r="G519" t="str">
        <x:f>IF(INDEX(Model_TestVersion_Stats!$R:$R,C519)="","",INDEX(Model_TestVersion_Stats!$R:$R,C519)/60)</x:f>
      </x:c>
      <x:c r="H519" t="n">
        <x:f>IF(E519="","",E519-(D519-1))</x:f>
        <x:v>-11</x:v>
      </x:c>
      <x:c r="I519" t="n">
        <x:f>IF(H519&gt;0,1,0)</x:f>
        <x:v>0</x:v>
      </x:c>
      <x:c r="J519" t="str">
        <x:f>IF(OR(I519=0,F519="",F519=0),"",H519/F519)</x:f>
      </x:c>
      <x:c r="K519" t="str">
        <x:f>IF(OR(I519=0,H519=0,F519=""),"",F519/H519)</x:f>
      </x:c>
      <x:c r="L519" t="str">
        <x:f>IF(OR(I519=0,F519="",G519="",F519=0,G519=0),"",H519/(F519*G519))</x:f>
      </x:c>
      <x:c r="M519" t="str">
        <x:f>IF(J519="","",J519/_xlfn.MAXIFS($J:$J,$D:$D,D519))</x:f>
      </x:c>
      <x:c r="N519" t="str">
        <x:f>IF(L519="","",L519/_xlfn.MAXIFS($L:$L,$D:$D,D519))</x:f>
      </x:c>
      <x:c r="O519" t="str">
        <x:f>IF(OR(M519="",N519=""),"",SQRT(M519*N519))</x:f>
      </x:c>
      <x:c r="P519" t="str">
        <x:f>IF(OR(M519="",N519=""),"",M519^0.7*N519^0.3)</x:f>
      </x:c>
      <x:c r="Q519" t="str">
        <x:f>IF(OR(M519="",N519=""),"",M519^0.3*N519^0.7)</x:f>
      </x:c>
    </x:row>
    <x:row r="520">
      <x:c r="A520" t="inlineStr">
        <x:is>
          <x:t xml:space="preserve">openai|gpt-6-sol|medium|reasoning|fallback-na</x:t>
        </x:is>
      </x:c>
      <x:c r="B520" t="inlineStr">
        <x:is>
          <x:t xml:space="preserve">AA|v4.3.2</x:t>
        </x:is>
      </x:c>
      <x:c r="C520" t="n">
        <x:v>66</x:v>
      </x:c>
      <x:c r="D520" t="n">
        <x:v>65</x:v>
      </x:c>
      <x:c r="E520" t="n">
        <x:f>INDEX(Model_TestVersion_Stats!$W:$W,C520)</x:f>
        <x:v>40</x:v>
      </x:c>
      <x:c r="F520" t="n">
        <x:f>INDEX(Model_TestVersion_Stats!$O:$O,C520)</x:f>
        <x:v>0.25</x:v>
      </x:c>
      <x:c r="G520" t="str">
        <x:f>IF(INDEX(Model_TestVersion_Stats!$R:$R,C520)="","",INDEX(Model_TestVersion_Stats!$R:$R,C520)/60)</x:f>
      </x:c>
      <x:c r="H520" t="n">
        <x:f>IF(E520="","",E520-(D520-1))</x:f>
        <x:v>-24</x:v>
      </x:c>
      <x:c r="I520" t="n">
        <x:f>IF(H520&gt;0,1,0)</x:f>
        <x:v>0</x:v>
      </x:c>
      <x:c r="J520" t="str">
        <x:f>IF(OR(I520=0,F520="",F520=0),"",H520/F520)</x:f>
      </x:c>
      <x:c r="K520" t="str">
        <x:f>IF(OR(I520=0,H520=0,F520=""),"",F520/H520)</x:f>
      </x:c>
      <x:c r="L520" t="str">
        <x:f>IF(OR(I520=0,F520="",G520="",F520=0,G520=0),"",H520/(F520*G520))</x:f>
      </x:c>
      <x:c r="M520" t="str">
        <x:f>IF(J520="","",J520/_xlfn.MAXIFS($J:$J,$D:$D,D520))</x:f>
      </x:c>
      <x:c r="N520" t="str">
        <x:f>IF(L520="","",L520/_xlfn.MAXIFS($L:$L,$D:$D,D520))</x:f>
      </x:c>
      <x:c r="O520" t="str">
        <x:f>IF(OR(M520="",N520=""),"",SQRT(M520*N520))</x:f>
      </x:c>
      <x:c r="P520" t="str">
        <x:f>IF(OR(M520="",N520=""),"",M520^0.7*N520^0.3)</x:f>
      </x:c>
      <x:c r="Q520" t="str">
        <x:f>IF(OR(M520="",N520=""),"",M520^0.3*N520^0.7)</x:f>
      </x:c>
    </x:row>
    <x:row r="521">
      <x:c r="A521" t="inlineStr">
        <x:is>
          <x:t xml:space="preserve">openai|gpt-6-sol|medium|reasoning|fallback-na</x:t>
        </x:is>
      </x:c>
      <x:c r="B521" t="inlineStr">
        <x:is>
          <x:t xml:space="preserve">AA|v4.3.2</x:t>
        </x:is>
      </x:c>
      <x:c r="C521" t="n">
        <x:v>66</x:v>
      </x:c>
      <x:c r="D521" t="n">
        <x:v>80</x:v>
      </x:c>
      <x:c r="E521" t="n">
        <x:f>INDEX(Model_TestVersion_Stats!$W:$W,C521)</x:f>
        <x:v>40</x:v>
      </x:c>
      <x:c r="F521" t="n">
        <x:f>INDEX(Model_TestVersion_Stats!$O:$O,C521)</x:f>
        <x:v>0.25</x:v>
      </x:c>
      <x:c r="G521" t="str">
        <x:f>IF(INDEX(Model_TestVersion_Stats!$R:$R,C521)="","",INDEX(Model_TestVersion_Stats!$R:$R,C521)/60)</x:f>
      </x:c>
      <x:c r="H521" t="n">
        <x:f>IF(E521="","",E521-(D521-1))</x:f>
        <x:v>-39</x:v>
      </x:c>
      <x:c r="I521" t="n">
        <x:f>IF(H521&gt;0,1,0)</x:f>
        <x:v>0</x:v>
      </x:c>
      <x:c r="J521" t="str">
        <x:f>IF(OR(I521=0,F521="",F521=0),"",H521/F521)</x:f>
      </x:c>
      <x:c r="K521" t="str">
        <x:f>IF(OR(I521=0,H521=0,F521=""),"",F521/H521)</x:f>
      </x:c>
      <x:c r="L521" t="str">
        <x:f>IF(OR(I521=0,F521="",G521="",F521=0,G521=0),"",H521/(F521*G521))</x:f>
      </x:c>
      <x:c r="M521" t="str">
        <x:f>IF(J521="","",J521/_xlfn.MAXIFS($J:$J,$D:$D,D521))</x:f>
      </x:c>
      <x:c r="N521" t="str">
        <x:f>IF(L521="","",L521/_xlfn.MAXIFS($L:$L,$D:$D,D521))</x:f>
      </x:c>
      <x:c r="O521" t="str">
        <x:f>IF(OR(M521="",N521=""),"",SQRT(M521*N521))</x:f>
      </x:c>
      <x:c r="P521" t="str">
        <x:f>IF(OR(M521="",N521=""),"",M521^0.7*N521^0.3)</x:f>
      </x:c>
      <x:c r="Q521" t="str">
        <x:f>IF(OR(M521="",N521=""),"",M521^0.3*N521^0.7)</x:f>
      </x:c>
    </x:row>
    <x:row r="522">
      <x:c r="A522" t="inlineStr">
        <x:is>
          <x:t xml:space="preserve">openai|gpt-6-sol|non-reasoning|nonreasoning|fallback-na</x:t>
        </x:is>
      </x:c>
      <x:c r="B522" t="inlineStr">
        <x:is>
          <x:t xml:space="preserve">AA|v4.3.2</x:t>
        </x:is>
      </x:c>
      <x:c r="C522" t="n">
        <x:v>67</x:v>
      </x:c>
      <x:c r="D522" t="n">
        <x:v>20</x:v>
      </x:c>
      <x:c r="E522" t="n">
        <x:f>INDEX(Model_TestVersion_Stats!$W:$W,C522)</x:f>
        <x:v>28</x:v>
      </x:c>
      <x:c r="F522" t="n">
        <x:f>INDEX(Model_TestVersion_Stats!$O:$O,C522)</x:f>
        <x:v>0.33</x:v>
      </x:c>
      <x:c r="G522" t="n">
        <x:f>IF(INDEX(Model_TestVersion_Stats!$R:$R,C522)="","",INDEX(Model_TestVersion_Stats!$R:$R,C522)/60)</x:f>
        <x:v>1.0315</x:v>
      </x:c>
      <x:c r="H522" t="n">
        <x:f>IF(E522="","",E522-(D522-1))</x:f>
        <x:v>9</x:v>
      </x:c>
      <x:c r="I522" t="n">
        <x:f>IF(H522&gt;0,1,0)</x:f>
        <x:v>1</x:v>
      </x:c>
      <x:c r="J522" t="n">
        <x:f>IF(OR(I522=0,F522="",F522=0),"",H522/F522)</x:f>
        <x:v>27.27272727272727</x:v>
      </x:c>
      <x:c r="K522" t="n">
        <x:f>IF(OR(I522=0,H522=0,F522=""),"",F522/H522)</x:f>
        <x:v>0.03666666666666667</x:v>
      </x:c>
      <x:c r="L522" t="n">
        <x:f>IF(OR(I522=0,F522="",G522="",F522=0,G522=0),"",H522/(F522*G522))</x:f>
        <x:v>26.439871325959544</x:v>
      </x:c>
      <x:c r="M522" t="n">
        <x:f>IF(J522="","",J522/_xlfn.MAXIFS($J:$J,$D:$D,D522))</x:f>
        <x:v>0.04909090909090909</x:v>
      </x:c>
      <x:c r="N522" t="n">
        <x:f>IF(L522="","",L522/_xlfn.MAXIFS($L:$L,$D:$D,D522))</x:f>
        <x:v>0.01120786145507425</x:v>
      </x:c>
      <x:c r="O522" t="n">
        <x:f>IF(OR(M522="",N522=""),"",SQRT(M522*N522))</x:f>
        <x:v>0.023456429988268763</x:v>
      </x:c>
      <x:c r="P522" t="n">
        <x:f>IF(OR(M522="",N522=""),"",M522^0.7*N522^0.3)</x:f>
        <x:v>0.03151792214570737</x:v>
      </x:c>
      <x:c r="Q522" t="n">
        <x:f>IF(OR(M522="",N522=""),"",M522^0.3*N522^0.7)</x:f>
        <x:v>0.017456864867263788</x:v>
      </x:c>
    </x:row>
    <x:row r="523">
      <x:c r="A523" t="inlineStr">
        <x:is>
          <x:t xml:space="preserve">openai|gpt-6-sol|non-reasoning|nonreasoning|fallback-na</x:t>
        </x:is>
      </x:c>
      <x:c r="B523" t="inlineStr">
        <x:is>
          <x:t xml:space="preserve">AA|v4.3.2</x:t>
        </x:is>
      </x:c>
      <x:c r="C523" t="n">
        <x:v>67</x:v>
      </x:c>
      <x:c r="D523" t="n">
        <x:v>30</x:v>
      </x:c>
      <x:c r="E523" t="n">
        <x:f>INDEX(Model_TestVersion_Stats!$W:$W,C523)</x:f>
        <x:v>28</x:v>
      </x:c>
      <x:c r="F523" t="n">
        <x:f>INDEX(Model_TestVersion_Stats!$O:$O,C523)</x:f>
        <x:v>0.33</x:v>
      </x:c>
      <x:c r="G523" t="n">
        <x:f>IF(INDEX(Model_TestVersion_Stats!$R:$R,C523)="","",INDEX(Model_TestVersion_Stats!$R:$R,C523)/60)</x:f>
        <x:v>1.0315</x:v>
      </x:c>
      <x:c r="H523" t="n">
        <x:f>IF(E523="","",E523-(D523-1))</x:f>
        <x:v>-1</x:v>
      </x:c>
      <x:c r="I523" t="n">
        <x:f>IF(H523&gt;0,1,0)</x:f>
        <x:v>0</x:v>
      </x:c>
      <x:c r="J523" t="str">
        <x:f>IF(OR(I523=0,F523="",F523=0),"",H523/F523)</x:f>
      </x:c>
      <x:c r="K523" t="str">
        <x:f>IF(OR(I523=0,H523=0,F523=""),"",F523/H523)</x:f>
      </x:c>
      <x:c r="L523" t="str">
        <x:f>IF(OR(I523=0,F523="",G523="",F523=0,G523=0),"",H523/(F523*G523))</x:f>
      </x:c>
      <x:c r="M523" t="str">
        <x:f>IF(J523="","",J523/_xlfn.MAXIFS($J:$J,$D:$D,D523))</x:f>
      </x:c>
      <x:c r="N523" t="str">
        <x:f>IF(L523="","",L523/_xlfn.MAXIFS($L:$L,$D:$D,D523))</x:f>
      </x:c>
      <x:c r="O523" t="str">
        <x:f>IF(OR(M523="",N523=""),"",SQRT(M523*N523))</x:f>
      </x:c>
      <x:c r="P523" t="str">
        <x:f>IF(OR(M523="",N523=""),"",M523^0.7*N523^0.3)</x:f>
      </x:c>
      <x:c r="Q523" t="str">
        <x:f>IF(OR(M523="",N523=""),"",M523^0.3*N523^0.7)</x:f>
      </x:c>
    </x:row>
    <x:row r="524">
      <x:c r="A524" t="inlineStr">
        <x:is>
          <x:t xml:space="preserve">openai|gpt-6-sol|non-reasoning|nonreasoning|fallback-na</x:t>
        </x:is>
      </x:c>
      <x:c r="B524" t="inlineStr">
        <x:is>
          <x:t xml:space="preserve">AA|v4.3.2</x:t>
        </x:is>
      </x:c>
      <x:c r="C524" t="n">
        <x:v>67</x:v>
      </x:c>
      <x:c r="D524" t="n">
        <x:v>40</x:v>
      </x:c>
      <x:c r="E524" t="n">
        <x:f>INDEX(Model_TestVersion_Stats!$W:$W,C524)</x:f>
        <x:v>28</x:v>
      </x:c>
      <x:c r="F524" t="n">
        <x:f>INDEX(Model_TestVersion_Stats!$O:$O,C524)</x:f>
        <x:v>0.33</x:v>
      </x:c>
      <x:c r="G524" t="n">
        <x:f>IF(INDEX(Model_TestVersion_Stats!$R:$R,C524)="","",INDEX(Model_TestVersion_Stats!$R:$R,C524)/60)</x:f>
        <x:v>1.0315</x:v>
      </x:c>
      <x:c r="H524" t="n">
        <x:f>IF(E524="","",E524-(D524-1))</x:f>
        <x:v>-11</x:v>
      </x:c>
      <x:c r="I524" t="n">
        <x:f>IF(H524&gt;0,1,0)</x:f>
        <x:v>0</x:v>
      </x:c>
      <x:c r="J524" t="str">
        <x:f>IF(OR(I524=0,F524="",F524=0),"",H524/F524)</x:f>
      </x:c>
      <x:c r="K524" t="str">
        <x:f>IF(OR(I524=0,H524=0,F524=""),"",F524/H524)</x:f>
      </x:c>
      <x:c r="L524" t="str">
        <x:f>IF(OR(I524=0,F524="",G524="",F524=0,G524=0),"",H524/(F524*G524))</x:f>
      </x:c>
      <x:c r="M524" t="str">
        <x:f>IF(J524="","",J524/_xlfn.MAXIFS($J:$J,$D:$D,D524))</x:f>
      </x:c>
      <x:c r="N524" t="str">
        <x:f>IF(L524="","",L524/_xlfn.MAXIFS($L:$L,$D:$D,D524))</x:f>
      </x:c>
      <x:c r="O524" t="str">
        <x:f>IF(OR(M524="",N524=""),"",SQRT(M524*N524))</x:f>
      </x:c>
      <x:c r="P524" t="str">
        <x:f>IF(OR(M524="",N524=""),"",M524^0.7*N524^0.3)</x:f>
      </x:c>
      <x:c r="Q524" t="str">
        <x:f>IF(OR(M524="",N524=""),"",M524^0.3*N524^0.7)</x:f>
      </x:c>
    </x:row>
    <x:row r="525">
      <x:c r="A525" t="inlineStr">
        <x:is>
          <x:t xml:space="preserve">openai|gpt-6-sol|non-reasoning|nonreasoning|fallback-na</x:t>
        </x:is>
      </x:c>
      <x:c r="B525" t="inlineStr">
        <x:is>
          <x:t xml:space="preserve">AA|v4.3.2</x:t>
        </x:is>
      </x:c>
      <x:c r="C525" t="n">
        <x:v>67</x:v>
      </x:c>
      <x:c r="D525" t="n">
        <x:v>45</x:v>
      </x:c>
      <x:c r="E525" t="n">
        <x:f>INDEX(Model_TestVersion_Stats!$W:$W,C525)</x:f>
        <x:v>28</x:v>
      </x:c>
      <x:c r="F525" t="n">
        <x:f>INDEX(Model_TestVersion_Stats!$O:$O,C525)</x:f>
        <x:v>0.33</x:v>
      </x:c>
      <x:c r="G525" t="n">
        <x:f>IF(INDEX(Model_TestVersion_Stats!$R:$R,C525)="","",INDEX(Model_TestVersion_Stats!$R:$R,C525)/60)</x:f>
        <x:v>1.0315</x:v>
      </x:c>
      <x:c r="H525" t="n">
        <x:f>IF(E525="","",E525-(D525-1))</x:f>
        <x:v>-16</x:v>
      </x:c>
      <x:c r="I525" t="n">
        <x:f>IF(H525&gt;0,1,0)</x:f>
        <x:v>0</x:v>
      </x:c>
      <x:c r="J525" t="str">
        <x:f>IF(OR(I525=0,F525="",F525=0),"",H525/F525)</x:f>
      </x:c>
      <x:c r="K525" t="str">
        <x:f>IF(OR(I525=0,H525=0,F525=""),"",F525/H525)</x:f>
      </x:c>
      <x:c r="L525" t="str">
        <x:f>IF(OR(I525=0,F525="",G525="",F525=0,G525=0),"",H525/(F525*G525))</x:f>
      </x:c>
      <x:c r="M525" t="str">
        <x:f>IF(J525="","",J525/_xlfn.MAXIFS($J:$J,$D:$D,D525))</x:f>
      </x:c>
      <x:c r="N525" t="str">
        <x:f>IF(L525="","",L525/_xlfn.MAXIFS($L:$L,$D:$D,D525))</x:f>
      </x:c>
      <x:c r="O525" t="str">
        <x:f>IF(OR(M525="",N525=""),"",SQRT(M525*N525))</x:f>
      </x:c>
      <x:c r="P525" t="str">
        <x:f>IF(OR(M525="",N525=""),"",M525^0.7*N525^0.3)</x:f>
      </x:c>
      <x:c r="Q525" t="str">
        <x:f>IF(OR(M525="",N525=""),"",M525^0.3*N525^0.7)</x:f>
      </x:c>
    </x:row>
    <x:row r="526">
      <x:c r="A526" t="inlineStr">
        <x:is>
          <x:t xml:space="preserve">openai|gpt-6-sol|non-reasoning|nonreasoning|fallback-na</x:t>
        </x:is>
      </x:c>
      <x:c r="B526" t="inlineStr">
        <x:is>
          <x:t xml:space="preserve">AA|v4.3.2</x:t>
        </x:is>
      </x:c>
      <x:c r="C526" t="n">
        <x:v>67</x:v>
      </x:c>
      <x:c r="D526" t="n">
        <x:v>50</x:v>
      </x:c>
      <x:c r="E526" t="n">
        <x:f>INDEX(Model_TestVersion_Stats!$W:$W,C526)</x:f>
        <x:v>28</x:v>
      </x:c>
      <x:c r="F526" t="n">
        <x:f>INDEX(Model_TestVersion_Stats!$O:$O,C526)</x:f>
        <x:v>0.33</x:v>
      </x:c>
      <x:c r="G526" t="n">
        <x:f>IF(INDEX(Model_TestVersion_Stats!$R:$R,C526)="","",INDEX(Model_TestVersion_Stats!$R:$R,C526)/60)</x:f>
        <x:v>1.0315</x:v>
      </x:c>
      <x:c r="H526" t="n">
        <x:f>IF(E526="","",E526-(D526-1))</x:f>
        <x:v>-21</x:v>
      </x:c>
      <x:c r="I526" t="n">
        <x:f>IF(H526&gt;0,1,0)</x:f>
        <x:v>0</x:v>
      </x:c>
      <x:c r="J526" t="str">
        <x:f>IF(OR(I526=0,F526="",F526=0),"",H526/F526)</x:f>
      </x:c>
      <x:c r="K526" t="str">
        <x:f>IF(OR(I526=0,H526=0,F526=""),"",F526/H526)</x:f>
      </x:c>
      <x:c r="L526" t="str">
        <x:f>IF(OR(I526=0,F526="",G526="",F526=0,G526=0),"",H526/(F526*G526))</x:f>
      </x:c>
      <x:c r="M526" t="str">
        <x:f>IF(J526="","",J526/_xlfn.MAXIFS($J:$J,$D:$D,D526))</x:f>
      </x:c>
      <x:c r="N526" t="str">
        <x:f>IF(L526="","",L526/_xlfn.MAXIFS($L:$L,$D:$D,D526))</x:f>
      </x:c>
      <x:c r="O526" t="str">
        <x:f>IF(OR(M526="",N526=""),"",SQRT(M526*N526))</x:f>
      </x:c>
      <x:c r="P526" t="str">
        <x:f>IF(OR(M526="",N526=""),"",M526^0.7*N526^0.3)</x:f>
      </x:c>
      <x:c r="Q526" t="str">
        <x:f>IF(OR(M526="",N526=""),"",M526^0.3*N526^0.7)</x:f>
      </x:c>
    </x:row>
    <x:row r="527">
      <x:c r="A527" t="inlineStr">
        <x:is>
          <x:t xml:space="preserve">openai|gpt-6-sol|non-reasoning|nonreasoning|fallback-na</x:t>
        </x:is>
      </x:c>
      <x:c r="B527" t="inlineStr">
        <x:is>
          <x:t xml:space="preserve">AA|v4.3.2</x:t>
        </x:is>
      </x:c>
      <x:c r="C527" t="n">
        <x:v>67</x:v>
      </x:c>
      <x:c r="D527" t="n">
        <x:v>52</x:v>
      </x:c>
      <x:c r="E527" t="n">
        <x:f>INDEX(Model_TestVersion_Stats!$W:$W,C527)</x:f>
        <x:v>28</x:v>
      </x:c>
      <x:c r="F527" t="n">
        <x:f>INDEX(Model_TestVersion_Stats!$O:$O,C527)</x:f>
        <x:v>0.33</x:v>
      </x:c>
      <x:c r="G527" t="n">
        <x:f>IF(INDEX(Model_TestVersion_Stats!$R:$R,C527)="","",INDEX(Model_TestVersion_Stats!$R:$R,C527)/60)</x:f>
        <x:v>1.0315</x:v>
      </x:c>
      <x:c r="H527" t="n">
        <x:f>IF(E527="","",E527-(D527-1))</x:f>
        <x:v>-23</x:v>
      </x:c>
      <x:c r="I527" t="n">
        <x:f>IF(H527&gt;0,1,0)</x:f>
        <x:v>0</x:v>
      </x:c>
      <x:c r="J527" t="str">
        <x:f>IF(OR(I527=0,F527="",F527=0),"",H527/F527)</x:f>
      </x:c>
      <x:c r="K527" t="str">
        <x:f>IF(OR(I527=0,H527=0,F527=""),"",F527/H527)</x:f>
      </x:c>
      <x:c r="L527" t="str">
        <x:f>IF(OR(I527=0,F527="",G527="",F527=0,G527=0),"",H527/(F527*G527))</x:f>
      </x:c>
      <x:c r="M527" t="str">
        <x:f>IF(J527="","",J527/_xlfn.MAXIFS($J:$J,$D:$D,D527))</x:f>
      </x:c>
      <x:c r="N527" t="str">
        <x:f>IF(L527="","",L527/_xlfn.MAXIFS($L:$L,$D:$D,D527))</x:f>
      </x:c>
      <x:c r="O527" t="str">
        <x:f>IF(OR(M527="",N527=""),"",SQRT(M527*N527))</x:f>
      </x:c>
      <x:c r="P527" t="str">
        <x:f>IF(OR(M527="",N527=""),"",M527^0.7*N527^0.3)</x:f>
      </x:c>
      <x:c r="Q527" t="str">
        <x:f>IF(OR(M527="",N527=""),"",M527^0.3*N527^0.7)</x:f>
      </x:c>
    </x:row>
    <x:row r="528">
      <x:c r="A528" t="inlineStr">
        <x:is>
          <x:t xml:space="preserve">openai|gpt-6-sol|non-reasoning|nonreasoning|fallback-na</x:t>
        </x:is>
      </x:c>
      <x:c r="B528" t="inlineStr">
        <x:is>
          <x:t xml:space="preserve">AA|v4.3.2</x:t>
        </x:is>
      </x:c>
      <x:c r="C528" t="n">
        <x:v>67</x:v>
      </x:c>
      <x:c r="D528" t="n">
        <x:v>65</x:v>
      </x:c>
      <x:c r="E528" t="n">
        <x:f>INDEX(Model_TestVersion_Stats!$W:$W,C528)</x:f>
        <x:v>28</x:v>
      </x:c>
      <x:c r="F528" t="n">
        <x:f>INDEX(Model_TestVersion_Stats!$O:$O,C528)</x:f>
        <x:v>0.33</x:v>
      </x:c>
      <x:c r="G528" t="n">
        <x:f>IF(INDEX(Model_TestVersion_Stats!$R:$R,C528)="","",INDEX(Model_TestVersion_Stats!$R:$R,C528)/60)</x:f>
        <x:v>1.0315</x:v>
      </x:c>
      <x:c r="H528" t="n">
        <x:f>IF(E528="","",E528-(D528-1))</x:f>
        <x:v>-36</x:v>
      </x:c>
      <x:c r="I528" t="n">
        <x:f>IF(H528&gt;0,1,0)</x:f>
        <x:v>0</x:v>
      </x:c>
      <x:c r="J528" t="str">
        <x:f>IF(OR(I528=0,F528="",F528=0),"",H528/F528)</x:f>
      </x:c>
      <x:c r="K528" t="str">
        <x:f>IF(OR(I528=0,H528=0,F528=""),"",F528/H528)</x:f>
      </x:c>
      <x:c r="L528" t="str">
        <x:f>IF(OR(I528=0,F528="",G528="",F528=0,G528=0),"",H528/(F528*G528))</x:f>
      </x:c>
      <x:c r="M528" t="str">
        <x:f>IF(J528="","",J528/_xlfn.MAXIFS($J:$J,$D:$D,D528))</x:f>
      </x:c>
      <x:c r="N528" t="str">
        <x:f>IF(L528="","",L528/_xlfn.MAXIFS($L:$L,$D:$D,D528))</x:f>
      </x:c>
      <x:c r="O528" t="str">
        <x:f>IF(OR(M528="",N528=""),"",SQRT(M528*N528))</x:f>
      </x:c>
      <x:c r="P528" t="str">
        <x:f>IF(OR(M528="",N528=""),"",M528^0.7*N528^0.3)</x:f>
      </x:c>
      <x:c r="Q528" t="str">
        <x:f>IF(OR(M528="",N528=""),"",M528^0.3*N528^0.7)</x:f>
      </x:c>
    </x:row>
    <x:row r="529">
      <x:c r="A529" t="inlineStr">
        <x:is>
          <x:t xml:space="preserve">openai|gpt-6-sol|non-reasoning|nonreasoning|fallback-na</x:t>
        </x:is>
      </x:c>
      <x:c r="B529" t="inlineStr">
        <x:is>
          <x:t xml:space="preserve">AA|v4.3.2</x:t>
        </x:is>
      </x:c>
      <x:c r="C529" t="n">
        <x:v>67</x:v>
      </x:c>
      <x:c r="D529" t="n">
        <x:v>80</x:v>
      </x:c>
      <x:c r="E529" t="n">
        <x:f>INDEX(Model_TestVersion_Stats!$W:$W,C529)</x:f>
        <x:v>28</x:v>
      </x:c>
      <x:c r="F529" t="n">
        <x:f>INDEX(Model_TestVersion_Stats!$O:$O,C529)</x:f>
        <x:v>0.33</x:v>
      </x:c>
      <x:c r="G529" t="n">
        <x:f>IF(INDEX(Model_TestVersion_Stats!$R:$R,C529)="","",INDEX(Model_TestVersion_Stats!$R:$R,C529)/60)</x:f>
        <x:v>1.0315</x:v>
      </x:c>
      <x:c r="H529" t="n">
        <x:f>IF(E529="","",E529-(D529-1))</x:f>
        <x:v>-51</x:v>
      </x:c>
      <x:c r="I529" t="n">
        <x:f>IF(H529&gt;0,1,0)</x:f>
        <x:v>0</x:v>
      </x:c>
      <x:c r="J529" t="str">
        <x:f>IF(OR(I529=0,F529="",F529=0),"",H529/F529)</x:f>
      </x:c>
      <x:c r="K529" t="str">
        <x:f>IF(OR(I529=0,H529=0,F529=""),"",F529/H529)</x:f>
      </x:c>
      <x:c r="L529" t="str">
        <x:f>IF(OR(I529=0,F529="",G529="",F529=0,G529=0),"",H529/(F529*G529))</x:f>
      </x:c>
      <x:c r="M529" t="str">
        <x:f>IF(J529="","",J529/_xlfn.MAXIFS($J:$J,$D:$D,D529))</x:f>
      </x:c>
      <x:c r="N529" t="str">
        <x:f>IF(L529="","",L529/_xlfn.MAXIFS($L:$L,$D:$D,D529))</x:f>
      </x:c>
      <x:c r="O529" t="str">
        <x:f>IF(OR(M529="",N529=""),"",SQRT(M529*N529))</x:f>
      </x:c>
      <x:c r="P529" t="str">
        <x:f>IF(OR(M529="",N529=""),"",M529^0.7*N529^0.3)</x:f>
      </x:c>
      <x:c r="Q529" t="str">
        <x:f>IF(OR(M529="",N529=""),"",M529^0.3*N529^0.7)</x:f>
      </x:c>
    </x:row>
    <x:row r="530">
      <x:c r="A530" t="inlineStr">
        <x:is>
          <x:t xml:space="preserve">openai|gpt-6-sol|xhigh|reasoning|fallback-na</x:t>
        </x:is>
      </x:c>
      <x:c r="B530" t="inlineStr">
        <x:is>
          <x:t xml:space="preserve">AA|v4.3.2</x:t>
        </x:is>
      </x:c>
      <x:c r="C530" t="n">
        <x:v>68</x:v>
      </x:c>
      <x:c r="D530" t="n">
        <x:v>20</x:v>
      </x:c>
      <x:c r="E530" t="n">
        <x:f>INDEX(Model_TestVersion_Stats!$W:$W,C530)</x:f>
        <x:v>44</x:v>
      </x:c>
      <x:c r="F530" t="n">
        <x:f>INDEX(Model_TestVersion_Stats!$O:$O,C530)</x:f>
        <x:v>0.53</x:v>
      </x:c>
      <x:c r="G530" t="n">
        <x:f>IF(INDEX(Model_TestVersion_Stats!$R:$R,C530)="","",INDEX(Model_TestVersion_Stats!$R:$R,C530)/60)</x:f>
        <x:v>3.318833333333333</x:v>
      </x:c>
      <x:c r="H530" t="n">
        <x:f>IF(E530="","",E530-(D530-1))</x:f>
        <x:v>25</x:v>
      </x:c>
      <x:c r="I530" t="n">
        <x:f>IF(H530&gt;0,1,0)</x:f>
        <x:v>1</x:v>
      </x:c>
      <x:c r="J530" t="n">
        <x:f>IF(OR(I530=0,F530="",F530=0),"",H530/F530)</x:f>
        <x:v>47.16981132075472</x:v>
      </x:c>
      <x:c r="K530" t="n">
        <x:f>IF(OR(I530=0,H530=0,F530=""),"",F530/H530)</x:f>
        <x:v>0.0212</x:v>
      </x:c>
      <x:c r="L530" t="n">
        <x:f>IF(OR(I530=0,F530="",G530="",F530=0,G530=0),"",H530/(F530*G530))</x:f>
        <x:v>14.212768941120288</x:v>
      </x:c>
      <x:c r="M530" t="n">
        <x:f>IF(J530="","",J530/_xlfn.MAXIFS($J:$J,$D:$D,D530))</x:f>
        <x:v>0.0849056603773585</x:v>
      </x:c>
      <x:c r="N530" t="n">
        <x:f>IF(L530="","",L530/_xlfn.MAXIFS($L:$L,$D:$D,D530))</x:f>
        <x:v>0.0060247927541408905</x:v>
      </x:c>
      <x:c r="O530" t="n">
        <x:f>IF(OR(M530="",N530=""),"",SQRT(M530*N530))</x:f>
        <x:v>0.02261722811104528</x:v>
      </x:c>
      <x:c r="P530" t="n">
        <x:f>IF(OR(M530="",N530=""),"",M530^0.7*N530^0.3)</x:f>
        <x:v>0.03839178321358451</x:v>
      </x:c>
      <x:c r="Q530" t="n">
        <x:f>IF(OR(M530="",N530=""),"",M530^0.3*N530^0.7)</x:f>
        <x:v>0.013324179410506115</x:v>
      </x:c>
    </x:row>
    <x:row r="531">
      <x:c r="A531" t="inlineStr">
        <x:is>
          <x:t xml:space="preserve">openai|gpt-6-sol|xhigh|reasoning|fallback-na</x:t>
        </x:is>
      </x:c>
      <x:c r="B531" t="inlineStr">
        <x:is>
          <x:t xml:space="preserve">AA|v4.3.2</x:t>
        </x:is>
      </x:c>
      <x:c r="C531" t="n">
        <x:v>68</x:v>
      </x:c>
      <x:c r="D531" t="n">
        <x:v>30</x:v>
      </x:c>
      <x:c r="E531" t="n">
        <x:f>INDEX(Model_TestVersion_Stats!$W:$W,C531)</x:f>
        <x:v>44</x:v>
      </x:c>
      <x:c r="F531" t="n">
        <x:f>INDEX(Model_TestVersion_Stats!$O:$O,C531)</x:f>
        <x:v>0.53</x:v>
      </x:c>
      <x:c r="G531" t="n">
        <x:f>IF(INDEX(Model_TestVersion_Stats!$R:$R,C531)="","",INDEX(Model_TestVersion_Stats!$R:$R,C531)/60)</x:f>
        <x:v>3.318833333333333</x:v>
      </x:c>
      <x:c r="H531" t="n">
        <x:f>IF(E531="","",E531-(D531-1))</x:f>
        <x:v>15</x:v>
      </x:c>
      <x:c r="I531" t="n">
        <x:f>IF(H531&gt;0,1,0)</x:f>
        <x:v>1</x:v>
      </x:c>
      <x:c r="J531" t="n">
        <x:f>IF(OR(I531=0,F531="",F531=0),"",H531/F531)</x:f>
        <x:v>28.30188679245283</x:v>
      </x:c>
      <x:c r="K531" t="n">
        <x:f>IF(OR(I531=0,H531=0,F531=""),"",F531/H531)</x:f>
        <x:v>0.035333333333333335</x:v>
      </x:c>
      <x:c r="L531" t="n">
        <x:f>IF(OR(I531=0,F531="",G531="",F531=0,G531=0),"",H531/(F531*G531))</x:f>
        <x:v>8.527661364672174</x:v>
      </x:c>
      <x:c r="M531" t="n">
        <x:f>IF(J531="","",J531/_xlfn.MAXIFS($J:$J,$D:$D,D531))</x:f>
        <x:v>0.18867924528301885</x:v>
      </x:c>
      <x:c r="N531" t="n">
        <x:f>IF(L531="","",L531/_xlfn.MAXIFS($L:$L,$D:$D,D531))</x:f>
        <x:v>0.1517667893070707</x:v>
      </x:c>
      <x:c r="O531" t="n">
        <x:f>IF(OR(M531="",N531=""),"",SQRT(M531*N531))</x:f>
        <x:v>0.16921951207081598</x:v>
      </x:c>
      <x:c r="P531" t="n">
        <x:f>IF(OR(M531="",N531=""),"",M531^0.7*N531^0.3)</x:f>
        <x:v>0.17675020054904597</x:v>
      </x:c>
      <x:c r="Q531" t="n">
        <x:f>IF(OR(M531="",N531=""),"",M531^0.3*N531^0.7)</x:f>
        <x:v>0.1620096790642063</x:v>
      </x:c>
    </x:row>
    <x:row r="532">
      <x:c r="A532" t="inlineStr">
        <x:is>
          <x:t xml:space="preserve">openai|gpt-6-sol|xhigh|reasoning|fallback-na</x:t>
        </x:is>
      </x:c>
      <x:c r="B532" t="inlineStr">
        <x:is>
          <x:t xml:space="preserve">AA|v4.3.2</x:t>
        </x:is>
      </x:c>
      <x:c r="C532" t="n">
        <x:v>68</x:v>
      </x:c>
      <x:c r="D532" t="n">
        <x:v>40</x:v>
      </x:c>
      <x:c r="E532" t="n">
        <x:f>INDEX(Model_TestVersion_Stats!$W:$W,C532)</x:f>
        <x:v>44</x:v>
      </x:c>
      <x:c r="F532" t="n">
        <x:f>INDEX(Model_TestVersion_Stats!$O:$O,C532)</x:f>
        <x:v>0.53</x:v>
      </x:c>
      <x:c r="G532" t="n">
        <x:f>IF(INDEX(Model_TestVersion_Stats!$R:$R,C532)="","",INDEX(Model_TestVersion_Stats!$R:$R,C532)/60)</x:f>
        <x:v>3.318833333333333</x:v>
      </x:c>
      <x:c r="H532" t="n">
        <x:f>IF(E532="","",E532-(D532-1))</x:f>
        <x:v>5</x:v>
      </x:c>
      <x:c r="I532" t="n">
        <x:f>IF(H532&gt;0,1,0)</x:f>
        <x:v>1</x:v>
      </x:c>
      <x:c r="J532" t="n">
        <x:f>IF(OR(I532=0,F532="",F532=0),"",H532/F532)</x:f>
        <x:v>9.433962264150942</x:v>
      </x:c>
      <x:c r="K532" t="n">
        <x:f>IF(OR(I532=0,H532=0,F532=""),"",F532/H532)</x:f>
        <x:v>0.10600000000000001</x:v>
      </x:c>
      <x:c r="L532" t="n">
        <x:f>IF(OR(I532=0,F532="",G532="",F532=0,G532=0),"",H532/(F532*G532))</x:f>
        <x:v>2.8425537882240577</x:v>
      </x:c>
      <x:c r="M532" t="n">
        <x:f>IF(J532="","",J532/_xlfn.MAXIFS($J:$J,$D:$D,D532))</x:f>
        <x:v>0.17520215633423178</x:v>
      </x:c>
      <x:c r="N532" t="n">
        <x:f>IF(L532="","",L532/_xlfn.MAXIFS($L:$L,$D:$D,D532))</x:f>
        <x:v>0.4716730716622699</x:v>
      </x:c>
      <x:c r="O532" t="n">
        <x:f>IF(OR(M532="",N532=""),"",SQRT(M532*N532))</x:f>
        <x:v>0.28746850130061263</x:v>
      </x:c>
      <x:c r="P532" t="n">
        <x:f>IF(OR(M532="",N532=""),"",M532^0.7*N532^0.3)</x:f>
        <x:v>0.23581419146757795</x:v>
      </x:c>
      <x:c r="Q532" t="n">
        <x:f>IF(OR(M532="",N532=""),"",M532^0.3*N532^0.7)</x:f>
        <x:v>0.35043751491683334</x:v>
      </x:c>
    </x:row>
    <x:row r="533">
      <x:c r="A533" t="inlineStr">
        <x:is>
          <x:t xml:space="preserve">openai|gpt-6-sol|xhigh|reasoning|fallback-na</x:t>
        </x:is>
      </x:c>
      <x:c r="B533" t="inlineStr">
        <x:is>
          <x:t xml:space="preserve">AA|v4.3.2</x:t>
        </x:is>
      </x:c>
      <x:c r="C533" t="n">
        <x:v>68</x:v>
      </x:c>
      <x:c r="D533" t="n">
        <x:v>45</x:v>
      </x:c>
      <x:c r="E533" t="n">
        <x:f>INDEX(Model_TestVersion_Stats!$W:$W,C533)</x:f>
        <x:v>44</x:v>
      </x:c>
      <x:c r="F533" t="n">
        <x:f>INDEX(Model_TestVersion_Stats!$O:$O,C533)</x:f>
        <x:v>0.53</x:v>
      </x:c>
      <x:c r="G533" t="n">
        <x:f>IF(INDEX(Model_TestVersion_Stats!$R:$R,C533)="","",INDEX(Model_TestVersion_Stats!$R:$R,C533)/60)</x:f>
        <x:v>3.318833333333333</x:v>
      </x:c>
      <x:c r="H533" t="n">
        <x:f>IF(E533="","",E533-(D533-1))</x:f>
        <x:v>0</x:v>
      </x:c>
      <x:c r="I533" t="n">
        <x:f>IF(H533&gt;0,1,0)</x:f>
        <x:v>0</x:v>
      </x:c>
      <x:c r="J533" t="str">
        <x:f>IF(OR(I533=0,F533="",F533=0),"",H533/F533)</x:f>
      </x:c>
      <x:c r="K533" t="str">
        <x:f>IF(OR(I533=0,H533=0,F533=""),"",F533/H533)</x:f>
      </x:c>
      <x:c r="L533" t="str">
        <x:f>IF(OR(I533=0,F533="",G533="",F533=0,G533=0),"",H533/(F533*G533))</x:f>
      </x:c>
      <x:c r="M533" t="str">
        <x:f>IF(J533="","",J533/_xlfn.MAXIFS($J:$J,$D:$D,D533))</x:f>
      </x:c>
      <x:c r="N533" t="str">
        <x:f>IF(L533="","",L533/_xlfn.MAXIFS($L:$L,$D:$D,D533))</x:f>
      </x:c>
      <x:c r="O533" t="str">
        <x:f>IF(OR(M533="",N533=""),"",SQRT(M533*N533))</x:f>
      </x:c>
      <x:c r="P533" t="str">
        <x:f>IF(OR(M533="",N533=""),"",M533^0.7*N533^0.3)</x:f>
      </x:c>
      <x:c r="Q533" t="str">
        <x:f>IF(OR(M533="",N533=""),"",M533^0.3*N533^0.7)</x:f>
      </x:c>
    </x:row>
    <x:row r="534">
      <x:c r="A534" t="inlineStr">
        <x:is>
          <x:t xml:space="preserve">openai|gpt-6-sol|xhigh|reasoning|fallback-na</x:t>
        </x:is>
      </x:c>
      <x:c r="B534" t="inlineStr">
        <x:is>
          <x:t xml:space="preserve">AA|v4.3.2</x:t>
        </x:is>
      </x:c>
      <x:c r="C534" t="n">
        <x:v>68</x:v>
      </x:c>
      <x:c r="D534" t="n">
        <x:v>50</x:v>
      </x:c>
      <x:c r="E534" t="n">
        <x:f>INDEX(Model_TestVersion_Stats!$W:$W,C534)</x:f>
        <x:v>44</x:v>
      </x:c>
      <x:c r="F534" t="n">
        <x:f>INDEX(Model_TestVersion_Stats!$O:$O,C534)</x:f>
        <x:v>0.53</x:v>
      </x:c>
      <x:c r="G534" t="n">
        <x:f>IF(INDEX(Model_TestVersion_Stats!$R:$R,C534)="","",INDEX(Model_TestVersion_Stats!$R:$R,C534)/60)</x:f>
        <x:v>3.318833333333333</x:v>
      </x:c>
      <x:c r="H534" t="n">
        <x:f>IF(E534="","",E534-(D534-1))</x:f>
        <x:v>-5</x:v>
      </x:c>
      <x:c r="I534" t="n">
        <x:f>IF(H534&gt;0,1,0)</x:f>
        <x:v>0</x:v>
      </x:c>
      <x:c r="J534" t="str">
        <x:f>IF(OR(I534=0,F534="",F534=0),"",H534/F534)</x:f>
      </x:c>
      <x:c r="K534" t="str">
        <x:f>IF(OR(I534=0,H534=0,F534=""),"",F534/H534)</x:f>
      </x:c>
      <x:c r="L534" t="str">
        <x:f>IF(OR(I534=0,F534="",G534="",F534=0,G534=0),"",H534/(F534*G534))</x:f>
      </x:c>
      <x:c r="M534" t="str">
        <x:f>IF(J534="","",J534/_xlfn.MAXIFS($J:$J,$D:$D,D534))</x:f>
      </x:c>
      <x:c r="N534" t="str">
        <x:f>IF(L534="","",L534/_xlfn.MAXIFS($L:$L,$D:$D,D534))</x:f>
      </x:c>
      <x:c r="O534" t="str">
        <x:f>IF(OR(M534="",N534=""),"",SQRT(M534*N534))</x:f>
      </x:c>
      <x:c r="P534" t="str">
        <x:f>IF(OR(M534="",N534=""),"",M534^0.7*N534^0.3)</x:f>
      </x:c>
      <x:c r="Q534" t="str">
        <x:f>IF(OR(M534="",N534=""),"",M534^0.3*N534^0.7)</x:f>
      </x:c>
    </x:row>
    <x:row r="535">
      <x:c r="A535" t="inlineStr">
        <x:is>
          <x:t xml:space="preserve">openai|gpt-6-sol|xhigh|reasoning|fallback-na</x:t>
        </x:is>
      </x:c>
      <x:c r="B535" t="inlineStr">
        <x:is>
          <x:t xml:space="preserve">AA|v4.3.2</x:t>
        </x:is>
      </x:c>
      <x:c r="C535" t="n">
        <x:v>68</x:v>
      </x:c>
      <x:c r="D535" t="n">
        <x:v>52</x:v>
      </x:c>
      <x:c r="E535" t="n">
        <x:f>INDEX(Model_TestVersion_Stats!$W:$W,C535)</x:f>
        <x:v>44</x:v>
      </x:c>
      <x:c r="F535" t="n">
        <x:f>INDEX(Model_TestVersion_Stats!$O:$O,C535)</x:f>
        <x:v>0.53</x:v>
      </x:c>
      <x:c r="G535" t="n">
        <x:f>IF(INDEX(Model_TestVersion_Stats!$R:$R,C535)="","",INDEX(Model_TestVersion_Stats!$R:$R,C535)/60)</x:f>
        <x:v>3.318833333333333</x:v>
      </x:c>
      <x:c r="H535" t="n">
        <x:f>IF(E535="","",E535-(D535-1))</x:f>
        <x:v>-7</x:v>
      </x:c>
      <x:c r="I535" t="n">
        <x:f>IF(H535&gt;0,1,0)</x:f>
        <x:v>0</x:v>
      </x:c>
      <x:c r="J535" t="str">
        <x:f>IF(OR(I535=0,F535="",F535=0),"",H535/F535)</x:f>
      </x:c>
      <x:c r="K535" t="str">
        <x:f>IF(OR(I535=0,H535=0,F535=""),"",F535/H535)</x:f>
      </x:c>
      <x:c r="L535" t="str">
        <x:f>IF(OR(I535=0,F535="",G535="",F535=0,G535=0),"",H535/(F535*G535))</x:f>
      </x:c>
      <x:c r="M535" t="str">
        <x:f>IF(J535="","",J535/_xlfn.MAXIFS($J:$J,$D:$D,D535))</x:f>
      </x:c>
      <x:c r="N535" t="str">
        <x:f>IF(L535="","",L535/_xlfn.MAXIFS($L:$L,$D:$D,D535))</x:f>
      </x:c>
      <x:c r="O535" t="str">
        <x:f>IF(OR(M535="",N535=""),"",SQRT(M535*N535))</x:f>
      </x:c>
      <x:c r="P535" t="str">
        <x:f>IF(OR(M535="",N535=""),"",M535^0.7*N535^0.3)</x:f>
      </x:c>
      <x:c r="Q535" t="str">
        <x:f>IF(OR(M535="",N535=""),"",M535^0.3*N535^0.7)</x:f>
      </x:c>
    </x:row>
    <x:row r="536">
      <x:c r="A536" t="inlineStr">
        <x:is>
          <x:t xml:space="preserve">openai|gpt-6-sol|xhigh|reasoning|fallback-na</x:t>
        </x:is>
      </x:c>
      <x:c r="B536" t="inlineStr">
        <x:is>
          <x:t xml:space="preserve">AA|v4.3.2</x:t>
        </x:is>
      </x:c>
      <x:c r="C536" t="n">
        <x:v>68</x:v>
      </x:c>
      <x:c r="D536" t="n">
        <x:v>65</x:v>
      </x:c>
      <x:c r="E536" t="n">
        <x:f>INDEX(Model_TestVersion_Stats!$W:$W,C536)</x:f>
        <x:v>44</x:v>
      </x:c>
      <x:c r="F536" t="n">
        <x:f>INDEX(Model_TestVersion_Stats!$O:$O,C536)</x:f>
        <x:v>0.53</x:v>
      </x:c>
      <x:c r="G536" t="n">
        <x:f>IF(INDEX(Model_TestVersion_Stats!$R:$R,C536)="","",INDEX(Model_TestVersion_Stats!$R:$R,C536)/60)</x:f>
        <x:v>3.318833333333333</x:v>
      </x:c>
      <x:c r="H536" t="n">
        <x:f>IF(E536="","",E536-(D536-1))</x:f>
        <x:v>-20</x:v>
      </x:c>
      <x:c r="I536" t="n">
        <x:f>IF(H536&gt;0,1,0)</x:f>
        <x:v>0</x:v>
      </x:c>
      <x:c r="J536" t="str">
        <x:f>IF(OR(I536=0,F536="",F536=0),"",H536/F536)</x:f>
      </x:c>
      <x:c r="K536" t="str">
        <x:f>IF(OR(I536=0,H536=0,F536=""),"",F536/H536)</x:f>
      </x:c>
      <x:c r="L536" t="str">
        <x:f>IF(OR(I536=0,F536="",G536="",F536=0,G536=0),"",H536/(F536*G536))</x:f>
      </x:c>
      <x:c r="M536" t="str">
        <x:f>IF(J536="","",J536/_xlfn.MAXIFS($J:$J,$D:$D,D536))</x:f>
      </x:c>
      <x:c r="N536" t="str">
        <x:f>IF(L536="","",L536/_xlfn.MAXIFS($L:$L,$D:$D,D536))</x:f>
      </x:c>
      <x:c r="O536" t="str">
        <x:f>IF(OR(M536="",N536=""),"",SQRT(M536*N536))</x:f>
      </x:c>
      <x:c r="P536" t="str">
        <x:f>IF(OR(M536="",N536=""),"",M536^0.7*N536^0.3)</x:f>
      </x:c>
      <x:c r="Q536" t="str">
        <x:f>IF(OR(M536="",N536=""),"",M536^0.3*N536^0.7)</x:f>
      </x:c>
    </x:row>
    <x:row r="537">
      <x:c r="A537" t="inlineStr">
        <x:is>
          <x:t xml:space="preserve">openai|gpt-6-sol|xhigh|reasoning|fallback-na</x:t>
        </x:is>
      </x:c>
      <x:c r="B537" t="inlineStr">
        <x:is>
          <x:t xml:space="preserve">AA|v4.3.2</x:t>
        </x:is>
      </x:c>
      <x:c r="C537" t="n">
        <x:v>68</x:v>
      </x:c>
      <x:c r="D537" t="n">
        <x:v>80</x:v>
      </x:c>
      <x:c r="E537" t="n">
        <x:f>INDEX(Model_TestVersion_Stats!$W:$W,C537)</x:f>
        <x:v>44</x:v>
      </x:c>
      <x:c r="F537" t="n">
        <x:f>INDEX(Model_TestVersion_Stats!$O:$O,C537)</x:f>
        <x:v>0.53</x:v>
      </x:c>
      <x:c r="G537" t="n">
        <x:f>IF(INDEX(Model_TestVersion_Stats!$R:$R,C537)="","",INDEX(Model_TestVersion_Stats!$R:$R,C537)/60)</x:f>
        <x:v>3.318833333333333</x:v>
      </x:c>
      <x:c r="H537" t="n">
        <x:f>IF(E537="","",E537-(D537-1))</x:f>
        <x:v>-35</x:v>
      </x:c>
      <x:c r="I537" t="n">
        <x:f>IF(H537&gt;0,1,0)</x:f>
        <x:v>0</x:v>
      </x:c>
      <x:c r="J537" t="str">
        <x:f>IF(OR(I537=0,F537="",F537=0),"",H537/F537)</x:f>
      </x:c>
      <x:c r="K537" t="str">
        <x:f>IF(OR(I537=0,H537=0,F537=""),"",F537/H537)</x:f>
      </x:c>
      <x:c r="L537" t="str">
        <x:f>IF(OR(I537=0,F537="",G537="",F537=0,G537=0),"",H537/(F537*G537))</x:f>
      </x:c>
      <x:c r="M537" t="str">
        <x:f>IF(J537="","",J537/_xlfn.MAXIFS($J:$J,$D:$D,D537))</x:f>
      </x:c>
      <x:c r="N537" t="str">
        <x:f>IF(L537="","",L537/_xlfn.MAXIFS($L:$L,$D:$D,D537))</x:f>
      </x:c>
      <x:c r="O537" t="str">
        <x:f>IF(OR(M537="",N537=""),"",SQRT(M537*N537))</x:f>
      </x:c>
      <x:c r="P537" t="str">
        <x:f>IF(OR(M537="",N537=""),"",M537^0.7*N537^0.3)</x:f>
      </x:c>
      <x:c r="Q537" t="str">
        <x:f>IF(OR(M537="",N537=""),"",M537^0.3*N537^0.7)</x:f>
      </x:c>
    </x:row>
    <x:row r="538">
      <x:c r="A538" t="inlineStr">
        <x:is>
          <x:t xml:space="preserve">xiaomi|mimo-v2.6-flash|reasoning|reasoning|fallback-na</x:t>
        </x:is>
      </x:c>
      <x:c r="B538" t="inlineStr">
        <x:is>
          <x:t xml:space="preserve">AA|v4.3.2</x:t>
        </x:is>
      </x:c>
      <x:c r="C538" t="n">
        <x:v>69</x:v>
      </x:c>
      <x:c r="D538" t="n">
        <x:v>20</x:v>
      </x:c>
      <x:c r="E538" t="n">
        <x:f>INDEX(Model_TestVersion_Stats!$W:$W,C538)</x:f>
        <x:v>38</x:v>
      </x:c>
      <x:c r="F538" t="n">
        <x:f>INDEX(Model_TestVersion_Stats!$O:$O,C538)</x:f>
        <x:v>0.06</x:v>
      </x:c>
      <x:c r="G538" t="n">
        <x:f>IF(INDEX(Model_TestVersion_Stats!$R:$R,C538)="","",INDEX(Model_TestVersion_Stats!$R:$R,C538)/60)</x:f>
        <x:v>20.88566666666667</x:v>
      </x:c>
      <x:c r="H538" t="n">
        <x:f>IF(E538="","",E538-(D538-1))</x:f>
        <x:v>19</x:v>
      </x:c>
      <x:c r="I538" t="n">
        <x:f>IF(H538&gt;0,1,0)</x:f>
        <x:v>1</x:v>
      </x:c>
      <x:c r="J538" t="n">
        <x:f>IF(OR(I538=0,F538="",F538=0),"",H538/F538)</x:f>
        <x:v>316.6666666666667</x:v>
      </x:c>
      <x:c r="K538" t="n">
        <x:f>IF(OR(I538=0,H538=0,F538=""),"",F538/H538)</x:f>
        <x:v>0.003157894736842105</x:v>
      </x:c>
      <x:c r="L538" t="n">
        <x:f>IF(OR(I538=0,F538="",G538="",F538=0,G538=0),"",H538/(F538*G538))</x:f>
        <x:v>15.161913273856072</x:v>
      </x:c>
      <x:c r="M538" t="n">
        <x:f>IF(J538="","",J538/_xlfn.MAXIFS($J:$J,$D:$D,D538))</x:f>
        <x:v>0.5700000000000001</x:v>
      </x:c>
      <x:c r="N538" t="n">
        <x:f>IF(L538="","",L538/_xlfn.MAXIFS($L:$L,$D:$D,D538))</x:f>
        <x:v>0.006427135036787589</x:v>
      </x:c>
      <x:c r="O538" t="n">
        <x:f>IF(OR(M538="",N538=""),"",SQRT(M538*N538))</x:f>
        <x:v>0.06052658069781347</x:v>
      </x:c>
      <x:c r="P538" t="n">
        <x:f>IF(OR(M538="",N538=""),"",M538^0.7*N538^0.3)</x:f>
        <x:v>0.1484286120451918</x:v>
      </x:c>
      <x:c r="Q538" t="n">
        <x:f>IF(OR(M538="",N538=""),"",M538^0.3*N538^0.7)</x:f>
        <x:v>0.024681676399786835</x:v>
      </x:c>
    </x:row>
    <x:row r="539">
      <x:c r="A539" t="inlineStr">
        <x:is>
          <x:t xml:space="preserve">xiaomi|mimo-v2.6-flash|reasoning|reasoning|fallback-na</x:t>
        </x:is>
      </x:c>
      <x:c r="B539" t="inlineStr">
        <x:is>
          <x:t xml:space="preserve">AA|v4.3.2</x:t>
        </x:is>
      </x:c>
      <x:c r="C539" t="n">
        <x:v>69</x:v>
      </x:c>
      <x:c r="D539" t="n">
        <x:v>30</x:v>
      </x:c>
      <x:c r="E539" t="n">
        <x:f>INDEX(Model_TestVersion_Stats!$W:$W,C539)</x:f>
        <x:v>38</x:v>
      </x:c>
      <x:c r="F539" t="n">
        <x:f>INDEX(Model_TestVersion_Stats!$O:$O,C539)</x:f>
        <x:v>0.06</x:v>
      </x:c>
      <x:c r="G539" t="n">
        <x:f>IF(INDEX(Model_TestVersion_Stats!$R:$R,C539)="","",INDEX(Model_TestVersion_Stats!$R:$R,C539)/60)</x:f>
        <x:v>20.88566666666667</x:v>
      </x:c>
      <x:c r="H539" t="n">
        <x:f>IF(E539="","",E539-(D539-1))</x:f>
        <x:v>9</x:v>
      </x:c>
      <x:c r="I539" t="n">
        <x:f>IF(H539&gt;0,1,0)</x:f>
        <x:v>1</x:v>
      </x:c>
      <x:c r="J539" t="n">
        <x:f>IF(OR(I539=0,F539="",F539=0),"",H539/F539)</x:f>
        <x:v>150</x:v>
      </x:c>
      <x:c r="K539" t="n">
        <x:f>IF(OR(I539=0,H539=0,F539=""),"",F539/H539)</x:f>
        <x:v>0.006666666666666666</x:v>
      </x:c>
      <x:c r="L539" t="n">
        <x:f>IF(OR(I539=0,F539="",G539="",F539=0,G539=0),"",H539/(F539*G539))</x:f>
        <x:v>7.181958919194981</x:v>
      </x:c>
      <x:c r="M539" t="n">
        <x:f>IF(J539="","",J539/_xlfn.MAXIFS($J:$J,$D:$D,D539))</x:f>
        <x:v>1</x:v>
      </x:c>
      <x:c r="N539" t="n">
        <x:f>IF(L539="","",L539/_xlfn.MAXIFS($L:$L,$D:$D,D539))</x:f>
        <x:v>0.1278173228849131</x:v>
      </x:c>
      <x:c r="O539" t="n">
        <x:f>IF(OR(M539="",N539=""),"",SQRT(M539*N539))</x:f>
        <x:v>0.3575154862169094</x:v>
      </x:c>
      <x:c r="P539" t="n">
        <x:f>IF(OR(M539="",N539=""),"",M539^0.7*N539^0.3)</x:f>
        <x:v>0.5394819456463656</x:v>
      </x:c>
      <x:c r="Q539" t="n">
        <x:f>IF(OR(M539="",N539=""),"",M539^0.3*N539^0.7)</x:f>
        <x:v>0.2369260434318562</x:v>
      </x:c>
    </x:row>
    <x:row r="540">
      <x:c r="A540" t="inlineStr">
        <x:is>
          <x:t xml:space="preserve">xiaomi|mimo-v2.6-flash|reasoning|reasoning|fallback-na</x:t>
        </x:is>
      </x:c>
      <x:c r="B540" t="inlineStr">
        <x:is>
          <x:t xml:space="preserve">AA|v4.3.2</x:t>
        </x:is>
      </x:c>
      <x:c r="C540" t="n">
        <x:v>69</x:v>
      </x:c>
      <x:c r="D540" t="n">
        <x:v>40</x:v>
      </x:c>
      <x:c r="E540" t="n">
        <x:f>INDEX(Model_TestVersion_Stats!$W:$W,C540)</x:f>
        <x:v>38</x:v>
      </x:c>
      <x:c r="F540" t="n">
        <x:f>INDEX(Model_TestVersion_Stats!$O:$O,C540)</x:f>
        <x:v>0.06</x:v>
      </x:c>
      <x:c r="G540" t="n">
        <x:f>IF(INDEX(Model_TestVersion_Stats!$R:$R,C540)="","",INDEX(Model_TestVersion_Stats!$R:$R,C540)/60)</x:f>
        <x:v>20.88566666666667</x:v>
      </x:c>
      <x:c r="H540" t="n">
        <x:f>IF(E540="","",E540-(D540-1))</x:f>
        <x:v>-1</x:v>
      </x:c>
      <x:c r="I540" t="n">
        <x:f>IF(H540&gt;0,1,0)</x:f>
        <x:v>0</x:v>
      </x:c>
      <x:c r="J540" t="str">
        <x:f>IF(OR(I540=0,F540="",F540=0),"",H540/F540)</x:f>
      </x:c>
      <x:c r="K540" t="str">
        <x:f>IF(OR(I540=0,H540=0,F540=""),"",F540/H540)</x:f>
      </x:c>
      <x:c r="L540" t="str">
        <x:f>IF(OR(I540=0,F540="",G540="",F540=0,G540=0),"",H540/(F540*G540))</x:f>
      </x:c>
      <x:c r="M540" t="str">
        <x:f>IF(J540="","",J540/_xlfn.MAXIFS($J:$J,$D:$D,D540))</x:f>
      </x:c>
      <x:c r="N540" t="str">
        <x:f>IF(L540="","",L540/_xlfn.MAXIFS($L:$L,$D:$D,D540))</x:f>
      </x:c>
      <x:c r="O540" t="str">
        <x:f>IF(OR(M540="",N540=""),"",SQRT(M540*N540))</x:f>
      </x:c>
      <x:c r="P540" t="str">
        <x:f>IF(OR(M540="",N540=""),"",M540^0.7*N540^0.3)</x:f>
      </x:c>
      <x:c r="Q540" t="str">
        <x:f>IF(OR(M540="",N540=""),"",M540^0.3*N540^0.7)</x:f>
      </x:c>
    </x:row>
    <x:row r="541">
      <x:c r="A541" t="inlineStr">
        <x:is>
          <x:t xml:space="preserve">xiaomi|mimo-v2.6-flash|reasoning|reasoning|fallback-na</x:t>
        </x:is>
      </x:c>
      <x:c r="B541" t="inlineStr">
        <x:is>
          <x:t xml:space="preserve">AA|v4.3.2</x:t>
        </x:is>
      </x:c>
      <x:c r="C541" t="n">
        <x:v>69</x:v>
      </x:c>
      <x:c r="D541" t="n">
        <x:v>45</x:v>
      </x:c>
      <x:c r="E541" t="n">
        <x:f>INDEX(Model_TestVersion_Stats!$W:$W,C541)</x:f>
        <x:v>38</x:v>
      </x:c>
      <x:c r="F541" t="n">
        <x:f>INDEX(Model_TestVersion_Stats!$O:$O,C541)</x:f>
        <x:v>0.06</x:v>
      </x:c>
      <x:c r="G541" t="n">
        <x:f>IF(INDEX(Model_TestVersion_Stats!$R:$R,C541)="","",INDEX(Model_TestVersion_Stats!$R:$R,C541)/60)</x:f>
        <x:v>20.88566666666667</x:v>
      </x:c>
      <x:c r="H541" t="n">
        <x:f>IF(E541="","",E541-(D541-1))</x:f>
        <x:v>-6</x:v>
      </x:c>
      <x:c r="I541" t="n">
        <x:f>IF(H541&gt;0,1,0)</x:f>
        <x:v>0</x:v>
      </x:c>
      <x:c r="J541" t="str">
        <x:f>IF(OR(I541=0,F541="",F541=0),"",H541/F541)</x:f>
      </x:c>
      <x:c r="K541" t="str">
        <x:f>IF(OR(I541=0,H541=0,F541=""),"",F541/H541)</x:f>
      </x:c>
      <x:c r="L541" t="str">
        <x:f>IF(OR(I541=0,F541="",G541="",F541=0,G541=0),"",H541/(F541*G541))</x:f>
      </x:c>
      <x:c r="M541" t="str">
        <x:f>IF(J541="","",J541/_xlfn.MAXIFS($J:$J,$D:$D,D541))</x:f>
      </x:c>
      <x:c r="N541" t="str">
        <x:f>IF(L541="","",L541/_xlfn.MAXIFS($L:$L,$D:$D,D541))</x:f>
      </x:c>
      <x:c r="O541" t="str">
        <x:f>IF(OR(M541="",N541=""),"",SQRT(M541*N541))</x:f>
      </x:c>
      <x:c r="P541" t="str">
        <x:f>IF(OR(M541="",N541=""),"",M541^0.7*N541^0.3)</x:f>
      </x:c>
      <x:c r="Q541" t="str">
        <x:f>IF(OR(M541="",N541=""),"",M541^0.3*N541^0.7)</x:f>
      </x:c>
    </x:row>
    <x:row r="542">
      <x:c r="A542" t="inlineStr">
        <x:is>
          <x:t xml:space="preserve">xiaomi|mimo-v2.6-flash|reasoning|reasoning|fallback-na</x:t>
        </x:is>
      </x:c>
      <x:c r="B542" t="inlineStr">
        <x:is>
          <x:t xml:space="preserve">AA|v4.3.2</x:t>
        </x:is>
      </x:c>
      <x:c r="C542" t="n">
        <x:v>69</x:v>
      </x:c>
      <x:c r="D542" t="n">
        <x:v>50</x:v>
      </x:c>
      <x:c r="E542" t="n">
        <x:f>INDEX(Model_TestVersion_Stats!$W:$W,C542)</x:f>
        <x:v>38</x:v>
      </x:c>
      <x:c r="F542" t="n">
        <x:f>INDEX(Model_TestVersion_Stats!$O:$O,C542)</x:f>
        <x:v>0.06</x:v>
      </x:c>
      <x:c r="G542" t="n">
        <x:f>IF(INDEX(Model_TestVersion_Stats!$R:$R,C542)="","",INDEX(Model_TestVersion_Stats!$R:$R,C542)/60)</x:f>
        <x:v>20.88566666666667</x:v>
      </x:c>
      <x:c r="H542" t="n">
        <x:f>IF(E542="","",E542-(D542-1))</x:f>
        <x:v>-11</x:v>
      </x:c>
      <x:c r="I542" t="n">
        <x:f>IF(H542&gt;0,1,0)</x:f>
        <x:v>0</x:v>
      </x:c>
      <x:c r="J542" t="str">
        <x:f>IF(OR(I542=0,F542="",F542=0),"",H542/F542)</x:f>
      </x:c>
      <x:c r="K542" t="str">
        <x:f>IF(OR(I542=0,H542=0,F542=""),"",F542/H542)</x:f>
      </x:c>
      <x:c r="L542" t="str">
        <x:f>IF(OR(I542=0,F542="",G542="",F542=0,G542=0),"",H542/(F542*G542))</x:f>
      </x:c>
      <x:c r="M542" t="str">
        <x:f>IF(J542="","",J542/_xlfn.MAXIFS($J:$J,$D:$D,D542))</x:f>
      </x:c>
      <x:c r="N542" t="str">
        <x:f>IF(L542="","",L542/_xlfn.MAXIFS($L:$L,$D:$D,D542))</x:f>
      </x:c>
      <x:c r="O542" t="str">
        <x:f>IF(OR(M542="",N542=""),"",SQRT(M542*N542))</x:f>
      </x:c>
      <x:c r="P542" t="str">
        <x:f>IF(OR(M542="",N542=""),"",M542^0.7*N542^0.3)</x:f>
      </x:c>
      <x:c r="Q542" t="str">
        <x:f>IF(OR(M542="",N542=""),"",M542^0.3*N542^0.7)</x:f>
      </x:c>
    </x:row>
    <x:row r="543">
      <x:c r="A543" t="inlineStr">
        <x:is>
          <x:t xml:space="preserve">xiaomi|mimo-v2.6-flash|reasoning|reasoning|fallback-na</x:t>
        </x:is>
      </x:c>
      <x:c r="B543" t="inlineStr">
        <x:is>
          <x:t xml:space="preserve">AA|v4.3.2</x:t>
        </x:is>
      </x:c>
      <x:c r="C543" t="n">
        <x:v>69</x:v>
      </x:c>
      <x:c r="D543" t="n">
        <x:v>52</x:v>
      </x:c>
      <x:c r="E543" t="n">
        <x:f>INDEX(Model_TestVersion_Stats!$W:$W,C543)</x:f>
        <x:v>38</x:v>
      </x:c>
      <x:c r="F543" t="n">
        <x:f>INDEX(Model_TestVersion_Stats!$O:$O,C543)</x:f>
        <x:v>0.06</x:v>
      </x:c>
      <x:c r="G543" t="n">
        <x:f>IF(INDEX(Model_TestVersion_Stats!$R:$R,C543)="","",INDEX(Model_TestVersion_Stats!$R:$R,C543)/60)</x:f>
        <x:v>20.88566666666667</x:v>
      </x:c>
      <x:c r="H543" t="n">
        <x:f>IF(E543="","",E543-(D543-1))</x:f>
        <x:v>-13</x:v>
      </x:c>
      <x:c r="I543" t="n">
        <x:f>IF(H543&gt;0,1,0)</x:f>
        <x:v>0</x:v>
      </x:c>
      <x:c r="J543" t="str">
        <x:f>IF(OR(I543=0,F543="",F543=0),"",H543/F543)</x:f>
      </x:c>
      <x:c r="K543" t="str">
        <x:f>IF(OR(I543=0,H543=0,F543=""),"",F543/H543)</x:f>
      </x:c>
      <x:c r="L543" t="str">
        <x:f>IF(OR(I543=0,F543="",G543="",F543=0,G543=0),"",H543/(F543*G543))</x:f>
      </x:c>
      <x:c r="M543" t="str">
        <x:f>IF(J543="","",J543/_xlfn.MAXIFS($J:$J,$D:$D,D543))</x:f>
      </x:c>
      <x:c r="N543" t="str">
        <x:f>IF(L543="","",L543/_xlfn.MAXIFS($L:$L,$D:$D,D543))</x:f>
      </x:c>
      <x:c r="O543" t="str">
        <x:f>IF(OR(M543="",N543=""),"",SQRT(M543*N543))</x:f>
      </x:c>
      <x:c r="P543" t="str">
        <x:f>IF(OR(M543="",N543=""),"",M543^0.7*N543^0.3)</x:f>
      </x:c>
      <x:c r="Q543" t="str">
        <x:f>IF(OR(M543="",N543=""),"",M543^0.3*N543^0.7)</x:f>
      </x:c>
    </x:row>
    <x:row r="544">
      <x:c r="A544" t="inlineStr">
        <x:is>
          <x:t xml:space="preserve">xiaomi|mimo-v2.6-flash|reasoning|reasoning|fallback-na</x:t>
        </x:is>
      </x:c>
      <x:c r="B544" t="inlineStr">
        <x:is>
          <x:t xml:space="preserve">AA|v4.3.2</x:t>
        </x:is>
      </x:c>
      <x:c r="C544" t="n">
        <x:v>69</x:v>
      </x:c>
      <x:c r="D544" t="n">
        <x:v>65</x:v>
      </x:c>
      <x:c r="E544" t="n">
        <x:f>INDEX(Model_TestVersion_Stats!$W:$W,C544)</x:f>
        <x:v>38</x:v>
      </x:c>
      <x:c r="F544" t="n">
        <x:f>INDEX(Model_TestVersion_Stats!$O:$O,C544)</x:f>
        <x:v>0.06</x:v>
      </x:c>
      <x:c r="G544" t="n">
        <x:f>IF(INDEX(Model_TestVersion_Stats!$R:$R,C544)="","",INDEX(Model_TestVersion_Stats!$R:$R,C544)/60)</x:f>
        <x:v>20.88566666666667</x:v>
      </x:c>
      <x:c r="H544" t="n">
        <x:f>IF(E544="","",E544-(D544-1))</x:f>
        <x:v>-26</x:v>
      </x:c>
      <x:c r="I544" t="n">
        <x:f>IF(H544&gt;0,1,0)</x:f>
        <x:v>0</x:v>
      </x:c>
      <x:c r="J544" t="str">
        <x:f>IF(OR(I544=0,F544="",F544=0),"",H544/F544)</x:f>
      </x:c>
      <x:c r="K544" t="str">
        <x:f>IF(OR(I544=0,H544=0,F544=""),"",F544/H544)</x:f>
      </x:c>
      <x:c r="L544" t="str">
        <x:f>IF(OR(I544=0,F544="",G544="",F544=0,G544=0),"",H544/(F544*G544))</x:f>
      </x:c>
      <x:c r="M544" t="str">
        <x:f>IF(J544="","",J544/_xlfn.MAXIFS($J:$J,$D:$D,D544))</x:f>
      </x:c>
      <x:c r="N544" t="str">
        <x:f>IF(L544="","",L544/_xlfn.MAXIFS($L:$L,$D:$D,D544))</x:f>
      </x:c>
      <x:c r="O544" t="str">
        <x:f>IF(OR(M544="",N544=""),"",SQRT(M544*N544))</x:f>
      </x:c>
      <x:c r="P544" t="str">
        <x:f>IF(OR(M544="",N544=""),"",M544^0.7*N544^0.3)</x:f>
      </x:c>
      <x:c r="Q544" t="str">
        <x:f>IF(OR(M544="",N544=""),"",M544^0.3*N544^0.7)</x:f>
      </x:c>
    </x:row>
    <x:row r="545">
      <x:c r="A545" t="inlineStr">
        <x:is>
          <x:t xml:space="preserve">xiaomi|mimo-v2.6-flash|reasoning|reasoning|fallback-na</x:t>
        </x:is>
      </x:c>
      <x:c r="B545" t="inlineStr">
        <x:is>
          <x:t xml:space="preserve">AA|v4.3.2</x:t>
        </x:is>
      </x:c>
      <x:c r="C545" t="n">
        <x:v>69</x:v>
      </x:c>
      <x:c r="D545" t="n">
        <x:v>80</x:v>
      </x:c>
      <x:c r="E545" t="n">
        <x:f>INDEX(Model_TestVersion_Stats!$W:$W,C545)</x:f>
        <x:v>38</x:v>
      </x:c>
      <x:c r="F545" t="n">
        <x:f>INDEX(Model_TestVersion_Stats!$O:$O,C545)</x:f>
        <x:v>0.06</x:v>
      </x:c>
      <x:c r="G545" t="n">
        <x:f>IF(INDEX(Model_TestVersion_Stats!$R:$R,C545)="","",INDEX(Model_TestVersion_Stats!$R:$R,C545)/60)</x:f>
        <x:v>20.88566666666667</x:v>
      </x:c>
      <x:c r="H545" t="n">
        <x:f>IF(E545="","",E545-(D545-1))</x:f>
        <x:v>-41</x:v>
      </x:c>
      <x:c r="I545" t="n">
        <x:f>IF(H545&gt;0,1,0)</x:f>
        <x:v>0</x:v>
      </x:c>
      <x:c r="J545" t="str">
        <x:f>IF(OR(I545=0,F545="",F545=0),"",H545/F545)</x:f>
      </x:c>
      <x:c r="K545" t="str">
        <x:f>IF(OR(I545=0,H545=0,F545=""),"",F545/H545)</x:f>
      </x:c>
      <x:c r="L545" t="str">
        <x:f>IF(OR(I545=0,F545="",G545="",F545=0,G545=0),"",H545/(F545*G545))</x:f>
      </x:c>
      <x:c r="M545" t="str">
        <x:f>IF(J545="","",J545/_xlfn.MAXIFS($J:$J,$D:$D,D545))</x:f>
      </x:c>
      <x:c r="N545" t="str">
        <x:f>IF(L545="","",L545/_xlfn.MAXIFS($L:$L,$D:$D,D545))</x:f>
      </x:c>
      <x:c r="O545" t="str">
        <x:f>IF(OR(M545="",N545=""),"",SQRT(M545*N545))</x:f>
      </x:c>
      <x:c r="P545" t="str">
        <x:f>IF(OR(M545="",N545=""),"",M545^0.7*N545^0.3)</x:f>
      </x:c>
      <x:c r="Q545" t="str">
        <x:f>IF(OR(M545="",N545=""),"",M545^0.3*N545^0.7)</x:f>
      </x:c>
    </x:row>
    <x:row r="546">
      <x:c r="A546" t="inlineStr">
        <x:is>
          <x:t xml:space="preserve">z-ai|glm-5.3-flash|reasoning|reasoning|fallback-na</x:t>
        </x:is>
      </x:c>
      <x:c r="B546" t="inlineStr">
        <x:is>
          <x:t xml:space="preserve">AA|v4.3.2</x:t>
        </x:is>
      </x:c>
      <x:c r="C546" t="n">
        <x:v>70</x:v>
      </x:c>
      <x:c r="D546" t="n">
        <x:v>20</x:v>
      </x:c>
      <x:c r="E546" t="n">
        <x:f>INDEX(Model_TestVersion_Stats!$W:$W,C546)</x:f>
        <x:v>42</x:v>
      </x:c>
      <x:c r="F546" t="n">
        <x:f>INDEX(Model_TestVersion_Stats!$O:$O,C546)</x:f>
        <x:v>0.25</x:v>
      </x:c>
      <x:c r="G546" t="n">
        <x:f>IF(INDEX(Model_TestVersion_Stats!$R:$R,C546)="","",INDEX(Model_TestVersion_Stats!$R:$R,C546)/60)</x:f>
        <x:v>16.402333333333335</x:v>
      </x:c>
      <x:c r="H546" t="n">
        <x:f>IF(E546="","",E546-(D546-1))</x:f>
        <x:v>23</x:v>
      </x:c>
      <x:c r="I546" t="n">
        <x:f>IF(H546&gt;0,1,0)</x:f>
        <x:v>1</x:v>
      </x:c>
      <x:c r="J546" t="n">
        <x:f>IF(OR(I546=0,F546="",F546=0),"",H546/F546)</x:f>
        <x:v>92</x:v>
      </x:c>
      <x:c r="K546" t="n">
        <x:f>IF(OR(I546=0,H546=0,F546=""),"",F546/H546)</x:f>
        <x:v>0.010869565217391304</x:v>
      </x:c>
      <x:c r="L546" t="n">
        <x:f>IF(OR(I546=0,F546="",G546="",F546=0,G546=0),"",H546/(F546*G546))</x:f>
        <x:v>5.608958075070619</x:v>
      </x:c>
      <x:c r="M546" t="n">
        <x:f>IF(J546="","",J546/_xlfn.MAXIFS($J:$J,$D:$D,D546))</x:f>
        <x:v>0.1656</x:v>
      </x:c>
      <x:c r="N546" t="n">
        <x:f>IF(L546="","",L546/_xlfn.MAXIFS($L:$L,$D:$D,D546))</x:f>
        <x:v>0.0023776373280224358</x:v>
      </x:c>
      <x:c r="O546" t="n">
        <x:f>IF(OR(M546="",N546=""),"",SQRT(M546*N546))</x:f>
        <x:v>0.019842800747891295</x:v>
      </x:c>
      <x:c r="P546" t="n">
        <x:f>IF(OR(M546="",N546=""),"",M546^0.7*N546^0.3)</x:f>
        <x:v>0.04636453578210375</x:v>
      </x:c>
      <x:c r="Q546" t="n">
        <x:f>IF(OR(M546="",N546=""),"",M546^0.3*N546^0.7)</x:f>
        <x:v>0.008492196349618019</x:v>
      </x:c>
    </x:row>
    <x:row r="547">
      <x:c r="A547" t="inlineStr">
        <x:is>
          <x:t xml:space="preserve">z-ai|glm-5.3-flash|reasoning|reasoning|fallback-na</x:t>
        </x:is>
      </x:c>
      <x:c r="B547" t="inlineStr">
        <x:is>
          <x:t xml:space="preserve">AA|v4.3.2</x:t>
        </x:is>
      </x:c>
      <x:c r="C547" t="n">
        <x:v>70</x:v>
      </x:c>
      <x:c r="D547" t="n">
        <x:v>30</x:v>
      </x:c>
      <x:c r="E547" t="n">
        <x:f>INDEX(Model_TestVersion_Stats!$W:$W,C547)</x:f>
        <x:v>42</x:v>
      </x:c>
      <x:c r="F547" t="n">
        <x:f>INDEX(Model_TestVersion_Stats!$O:$O,C547)</x:f>
        <x:v>0.25</x:v>
      </x:c>
      <x:c r="G547" t="n">
        <x:f>IF(INDEX(Model_TestVersion_Stats!$R:$R,C547)="","",INDEX(Model_TestVersion_Stats!$R:$R,C547)/60)</x:f>
        <x:v>16.402333333333335</x:v>
      </x:c>
      <x:c r="H547" t="n">
        <x:f>IF(E547="","",E547-(D547-1))</x:f>
        <x:v>13</x:v>
      </x:c>
      <x:c r="I547" t="n">
        <x:f>IF(H547&gt;0,1,0)</x:f>
        <x:v>1</x:v>
      </x:c>
      <x:c r="J547" t="n">
        <x:f>IF(OR(I547=0,F547="",F547=0),"",H547/F547)</x:f>
        <x:v>52</x:v>
      </x:c>
      <x:c r="K547" t="n">
        <x:f>IF(OR(I547=0,H547=0,F547=""),"",F547/H547)</x:f>
        <x:v>0.019230769230769232</x:v>
      </x:c>
      <x:c r="L547" t="n">
        <x:f>IF(OR(I547=0,F547="",G547="",F547=0,G547=0),"",H547/(F547*G547))</x:f>
        <x:v>3.170280651126872</x:v>
      </x:c>
      <x:c r="M547" t="n">
        <x:f>IF(J547="","",J547/_xlfn.MAXIFS($J:$J,$D:$D,D547))</x:f>
        <x:v>0.3466666666666667</x:v>
      </x:c>
      <x:c r="N547" t="n">
        <x:f>IF(L547="","",L547/_xlfn.MAXIFS($L:$L,$D:$D,D547))</x:f>
        <x:v>0.05642148474810495</x:v>
      </x:c>
      <x:c r="O547" t="n">
        <x:f>IF(OR(M547="",N547=""),"",SQRT(M547*N547))</x:f>
        <x:v>0.13985509660362655</x:v>
      </x:c>
      <x:c r="P547" t="n">
        <x:f>IF(OR(M547="",N547=""),"",M547^0.7*N547^0.3)</x:f>
        <x:v>0.20108135929890927</x:v>
      </x:c>
      <x:c r="Q547" t="n">
        <x:f>IF(OR(M547="",N547=""),"",M547^0.3*N547^0.7)</x:f>
        <x:v>0.09727131403032949</x:v>
      </x:c>
    </x:row>
    <x:row r="548">
      <x:c r="A548" t="inlineStr">
        <x:is>
          <x:t xml:space="preserve">z-ai|glm-5.3-flash|reasoning|reasoning|fallback-na</x:t>
        </x:is>
      </x:c>
      <x:c r="B548" t="inlineStr">
        <x:is>
          <x:t xml:space="preserve">AA|v4.3.2</x:t>
        </x:is>
      </x:c>
      <x:c r="C548" t="n">
        <x:v>70</x:v>
      </x:c>
      <x:c r="D548" t="n">
        <x:v>40</x:v>
      </x:c>
      <x:c r="E548" t="n">
        <x:f>INDEX(Model_TestVersion_Stats!$W:$W,C548)</x:f>
        <x:v>42</x:v>
      </x:c>
      <x:c r="F548" t="n">
        <x:f>INDEX(Model_TestVersion_Stats!$O:$O,C548)</x:f>
        <x:v>0.25</x:v>
      </x:c>
      <x:c r="G548" t="n">
        <x:f>IF(INDEX(Model_TestVersion_Stats!$R:$R,C548)="","",INDEX(Model_TestVersion_Stats!$R:$R,C548)/60)</x:f>
        <x:v>16.402333333333335</x:v>
      </x:c>
      <x:c r="H548" t="n">
        <x:f>IF(E548="","",E548-(D548-1))</x:f>
        <x:v>3</x:v>
      </x:c>
      <x:c r="I548" t="n">
        <x:f>IF(H548&gt;0,1,0)</x:f>
        <x:v>1</x:v>
      </x:c>
      <x:c r="J548" t="n">
        <x:f>IF(OR(I548=0,F548="",F548=0),"",H548/F548)</x:f>
        <x:v>12</x:v>
      </x:c>
      <x:c r="K548" t="n">
        <x:f>IF(OR(I548=0,H548=0,F548=""),"",F548/H548)</x:f>
        <x:v>0.08333333333333333</x:v>
      </x:c>
      <x:c r="L548" t="n">
        <x:f>IF(OR(I548=0,F548="",G548="",F548=0,G548=0),"",H548/(F548*G548))</x:f>
        <x:v>0.7316032271831243</x:v>
      </x:c>
      <x:c r="M548" t="n">
        <x:f>IF(J548="","",J548/_xlfn.MAXIFS($J:$J,$D:$D,D548))</x:f>
        <x:v>0.22285714285714286</x:v>
      </x:c>
      <x:c r="N548" t="n">
        <x:f>IF(L548="","",L548/_xlfn.MAXIFS($L:$L,$D:$D,D548))</x:f>
        <x:v>0.1213970137814306</x:v>
      </x:c>
      <x:c r="O548" t="n">
        <x:f>IF(OR(M548="",N548=""),"",SQRT(M548*N548))</x:f>
        <x:v>0.16448158450938763</x:v>
      </x:c>
      <x:c r="P548" t="n">
        <x:f>IF(OR(M548="",N548=""),"",M548^0.7*N548^0.3)</x:f>
        <x:v>0.185729543787613</x:v>
      </x:c>
      <x:c r="Q548" t="n">
        <x:f>IF(OR(M548="",N548=""),"",M548^0.3*N548^0.7)</x:f>
        <x:v>0.14566444891317912</x:v>
      </x:c>
    </x:row>
    <x:row r="549">
      <x:c r="A549" t="inlineStr">
        <x:is>
          <x:t xml:space="preserve">z-ai|glm-5.3-flash|reasoning|reasoning|fallback-na</x:t>
        </x:is>
      </x:c>
      <x:c r="B549" t="inlineStr">
        <x:is>
          <x:t xml:space="preserve">AA|v4.3.2</x:t>
        </x:is>
      </x:c>
      <x:c r="C549" t="n">
        <x:v>70</x:v>
      </x:c>
      <x:c r="D549" t="n">
        <x:v>45</x:v>
      </x:c>
      <x:c r="E549" t="n">
        <x:f>INDEX(Model_TestVersion_Stats!$W:$W,C549)</x:f>
        <x:v>42</x:v>
      </x:c>
      <x:c r="F549" t="n">
        <x:f>INDEX(Model_TestVersion_Stats!$O:$O,C549)</x:f>
        <x:v>0.25</x:v>
      </x:c>
      <x:c r="G549" t="n">
        <x:f>IF(INDEX(Model_TestVersion_Stats!$R:$R,C549)="","",INDEX(Model_TestVersion_Stats!$R:$R,C549)/60)</x:f>
        <x:v>16.402333333333335</x:v>
      </x:c>
      <x:c r="H549" t="n">
        <x:f>IF(E549="","",E549-(D549-1))</x:f>
        <x:v>-2</x:v>
      </x:c>
      <x:c r="I549" t="n">
        <x:f>IF(H549&gt;0,1,0)</x:f>
        <x:v>0</x:v>
      </x:c>
      <x:c r="J549" t="str">
        <x:f>IF(OR(I549=0,F549="",F549=0),"",H549/F549)</x:f>
      </x:c>
      <x:c r="K549" t="str">
        <x:f>IF(OR(I549=0,H549=0,F549=""),"",F549/H549)</x:f>
      </x:c>
      <x:c r="L549" t="str">
        <x:f>IF(OR(I549=0,F549="",G549="",F549=0,G549=0),"",H549/(F549*G549))</x:f>
      </x:c>
      <x:c r="M549" t="str">
        <x:f>IF(J549="","",J549/_xlfn.MAXIFS($J:$J,$D:$D,D549))</x:f>
      </x:c>
      <x:c r="N549" t="str">
        <x:f>IF(L549="","",L549/_xlfn.MAXIFS($L:$L,$D:$D,D549))</x:f>
      </x:c>
      <x:c r="O549" t="str">
        <x:f>IF(OR(M549="",N549=""),"",SQRT(M549*N549))</x:f>
      </x:c>
      <x:c r="P549" t="str">
        <x:f>IF(OR(M549="",N549=""),"",M549^0.7*N549^0.3)</x:f>
      </x:c>
      <x:c r="Q549" t="str">
        <x:f>IF(OR(M549="",N549=""),"",M549^0.3*N549^0.7)</x:f>
      </x:c>
    </x:row>
    <x:row r="550">
      <x:c r="A550" t="inlineStr">
        <x:is>
          <x:t xml:space="preserve">z-ai|glm-5.3-flash|reasoning|reasoning|fallback-na</x:t>
        </x:is>
      </x:c>
      <x:c r="B550" t="inlineStr">
        <x:is>
          <x:t xml:space="preserve">AA|v4.3.2</x:t>
        </x:is>
      </x:c>
      <x:c r="C550" t="n">
        <x:v>70</x:v>
      </x:c>
      <x:c r="D550" t="n">
        <x:v>50</x:v>
      </x:c>
      <x:c r="E550" t="n">
        <x:f>INDEX(Model_TestVersion_Stats!$W:$W,C550)</x:f>
        <x:v>42</x:v>
      </x:c>
      <x:c r="F550" t="n">
        <x:f>INDEX(Model_TestVersion_Stats!$O:$O,C550)</x:f>
        <x:v>0.25</x:v>
      </x:c>
      <x:c r="G550" t="n">
        <x:f>IF(INDEX(Model_TestVersion_Stats!$R:$R,C550)="","",INDEX(Model_TestVersion_Stats!$R:$R,C550)/60)</x:f>
        <x:v>16.402333333333335</x:v>
      </x:c>
      <x:c r="H550" t="n">
        <x:f>IF(E550="","",E550-(D550-1))</x:f>
        <x:v>-7</x:v>
      </x:c>
      <x:c r="I550" t="n">
        <x:f>IF(H550&gt;0,1,0)</x:f>
        <x:v>0</x:v>
      </x:c>
      <x:c r="J550" t="str">
        <x:f>IF(OR(I550=0,F550="",F550=0),"",H550/F550)</x:f>
      </x:c>
      <x:c r="K550" t="str">
        <x:f>IF(OR(I550=0,H550=0,F550=""),"",F550/H550)</x:f>
      </x:c>
      <x:c r="L550" t="str">
        <x:f>IF(OR(I550=0,F550="",G550="",F550=0,G550=0),"",H550/(F550*G550))</x:f>
      </x:c>
      <x:c r="M550" t="str">
        <x:f>IF(J550="","",J550/_xlfn.MAXIFS($J:$J,$D:$D,D550))</x:f>
      </x:c>
      <x:c r="N550" t="str">
        <x:f>IF(L550="","",L550/_xlfn.MAXIFS($L:$L,$D:$D,D550))</x:f>
      </x:c>
      <x:c r="O550" t="str">
        <x:f>IF(OR(M550="",N550=""),"",SQRT(M550*N550))</x:f>
      </x:c>
      <x:c r="P550" t="str">
        <x:f>IF(OR(M550="",N550=""),"",M550^0.7*N550^0.3)</x:f>
      </x:c>
      <x:c r="Q550" t="str">
        <x:f>IF(OR(M550="",N550=""),"",M550^0.3*N550^0.7)</x:f>
      </x:c>
    </x:row>
    <x:row r="551">
      <x:c r="A551" t="inlineStr">
        <x:is>
          <x:t xml:space="preserve">z-ai|glm-5.3-flash|reasoning|reasoning|fallback-na</x:t>
        </x:is>
      </x:c>
      <x:c r="B551" t="inlineStr">
        <x:is>
          <x:t xml:space="preserve">AA|v4.3.2</x:t>
        </x:is>
      </x:c>
      <x:c r="C551" t="n">
        <x:v>70</x:v>
      </x:c>
      <x:c r="D551" t="n">
        <x:v>52</x:v>
      </x:c>
      <x:c r="E551" t="n">
        <x:f>INDEX(Model_TestVersion_Stats!$W:$W,C551)</x:f>
        <x:v>42</x:v>
      </x:c>
      <x:c r="F551" t="n">
        <x:f>INDEX(Model_TestVersion_Stats!$O:$O,C551)</x:f>
        <x:v>0.25</x:v>
      </x:c>
      <x:c r="G551" t="n">
        <x:f>IF(INDEX(Model_TestVersion_Stats!$R:$R,C551)="","",INDEX(Model_TestVersion_Stats!$R:$R,C551)/60)</x:f>
        <x:v>16.402333333333335</x:v>
      </x:c>
      <x:c r="H551" t="n">
        <x:f>IF(E551="","",E551-(D551-1))</x:f>
        <x:v>-9</x:v>
      </x:c>
      <x:c r="I551" t="n">
        <x:f>IF(H551&gt;0,1,0)</x:f>
        <x:v>0</x:v>
      </x:c>
      <x:c r="J551" t="str">
        <x:f>IF(OR(I551=0,F551="",F551=0),"",H551/F551)</x:f>
      </x:c>
      <x:c r="K551" t="str">
        <x:f>IF(OR(I551=0,H551=0,F551=""),"",F551/H551)</x:f>
      </x:c>
      <x:c r="L551" t="str">
        <x:f>IF(OR(I551=0,F551="",G551="",F551=0,G551=0),"",H551/(F551*G551))</x:f>
      </x:c>
      <x:c r="M551" t="str">
        <x:f>IF(J551="","",J551/_xlfn.MAXIFS($J:$J,$D:$D,D551))</x:f>
      </x:c>
      <x:c r="N551" t="str">
        <x:f>IF(L551="","",L551/_xlfn.MAXIFS($L:$L,$D:$D,D551))</x:f>
      </x:c>
      <x:c r="O551" t="str">
        <x:f>IF(OR(M551="",N551=""),"",SQRT(M551*N551))</x:f>
      </x:c>
      <x:c r="P551" t="str">
        <x:f>IF(OR(M551="",N551=""),"",M551^0.7*N551^0.3)</x:f>
      </x:c>
      <x:c r="Q551" t="str">
        <x:f>IF(OR(M551="",N551=""),"",M551^0.3*N551^0.7)</x:f>
      </x:c>
    </x:row>
    <x:row r="552">
      <x:c r="A552" t="inlineStr">
        <x:is>
          <x:t xml:space="preserve">z-ai|glm-5.3-flash|reasoning|reasoning|fallback-na</x:t>
        </x:is>
      </x:c>
      <x:c r="B552" t="inlineStr">
        <x:is>
          <x:t xml:space="preserve">AA|v4.3.2</x:t>
        </x:is>
      </x:c>
      <x:c r="C552" t="n">
        <x:v>70</x:v>
      </x:c>
      <x:c r="D552" t="n">
        <x:v>65</x:v>
      </x:c>
      <x:c r="E552" t="n">
        <x:f>INDEX(Model_TestVersion_Stats!$W:$W,C552)</x:f>
        <x:v>42</x:v>
      </x:c>
      <x:c r="F552" t="n">
        <x:f>INDEX(Model_TestVersion_Stats!$O:$O,C552)</x:f>
        <x:v>0.25</x:v>
      </x:c>
      <x:c r="G552" t="n">
        <x:f>IF(INDEX(Model_TestVersion_Stats!$R:$R,C552)="","",INDEX(Model_TestVersion_Stats!$R:$R,C552)/60)</x:f>
        <x:v>16.402333333333335</x:v>
      </x:c>
      <x:c r="H552" t="n">
        <x:f>IF(E552="","",E552-(D552-1))</x:f>
        <x:v>-22</x:v>
      </x:c>
      <x:c r="I552" t="n">
        <x:f>IF(H552&gt;0,1,0)</x:f>
        <x:v>0</x:v>
      </x:c>
      <x:c r="J552" t="str">
        <x:f>IF(OR(I552=0,F552="",F552=0),"",H552/F552)</x:f>
      </x:c>
      <x:c r="K552" t="str">
        <x:f>IF(OR(I552=0,H552=0,F552=""),"",F552/H552)</x:f>
      </x:c>
      <x:c r="L552" t="str">
        <x:f>IF(OR(I552=0,F552="",G552="",F552=0,G552=0),"",H552/(F552*G552))</x:f>
      </x:c>
      <x:c r="M552" t="str">
        <x:f>IF(J552="","",J552/_xlfn.MAXIFS($J:$J,$D:$D,D552))</x:f>
      </x:c>
      <x:c r="N552" t="str">
        <x:f>IF(L552="","",L552/_xlfn.MAXIFS($L:$L,$D:$D,D552))</x:f>
      </x:c>
      <x:c r="O552" t="str">
        <x:f>IF(OR(M552="",N552=""),"",SQRT(M552*N552))</x:f>
      </x:c>
      <x:c r="P552" t="str">
        <x:f>IF(OR(M552="",N552=""),"",M552^0.7*N552^0.3)</x:f>
      </x:c>
      <x:c r="Q552" t="str">
        <x:f>IF(OR(M552="",N552=""),"",M552^0.3*N552^0.7)</x:f>
      </x:c>
    </x:row>
    <x:row r="553">
      <x:c r="A553" t="inlineStr">
        <x:is>
          <x:t xml:space="preserve">z-ai|glm-5.3-flash|reasoning|reasoning|fallback-na</x:t>
        </x:is>
      </x:c>
      <x:c r="B553" t="inlineStr">
        <x:is>
          <x:t xml:space="preserve">AA|v4.3.2</x:t>
        </x:is>
      </x:c>
      <x:c r="C553" t="n">
        <x:v>70</x:v>
      </x:c>
      <x:c r="D553" t="n">
        <x:v>80</x:v>
      </x:c>
      <x:c r="E553" t="n">
        <x:f>INDEX(Model_TestVersion_Stats!$W:$W,C553)</x:f>
        <x:v>42</x:v>
      </x:c>
      <x:c r="F553" t="n">
        <x:f>INDEX(Model_TestVersion_Stats!$O:$O,C553)</x:f>
        <x:v>0.25</x:v>
      </x:c>
      <x:c r="G553" t="n">
        <x:f>IF(INDEX(Model_TestVersion_Stats!$R:$R,C553)="","",INDEX(Model_TestVersion_Stats!$R:$R,C553)/60)</x:f>
        <x:v>16.402333333333335</x:v>
      </x:c>
      <x:c r="H553" t="n">
        <x:f>IF(E553="","",E553-(D553-1))</x:f>
        <x:v>-37</x:v>
      </x:c>
      <x:c r="I553" t="n">
        <x:f>IF(H553&gt;0,1,0)</x:f>
        <x:v>0</x:v>
      </x:c>
      <x:c r="J553" t="str">
        <x:f>IF(OR(I553=0,F553="",F553=0),"",H553/F553)</x:f>
      </x:c>
      <x:c r="K553" t="str">
        <x:f>IF(OR(I553=0,H553=0,F553=""),"",F553/H553)</x:f>
      </x:c>
      <x:c r="L553" t="str">
        <x:f>IF(OR(I553=0,F553="",G553="",F553=0,G553=0),"",H553/(F553*G553))</x:f>
      </x:c>
      <x:c r="M553" t="str">
        <x:f>IF(J553="","",J553/_xlfn.MAXIFS($J:$J,$D:$D,D553))</x:f>
      </x:c>
      <x:c r="N553" t="str">
        <x:f>IF(L553="","",L553/_xlfn.MAXIFS($L:$L,$D:$D,D553))</x:f>
      </x:c>
      <x:c r="O553" t="str">
        <x:f>IF(OR(M553="",N553=""),"",SQRT(M553*N553))</x:f>
      </x:c>
      <x:c r="P553" t="str">
        <x:f>IF(OR(M553="",N553=""),"",M553^0.7*N553^0.3)</x:f>
      </x:c>
      <x:c r="Q553" t="str">
        <x:f>IF(OR(M553="",N553=""),"",M553^0.3*N553^0.7)</x:f>
      </x:c>
    </x:row>
    <x:row r="554">
      <x:c r="A554" t="inlineStr">
        <x:is>
          <x:t xml:space="preserve">z-ai|glm-5.3|low|reasoning|fallback-na</x:t>
        </x:is>
      </x:c>
      <x:c r="B554" t="inlineStr">
        <x:is>
          <x:t xml:space="preserve">AA|v4.3.2</x:t>
        </x:is>
      </x:c>
      <x:c r="C554" t="n">
        <x:v>71</x:v>
      </x:c>
      <x:c r="D554" t="n">
        <x:v>20</x:v>
      </x:c>
      <x:c r="E554" t="n">
        <x:f>INDEX(Model_TestVersion_Stats!$W:$W,C554)</x:f>
        <x:v>34</x:v>
      </x:c>
      <x:c r="F554" t="n">
        <x:f>INDEX(Model_TestVersion_Stats!$O:$O,C554)</x:f>
        <x:v>0.85</x:v>
      </x:c>
      <x:c r="G554" t="str">
        <x:f>IF(INDEX(Model_TestVersion_Stats!$R:$R,C554)="","",INDEX(Model_TestVersion_Stats!$R:$R,C554)/60)</x:f>
      </x:c>
      <x:c r="H554" t="n">
        <x:f>IF(E554="","",E554-(D554-1))</x:f>
        <x:v>15</x:v>
      </x:c>
      <x:c r="I554" t="n">
        <x:f>IF(H554&gt;0,1,0)</x:f>
        <x:v>1</x:v>
      </x:c>
      <x:c r="J554" t="n">
        <x:f>IF(OR(I554=0,F554="",F554=0),"",H554/F554)</x:f>
        <x:v>17.647058823529413</x:v>
      </x:c>
      <x:c r="K554" t="n">
        <x:f>IF(OR(I554=0,H554=0,F554=""),"",F554/H554)</x:f>
        <x:v>0.056666666666666664</x:v>
      </x:c>
      <x:c r="L554" t="str">
        <x:f>IF(OR(I554=0,F554="",G554="",F554=0,G554=0),"",H554/(F554*G554))</x:f>
      </x:c>
      <x:c r="M554" t="n">
        <x:f>IF(J554="","",J554/_xlfn.MAXIFS($J:$J,$D:$D,D554))</x:f>
        <x:v>0.031764705882352945</x:v>
      </x:c>
      <x:c r="N554" t="str">
        <x:f>IF(L554="","",L554/_xlfn.MAXIFS($L:$L,$D:$D,D554))</x:f>
      </x:c>
      <x:c r="O554" t="str">
        <x:f>IF(OR(M554="",N554=""),"",SQRT(M554*N554))</x:f>
      </x:c>
      <x:c r="P554" t="str">
        <x:f>IF(OR(M554="",N554=""),"",M554^0.7*N554^0.3)</x:f>
      </x:c>
      <x:c r="Q554" t="str">
        <x:f>IF(OR(M554="",N554=""),"",M554^0.3*N554^0.7)</x:f>
      </x:c>
    </x:row>
    <x:row r="555">
      <x:c r="A555" t="inlineStr">
        <x:is>
          <x:t xml:space="preserve">z-ai|glm-5.3|low|reasoning|fallback-na</x:t>
        </x:is>
      </x:c>
      <x:c r="B555" t="inlineStr">
        <x:is>
          <x:t xml:space="preserve">AA|v4.3.2</x:t>
        </x:is>
      </x:c>
      <x:c r="C555" t="n">
        <x:v>71</x:v>
      </x:c>
      <x:c r="D555" t="n">
        <x:v>30</x:v>
      </x:c>
      <x:c r="E555" t="n">
        <x:f>INDEX(Model_TestVersion_Stats!$W:$W,C555)</x:f>
        <x:v>34</x:v>
      </x:c>
      <x:c r="F555" t="n">
        <x:f>INDEX(Model_TestVersion_Stats!$O:$O,C555)</x:f>
        <x:v>0.85</x:v>
      </x:c>
      <x:c r="G555" t="str">
        <x:f>IF(INDEX(Model_TestVersion_Stats!$R:$R,C555)="","",INDEX(Model_TestVersion_Stats!$R:$R,C555)/60)</x:f>
      </x:c>
      <x:c r="H555" t="n">
        <x:f>IF(E555="","",E555-(D555-1))</x:f>
        <x:v>5</x:v>
      </x:c>
      <x:c r="I555" t="n">
        <x:f>IF(H555&gt;0,1,0)</x:f>
        <x:v>1</x:v>
      </x:c>
      <x:c r="J555" t="n">
        <x:f>IF(OR(I555=0,F555="",F555=0),"",H555/F555)</x:f>
        <x:v>5.882352941176471</x:v>
      </x:c>
      <x:c r="K555" t="n">
        <x:f>IF(OR(I555=0,H555=0,F555=""),"",F555/H555)</x:f>
        <x:v>0.16999999999999998</x:v>
      </x:c>
      <x:c r="L555" t="str">
        <x:f>IF(OR(I555=0,F555="",G555="",F555=0,G555=0),"",H555/(F555*G555))</x:f>
      </x:c>
      <x:c r="M555" t="n">
        <x:f>IF(J555="","",J555/_xlfn.MAXIFS($J:$J,$D:$D,D555))</x:f>
        <x:v>0.0392156862745098</x:v>
      </x:c>
      <x:c r="N555" t="str">
        <x:f>IF(L555="","",L555/_xlfn.MAXIFS($L:$L,$D:$D,D555))</x:f>
      </x:c>
      <x:c r="O555" t="str">
        <x:f>IF(OR(M555="",N555=""),"",SQRT(M555*N555))</x:f>
      </x:c>
      <x:c r="P555" t="str">
        <x:f>IF(OR(M555="",N555=""),"",M555^0.7*N555^0.3)</x:f>
      </x:c>
      <x:c r="Q555" t="str">
        <x:f>IF(OR(M555="",N555=""),"",M555^0.3*N555^0.7)</x:f>
      </x:c>
    </x:row>
    <x:row r="556">
      <x:c r="A556" t="inlineStr">
        <x:is>
          <x:t xml:space="preserve">z-ai|glm-5.3|low|reasoning|fallback-na</x:t>
        </x:is>
      </x:c>
      <x:c r="B556" t="inlineStr">
        <x:is>
          <x:t xml:space="preserve">AA|v4.3.2</x:t>
        </x:is>
      </x:c>
      <x:c r="C556" t="n">
        <x:v>71</x:v>
      </x:c>
      <x:c r="D556" t="n">
        <x:v>40</x:v>
      </x:c>
      <x:c r="E556" t="n">
        <x:f>INDEX(Model_TestVersion_Stats!$W:$W,C556)</x:f>
        <x:v>34</x:v>
      </x:c>
      <x:c r="F556" t="n">
        <x:f>INDEX(Model_TestVersion_Stats!$O:$O,C556)</x:f>
        <x:v>0.85</x:v>
      </x:c>
      <x:c r="G556" t="str">
        <x:f>IF(INDEX(Model_TestVersion_Stats!$R:$R,C556)="","",INDEX(Model_TestVersion_Stats!$R:$R,C556)/60)</x:f>
      </x:c>
      <x:c r="H556" t="n">
        <x:f>IF(E556="","",E556-(D556-1))</x:f>
        <x:v>-5</x:v>
      </x:c>
      <x:c r="I556" t="n">
        <x:f>IF(H556&gt;0,1,0)</x:f>
        <x:v>0</x:v>
      </x:c>
      <x:c r="J556" t="str">
        <x:f>IF(OR(I556=0,F556="",F556=0),"",H556/F556)</x:f>
      </x:c>
      <x:c r="K556" t="str">
        <x:f>IF(OR(I556=0,H556=0,F556=""),"",F556/H556)</x:f>
      </x:c>
      <x:c r="L556" t="str">
        <x:f>IF(OR(I556=0,F556="",G556="",F556=0,G556=0),"",H556/(F556*G556))</x:f>
      </x:c>
      <x:c r="M556" t="str">
        <x:f>IF(J556="","",J556/_xlfn.MAXIFS($J:$J,$D:$D,D556))</x:f>
      </x:c>
      <x:c r="N556" t="str">
        <x:f>IF(L556="","",L556/_xlfn.MAXIFS($L:$L,$D:$D,D556))</x:f>
      </x:c>
      <x:c r="O556" t="str">
        <x:f>IF(OR(M556="",N556=""),"",SQRT(M556*N556))</x:f>
      </x:c>
      <x:c r="P556" t="str">
        <x:f>IF(OR(M556="",N556=""),"",M556^0.7*N556^0.3)</x:f>
      </x:c>
      <x:c r="Q556" t="str">
        <x:f>IF(OR(M556="",N556=""),"",M556^0.3*N556^0.7)</x:f>
      </x:c>
    </x:row>
    <x:row r="557">
      <x:c r="A557" t="inlineStr">
        <x:is>
          <x:t xml:space="preserve">z-ai|glm-5.3|low|reasoning|fallback-na</x:t>
        </x:is>
      </x:c>
      <x:c r="B557" t="inlineStr">
        <x:is>
          <x:t xml:space="preserve">AA|v4.3.2</x:t>
        </x:is>
      </x:c>
      <x:c r="C557" t="n">
        <x:v>71</x:v>
      </x:c>
      <x:c r="D557" t="n">
        <x:v>45</x:v>
      </x:c>
      <x:c r="E557" t="n">
        <x:f>INDEX(Model_TestVersion_Stats!$W:$W,C557)</x:f>
        <x:v>34</x:v>
      </x:c>
      <x:c r="F557" t="n">
        <x:f>INDEX(Model_TestVersion_Stats!$O:$O,C557)</x:f>
        <x:v>0.85</x:v>
      </x:c>
      <x:c r="G557" t="str">
        <x:f>IF(INDEX(Model_TestVersion_Stats!$R:$R,C557)="","",INDEX(Model_TestVersion_Stats!$R:$R,C557)/60)</x:f>
      </x:c>
      <x:c r="H557" t="n">
        <x:f>IF(E557="","",E557-(D557-1))</x:f>
        <x:v>-10</x:v>
      </x:c>
      <x:c r="I557" t="n">
        <x:f>IF(H557&gt;0,1,0)</x:f>
        <x:v>0</x:v>
      </x:c>
      <x:c r="J557" t="str">
        <x:f>IF(OR(I557=0,F557="",F557=0),"",H557/F557)</x:f>
      </x:c>
      <x:c r="K557" t="str">
        <x:f>IF(OR(I557=0,H557=0,F557=""),"",F557/H557)</x:f>
      </x:c>
      <x:c r="L557" t="str">
        <x:f>IF(OR(I557=0,F557="",G557="",F557=0,G557=0),"",H557/(F557*G557))</x:f>
      </x:c>
      <x:c r="M557" t="str">
        <x:f>IF(J557="","",J557/_xlfn.MAXIFS($J:$J,$D:$D,D557))</x:f>
      </x:c>
      <x:c r="N557" t="str">
        <x:f>IF(L557="","",L557/_xlfn.MAXIFS($L:$L,$D:$D,D557))</x:f>
      </x:c>
      <x:c r="O557" t="str">
        <x:f>IF(OR(M557="",N557=""),"",SQRT(M557*N557))</x:f>
      </x:c>
      <x:c r="P557" t="str">
        <x:f>IF(OR(M557="",N557=""),"",M557^0.7*N557^0.3)</x:f>
      </x:c>
      <x:c r="Q557" t="str">
        <x:f>IF(OR(M557="",N557=""),"",M557^0.3*N557^0.7)</x:f>
      </x:c>
    </x:row>
    <x:row r="558">
      <x:c r="A558" t="inlineStr">
        <x:is>
          <x:t xml:space="preserve">z-ai|glm-5.3|low|reasoning|fallback-na</x:t>
        </x:is>
      </x:c>
      <x:c r="B558" t="inlineStr">
        <x:is>
          <x:t xml:space="preserve">AA|v4.3.2</x:t>
        </x:is>
      </x:c>
      <x:c r="C558" t="n">
        <x:v>71</x:v>
      </x:c>
      <x:c r="D558" t="n">
        <x:v>50</x:v>
      </x:c>
      <x:c r="E558" t="n">
        <x:f>INDEX(Model_TestVersion_Stats!$W:$W,C558)</x:f>
        <x:v>34</x:v>
      </x:c>
      <x:c r="F558" t="n">
        <x:f>INDEX(Model_TestVersion_Stats!$O:$O,C558)</x:f>
        <x:v>0.85</x:v>
      </x:c>
      <x:c r="G558" t="str">
        <x:f>IF(INDEX(Model_TestVersion_Stats!$R:$R,C558)="","",INDEX(Model_TestVersion_Stats!$R:$R,C558)/60)</x:f>
      </x:c>
      <x:c r="H558" t="n">
        <x:f>IF(E558="","",E558-(D558-1))</x:f>
        <x:v>-15</x:v>
      </x:c>
      <x:c r="I558" t="n">
        <x:f>IF(H558&gt;0,1,0)</x:f>
        <x:v>0</x:v>
      </x:c>
      <x:c r="J558" t="str">
        <x:f>IF(OR(I558=0,F558="",F558=0),"",H558/F558)</x:f>
      </x:c>
      <x:c r="K558" t="str">
        <x:f>IF(OR(I558=0,H558=0,F558=""),"",F558/H558)</x:f>
      </x:c>
      <x:c r="L558" t="str">
        <x:f>IF(OR(I558=0,F558="",G558="",F558=0,G558=0),"",H558/(F558*G558))</x:f>
      </x:c>
      <x:c r="M558" t="str">
        <x:f>IF(J558="","",J558/_xlfn.MAXIFS($J:$J,$D:$D,D558))</x:f>
      </x:c>
      <x:c r="N558" t="str">
        <x:f>IF(L558="","",L558/_xlfn.MAXIFS($L:$L,$D:$D,D558))</x:f>
      </x:c>
      <x:c r="O558" t="str">
        <x:f>IF(OR(M558="",N558=""),"",SQRT(M558*N558))</x:f>
      </x:c>
      <x:c r="P558" t="str">
        <x:f>IF(OR(M558="",N558=""),"",M558^0.7*N558^0.3)</x:f>
      </x:c>
      <x:c r="Q558" t="str">
        <x:f>IF(OR(M558="",N558=""),"",M558^0.3*N558^0.7)</x:f>
      </x:c>
    </x:row>
    <x:row r="559">
      <x:c r="A559" t="inlineStr">
        <x:is>
          <x:t xml:space="preserve">z-ai|glm-5.3|low|reasoning|fallback-na</x:t>
        </x:is>
      </x:c>
      <x:c r="B559" t="inlineStr">
        <x:is>
          <x:t xml:space="preserve">AA|v4.3.2</x:t>
        </x:is>
      </x:c>
      <x:c r="C559" t="n">
        <x:v>71</x:v>
      </x:c>
      <x:c r="D559" t="n">
        <x:v>52</x:v>
      </x:c>
      <x:c r="E559" t="n">
        <x:f>INDEX(Model_TestVersion_Stats!$W:$W,C559)</x:f>
        <x:v>34</x:v>
      </x:c>
      <x:c r="F559" t="n">
        <x:f>INDEX(Model_TestVersion_Stats!$O:$O,C559)</x:f>
        <x:v>0.85</x:v>
      </x:c>
      <x:c r="G559" t="str">
        <x:f>IF(INDEX(Model_TestVersion_Stats!$R:$R,C559)="","",INDEX(Model_TestVersion_Stats!$R:$R,C559)/60)</x:f>
      </x:c>
      <x:c r="H559" t="n">
        <x:f>IF(E559="","",E559-(D559-1))</x:f>
        <x:v>-17</x:v>
      </x:c>
      <x:c r="I559" t="n">
        <x:f>IF(H559&gt;0,1,0)</x:f>
        <x:v>0</x:v>
      </x:c>
      <x:c r="J559" t="str">
        <x:f>IF(OR(I559=0,F559="",F559=0),"",H559/F559)</x:f>
      </x:c>
      <x:c r="K559" t="str">
        <x:f>IF(OR(I559=0,H559=0,F559=""),"",F559/H559)</x:f>
      </x:c>
      <x:c r="L559" t="str">
        <x:f>IF(OR(I559=0,F559="",G559="",F559=0,G559=0),"",H559/(F559*G559))</x:f>
      </x:c>
      <x:c r="M559" t="str">
        <x:f>IF(J559="","",J559/_xlfn.MAXIFS($J:$J,$D:$D,D559))</x:f>
      </x:c>
      <x:c r="N559" t="str">
        <x:f>IF(L559="","",L559/_xlfn.MAXIFS($L:$L,$D:$D,D559))</x:f>
      </x:c>
      <x:c r="O559" t="str">
        <x:f>IF(OR(M559="",N559=""),"",SQRT(M559*N559))</x:f>
      </x:c>
      <x:c r="P559" t="str">
        <x:f>IF(OR(M559="",N559=""),"",M559^0.7*N559^0.3)</x:f>
      </x:c>
      <x:c r="Q559" t="str">
        <x:f>IF(OR(M559="",N559=""),"",M559^0.3*N559^0.7)</x:f>
      </x:c>
    </x:row>
    <x:row r="560">
      <x:c r="A560" t="inlineStr">
        <x:is>
          <x:t xml:space="preserve">z-ai|glm-5.3|low|reasoning|fallback-na</x:t>
        </x:is>
      </x:c>
      <x:c r="B560" t="inlineStr">
        <x:is>
          <x:t xml:space="preserve">AA|v4.3.2</x:t>
        </x:is>
      </x:c>
      <x:c r="C560" t="n">
        <x:v>71</x:v>
      </x:c>
      <x:c r="D560" t="n">
        <x:v>65</x:v>
      </x:c>
      <x:c r="E560" t="n">
        <x:f>INDEX(Model_TestVersion_Stats!$W:$W,C560)</x:f>
        <x:v>34</x:v>
      </x:c>
      <x:c r="F560" t="n">
        <x:f>INDEX(Model_TestVersion_Stats!$O:$O,C560)</x:f>
        <x:v>0.85</x:v>
      </x:c>
      <x:c r="G560" t="str">
        <x:f>IF(INDEX(Model_TestVersion_Stats!$R:$R,C560)="","",INDEX(Model_TestVersion_Stats!$R:$R,C560)/60)</x:f>
      </x:c>
      <x:c r="H560" t="n">
        <x:f>IF(E560="","",E560-(D560-1))</x:f>
        <x:v>-30</x:v>
      </x:c>
      <x:c r="I560" t="n">
        <x:f>IF(H560&gt;0,1,0)</x:f>
        <x:v>0</x:v>
      </x:c>
      <x:c r="J560" t="str">
        <x:f>IF(OR(I560=0,F560="",F560=0),"",H560/F560)</x:f>
      </x:c>
      <x:c r="K560" t="str">
        <x:f>IF(OR(I560=0,H560=0,F560=""),"",F560/H560)</x:f>
      </x:c>
      <x:c r="L560" t="str">
        <x:f>IF(OR(I560=0,F560="",G560="",F560=0,G560=0),"",H560/(F560*G560))</x:f>
      </x:c>
      <x:c r="M560" t="str">
        <x:f>IF(J560="","",J560/_xlfn.MAXIFS($J:$J,$D:$D,D560))</x:f>
      </x:c>
      <x:c r="N560" t="str">
        <x:f>IF(L560="","",L560/_xlfn.MAXIFS($L:$L,$D:$D,D560))</x:f>
      </x:c>
      <x:c r="O560" t="str">
        <x:f>IF(OR(M560="",N560=""),"",SQRT(M560*N560))</x:f>
      </x:c>
      <x:c r="P560" t="str">
        <x:f>IF(OR(M560="",N560=""),"",M560^0.7*N560^0.3)</x:f>
      </x:c>
      <x:c r="Q560" t="str">
        <x:f>IF(OR(M560="",N560=""),"",M560^0.3*N560^0.7)</x:f>
      </x:c>
    </x:row>
    <x:row r="561">
      <x:c r="A561" t="inlineStr">
        <x:is>
          <x:t xml:space="preserve">z-ai|glm-5.3|low|reasoning|fallback-na</x:t>
        </x:is>
      </x:c>
      <x:c r="B561" t="inlineStr">
        <x:is>
          <x:t xml:space="preserve">AA|v4.3.2</x:t>
        </x:is>
      </x:c>
      <x:c r="C561" t="n">
        <x:v>71</x:v>
      </x:c>
      <x:c r="D561" t="n">
        <x:v>80</x:v>
      </x:c>
      <x:c r="E561" t="n">
        <x:f>INDEX(Model_TestVersion_Stats!$W:$W,C561)</x:f>
        <x:v>34</x:v>
      </x:c>
      <x:c r="F561" t="n">
        <x:f>INDEX(Model_TestVersion_Stats!$O:$O,C561)</x:f>
        <x:v>0.85</x:v>
      </x:c>
      <x:c r="G561" t="str">
        <x:f>IF(INDEX(Model_TestVersion_Stats!$R:$R,C561)="","",INDEX(Model_TestVersion_Stats!$R:$R,C561)/60)</x:f>
      </x:c>
      <x:c r="H561" t="n">
        <x:f>IF(E561="","",E561-(D561-1))</x:f>
        <x:v>-45</x:v>
      </x:c>
      <x:c r="I561" t="n">
        <x:f>IF(H561&gt;0,1,0)</x:f>
        <x:v>0</x:v>
      </x:c>
      <x:c r="J561" t="str">
        <x:f>IF(OR(I561=0,F561="",F561=0),"",H561/F561)</x:f>
      </x:c>
      <x:c r="K561" t="str">
        <x:f>IF(OR(I561=0,H561=0,F561=""),"",F561/H561)</x:f>
      </x:c>
      <x:c r="L561" t="str">
        <x:f>IF(OR(I561=0,F561="",G561="",F561=0,G561=0),"",H561/(F561*G561))</x:f>
      </x:c>
      <x:c r="M561" t="str">
        <x:f>IF(J561="","",J561/_xlfn.MAXIFS($J:$J,$D:$D,D561))</x:f>
      </x:c>
      <x:c r="N561" t="str">
        <x:f>IF(L561="","",L561/_xlfn.MAXIFS($L:$L,$D:$D,D561))</x:f>
      </x:c>
      <x:c r="O561" t="str">
        <x:f>IF(OR(M561="",N561=""),"",SQRT(M561*N561))</x:f>
      </x:c>
      <x:c r="P561" t="str">
        <x:f>IF(OR(M561="",N561=""),"",M561^0.7*N561^0.3)</x:f>
      </x:c>
      <x:c r="Q561" t="str">
        <x:f>IF(OR(M561="",N561=""),"",M561^0.3*N561^0.7)</x:f>
      </x:c>
    </x:row>
    <x:row r="562">
      <x:c r="A562" t="inlineStr">
        <x:is>
          <x:t xml:space="preserve">z-ai|glm-5.3|max|reasoning|fallback-na</x:t>
        </x:is>
      </x:c>
      <x:c r="B562" t="inlineStr">
        <x:is>
          <x:t xml:space="preserve">AA|v4.3.2</x:t>
        </x:is>
      </x:c>
      <x:c r="C562" t="n">
        <x:v>72</x:v>
      </x:c>
      <x:c r="D562" t="n">
        <x:v>20</x:v>
      </x:c>
      <x:c r="E562" t="n">
        <x:f>INDEX(Model_TestVersion_Stats!$W:$W,C562)</x:f>
        <x:v>45</x:v>
      </x:c>
      <x:c r="F562" t="n">
        <x:f>INDEX(Model_TestVersion_Stats!$O:$O,C562)</x:f>
        <x:v>2.01</x:v>
      </x:c>
      <x:c r="G562" t="str">
        <x:f>IF(INDEX(Model_TestVersion_Stats!$R:$R,C562)="","",INDEX(Model_TestVersion_Stats!$R:$R,C562)/60)</x:f>
      </x:c>
      <x:c r="H562" t="n">
        <x:f>IF(E562="","",E562-(D562-1))</x:f>
        <x:v>26</x:v>
      </x:c>
      <x:c r="I562" t="n">
        <x:f>IF(H562&gt;0,1,0)</x:f>
        <x:v>1</x:v>
      </x:c>
      <x:c r="J562" t="n">
        <x:f>IF(OR(I562=0,F562="",F562=0),"",H562/F562)</x:f>
        <x:v>12.935323383084578</x:v>
      </x:c>
      <x:c r="K562" t="n">
        <x:f>IF(OR(I562=0,H562=0,F562=""),"",F562/H562)</x:f>
        <x:v>0.0773076923076923</x:v>
      </x:c>
      <x:c r="L562" t="str">
        <x:f>IF(OR(I562=0,F562="",G562="",F562=0,G562=0),"",H562/(F562*G562))</x:f>
      </x:c>
      <x:c r="M562" t="n">
        <x:f>IF(J562="","",J562/_xlfn.MAXIFS($J:$J,$D:$D,D562))</x:f>
        <x:v>0.02328358208955224</x:v>
      </x:c>
      <x:c r="N562" t="str">
        <x:f>IF(L562="","",L562/_xlfn.MAXIFS($L:$L,$D:$D,D562))</x:f>
      </x:c>
      <x:c r="O562" t="str">
        <x:f>IF(OR(M562="",N562=""),"",SQRT(M562*N562))</x:f>
      </x:c>
      <x:c r="P562" t="str">
        <x:f>IF(OR(M562="",N562=""),"",M562^0.7*N562^0.3)</x:f>
      </x:c>
      <x:c r="Q562" t="str">
        <x:f>IF(OR(M562="",N562=""),"",M562^0.3*N562^0.7)</x:f>
      </x:c>
    </x:row>
    <x:row r="563">
      <x:c r="A563" t="inlineStr">
        <x:is>
          <x:t xml:space="preserve">z-ai|glm-5.3|max|reasoning|fallback-na</x:t>
        </x:is>
      </x:c>
      <x:c r="B563" t="inlineStr">
        <x:is>
          <x:t xml:space="preserve">AA|v4.3.2</x:t>
        </x:is>
      </x:c>
      <x:c r="C563" t="n">
        <x:v>72</x:v>
      </x:c>
      <x:c r="D563" t="n">
        <x:v>30</x:v>
      </x:c>
      <x:c r="E563" t="n">
        <x:f>INDEX(Model_TestVersion_Stats!$W:$W,C563)</x:f>
        <x:v>45</x:v>
      </x:c>
      <x:c r="F563" t="n">
        <x:f>INDEX(Model_TestVersion_Stats!$O:$O,C563)</x:f>
        <x:v>2.01</x:v>
      </x:c>
      <x:c r="G563" t="str">
        <x:f>IF(INDEX(Model_TestVersion_Stats!$R:$R,C563)="","",INDEX(Model_TestVersion_Stats!$R:$R,C563)/60)</x:f>
      </x:c>
      <x:c r="H563" t="n">
        <x:f>IF(E563="","",E563-(D563-1))</x:f>
        <x:v>16</x:v>
      </x:c>
      <x:c r="I563" t="n">
        <x:f>IF(H563&gt;0,1,0)</x:f>
        <x:v>1</x:v>
      </x:c>
      <x:c r="J563" t="n">
        <x:f>IF(OR(I563=0,F563="",F563=0),"",H563/F563)</x:f>
        <x:v>7.9601990049751254</x:v>
      </x:c>
      <x:c r="K563" t="n">
        <x:f>IF(OR(I563=0,H563=0,F563=""),"",F563/H563)</x:f>
        <x:v>0.125625</x:v>
      </x:c>
      <x:c r="L563" t="str">
        <x:f>IF(OR(I563=0,F563="",G563="",F563=0,G563=0),"",H563/(F563*G563))</x:f>
      </x:c>
      <x:c r="M563" t="n">
        <x:f>IF(J563="","",J563/_xlfn.MAXIFS($J:$J,$D:$D,D563))</x:f>
        <x:v>0.05306799336650084</x:v>
      </x:c>
      <x:c r="N563" t="str">
        <x:f>IF(L563="","",L563/_xlfn.MAXIFS($L:$L,$D:$D,D563))</x:f>
      </x:c>
      <x:c r="O563" t="str">
        <x:f>IF(OR(M563="",N563=""),"",SQRT(M563*N563))</x:f>
      </x:c>
      <x:c r="P563" t="str">
        <x:f>IF(OR(M563="",N563=""),"",M563^0.7*N563^0.3)</x:f>
      </x:c>
      <x:c r="Q563" t="str">
        <x:f>IF(OR(M563="",N563=""),"",M563^0.3*N563^0.7)</x:f>
      </x:c>
    </x:row>
    <x:row r="564">
      <x:c r="A564" t="inlineStr">
        <x:is>
          <x:t xml:space="preserve">z-ai|glm-5.3|max|reasoning|fallback-na</x:t>
        </x:is>
      </x:c>
      <x:c r="B564" t="inlineStr">
        <x:is>
          <x:t xml:space="preserve">AA|v4.3.2</x:t>
        </x:is>
      </x:c>
      <x:c r="C564" t="n">
        <x:v>72</x:v>
      </x:c>
      <x:c r="D564" t="n">
        <x:v>40</x:v>
      </x:c>
      <x:c r="E564" t="n">
        <x:f>INDEX(Model_TestVersion_Stats!$W:$W,C564)</x:f>
        <x:v>45</x:v>
      </x:c>
      <x:c r="F564" t="n">
        <x:f>INDEX(Model_TestVersion_Stats!$O:$O,C564)</x:f>
        <x:v>2.01</x:v>
      </x:c>
      <x:c r="G564" t="str">
        <x:f>IF(INDEX(Model_TestVersion_Stats!$R:$R,C564)="","",INDEX(Model_TestVersion_Stats!$R:$R,C564)/60)</x:f>
      </x:c>
      <x:c r="H564" t="n">
        <x:f>IF(E564="","",E564-(D564-1))</x:f>
        <x:v>6</x:v>
      </x:c>
      <x:c r="I564" t="n">
        <x:f>IF(H564&gt;0,1,0)</x:f>
        <x:v>1</x:v>
      </x:c>
      <x:c r="J564" t="n">
        <x:f>IF(OR(I564=0,F564="",F564=0),"",H564/F564)</x:f>
        <x:v>2.985074626865672</x:v>
      </x:c>
      <x:c r="K564" t="n">
        <x:f>IF(OR(I564=0,H564=0,F564=""),"",F564/H564)</x:f>
        <x:v>0.33499999999999996</x:v>
      </x:c>
      <x:c r="L564" t="str">
        <x:f>IF(OR(I564=0,F564="",G564="",F564=0,G564=0),"",H564/(F564*G564))</x:f>
      </x:c>
      <x:c r="M564" t="n">
        <x:f>IF(J564="","",J564/_xlfn.MAXIFS($J:$J,$D:$D,D564))</x:f>
        <x:v>0.05543710021321962</x:v>
      </x:c>
      <x:c r="N564" t="str">
        <x:f>IF(L564="","",L564/_xlfn.MAXIFS($L:$L,$D:$D,D564))</x:f>
      </x:c>
      <x:c r="O564" t="str">
        <x:f>IF(OR(M564="",N564=""),"",SQRT(M564*N564))</x:f>
      </x:c>
      <x:c r="P564" t="str">
        <x:f>IF(OR(M564="",N564=""),"",M564^0.7*N564^0.3)</x:f>
      </x:c>
      <x:c r="Q564" t="str">
        <x:f>IF(OR(M564="",N564=""),"",M564^0.3*N564^0.7)</x:f>
      </x:c>
    </x:row>
    <x:row r="565">
      <x:c r="A565" t="inlineStr">
        <x:is>
          <x:t xml:space="preserve">z-ai|glm-5.3|max|reasoning|fallback-na</x:t>
        </x:is>
      </x:c>
      <x:c r="B565" t="inlineStr">
        <x:is>
          <x:t xml:space="preserve">AA|v4.3.2</x:t>
        </x:is>
      </x:c>
      <x:c r="C565" t="n">
        <x:v>72</x:v>
      </x:c>
      <x:c r="D565" t="n">
        <x:v>45</x:v>
      </x:c>
      <x:c r="E565" t="n">
        <x:f>INDEX(Model_TestVersion_Stats!$W:$W,C565)</x:f>
        <x:v>45</x:v>
      </x:c>
      <x:c r="F565" t="n">
        <x:f>INDEX(Model_TestVersion_Stats!$O:$O,C565)</x:f>
        <x:v>2.01</x:v>
      </x:c>
      <x:c r="G565" t="str">
        <x:f>IF(INDEX(Model_TestVersion_Stats!$R:$R,C565)="","",INDEX(Model_TestVersion_Stats!$R:$R,C565)/60)</x:f>
      </x:c>
      <x:c r="H565" t="n">
        <x:f>IF(E565="","",E565-(D565-1))</x:f>
        <x:v>1</x:v>
      </x:c>
      <x:c r="I565" t="n">
        <x:f>IF(H565&gt;0,1,0)</x:f>
        <x:v>1</x:v>
      </x:c>
      <x:c r="J565" t="n">
        <x:f>IF(OR(I565=0,F565="",F565=0),"",H565/F565)</x:f>
        <x:v>0.49751243781094534</x:v>
      </x:c>
      <x:c r="K565" t="n">
        <x:f>IF(OR(I565=0,H565=0,F565=""),"",F565/H565)</x:f>
        <x:v>2.01</x:v>
      </x:c>
      <x:c r="L565" t="str">
        <x:f>IF(OR(I565=0,F565="",G565="",F565=0,G565=0),"",H565/(F565*G565))</x:f>
      </x:c>
      <x:c r="M565" t="n">
        <x:f>IF(J565="","",J565/_xlfn.MAXIFS($J:$J,$D:$D,D565))</x:f>
        <x:v>0.02611940298507463</x:v>
      </x:c>
      <x:c r="N565" t="str">
        <x:f>IF(L565="","",L565/_xlfn.MAXIFS($L:$L,$D:$D,D565))</x:f>
      </x:c>
      <x:c r="O565" t="str">
        <x:f>IF(OR(M565="",N565=""),"",SQRT(M565*N565))</x:f>
      </x:c>
      <x:c r="P565" t="str">
        <x:f>IF(OR(M565="",N565=""),"",M565^0.7*N565^0.3)</x:f>
      </x:c>
      <x:c r="Q565" t="str">
        <x:f>IF(OR(M565="",N565=""),"",M565^0.3*N565^0.7)</x:f>
      </x:c>
    </x:row>
    <x:row r="566">
      <x:c r="A566" t="inlineStr">
        <x:is>
          <x:t xml:space="preserve">z-ai|glm-5.3|max|reasoning|fallback-na</x:t>
        </x:is>
      </x:c>
      <x:c r="B566" t="inlineStr">
        <x:is>
          <x:t xml:space="preserve">AA|v4.3.2</x:t>
        </x:is>
      </x:c>
      <x:c r="C566" t="n">
        <x:v>72</x:v>
      </x:c>
      <x:c r="D566" t="n">
        <x:v>50</x:v>
      </x:c>
      <x:c r="E566" t="n">
        <x:f>INDEX(Model_TestVersion_Stats!$W:$W,C566)</x:f>
        <x:v>45</x:v>
      </x:c>
      <x:c r="F566" t="n">
        <x:f>INDEX(Model_TestVersion_Stats!$O:$O,C566)</x:f>
        <x:v>2.01</x:v>
      </x:c>
      <x:c r="G566" t="str">
        <x:f>IF(INDEX(Model_TestVersion_Stats!$R:$R,C566)="","",INDEX(Model_TestVersion_Stats!$R:$R,C566)/60)</x:f>
      </x:c>
      <x:c r="H566" t="n">
        <x:f>IF(E566="","",E566-(D566-1))</x:f>
        <x:v>-4</x:v>
      </x:c>
      <x:c r="I566" t="n">
        <x:f>IF(H566&gt;0,1,0)</x:f>
        <x:v>0</x:v>
      </x:c>
      <x:c r="J566" t="str">
        <x:f>IF(OR(I566=0,F566="",F566=0),"",H566/F566)</x:f>
      </x:c>
      <x:c r="K566" t="str">
        <x:f>IF(OR(I566=0,H566=0,F566=""),"",F566/H566)</x:f>
      </x:c>
      <x:c r="L566" t="str">
        <x:f>IF(OR(I566=0,F566="",G566="",F566=0,G566=0),"",H566/(F566*G566))</x:f>
      </x:c>
      <x:c r="M566" t="str">
        <x:f>IF(J566="","",J566/_xlfn.MAXIFS($J:$J,$D:$D,D566))</x:f>
      </x:c>
      <x:c r="N566" t="str">
        <x:f>IF(L566="","",L566/_xlfn.MAXIFS($L:$L,$D:$D,D566))</x:f>
      </x:c>
      <x:c r="O566" t="str">
        <x:f>IF(OR(M566="",N566=""),"",SQRT(M566*N566))</x:f>
      </x:c>
      <x:c r="P566" t="str">
        <x:f>IF(OR(M566="",N566=""),"",M566^0.7*N566^0.3)</x:f>
      </x:c>
      <x:c r="Q566" t="str">
        <x:f>IF(OR(M566="",N566=""),"",M566^0.3*N566^0.7)</x:f>
      </x:c>
    </x:row>
    <x:row r="567">
      <x:c r="A567" t="inlineStr">
        <x:is>
          <x:t xml:space="preserve">z-ai|glm-5.3|max|reasoning|fallback-na</x:t>
        </x:is>
      </x:c>
      <x:c r="B567" t="inlineStr">
        <x:is>
          <x:t xml:space="preserve">AA|v4.3.2</x:t>
        </x:is>
      </x:c>
      <x:c r="C567" t="n">
        <x:v>72</x:v>
      </x:c>
      <x:c r="D567" t="n">
        <x:v>52</x:v>
      </x:c>
      <x:c r="E567" t="n">
        <x:f>INDEX(Model_TestVersion_Stats!$W:$W,C567)</x:f>
        <x:v>45</x:v>
      </x:c>
      <x:c r="F567" t="n">
        <x:f>INDEX(Model_TestVersion_Stats!$O:$O,C567)</x:f>
        <x:v>2.01</x:v>
      </x:c>
      <x:c r="G567" t="str">
        <x:f>IF(INDEX(Model_TestVersion_Stats!$R:$R,C567)="","",INDEX(Model_TestVersion_Stats!$R:$R,C567)/60)</x:f>
      </x:c>
      <x:c r="H567" t="n">
        <x:f>IF(E567="","",E567-(D567-1))</x:f>
        <x:v>-6</x:v>
      </x:c>
      <x:c r="I567" t="n">
        <x:f>IF(H567&gt;0,1,0)</x:f>
        <x:v>0</x:v>
      </x:c>
      <x:c r="J567" t="str">
        <x:f>IF(OR(I567=0,F567="",F567=0),"",H567/F567)</x:f>
      </x:c>
      <x:c r="K567" t="str">
        <x:f>IF(OR(I567=0,H567=0,F567=""),"",F567/H567)</x:f>
      </x:c>
      <x:c r="L567" t="str">
        <x:f>IF(OR(I567=0,F567="",G567="",F567=0,G567=0),"",H567/(F567*G567))</x:f>
      </x:c>
      <x:c r="M567" t="str">
        <x:f>IF(J567="","",J567/_xlfn.MAXIFS($J:$J,$D:$D,D567))</x:f>
      </x:c>
      <x:c r="N567" t="str">
        <x:f>IF(L567="","",L567/_xlfn.MAXIFS($L:$L,$D:$D,D567))</x:f>
      </x:c>
      <x:c r="O567" t="str">
        <x:f>IF(OR(M567="",N567=""),"",SQRT(M567*N567))</x:f>
      </x:c>
      <x:c r="P567" t="str">
        <x:f>IF(OR(M567="",N567=""),"",M567^0.7*N567^0.3)</x:f>
      </x:c>
      <x:c r="Q567" t="str">
        <x:f>IF(OR(M567="",N567=""),"",M567^0.3*N567^0.7)</x:f>
      </x:c>
    </x:row>
    <x:row r="568">
      <x:c r="A568" t="inlineStr">
        <x:is>
          <x:t xml:space="preserve">z-ai|glm-5.3|max|reasoning|fallback-na</x:t>
        </x:is>
      </x:c>
      <x:c r="B568" t="inlineStr">
        <x:is>
          <x:t xml:space="preserve">AA|v4.3.2</x:t>
        </x:is>
      </x:c>
      <x:c r="C568" t="n">
        <x:v>72</x:v>
      </x:c>
      <x:c r="D568" t="n">
        <x:v>65</x:v>
      </x:c>
      <x:c r="E568" t="n">
        <x:f>INDEX(Model_TestVersion_Stats!$W:$W,C568)</x:f>
        <x:v>45</x:v>
      </x:c>
      <x:c r="F568" t="n">
        <x:f>INDEX(Model_TestVersion_Stats!$O:$O,C568)</x:f>
        <x:v>2.01</x:v>
      </x:c>
      <x:c r="G568" t="str">
        <x:f>IF(INDEX(Model_TestVersion_Stats!$R:$R,C568)="","",INDEX(Model_TestVersion_Stats!$R:$R,C568)/60)</x:f>
      </x:c>
      <x:c r="H568" t="n">
        <x:f>IF(E568="","",E568-(D568-1))</x:f>
        <x:v>-19</x:v>
      </x:c>
      <x:c r="I568" t="n">
        <x:f>IF(H568&gt;0,1,0)</x:f>
        <x:v>0</x:v>
      </x:c>
      <x:c r="J568" t="str">
        <x:f>IF(OR(I568=0,F568="",F568=0),"",H568/F568)</x:f>
      </x:c>
      <x:c r="K568" t="str">
        <x:f>IF(OR(I568=0,H568=0,F568=""),"",F568/H568)</x:f>
      </x:c>
      <x:c r="L568" t="str">
        <x:f>IF(OR(I568=0,F568="",G568="",F568=0,G568=0),"",H568/(F568*G568))</x:f>
      </x:c>
      <x:c r="M568" t="str">
        <x:f>IF(J568="","",J568/_xlfn.MAXIFS($J:$J,$D:$D,D568))</x:f>
      </x:c>
      <x:c r="N568" t="str">
        <x:f>IF(L568="","",L568/_xlfn.MAXIFS($L:$L,$D:$D,D568))</x:f>
      </x:c>
      <x:c r="O568" t="str">
        <x:f>IF(OR(M568="",N568=""),"",SQRT(M568*N568))</x:f>
      </x:c>
      <x:c r="P568" t="str">
        <x:f>IF(OR(M568="",N568=""),"",M568^0.7*N568^0.3)</x:f>
      </x:c>
      <x:c r="Q568" t="str">
        <x:f>IF(OR(M568="",N568=""),"",M568^0.3*N568^0.7)</x:f>
      </x:c>
    </x:row>
    <x:row r="569">
      <x:c r="A569" t="inlineStr">
        <x:is>
          <x:t xml:space="preserve">z-ai|glm-5.3|max|reasoning|fallback-na</x:t>
        </x:is>
      </x:c>
      <x:c r="B569" t="inlineStr">
        <x:is>
          <x:t xml:space="preserve">AA|v4.3.2</x:t>
        </x:is>
      </x:c>
      <x:c r="C569" t="n">
        <x:v>72</x:v>
      </x:c>
      <x:c r="D569" t="n">
        <x:v>80</x:v>
      </x:c>
      <x:c r="E569" t="n">
        <x:f>INDEX(Model_TestVersion_Stats!$W:$W,C569)</x:f>
        <x:v>45</x:v>
      </x:c>
      <x:c r="F569" t="n">
        <x:f>INDEX(Model_TestVersion_Stats!$O:$O,C569)</x:f>
        <x:v>2.01</x:v>
      </x:c>
      <x:c r="G569" t="str">
        <x:f>IF(INDEX(Model_TestVersion_Stats!$R:$R,C569)="","",INDEX(Model_TestVersion_Stats!$R:$R,C569)/60)</x:f>
      </x:c>
      <x:c r="H569" t="n">
        <x:f>IF(E569="","",E569-(D569-1))</x:f>
        <x:v>-34</x:v>
      </x:c>
      <x:c r="I569" t="n">
        <x:f>IF(H569&gt;0,1,0)</x:f>
        <x:v>0</x:v>
      </x:c>
      <x:c r="J569" t="str">
        <x:f>IF(OR(I569=0,F569="",F569=0),"",H569/F569)</x:f>
      </x:c>
      <x:c r="K569" t="str">
        <x:f>IF(OR(I569=0,H569=0,F569=""),"",F569/H569)</x:f>
      </x:c>
      <x:c r="L569" t="str">
        <x:f>IF(OR(I569=0,F569="",G569="",F569=0,G569=0),"",H569/(F569*G569))</x:f>
      </x:c>
      <x:c r="M569" t="str">
        <x:f>IF(J569="","",J569/_xlfn.MAXIFS($J:$J,$D:$D,D569))</x:f>
      </x:c>
      <x:c r="N569" t="str">
        <x:f>IF(L569="","",L569/_xlfn.MAXIFS($L:$L,$D:$D,D569))</x:f>
      </x:c>
      <x:c r="O569" t="str">
        <x:f>IF(OR(M569="",N569=""),"",SQRT(M569*N569))</x:f>
      </x:c>
      <x:c r="P569" t="str">
        <x:f>IF(OR(M569="",N569=""),"",M569^0.7*N569^0.3)</x:f>
      </x:c>
      <x:c r="Q569" t="str">
        <x:f>IF(OR(M569="",N569=""),"",M569^0.3*N569^0.7)</x:f>
      </x:c>
    </x:row>
    <x:row r="570">
      <x:c r="A570" t="inlineStr">
        <x:is>
          <x:t xml:space="preserve">google|gemini-4-argon|high|reasoning|fallback-na</x:t>
        </x:is>
      </x:c>
      <x:c r="B570" t="inlineStr">
        <x:is>
          <x:t xml:space="preserve">AA|v4.3.2</x:t>
        </x:is>
      </x:c>
      <x:c r="C570" t="n">
        <x:v>73</x:v>
      </x:c>
      <x:c r="D570" t="n">
        <x:v>20</x:v>
      </x:c>
      <x:c r="E570" t="n">
        <x:f>INDEX(Model_TestVersion_Stats!$W:$W,C570)</x:f>
        <x:v>53</x:v>
      </x:c>
      <x:c r="F570" t="n">
        <x:f>INDEX(Model_TestVersion_Stats!$O:$O,C570)</x:f>
        <x:v>1.99</x:v>
      </x:c>
      <x:c r="G570" t="str">
        <x:f>IF(INDEX(Model_TestVersion_Stats!$R:$R,C570)="","",INDEX(Model_TestVersion_Stats!$R:$R,C570)/60)</x:f>
      </x:c>
      <x:c r="H570" t="n">
        <x:f>IF(E570="","",E570-(D570-1))</x:f>
        <x:v>34</x:v>
      </x:c>
      <x:c r="I570" t="n">
        <x:f>IF(H570&gt;0,1,0)</x:f>
        <x:v>1</x:v>
      </x:c>
      <x:c r="J570" t="n">
        <x:f>IF(OR(I570=0,F570="",F570=0),"",H570/F570)</x:f>
        <x:v>17.08542713567839</x:v>
      </x:c>
      <x:c r="K570" t="n">
        <x:f>IF(OR(I570=0,H570=0,F570=""),"",F570/H570)</x:f>
        <x:v>0.058529411764705885</x:v>
      </x:c>
      <x:c r="L570" t="str">
        <x:f>IF(OR(I570=0,F570="",G570="",F570=0,G570=0),"",H570/(F570*G570))</x:f>
      </x:c>
      <x:c r="M570" t="n">
        <x:f>IF(J570="","",J570/_xlfn.MAXIFS($J:$J,$D:$D,D570))</x:f>
        <x:v>0.030753768844221104</x:v>
      </x:c>
      <x:c r="N570" t="str">
        <x:f>IF(L570="","",L570/_xlfn.MAXIFS($L:$L,$D:$D,D570))</x:f>
      </x:c>
      <x:c r="O570" t="str">
        <x:f>IF(OR(M570="",N570=""),"",SQRT(M570*N570))</x:f>
      </x:c>
      <x:c r="P570" t="str">
        <x:f>IF(OR(M570="",N570=""),"",M570^0.7*N570^0.3)</x:f>
      </x:c>
      <x:c r="Q570" t="str">
        <x:f>IF(OR(M570="",N570=""),"",M570^0.3*N570^0.7)</x:f>
      </x:c>
    </x:row>
    <x:row r="571">
      <x:c r="A571" t="inlineStr">
        <x:is>
          <x:t xml:space="preserve">google|gemini-4-argon|high|reasoning|fallback-na</x:t>
        </x:is>
      </x:c>
      <x:c r="B571" t="inlineStr">
        <x:is>
          <x:t xml:space="preserve">AA|v4.3.2</x:t>
        </x:is>
      </x:c>
      <x:c r="C571" t="n">
        <x:v>73</x:v>
      </x:c>
      <x:c r="D571" t="n">
        <x:v>30</x:v>
      </x:c>
      <x:c r="E571" t="n">
        <x:f>INDEX(Model_TestVersion_Stats!$W:$W,C571)</x:f>
        <x:v>53</x:v>
      </x:c>
      <x:c r="F571" t="n">
        <x:f>INDEX(Model_TestVersion_Stats!$O:$O,C571)</x:f>
        <x:v>1.99</x:v>
      </x:c>
      <x:c r="G571" t="str">
        <x:f>IF(INDEX(Model_TestVersion_Stats!$R:$R,C571)="","",INDEX(Model_TestVersion_Stats!$R:$R,C571)/60)</x:f>
      </x:c>
      <x:c r="H571" t="n">
        <x:f>IF(E571="","",E571-(D571-1))</x:f>
        <x:v>24</x:v>
      </x:c>
      <x:c r="I571" t="n">
        <x:f>IF(H571&gt;0,1,0)</x:f>
        <x:v>1</x:v>
      </x:c>
      <x:c r="J571" t="n">
        <x:f>IF(OR(I571=0,F571="",F571=0),"",H571/F571)</x:f>
        <x:v>12.06030150753769</x:v>
      </x:c>
      <x:c r="K571" t="n">
        <x:f>IF(OR(I571=0,H571=0,F571=""),"",F571/H571)</x:f>
        <x:v>0.08291666666666667</x:v>
      </x:c>
      <x:c r="L571" t="str">
        <x:f>IF(OR(I571=0,F571="",G571="",F571=0,G571=0),"",H571/(F571*G571))</x:f>
      </x:c>
      <x:c r="M571" t="n">
        <x:f>IF(J571="","",J571/_xlfn.MAXIFS($J:$J,$D:$D,D571))</x:f>
        <x:v>0.08040201005025126</x:v>
      </x:c>
      <x:c r="N571" t="str">
        <x:f>IF(L571="","",L571/_xlfn.MAXIFS($L:$L,$D:$D,D571))</x:f>
      </x:c>
      <x:c r="O571" t="str">
        <x:f>IF(OR(M571="",N571=""),"",SQRT(M571*N571))</x:f>
      </x:c>
      <x:c r="P571" t="str">
        <x:f>IF(OR(M571="",N571=""),"",M571^0.7*N571^0.3)</x:f>
      </x:c>
      <x:c r="Q571" t="str">
        <x:f>IF(OR(M571="",N571=""),"",M571^0.3*N571^0.7)</x:f>
      </x:c>
    </x:row>
    <x:row r="572">
      <x:c r="A572" t="inlineStr">
        <x:is>
          <x:t xml:space="preserve">google|gemini-4-argon|high|reasoning|fallback-na</x:t>
        </x:is>
      </x:c>
      <x:c r="B572" t="inlineStr">
        <x:is>
          <x:t xml:space="preserve">AA|v4.3.2</x:t>
        </x:is>
      </x:c>
      <x:c r="C572" t="n">
        <x:v>73</x:v>
      </x:c>
      <x:c r="D572" t="n">
        <x:v>40</x:v>
      </x:c>
      <x:c r="E572" t="n">
        <x:f>INDEX(Model_TestVersion_Stats!$W:$W,C572)</x:f>
        <x:v>53</x:v>
      </x:c>
      <x:c r="F572" t="n">
        <x:f>INDEX(Model_TestVersion_Stats!$O:$O,C572)</x:f>
        <x:v>1.99</x:v>
      </x:c>
      <x:c r="G572" t="str">
        <x:f>IF(INDEX(Model_TestVersion_Stats!$R:$R,C572)="","",INDEX(Model_TestVersion_Stats!$R:$R,C572)/60)</x:f>
      </x:c>
      <x:c r="H572" t="n">
        <x:f>IF(E572="","",E572-(D572-1))</x:f>
        <x:v>14</x:v>
      </x:c>
      <x:c r="I572" t="n">
        <x:f>IF(H572&gt;0,1,0)</x:f>
        <x:v>1</x:v>
      </x:c>
      <x:c r="J572" t="n">
        <x:f>IF(OR(I572=0,F572="",F572=0),"",H572/F572)</x:f>
        <x:v>7.035175879396985</x:v>
      </x:c>
      <x:c r="K572" t="n">
        <x:f>IF(OR(I572=0,H572=0,F572=""),"",F572/H572)</x:f>
        <x:v>0.14214285714285715</x:v>
      </x:c>
      <x:c r="L572" t="str">
        <x:f>IF(OR(I572=0,F572="",G572="",F572=0,G572=0),"",H572/(F572*G572))</x:f>
      </x:c>
      <x:c r="M572" t="n">
        <x:f>IF(J572="","",J572/_xlfn.MAXIFS($J:$J,$D:$D,D572))</x:f>
        <x:v>0.1306532663316583</x:v>
      </x:c>
      <x:c r="N572" t="str">
        <x:f>IF(L572="","",L572/_xlfn.MAXIFS($L:$L,$D:$D,D572))</x:f>
      </x:c>
      <x:c r="O572" t="str">
        <x:f>IF(OR(M572="",N572=""),"",SQRT(M572*N572))</x:f>
      </x:c>
      <x:c r="P572" t="str">
        <x:f>IF(OR(M572="",N572=""),"",M572^0.7*N572^0.3)</x:f>
      </x:c>
      <x:c r="Q572" t="str">
        <x:f>IF(OR(M572="",N572=""),"",M572^0.3*N572^0.7)</x:f>
      </x:c>
    </x:row>
    <x:row r="573">
      <x:c r="A573" t="inlineStr">
        <x:is>
          <x:t xml:space="preserve">google|gemini-4-argon|high|reasoning|fallback-na</x:t>
        </x:is>
      </x:c>
      <x:c r="B573" t="inlineStr">
        <x:is>
          <x:t xml:space="preserve">AA|v4.3.2</x:t>
        </x:is>
      </x:c>
      <x:c r="C573" t="n">
        <x:v>73</x:v>
      </x:c>
      <x:c r="D573" t="n">
        <x:v>45</x:v>
      </x:c>
      <x:c r="E573" t="n">
        <x:f>INDEX(Model_TestVersion_Stats!$W:$W,C573)</x:f>
        <x:v>53</x:v>
      </x:c>
      <x:c r="F573" t="n">
        <x:f>INDEX(Model_TestVersion_Stats!$O:$O,C573)</x:f>
        <x:v>1.99</x:v>
      </x:c>
      <x:c r="G573" t="str">
        <x:f>IF(INDEX(Model_TestVersion_Stats!$R:$R,C573)="","",INDEX(Model_TestVersion_Stats!$R:$R,C573)/60)</x:f>
      </x:c>
      <x:c r="H573" t="n">
        <x:f>IF(E573="","",E573-(D573-1))</x:f>
        <x:v>9</x:v>
      </x:c>
      <x:c r="I573" t="n">
        <x:f>IF(H573&gt;0,1,0)</x:f>
        <x:v>1</x:v>
      </x:c>
      <x:c r="J573" t="n">
        <x:f>IF(OR(I573=0,F573="",F573=0),"",H573/F573)</x:f>
        <x:v>4.522613065326633</x:v>
      </x:c>
      <x:c r="K573" t="n">
        <x:f>IF(OR(I573=0,H573=0,F573=""),"",F573/H573)</x:f>
        <x:v>0.22111111111111112</x:v>
      </x:c>
      <x:c r="L573" t="str">
        <x:f>IF(OR(I573=0,F573="",G573="",F573=0,G573=0),"",H573/(F573*G573))</x:f>
      </x:c>
      <x:c r="M573" t="n">
        <x:f>IF(J573="","",J573/_xlfn.MAXIFS($J:$J,$D:$D,D573))</x:f>
        <x:v>0.23743718592964821</x:v>
      </x:c>
      <x:c r="N573" t="str">
        <x:f>IF(L573="","",L573/_xlfn.MAXIFS($L:$L,$D:$D,D573))</x:f>
      </x:c>
      <x:c r="O573" t="str">
        <x:f>IF(OR(M573="",N573=""),"",SQRT(M573*N573))</x:f>
      </x:c>
      <x:c r="P573" t="str">
        <x:f>IF(OR(M573="",N573=""),"",M573^0.7*N573^0.3)</x:f>
      </x:c>
      <x:c r="Q573" t="str">
        <x:f>IF(OR(M573="",N573=""),"",M573^0.3*N573^0.7)</x:f>
      </x:c>
    </x:row>
    <x:row r="574">
      <x:c r="A574" t="inlineStr">
        <x:is>
          <x:t xml:space="preserve">google|gemini-4-argon|high|reasoning|fallback-na</x:t>
        </x:is>
      </x:c>
      <x:c r="B574" t="inlineStr">
        <x:is>
          <x:t xml:space="preserve">AA|v4.3.2</x:t>
        </x:is>
      </x:c>
      <x:c r="C574" t="n">
        <x:v>73</x:v>
      </x:c>
      <x:c r="D574" t="n">
        <x:v>50</x:v>
      </x:c>
      <x:c r="E574" t="n">
        <x:f>INDEX(Model_TestVersion_Stats!$W:$W,C574)</x:f>
        <x:v>53</x:v>
      </x:c>
      <x:c r="F574" t="n">
        <x:f>INDEX(Model_TestVersion_Stats!$O:$O,C574)</x:f>
        <x:v>1.99</x:v>
      </x:c>
      <x:c r="G574" t="str">
        <x:f>IF(INDEX(Model_TestVersion_Stats!$R:$R,C574)="","",INDEX(Model_TestVersion_Stats!$R:$R,C574)/60)</x:f>
      </x:c>
      <x:c r="H574" t="n">
        <x:f>IF(E574="","",E574-(D574-1))</x:f>
        <x:v>4</x:v>
      </x:c>
      <x:c r="I574" t="n">
        <x:f>IF(H574&gt;0,1,0)</x:f>
        <x:v>1</x:v>
      </x:c>
      <x:c r="J574" t="n">
        <x:f>IF(OR(I574=0,F574="",F574=0),"",H574/F574)</x:f>
        <x:v>2.0100502512562812</x:v>
      </x:c>
      <x:c r="K574" t="n">
        <x:f>IF(OR(I574=0,H574=0,F574=""),"",F574/H574)</x:f>
        <x:v>0.4975</x:v>
      </x:c>
      <x:c r="L574" t="str">
        <x:f>IF(OR(I574=0,F574="",G574="",F574=0,G574=0),"",H574/(F574*G574))</x:f>
      </x:c>
      <x:c r="M574" t="n">
        <x:f>IF(J574="","",J574/_xlfn.MAXIFS($J:$J,$D:$D,D574))</x:f>
        <x:v>0.39195979899497485</x:v>
      </x:c>
      <x:c r="N574" t="str">
        <x:f>IF(L574="","",L574/_xlfn.MAXIFS($L:$L,$D:$D,D574))</x:f>
      </x:c>
      <x:c r="O574" t="str">
        <x:f>IF(OR(M574="",N574=""),"",SQRT(M574*N574))</x:f>
      </x:c>
      <x:c r="P574" t="str">
        <x:f>IF(OR(M574="",N574=""),"",M574^0.7*N574^0.3)</x:f>
      </x:c>
      <x:c r="Q574" t="str">
        <x:f>IF(OR(M574="",N574=""),"",M574^0.3*N574^0.7)</x:f>
      </x:c>
    </x:row>
    <x:row r="575">
      <x:c r="A575" t="inlineStr">
        <x:is>
          <x:t xml:space="preserve">google|gemini-4-argon|high|reasoning|fallback-na</x:t>
        </x:is>
      </x:c>
      <x:c r="B575" t="inlineStr">
        <x:is>
          <x:t xml:space="preserve">AA|v4.3.2</x:t>
        </x:is>
      </x:c>
      <x:c r="C575" t="n">
        <x:v>73</x:v>
      </x:c>
      <x:c r="D575" t="n">
        <x:v>52</x:v>
      </x:c>
      <x:c r="E575" t="n">
        <x:f>INDEX(Model_TestVersion_Stats!$W:$W,C575)</x:f>
        <x:v>53</x:v>
      </x:c>
      <x:c r="F575" t="n">
        <x:f>INDEX(Model_TestVersion_Stats!$O:$O,C575)</x:f>
        <x:v>1.99</x:v>
      </x:c>
      <x:c r="G575" t="str">
        <x:f>IF(INDEX(Model_TestVersion_Stats!$R:$R,C575)="","",INDEX(Model_TestVersion_Stats!$R:$R,C575)/60)</x:f>
      </x:c>
      <x:c r="H575" t="n">
        <x:f>IF(E575="","",E575-(D575-1))</x:f>
        <x:v>2</x:v>
      </x:c>
      <x:c r="I575" t="n">
        <x:f>IF(H575&gt;0,1,0)</x:f>
        <x:v>1</x:v>
      </x:c>
      <x:c r="J575" t="n">
        <x:f>IF(OR(I575=0,F575="",F575=0),"",H575/F575)</x:f>
        <x:v>1.0050251256281406</x:v>
      </x:c>
      <x:c r="K575" t="n">
        <x:f>IF(OR(I575=0,H575=0,F575=""),"",F575/H575)</x:f>
        <x:v>0.995</x:v>
      </x:c>
      <x:c r="L575" t="str">
        <x:f>IF(OR(I575=0,F575="",G575="",F575=0,G575=0),"",H575/(F575*G575))</x:f>
      </x:c>
      <x:c r="M575" t="n">
        <x:f>IF(J575="","",J575/_xlfn.MAXIFS($J:$J,$D:$D,D575))</x:f>
        <x:v>0.609715242881072</x:v>
      </x:c>
      <x:c r="N575" t="str">
        <x:f>IF(L575="","",L575/_xlfn.MAXIFS($L:$L,$D:$D,D575))</x:f>
      </x:c>
      <x:c r="O575" t="str">
        <x:f>IF(OR(M575="",N575=""),"",SQRT(M575*N575))</x:f>
      </x:c>
      <x:c r="P575" t="str">
        <x:f>IF(OR(M575="",N575=""),"",M575^0.7*N575^0.3)</x:f>
      </x:c>
      <x:c r="Q575" t="str">
        <x:f>IF(OR(M575="",N575=""),"",M575^0.3*N575^0.7)</x:f>
      </x:c>
    </x:row>
    <x:row r="576">
      <x:c r="A576" t="inlineStr">
        <x:is>
          <x:t xml:space="preserve">google|gemini-4-argon|high|reasoning|fallback-na</x:t>
        </x:is>
      </x:c>
      <x:c r="B576" t="inlineStr">
        <x:is>
          <x:t xml:space="preserve">AA|v4.3.2</x:t>
        </x:is>
      </x:c>
      <x:c r="C576" t="n">
        <x:v>73</x:v>
      </x:c>
      <x:c r="D576" t="n">
        <x:v>65</x:v>
      </x:c>
      <x:c r="E576" t="n">
        <x:f>INDEX(Model_TestVersion_Stats!$W:$W,C576)</x:f>
        <x:v>53</x:v>
      </x:c>
      <x:c r="F576" t="n">
        <x:f>INDEX(Model_TestVersion_Stats!$O:$O,C576)</x:f>
        <x:v>1.99</x:v>
      </x:c>
      <x:c r="G576" t="str">
        <x:f>IF(INDEX(Model_TestVersion_Stats!$R:$R,C576)="","",INDEX(Model_TestVersion_Stats!$R:$R,C576)/60)</x:f>
      </x:c>
      <x:c r="H576" t="n">
        <x:f>IF(E576="","",E576-(D576-1))</x:f>
        <x:v>-11</x:v>
      </x:c>
      <x:c r="I576" t="n">
        <x:f>IF(H576&gt;0,1,0)</x:f>
        <x:v>0</x:v>
      </x:c>
      <x:c r="J576" t="str">
        <x:f>IF(OR(I576=0,F576="",F576=0),"",H576/F576)</x:f>
      </x:c>
      <x:c r="K576" t="str">
        <x:f>IF(OR(I576=0,H576=0,F576=""),"",F576/H576)</x:f>
      </x:c>
      <x:c r="L576" t="str">
        <x:f>IF(OR(I576=0,F576="",G576="",F576=0,G576=0),"",H576/(F576*G576))</x:f>
      </x:c>
      <x:c r="M576" t="str">
        <x:f>IF(J576="","",J576/_xlfn.MAXIFS($J:$J,$D:$D,D576))</x:f>
      </x:c>
      <x:c r="N576" t="str">
        <x:f>IF(L576="","",L576/_xlfn.MAXIFS($L:$L,$D:$D,D576))</x:f>
      </x:c>
      <x:c r="O576" t="str">
        <x:f>IF(OR(M576="",N576=""),"",SQRT(M576*N576))</x:f>
      </x:c>
      <x:c r="P576" t="str">
        <x:f>IF(OR(M576="",N576=""),"",M576^0.7*N576^0.3)</x:f>
      </x:c>
      <x:c r="Q576" t="str">
        <x:f>IF(OR(M576="",N576=""),"",M576^0.3*N576^0.7)</x:f>
      </x:c>
    </x:row>
    <x:row r="577">
      <x:c r="A577" t="inlineStr">
        <x:is>
          <x:t xml:space="preserve">google|gemini-4-argon|high|reasoning|fallback-na</x:t>
        </x:is>
      </x:c>
      <x:c r="B577" t="inlineStr">
        <x:is>
          <x:t xml:space="preserve">AA|v4.3.2</x:t>
        </x:is>
      </x:c>
      <x:c r="C577" t="n">
        <x:v>73</x:v>
      </x:c>
      <x:c r="D577" t="n">
        <x:v>80</x:v>
      </x:c>
      <x:c r="E577" t="n">
        <x:f>INDEX(Model_TestVersion_Stats!$W:$W,C577)</x:f>
        <x:v>53</x:v>
      </x:c>
      <x:c r="F577" t="n">
        <x:f>INDEX(Model_TestVersion_Stats!$O:$O,C577)</x:f>
        <x:v>1.99</x:v>
      </x:c>
      <x:c r="G577" t="str">
        <x:f>IF(INDEX(Model_TestVersion_Stats!$R:$R,C577)="","",INDEX(Model_TestVersion_Stats!$R:$R,C577)/60)</x:f>
      </x:c>
      <x:c r="H577" t="n">
        <x:f>IF(E577="","",E577-(D577-1))</x:f>
        <x:v>-26</x:v>
      </x:c>
      <x:c r="I577" t="n">
        <x:f>IF(H577&gt;0,1,0)</x:f>
        <x:v>0</x:v>
      </x:c>
      <x:c r="J577" t="str">
        <x:f>IF(OR(I577=0,F577="",F577=0),"",H577/F577)</x:f>
      </x:c>
      <x:c r="K577" t="str">
        <x:f>IF(OR(I577=0,H577=0,F577=""),"",F577/H577)</x:f>
      </x:c>
      <x:c r="L577" t="str">
        <x:f>IF(OR(I577=0,F577="",G577="",F577=0,G577=0),"",H577/(F577*G577))</x:f>
      </x:c>
      <x:c r="M577" t="str">
        <x:f>IF(J577="","",J577/_xlfn.MAXIFS($J:$J,$D:$D,D577))</x:f>
      </x:c>
      <x:c r="N577" t="str">
        <x:f>IF(L577="","",L577/_xlfn.MAXIFS($L:$L,$D:$D,D577))</x:f>
      </x:c>
      <x:c r="O577" t="str">
        <x:f>IF(OR(M577="",N577=""),"",SQRT(M577*N577))</x:f>
      </x:c>
      <x:c r="P577" t="str">
        <x:f>IF(OR(M577="",N577=""),"",M577^0.7*N577^0.3)</x:f>
      </x:c>
      <x:c r="Q577" t="str">
        <x:f>IF(OR(M577="",N577=""),"",M577^0.3*N577^0.7)</x:f>
      </x:c>
    </x:row>
    <x:row r="578">
      <x:c r="A578" t="inlineStr">
        <x:is>
          <x:t xml:space="preserve">openai|gpt-6-1-sol|low|reasoning|fallback-na</x:t>
        </x:is>
      </x:c>
      <x:c r="B578" t="inlineStr">
        <x:is>
          <x:t xml:space="preserve">AA|v4.3.2</x:t>
        </x:is>
      </x:c>
      <x:c r="C578" t="n">
        <x:v>74</x:v>
      </x:c>
      <x:c r="D578" t="n">
        <x:v>20</x:v>
      </x:c>
      <x:c r="E578" t="n">
        <x:f>INDEX(Model_TestVersion_Stats!$W:$W,C578)</x:f>
        <x:v>42</x:v>
      </x:c>
      <x:c r="F578" t="n">
        <x:f>INDEX(Model_TestVersion_Stats!$O:$O,C578)</x:f>
        <x:v>0.13</x:v>
      </x:c>
      <x:c r="G578" t="str">
        <x:f>IF(INDEX(Model_TestVersion_Stats!$R:$R,C578)="","",INDEX(Model_TestVersion_Stats!$R:$R,C578)/60)</x:f>
      </x:c>
      <x:c r="H578" t="n">
        <x:f>IF(E578="","",E578-(D578-1))</x:f>
        <x:v>23</x:v>
      </x:c>
      <x:c r="I578" t="n">
        <x:f>IF(H578&gt;0,1,0)</x:f>
        <x:v>1</x:v>
      </x:c>
      <x:c r="J578" t="n">
        <x:f>IF(OR(I578=0,F578="",F578=0),"",H578/F578)</x:f>
        <x:v>176.9230769230769</x:v>
      </x:c>
      <x:c r="K578" t="n">
        <x:f>IF(OR(I578=0,H578=0,F578=""),"",F578/H578)</x:f>
        <x:v>0.005652173913043478</x:v>
      </x:c>
      <x:c r="L578" t="str">
        <x:f>IF(OR(I578=0,F578="",G578="",F578=0,G578=0),"",H578/(F578*G578))</x:f>
      </x:c>
      <x:c r="M578" t="n">
        <x:f>IF(J578="","",J578/_xlfn.MAXIFS($J:$J,$D:$D,D578))</x:f>
        <x:v>0.31846153846153846</x:v>
      </x:c>
      <x:c r="N578" t="str">
        <x:f>IF(L578="","",L578/_xlfn.MAXIFS($L:$L,$D:$D,D578))</x:f>
      </x:c>
      <x:c r="O578" t="str">
        <x:f>IF(OR(M578="",N578=""),"",SQRT(M578*N578))</x:f>
      </x:c>
      <x:c r="P578" t="str">
        <x:f>IF(OR(M578="",N578=""),"",M578^0.7*N578^0.3)</x:f>
      </x:c>
      <x:c r="Q578" t="str">
        <x:f>IF(OR(M578="",N578=""),"",M578^0.3*N578^0.7)</x:f>
      </x:c>
    </x:row>
    <x:row r="579">
      <x:c r="A579" t="inlineStr">
        <x:is>
          <x:t xml:space="preserve">openai|gpt-6-1-sol|low|reasoning|fallback-na</x:t>
        </x:is>
      </x:c>
      <x:c r="B579" t="inlineStr">
        <x:is>
          <x:t xml:space="preserve">AA|v4.3.2</x:t>
        </x:is>
      </x:c>
      <x:c r="C579" t="n">
        <x:v>74</x:v>
      </x:c>
      <x:c r="D579" t="n">
        <x:v>30</x:v>
      </x:c>
      <x:c r="E579" t="n">
        <x:f>INDEX(Model_TestVersion_Stats!$W:$W,C579)</x:f>
        <x:v>42</x:v>
      </x:c>
      <x:c r="F579" t="n">
        <x:f>INDEX(Model_TestVersion_Stats!$O:$O,C579)</x:f>
        <x:v>0.13</x:v>
      </x:c>
      <x:c r="G579" t="str">
        <x:f>IF(INDEX(Model_TestVersion_Stats!$R:$R,C579)="","",INDEX(Model_TestVersion_Stats!$R:$R,C579)/60)</x:f>
      </x:c>
      <x:c r="H579" t="n">
        <x:f>IF(E579="","",E579-(D579-1))</x:f>
        <x:v>13</x:v>
      </x:c>
      <x:c r="I579" t="n">
        <x:f>IF(H579&gt;0,1,0)</x:f>
        <x:v>1</x:v>
      </x:c>
      <x:c r="J579" t="n">
        <x:f>IF(OR(I579=0,F579="",F579=0),"",H579/F579)</x:f>
        <x:v>100</x:v>
      </x:c>
      <x:c r="K579" t="n">
        <x:f>IF(OR(I579=0,H579=0,F579=""),"",F579/H579)</x:f>
        <x:v>0.01</x:v>
      </x:c>
      <x:c r="L579" t="str">
        <x:f>IF(OR(I579=0,F579="",G579="",F579=0,G579=0),"",H579/(F579*G579))</x:f>
      </x:c>
      <x:c r="M579" t="n">
        <x:f>IF(J579="","",J579/_xlfn.MAXIFS($J:$J,$D:$D,D579))</x:f>
        <x:v>0.6666666666666666</x:v>
      </x:c>
      <x:c r="N579" t="str">
        <x:f>IF(L579="","",L579/_xlfn.MAXIFS($L:$L,$D:$D,D579))</x:f>
      </x:c>
      <x:c r="O579" t="str">
        <x:f>IF(OR(M579="",N579=""),"",SQRT(M579*N579))</x:f>
      </x:c>
      <x:c r="P579" t="str">
        <x:f>IF(OR(M579="",N579=""),"",M579^0.7*N579^0.3)</x:f>
      </x:c>
      <x:c r="Q579" t="str">
        <x:f>IF(OR(M579="",N579=""),"",M579^0.3*N579^0.7)</x:f>
      </x:c>
    </x:row>
    <x:row r="580">
      <x:c r="A580" t="inlineStr">
        <x:is>
          <x:t xml:space="preserve">openai|gpt-6-1-sol|low|reasoning|fallback-na</x:t>
        </x:is>
      </x:c>
      <x:c r="B580" t="inlineStr">
        <x:is>
          <x:t xml:space="preserve">AA|v4.3.2</x:t>
        </x:is>
      </x:c>
      <x:c r="C580" t="n">
        <x:v>74</x:v>
      </x:c>
      <x:c r="D580" t="n">
        <x:v>40</x:v>
      </x:c>
      <x:c r="E580" t="n">
        <x:f>INDEX(Model_TestVersion_Stats!$W:$W,C580)</x:f>
        <x:v>42</x:v>
      </x:c>
      <x:c r="F580" t="n">
        <x:f>INDEX(Model_TestVersion_Stats!$O:$O,C580)</x:f>
        <x:v>0.13</x:v>
      </x:c>
      <x:c r="G580" t="str">
        <x:f>IF(INDEX(Model_TestVersion_Stats!$R:$R,C580)="","",INDEX(Model_TestVersion_Stats!$R:$R,C580)/60)</x:f>
      </x:c>
      <x:c r="H580" t="n">
        <x:f>IF(E580="","",E580-(D580-1))</x:f>
        <x:v>3</x:v>
      </x:c>
      <x:c r="I580" t="n">
        <x:f>IF(H580&gt;0,1,0)</x:f>
        <x:v>1</x:v>
      </x:c>
      <x:c r="J580" t="n">
        <x:f>IF(OR(I580=0,F580="",F580=0),"",H580/F580)</x:f>
        <x:v>23.076923076923077</x:v>
      </x:c>
      <x:c r="K580" t="n">
        <x:f>IF(OR(I580=0,H580=0,F580=""),"",F580/H580)</x:f>
        <x:v>0.043333333333333335</x:v>
      </x:c>
      <x:c r="L580" t="str">
        <x:f>IF(OR(I580=0,F580="",G580="",F580=0,G580=0),"",H580/(F580*G580))</x:f>
      </x:c>
      <x:c r="M580" t="n">
        <x:f>IF(J580="","",J580/_xlfn.MAXIFS($J:$J,$D:$D,D580))</x:f>
        <x:v>0.42857142857142855</x:v>
      </x:c>
      <x:c r="N580" t="str">
        <x:f>IF(L580="","",L580/_xlfn.MAXIFS($L:$L,$D:$D,D580))</x:f>
      </x:c>
      <x:c r="O580" t="str">
        <x:f>IF(OR(M580="",N580=""),"",SQRT(M580*N580))</x:f>
      </x:c>
      <x:c r="P580" t="str">
        <x:f>IF(OR(M580="",N580=""),"",M580^0.7*N580^0.3)</x:f>
      </x:c>
      <x:c r="Q580" t="str">
        <x:f>IF(OR(M580="",N580=""),"",M580^0.3*N580^0.7)</x:f>
      </x:c>
    </x:row>
    <x:row r="581">
      <x:c r="A581" t="inlineStr">
        <x:is>
          <x:t xml:space="preserve">openai|gpt-6-1-sol|low|reasoning|fallback-na</x:t>
        </x:is>
      </x:c>
      <x:c r="B581" t="inlineStr">
        <x:is>
          <x:t xml:space="preserve">AA|v4.3.2</x:t>
        </x:is>
      </x:c>
      <x:c r="C581" t="n">
        <x:v>74</x:v>
      </x:c>
      <x:c r="D581" t="n">
        <x:v>45</x:v>
      </x:c>
      <x:c r="E581" t="n">
        <x:f>INDEX(Model_TestVersion_Stats!$W:$W,C581)</x:f>
        <x:v>42</x:v>
      </x:c>
      <x:c r="F581" t="n">
        <x:f>INDEX(Model_TestVersion_Stats!$O:$O,C581)</x:f>
        <x:v>0.13</x:v>
      </x:c>
      <x:c r="G581" t="str">
        <x:f>IF(INDEX(Model_TestVersion_Stats!$R:$R,C581)="","",INDEX(Model_TestVersion_Stats!$R:$R,C581)/60)</x:f>
      </x:c>
      <x:c r="H581" t="n">
        <x:f>IF(E581="","",E581-(D581-1))</x:f>
        <x:v>-2</x:v>
      </x:c>
      <x:c r="I581" t="n">
        <x:f>IF(H581&gt;0,1,0)</x:f>
        <x:v>0</x:v>
      </x:c>
      <x:c r="J581" t="str">
        <x:f>IF(OR(I581=0,F581="",F581=0),"",H581/F581)</x:f>
      </x:c>
      <x:c r="K581" t="str">
        <x:f>IF(OR(I581=0,H581=0,F581=""),"",F581/H581)</x:f>
      </x:c>
      <x:c r="L581" t="str">
        <x:f>IF(OR(I581=0,F581="",G581="",F581=0,G581=0),"",H581/(F581*G581))</x:f>
      </x:c>
      <x:c r="M581" t="str">
        <x:f>IF(J581="","",J581/_xlfn.MAXIFS($J:$J,$D:$D,D581))</x:f>
      </x:c>
      <x:c r="N581" t="str">
        <x:f>IF(L581="","",L581/_xlfn.MAXIFS($L:$L,$D:$D,D581))</x:f>
      </x:c>
      <x:c r="O581" t="str">
        <x:f>IF(OR(M581="",N581=""),"",SQRT(M581*N581))</x:f>
      </x:c>
      <x:c r="P581" t="str">
        <x:f>IF(OR(M581="",N581=""),"",M581^0.7*N581^0.3)</x:f>
      </x:c>
      <x:c r="Q581" t="str">
        <x:f>IF(OR(M581="",N581=""),"",M581^0.3*N581^0.7)</x:f>
      </x:c>
    </x:row>
    <x:row r="582">
      <x:c r="A582" t="inlineStr">
        <x:is>
          <x:t xml:space="preserve">openai|gpt-6-1-sol|low|reasoning|fallback-na</x:t>
        </x:is>
      </x:c>
      <x:c r="B582" t="inlineStr">
        <x:is>
          <x:t xml:space="preserve">AA|v4.3.2</x:t>
        </x:is>
      </x:c>
      <x:c r="C582" t="n">
        <x:v>74</x:v>
      </x:c>
      <x:c r="D582" t="n">
        <x:v>50</x:v>
      </x:c>
      <x:c r="E582" t="n">
        <x:f>INDEX(Model_TestVersion_Stats!$W:$W,C582)</x:f>
        <x:v>42</x:v>
      </x:c>
      <x:c r="F582" t="n">
        <x:f>INDEX(Model_TestVersion_Stats!$O:$O,C582)</x:f>
        <x:v>0.13</x:v>
      </x:c>
      <x:c r="G582" t="str">
        <x:f>IF(INDEX(Model_TestVersion_Stats!$R:$R,C582)="","",INDEX(Model_TestVersion_Stats!$R:$R,C582)/60)</x:f>
      </x:c>
      <x:c r="H582" t="n">
        <x:f>IF(E582="","",E582-(D582-1))</x:f>
        <x:v>-7</x:v>
      </x:c>
      <x:c r="I582" t="n">
        <x:f>IF(H582&gt;0,1,0)</x:f>
        <x:v>0</x:v>
      </x:c>
      <x:c r="J582" t="str">
        <x:f>IF(OR(I582=0,F582="",F582=0),"",H582/F582)</x:f>
      </x:c>
      <x:c r="K582" t="str">
        <x:f>IF(OR(I582=0,H582=0,F582=""),"",F582/H582)</x:f>
      </x:c>
      <x:c r="L582" t="str">
        <x:f>IF(OR(I582=0,F582="",G582="",F582=0,G582=0),"",H582/(F582*G582))</x:f>
      </x:c>
      <x:c r="M582" t="str">
        <x:f>IF(J582="","",J582/_xlfn.MAXIFS($J:$J,$D:$D,D582))</x:f>
      </x:c>
      <x:c r="N582" t="str">
        <x:f>IF(L582="","",L582/_xlfn.MAXIFS($L:$L,$D:$D,D582))</x:f>
      </x:c>
      <x:c r="O582" t="str">
        <x:f>IF(OR(M582="",N582=""),"",SQRT(M582*N582))</x:f>
      </x:c>
      <x:c r="P582" t="str">
        <x:f>IF(OR(M582="",N582=""),"",M582^0.7*N582^0.3)</x:f>
      </x:c>
      <x:c r="Q582" t="str">
        <x:f>IF(OR(M582="",N582=""),"",M582^0.3*N582^0.7)</x:f>
      </x:c>
    </x:row>
    <x:row r="583">
      <x:c r="A583" t="inlineStr">
        <x:is>
          <x:t xml:space="preserve">openai|gpt-6-1-sol|low|reasoning|fallback-na</x:t>
        </x:is>
      </x:c>
      <x:c r="B583" t="inlineStr">
        <x:is>
          <x:t xml:space="preserve">AA|v4.3.2</x:t>
        </x:is>
      </x:c>
      <x:c r="C583" t="n">
        <x:v>74</x:v>
      </x:c>
      <x:c r="D583" t="n">
        <x:v>52</x:v>
      </x:c>
      <x:c r="E583" t="n">
        <x:f>INDEX(Model_TestVersion_Stats!$W:$W,C583)</x:f>
        <x:v>42</x:v>
      </x:c>
      <x:c r="F583" t="n">
        <x:f>INDEX(Model_TestVersion_Stats!$O:$O,C583)</x:f>
        <x:v>0.13</x:v>
      </x:c>
      <x:c r="G583" t="str">
        <x:f>IF(INDEX(Model_TestVersion_Stats!$R:$R,C583)="","",INDEX(Model_TestVersion_Stats!$R:$R,C583)/60)</x:f>
      </x:c>
      <x:c r="H583" t="n">
        <x:f>IF(E583="","",E583-(D583-1))</x:f>
        <x:v>-9</x:v>
      </x:c>
      <x:c r="I583" t="n">
        <x:f>IF(H583&gt;0,1,0)</x:f>
        <x:v>0</x:v>
      </x:c>
      <x:c r="J583" t="str">
        <x:f>IF(OR(I583=0,F583="",F583=0),"",H583/F583)</x:f>
      </x:c>
      <x:c r="K583" t="str">
        <x:f>IF(OR(I583=0,H583=0,F583=""),"",F583/H583)</x:f>
      </x:c>
      <x:c r="L583" t="str">
        <x:f>IF(OR(I583=0,F583="",G583="",F583=0,G583=0),"",H583/(F583*G583))</x:f>
      </x:c>
      <x:c r="M583" t="str">
        <x:f>IF(J583="","",J583/_xlfn.MAXIFS($J:$J,$D:$D,D583))</x:f>
      </x:c>
      <x:c r="N583" t="str">
        <x:f>IF(L583="","",L583/_xlfn.MAXIFS($L:$L,$D:$D,D583))</x:f>
      </x:c>
      <x:c r="O583" t="str">
        <x:f>IF(OR(M583="",N583=""),"",SQRT(M583*N583))</x:f>
      </x:c>
      <x:c r="P583" t="str">
        <x:f>IF(OR(M583="",N583=""),"",M583^0.7*N583^0.3)</x:f>
      </x:c>
      <x:c r="Q583" t="str">
        <x:f>IF(OR(M583="",N583=""),"",M583^0.3*N583^0.7)</x:f>
      </x:c>
    </x:row>
    <x:row r="584">
      <x:c r="A584" t="inlineStr">
        <x:is>
          <x:t xml:space="preserve">openai|gpt-6-1-sol|low|reasoning|fallback-na</x:t>
        </x:is>
      </x:c>
      <x:c r="B584" t="inlineStr">
        <x:is>
          <x:t xml:space="preserve">AA|v4.3.2</x:t>
        </x:is>
      </x:c>
      <x:c r="C584" t="n">
        <x:v>74</x:v>
      </x:c>
      <x:c r="D584" t="n">
        <x:v>65</x:v>
      </x:c>
      <x:c r="E584" t="n">
        <x:f>INDEX(Model_TestVersion_Stats!$W:$W,C584)</x:f>
        <x:v>42</x:v>
      </x:c>
      <x:c r="F584" t="n">
        <x:f>INDEX(Model_TestVersion_Stats!$O:$O,C584)</x:f>
        <x:v>0.13</x:v>
      </x:c>
      <x:c r="G584" t="str">
        <x:f>IF(INDEX(Model_TestVersion_Stats!$R:$R,C584)="","",INDEX(Model_TestVersion_Stats!$R:$R,C584)/60)</x:f>
      </x:c>
      <x:c r="H584" t="n">
        <x:f>IF(E584="","",E584-(D584-1))</x:f>
        <x:v>-22</x:v>
      </x:c>
      <x:c r="I584" t="n">
        <x:f>IF(H584&gt;0,1,0)</x:f>
        <x:v>0</x:v>
      </x:c>
      <x:c r="J584" t="str">
        <x:f>IF(OR(I584=0,F584="",F584=0),"",H584/F584)</x:f>
      </x:c>
      <x:c r="K584" t="str">
        <x:f>IF(OR(I584=0,H584=0,F584=""),"",F584/H584)</x:f>
      </x:c>
      <x:c r="L584" t="str">
        <x:f>IF(OR(I584=0,F584="",G584="",F584=0,G584=0),"",H584/(F584*G584))</x:f>
      </x:c>
      <x:c r="M584" t="str">
        <x:f>IF(J584="","",J584/_xlfn.MAXIFS($J:$J,$D:$D,D584))</x:f>
      </x:c>
      <x:c r="N584" t="str">
        <x:f>IF(L584="","",L584/_xlfn.MAXIFS($L:$L,$D:$D,D584))</x:f>
      </x:c>
      <x:c r="O584" t="str">
        <x:f>IF(OR(M584="",N584=""),"",SQRT(M584*N584))</x:f>
      </x:c>
      <x:c r="P584" t="str">
        <x:f>IF(OR(M584="",N584=""),"",M584^0.7*N584^0.3)</x:f>
      </x:c>
      <x:c r="Q584" t="str">
        <x:f>IF(OR(M584="",N584=""),"",M584^0.3*N584^0.7)</x:f>
      </x:c>
    </x:row>
    <x:row r="585">
      <x:c r="A585" t="inlineStr">
        <x:is>
          <x:t xml:space="preserve">openai|gpt-6-1-sol|low|reasoning|fallback-na</x:t>
        </x:is>
      </x:c>
      <x:c r="B585" t="inlineStr">
        <x:is>
          <x:t xml:space="preserve">AA|v4.3.2</x:t>
        </x:is>
      </x:c>
      <x:c r="C585" t="n">
        <x:v>74</x:v>
      </x:c>
      <x:c r="D585" t="n">
        <x:v>80</x:v>
      </x:c>
      <x:c r="E585" t="n">
        <x:f>INDEX(Model_TestVersion_Stats!$W:$W,C585)</x:f>
        <x:v>42</x:v>
      </x:c>
      <x:c r="F585" t="n">
        <x:f>INDEX(Model_TestVersion_Stats!$O:$O,C585)</x:f>
        <x:v>0.13</x:v>
      </x:c>
      <x:c r="G585" t="str">
        <x:f>IF(INDEX(Model_TestVersion_Stats!$R:$R,C585)="","",INDEX(Model_TestVersion_Stats!$R:$R,C585)/60)</x:f>
      </x:c>
      <x:c r="H585" t="n">
        <x:f>IF(E585="","",E585-(D585-1))</x:f>
        <x:v>-37</x:v>
      </x:c>
      <x:c r="I585" t="n">
        <x:f>IF(H585&gt;0,1,0)</x:f>
        <x:v>0</x:v>
      </x:c>
      <x:c r="J585" t="str">
        <x:f>IF(OR(I585=0,F585="",F585=0),"",H585/F585)</x:f>
      </x:c>
      <x:c r="K585" t="str">
        <x:f>IF(OR(I585=0,H585=0,F585=""),"",F585/H585)</x:f>
      </x:c>
      <x:c r="L585" t="str">
        <x:f>IF(OR(I585=0,F585="",G585="",F585=0,G585=0),"",H585/(F585*G585))</x:f>
      </x:c>
      <x:c r="M585" t="str">
        <x:f>IF(J585="","",J585/_xlfn.MAXIFS($J:$J,$D:$D,D585))</x:f>
      </x:c>
      <x:c r="N585" t="str">
        <x:f>IF(L585="","",L585/_xlfn.MAXIFS($L:$L,$D:$D,D585))</x:f>
      </x:c>
      <x:c r="O585" t="str">
        <x:f>IF(OR(M585="",N585=""),"",SQRT(M585*N585))</x:f>
      </x:c>
      <x:c r="P585" t="str">
        <x:f>IF(OR(M585="",N585=""),"",M585^0.7*N585^0.3)</x:f>
      </x:c>
      <x:c r="Q585" t="str">
        <x:f>IF(OR(M585="",N585=""),"",M585^0.3*N585^0.7)</x:f>
      </x:c>
    </x:row>
    <x:row r="586">
      <x:c r="A586" t="inlineStr">
        <x:is>
          <x:t xml:space="preserve">openai|gpt-6-1-sol|medium|reasoning|fallback-na</x:t>
        </x:is>
      </x:c>
      <x:c r="B586" t="inlineStr">
        <x:is>
          <x:t xml:space="preserve">AA|v4.3.2</x:t>
        </x:is>
      </x:c>
      <x:c r="C586" t="n">
        <x:v>75</x:v>
      </x:c>
      <x:c r="D586" t="n">
        <x:v>20</x:v>
      </x:c>
      <x:c r="E586" t="n">
        <x:f>INDEX(Model_TestVersion_Stats!$W:$W,C586)</x:f>
        <x:v>48</x:v>
      </x:c>
      <x:c r="F586" t="n">
        <x:f>INDEX(Model_TestVersion_Stats!$O:$O,C586)</x:f>
        <x:v>0.21</x:v>
      </x:c>
      <x:c r="G586" t="str">
        <x:f>IF(INDEX(Model_TestVersion_Stats!$R:$R,C586)="","",INDEX(Model_TestVersion_Stats!$R:$R,C586)/60)</x:f>
      </x:c>
      <x:c r="H586" t="n">
        <x:f>IF(E586="","",E586-(D586-1))</x:f>
        <x:v>29</x:v>
      </x:c>
      <x:c r="I586" t="n">
        <x:f>IF(H586&gt;0,1,0)</x:f>
        <x:v>1</x:v>
      </x:c>
      <x:c r="J586" t="n">
        <x:f>IF(OR(I586=0,F586="",F586=0),"",H586/F586)</x:f>
        <x:v>138.0952380952381</x:v>
      </x:c>
      <x:c r="K586" t="n">
        <x:f>IF(OR(I586=0,H586=0,F586=""),"",F586/H586)</x:f>
        <x:v>0.007241379310344827</x:v>
      </x:c>
      <x:c r="L586" t="str">
        <x:f>IF(OR(I586=0,F586="",G586="",F586=0,G586=0),"",H586/(F586*G586))</x:f>
      </x:c>
      <x:c r="M586" t="n">
        <x:f>IF(J586="","",J586/_xlfn.MAXIFS($J:$J,$D:$D,D586))</x:f>
        <x:v>0.24857142857142858</x:v>
      </x:c>
      <x:c r="N586" t="str">
        <x:f>IF(L586="","",L586/_xlfn.MAXIFS($L:$L,$D:$D,D586))</x:f>
      </x:c>
      <x:c r="O586" t="str">
        <x:f>IF(OR(M586="",N586=""),"",SQRT(M586*N586))</x:f>
      </x:c>
      <x:c r="P586" t="str">
        <x:f>IF(OR(M586="",N586=""),"",M586^0.7*N586^0.3)</x:f>
      </x:c>
      <x:c r="Q586" t="str">
        <x:f>IF(OR(M586="",N586=""),"",M586^0.3*N586^0.7)</x:f>
      </x:c>
    </x:row>
    <x:row r="587">
      <x:c r="A587" t="inlineStr">
        <x:is>
          <x:t xml:space="preserve">openai|gpt-6-1-sol|medium|reasoning|fallback-na</x:t>
        </x:is>
      </x:c>
      <x:c r="B587" t="inlineStr">
        <x:is>
          <x:t xml:space="preserve">AA|v4.3.2</x:t>
        </x:is>
      </x:c>
      <x:c r="C587" t="n">
        <x:v>75</x:v>
      </x:c>
      <x:c r="D587" t="n">
        <x:v>30</x:v>
      </x:c>
      <x:c r="E587" t="n">
        <x:f>INDEX(Model_TestVersion_Stats!$W:$W,C587)</x:f>
        <x:v>48</x:v>
      </x:c>
      <x:c r="F587" t="n">
        <x:f>INDEX(Model_TestVersion_Stats!$O:$O,C587)</x:f>
        <x:v>0.21</x:v>
      </x:c>
      <x:c r="G587" t="str">
        <x:f>IF(INDEX(Model_TestVersion_Stats!$R:$R,C587)="","",INDEX(Model_TestVersion_Stats!$R:$R,C587)/60)</x:f>
      </x:c>
      <x:c r="H587" t="n">
        <x:f>IF(E587="","",E587-(D587-1))</x:f>
        <x:v>19</x:v>
      </x:c>
      <x:c r="I587" t="n">
        <x:f>IF(H587&gt;0,1,0)</x:f>
        <x:v>1</x:v>
      </x:c>
      <x:c r="J587" t="n">
        <x:f>IF(OR(I587=0,F587="",F587=0),"",H587/F587)</x:f>
        <x:v>90.47619047619048</x:v>
      </x:c>
      <x:c r="K587" t="n">
        <x:f>IF(OR(I587=0,H587=0,F587=""),"",F587/H587)</x:f>
        <x:v>0.011052631578947368</x:v>
      </x:c>
      <x:c r="L587" t="str">
        <x:f>IF(OR(I587=0,F587="",G587="",F587=0,G587=0),"",H587/(F587*G587))</x:f>
      </x:c>
      <x:c r="M587" t="n">
        <x:f>IF(J587="","",J587/_xlfn.MAXIFS($J:$J,$D:$D,D587))</x:f>
        <x:v>0.6031746031746033</x:v>
      </x:c>
      <x:c r="N587" t="str">
        <x:f>IF(L587="","",L587/_xlfn.MAXIFS($L:$L,$D:$D,D587))</x:f>
      </x:c>
      <x:c r="O587" t="str">
        <x:f>IF(OR(M587="",N587=""),"",SQRT(M587*N587))</x:f>
      </x:c>
      <x:c r="P587" t="str">
        <x:f>IF(OR(M587="",N587=""),"",M587^0.7*N587^0.3)</x:f>
      </x:c>
      <x:c r="Q587" t="str">
        <x:f>IF(OR(M587="",N587=""),"",M587^0.3*N587^0.7)</x:f>
      </x:c>
    </x:row>
    <x:row r="588">
      <x:c r="A588" t="inlineStr">
        <x:is>
          <x:t xml:space="preserve">openai|gpt-6-1-sol|medium|reasoning|fallback-na</x:t>
        </x:is>
      </x:c>
      <x:c r="B588" t="inlineStr">
        <x:is>
          <x:t xml:space="preserve">AA|v4.3.2</x:t>
        </x:is>
      </x:c>
      <x:c r="C588" t="n">
        <x:v>75</x:v>
      </x:c>
      <x:c r="D588" t="n">
        <x:v>40</x:v>
      </x:c>
      <x:c r="E588" t="n">
        <x:f>INDEX(Model_TestVersion_Stats!$W:$W,C588)</x:f>
        <x:v>48</x:v>
      </x:c>
      <x:c r="F588" t="n">
        <x:f>INDEX(Model_TestVersion_Stats!$O:$O,C588)</x:f>
        <x:v>0.21</x:v>
      </x:c>
      <x:c r="G588" t="str">
        <x:f>IF(INDEX(Model_TestVersion_Stats!$R:$R,C588)="","",INDEX(Model_TestVersion_Stats!$R:$R,C588)/60)</x:f>
      </x:c>
      <x:c r="H588" t="n">
        <x:f>IF(E588="","",E588-(D588-1))</x:f>
        <x:v>9</x:v>
      </x:c>
      <x:c r="I588" t="n">
        <x:f>IF(H588&gt;0,1,0)</x:f>
        <x:v>1</x:v>
      </x:c>
      <x:c r="J588" t="n">
        <x:f>IF(OR(I588=0,F588="",F588=0),"",H588/F588)</x:f>
        <x:v>42.85714285714286</x:v>
      </x:c>
      <x:c r="K588" t="n">
        <x:f>IF(OR(I588=0,H588=0,F588=""),"",F588/H588)</x:f>
        <x:v>0.02333333333333333</x:v>
      </x:c>
      <x:c r="L588" t="str">
        <x:f>IF(OR(I588=0,F588="",G588="",F588=0,G588=0),"",H588/(F588*G588))</x:f>
      </x:c>
      <x:c r="M588" t="n">
        <x:f>IF(J588="","",J588/_xlfn.MAXIFS($J:$J,$D:$D,D588))</x:f>
        <x:v>0.7959183673469389</x:v>
      </x:c>
      <x:c r="N588" t="str">
        <x:f>IF(L588="","",L588/_xlfn.MAXIFS($L:$L,$D:$D,D588))</x:f>
      </x:c>
      <x:c r="O588" t="str">
        <x:f>IF(OR(M588="",N588=""),"",SQRT(M588*N588))</x:f>
      </x:c>
      <x:c r="P588" t="str">
        <x:f>IF(OR(M588="",N588=""),"",M588^0.7*N588^0.3)</x:f>
      </x:c>
      <x:c r="Q588" t="str">
        <x:f>IF(OR(M588="",N588=""),"",M588^0.3*N588^0.7)</x:f>
      </x:c>
    </x:row>
    <x:row r="589">
      <x:c r="A589" t="inlineStr">
        <x:is>
          <x:t xml:space="preserve">openai|gpt-6-1-sol|medium|reasoning|fallback-na</x:t>
        </x:is>
      </x:c>
      <x:c r="B589" t="inlineStr">
        <x:is>
          <x:t xml:space="preserve">AA|v4.3.2</x:t>
        </x:is>
      </x:c>
      <x:c r="C589" t="n">
        <x:v>75</x:v>
      </x:c>
      <x:c r="D589" t="n">
        <x:v>45</x:v>
      </x:c>
      <x:c r="E589" t="n">
        <x:f>INDEX(Model_TestVersion_Stats!$W:$W,C589)</x:f>
        <x:v>48</x:v>
      </x:c>
      <x:c r="F589" t="n">
        <x:f>INDEX(Model_TestVersion_Stats!$O:$O,C589)</x:f>
        <x:v>0.21</x:v>
      </x:c>
      <x:c r="G589" t="str">
        <x:f>IF(INDEX(Model_TestVersion_Stats!$R:$R,C589)="","",INDEX(Model_TestVersion_Stats!$R:$R,C589)/60)</x:f>
      </x:c>
      <x:c r="H589" t="n">
        <x:f>IF(E589="","",E589-(D589-1))</x:f>
        <x:v>4</x:v>
      </x:c>
      <x:c r="I589" t="n">
        <x:f>IF(H589&gt;0,1,0)</x:f>
        <x:v>1</x:v>
      </x:c>
      <x:c r="J589" t="n">
        <x:f>IF(OR(I589=0,F589="",F589=0),"",H589/F589)</x:f>
        <x:v>19.047619047619047</x:v>
      </x:c>
      <x:c r="K589" t="n">
        <x:f>IF(OR(I589=0,H589=0,F589=""),"",F589/H589)</x:f>
        <x:v>0.0525</x:v>
      </x:c>
      <x:c r="L589" t="str">
        <x:f>IF(OR(I589=0,F589="",G589="",F589=0,G589=0),"",H589/(F589*G589))</x:f>
      </x:c>
      <x:c r="M589" t="n">
        <x:f>IF(J589="","",J589/_xlfn.MAXIFS($J:$J,$D:$D,D589))</x:f>
        <x:v>1</x:v>
      </x:c>
      <x:c r="N589" t="str">
        <x:f>IF(L589="","",L589/_xlfn.MAXIFS($L:$L,$D:$D,D589))</x:f>
      </x:c>
      <x:c r="O589" t="str">
        <x:f>IF(OR(M589="",N589=""),"",SQRT(M589*N589))</x:f>
      </x:c>
      <x:c r="P589" t="str">
        <x:f>IF(OR(M589="",N589=""),"",M589^0.7*N589^0.3)</x:f>
      </x:c>
      <x:c r="Q589" t="str">
        <x:f>IF(OR(M589="",N589=""),"",M589^0.3*N589^0.7)</x:f>
      </x:c>
    </x:row>
    <x:row r="590">
      <x:c r="A590" t="inlineStr">
        <x:is>
          <x:t xml:space="preserve">openai|gpt-6-1-sol|medium|reasoning|fallback-na</x:t>
        </x:is>
      </x:c>
      <x:c r="B590" t="inlineStr">
        <x:is>
          <x:t xml:space="preserve">AA|v4.3.2</x:t>
        </x:is>
      </x:c>
      <x:c r="C590" t="n">
        <x:v>75</x:v>
      </x:c>
      <x:c r="D590" t="n">
        <x:v>50</x:v>
      </x:c>
      <x:c r="E590" t="n">
        <x:f>INDEX(Model_TestVersion_Stats!$W:$W,C590)</x:f>
        <x:v>48</x:v>
      </x:c>
      <x:c r="F590" t="n">
        <x:f>INDEX(Model_TestVersion_Stats!$O:$O,C590)</x:f>
        <x:v>0.21</x:v>
      </x:c>
      <x:c r="G590" t="str">
        <x:f>IF(INDEX(Model_TestVersion_Stats!$R:$R,C590)="","",INDEX(Model_TestVersion_Stats!$R:$R,C590)/60)</x:f>
      </x:c>
      <x:c r="H590" t="n">
        <x:f>IF(E590="","",E590-(D590-1))</x:f>
        <x:v>-1</x:v>
      </x:c>
      <x:c r="I590" t="n">
        <x:f>IF(H590&gt;0,1,0)</x:f>
        <x:v>0</x:v>
      </x:c>
      <x:c r="J590" t="str">
        <x:f>IF(OR(I590=0,F590="",F590=0),"",H590/F590)</x:f>
      </x:c>
      <x:c r="K590" t="str">
        <x:f>IF(OR(I590=0,H590=0,F590=""),"",F590/H590)</x:f>
      </x:c>
      <x:c r="L590" t="str">
        <x:f>IF(OR(I590=0,F590="",G590="",F590=0,G590=0),"",H590/(F590*G590))</x:f>
      </x:c>
      <x:c r="M590" t="str">
        <x:f>IF(J590="","",J590/_xlfn.MAXIFS($J:$J,$D:$D,D590))</x:f>
      </x:c>
      <x:c r="N590" t="str">
        <x:f>IF(L590="","",L590/_xlfn.MAXIFS($L:$L,$D:$D,D590))</x:f>
      </x:c>
      <x:c r="O590" t="str">
        <x:f>IF(OR(M590="",N590=""),"",SQRT(M590*N590))</x:f>
      </x:c>
      <x:c r="P590" t="str">
        <x:f>IF(OR(M590="",N590=""),"",M590^0.7*N590^0.3)</x:f>
      </x:c>
      <x:c r="Q590" t="str">
        <x:f>IF(OR(M590="",N590=""),"",M590^0.3*N590^0.7)</x:f>
      </x:c>
    </x:row>
    <x:row r="591">
      <x:c r="A591" t="inlineStr">
        <x:is>
          <x:t xml:space="preserve">openai|gpt-6-1-sol|medium|reasoning|fallback-na</x:t>
        </x:is>
      </x:c>
      <x:c r="B591" t="inlineStr">
        <x:is>
          <x:t xml:space="preserve">AA|v4.3.2</x:t>
        </x:is>
      </x:c>
      <x:c r="C591" t="n">
        <x:v>75</x:v>
      </x:c>
      <x:c r="D591" t="n">
        <x:v>52</x:v>
      </x:c>
      <x:c r="E591" t="n">
        <x:f>INDEX(Model_TestVersion_Stats!$W:$W,C591)</x:f>
        <x:v>48</x:v>
      </x:c>
      <x:c r="F591" t="n">
        <x:f>INDEX(Model_TestVersion_Stats!$O:$O,C591)</x:f>
        <x:v>0.21</x:v>
      </x:c>
      <x:c r="G591" t="str">
        <x:f>IF(INDEX(Model_TestVersion_Stats!$R:$R,C591)="","",INDEX(Model_TestVersion_Stats!$R:$R,C591)/60)</x:f>
      </x:c>
      <x:c r="H591" t="n">
        <x:f>IF(E591="","",E591-(D591-1))</x:f>
        <x:v>-3</x:v>
      </x:c>
      <x:c r="I591" t="n">
        <x:f>IF(H591&gt;0,1,0)</x:f>
        <x:v>0</x:v>
      </x:c>
      <x:c r="J591" t="str">
        <x:f>IF(OR(I591=0,F591="",F591=0),"",H591/F591)</x:f>
      </x:c>
      <x:c r="K591" t="str">
        <x:f>IF(OR(I591=0,H591=0,F591=""),"",F591/H591)</x:f>
      </x:c>
      <x:c r="L591" t="str">
        <x:f>IF(OR(I591=0,F591="",G591="",F591=0,G591=0),"",H591/(F591*G591))</x:f>
      </x:c>
      <x:c r="M591" t="str">
        <x:f>IF(J591="","",J591/_xlfn.MAXIFS($J:$J,$D:$D,D591))</x:f>
      </x:c>
      <x:c r="N591" t="str">
        <x:f>IF(L591="","",L591/_xlfn.MAXIFS($L:$L,$D:$D,D591))</x:f>
      </x:c>
      <x:c r="O591" t="str">
        <x:f>IF(OR(M591="",N591=""),"",SQRT(M591*N591))</x:f>
      </x:c>
      <x:c r="P591" t="str">
        <x:f>IF(OR(M591="",N591=""),"",M591^0.7*N591^0.3)</x:f>
      </x:c>
      <x:c r="Q591" t="str">
        <x:f>IF(OR(M591="",N591=""),"",M591^0.3*N591^0.7)</x:f>
      </x:c>
    </x:row>
    <x:row r="592">
      <x:c r="A592" t="inlineStr">
        <x:is>
          <x:t xml:space="preserve">openai|gpt-6-1-sol|medium|reasoning|fallback-na</x:t>
        </x:is>
      </x:c>
      <x:c r="B592" t="inlineStr">
        <x:is>
          <x:t xml:space="preserve">AA|v4.3.2</x:t>
        </x:is>
      </x:c>
      <x:c r="C592" t="n">
        <x:v>75</x:v>
      </x:c>
      <x:c r="D592" t="n">
        <x:v>65</x:v>
      </x:c>
      <x:c r="E592" t="n">
        <x:f>INDEX(Model_TestVersion_Stats!$W:$W,C592)</x:f>
        <x:v>48</x:v>
      </x:c>
      <x:c r="F592" t="n">
        <x:f>INDEX(Model_TestVersion_Stats!$O:$O,C592)</x:f>
        <x:v>0.21</x:v>
      </x:c>
      <x:c r="G592" t="str">
        <x:f>IF(INDEX(Model_TestVersion_Stats!$R:$R,C592)="","",INDEX(Model_TestVersion_Stats!$R:$R,C592)/60)</x:f>
      </x:c>
      <x:c r="H592" t="n">
        <x:f>IF(E592="","",E592-(D592-1))</x:f>
        <x:v>-16</x:v>
      </x:c>
      <x:c r="I592" t="n">
        <x:f>IF(H592&gt;0,1,0)</x:f>
        <x:v>0</x:v>
      </x:c>
      <x:c r="J592" t="str">
        <x:f>IF(OR(I592=0,F592="",F592=0),"",H592/F592)</x:f>
      </x:c>
      <x:c r="K592" t="str">
        <x:f>IF(OR(I592=0,H592=0,F592=""),"",F592/H592)</x:f>
      </x:c>
      <x:c r="L592" t="str">
        <x:f>IF(OR(I592=0,F592="",G592="",F592=0,G592=0),"",H592/(F592*G592))</x:f>
      </x:c>
      <x:c r="M592" t="str">
        <x:f>IF(J592="","",J592/_xlfn.MAXIFS($J:$J,$D:$D,D592))</x:f>
      </x:c>
      <x:c r="N592" t="str">
        <x:f>IF(L592="","",L592/_xlfn.MAXIFS($L:$L,$D:$D,D592))</x:f>
      </x:c>
      <x:c r="O592" t="str">
        <x:f>IF(OR(M592="",N592=""),"",SQRT(M592*N592))</x:f>
      </x:c>
      <x:c r="P592" t="str">
        <x:f>IF(OR(M592="",N592=""),"",M592^0.7*N592^0.3)</x:f>
      </x:c>
      <x:c r="Q592" t="str">
        <x:f>IF(OR(M592="",N592=""),"",M592^0.3*N592^0.7)</x:f>
      </x:c>
    </x:row>
    <x:row r="593">
      <x:c r="A593" t="inlineStr">
        <x:is>
          <x:t xml:space="preserve">openai|gpt-6-1-sol|medium|reasoning|fallback-na</x:t>
        </x:is>
      </x:c>
      <x:c r="B593" t="inlineStr">
        <x:is>
          <x:t xml:space="preserve">AA|v4.3.2</x:t>
        </x:is>
      </x:c>
      <x:c r="C593" t="n">
        <x:v>75</x:v>
      </x:c>
      <x:c r="D593" t="n">
        <x:v>80</x:v>
      </x:c>
      <x:c r="E593" t="n">
        <x:f>INDEX(Model_TestVersion_Stats!$W:$W,C593)</x:f>
        <x:v>48</x:v>
      </x:c>
      <x:c r="F593" t="n">
        <x:f>INDEX(Model_TestVersion_Stats!$O:$O,C593)</x:f>
        <x:v>0.21</x:v>
      </x:c>
      <x:c r="G593" t="str">
        <x:f>IF(INDEX(Model_TestVersion_Stats!$R:$R,C593)="","",INDEX(Model_TestVersion_Stats!$R:$R,C593)/60)</x:f>
      </x:c>
      <x:c r="H593" t="n">
        <x:f>IF(E593="","",E593-(D593-1))</x:f>
        <x:v>-31</x:v>
      </x:c>
      <x:c r="I593" t="n">
        <x:f>IF(H593&gt;0,1,0)</x:f>
        <x:v>0</x:v>
      </x:c>
      <x:c r="J593" t="str">
        <x:f>IF(OR(I593=0,F593="",F593=0),"",H593/F593)</x:f>
      </x:c>
      <x:c r="K593" t="str">
        <x:f>IF(OR(I593=0,H593=0,F593=""),"",F593/H593)</x:f>
      </x:c>
      <x:c r="L593" t="str">
        <x:f>IF(OR(I593=0,F593="",G593="",F593=0,G593=0),"",H593/(F593*G593))</x:f>
      </x:c>
      <x:c r="M593" t="str">
        <x:f>IF(J593="","",J593/_xlfn.MAXIFS($J:$J,$D:$D,D593))</x:f>
      </x:c>
      <x:c r="N593" t="str">
        <x:f>IF(L593="","",L593/_xlfn.MAXIFS($L:$L,$D:$D,D593))</x:f>
      </x:c>
      <x:c r="O593" t="str">
        <x:f>IF(OR(M593="",N593=""),"",SQRT(M593*N593))</x:f>
      </x:c>
      <x:c r="P593" t="str">
        <x:f>IF(OR(M593="",N593=""),"",M593^0.7*N593^0.3)</x:f>
      </x:c>
      <x:c r="Q593" t="str">
        <x:f>IF(OR(M593="",N593=""),"",M593^0.3*N593^0.7)</x:f>
      </x:c>
    </x:row>
    <x:row r="594">
      <x:c r="A594" t="inlineStr">
        <x:is>
          <x:t xml:space="preserve">openai|gpt-6-1-sol|high|reasoning|fallback-na</x:t>
        </x:is>
      </x:c>
      <x:c r="B594" t="inlineStr">
        <x:is>
          <x:t xml:space="preserve">AA|v4.3.2</x:t>
        </x:is>
      </x:c>
      <x:c r="C594" t="n">
        <x:v>76</x:v>
      </x:c>
      <x:c r="D594" t="n">
        <x:v>20</x:v>
      </x:c>
      <x:c r="E594" t="n">
        <x:f>INDEX(Model_TestVersion_Stats!$W:$W,C594)</x:f>
        <x:v>50</x:v>
      </x:c>
      <x:c r="F594" t="n">
        <x:f>INDEX(Model_TestVersion_Stats!$O:$O,C594)</x:f>
        <x:v>0.32</x:v>
      </x:c>
      <x:c r="G594" t="str">
        <x:f>IF(INDEX(Model_TestVersion_Stats!$R:$R,C594)="","",INDEX(Model_TestVersion_Stats!$R:$R,C594)/60)</x:f>
      </x:c>
      <x:c r="H594" t="n">
        <x:f>IF(E594="","",E594-(D594-1))</x:f>
        <x:v>31</x:v>
      </x:c>
      <x:c r="I594" t="n">
        <x:f>IF(H594&gt;0,1,0)</x:f>
        <x:v>1</x:v>
      </x:c>
      <x:c r="J594" t="n">
        <x:f>IF(OR(I594=0,F594="",F594=0),"",H594/F594)</x:f>
        <x:v>96.875</x:v>
      </x:c>
      <x:c r="K594" t="n">
        <x:f>IF(OR(I594=0,H594=0,F594=""),"",F594/H594)</x:f>
        <x:v>0.01032258064516129</x:v>
      </x:c>
      <x:c r="L594" t="str">
        <x:f>IF(OR(I594=0,F594="",G594="",F594=0,G594=0),"",H594/(F594*G594))</x:f>
      </x:c>
      <x:c r="M594" t="n">
        <x:f>IF(J594="","",J594/_xlfn.MAXIFS($J:$J,$D:$D,D594))</x:f>
        <x:v>0.174375</x:v>
      </x:c>
      <x:c r="N594" t="str">
        <x:f>IF(L594="","",L594/_xlfn.MAXIFS($L:$L,$D:$D,D594))</x:f>
      </x:c>
      <x:c r="O594" t="str">
        <x:f>IF(OR(M594="",N594=""),"",SQRT(M594*N594))</x:f>
      </x:c>
      <x:c r="P594" t="str">
        <x:f>IF(OR(M594="",N594=""),"",M594^0.7*N594^0.3)</x:f>
      </x:c>
      <x:c r="Q594" t="str">
        <x:f>IF(OR(M594="",N594=""),"",M594^0.3*N594^0.7)</x:f>
      </x:c>
    </x:row>
    <x:row r="595">
      <x:c r="A595" t="inlineStr">
        <x:is>
          <x:t xml:space="preserve">openai|gpt-6-1-sol|high|reasoning|fallback-na</x:t>
        </x:is>
      </x:c>
      <x:c r="B595" t="inlineStr">
        <x:is>
          <x:t xml:space="preserve">AA|v4.3.2</x:t>
        </x:is>
      </x:c>
      <x:c r="C595" t="n">
        <x:v>76</x:v>
      </x:c>
      <x:c r="D595" t="n">
        <x:v>30</x:v>
      </x:c>
      <x:c r="E595" t="n">
        <x:f>INDEX(Model_TestVersion_Stats!$W:$W,C595)</x:f>
        <x:v>50</x:v>
      </x:c>
      <x:c r="F595" t="n">
        <x:f>INDEX(Model_TestVersion_Stats!$O:$O,C595)</x:f>
        <x:v>0.32</x:v>
      </x:c>
      <x:c r="G595" t="str">
        <x:f>IF(INDEX(Model_TestVersion_Stats!$R:$R,C595)="","",INDEX(Model_TestVersion_Stats!$R:$R,C595)/60)</x:f>
      </x:c>
      <x:c r="H595" t="n">
        <x:f>IF(E595="","",E595-(D595-1))</x:f>
        <x:v>21</x:v>
      </x:c>
      <x:c r="I595" t="n">
        <x:f>IF(H595&gt;0,1,0)</x:f>
        <x:v>1</x:v>
      </x:c>
      <x:c r="J595" t="n">
        <x:f>IF(OR(I595=0,F595="",F595=0),"",H595/F595)</x:f>
        <x:v>65.625</x:v>
      </x:c>
      <x:c r="K595" t="n">
        <x:f>IF(OR(I595=0,H595=0,F595=""),"",F595/H595)</x:f>
        <x:v>0.015238095238095238</x:v>
      </x:c>
      <x:c r="L595" t="str">
        <x:f>IF(OR(I595=0,F595="",G595="",F595=0,G595=0),"",H595/(F595*G595))</x:f>
      </x:c>
      <x:c r="M595" t="n">
        <x:f>IF(J595="","",J595/_xlfn.MAXIFS($J:$J,$D:$D,D595))</x:f>
        <x:v>0.4375</x:v>
      </x:c>
      <x:c r="N595" t="str">
        <x:f>IF(L595="","",L595/_xlfn.MAXIFS($L:$L,$D:$D,D595))</x:f>
      </x:c>
      <x:c r="O595" t="str">
        <x:f>IF(OR(M595="",N595=""),"",SQRT(M595*N595))</x:f>
      </x:c>
      <x:c r="P595" t="str">
        <x:f>IF(OR(M595="",N595=""),"",M595^0.7*N595^0.3)</x:f>
      </x:c>
      <x:c r="Q595" t="str">
        <x:f>IF(OR(M595="",N595=""),"",M595^0.3*N595^0.7)</x:f>
      </x:c>
    </x:row>
    <x:row r="596">
      <x:c r="A596" t="inlineStr">
        <x:is>
          <x:t xml:space="preserve">openai|gpt-6-1-sol|high|reasoning|fallback-na</x:t>
        </x:is>
      </x:c>
      <x:c r="B596" t="inlineStr">
        <x:is>
          <x:t xml:space="preserve">AA|v4.3.2</x:t>
        </x:is>
      </x:c>
      <x:c r="C596" t="n">
        <x:v>76</x:v>
      </x:c>
      <x:c r="D596" t="n">
        <x:v>40</x:v>
      </x:c>
      <x:c r="E596" t="n">
        <x:f>INDEX(Model_TestVersion_Stats!$W:$W,C596)</x:f>
        <x:v>50</x:v>
      </x:c>
      <x:c r="F596" t="n">
        <x:f>INDEX(Model_TestVersion_Stats!$O:$O,C596)</x:f>
        <x:v>0.32</x:v>
      </x:c>
      <x:c r="G596" t="str">
        <x:f>IF(INDEX(Model_TestVersion_Stats!$R:$R,C596)="","",INDEX(Model_TestVersion_Stats!$R:$R,C596)/60)</x:f>
      </x:c>
      <x:c r="H596" t="n">
        <x:f>IF(E596="","",E596-(D596-1))</x:f>
        <x:v>11</x:v>
      </x:c>
      <x:c r="I596" t="n">
        <x:f>IF(H596&gt;0,1,0)</x:f>
        <x:v>1</x:v>
      </x:c>
      <x:c r="J596" t="n">
        <x:f>IF(OR(I596=0,F596="",F596=0),"",H596/F596)</x:f>
        <x:v>34.375</x:v>
      </x:c>
      <x:c r="K596" t="n">
        <x:f>IF(OR(I596=0,H596=0,F596=""),"",F596/H596)</x:f>
        <x:v>0.02909090909090909</x:v>
      </x:c>
      <x:c r="L596" t="str">
        <x:f>IF(OR(I596=0,F596="",G596="",F596=0,G596=0),"",H596/(F596*G596))</x:f>
      </x:c>
      <x:c r="M596" t="n">
        <x:f>IF(J596="","",J596/_xlfn.MAXIFS($J:$J,$D:$D,D596))</x:f>
        <x:v>0.6383928571428571</x:v>
      </x:c>
      <x:c r="N596" t="str">
        <x:f>IF(L596="","",L596/_xlfn.MAXIFS($L:$L,$D:$D,D596))</x:f>
      </x:c>
      <x:c r="O596" t="str">
        <x:f>IF(OR(M596="",N596=""),"",SQRT(M596*N596))</x:f>
      </x:c>
      <x:c r="P596" t="str">
        <x:f>IF(OR(M596="",N596=""),"",M596^0.7*N596^0.3)</x:f>
      </x:c>
      <x:c r="Q596" t="str">
        <x:f>IF(OR(M596="",N596=""),"",M596^0.3*N596^0.7)</x:f>
      </x:c>
    </x:row>
    <x:row r="597">
      <x:c r="A597" t="inlineStr">
        <x:is>
          <x:t xml:space="preserve">openai|gpt-6-1-sol|high|reasoning|fallback-na</x:t>
        </x:is>
      </x:c>
      <x:c r="B597" t="inlineStr">
        <x:is>
          <x:t xml:space="preserve">AA|v4.3.2</x:t>
        </x:is>
      </x:c>
      <x:c r="C597" t="n">
        <x:v>76</x:v>
      </x:c>
      <x:c r="D597" t="n">
        <x:v>45</x:v>
      </x:c>
      <x:c r="E597" t="n">
        <x:f>INDEX(Model_TestVersion_Stats!$W:$W,C597)</x:f>
        <x:v>50</x:v>
      </x:c>
      <x:c r="F597" t="n">
        <x:f>INDEX(Model_TestVersion_Stats!$O:$O,C597)</x:f>
        <x:v>0.32</x:v>
      </x:c>
      <x:c r="G597" t="str">
        <x:f>IF(INDEX(Model_TestVersion_Stats!$R:$R,C597)="","",INDEX(Model_TestVersion_Stats!$R:$R,C597)/60)</x:f>
      </x:c>
      <x:c r="H597" t="n">
        <x:f>IF(E597="","",E597-(D597-1))</x:f>
        <x:v>6</x:v>
      </x:c>
      <x:c r="I597" t="n">
        <x:f>IF(H597&gt;0,1,0)</x:f>
        <x:v>1</x:v>
      </x:c>
      <x:c r="J597" t="n">
        <x:f>IF(OR(I597=0,F597="",F597=0),"",H597/F597)</x:f>
        <x:v>18.75</x:v>
      </x:c>
      <x:c r="K597" t="n">
        <x:f>IF(OR(I597=0,H597=0,F597=""),"",F597/H597)</x:f>
        <x:v>0.05333333333333334</x:v>
      </x:c>
      <x:c r="L597" t="str">
        <x:f>IF(OR(I597=0,F597="",G597="",F597=0,G597=0),"",H597/(F597*G597))</x:f>
      </x:c>
      <x:c r="M597" t="n">
        <x:f>IF(J597="","",J597/_xlfn.MAXIFS($J:$J,$D:$D,D597))</x:f>
        <x:v>0.984375</x:v>
      </x:c>
      <x:c r="N597" t="str">
        <x:f>IF(L597="","",L597/_xlfn.MAXIFS($L:$L,$D:$D,D597))</x:f>
      </x:c>
      <x:c r="O597" t="str">
        <x:f>IF(OR(M597="",N597=""),"",SQRT(M597*N597))</x:f>
      </x:c>
      <x:c r="P597" t="str">
        <x:f>IF(OR(M597="",N597=""),"",M597^0.7*N597^0.3)</x:f>
      </x:c>
      <x:c r="Q597" t="str">
        <x:f>IF(OR(M597="",N597=""),"",M597^0.3*N597^0.7)</x:f>
      </x:c>
    </x:row>
    <x:row r="598">
      <x:c r="A598" t="inlineStr">
        <x:is>
          <x:t xml:space="preserve">openai|gpt-6-1-sol|high|reasoning|fallback-na</x:t>
        </x:is>
      </x:c>
      <x:c r="B598" t="inlineStr">
        <x:is>
          <x:t xml:space="preserve">AA|v4.3.2</x:t>
        </x:is>
      </x:c>
      <x:c r="C598" t="n">
        <x:v>76</x:v>
      </x:c>
      <x:c r="D598" t="n">
        <x:v>50</x:v>
      </x:c>
      <x:c r="E598" t="n">
        <x:f>INDEX(Model_TestVersion_Stats!$W:$W,C598)</x:f>
        <x:v>50</x:v>
      </x:c>
      <x:c r="F598" t="n">
        <x:f>INDEX(Model_TestVersion_Stats!$O:$O,C598)</x:f>
        <x:v>0.32</x:v>
      </x:c>
      <x:c r="G598" t="str">
        <x:f>IF(INDEX(Model_TestVersion_Stats!$R:$R,C598)="","",INDEX(Model_TestVersion_Stats!$R:$R,C598)/60)</x:f>
      </x:c>
      <x:c r="H598" t="n">
        <x:f>IF(E598="","",E598-(D598-1))</x:f>
        <x:v>1</x:v>
      </x:c>
      <x:c r="I598" t="n">
        <x:f>IF(H598&gt;0,1,0)</x:f>
        <x:v>1</x:v>
      </x:c>
      <x:c r="J598" t="n">
        <x:f>IF(OR(I598=0,F598="",F598=0),"",H598/F598)</x:f>
        <x:v>3.125</x:v>
      </x:c>
      <x:c r="K598" t="n">
        <x:f>IF(OR(I598=0,H598=0,F598=""),"",F598/H598)</x:f>
        <x:v>0.32</x:v>
      </x:c>
      <x:c r="L598" t="str">
        <x:f>IF(OR(I598=0,F598="",G598="",F598=0,G598=0),"",H598/(F598*G598))</x:f>
      </x:c>
      <x:c r="M598" t="n">
        <x:f>IF(J598="","",J598/_xlfn.MAXIFS($J:$J,$D:$D,D598))</x:f>
        <x:v>0.609375</x:v>
      </x:c>
      <x:c r="N598" t="str">
        <x:f>IF(L598="","",L598/_xlfn.MAXIFS($L:$L,$D:$D,D598))</x:f>
      </x:c>
      <x:c r="O598" t="str">
        <x:f>IF(OR(M598="",N598=""),"",SQRT(M598*N598))</x:f>
      </x:c>
      <x:c r="P598" t="str">
        <x:f>IF(OR(M598="",N598=""),"",M598^0.7*N598^0.3)</x:f>
      </x:c>
      <x:c r="Q598" t="str">
        <x:f>IF(OR(M598="",N598=""),"",M598^0.3*N598^0.7)</x:f>
      </x:c>
    </x:row>
    <x:row r="599">
      <x:c r="A599" t="inlineStr">
        <x:is>
          <x:t xml:space="preserve">openai|gpt-6-1-sol|high|reasoning|fallback-na</x:t>
        </x:is>
      </x:c>
      <x:c r="B599" t="inlineStr">
        <x:is>
          <x:t xml:space="preserve">AA|v4.3.2</x:t>
        </x:is>
      </x:c>
      <x:c r="C599" t="n">
        <x:v>76</x:v>
      </x:c>
      <x:c r="D599" t="n">
        <x:v>52</x:v>
      </x:c>
      <x:c r="E599" t="n">
        <x:f>INDEX(Model_TestVersion_Stats!$W:$W,C599)</x:f>
        <x:v>50</x:v>
      </x:c>
      <x:c r="F599" t="n">
        <x:f>INDEX(Model_TestVersion_Stats!$O:$O,C599)</x:f>
        <x:v>0.32</x:v>
      </x:c>
      <x:c r="G599" t="str">
        <x:f>IF(INDEX(Model_TestVersion_Stats!$R:$R,C599)="","",INDEX(Model_TestVersion_Stats!$R:$R,C599)/60)</x:f>
      </x:c>
      <x:c r="H599" t="n">
        <x:f>IF(E599="","",E599-(D599-1))</x:f>
        <x:v>-1</x:v>
      </x:c>
      <x:c r="I599" t="n">
        <x:f>IF(H599&gt;0,1,0)</x:f>
        <x:v>0</x:v>
      </x:c>
      <x:c r="J599" t="str">
        <x:f>IF(OR(I599=0,F599="",F599=0),"",H599/F599)</x:f>
      </x:c>
      <x:c r="K599" t="str">
        <x:f>IF(OR(I599=0,H599=0,F599=""),"",F599/H599)</x:f>
      </x:c>
      <x:c r="L599" t="str">
        <x:f>IF(OR(I599=0,F599="",G599="",F599=0,G599=0),"",H599/(F599*G599))</x:f>
      </x:c>
      <x:c r="M599" t="str">
        <x:f>IF(J599="","",J599/_xlfn.MAXIFS($J:$J,$D:$D,D599))</x:f>
      </x:c>
      <x:c r="N599" t="str">
        <x:f>IF(L599="","",L599/_xlfn.MAXIFS($L:$L,$D:$D,D599))</x:f>
      </x:c>
      <x:c r="O599" t="str">
        <x:f>IF(OR(M599="",N599=""),"",SQRT(M599*N599))</x:f>
      </x:c>
      <x:c r="P599" t="str">
        <x:f>IF(OR(M599="",N599=""),"",M599^0.7*N599^0.3)</x:f>
      </x:c>
      <x:c r="Q599" t="str">
        <x:f>IF(OR(M599="",N599=""),"",M599^0.3*N599^0.7)</x:f>
      </x:c>
    </x:row>
    <x:row r="600">
      <x:c r="A600" t="inlineStr">
        <x:is>
          <x:t xml:space="preserve">openai|gpt-6-1-sol|high|reasoning|fallback-na</x:t>
        </x:is>
      </x:c>
      <x:c r="B600" t="inlineStr">
        <x:is>
          <x:t xml:space="preserve">AA|v4.3.2</x:t>
        </x:is>
      </x:c>
      <x:c r="C600" t="n">
        <x:v>76</x:v>
      </x:c>
      <x:c r="D600" t="n">
        <x:v>65</x:v>
      </x:c>
      <x:c r="E600" t="n">
        <x:f>INDEX(Model_TestVersion_Stats!$W:$W,C600)</x:f>
        <x:v>50</x:v>
      </x:c>
      <x:c r="F600" t="n">
        <x:f>INDEX(Model_TestVersion_Stats!$O:$O,C600)</x:f>
        <x:v>0.32</x:v>
      </x:c>
      <x:c r="G600" t="str">
        <x:f>IF(INDEX(Model_TestVersion_Stats!$R:$R,C600)="","",INDEX(Model_TestVersion_Stats!$R:$R,C600)/60)</x:f>
      </x:c>
      <x:c r="H600" t="n">
        <x:f>IF(E600="","",E600-(D600-1))</x:f>
        <x:v>-14</x:v>
      </x:c>
      <x:c r="I600" t="n">
        <x:f>IF(H600&gt;0,1,0)</x:f>
        <x:v>0</x:v>
      </x:c>
      <x:c r="J600" t="str">
        <x:f>IF(OR(I600=0,F600="",F600=0),"",H600/F600)</x:f>
      </x:c>
      <x:c r="K600" t="str">
        <x:f>IF(OR(I600=0,H600=0,F600=""),"",F600/H600)</x:f>
      </x:c>
      <x:c r="L600" t="str">
        <x:f>IF(OR(I600=0,F600="",G600="",F600=0,G600=0),"",H600/(F600*G600))</x:f>
      </x:c>
      <x:c r="M600" t="str">
        <x:f>IF(J600="","",J600/_xlfn.MAXIFS($J:$J,$D:$D,D600))</x:f>
      </x:c>
      <x:c r="N600" t="str">
        <x:f>IF(L600="","",L600/_xlfn.MAXIFS($L:$L,$D:$D,D600))</x:f>
      </x:c>
      <x:c r="O600" t="str">
        <x:f>IF(OR(M600="",N600=""),"",SQRT(M600*N600))</x:f>
      </x:c>
      <x:c r="P600" t="str">
        <x:f>IF(OR(M600="",N600=""),"",M600^0.7*N600^0.3)</x:f>
      </x:c>
      <x:c r="Q600" t="str">
        <x:f>IF(OR(M600="",N600=""),"",M600^0.3*N600^0.7)</x:f>
      </x:c>
    </x:row>
    <x:row r="601">
      <x:c r="A601" t="inlineStr">
        <x:is>
          <x:t xml:space="preserve">openai|gpt-6-1-sol|high|reasoning|fallback-na</x:t>
        </x:is>
      </x:c>
      <x:c r="B601" t="inlineStr">
        <x:is>
          <x:t xml:space="preserve">AA|v4.3.2</x:t>
        </x:is>
      </x:c>
      <x:c r="C601" t="n">
        <x:v>76</x:v>
      </x:c>
      <x:c r="D601" t="n">
        <x:v>80</x:v>
      </x:c>
      <x:c r="E601" t="n">
        <x:f>INDEX(Model_TestVersion_Stats!$W:$W,C601)</x:f>
        <x:v>50</x:v>
      </x:c>
      <x:c r="F601" t="n">
        <x:f>INDEX(Model_TestVersion_Stats!$O:$O,C601)</x:f>
        <x:v>0.32</x:v>
      </x:c>
      <x:c r="G601" t="str">
        <x:f>IF(INDEX(Model_TestVersion_Stats!$R:$R,C601)="","",INDEX(Model_TestVersion_Stats!$R:$R,C601)/60)</x:f>
      </x:c>
      <x:c r="H601" t="n">
        <x:f>IF(E601="","",E601-(D601-1))</x:f>
        <x:v>-29</x:v>
      </x:c>
      <x:c r="I601" t="n">
        <x:f>IF(H601&gt;0,1,0)</x:f>
        <x:v>0</x:v>
      </x:c>
      <x:c r="J601" t="str">
        <x:f>IF(OR(I601=0,F601="",F601=0),"",H601/F601)</x:f>
      </x:c>
      <x:c r="K601" t="str">
        <x:f>IF(OR(I601=0,H601=0,F601=""),"",F601/H601)</x:f>
      </x:c>
      <x:c r="L601" t="str">
        <x:f>IF(OR(I601=0,F601="",G601="",F601=0,G601=0),"",H601/(F601*G601))</x:f>
      </x:c>
      <x:c r="M601" t="str">
        <x:f>IF(J601="","",J601/_xlfn.MAXIFS($J:$J,$D:$D,D601))</x:f>
      </x:c>
      <x:c r="N601" t="str">
        <x:f>IF(L601="","",L601/_xlfn.MAXIFS($L:$L,$D:$D,D601))</x:f>
      </x:c>
      <x:c r="O601" t="str">
        <x:f>IF(OR(M601="",N601=""),"",SQRT(M601*N601))</x:f>
      </x:c>
      <x:c r="P601" t="str">
        <x:f>IF(OR(M601="",N601=""),"",M601^0.7*N601^0.3)</x:f>
      </x:c>
      <x:c r="Q601" t="str">
        <x:f>IF(OR(M601="",N601=""),"",M601^0.3*N601^0.7)</x:f>
      </x:c>
    </x:row>
    <x:row r="602">
      <x:c r="A602" t="inlineStr">
        <x:is>
          <x:t xml:space="preserve">openai|gpt-6-1-sol|xhigh|reasoning|fallback-na</x:t>
        </x:is>
      </x:c>
      <x:c r="B602" t="inlineStr">
        <x:is>
          <x:t xml:space="preserve">AA|v4.3.2</x:t>
        </x:is>
      </x:c>
      <x:c r="C602" t="n">
        <x:v>77</x:v>
      </x:c>
      <x:c r="D602" t="n">
        <x:v>20</x:v>
      </x:c>
      <x:c r="E602" t="n">
        <x:f>INDEX(Model_TestVersion_Stats!$W:$W,C602)</x:f>
        <x:v>51</x:v>
      </x:c>
      <x:c r="F602" t="n">
        <x:f>INDEX(Model_TestVersion_Stats!$O:$O,C602)</x:f>
        <x:v>0.39</x:v>
      </x:c>
      <x:c r="G602" t="str">
        <x:f>IF(INDEX(Model_TestVersion_Stats!$R:$R,C602)="","",INDEX(Model_TestVersion_Stats!$R:$R,C602)/60)</x:f>
      </x:c>
      <x:c r="H602" t="n">
        <x:f>IF(E602="","",E602-(D602-1))</x:f>
        <x:v>32</x:v>
      </x:c>
      <x:c r="I602" t="n">
        <x:f>IF(H602&gt;0,1,0)</x:f>
        <x:v>1</x:v>
      </x:c>
      <x:c r="J602" t="n">
        <x:f>IF(OR(I602=0,F602="",F602=0),"",H602/F602)</x:f>
        <x:v>82.05128205128204</x:v>
      </x:c>
      <x:c r="K602" t="n">
        <x:f>IF(OR(I602=0,H602=0,F602=""),"",F602/H602)</x:f>
        <x:v>0.0121875</x:v>
      </x:c>
      <x:c r="L602" t="str">
        <x:f>IF(OR(I602=0,F602="",G602="",F602=0,G602=0),"",H602/(F602*G602))</x:f>
      </x:c>
      <x:c r="M602" t="n">
        <x:f>IF(J602="","",J602/_xlfn.MAXIFS($J:$J,$D:$D,D602))</x:f>
        <x:v>0.14769230769230768</x:v>
      </x:c>
      <x:c r="N602" t="str">
        <x:f>IF(L602="","",L602/_xlfn.MAXIFS($L:$L,$D:$D,D602))</x:f>
      </x:c>
      <x:c r="O602" t="str">
        <x:f>IF(OR(M602="",N602=""),"",SQRT(M602*N602))</x:f>
      </x:c>
      <x:c r="P602" t="str">
        <x:f>IF(OR(M602="",N602=""),"",M602^0.7*N602^0.3)</x:f>
      </x:c>
      <x:c r="Q602" t="str">
        <x:f>IF(OR(M602="",N602=""),"",M602^0.3*N602^0.7)</x:f>
      </x:c>
    </x:row>
    <x:row r="603">
      <x:c r="A603" t="inlineStr">
        <x:is>
          <x:t xml:space="preserve">openai|gpt-6-1-sol|xhigh|reasoning|fallback-na</x:t>
        </x:is>
      </x:c>
      <x:c r="B603" t="inlineStr">
        <x:is>
          <x:t xml:space="preserve">AA|v4.3.2</x:t>
        </x:is>
      </x:c>
      <x:c r="C603" t="n">
        <x:v>77</x:v>
      </x:c>
      <x:c r="D603" t="n">
        <x:v>30</x:v>
      </x:c>
      <x:c r="E603" t="n">
        <x:f>INDEX(Model_TestVersion_Stats!$W:$W,C603)</x:f>
        <x:v>51</x:v>
      </x:c>
      <x:c r="F603" t="n">
        <x:f>INDEX(Model_TestVersion_Stats!$O:$O,C603)</x:f>
        <x:v>0.39</x:v>
      </x:c>
      <x:c r="G603" t="str">
        <x:f>IF(INDEX(Model_TestVersion_Stats!$R:$R,C603)="","",INDEX(Model_TestVersion_Stats!$R:$R,C603)/60)</x:f>
      </x:c>
      <x:c r="H603" t="n">
        <x:f>IF(E603="","",E603-(D603-1))</x:f>
        <x:v>22</x:v>
      </x:c>
      <x:c r="I603" t="n">
        <x:f>IF(H603&gt;0,1,0)</x:f>
        <x:v>1</x:v>
      </x:c>
      <x:c r="J603" t="n">
        <x:f>IF(OR(I603=0,F603="",F603=0),"",H603/F603)</x:f>
        <x:v>56.41025641025641</x:v>
      </x:c>
      <x:c r="K603" t="n">
        <x:f>IF(OR(I603=0,H603=0,F603=""),"",F603/H603)</x:f>
        <x:v>0.017727272727272727</x:v>
      </x:c>
      <x:c r="L603" t="str">
        <x:f>IF(OR(I603=0,F603="",G603="",F603=0,G603=0),"",H603/(F603*G603))</x:f>
      </x:c>
      <x:c r="M603" t="n">
        <x:f>IF(J603="","",J603/_xlfn.MAXIFS($J:$J,$D:$D,D603))</x:f>
        <x:v>0.37606837606837606</x:v>
      </x:c>
      <x:c r="N603" t="str">
        <x:f>IF(L603="","",L603/_xlfn.MAXIFS($L:$L,$D:$D,D603))</x:f>
      </x:c>
      <x:c r="O603" t="str">
        <x:f>IF(OR(M603="",N603=""),"",SQRT(M603*N603))</x:f>
      </x:c>
      <x:c r="P603" t="str">
        <x:f>IF(OR(M603="",N603=""),"",M603^0.7*N603^0.3)</x:f>
      </x:c>
      <x:c r="Q603" t="str">
        <x:f>IF(OR(M603="",N603=""),"",M603^0.3*N603^0.7)</x:f>
      </x:c>
    </x:row>
    <x:row r="604">
      <x:c r="A604" t="inlineStr">
        <x:is>
          <x:t xml:space="preserve">openai|gpt-6-1-sol|xhigh|reasoning|fallback-na</x:t>
        </x:is>
      </x:c>
      <x:c r="B604" t="inlineStr">
        <x:is>
          <x:t xml:space="preserve">AA|v4.3.2</x:t>
        </x:is>
      </x:c>
      <x:c r="C604" t="n">
        <x:v>77</x:v>
      </x:c>
      <x:c r="D604" t="n">
        <x:v>40</x:v>
      </x:c>
      <x:c r="E604" t="n">
        <x:f>INDEX(Model_TestVersion_Stats!$W:$W,C604)</x:f>
        <x:v>51</x:v>
      </x:c>
      <x:c r="F604" t="n">
        <x:f>INDEX(Model_TestVersion_Stats!$O:$O,C604)</x:f>
        <x:v>0.39</x:v>
      </x:c>
      <x:c r="G604" t="str">
        <x:f>IF(INDEX(Model_TestVersion_Stats!$R:$R,C604)="","",INDEX(Model_TestVersion_Stats!$R:$R,C604)/60)</x:f>
      </x:c>
      <x:c r="H604" t="n">
        <x:f>IF(E604="","",E604-(D604-1))</x:f>
        <x:v>12</x:v>
      </x:c>
      <x:c r="I604" t="n">
        <x:f>IF(H604&gt;0,1,0)</x:f>
        <x:v>1</x:v>
      </x:c>
      <x:c r="J604" t="n">
        <x:f>IF(OR(I604=0,F604="",F604=0),"",H604/F604)</x:f>
        <x:v>30.769230769230766</x:v>
      </x:c>
      <x:c r="K604" t="n">
        <x:f>IF(OR(I604=0,H604=0,F604=""),"",F604/H604)</x:f>
        <x:v>0.0325</x:v>
      </x:c>
      <x:c r="L604" t="str">
        <x:f>IF(OR(I604=0,F604="",G604="",F604=0,G604=0),"",H604/(F604*G604))</x:f>
      </x:c>
      <x:c r="M604" t="n">
        <x:f>IF(J604="","",J604/_xlfn.MAXIFS($J:$J,$D:$D,D604))</x:f>
        <x:v>0.5714285714285714</x:v>
      </x:c>
      <x:c r="N604" t="str">
        <x:f>IF(L604="","",L604/_xlfn.MAXIFS($L:$L,$D:$D,D604))</x:f>
      </x:c>
      <x:c r="O604" t="str">
        <x:f>IF(OR(M604="",N604=""),"",SQRT(M604*N604))</x:f>
      </x:c>
      <x:c r="P604" t="str">
        <x:f>IF(OR(M604="",N604=""),"",M604^0.7*N604^0.3)</x:f>
      </x:c>
      <x:c r="Q604" t="str">
        <x:f>IF(OR(M604="",N604=""),"",M604^0.3*N604^0.7)</x:f>
      </x:c>
    </x:row>
    <x:row r="605">
      <x:c r="A605" t="inlineStr">
        <x:is>
          <x:t xml:space="preserve">openai|gpt-6-1-sol|xhigh|reasoning|fallback-na</x:t>
        </x:is>
      </x:c>
      <x:c r="B605" t="inlineStr">
        <x:is>
          <x:t xml:space="preserve">AA|v4.3.2</x:t>
        </x:is>
      </x:c>
      <x:c r="C605" t="n">
        <x:v>77</x:v>
      </x:c>
      <x:c r="D605" t="n">
        <x:v>45</x:v>
      </x:c>
      <x:c r="E605" t="n">
        <x:f>INDEX(Model_TestVersion_Stats!$W:$W,C605)</x:f>
        <x:v>51</x:v>
      </x:c>
      <x:c r="F605" t="n">
        <x:f>INDEX(Model_TestVersion_Stats!$O:$O,C605)</x:f>
        <x:v>0.39</x:v>
      </x:c>
      <x:c r="G605" t="str">
        <x:f>IF(INDEX(Model_TestVersion_Stats!$R:$R,C605)="","",INDEX(Model_TestVersion_Stats!$R:$R,C605)/60)</x:f>
      </x:c>
      <x:c r="H605" t="n">
        <x:f>IF(E605="","",E605-(D605-1))</x:f>
        <x:v>7</x:v>
      </x:c>
      <x:c r="I605" t="n">
        <x:f>IF(H605&gt;0,1,0)</x:f>
        <x:v>1</x:v>
      </x:c>
      <x:c r="J605" t="n">
        <x:f>IF(OR(I605=0,F605="",F605=0),"",H605/F605)</x:f>
        <x:v>17.94871794871795</x:v>
      </x:c>
      <x:c r="K605" t="n">
        <x:f>IF(OR(I605=0,H605=0,F605=""),"",F605/H605)</x:f>
        <x:v>0.055714285714285716</x:v>
      </x:c>
      <x:c r="L605" t="str">
        <x:f>IF(OR(I605=0,F605="",G605="",F605=0,G605=0),"",H605/(F605*G605))</x:f>
      </x:c>
      <x:c r="M605" t="n">
        <x:f>IF(J605="","",J605/_xlfn.MAXIFS($J:$J,$D:$D,D605))</x:f>
        <x:v>0.9423076923076923</x:v>
      </x:c>
      <x:c r="N605" t="str">
        <x:f>IF(L605="","",L605/_xlfn.MAXIFS($L:$L,$D:$D,D605))</x:f>
      </x:c>
      <x:c r="O605" t="str">
        <x:f>IF(OR(M605="",N605=""),"",SQRT(M605*N605))</x:f>
      </x:c>
      <x:c r="P605" t="str">
        <x:f>IF(OR(M605="",N605=""),"",M605^0.7*N605^0.3)</x:f>
      </x:c>
      <x:c r="Q605" t="str">
        <x:f>IF(OR(M605="",N605=""),"",M605^0.3*N605^0.7)</x:f>
      </x:c>
    </x:row>
    <x:row r="606">
      <x:c r="A606" t="inlineStr">
        <x:is>
          <x:t xml:space="preserve">openai|gpt-6-1-sol|xhigh|reasoning|fallback-na</x:t>
        </x:is>
      </x:c>
      <x:c r="B606" t="inlineStr">
        <x:is>
          <x:t xml:space="preserve">AA|v4.3.2</x:t>
        </x:is>
      </x:c>
      <x:c r="C606" t="n">
        <x:v>77</x:v>
      </x:c>
      <x:c r="D606" t="n">
        <x:v>50</x:v>
      </x:c>
      <x:c r="E606" t="n">
        <x:f>INDEX(Model_TestVersion_Stats!$W:$W,C606)</x:f>
        <x:v>51</x:v>
      </x:c>
      <x:c r="F606" t="n">
        <x:f>INDEX(Model_TestVersion_Stats!$O:$O,C606)</x:f>
        <x:v>0.39</x:v>
      </x:c>
      <x:c r="G606" t="str">
        <x:f>IF(INDEX(Model_TestVersion_Stats!$R:$R,C606)="","",INDEX(Model_TestVersion_Stats!$R:$R,C606)/60)</x:f>
      </x:c>
      <x:c r="H606" t="n">
        <x:f>IF(E606="","",E606-(D606-1))</x:f>
        <x:v>2</x:v>
      </x:c>
      <x:c r="I606" t="n">
        <x:f>IF(H606&gt;0,1,0)</x:f>
        <x:v>1</x:v>
      </x:c>
      <x:c r="J606" t="n">
        <x:f>IF(OR(I606=0,F606="",F606=0),"",H606/F606)</x:f>
        <x:v>5.128205128205128</x:v>
      </x:c>
      <x:c r="K606" t="n">
        <x:f>IF(OR(I606=0,H606=0,F606=""),"",F606/H606)</x:f>
        <x:v>0.195</x:v>
      </x:c>
      <x:c r="L606" t="str">
        <x:f>IF(OR(I606=0,F606="",G606="",F606=0,G606=0),"",H606/(F606*G606))</x:f>
      </x:c>
      <x:c r="M606" t="n">
        <x:f>IF(J606="","",J606/_xlfn.MAXIFS($J:$J,$D:$D,D606))</x:f>
        <x:v>1</x:v>
      </x:c>
      <x:c r="N606" t="str">
        <x:f>IF(L606="","",L606/_xlfn.MAXIFS($L:$L,$D:$D,D606))</x:f>
      </x:c>
      <x:c r="O606" t="str">
        <x:f>IF(OR(M606="",N606=""),"",SQRT(M606*N606))</x:f>
      </x:c>
      <x:c r="P606" t="str">
        <x:f>IF(OR(M606="",N606=""),"",M606^0.7*N606^0.3)</x:f>
      </x:c>
      <x:c r="Q606" t="str">
        <x:f>IF(OR(M606="",N606=""),"",M606^0.3*N606^0.7)</x:f>
      </x:c>
    </x:row>
    <x:row r="607">
      <x:c r="A607" t="inlineStr">
        <x:is>
          <x:t xml:space="preserve">openai|gpt-6-1-sol|xhigh|reasoning|fallback-na</x:t>
        </x:is>
      </x:c>
      <x:c r="B607" t="inlineStr">
        <x:is>
          <x:t xml:space="preserve">AA|v4.3.2</x:t>
        </x:is>
      </x:c>
      <x:c r="C607" t="n">
        <x:v>77</x:v>
      </x:c>
      <x:c r="D607" t="n">
        <x:v>52</x:v>
      </x:c>
      <x:c r="E607" t="n">
        <x:f>INDEX(Model_TestVersion_Stats!$W:$W,C607)</x:f>
        <x:v>51</x:v>
      </x:c>
      <x:c r="F607" t="n">
        <x:f>INDEX(Model_TestVersion_Stats!$O:$O,C607)</x:f>
        <x:v>0.39</x:v>
      </x:c>
      <x:c r="G607" t="str">
        <x:f>IF(INDEX(Model_TestVersion_Stats!$R:$R,C607)="","",INDEX(Model_TestVersion_Stats!$R:$R,C607)/60)</x:f>
      </x:c>
      <x:c r="H607" t="n">
        <x:f>IF(E607="","",E607-(D607-1))</x:f>
        <x:v>0</x:v>
      </x:c>
      <x:c r="I607" t="n">
        <x:f>IF(H607&gt;0,1,0)</x:f>
        <x:v>0</x:v>
      </x:c>
      <x:c r="J607" t="str">
        <x:f>IF(OR(I607=0,F607="",F607=0),"",H607/F607)</x:f>
      </x:c>
      <x:c r="K607" t="str">
        <x:f>IF(OR(I607=0,H607=0,F607=""),"",F607/H607)</x:f>
      </x:c>
      <x:c r="L607" t="str">
        <x:f>IF(OR(I607=0,F607="",G607="",F607=0,G607=0),"",H607/(F607*G607))</x:f>
      </x:c>
      <x:c r="M607" t="str">
        <x:f>IF(J607="","",J607/_xlfn.MAXIFS($J:$J,$D:$D,D607))</x:f>
      </x:c>
      <x:c r="N607" t="str">
        <x:f>IF(L607="","",L607/_xlfn.MAXIFS($L:$L,$D:$D,D607))</x:f>
      </x:c>
      <x:c r="O607" t="str">
        <x:f>IF(OR(M607="",N607=""),"",SQRT(M607*N607))</x:f>
      </x:c>
      <x:c r="P607" t="str">
        <x:f>IF(OR(M607="",N607=""),"",M607^0.7*N607^0.3)</x:f>
      </x:c>
      <x:c r="Q607" t="str">
        <x:f>IF(OR(M607="",N607=""),"",M607^0.3*N607^0.7)</x:f>
      </x:c>
    </x:row>
    <x:row r="608">
      <x:c r="A608" t="inlineStr">
        <x:is>
          <x:t xml:space="preserve">openai|gpt-6-1-sol|xhigh|reasoning|fallback-na</x:t>
        </x:is>
      </x:c>
      <x:c r="B608" t="inlineStr">
        <x:is>
          <x:t xml:space="preserve">AA|v4.3.2</x:t>
        </x:is>
      </x:c>
      <x:c r="C608" t="n">
        <x:v>77</x:v>
      </x:c>
      <x:c r="D608" t="n">
        <x:v>65</x:v>
      </x:c>
      <x:c r="E608" t="n">
        <x:f>INDEX(Model_TestVersion_Stats!$W:$W,C608)</x:f>
        <x:v>51</x:v>
      </x:c>
      <x:c r="F608" t="n">
        <x:f>INDEX(Model_TestVersion_Stats!$O:$O,C608)</x:f>
        <x:v>0.39</x:v>
      </x:c>
      <x:c r="G608" t="str">
        <x:f>IF(INDEX(Model_TestVersion_Stats!$R:$R,C608)="","",INDEX(Model_TestVersion_Stats!$R:$R,C608)/60)</x:f>
      </x:c>
      <x:c r="H608" t="n">
        <x:f>IF(E608="","",E608-(D608-1))</x:f>
        <x:v>-13</x:v>
      </x:c>
      <x:c r="I608" t="n">
        <x:f>IF(H608&gt;0,1,0)</x:f>
        <x:v>0</x:v>
      </x:c>
      <x:c r="J608" t="str">
        <x:f>IF(OR(I608=0,F608="",F608=0),"",H608/F608)</x:f>
      </x:c>
      <x:c r="K608" t="str">
        <x:f>IF(OR(I608=0,H608=0,F608=""),"",F608/H608)</x:f>
      </x:c>
      <x:c r="L608" t="str">
        <x:f>IF(OR(I608=0,F608="",G608="",F608=0,G608=0),"",H608/(F608*G608))</x:f>
      </x:c>
      <x:c r="M608" t="str">
        <x:f>IF(J608="","",J608/_xlfn.MAXIFS($J:$J,$D:$D,D608))</x:f>
      </x:c>
      <x:c r="N608" t="str">
        <x:f>IF(L608="","",L608/_xlfn.MAXIFS($L:$L,$D:$D,D608))</x:f>
      </x:c>
      <x:c r="O608" t="str">
        <x:f>IF(OR(M608="",N608=""),"",SQRT(M608*N608))</x:f>
      </x:c>
      <x:c r="P608" t="str">
        <x:f>IF(OR(M608="",N608=""),"",M608^0.7*N608^0.3)</x:f>
      </x:c>
      <x:c r="Q608" t="str">
        <x:f>IF(OR(M608="",N608=""),"",M608^0.3*N608^0.7)</x:f>
      </x:c>
    </x:row>
    <x:row r="609">
      <x:c r="A609" t="inlineStr">
        <x:is>
          <x:t xml:space="preserve">openai|gpt-6-1-sol|xhigh|reasoning|fallback-na</x:t>
        </x:is>
      </x:c>
      <x:c r="B609" t="inlineStr">
        <x:is>
          <x:t xml:space="preserve">AA|v4.3.2</x:t>
        </x:is>
      </x:c>
      <x:c r="C609" t="n">
        <x:v>77</x:v>
      </x:c>
      <x:c r="D609" t="n">
        <x:v>80</x:v>
      </x:c>
      <x:c r="E609" t="n">
        <x:f>INDEX(Model_TestVersion_Stats!$W:$W,C609)</x:f>
        <x:v>51</x:v>
      </x:c>
      <x:c r="F609" t="n">
        <x:f>INDEX(Model_TestVersion_Stats!$O:$O,C609)</x:f>
        <x:v>0.39</x:v>
      </x:c>
      <x:c r="G609" t="str">
        <x:f>IF(INDEX(Model_TestVersion_Stats!$R:$R,C609)="","",INDEX(Model_TestVersion_Stats!$R:$R,C609)/60)</x:f>
      </x:c>
      <x:c r="H609" t="n">
        <x:f>IF(E609="","",E609-(D609-1))</x:f>
        <x:v>-28</x:v>
      </x:c>
      <x:c r="I609" t="n">
        <x:f>IF(H609&gt;0,1,0)</x:f>
        <x:v>0</x:v>
      </x:c>
      <x:c r="J609" t="str">
        <x:f>IF(OR(I609=0,F609="",F609=0),"",H609/F609)</x:f>
      </x:c>
      <x:c r="K609" t="str">
        <x:f>IF(OR(I609=0,H609=0,F609=""),"",F609/H609)</x:f>
      </x:c>
      <x:c r="L609" t="str">
        <x:f>IF(OR(I609=0,F609="",G609="",F609=0,G609=0),"",H609/(F609*G609))</x:f>
      </x:c>
      <x:c r="M609" t="str">
        <x:f>IF(J609="","",J609/_xlfn.MAXIFS($J:$J,$D:$D,D609))</x:f>
      </x:c>
      <x:c r="N609" t="str">
        <x:f>IF(L609="","",L609/_xlfn.MAXIFS($L:$L,$D:$D,D609))</x:f>
      </x:c>
      <x:c r="O609" t="str">
        <x:f>IF(OR(M609="",N609=""),"",SQRT(M609*N609))</x:f>
      </x:c>
      <x:c r="P609" t="str">
        <x:f>IF(OR(M609="",N609=""),"",M609^0.7*N609^0.3)</x:f>
      </x:c>
      <x:c r="Q609" t="str">
        <x:f>IF(OR(M609="",N609=""),"",M609^0.3*N609^0.7)</x:f>
      </x:c>
    </x:row>
    <x:row r="610">
      <x:c r="A610" t="inlineStr">
        <x:is>
          <x:t xml:space="preserve">openai|gpt-6-1-sol|max|reasoning|fallback-na</x:t>
        </x:is>
      </x:c>
      <x:c r="B610" t="inlineStr">
        <x:is>
          <x:t xml:space="preserve">AA|v4.3.2</x:t>
        </x:is>
      </x:c>
      <x:c r="C610" t="n">
        <x:v>78</x:v>
      </x:c>
      <x:c r="D610" t="n">
        <x:v>20</x:v>
      </x:c>
      <x:c r="E610" t="n">
        <x:f>INDEX(Model_TestVersion_Stats!$W:$W,C610)</x:f>
        <x:v>52</x:v>
      </x:c>
      <x:c r="F610" t="n">
        <x:f>INDEX(Model_TestVersion_Stats!$O:$O,C610)</x:f>
        <x:v>0.72</x:v>
      </x:c>
      <x:c r="G610" t="str">
        <x:f>IF(INDEX(Model_TestVersion_Stats!$R:$R,C610)="","",INDEX(Model_TestVersion_Stats!$R:$R,C610)/60)</x:f>
      </x:c>
      <x:c r="H610" t="n">
        <x:f>IF(E610="","",E610-(D610-1))</x:f>
        <x:v>33</x:v>
      </x:c>
      <x:c r="I610" t="n">
        <x:f>IF(H610&gt;0,1,0)</x:f>
        <x:v>1</x:v>
      </x:c>
      <x:c r="J610" t="n">
        <x:f>IF(OR(I610=0,F610="",F610=0),"",H610/F610)</x:f>
        <x:v>45.833333333333336</x:v>
      </x:c>
      <x:c r="K610" t="n">
        <x:f>IF(OR(I610=0,H610=0,F610=""),"",F610/H610)</x:f>
        <x:v>0.021818181818181816</x:v>
      </x:c>
      <x:c r="L610" t="str">
        <x:f>IF(OR(I610=0,F610="",G610="",F610=0,G610=0),"",H610/(F610*G610))</x:f>
      </x:c>
      <x:c r="M610" t="n">
        <x:f>IF(J610="","",J610/_xlfn.MAXIFS($J:$J,$D:$D,D610))</x:f>
        <x:v>0.0825</x:v>
      </x:c>
      <x:c r="N610" t="str">
        <x:f>IF(L610="","",L610/_xlfn.MAXIFS($L:$L,$D:$D,D610))</x:f>
      </x:c>
      <x:c r="O610" t="str">
        <x:f>IF(OR(M610="",N610=""),"",SQRT(M610*N610))</x:f>
      </x:c>
      <x:c r="P610" t="str">
        <x:f>IF(OR(M610="",N610=""),"",M610^0.7*N610^0.3)</x:f>
      </x:c>
      <x:c r="Q610" t="str">
        <x:f>IF(OR(M610="",N610=""),"",M610^0.3*N610^0.7)</x:f>
      </x:c>
    </x:row>
    <x:row r="611">
      <x:c r="A611" t="inlineStr">
        <x:is>
          <x:t xml:space="preserve">openai|gpt-6-1-sol|max|reasoning|fallback-na</x:t>
        </x:is>
      </x:c>
      <x:c r="B611" t="inlineStr">
        <x:is>
          <x:t xml:space="preserve">AA|v4.3.2</x:t>
        </x:is>
      </x:c>
      <x:c r="C611" t="n">
        <x:v>78</x:v>
      </x:c>
      <x:c r="D611" t="n">
        <x:v>30</x:v>
      </x:c>
      <x:c r="E611" t="n">
        <x:f>INDEX(Model_TestVersion_Stats!$W:$W,C611)</x:f>
        <x:v>52</x:v>
      </x:c>
      <x:c r="F611" t="n">
        <x:f>INDEX(Model_TestVersion_Stats!$O:$O,C611)</x:f>
        <x:v>0.72</x:v>
      </x:c>
      <x:c r="G611" t="str">
        <x:f>IF(INDEX(Model_TestVersion_Stats!$R:$R,C611)="","",INDEX(Model_TestVersion_Stats!$R:$R,C611)/60)</x:f>
      </x:c>
      <x:c r="H611" t="n">
        <x:f>IF(E611="","",E611-(D611-1))</x:f>
        <x:v>23</x:v>
      </x:c>
      <x:c r="I611" t="n">
        <x:f>IF(H611&gt;0,1,0)</x:f>
        <x:v>1</x:v>
      </x:c>
      <x:c r="J611" t="n">
        <x:f>IF(OR(I611=0,F611="",F611=0),"",H611/F611)</x:f>
        <x:v>31.944444444444446</x:v>
      </x:c>
      <x:c r="K611" t="n">
        <x:f>IF(OR(I611=0,H611=0,F611=""),"",F611/H611)</x:f>
        <x:v>0.03130434782608695</x:v>
      </x:c>
      <x:c r="L611" t="str">
        <x:f>IF(OR(I611=0,F611="",G611="",F611=0,G611=0),"",H611/(F611*G611))</x:f>
      </x:c>
      <x:c r="M611" t="n">
        <x:f>IF(J611="","",J611/_xlfn.MAXIFS($J:$J,$D:$D,D611))</x:f>
        <x:v>0.21296296296296297</x:v>
      </x:c>
      <x:c r="N611" t="str">
        <x:f>IF(L611="","",L611/_xlfn.MAXIFS($L:$L,$D:$D,D611))</x:f>
      </x:c>
      <x:c r="O611" t="str">
        <x:f>IF(OR(M611="",N611=""),"",SQRT(M611*N611))</x:f>
      </x:c>
      <x:c r="P611" t="str">
        <x:f>IF(OR(M611="",N611=""),"",M611^0.7*N611^0.3)</x:f>
      </x:c>
      <x:c r="Q611" t="str">
        <x:f>IF(OR(M611="",N611=""),"",M611^0.3*N611^0.7)</x:f>
      </x:c>
    </x:row>
    <x:row r="612">
      <x:c r="A612" t="inlineStr">
        <x:is>
          <x:t xml:space="preserve">openai|gpt-6-1-sol|max|reasoning|fallback-na</x:t>
        </x:is>
      </x:c>
      <x:c r="B612" t="inlineStr">
        <x:is>
          <x:t xml:space="preserve">AA|v4.3.2</x:t>
        </x:is>
      </x:c>
      <x:c r="C612" t="n">
        <x:v>78</x:v>
      </x:c>
      <x:c r="D612" t="n">
        <x:v>40</x:v>
      </x:c>
      <x:c r="E612" t="n">
        <x:f>INDEX(Model_TestVersion_Stats!$W:$W,C612)</x:f>
        <x:v>52</x:v>
      </x:c>
      <x:c r="F612" t="n">
        <x:f>INDEX(Model_TestVersion_Stats!$O:$O,C612)</x:f>
        <x:v>0.72</x:v>
      </x:c>
      <x:c r="G612" t="str">
        <x:f>IF(INDEX(Model_TestVersion_Stats!$R:$R,C612)="","",INDEX(Model_TestVersion_Stats!$R:$R,C612)/60)</x:f>
      </x:c>
      <x:c r="H612" t="n">
        <x:f>IF(E612="","",E612-(D612-1))</x:f>
        <x:v>13</x:v>
      </x:c>
      <x:c r="I612" t="n">
        <x:f>IF(H612&gt;0,1,0)</x:f>
        <x:v>1</x:v>
      </x:c>
      <x:c r="J612" t="n">
        <x:f>IF(OR(I612=0,F612="",F612=0),"",H612/F612)</x:f>
        <x:v>18.055555555555557</x:v>
      </x:c>
      <x:c r="K612" t="n">
        <x:f>IF(OR(I612=0,H612=0,F612=""),"",F612/H612)</x:f>
        <x:v>0.05538461538461538</x:v>
      </x:c>
      <x:c r="L612" t="str">
        <x:f>IF(OR(I612=0,F612="",G612="",F612=0,G612=0),"",H612/(F612*G612))</x:f>
      </x:c>
      <x:c r="M612" t="n">
        <x:f>IF(J612="","",J612/_xlfn.MAXIFS($J:$J,$D:$D,D612))</x:f>
        <x:v>0.33531746031746035</x:v>
      </x:c>
      <x:c r="N612" t="str">
        <x:f>IF(L612="","",L612/_xlfn.MAXIFS($L:$L,$D:$D,D612))</x:f>
      </x:c>
      <x:c r="O612" t="str">
        <x:f>IF(OR(M612="",N612=""),"",SQRT(M612*N612))</x:f>
      </x:c>
      <x:c r="P612" t="str">
        <x:f>IF(OR(M612="",N612=""),"",M612^0.7*N612^0.3)</x:f>
      </x:c>
      <x:c r="Q612" t="str">
        <x:f>IF(OR(M612="",N612=""),"",M612^0.3*N612^0.7)</x:f>
      </x:c>
    </x:row>
    <x:row r="613">
      <x:c r="A613" t="inlineStr">
        <x:is>
          <x:t xml:space="preserve">openai|gpt-6-1-sol|max|reasoning|fallback-na</x:t>
        </x:is>
      </x:c>
      <x:c r="B613" t="inlineStr">
        <x:is>
          <x:t xml:space="preserve">AA|v4.3.2</x:t>
        </x:is>
      </x:c>
      <x:c r="C613" t="n">
        <x:v>78</x:v>
      </x:c>
      <x:c r="D613" t="n">
        <x:v>45</x:v>
      </x:c>
      <x:c r="E613" t="n">
        <x:f>INDEX(Model_TestVersion_Stats!$W:$W,C613)</x:f>
        <x:v>52</x:v>
      </x:c>
      <x:c r="F613" t="n">
        <x:f>INDEX(Model_TestVersion_Stats!$O:$O,C613)</x:f>
        <x:v>0.72</x:v>
      </x:c>
      <x:c r="G613" t="str">
        <x:f>IF(INDEX(Model_TestVersion_Stats!$R:$R,C613)="","",INDEX(Model_TestVersion_Stats!$R:$R,C613)/60)</x:f>
      </x:c>
      <x:c r="H613" t="n">
        <x:f>IF(E613="","",E613-(D613-1))</x:f>
        <x:v>8</x:v>
      </x:c>
      <x:c r="I613" t="n">
        <x:f>IF(H613&gt;0,1,0)</x:f>
        <x:v>1</x:v>
      </x:c>
      <x:c r="J613" t="n">
        <x:f>IF(OR(I613=0,F613="",F613=0),"",H613/F613)</x:f>
        <x:v>11.11111111111111</x:v>
      </x:c>
      <x:c r="K613" t="n">
        <x:f>IF(OR(I613=0,H613=0,F613=""),"",F613/H613)</x:f>
        <x:v>0.09</x:v>
      </x:c>
      <x:c r="L613" t="str">
        <x:f>IF(OR(I613=0,F613="",G613="",F613=0,G613=0),"",H613/(F613*G613))</x:f>
      </x:c>
      <x:c r="M613" t="n">
        <x:f>IF(J613="","",J613/_xlfn.MAXIFS($J:$J,$D:$D,D613))</x:f>
        <x:v>0.5833333333333334</x:v>
      </x:c>
      <x:c r="N613" t="str">
        <x:f>IF(L613="","",L613/_xlfn.MAXIFS($L:$L,$D:$D,D613))</x:f>
      </x:c>
      <x:c r="O613" t="str">
        <x:f>IF(OR(M613="",N613=""),"",SQRT(M613*N613))</x:f>
      </x:c>
      <x:c r="P613" t="str">
        <x:f>IF(OR(M613="",N613=""),"",M613^0.7*N613^0.3)</x:f>
      </x:c>
      <x:c r="Q613" t="str">
        <x:f>IF(OR(M613="",N613=""),"",M613^0.3*N613^0.7)</x:f>
      </x:c>
    </x:row>
    <x:row r="614">
      <x:c r="A614" t="inlineStr">
        <x:is>
          <x:t xml:space="preserve">openai|gpt-6-1-sol|max|reasoning|fallback-na</x:t>
        </x:is>
      </x:c>
      <x:c r="B614" t="inlineStr">
        <x:is>
          <x:t xml:space="preserve">AA|v4.3.2</x:t>
        </x:is>
      </x:c>
      <x:c r="C614" t="n">
        <x:v>78</x:v>
      </x:c>
      <x:c r="D614" t="n">
        <x:v>50</x:v>
      </x:c>
      <x:c r="E614" t="n">
        <x:f>INDEX(Model_TestVersion_Stats!$W:$W,C614)</x:f>
        <x:v>52</x:v>
      </x:c>
      <x:c r="F614" t="n">
        <x:f>INDEX(Model_TestVersion_Stats!$O:$O,C614)</x:f>
        <x:v>0.72</x:v>
      </x:c>
      <x:c r="G614" t="str">
        <x:f>IF(INDEX(Model_TestVersion_Stats!$R:$R,C614)="","",INDEX(Model_TestVersion_Stats!$R:$R,C614)/60)</x:f>
      </x:c>
      <x:c r="H614" t="n">
        <x:f>IF(E614="","",E614-(D614-1))</x:f>
        <x:v>3</x:v>
      </x:c>
      <x:c r="I614" t="n">
        <x:f>IF(H614&gt;0,1,0)</x:f>
        <x:v>1</x:v>
      </x:c>
      <x:c r="J614" t="n">
        <x:f>IF(OR(I614=0,F614="",F614=0),"",H614/F614)</x:f>
        <x:v>4.166666666666667</x:v>
      </x:c>
      <x:c r="K614" t="n">
        <x:f>IF(OR(I614=0,H614=0,F614=""),"",F614/H614)</x:f>
        <x:v>0.24</x:v>
      </x:c>
      <x:c r="L614" t="str">
        <x:f>IF(OR(I614=0,F614="",G614="",F614=0,G614=0),"",H614/(F614*G614))</x:f>
      </x:c>
      <x:c r="M614" t="n">
        <x:f>IF(J614="","",J614/_xlfn.MAXIFS($J:$J,$D:$D,D614))</x:f>
        <x:v>0.8125000000000001</x:v>
      </x:c>
      <x:c r="N614" t="str">
        <x:f>IF(L614="","",L614/_xlfn.MAXIFS($L:$L,$D:$D,D614))</x:f>
      </x:c>
      <x:c r="O614" t="str">
        <x:f>IF(OR(M614="",N614=""),"",SQRT(M614*N614))</x:f>
      </x:c>
      <x:c r="P614" t="str">
        <x:f>IF(OR(M614="",N614=""),"",M614^0.7*N614^0.3)</x:f>
      </x:c>
      <x:c r="Q614" t="str">
        <x:f>IF(OR(M614="",N614=""),"",M614^0.3*N614^0.7)</x:f>
      </x:c>
    </x:row>
    <x:row r="615">
      <x:c r="A615" t="inlineStr">
        <x:is>
          <x:t xml:space="preserve">openai|gpt-6-1-sol|max|reasoning|fallback-na</x:t>
        </x:is>
      </x:c>
      <x:c r="B615" t="inlineStr">
        <x:is>
          <x:t xml:space="preserve">AA|v4.3.2</x:t>
        </x:is>
      </x:c>
      <x:c r="C615" t="n">
        <x:v>78</x:v>
      </x:c>
      <x:c r="D615" t="n">
        <x:v>52</x:v>
      </x:c>
      <x:c r="E615" t="n">
        <x:f>INDEX(Model_TestVersion_Stats!$W:$W,C615)</x:f>
        <x:v>52</x:v>
      </x:c>
      <x:c r="F615" t="n">
        <x:f>INDEX(Model_TestVersion_Stats!$O:$O,C615)</x:f>
        <x:v>0.72</x:v>
      </x:c>
      <x:c r="G615" t="str">
        <x:f>IF(INDEX(Model_TestVersion_Stats!$R:$R,C615)="","",INDEX(Model_TestVersion_Stats!$R:$R,C615)/60)</x:f>
      </x:c>
      <x:c r="H615" t="n">
        <x:f>IF(E615="","",E615-(D615-1))</x:f>
        <x:v>1</x:v>
      </x:c>
      <x:c r="I615" t="n">
        <x:f>IF(H615&gt;0,1,0)</x:f>
        <x:v>1</x:v>
      </x:c>
      <x:c r="J615" t="n">
        <x:f>IF(OR(I615=0,F615="",F615=0),"",H615/F615)</x:f>
        <x:v>1.3888888888888888</x:v>
      </x:c>
      <x:c r="K615" t="n">
        <x:f>IF(OR(I615=0,H615=0,F615=""),"",F615/H615)</x:f>
        <x:v>0.72</x:v>
      </x:c>
      <x:c r="L615" t="str">
        <x:f>IF(OR(I615=0,F615="",G615="",F615=0,G615=0),"",H615/(F615*G615))</x:f>
      </x:c>
      <x:c r="M615" t="n">
        <x:f>IF(J615="","",J615/_xlfn.MAXIFS($J:$J,$D:$D,D615))</x:f>
        <x:v>0.8425925925925926</x:v>
      </x:c>
      <x:c r="N615" t="str">
        <x:f>IF(L615="","",L615/_xlfn.MAXIFS($L:$L,$D:$D,D615))</x:f>
      </x:c>
      <x:c r="O615" t="str">
        <x:f>IF(OR(M615="",N615=""),"",SQRT(M615*N615))</x:f>
      </x:c>
      <x:c r="P615" t="str">
        <x:f>IF(OR(M615="",N615=""),"",M615^0.7*N615^0.3)</x:f>
      </x:c>
      <x:c r="Q615" t="str">
        <x:f>IF(OR(M615="",N615=""),"",M615^0.3*N615^0.7)</x:f>
      </x:c>
    </x:row>
    <x:row r="616">
      <x:c r="A616" t="inlineStr">
        <x:is>
          <x:t xml:space="preserve">openai|gpt-6-1-sol|max|reasoning|fallback-na</x:t>
        </x:is>
      </x:c>
      <x:c r="B616" t="inlineStr">
        <x:is>
          <x:t xml:space="preserve">AA|v4.3.2</x:t>
        </x:is>
      </x:c>
      <x:c r="C616" t="n">
        <x:v>78</x:v>
      </x:c>
      <x:c r="D616" t="n">
        <x:v>65</x:v>
      </x:c>
      <x:c r="E616" t="n">
        <x:f>INDEX(Model_TestVersion_Stats!$W:$W,C616)</x:f>
        <x:v>52</x:v>
      </x:c>
      <x:c r="F616" t="n">
        <x:f>INDEX(Model_TestVersion_Stats!$O:$O,C616)</x:f>
        <x:v>0.72</x:v>
      </x:c>
      <x:c r="G616" t="str">
        <x:f>IF(INDEX(Model_TestVersion_Stats!$R:$R,C616)="","",INDEX(Model_TestVersion_Stats!$R:$R,C616)/60)</x:f>
      </x:c>
      <x:c r="H616" t="n">
        <x:f>IF(E616="","",E616-(D616-1))</x:f>
        <x:v>-12</x:v>
      </x:c>
      <x:c r="I616" t="n">
        <x:f>IF(H616&gt;0,1,0)</x:f>
        <x:v>0</x:v>
      </x:c>
      <x:c r="J616" t="str">
        <x:f>IF(OR(I616=0,F616="",F616=0),"",H616/F616)</x:f>
      </x:c>
      <x:c r="K616" t="str">
        <x:f>IF(OR(I616=0,H616=0,F616=""),"",F616/H616)</x:f>
      </x:c>
      <x:c r="L616" t="str">
        <x:f>IF(OR(I616=0,F616="",G616="",F616=0,G616=0),"",H616/(F616*G616))</x:f>
      </x:c>
      <x:c r="M616" t="str">
        <x:f>IF(J616="","",J616/_xlfn.MAXIFS($J:$J,$D:$D,D616))</x:f>
      </x:c>
      <x:c r="N616" t="str">
        <x:f>IF(L616="","",L616/_xlfn.MAXIFS($L:$L,$D:$D,D616))</x:f>
      </x:c>
      <x:c r="O616" t="str">
        <x:f>IF(OR(M616="",N616=""),"",SQRT(M616*N616))</x:f>
      </x:c>
      <x:c r="P616" t="str">
        <x:f>IF(OR(M616="",N616=""),"",M616^0.7*N616^0.3)</x:f>
      </x:c>
      <x:c r="Q616" t="str">
        <x:f>IF(OR(M616="",N616=""),"",M616^0.3*N616^0.7)</x:f>
      </x:c>
    </x:row>
    <x:row r="617">
      <x:c r="A617" t="inlineStr">
        <x:is>
          <x:t xml:space="preserve">openai|gpt-6-1-sol|max|reasoning|fallback-na</x:t>
        </x:is>
      </x:c>
      <x:c r="B617" t="inlineStr">
        <x:is>
          <x:t xml:space="preserve">AA|v4.3.2</x:t>
        </x:is>
      </x:c>
      <x:c r="C617" t="n">
        <x:v>78</x:v>
      </x:c>
      <x:c r="D617" t="n">
        <x:v>80</x:v>
      </x:c>
      <x:c r="E617" t="n">
        <x:f>INDEX(Model_TestVersion_Stats!$W:$W,C617)</x:f>
        <x:v>52</x:v>
      </x:c>
      <x:c r="F617" t="n">
        <x:f>INDEX(Model_TestVersion_Stats!$O:$O,C617)</x:f>
        <x:v>0.72</x:v>
      </x:c>
      <x:c r="G617" t="str">
        <x:f>IF(INDEX(Model_TestVersion_Stats!$R:$R,C617)="","",INDEX(Model_TestVersion_Stats!$R:$R,C617)/60)</x:f>
      </x:c>
      <x:c r="H617" t="n">
        <x:f>IF(E617="","",E617-(D617-1))</x:f>
        <x:v>-27</x:v>
      </x:c>
      <x:c r="I617" t="n">
        <x:f>IF(H617&gt;0,1,0)</x:f>
        <x:v>0</x:v>
      </x:c>
      <x:c r="J617" t="str">
        <x:f>IF(OR(I617=0,F617="",F617=0),"",H617/F617)</x:f>
      </x:c>
      <x:c r="K617" t="str">
        <x:f>IF(OR(I617=0,H617=0,F617=""),"",F617/H617)</x:f>
      </x:c>
      <x:c r="L617" t="str">
        <x:f>IF(OR(I617=0,F617="",G617="",F617=0,G617=0),"",H617/(F617*G617))</x:f>
      </x:c>
      <x:c r="M617" t="str">
        <x:f>IF(J617="","",J617/_xlfn.MAXIFS($J:$J,$D:$D,D617))</x:f>
      </x:c>
      <x:c r="N617" t="str">
        <x:f>IF(L617="","",L617/_xlfn.MAXIFS($L:$L,$D:$D,D617))</x:f>
      </x:c>
      <x:c r="O617" t="str">
        <x:f>IF(OR(M617="",N617=""),"",SQRT(M617*N617))</x:f>
      </x:c>
      <x:c r="P617" t="str">
        <x:f>IF(OR(M617="",N617=""),"",M617^0.7*N617^0.3)</x:f>
      </x:c>
      <x:c r="Q617" t="str">
        <x:f>IF(OR(M617="",N617=""),"",M617^0.3*N617^0.7)</x:f>
      </x:c>
    </x:row>
    <x:row r="618">
      <x:c r="A618" t="inlineStr">
        <x:is>
          <x:t xml:space="preserve">anthropic|claude-haiku-5-5|low|reasoning|fallback-na</x:t>
        </x:is>
      </x:c>
      <x:c r="B618" t="inlineStr">
        <x:is>
          <x:t xml:space="preserve">AA|v4.3.2</x:t>
        </x:is>
      </x:c>
      <x:c r="C618" t="n">
        <x:v>79</x:v>
      </x:c>
      <x:c r="D618" t="n">
        <x:v>20</x:v>
      </x:c>
      <x:c r="E618" t="n">
        <x:f>INDEX(Model_TestVersion_Stats!$W:$W,C618)</x:f>
        <x:v>29</x:v>
      </x:c>
      <x:c r="F618" t="n">
        <x:f>INDEX(Model_TestVersion_Stats!$O:$O,C618)</x:f>
        <x:v>0.02</x:v>
      </x:c>
      <x:c r="G618" t="str">
        <x:f>IF(INDEX(Model_TestVersion_Stats!$R:$R,C618)="","",INDEX(Model_TestVersion_Stats!$R:$R,C618)/60)</x:f>
      </x:c>
      <x:c r="H618" t="n">
        <x:f>IF(E618="","",E618-(D618-1))</x:f>
        <x:v>10</x:v>
      </x:c>
      <x:c r="I618" t="n">
        <x:f>IF(H618&gt;0,1,0)</x:f>
        <x:v>1</x:v>
      </x:c>
      <x:c r="J618" t="n">
        <x:f>IF(OR(I618=0,F618="",F618=0),"",H618/F618)</x:f>
        <x:v>500</x:v>
      </x:c>
      <x:c r="K618" t="n">
        <x:f>IF(OR(I618=0,H618=0,F618=""),"",F618/H618)</x:f>
        <x:v>0.002</x:v>
      </x:c>
      <x:c r="L618" t="str">
        <x:f>IF(OR(I618=0,F618="",G618="",F618=0,G618=0),"",H618/(F618*G618))</x:f>
      </x:c>
      <x:c r="M618" t="n">
        <x:f>IF(J618="","",J618/_xlfn.MAXIFS($J:$J,$D:$D,D618))</x:f>
        <x:v>0.9</x:v>
      </x:c>
      <x:c r="N618" t="str">
        <x:f>IF(L618="","",L618/_xlfn.MAXIFS($L:$L,$D:$D,D618))</x:f>
      </x:c>
      <x:c r="O618" t="str">
        <x:f>IF(OR(M618="",N618=""),"",SQRT(M618*N618))</x:f>
      </x:c>
      <x:c r="P618" t="str">
        <x:f>IF(OR(M618="",N618=""),"",M618^0.7*N618^0.3)</x:f>
      </x:c>
      <x:c r="Q618" t="str">
        <x:f>IF(OR(M618="",N618=""),"",M618^0.3*N618^0.7)</x:f>
      </x:c>
    </x:row>
    <x:row r="619">
      <x:c r="A619" t="inlineStr">
        <x:is>
          <x:t xml:space="preserve">anthropic|claude-haiku-5-5|low|reasoning|fallback-na</x:t>
        </x:is>
      </x:c>
      <x:c r="B619" t="inlineStr">
        <x:is>
          <x:t xml:space="preserve">AA|v4.3.2</x:t>
        </x:is>
      </x:c>
      <x:c r="C619" t="n">
        <x:v>79</x:v>
      </x:c>
      <x:c r="D619" t="n">
        <x:v>30</x:v>
      </x:c>
      <x:c r="E619" t="n">
        <x:f>INDEX(Model_TestVersion_Stats!$W:$W,C619)</x:f>
        <x:v>29</x:v>
      </x:c>
      <x:c r="F619" t="n">
        <x:f>INDEX(Model_TestVersion_Stats!$O:$O,C619)</x:f>
        <x:v>0.02</x:v>
      </x:c>
      <x:c r="G619" t="str">
        <x:f>IF(INDEX(Model_TestVersion_Stats!$R:$R,C619)="","",INDEX(Model_TestVersion_Stats!$R:$R,C619)/60)</x:f>
      </x:c>
      <x:c r="H619" t="n">
        <x:f>IF(E619="","",E619-(D619-1))</x:f>
        <x:v>0</x:v>
      </x:c>
      <x:c r="I619" t="n">
        <x:f>IF(H619&gt;0,1,0)</x:f>
        <x:v>0</x:v>
      </x:c>
      <x:c r="J619" t="str">
        <x:f>IF(OR(I619=0,F619="",F619=0),"",H619/F619)</x:f>
      </x:c>
      <x:c r="K619" t="str">
        <x:f>IF(OR(I619=0,H619=0,F619=""),"",F619/H619)</x:f>
      </x:c>
      <x:c r="L619" t="str">
        <x:f>IF(OR(I619=0,F619="",G619="",F619=0,G619=0),"",H619/(F619*G619))</x:f>
      </x:c>
      <x:c r="M619" t="str">
        <x:f>IF(J619="","",J619/_xlfn.MAXIFS($J:$J,$D:$D,D619))</x:f>
      </x:c>
      <x:c r="N619" t="str">
        <x:f>IF(L619="","",L619/_xlfn.MAXIFS($L:$L,$D:$D,D619))</x:f>
      </x:c>
      <x:c r="O619" t="str">
        <x:f>IF(OR(M619="",N619=""),"",SQRT(M619*N619))</x:f>
      </x:c>
      <x:c r="P619" t="str">
        <x:f>IF(OR(M619="",N619=""),"",M619^0.7*N619^0.3)</x:f>
      </x:c>
      <x:c r="Q619" t="str">
        <x:f>IF(OR(M619="",N619=""),"",M619^0.3*N619^0.7)</x:f>
      </x:c>
    </x:row>
    <x:row r="620">
      <x:c r="A620" t="inlineStr">
        <x:is>
          <x:t xml:space="preserve">anthropic|claude-haiku-5-5|low|reasoning|fallback-na</x:t>
        </x:is>
      </x:c>
      <x:c r="B620" t="inlineStr">
        <x:is>
          <x:t xml:space="preserve">AA|v4.3.2</x:t>
        </x:is>
      </x:c>
      <x:c r="C620" t="n">
        <x:v>79</x:v>
      </x:c>
      <x:c r="D620" t="n">
        <x:v>40</x:v>
      </x:c>
      <x:c r="E620" t="n">
        <x:f>INDEX(Model_TestVersion_Stats!$W:$W,C620)</x:f>
        <x:v>29</x:v>
      </x:c>
      <x:c r="F620" t="n">
        <x:f>INDEX(Model_TestVersion_Stats!$O:$O,C620)</x:f>
        <x:v>0.02</x:v>
      </x:c>
      <x:c r="G620" t="str">
        <x:f>IF(INDEX(Model_TestVersion_Stats!$R:$R,C620)="","",INDEX(Model_TestVersion_Stats!$R:$R,C620)/60)</x:f>
      </x:c>
      <x:c r="H620" t="n">
        <x:f>IF(E620="","",E620-(D620-1))</x:f>
        <x:v>-10</x:v>
      </x:c>
      <x:c r="I620" t="n">
        <x:f>IF(H620&gt;0,1,0)</x:f>
        <x:v>0</x:v>
      </x:c>
      <x:c r="J620" t="str">
        <x:f>IF(OR(I620=0,F620="",F620=0),"",H620/F620)</x:f>
      </x:c>
      <x:c r="K620" t="str">
        <x:f>IF(OR(I620=0,H620=0,F620=""),"",F620/H620)</x:f>
      </x:c>
      <x:c r="L620" t="str">
        <x:f>IF(OR(I620=0,F620="",G620="",F620=0,G620=0),"",H620/(F620*G620))</x:f>
      </x:c>
      <x:c r="M620" t="str">
        <x:f>IF(J620="","",J620/_xlfn.MAXIFS($J:$J,$D:$D,D620))</x:f>
      </x:c>
      <x:c r="N620" t="str">
        <x:f>IF(L620="","",L620/_xlfn.MAXIFS($L:$L,$D:$D,D620))</x:f>
      </x:c>
      <x:c r="O620" t="str">
        <x:f>IF(OR(M620="",N620=""),"",SQRT(M620*N620))</x:f>
      </x:c>
      <x:c r="P620" t="str">
        <x:f>IF(OR(M620="",N620=""),"",M620^0.7*N620^0.3)</x:f>
      </x:c>
      <x:c r="Q620" t="str">
        <x:f>IF(OR(M620="",N620=""),"",M620^0.3*N620^0.7)</x:f>
      </x:c>
    </x:row>
    <x:row r="621">
      <x:c r="A621" t="inlineStr">
        <x:is>
          <x:t xml:space="preserve">anthropic|claude-haiku-5-5|low|reasoning|fallback-na</x:t>
        </x:is>
      </x:c>
      <x:c r="B621" t="inlineStr">
        <x:is>
          <x:t xml:space="preserve">AA|v4.3.2</x:t>
        </x:is>
      </x:c>
      <x:c r="C621" t="n">
        <x:v>79</x:v>
      </x:c>
      <x:c r="D621" t="n">
        <x:v>45</x:v>
      </x:c>
      <x:c r="E621" t="n">
        <x:f>INDEX(Model_TestVersion_Stats!$W:$W,C621)</x:f>
        <x:v>29</x:v>
      </x:c>
      <x:c r="F621" t="n">
        <x:f>INDEX(Model_TestVersion_Stats!$O:$O,C621)</x:f>
        <x:v>0.02</x:v>
      </x:c>
      <x:c r="G621" t="str">
        <x:f>IF(INDEX(Model_TestVersion_Stats!$R:$R,C621)="","",INDEX(Model_TestVersion_Stats!$R:$R,C621)/60)</x:f>
      </x:c>
      <x:c r="H621" t="n">
        <x:f>IF(E621="","",E621-(D621-1))</x:f>
        <x:v>-15</x:v>
      </x:c>
      <x:c r="I621" t="n">
        <x:f>IF(H621&gt;0,1,0)</x:f>
        <x:v>0</x:v>
      </x:c>
      <x:c r="J621" t="str">
        <x:f>IF(OR(I621=0,F621="",F621=0),"",H621/F621)</x:f>
      </x:c>
      <x:c r="K621" t="str">
        <x:f>IF(OR(I621=0,H621=0,F621=""),"",F621/H621)</x:f>
      </x:c>
      <x:c r="L621" t="str">
        <x:f>IF(OR(I621=0,F621="",G621="",F621=0,G621=0),"",H621/(F621*G621))</x:f>
      </x:c>
      <x:c r="M621" t="str">
        <x:f>IF(J621="","",J621/_xlfn.MAXIFS($J:$J,$D:$D,D621))</x:f>
      </x:c>
      <x:c r="N621" t="str">
        <x:f>IF(L621="","",L621/_xlfn.MAXIFS($L:$L,$D:$D,D621))</x:f>
      </x:c>
      <x:c r="O621" t="str">
        <x:f>IF(OR(M621="",N621=""),"",SQRT(M621*N621))</x:f>
      </x:c>
      <x:c r="P621" t="str">
        <x:f>IF(OR(M621="",N621=""),"",M621^0.7*N621^0.3)</x:f>
      </x:c>
      <x:c r="Q621" t="str">
        <x:f>IF(OR(M621="",N621=""),"",M621^0.3*N621^0.7)</x:f>
      </x:c>
    </x:row>
    <x:row r="622">
      <x:c r="A622" t="inlineStr">
        <x:is>
          <x:t xml:space="preserve">anthropic|claude-haiku-5-5|low|reasoning|fallback-na</x:t>
        </x:is>
      </x:c>
      <x:c r="B622" t="inlineStr">
        <x:is>
          <x:t xml:space="preserve">AA|v4.3.2</x:t>
        </x:is>
      </x:c>
      <x:c r="C622" t="n">
        <x:v>79</x:v>
      </x:c>
      <x:c r="D622" t="n">
        <x:v>50</x:v>
      </x:c>
      <x:c r="E622" t="n">
        <x:f>INDEX(Model_TestVersion_Stats!$W:$W,C622)</x:f>
        <x:v>29</x:v>
      </x:c>
      <x:c r="F622" t="n">
        <x:f>INDEX(Model_TestVersion_Stats!$O:$O,C622)</x:f>
        <x:v>0.02</x:v>
      </x:c>
      <x:c r="G622" t="str">
        <x:f>IF(INDEX(Model_TestVersion_Stats!$R:$R,C622)="","",INDEX(Model_TestVersion_Stats!$R:$R,C622)/60)</x:f>
      </x:c>
      <x:c r="H622" t="n">
        <x:f>IF(E622="","",E622-(D622-1))</x:f>
        <x:v>-20</x:v>
      </x:c>
      <x:c r="I622" t="n">
        <x:f>IF(H622&gt;0,1,0)</x:f>
        <x:v>0</x:v>
      </x:c>
      <x:c r="J622" t="str">
        <x:f>IF(OR(I622=0,F622="",F622=0),"",H622/F622)</x:f>
      </x:c>
      <x:c r="K622" t="str">
        <x:f>IF(OR(I622=0,H622=0,F622=""),"",F622/H622)</x:f>
      </x:c>
      <x:c r="L622" t="str">
        <x:f>IF(OR(I622=0,F622="",G622="",F622=0,G622=0),"",H622/(F622*G622))</x:f>
      </x:c>
      <x:c r="M622" t="str">
        <x:f>IF(J622="","",J622/_xlfn.MAXIFS($J:$J,$D:$D,D622))</x:f>
      </x:c>
      <x:c r="N622" t="str">
        <x:f>IF(L622="","",L622/_xlfn.MAXIFS($L:$L,$D:$D,D622))</x:f>
      </x:c>
      <x:c r="O622" t="str">
        <x:f>IF(OR(M622="",N622=""),"",SQRT(M622*N622))</x:f>
      </x:c>
      <x:c r="P622" t="str">
        <x:f>IF(OR(M622="",N622=""),"",M622^0.7*N622^0.3)</x:f>
      </x:c>
      <x:c r="Q622" t="str">
        <x:f>IF(OR(M622="",N622=""),"",M622^0.3*N622^0.7)</x:f>
      </x:c>
    </x:row>
    <x:row r="623">
      <x:c r="A623" t="inlineStr">
        <x:is>
          <x:t xml:space="preserve">anthropic|claude-haiku-5-5|low|reasoning|fallback-na</x:t>
        </x:is>
      </x:c>
      <x:c r="B623" t="inlineStr">
        <x:is>
          <x:t xml:space="preserve">AA|v4.3.2</x:t>
        </x:is>
      </x:c>
      <x:c r="C623" t="n">
        <x:v>79</x:v>
      </x:c>
      <x:c r="D623" t="n">
        <x:v>52</x:v>
      </x:c>
      <x:c r="E623" t="n">
        <x:f>INDEX(Model_TestVersion_Stats!$W:$W,C623)</x:f>
        <x:v>29</x:v>
      </x:c>
      <x:c r="F623" t="n">
        <x:f>INDEX(Model_TestVersion_Stats!$O:$O,C623)</x:f>
        <x:v>0.02</x:v>
      </x:c>
      <x:c r="G623" t="str">
        <x:f>IF(INDEX(Model_TestVersion_Stats!$R:$R,C623)="","",INDEX(Model_TestVersion_Stats!$R:$R,C623)/60)</x:f>
      </x:c>
      <x:c r="H623" t="n">
        <x:f>IF(E623="","",E623-(D623-1))</x:f>
        <x:v>-22</x:v>
      </x:c>
      <x:c r="I623" t="n">
        <x:f>IF(H623&gt;0,1,0)</x:f>
        <x:v>0</x:v>
      </x:c>
      <x:c r="J623" t="str">
        <x:f>IF(OR(I623=0,F623="",F623=0),"",H623/F623)</x:f>
      </x:c>
      <x:c r="K623" t="str">
        <x:f>IF(OR(I623=0,H623=0,F623=""),"",F623/H623)</x:f>
      </x:c>
      <x:c r="L623" t="str">
        <x:f>IF(OR(I623=0,F623="",G623="",F623=0,G623=0),"",H623/(F623*G623))</x:f>
      </x:c>
      <x:c r="M623" t="str">
        <x:f>IF(J623="","",J623/_xlfn.MAXIFS($J:$J,$D:$D,D623))</x:f>
      </x:c>
      <x:c r="N623" t="str">
        <x:f>IF(L623="","",L623/_xlfn.MAXIFS($L:$L,$D:$D,D623))</x:f>
      </x:c>
      <x:c r="O623" t="str">
        <x:f>IF(OR(M623="",N623=""),"",SQRT(M623*N623))</x:f>
      </x:c>
      <x:c r="P623" t="str">
        <x:f>IF(OR(M623="",N623=""),"",M623^0.7*N623^0.3)</x:f>
      </x:c>
      <x:c r="Q623" t="str">
        <x:f>IF(OR(M623="",N623=""),"",M623^0.3*N623^0.7)</x:f>
      </x:c>
    </x:row>
    <x:row r="624">
      <x:c r="A624" t="inlineStr">
        <x:is>
          <x:t xml:space="preserve">anthropic|claude-haiku-5-5|low|reasoning|fallback-na</x:t>
        </x:is>
      </x:c>
      <x:c r="B624" t="inlineStr">
        <x:is>
          <x:t xml:space="preserve">AA|v4.3.2</x:t>
        </x:is>
      </x:c>
      <x:c r="C624" t="n">
        <x:v>79</x:v>
      </x:c>
      <x:c r="D624" t="n">
        <x:v>65</x:v>
      </x:c>
      <x:c r="E624" t="n">
        <x:f>INDEX(Model_TestVersion_Stats!$W:$W,C624)</x:f>
        <x:v>29</x:v>
      </x:c>
      <x:c r="F624" t="n">
        <x:f>INDEX(Model_TestVersion_Stats!$O:$O,C624)</x:f>
        <x:v>0.02</x:v>
      </x:c>
      <x:c r="G624" t="str">
        <x:f>IF(INDEX(Model_TestVersion_Stats!$R:$R,C624)="","",INDEX(Model_TestVersion_Stats!$R:$R,C624)/60)</x:f>
      </x:c>
      <x:c r="H624" t="n">
        <x:f>IF(E624="","",E624-(D624-1))</x:f>
        <x:v>-35</x:v>
      </x:c>
      <x:c r="I624" t="n">
        <x:f>IF(H624&gt;0,1,0)</x:f>
        <x:v>0</x:v>
      </x:c>
      <x:c r="J624" t="str">
        <x:f>IF(OR(I624=0,F624="",F624=0),"",H624/F624)</x:f>
      </x:c>
      <x:c r="K624" t="str">
        <x:f>IF(OR(I624=0,H624=0,F624=""),"",F624/H624)</x:f>
      </x:c>
      <x:c r="L624" t="str">
        <x:f>IF(OR(I624=0,F624="",G624="",F624=0,G624=0),"",H624/(F624*G624))</x:f>
      </x:c>
      <x:c r="M624" t="str">
        <x:f>IF(J624="","",J624/_xlfn.MAXIFS($J:$J,$D:$D,D624))</x:f>
      </x:c>
      <x:c r="N624" t="str">
        <x:f>IF(L624="","",L624/_xlfn.MAXIFS($L:$L,$D:$D,D624))</x:f>
      </x:c>
      <x:c r="O624" t="str">
        <x:f>IF(OR(M624="",N624=""),"",SQRT(M624*N624))</x:f>
      </x:c>
      <x:c r="P624" t="str">
        <x:f>IF(OR(M624="",N624=""),"",M624^0.7*N624^0.3)</x:f>
      </x:c>
      <x:c r="Q624" t="str">
        <x:f>IF(OR(M624="",N624=""),"",M624^0.3*N624^0.7)</x:f>
      </x:c>
    </x:row>
    <x:row r="625">
      <x:c r="A625" t="inlineStr">
        <x:is>
          <x:t xml:space="preserve">anthropic|claude-haiku-5-5|low|reasoning|fallback-na</x:t>
        </x:is>
      </x:c>
      <x:c r="B625" t="inlineStr">
        <x:is>
          <x:t xml:space="preserve">AA|v4.3.2</x:t>
        </x:is>
      </x:c>
      <x:c r="C625" t="n">
        <x:v>79</x:v>
      </x:c>
      <x:c r="D625" t="n">
        <x:v>80</x:v>
      </x:c>
      <x:c r="E625" t="n">
        <x:f>INDEX(Model_TestVersion_Stats!$W:$W,C625)</x:f>
        <x:v>29</x:v>
      </x:c>
      <x:c r="F625" t="n">
        <x:f>INDEX(Model_TestVersion_Stats!$O:$O,C625)</x:f>
        <x:v>0.02</x:v>
      </x:c>
      <x:c r="G625" t="str">
        <x:f>IF(INDEX(Model_TestVersion_Stats!$R:$R,C625)="","",INDEX(Model_TestVersion_Stats!$R:$R,C625)/60)</x:f>
      </x:c>
      <x:c r="H625" t="n">
        <x:f>IF(E625="","",E625-(D625-1))</x:f>
        <x:v>-50</x:v>
      </x:c>
      <x:c r="I625" t="n">
        <x:f>IF(H625&gt;0,1,0)</x:f>
        <x:v>0</x:v>
      </x:c>
      <x:c r="J625" t="str">
        <x:f>IF(OR(I625=0,F625="",F625=0),"",H625/F625)</x:f>
      </x:c>
      <x:c r="K625" t="str">
        <x:f>IF(OR(I625=0,H625=0,F625=""),"",F625/H625)</x:f>
      </x:c>
      <x:c r="L625" t="str">
        <x:f>IF(OR(I625=0,F625="",G625="",F625=0,G625=0),"",H625/(F625*G625))</x:f>
      </x:c>
      <x:c r="M625" t="str">
        <x:f>IF(J625="","",J625/_xlfn.MAXIFS($J:$J,$D:$D,D625))</x:f>
      </x:c>
      <x:c r="N625" t="str">
        <x:f>IF(L625="","",L625/_xlfn.MAXIFS($L:$L,$D:$D,D625))</x:f>
      </x:c>
      <x:c r="O625" t="str">
        <x:f>IF(OR(M625="",N625=""),"",SQRT(M625*N625))</x:f>
      </x:c>
      <x:c r="P625" t="str">
        <x:f>IF(OR(M625="",N625=""),"",M625^0.7*N625^0.3)</x:f>
      </x:c>
      <x:c r="Q625" t="str">
        <x:f>IF(OR(M625="",N625=""),"",M625^0.3*N625^0.7)</x:f>
      </x:c>
    </x:row>
    <x:row r="626">
      <x:c r="A626" t="inlineStr">
        <x:is>
          <x:t xml:space="preserve">anthropic|claude-haiku-5-5|medium|reasoning|fallback-na</x:t>
        </x:is>
      </x:c>
      <x:c r="B626" t="inlineStr">
        <x:is>
          <x:t xml:space="preserve">AA|v4.3.2</x:t>
        </x:is>
      </x:c>
      <x:c r="C626" t="n">
        <x:v>80</x:v>
      </x:c>
      <x:c r="D626" t="n">
        <x:v>20</x:v>
      </x:c>
      <x:c r="E626" t="n">
        <x:f>INDEX(Model_TestVersion_Stats!$W:$W,C626)</x:f>
        <x:v>34</x:v>
      </x:c>
      <x:c r="F626" t="n">
        <x:f>INDEX(Model_TestVersion_Stats!$O:$O,C626)</x:f>
        <x:v>0.05</x:v>
      </x:c>
      <x:c r="G626" t="str">
        <x:f>IF(INDEX(Model_TestVersion_Stats!$R:$R,C626)="","",INDEX(Model_TestVersion_Stats!$R:$R,C626)/60)</x:f>
      </x:c>
      <x:c r="H626" t="n">
        <x:f>IF(E626="","",E626-(D626-1))</x:f>
        <x:v>15</x:v>
      </x:c>
      <x:c r="I626" t="n">
        <x:f>IF(H626&gt;0,1,0)</x:f>
        <x:v>1</x:v>
      </x:c>
      <x:c r="J626" t="n">
        <x:f>IF(OR(I626=0,F626="",F626=0),"",H626/F626)</x:f>
        <x:v>300</x:v>
      </x:c>
      <x:c r="K626" t="n">
        <x:f>IF(OR(I626=0,H626=0,F626=""),"",F626/H626)</x:f>
        <x:v>0.0033333333333333335</x:v>
      </x:c>
      <x:c r="L626" t="str">
        <x:f>IF(OR(I626=0,F626="",G626="",F626=0,G626=0),"",H626/(F626*G626))</x:f>
      </x:c>
      <x:c r="M626" t="n">
        <x:f>IF(J626="","",J626/_xlfn.MAXIFS($J:$J,$D:$D,D626))</x:f>
        <x:v>0.54</x:v>
      </x:c>
      <x:c r="N626" t="str">
        <x:f>IF(L626="","",L626/_xlfn.MAXIFS($L:$L,$D:$D,D626))</x:f>
      </x:c>
      <x:c r="O626" t="str">
        <x:f>IF(OR(M626="",N626=""),"",SQRT(M626*N626))</x:f>
      </x:c>
      <x:c r="P626" t="str">
        <x:f>IF(OR(M626="",N626=""),"",M626^0.7*N626^0.3)</x:f>
      </x:c>
      <x:c r="Q626" t="str">
        <x:f>IF(OR(M626="",N626=""),"",M626^0.3*N626^0.7)</x:f>
      </x:c>
    </x:row>
    <x:row r="627">
      <x:c r="A627" t="inlineStr">
        <x:is>
          <x:t xml:space="preserve">anthropic|claude-haiku-5-5|medium|reasoning|fallback-na</x:t>
        </x:is>
      </x:c>
      <x:c r="B627" t="inlineStr">
        <x:is>
          <x:t xml:space="preserve">AA|v4.3.2</x:t>
        </x:is>
      </x:c>
      <x:c r="C627" t="n">
        <x:v>80</x:v>
      </x:c>
      <x:c r="D627" t="n">
        <x:v>30</x:v>
      </x:c>
      <x:c r="E627" t="n">
        <x:f>INDEX(Model_TestVersion_Stats!$W:$W,C627)</x:f>
        <x:v>34</x:v>
      </x:c>
      <x:c r="F627" t="n">
        <x:f>INDEX(Model_TestVersion_Stats!$O:$O,C627)</x:f>
        <x:v>0.05</x:v>
      </x:c>
      <x:c r="G627" t="str">
        <x:f>IF(INDEX(Model_TestVersion_Stats!$R:$R,C627)="","",INDEX(Model_TestVersion_Stats!$R:$R,C627)/60)</x:f>
      </x:c>
      <x:c r="H627" t="n">
        <x:f>IF(E627="","",E627-(D627-1))</x:f>
        <x:v>5</x:v>
      </x:c>
      <x:c r="I627" t="n">
        <x:f>IF(H627&gt;0,1,0)</x:f>
        <x:v>1</x:v>
      </x:c>
      <x:c r="J627" t="n">
        <x:f>IF(OR(I627=0,F627="",F627=0),"",H627/F627)</x:f>
        <x:v>100</x:v>
      </x:c>
      <x:c r="K627" t="n">
        <x:f>IF(OR(I627=0,H627=0,F627=""),"",F627/H627)</x:f>
        <x:v>0.01</x:v>
      </x:c>
      <x:c r="L627" t="str">
        <x:f>IF(OR(I627=0,F627="",G627="",F627=0,G627=0),"",H627/(F627*G627))</x:f>
      </x:c>
      <x:c r="M627" t="n">
        <x:f>IF(J627="","",J627/_xlfn.MAXIFS($J:$J,$D:$D,D627))</x:f>
        <x:v>0.6666666666666666</x:v>
      </x:c>
      <x:c r="N627" t="str">
        <x:f>IF(L627="","",L627/_xlfn.MAXIFS($L:$L,$D:$D,D627))</x:f>
      </x:c>
      <x:c r="O627" t="str">
        <x:f>IF(OR(M627="",N627=""),"",SQRT(M627*N627))</x:f>
      </x:c>
      <x:c r="P627" t="str">
        <x:f>IF(OR(M627="",N627=""),"",M627^0.7*N627^0.3)</x:f>
      </x:c>
      <x:c r="Q627" t="str">
        <x:f>IF(OR(M627="",N627=""),"",M627^0.3*N627^0.7)</x:f>
      </x:c>
    </x:row>
    <x:row r="628">
      <x:c r="A628" t="inlineStr">
        <x:is>
          <x:t xml:space="preserve">anthropic|claude-haiku-5-5|medium|reasoning|fallback-na</x:t>
        </x:is>
      </x:c>
      <x:c r="B628" t="inlineStr">
        <x:is>
          <x:t xml:space="preserve">AA|v4.3.2</x:t>
        </x:is>
      </x:c>
      <x:c r="C628" t="n">
        <x:v>80</x:v>
      </x:c>
      <x:c r="D628" t="n">
        <x:v>40</x:v>
      </x:c>
      <x:c r="E628" t="n">
        <x:f>INDEX(Model_TestVersion_Stats!$W:$W,C628)</x:f>
        <x:v>34</x:v>
      </x:c>
      <x:c r="F628" t="n">
        <x:f>INDEX(Model_TestVersion_Stats!$O:$O,C628)</x:f>
        <x:v>0.05</x:v>
      </x:c>
      <x:c r="G628" t="str">
        <x:f>IF(INDEX(Model_TestVersion_Stats!$R:$R,C628)="","",INDEX(Model_TestVersion_Stats!$R:$R,C628)/60)</x:f>
      </x:c>
      <x:c r="H628" t="n">
        <x:f>IF(E628="","",E628-(D628-1))</x:f>
        <x:v>-5</x:v>
      </x:c>
      <x:c r="I628" t="n">
        <x:f>IF(H628&gt;0,1,0)</x:f>
        <x:v>0</x:v>
      </x:c>
      <x:c r="J628" t="str">
        <x:f>IF(OR(I628=0,F628="",F628=0),"",H628/F628)</x:f>
      </x:c>
      <x:c r="K628" t="str">
        <x:f>IF(OR(I628=0,H628=0,F628=""),"",F628/H628)</x:f>
      </x:c>
      <x:c r="L628" t="str">
        <x:f>IF(OR(I628=0,F628="",G628="",F628=0,G628=0),"",H628/(F628*G628))</x:f>
      </x:c>
      <x:c r="M628" t="str">
        <x:f>IF(J628="","",J628/_xlfn.MAXIFS($J:$J,$D:$D,D628))</x:f>
      </x:c>
      <x:c r="N628" t="str">
        <x:f>IF(L628="","",L628/_xlfn.MAXIFS($L:$L,$D:$D,D628))</x:f>
      </x:c>
      <x:c r="O628" t="str">
        <x:f>IF(OR(M628="",N628=""),"",SQRT(M628*N628))</x:f>
      </x:c>
      <x:c r="P628" t="str">
        <x:f>IF(OR(M628="",N628=""),"",M628^0.7*N628^0.3)</x:f>
      </x:c>
      <x:c r="Q628" t="str">
        <x:f>IF(OR(M628="",N628=""),"",M628^0.3*N628^0.7)</x:f>
      </x:c>
    </x:row>
    <x:row r="629">
      <x:c r="A629" t="inlineStr">
        <x:is>
          <x:t xml:space="preserve">anthropic|claude-haiku-5-5|medium|reasoning|fallback-na</x:t>
        </x:is>
      </x:c>
      <x:c r="B629" t="inlineStr">
        <x:is>
          <x:t xml:space="preserve">AA|v4.3.2</x:t>
        </x:is>
      </x:c>
      <x:c r="C629" t="n">
        <x:v>80</x:v>
      </x:c>
      <x:c r="D629" t="n">
        <x:v>45</x:v>
      </x:c>
      <x:c r="E629" t="n">
        <x:f>INDEX(Model_TestVersion_Stats!$W:$W,C629)</x:f>
        <x:v>34</x:v>
      </x:c>
      <x:c r="F629" t="n">
        <x:f>INDEX(Model_TestVersion_Stats!$O:$O,C629)</x:f>
        <x:v>0.05</x:v>
      </x:c>
      <x:c r="G629" t="str">
        <x:f>IF(INDEX(Model_TestVersion_Stats!$R:$R,C629)="","",INDEX(Model_TestVersion_Stats!$R:$R,C629)/60)</x:f>
      </x:c>
      <x:c r="H629" t="n">
        <x:f>IF(E629="","",E629-(D629-1))</x:f>
        <x:v>-10</x:v>
      </x:c>
      <x:c r="I629" t="n">
        <x:f>IF(H629&gt;0,1,0)</x:f>
        <x:v>0</x:v>
      </x:c>
      <x:c r="J629" t="str">
        <x:f>IF(OR(I629=0,F629="",F629=0),"",H629/F629)</x:f>
      </x:c>
      <x:c r="K629" t="str">
        <x:f>IF(OR(I629=0,H629=0,F629=""),"",F629/H629)</x:f>
      </x:c>
      <x:c r="L629" t="str">
        <x:f>IF(OR(I629=0,F629="",G629="",F629=0,G629=0),"",H629/(F629*G629))</x:f>
      </x:c>
      <x:c r="M629" t="str">
        <x:f>IF(J629="","",J629/_xlfn.MAXIFS($J:$J,$D:$D,D629))</x:f>
      </x:c>
      <x:c r="N629" t="str">
        <x:f>IF(L629="","",L629/_xlfn.MAXIFS($L:$L,$D:$D,D629))</x:f>
      </x:c>
      <x:c r="O629" t="str">
        <x:f>IF(OR(M629="",N629=""),"",SQRT(M629*N629))</x:f>
      </x:c>
      <x:c r="P629" t="str">
        <x:f>IF(OR(M629="",N629=""),"",M629^0.7*N629^0.3)</x:f>
      </x:c>
      <x:c r="Q629" t="str">
        <x:f>IF(OR(M629="",N629=""),"",M629^0.3*N629^0.7)</x:f>
      </x:c>
    </x:row>
    <x:row r="630">
      <x:c r="A630" t="inlineStr">
        <x:is>
          <x:t xml:space="preserve">anthropic|claude-haiku-5-5|medium|reasoning|fallback-na</x:t>
        </x:is>
      </x:c>
      <x:c r="B630" t="inlineStr">
        <x:is>
          <x:t xml:space="preserve">AA|v4.3.2</x:t>
        </x:is>
      </x:c>
      <x:c r="C630" t="n">
        <x:v>80</x:v>
      </x:c>
      <x:c r="D630" t="n">
        <x:v>50</x:v>
      </x:c>
      <x:c r="E630" t="n">
        <x:f>INDEX(Model_TestVersion_Stats!$W:$W,C630)</x:f>
        <x:v>34</x:v>
      </x:c>
      <x:c r="F630" t="n">
        <x:f>INDEX(Model_TestVersion_Stats!$O:$O,C630)</x:f>
        <x:v>0.05</x:v>
      </x:c>
      <x:c r="G630" t="str">
        <x:f>IF(INDEX(Model_TestVersion_Stats!$R:$R,C630)="","",INDEX(Model_TestVersion_Stats!$R:$R,C630)/60)</x:f>
      </x:c>
      <x:c r="H630" t="n">
        <x:f>IF(E630="","",E630-(D630-1))</x:f>
        <x:v>-15</x:v>
      </x:c>
      <x:c r="I630" t="n">
        <x:f>IF(H630&gt;0,1,0)</x:f>
        <x:v>0</x:v>
      </x:c>
      <x:c r="J630" t="str">
        <x:f>IF(OR(I630=0,F630="",F630=0),"",H630/F630)</x:f>
      </x:c>
      <x:c r="K630" t="str">
        <x:f>IF(OR(I630=0,H630=0,F630=""),"",F630/H630)</x:f>
      </x:c>
      <x:c r="L630" t="str">
        <x:f>IF(OR(I630=0,F630="",G630="",F630=0,G630=0),"",H630/(F630*G630))</x:f>
      </x:c>
      <x:c r="M630" t="str">
        <x:f>IF(J630="","",J630/_xlfn.MAXIFS($J:$J,$D:$D,D630))</x:f>
      </x:c>
      <x:c r="N630" t="str">
        <x:f>IF(L630="","",L630/_xlfn.MAXIFS($L:$L,$D:$D,D630))</x:f>
      </x:c>
      <x:c r="O630" t="str">
        <x:f>IF(OR(M630="",N630=""),"",SQRT(M630*N630))</x:f>
      </x:c>
      <x:c r="P630" t="str">
        <x:f>IF(OR(M630="",N630=""),"",M630^0.7*N630^0.3)</x:f>
      </x:c>
      <x:c r="Q630" t="str">
        <x:f>IF(OR(M630="",N630=""),"",M630^0.3*N630^0.7)</x:f>
      </x:c>
    </x:row>
    <x:row r="631">
      <x:c r="A631" t="inlineStr">
        <x:is>
          <x:t xml:space="preserve">anthropic|claude-haiku-5-5|medium|reasoning|fallback-na</x:t>
        </x:is>
      </x:c>
      <x:c r="B631" t="inlineStr">
        <x:is>
          <x:t xml:space="preserve">AA|v4.3.2</x:t>
        </x:is>
      </x:c>
      <x:c r="C631" t="n">
        <x:v>80</x:v>
      </x:c>
      <x:c r="D631" t="n">
        <x:v>52</x:v>
      </x:c>
      <x:c r="E631" t="n">
        <x:f>INDEX(Model_TestVersion_Stats!$W:$W,C631)</x:f>
        <x:v>34</x:v>
      </x:c>
      <x:c r="F631" t="n">
        <x:f>INDEX(Model_TestVersion_Stats!$O:$O,C631)</x:f>
        <x:v>0.05</x:v>
      </x:c>
      <x:c r="G631" t="str">
        <x:f>IF(INDEX(Model_TestVersion_Stats!$R:$R,C631)="","",INDEX(Model_TestVersion_Stats!$R:$R,C631)/60)</x:f>
      </x:c>
      <x:c r="H631" t="n">
        <x:f>IF(E631="","",E631-(D631-1))</x:f>
        <x:v>-17</x:v>
      </x:c>
      <x:c r="I631" t="n">
        <x:f>IF(H631&gt;0,1,0)</x:f>
        <x:v>0</x:v>
      </x:c>
      <x:c r="J631" t="str">
        <x:f>IF(OR(I631=0,F631="",F631=0),"",H631/F631)</x:f>
      </x:c>
      <x:c r="K631" t="str">
        <x:f>IF(OR(I631=0,H631=0,F631=""),"",F631/H631)</x:f>
      </x:c>
      <x:c r="L631" t="str">
        <x:f>IF(OR(I631=0,F631="",G631="",F631=0,G631=0),"",H631/(F631*G631))</x:f>
      </x:c>
      <x:c r="M631" t="str">
        <x:f>IF(J631="","",J631/_xlfn.MAXIFS($J:$J,$D:$D,D631))</x:f>
      </x:c>
      <x:c r="N631" t="str">
        <x:f>IF(L631="","",L631/_xlfn.MAXIFS($L:$L,$D:$D,D631))</x:f>
      </x:c>
      <x:c r="O631" t="str">
        <x:f>IF(OR(M631="",N631=""),"",SQRT(M631*N631))</x:f>
      </x:c>
      <x:c r="P631" t="str">
        <x:f>IF(OR(M631="",N631=""),"",M631^0.7*N631^0.3)</x:f>
      </x:c>
      <x:c r="Q631" t="str">
        <x:f>IF(OR(M631="",N631=""),"",M631^0.3*N631^0.7)</x:f>
      </x:c>
    </x:row>
    <x:row r="632">
      <x:c r="A632" t="inlineStr">
        <x:is>
          <x:t xml:space="preserve">anthropic|claude-haiku-5-5|medium|reasoning|fallback-na</x:t>
        </x:is>
      </x:c>
      <x:c r="B632" t="inlineStr">
        <x:is>
          <x:t xml:space="preserve">AA|v4.3.2</x:t>
        </x:is>
      </x:c>
      <x:c r="C632" t="n">
        <x:v>80</x:v>
      </x:c>
      <x:c r="D632" t="n">
        <x:v>65</x:v>
      </x:c>
      <x:c r="E632" t="n">
        <x:f>INDEX(Model_TestVersion_Stats!$W:$W,C632)</x:f>
        <x:v>34</x:v>
      </x:c>
      <x:c r="F632" t="n">
        <x:f>INDEX(Model_TestVersion_Stats!$O:$O,C632)</x:f>
        <x:v>0.05</x:v>
      </x:c>
      <x:c r="G632" t="str">
        <x:f>IF(INDEX(Model_TestVersion_Stats!$R:$R,C632)="","",INDEX(Model_TestVersion_Stats!$R:$R,C632)/60)</x:f>
      </x:c>
      <x:c r="H632" t="n">
        <x:f>IF(E632="","",E632-(D632-1))</x:f>
        <x:v>-30</x:v>
      </x:c>
      <x:c r="I632" t="n">
        <x:f>IF(H632&gt;0,1,0)</x:f>
        <x:v>0</x:v>
      </x:c>
      <x:c r="J632" t="str">
        <x:f>IF(OR(I632=0,F632="",F632=0),"",H632/F632)</x:f>
      </x:c>
      <x:c r="K632" t="str">
        <x:f>IF(OR(I632=0,H632=0,F632=""),"",F632/H632)</x:f>
      </x:c>
      <x:c r="L632" t="str">
        <x:f>IF(OR(I632=0,F632="",G632="",F632=0,G632=0),"",H632/(F632*G632))</x:f>
      </x:c>
      <x:c r="M632" t="str">
        <x:f>IF(J632="","",J632/_xlfn.MAXIFS($J:$J,$D:$D,D632))</x:f>
      </x:c>
      <x:c r="N632" t="str">
        <x:f>IF(L632="","",L632/_xlfn.MAXIFS($L:$L,$D:$D,D632))</x:f>
      </x:c>
      <x:c r="O632" t="str">
        <x:f>IF(OR(M632="",N632=""),"",SQRT(M632*N632))</x:f>
      </x:c>
      <x:c r="P632" t="str">
        <x:f>IF(OR(M632="",N632=""),"",M632^0.7*N632^0.3)</x:f>
      </x:c>
      <x:c r="Q632" t="str">
        <x:f>IF(OR(M632="",N632=""),"",M632^0.3*N632^0.7)</x:f>
      </x:c>
    </x:row>
    <x:row r="633">
      <x:c r="A633" t="inlineStr">
        <x:is>
          <x:t xml:space="preserve">anthropic|claude-haiku-5-5|medium|reasoning|fallback-na</x:t>
        </x:is>
      </x:c>
      <x:c r="B633" t="inlineStr">
        <x:is>
          <x:t xml:space="preserve">AA|v4.3.2</x:t>
        </x:is>
      </x:c>
      <x:c r="C633" t="n">
        <x:v>80</x:v>
      </x:c>
      <x:c r="D633" t="n">
        <x:v>80</x:v>
      </x:c>
      <x:c r="E633" t="n">
        <x:f>INDEX(Model_TestVersion_Stats!$W:$W,C633)</x:f>
        <x:v>34</x:v>
      </x:c>
      <x:c r="F633" t="n">
        <x:f>INDEX(Model_TestVersion_Stats!$O:$O,C633)</x:f>
        <x:v>0.05</x:v>
      </x:c>
      <x:c r="G633" t="str">
        <x:f>IF(INDEX(Model_TestVersion_Stats!$R:$R,C633)="","",INDEX(Model_TestVersion_Stats!$R:$R,C633)/60)</x:f>
      </x:c>
      <x:c r="H633" t="n">
        <x:f>IF(E633="","",E633-(D633-1))</x:f>
        <x:v>-45</x:v>
      </x:c>
      <x:c r="I633" t="n">
        <x:f>IF(H633&gt;0,1,0)</x:f>
        <x:v>0</x:v>
      </x:c>
      <x:c r="J633" t="str">
        <x:f>IF(OR(I633=0,F633="",F633=0),"",H633/F633)</x:f>
      </x:c>
      <x:c r="K633" t="str">
        <x:f>IF(OR(I633=0,H633=0,F633=""),"",F633/H633)</x:f>
      </x:c>
      <x:c r="L633" t="str">
        <x:f>IF(OR(I633=0,F633="",G633="",F633=0,G633=0),"",H633/(F633*G633))</x:f>
      </x:c>
      <x:c r="M633" t="str">
        <x:f>IF(J633="","",J633/_xlfn.MAXIFS($J:$J,$D:$D,D633))</x:f>
      </x:c>
      <x:c r="N633" t="str">
        <x:f>IF(L633="","",L633/_xlfn.MAXIFS($L:$L,$D:$D,D633))</x:f>
      </x:c>
      <x:c r="O633" t="str">
        <x:f>IF(OR(M633="",N633=""),"",SQRT(M633*N633))</x:f>
      </x:c>
      <x:c r="P633" t="str">
        <x:f>IF(OR(M633="",N633=""),"",M633^0.7*N633^0.3)</x:f>
      </x:c>
      <x:c r="Q633" t="str">
        <x:f>IF(OR(M633="",N633=""),"",M633^0.3*N633^0.7)</x:f>
      </x:c>
    </x:row>
    <x:row r="634">
      <x:c r="A634" t="inlineStr">
        <x:is>
          <x:t xml:space="preserve">anthropic|claude-haiku-5-5|high|reasoning|fallback-na</x:t>
        </x:is>
      </x:c>
      <x:c r="B634" t="inlineStr">
        <x:is>
          <x:t xml:space="preserve">AA|v4.3.2</x:t>
        </x:is>
      </x:c>
      <x:c r="C634" t="n">
        <x:v>81</x:v>
      </x:c>
      <x:c r="D634" t="n">
        <x:v>20</x:v>
      </x:c>
      <x:c r="E634" t="n">
        <x:f>INDEX(Model_TestVersion_Stats!$W:$W,C634)</x:f>
        <x:v>38</x:v>
      </x:c>
      <x:c r="F634" t="n">
        <x:f>INDEX(Model_TestVersion_Stats!$O:$O,C634)</x:f>
        <x:v>0.08</x:v>
      </x:c>
      <x:c r="G634" t="str">
        <x:f>IF(INDEX(Model_TestVersion_Stats!$R:$R,C634)="","",INDEX(Model_TestVersion_Stats!$R:$R,C634)/60)</x:f>
      </x:c>
      <x:c r="H634" t="n">
        <x:f>IF(E634="","",E634-(D634-1))</x:f>
        <x:v>19</x:v>
      </x:c>
      <x:c r="I634" t="n">
        <x:f>IF(H634&gt;0,1,0)</x:f>
        <x:v>1</x:v>
      </x:c>
      <x:c r="J634" t="n">
        <x:f>IF(OR(I634=0,F634="",F634=0),"",H634/F634)</x:f>
        <x:v>237.5</x:v>
      </x:c>
      <x:c r="K634" t="n">
        <x:f>IF(OR(I634=0,H634=0,F634=""),"",F634/H634)</x:f>
        <x:v>0.004210526315789474</x:v>
      </x:c>
      <x:c r="L634" t="str">
        <x:f>IF(OR(I634=0,F634="",G634="",F634=0,G634=0),"",H634/(F634*G634))</x:f>
      </x:c>
      <x:c r="M634" t="n">
        <x:f>IF(J634="","",J634/_xlfn.MAXIFS($J:$J,$D:$D,D634))</x:f>
        <x:v>0.4275</x:v>
      </x:c>
      <x:c r="N634" t="str">
        <x:f>IF(L634="","",L634/_xlfn.MAXIFS($L:$L,$D:$D,D634))</x:f>
      </x:c>
      <x:c r="O634" t="str">
        <x:f>IF(OR(M634="",N634=""),"",SQRT(M634*N634))</x:f>
      </x:c>
      <x:c r="P634" t="str">
        <x:f>IF(OR(M634="",N634=""),"",M634^0.7*N634^0.3)</x:f>
      </x:c>
      <x:c r="Q634" t="str">
        <x:f>IF(OR(M634="",N634=""),"",M634^0.3*N634^0.7)</x:f>
      </x:c>
    </x:row>
    <x:row r="635">
      <x:c r="A635" t="inlineStr">
        <x:is>
          <x:t xml:space="preserve">anthropic|claude-haiku-5-5|high|reasoning|fallback-na</x:t>
        </x:is>
      </x:c>
      <x:c r="B635" t="inlineStr">
        <x:is>
          <x:t xml:space="preserve">AA|v4.3.2</x:t>
        </x:is>
      </x:c>
      <x:c r="C635" t="n">
        <x:v>81</x:v>
      </x:c>
      <x:c r="D635" t="n">
        <x:v>30</x:v>
      </x:c>
      <x:c r="E635" t="n">
        <x:f>INDEX(Model_TestVersion_Stats!$W:$W,C635)</x:f>
        <x:v>38</x:v>
      </x:c>
      <x:c r="F635" t="n">
        <x:f>INDEX(Model_TestVersion_Stats!$O:$O,C635)</x:f>
        <x:v>0.08</x:v>
      </x:c>
      <x:c r="G635" t="str">
        <x:f>IF(INDEX(Model_TestVersion_Stats!$R:$R,C635)="","",INDEX(Model_TestVersion_Stats!$R:$R,C635)/60)</x:f>
      </x:c>
      <x:c r="H635" t="n">
        <x:f>IF(E635="","",E635-(D635-1))</x:f>
        <x:v>9</x:v>
      </x:c>
      <x:c r="I635" t="n">
        <x:f>IF(H635&gt;0,1,0)</x:f>
        <x:v>1</x:v>
      </x:c>
      <x:c r="J635" t="n">
        <x:f>IF(OR(I635=0,F635="",F635=0),"",H635/F635)</x:f>
        <x:v>112.5</x:v>
      </x:c>
      <x:c r="K635" t="n">
        <x:f>IF(OR(I635=0,H635=0,F635=""),"",F635/H635)</x:f>
        <x:v>0.008888888888888889</x:v>
      </x:c>
      <x:c r="L635" t="str">
        <x:f>IF(OR(I635=0,F635="",G635="",F635=0,G635=0),"",H635/(F635*G635))</x:f>
      </x:c>
      <x:c r="M635" t="n">
        <x:f>IF(J635="","",J635/_xlfn.MAXIFS($J:$J,$D:$D,D635))</x:f>
        <x:v>0.75</x:v>
      </x:c>
      <x:c r="N635" t="str">
        <x:f>IF(L635="","",L635/_xlfn.MAXIFS($L:$L,$D:$D,D635))</x:f>
      </x:c>
      <x:c r="O635" t="str">
        <x:f>IF(OR(M635="",N635=""),"",SQRT(M635*N635))</x:f>
      </x:c>
      <x:c r="P635" t="str">
        <x:f>IF(OR(M635="",N635=""),"",M635^0.7*N635^0.3)</x:f>
      </x:c>
      <x:c r="Q635" t="str">
        <x:f>IF(OR(M635="",N635=""),"",M635^0.3*N635^0.7)</x:f>
      </x:c>
    </x:row>
    <x:row r="636">
      <x:c r="A636" t="inlineStr">
        <x:is>
          <x:t xml:space="preserve">anthropic|claude-haiku-5-5|high|reasoning|fallback-na</x:t>
        </x:is>
      </x:c>
      <x:c r="B636" t="inlineStr">
        <x:is>
          <x:t xml:space="preserve">AA|v4.3.2</x:t>
        </x:is>
      </x:c>
      <x:c r="C636" t="n">
        <x:v>81</x:v>
      </x:c>
      <x:c r="D636" t="n">
        <x:v>40</x:v>
      </x:c>
      <x:c r="E636" t="n">
        <x:f>INDEX(Model_TestVersion_Stats!$W:$W,C636)</x:f>
        <x:v>38</x:v>
      </x:c>
      <x:c r="F636" t="n">
        <x:f>INDEX(Model_TestVersion_Stats!$O:$O,C636)</x:f>
        <x:v>0.08</x:v>
      </x:c>
      <x:c r="G636" t="str">
        <x:f>IF(INDEX(Model_TestVersion_Stats!$R:$R,C636)="","",INDEX(Model_TestVersion_Stats!$R:$R,C636)/60)</x:f>
      </x:c>
      <x:c r="H636" t="n">
        <x:f>IF(E636="","",E636-(D636-1))</x:f>
        <x:v>-1</x:v>
      </x:c>
      <x:c r="I636" t="n">
        <x:f>IF(H636&gt;0,1,0)</x:f>
        <x:v>0</x:v>
      </x:c>
      <x:c r="J636" t="str">
        <x:f>IF(OR(I636=0,F636="",F636=0),"",H636/F636)</x:f>
      </x:c>
      <x:c r="K636" t="str">
        <x:f>IF(OR(I636=0,H636=0,F636=""),"",F636/H636)</x:f>
      </x:c>
      <x:c r="L636" t="str">
        <x:f>IF(OR(I636=0,F636="",G636="",F636=0,G636=0),"",H636/(F636*G636))</x:f>
      </x:c>
      <x:c r="M636" t="str">
        <x:f>IF(J636="","",J636/_xlfn.MAXIFS($J:$J,$D:$D,D636))</x:f>
      </x:c>
      <x:c r="N636" t="str">
        <x:f>IF(L636="","",L636/_xlfn.MAXIFS($L:$L,$D:$D,D636))</x:f>
      </x:c>
      <x:c r="O636" t="str">
        <x:f>IF(OR(M636="",N636=""),"",SQRT(M636*N636))</x:f>
      </x:c>
      <x:c r="P636" t="str">
        <x:f>IF(OR(M636="",N636=""),"",M636^0.7*N636^0.3)</x:f>
      </x:c>
      <x:c r="Q636" t="str">
        <x:f>IF(OR(M636="",N636=""),"",M636^0.3*N636^0.7)</x:f>
      </x:c>
    </x:row>
    <x:row r="637">
      <x:c r="A637" t="inlineStr">
        <x:is>
          <x:t xml:space="preserve">anthropic|claude-haiku-5-5|high|reasoning|fallback-na</x:t>
        </x:is>
      </x:c>
      <x:c r="B637" t="inlineStr">
        <x:is>
          <x:t xml:space="preserve">AA|v4.3.2</x:t>
        </x:is>
      </x:c>
      <x:c r="C637" t="n">
        <x:v>81</x:v>
      </x:c>
      <x:c r="D637" t="n">
        <x:v>45</x:v>
      </x:c>
      <x:c r="E637" t="n">
        <x:f>INDEX(Model_TestVersion_Stats!$W:$W,C637)</x:f>
        <x:v>38</x:v>
      </x:c>
      <x:c r="F637" t="n">
        <x:f>INDEX(Model_TestVersion_Stats!$O:$O,C637)</x:f>
        <x:v>0.08</x:v>
      </x:c>
      <x:c r="G637" t="str">
        <x:f>IF(INDEX(Model_TestVersion_Stats!$R:$R,C637)="","",INDEX(Model_TestVersion_Stats!$R:$R,C637)/60)</x:f>
      </x:c>
      <x:c r="H637" t="n">
        <x:f>IF(E637="","",E637-(D637-1))</x:f>
        <x:v>-6</x:v>
      </x:c>
      <x:c r="I637" t="n">
        <x:f>IF(H637&gt;0,1,0)</x:f>
        <x:v>0</x:v>
      </x:c>
      <x:c r="J637" t="str">
        <x:f>IF(OR(I637=0,F637="",F637=0),"",H637/F637)</x:f>
      </x:c>
      <x:c r="K637" t="str">
        <x:f>IF(OR(I637=0,H637=0,F637=""),"",F637/H637)</x:f>
      </x:c>
      <x:c r="L637" t="str">
        <x:f>IF(OR(I637=0,F637="",G637="",F637=0,G637=0),"",H637/(F637*G637))</x:f>
      </x:c>
      <x:c r="M637" t="str">
        <x:f>IF(J637="","",J637/_xlfn.MAXIFS($J:$J,$D:$D,D637))</x:f>
      </x:c>
      <x:c r="N637" t="str">
        <x:f>IF(L637="","",L637/_xlfn.MAXIFS($L:$L,$D:$D,D637))</x:f>
      </x:c>
      <x:c r="O637" t="str">
        <x:f>IF(OR(M637="",N637=""),"",SQRT(M637*N637))</x:f>
      </x:c>
      <x:c r="P637" t="str">
        <x:f>IF(OR(M637="",N637=""),"",M637^0.7*N637^0.3)</x:f>
      </x:c>
      <x:c r="Q637" t="str">
        <x:f>IF(OR(M637="",N637=""),"",M637^0.3*N637^0.7)</x:f>
      </x:c>
    </x:row>
    <x:row r="638">
      <x:c r="A638" t="inlineStr">
        <x:is>
          <x:t xml:space="preserve">anthropic|claude-haiku-5-5|high|reasoning|fallback-na</x:t>
        </x:is>
      </x:c>
      <x:c r="B638" t="inlineStr">
        <x:is>
          <x:t xml:space="preserve">AA|v4.3.2</x:t>
        </x:is>
      </x:c>
      <x:c r="C638" t="n">
        <x:v>81</x:v>
      </x:c>
      <x:c r="D638" t="n">
        <x:v>50</x:v>
      </x:c>
      <x:c r="E638" t="n">
        <x:f>INDEX(Model_TestVersion_Stats!$W:$W,C638)</x:f>
        <x:v>38</x:v>
      </x:c>
      <x:c r="F638" t="n">
        <x:f>INDEX(Model_TestVersion_Stats!$O:$O,C638)</x:f>
        <x:v>0.08</x:v>
      </x:c>
      <x:c r="G638" t="str">
        <x:f>IF(INDEX(Model_TestVersion_Stats!$R:$R,C638)="","",INDEX(Model_TestVersion_Stats!$R:$R,C638)/60)</x:f>
      </x:c>
      <x:c r="H638" t="n">
        <x:f>IF(E638="","",E638-(D638-1))</x:f>
        <x:v>-11</x:v>
      </x:c>
      <x:c r="I638" t="n">
        <x:f>IF(H638&gt;0,1,0)</x:f>
        <x:v>0</x:v>
      </x:c>
      <x:c r="J638" t="str">
        <x:f>IF(OR(I638=0,F638="",F638=0),"",H638/F638)</x:f>
      </x:c>
      <x:c r="K638" t="str">
        <x:f>IF(OR(I638=0,H638=0,F638=""),"",F638/H638)</x:f>
      </x:c>
      <x:c r="L638" t="str">
        <x:f>IF(OR(I638=0,F638="",G638="",F638=0,G638=0),"",H638/(F638*G638))</x:f>
      </x:c>
      <x:c r="M638" t="str">
        <x:f>IF(J638="","",J638/_xlfn.MAXIFS($J:$J,$D:$D,D638))</x:f>
      </x:c>
      <x:c r="N638" t="str">
        <x:f>IF(L638="","",L638/_xlfn.MAXIFS($L:$L,$D:$D,D638))</x:f>
      </x:c>
      <x:c r="O638" t="str">
        <x:f>IF(OR(M638="",N638=""),"",SQRT(M638*N638))</x:f>
      </x:c>
      <x:c r="P638" t="str">
        <x:f>IF(OR(M638="",N638=""),"",M638^0.7*N638^0.3)</x:f>
      </x:c>
      <x:c r="Q638" t="str">
        <x:f>IF(OR(M638="",N638=""),"",M638^0.3*N638^0.7)</x:f>
      </x:c>
    </x:row>
    <x:row r="639">
      <x:c r="A639" t="inlineStr">
        <x:is>
          <x:t xml:space="preserve">anthropic|claude-haiku-5-5|high|reasoning|fallback-na</x:t>
        </x:is>
      </x:c>
      <x:c r="B639" t="inlineStr">
        <x:is>
          <x:t xml:space="preserve">AA|v4.3.2</x:t>
        </x:is>
      </x:c>
      <x:c r="C639" t="n">
        <x:v>81</x:v>
      </x:c>
      <x:c r="D639" t="n">
        <x:v>52</x:v>
      </x:c>
      <x:c r="E639" t="n">
        <x:f>INDEX(Model_TestVersion_Stats!$W:$W,C639)</x:f>
        <x:v>38</x:v>
      </x:c>
      <x:c r="F639" t="n">
        <x:f>INDEX(Model_TestVersion_Stats!$O:$O,C639)</x:f>
        <x:v>0.08</x:v>
      </x:c>
      <x:c r="G639" t="str">
        <x:f>IF(INDEX(Model_TestVersion_Stats!$R:$R,C639)="","",INDEX(Model_TestVersion_Stats!$R:$R,C639)/60)</x:f>
      </x:c>
      <x:c r="H639" t="n">
        <x:f>IF(E639="","",E639-(D639-1))</x:f>
        <x:v>-13</x:v>
      </x:c>
      <x:c r="I639" t="n">
        <x:f>IF(H639&gt;0,1,0)</x:f>
        <x:v>0</x:v>
      </x:c>
      <x:c r="J639" t="str">
        <x:f>IF(OR(I639=0,F639="",F639=0),"",H639/F639)</x:f>
      </x:c>
      <x:c r="K639" t="str">
        <x:f>IF(OR(I639=0,H639=0,F639=""),"",F639/H639)</x:f>
      </x:c>
      <x:c r="L639" t="str">
        <x:f>IF(OR(I639=0,F639="",G639="",F639=0,G639=0),"",H639/(F639*G639))</x:f>
      </x:c>
      <x:c r="M639" t="str">
        <x:f>IF(J639="","",J639/_xlfn.MAXIFS($J:$J,$D:$D,D639))</x:f>
      </x:c>
      <x:c r="N639" t="str">
        <x:f>IF(L639="","",L639/_xlfn.MAXIFS($L:$L,$D:$D,D639))</x:f>
      </x:c>
      <x:c r="O639" t="str">
        <x:f>IF(OR(M639="",N639=""),"",SQRT(M639*N639))</x:f>
      </x:c>
      <x:c r="P639" t="str">
        <x:f>IF(OR(M639="",N639=""),"",M639^0.7*N639^0.3)</x:f>
      </x:c>
      <x:c r="Q639" t="str">
        <x:f>IF(OR(M639="",N639=""),"",M639^0.3*N639^0.7)</x:f>
      </x:c>
    </x:row>
    <x:row r="640">
      <x:c r="A640" t="inlineStr">
        <x:is>
          <x:t xml:space="preserve">anthropic|claude-haiku-5-5|high|reasoning|fallback-na</x:t>
        </x:is>
      </x:c>
      <x:c r="B640" t="inlineStr">
        <x:is>
          <x:t xml:space="preserve">AA|v4.3.2</x:t>
        </x:is>
      </x:c>
      <x:c r="C640" t="n">
        <x:v>81</x:v>
      </x:c>
      <x:c r="D640" t="n">
        <x:v>65</x:v>
      </x:c>
      <x:c r="E640" t="n">
        <x:f>INDEX(Model_TestVersion_Stats!$W:$W,C640)</x:f>
        <x:v>38</x:v>
      </x:c>
      <x:c r="F640" t="n">
        <x:f>INDEX(Model_TestVersion_Stats!$O:$O,C640)</x:f>
        <x:v>0.08</x:v>
      </x:c>
      <x:c r="G640" t="str">
        <x:f>IF(INDEX(Model_TestVersion_Stats!$R:$R,C640)="","",INDEX(Model_TestVersion_Stats!$R:$R,C640)/60)</x:f>
      </x:c>
      <x:c r="H640" t="n">
        <x:f>IF(E640="","",E640-(D640-1))</x:f>
        <x:v>-26</x:v>
      </x:c>
      <x:c r="I640" t="n">
        <x:f>IF(H640&gt;0,1,0)</x:f>
        <x:v>0</x:v>
      </x:c>
      <x:c r="J640" t="str">
        <x:f>IF(OR(I640=0,F640="",F640=0),"",H640/F640)</x:f>
      </x:c>
      <x:c r="K640" t="str">
        <x:f>IF(OR(I640=0,H640=0,F640=""),"",F640/H640)</x:f>
      </x:c>
      <x:c r="L640" t="str">
        <x:f>IF(OR(I640=0,F640="",G640="",F640=0,G640=0),"",H640/(F640*G640))</x:f>
      </x:c>
      <x:c r="M640" t="str">
        <x:f>IF(J640="","",J640/_xlfn.MAXIFS($J:$J,$D:$D,D640))</x:f>
      </x:c>
      <x:c r="N640" t="str">
        <x:f>IF(L640="","",L640/_xlfn.MAXIFS($L:$L,$D:$D,D640))</x:f>
      </x:c>
      <x:c r="O640" t="str">
        <x:f>IF(OR(M640="",N640=""),"",SQRT(M640*N640))</x:f>
      </x:c>
      <x:c r="P640" t="str">
        <x:f>IF(OR(M640="",N640=""),"",M640^0.7*N640^0.3)</x:f>
      </x:c>
      <x:c r="Q640" t="str">
        <x:f>IF(OR(M640="",N640=""),"",M640^0.3*N640^0.7)</x:f>
      </x:c>
    </x:row>
    <x:row r="641">
      <x:c r="A641" t="inlineStr">
        <x:is>
          <x:t xml:space="preserve">anthropic|claude-haiku-5-5|high|reasoning|fallback-na</x:t>
        </x:is>
      </x:c>
      <x:c r="B641" t="inlineStr">
        <x:is>
          <x:t xml:space="preserve">AA|v4.3.2</x:t>
        </x:is>
      </x:c>
      <x:c r="C641" t="n">
        <x:v>81</x:v>
      </x:c>
      <x:c r="D641" t="n">
        <x:v>80</x:v>
      </x:c>
      <x:c r="E641" t="n">
        <x:f>INDEX(Model_TestVersion_Stats!$W:$W,C641)</x:f>
        <x:v>38</x:v>
      </x:c>
      <x:c r="F641" t="n">
        <x:f>INDEX(Model_TestVersion_Stats!$O:$O,C641)</x:f>
        <x:v>0.08</x:v>
      </x:c>
      <x:c r="G641" t="str">
        <x:f>IF(INDEX(Model_TestVersion_Stats!$R:$R,C641)="","",INDEX(Model_TestVersion_Stats!$R:$R,C641)/60)</x:f>
      </x:c>
      <x:c r="H641" t="n">
        <x:f>IF(E641="","",E641-(D641-1))</x:f>
        <x:v>-41</x:v>
      </x:c>
      <x:c r="I641" t="n">
        <x:f>IF(H641&gt;0,1,0)</x:f>
        <x:v>0</x:v>
      </x:c>
      <x:c r="J641" t="str">
        <x:f>IF(OR(I641=0,F641="",F641=0),"",H641/F641)</x:f>
      </x:c>
      <x:c r="K641" t="str">
        <x:f>IF(OR(I641=0,H641=0,F641=""),"",F641/H641)</x:f>
      </x:c>
      <x:c r="L641" t="str">
        <x:f>IF(OR(I641=0,F641="",G641="",F641=0,G641=0),"",H641/(F641*G641))</x:f>
      </x:c>
      <x:c r="M641" t="str">
        <x:f>IF(J641="","",J641/_xlfn.MAXIFS($J:$J,$D:$D,D641))</x:f>
      </x:c>
      <x:c r="N641" t="str">
        <x:f>IF(L641="","",L641/_xlfn.MAXIFS($L:$L,$D:$D,D641))</x:f>
      </x:c>
      <x:c r="O641" t="str">
        <x:f>IF(OR(M641="",N641=""),"",SQRT(M641*N641))</x:f>
      </x:c>
      <x:c r="P641" t="str">
        <x:f>IF(OR(M641="",N641=""),"",M641^0.7*N641^0.3)</x:f>
      </x:c>
      <x:c r="Q641" t="str">
        <x:f>IF(OR(M641="",N641=""),"",M641^0.3*N641^0.7)</x:f>
      </x:c>
    </x:row>
    <x:row r="642">
      <x:c r="A642" t="inlineStr">
        <x:is>
          <x:t xml:space="preserve">anthropic|claude-haiku-5-5|xhigh|reasoning|fallback-na</x:t>
        </x:is>
      </x:c>
      <x:c r="B642" t="inlineStr">
        <x:is>
          <x:t xml:space="preserve">AA|v4.3.2</x:t>
        </x:is>
      </x:c>
      <x:c r="C642" t="n">
        <x:v>82</x:v>
      </x:c>
      <x:c r="D642" t="n">
        <x:v>20</x:v>
      </x:c>
      <x:c r="E642" t="n">
        <x:f>INDEX(Model_TestVersion_Stats!$W:$W,C642)</x:f>
        <x:v>41</x:v>
      </x:c>
      <x:c r="F642" t="n">
        <x:f>INDEX(Model_TestVersion_Stats!$O:$O,C642)</x:f>
        <x:v>0.12</x:v>
      </x:c>
      <x:c r="G642" t="str">
        <x:f>IF(INDEX(Model_TestVersion_Stats!$R:$R,C642)="","",INDEX(Model_TestVersion_Stats!$R:$R,C642)/60)</x:f>
      </x:c>
      <x:c r="H642" t="n">
        <x:f>IF(E642="","",E642-(D642-1))</x:f>
        <x:v>22</x:v>
      </x:c>
      <x:c r="I642" t="n">
        <x:f>IF(H642&gt;0,1,0)</x:f>
        <x:v>1</x:v>
      </x:c>
      <x:c r="J642" t="n">
        <x:f>IF(OR(I642=0,F642="",F642=0),"",H642/F642)</x:f>
        <x:v>183.33333333333334</x:v>
      </x:c>
      <x:c r="K642" t="n">
        <x:f>IF(OR(I642=0,H642=0,F642=""),"",F642/H642)</x:f>
        <x:v>0.005454545454545454</x:v>
      </x:c>
      <x:c r="L642" t="str">
        <x:f>IF(OR(I642=0,F642="",G642="",F642=0,G642=0),"",H642/(F642*G642))</x:f>
      </x:c>
      <x:c r="M642" t="n">
        <x:f>IF(J642="","",J642/_xlfn.MAXIFS($J:$J,$D:$D,D642))</x:f>
        <x:v>0.33</x:v>
      </x:c>
      <x:c r="N642" t="str">
        <x:f>IF(L642="","",L642/_xlfn.MAXIFS($L:$L,$D:$D,D642))</x:f>
      </x:c>
      <x:c r="O642" t="str">
        <x:f>IF(OR(M642="",N642=""),"",SQRT(M642*N642))</x:f>
      </x:c>
      <x:c r="P642" t="str">
        <x:f>IF(OR(M642="",N642=""),"",M642^0.7*N642^0.3)</x:f>
      </x:c>
      <x:c r="Q642" t="str">
        <x:f>IF(OR(M642="",N642=""),"",M642^0.3*N642^0.7)</x:f>
      </x:c>
    </x:row>
    <x:row r="643">
      <x:c r="A643" t="inlineStr">
        <x:is>
          <x:t xml:space="preserve">anthropic|claude-haiku-5-5|xhigh|reasoning|fallback-na</x:t>
        </x:is>
      </x:c>
      <x:c r="B643" t="inlineStr">
        <x:is>
          <x:t xml:space="preserve">AA|v4.3.2</x:t>
        </x:is>
      </x:c>
      <x:c r="C643" t="n">
        <x:v>82</x:v>
      </x:c>
      <x:c r="D643" t="n">
        <x:v>30</x:v>
      </x:c>
      <x:c r="E643" t="n">
        <x:f>INDEX(Model_TestVersion_Stats!$W:$W,C643)</x:f>
        <x:v>41</x:v>
      </x:c>
      <x:c r="F643" t="n">
        <x:f>INDEX(Model_TestVersion_Stats!$O:$O,C643)</x:f>
        <x:v>0.12</x:v>
      </x:c>
      <x:c r="G643" t="str">
        <x:f>IF(INDEX(Model_TestVersion_Stats!$R:$R,C643)="","",INDEX(Model_TestVersion_Stats!$R:$R,C643)/60)</x:f>
      </x:c>
      <x:c r="H643" t="n">
        <x:f>IF(E643="","",E643-(D643-1))</x:f>
        <x:v>12</x:v>
      </x:c>
      <x:c r="I643" t="n">
        <x:f>IF(H643&gt;0,1,0)</x:f>
        <x:v>1</x:v>
      </x:c>
      <x:c r="J643" t="n">
        <x:f>IF(OR(I643=0,F643="",F643=0),"",H643/F643)</x:f>
        <x:v>100</x:v>
      </x:c>
      <x:c r="K643" t="n">
        <x:f>IF(OR(I643=0,H643=0,F643=""),"",F643/H643)</x:f>
        <x:v>0.01</x:v>
      </x:c>
      <x:c r="L643" t="str">
        <x:f>IF(OR(I643=0,F643="",G643="",F643=0,G643=0),"",H643/(F643*G643))</x:f>
      </x:c>
      <x:c r="M643" t="n">
        <x:f>IF(J643="","",J643/_xlfn.MAXIFS($J:$J,$D:$D,D643))</x:f>
        <x:v>0.6666666666666666</x:v>
      </x:c>
      <x:c r="N643" t="str">
        <x:f>IF(L643="","",L643/_xlfn.MAXIFS($L:$L,$D:$D,D643))</x:f>
      </x:c>
      <x:c r="O643" t="str">
        <x:f>IF(OR(M643="",N643=""),"",SQRT(M643*N643))</x:f>
      </x:c>
      <x:c r="P643" t="str">
        <x:f>IF(OR(M643="",N643=""),"",M643^0.7*N643^0.3)</x:f>
      </x:c>
      <x:c r="Q643" t="str">
        <x:f>IF(OR(M643="",N643=""),"",M643^0.3*N643^0.7)</x:f>
      </x:c>
    </x:row>
    <x:row r="644">
      <x:c r="A644" t="inlineStr">
        <x:is>
          <x:t xml:space="preserve">anthropic|claude-haiku-5-5|xhigh|reasoning|fallback-na</x:t>
        </x:is>
      </x:c>
      <x:c r="B644" t="inlineStr">
        <x:is>
          <x:t xml:space="preserve">AA|v4.3.2</x:t>
        </x:is>
      </x:c>
      <x:c r="C644" t="n">
        <x:v>82</x:v>
      </x:c>
      <x:c r="D644" t="n">
        <x:v>40</x:v>
      </x:c>
      <x:c r="E644" t="n">
        <x:f>INDEX(Model_TestVersion_Stats!$W:$W,C644)</x:f>
        <x:v>41</x:v>
      </x:c>
      <x:c r="F644" t="n">
        <x:f>INDEX(Model_TestVersion_Stats!$O:$O,C644)</x:f>
        <x:v>0.12</x:v>
      </x:c>
      <x:c r="G644" t="str">
        <x:f>IF(INDEX(Model_TestVersion_Stats!$R:$R,C644)="","",INDEX(Model_TestVersion_Stats!$R:$R,C644)/60)</x:f>
      </x:c>
      <x:c r="H644" t="n">
        <x:f>IF(E644="","",E644-(D644-1))</x:f>
        <x:v>2</x:v>
      </x:c>
      <x:c r="I644" t="n">
        <x:f>IF(H644&gt;0,1,0)</x:f>
        <x:v>1</x:v>
      </x:c>
      <x:c r="J644" t="n">
        <x:f>IF(OR(I644=0,F644="",F644=0),"",H644/F644)</x:f>
        <x:v>16.666666666666668</x:v>
      </x:c>
      <x:c r="K644" t="n">
        <x:f>IF(OR(I644=0,H644=0,F644=""),"",F644/H644)</x:f>
        <x:v>0.06</x:v>
      </x:c>
      <x:c r="L644" t="str">
        <x:f>IF(OR(I644=0,F644="",G644="",F644=0,G644=0),"",H644/(F644*G644))</x:f>
      </x:c>
      <x:c r="M644" t="n">
        <x:f>IF(J644="","",J644/_xlfn.MAXIFS($J:$J,$D:$D,D644))</x:f>
        <x:v>0.30952380952380953</x:v>
      </x:c>
      <x:c r="N644" t="str">
        <x:f>IF(L644="","",L644/_xlfn.MAXIFS($L:$L,$D:$D,D644))</x:f>
      </x:c>
      <x:c r="O644" t="str">
        <x:f>IF(OR(M644="",N644=""),"",SQRT(M644*N644))</x:f>
      </x:c>
      <x:c r="P644" t="str">
        <x:f>IF(OR(M644="",N644=""),"",M644^0.7*N644^0.3)</x:f>
      </x:c>
      <x:c r="Q644" t="str">
        <x:f>IF(OR(M644="",N644=""),"",M644^0.3*N644^0.7)</x:f>
      </x:c>
    </x:row>
    <x:row r="645">
      <x:c r="A645" t="inlineStr">
        <x:is>
          <x:t xml:space="preserve">anthropic|claude-haiku-5-5|xhigh|reasoning|fallback-na</x:t>
        </x:is>
      </x:c>
      <x:c r="B645" t="inlineStr">
        <x:is>
          <x:t xml:space="preserve">AA|v4.3.2</x:t>
        </x:is>
      </x:c>
      <x:c r="C645" t="n">
        <x:v>82</x:v>
      </x:c>
      <x:c r="D645" t="n">
        <x:v>45</x:v>
      </x:c>
      <x:c r="E645" t="n">
        <x:f>INDEX(Model_TestVersion_Stats!$W:$W,C645)</x:f>
        <x:v>41</x:v>
      </x:c>
      <x:c r="F645" t="n">
        <x:f>INDEX(Model_TestVersion_Stats!$O:$O,C645)</x:f>
        <x:v>0.12</x:v>
      </x:c>
      <x:c r="G645" t="str">
        <x:f>IF(INDEX(Model_TestVersion_Stats!$R:$R,C645)="","",INDEX(Model_TestVersion_Stats!$R:$R,C645)/60)</x:f>
      </x:c>
      <x:c r="H645" t="n">
        <x:f>IF(E645="","",E645-(D645-1))</x:f>
        <x:v>-3</x:v>
      </x:c>
      <x:c r="I645" t="n">
        <x:f>IF(H645&gt;0,1,0)</x:f>
        <x:v>0</x:v>
      </x:c>
      <x:c r="J645" t="str">
        <x:f>IF(OR(I645=0,F645="",F645=0),"",H645/F645)</x:f>
      </x:c>
      <x:c r="K645" t="str">
        <x:f>IF(OR(I645=0,H645=0,F645=""),"",F645/H645)</x:f>
      </x:c>
      <x:c r="L645" t="str">
        <x:f>IF(OR(I645=0,F645="",G645="",F645=0,G645=0),"",H645/(F645*G645))</x:f>
      </x:c>
      <x:c r="M645" t="str">
        <x:f>IF(J645="","",J645/_xlfn.MAXIFS($J:$J,$D:$D,D645))</x:f>
      </x:c>
      <x:c r="N645" t="str">
        <x:f>IF(L645="","",L645/_xlfn.MAXIFS($L:$L,$D:$D,D645))</x:f>
      </x:c>
      <x:c r="O645" t="str">
        <x:f>IF(OR(M645="",N645=""),"",SQRT(M645*N645))</x:f>
      </x:c>
      <x:c r="P645" t="str">
        <x:f>IF(OR(M645="",N645=""),"",M645^0.7*N645^0.3)</x:f>
      </x:c>
      <x:c r="Q645" t="str">
        <x:f>IF(OR(M645="",N645=""),"",M645^0.3*N645^0.7)</x:f>
      </x:c>
    </x:row>
    <x:row r="646">
      <x:c r="A646" t="inlineStr">
        <x:is>
          <x:t xml:space="preserve">anthropic|claude-haiku-5-5|xhigh|reasoning|fallback-na</x:t>
        </x:is>
      </x:c>
      <x:c r="B646" t="inlineStr">
        <x:is>
          <x:t xml:space="preserve">AA|v4.3.2</x:t>
        </x:is>
      </x:c>
      <x:c r="C646" t="n">
        <x:v>82</x:v>
      </x:c>
      <x:c r="D646" t="n">
        <x:v>50</x:v>
      </x:c>
      <x:c r="E646" t="n">
        <x:f>INDEX(Model_TestVersion_Stats!$W:$W,C646)</x:f>
        <x:v>41</x:v>
      </x:c>
      <x:c r="F646" t="n">
        <x:f>INDEX(Model_TestVersion_Stats!$O:$O,C646)</x:f>
        <x:v>0.12</x:v>
      </x:c>
      <x:c r="G646" t="str">
        <x:f>IF(INDEX(Model_TestVersion_Stats!$R:$R,C646)="","",INDEX(Model_TestVersion_Stats!$R:$R,C646)/60)</x:f>
      </x:c>
      <x:c r="H646" t="n">
        <x:f>IF(E646="","",E646-(D646-1))</x:f>
        <x:v>-8</x:v>
      </x:c>
      <x:c r="I646" t="n">
        <x:f>IF(H646&gt;0,1,0)</x:f>
        <x:v>0</x:v>
      </x:c>
      <x:c r="J646" t="str">
        <x:f>IF(OR(I646=0,F646="",F646=0),"",H646/F646)</x:f>
      </x:c>
      <x:c r="K646" t="str">
        <x:f>IF(OR(I646=0,H646=0,F646=""),"",F646/H646)</x:f>
      </x:c>
      <x:c r="L646" t="str">
        <x:f>IF(OR(I646=0,F646="",G646="",F646=0,G646=0),"",H646/(F646*G646))</x:f>
      </x:c>
      <x:c r="M646" t="str">
        <x:f>IF(J646="","",J646/_xlfn.MAXIFS($J:$J,$D:$D,D646))</x:f>
      </x:c>
      <x:c r="N646" t="str">
        <x:f>IF(L646="","",L646/_xlfn.MAXIFS($L:$L,$D:$D,D646))</x:f>
      </x:c>
      <x:c r="O646" t="str">
        <x:f>IF(OR(M646="",N646=""),"",SQRT(M646*N646))</x:f>
      </x:c>
      <x:c r="P646" t="str">
        <x:f>IF(OR(M646="",N646=""),"",M646^0.7*N646^0.3)</x:f>
      </x:c>
      <x:c r="Q646" t="str">
        <x:f>IF(OR(M646="",N646=""),"",M646^0.3*N646^0.7)</x:f>
      </x:c>
    </x:row>
    <x:row r="647">
      <x:c r="A647" t="inlineStr">
        <x:is>
          <x:t xml:space="preserve">anthropic|claude-haiku-5-5|xhigh|reasoning|fallback-na</x:t>
        </x:is>
      </x:c>
      <x:c r="B647" t="inlineStr">
        <x:is>
          <x:t xml:space="preserve">AA|v4.3.2</x:t>
        </x:is>
      </x:c>
      <x:c r="C647" t="n">
        <x:v>82</x:v>
      </x:c>
      <x:c r="D647" t="n">
        <x:v>52</x:v>
      </x:c>
      <x:c r="E647" t="n">
        <x:f>INDEX(Model_TestVersion_Stats!$W:$W,C647)</x:f>
        <x:v>41</x:v>
      </x:c>
      <x:c r="F647" t="n">
        <x:f>INDEX(Model_TestVersion_Stats!$O:$O,C647)</x:f>
        <x:v>0.12</x:v>
      </x:c>
      <x:c r="G647" t="str">
        <x:f>IF(INDEX(Model_TestVersion_Stats!$R:$R,C647)="","",INDEX(Model_TestVersion_Stats!$R:$R,C647)/60)</x:f>
      </x:c>
      <x:c r="H647" t="n">
        <x:f>IF(E647="","",E647-(D647-1))</x:f>
        <x:v>-10</x:v>
      </x:c>
      <x:c r="I647" t="n">
        <x:f>IF(H647&gt;0,1,0)</x:f>
        <x:v>0</x:v>
      </x:c>
      <x:c r="J647" t="str">
        <x:f>IF(OR(I647=0,F647="",F647=0),"",H647/F647)</x:f>
      </x:c>
      <x:c r="K647" t="str">
        <x:f>IF(OR(I647=0,H647=0,F647=""),"",F647/H647)</x:f>
      </x:c>
      <x:c r="L647" t="str">
        <x:f>IF(OR(I647=0,F647="",G647="",F647=0,G647=0),"",H647/(F647*G647))</x:f>
      </x:c>
      <x:c r="M647" t="str">
        <x:f>IF(J647="","",J647/_xlfn.MAXIFS($J:$J,$D:$D,D647))</x:f>
      </x:c>
      <x:c r="N647" t="str">
        <x:f>IF(L647="","",L647/_xlfn.MAXIFS($L:$L,$D:$D,D647))</x:f>
      </x:c>
      <x:c r="O647" t="str">
        <x:f>IF(OR(M647="",N647=""),"",SQRT(M647*N647))</x:f>
      </x:c>
      <x:c r="P647" t="str">
        <x:f>IF(OR(M647="",N647=""),"",M647^0.7*N647^0.3)</x:f>
      </x:c>
      <x:c r="Q647" t="str">
        <x:f>IF(OR(M647="",N647=""),"",M647^0.3*N647^0.7)</x:f>
      </x:c>
    </x:row>
    <x:row r="648">
      <x:c r="A648" t="inlineStr">
        <x:is>
          <x:t xml:space="preserve">anthropic|claude-haiku-5-5|xhigh|reasoning|fallback-na</x:t>
        </x:is>
      </x:c>
      <x:c r="B648" t="inlineStr">
        <x:is>
          <x:t xml:space="preserve">AA|v4.3.2</x:t>
        </x:is>
      </x:c>
      <x:c r="C648" t="n">
        <x:v>82</x:v>
      </x:c>
      <x:c r="D648" t="n">
        <x:v>65</x:v>
      </x:c>
      <x:c r="E648" t="n">
        <x:f>INDEX(Model_TestVersion_Stats!$W:$W,C648)</x:f>
        <x:v>41</x:v>
      </x:c>
      <x:c r="F648" t="n">
        <x:f>INDEX(Model_TestVersion_Stats!$O:$O,C648)</x:f>
        <x:v>0.12</x:v>
      </x:c>
      <x:c r="G648" t="str">
        <x:f>IF(INDEX(Model_TestVersion_Stats!$R:$R,C648)="","",INDEX(Model_TestVersion_Stats!$R:$R,C648)/60)</x:f>
      </x:c>
      <x:c r="H648" t="n">
        <x:f>IF(E648="","",E648-(D648-1))</x:f>
        <x:v>-23</x:v>
      </x:c>
      <x:c r="I648" t="n">
        <x:f>IF(H648&gt;0,1,0)</x:f>
        <x:v>0</x:v>
      </x:c>
      <x:c r="J648" t="str">
        <x:f>IF(OR(I648=0,F648="",F648=0),"",H648/F648)</x:f>
      </x:c>
      <x:c r="K648" t="str">
        <x:f>IF(OR(I648=0,H648=0,F648=""),"",F648/H648)</x:f>
      </x:c>
      <x:c r="L648" t="str">
        <x:f>IF(OR(I648=0,F648="",G648="",F648=0,G648=0),"",H648/(F648*G648))</x:f>
      </x:c>
      <x:c r="M648" t="str">
        <x:f>IF(J648="","",J648/_xlfn.MAXIFS($J:$J,$D:$D,D648))</x:f>
      </x:c>
      <x:c r="N648" t="str">
        <x:f>IF(L648="","",L648/_xlfn.MAXIFS($L:$L,$D:$D,D648))</x:f>
      </x:c>
      <x:c r="O648" t="str">
        <x:f>IF(OR(M648="",N648=""),"",SQRT(M648*N648))</x:f>
      </x:c>
      <x:c r="P648" t="str">
        <x:f>IF(OR(M648="",N648=""),"",M648^0.7*N648^0.3)</x:f>
      </x:c>
      <x:c r="Q648" t="str">
        <x:f>IF(OR(M648="",N648=""),"",M648^0.3*N648^0.7)</x:f>
      </x:c>
    </x:row>
    <x:row r="649">
      <x:c r="A649" t="inlineStr">
        <x:is>
          <x:t xml:space="preserve">anthropic|claude-haiku-5-5|xhigh|reasoning|fallback-na</x:t>
        </x:is>
      </x:c>
      <x:c r="B649" t="inlineStr">
        <x:is>
          <x:t xml:space="preserve">AA|v4.3.2</x:t>
        </x:is>
      </x:c>
      <x:c r="C649" t="n">
        <x:v>82</x:v>
      </x:c>
      <x:c r="D649" t="n">
        <x:v>80</x:v>
      </x:c>
      <x:c r="E649" t="n">
        <x:f>INDEX(Model_TestVersion_Stats!$W:$W,C649)</x:f>
        <x:v>41</x:v>
      </x:c>
      <x:c r="F649" t="n">
        <x:f>INDEX(Model_TestVersion_Stats!$O:$O,C649)</x:f>
        <x:v>0.12</x:v>
      </x:c>
      <x:c r="G649" t="str">
        <x:f>IF(INDEX(Model_TestVersion_Stats!$R:$R,C649)="","",INDEX(Model_TestVersion_Stats!$R:$R,C649)/60)</x:f>
      </x:c>
      <x:c r="H649" t="n">
        <x:f>IF(E649="","",E649-(D649-1))</x:f>
        <x:v>-38</x:v>
      </x:c>
      <x:c r="I649" t="n">
        <x:f>IF(H649&gt;0,1,0)</x:f>
        <x:v>0</x:v>
      </x:c>
      <x:c r="J649" t="str">
        <x:f>IF(OR(I649=0,F649="",F649=0),"",H649/F649)</x:f>
      </x:c>
      <x:c r="K649" t="str">
        <x:f>IF(OR(I649=0,H649=0,F649=""),"",F649/H649)</x:f>
      </x:c>
      <x:c r="L649" t="str">
        <x:f>IF(OR(I649=0,F649="",G649="",F649=0,G649=0),"",H649/(F649*G649))</x:f>
      </x:c>
      <x:c r="M649" t="str">
        <x:f>IF(J649="","",J649/_xlfn.MAXIFS($J:$J,$D:$D,D649))</x:f>
      </x:c>
      <x:c r="N649" t="str">
        <x:f>IF(L649="","",L649/_xlfn.MAXIFS($L:$L,$D:$D,D649))</x:f>
      </x:c>
      <x:c r="O649" t="str">
        <x:f>IF(OR(M649="",N649=""),"",SQRT(M649*N649))</x:f>
      </x:c>
      <x:c r="P649" t="str">
        <x:f>IF(OR(M649="",N649=""),"",M649^0.7*N649^0.3)</x:f>
      </x:c>
      <x:c r="Q649" t="str">
        <x:f>IF(OR(M649="",N649=""),"",M649^0.3*N649^0.7)</x:f>
      </x:c>
    </x:row>
    <x:row r="650">
      <x:c r="A650" t="inlineStr">
        <x:is>
          <x:t xml:space="preserve">anthropic|claude-haiku-5-5|max|reasoning|fallback-na</x:t>
        </x:is>
      </x:c>
      <x:c r="B650" t="inlineStr">
        <x:is>
          <x:t xml:space="preserve">AA|v4.3.2</x:t>
        </x:is>
      </x:c>
      <x:c r="C650" t="n">
        <x:v>83</x:v>
      </x:c>
      <x:c r="D650" t="n">
        <x:v>20</x:v>
      </x:c>
      <x:c r="E650" t="n">
        <x:f>INDEX(Model_TestVersion_Stats!$W:$W,C650)</x:f>
        <x:v>43</x:v>
      </x:c>
      <x:c r="F650" t="n">
        <x:f>INDEX(Model_TestVersion_Stats!$O:$O,C650)</x:f>
        <x:v>0.21</x:v>
      </x:c>
      <x:c r="G650" t="str">
        <x:f>IF(INDEX(Model_TestVersion_Stats!$R:$R,C650)="","",INDEX(Model_TestVersion_Stats!$R:$R,C650)/60)</x:f>
      </x:c>
      <x:c r="H650" t="n">
        <x:f>IF(E650="","",E650-(D650-1))</x:f>
        <x:v>24</x:v>
      </x:c>
      <x:c r="I650" t="n">
        <x:f>IF(H650&gt;0,1,0)</x:f>
        <x:v>1</x:v>
      </x:c>
      <x:c r="J650" t="n">
        <x:f>IF(OR(I650=0,F650="",F650=0),"",H650/F650)</x:f>
        <x:v>114.28571428571429</x:v>
      </x:c>
      <x:c r="K650" t="n">
        <x:f>IF(OR(I650=0,H650=0,F650=""),"",F650/H650)</x:f>
        <x:v>0.008749999999999999</x:v>
      </x:c>
      <x:c r="L650" t="str">
        <x:f>IF(OR(I650=0,F650="",G650="",F650=0,G650=0),"",H650/(F650*G650))</x:f>
      </x:c>
      <x:c r="M650" t="n">
        <x:f>IF(J650="","",J650/_xlfn.MAXIFS($J:$J,$D:$D,D650))</x:f>
        <x:v>0.20571428571428574</x:v>
      </x:c>
      <x:c r="N650" t="str">
        <x:f>IF(L650="","",L650/_xlfn.MAXIFS($L:$L,$D:$D,D650))</x:f>
      </x:c>
      <x:c r="O650" t="str">
        <x:f>IF(OR(M650="",N650=""),"",SQRT(M650*N650))</x:f>
      </x:c>
      <x:c r="P650" t="str">
        <x:f>IF(OR(M650="",N650=""),"",M650^0.7*N650^0.3)</x:f>
      </x:c>
      <x:c r="Q650" t="str">
        <x:f>IF(OR(M650="",N650=""),"",M650^0.3*N650^0.7)</x:f>
      </x:c>
    </x:row>
    <x:row r="651">
      <x:c r="A651" t="inlineStr">
        <x:is>
          <x:t xml:space="preserve">anthropic|claude-haiku-5-5|max|reasoning|fallback-na</x:t>
        </x:is>
      </x:c>
      <x:c r="B651" t="inlineStr">
        <x:is>
          <x:t xml:space="preserve">AA|v4.3.2</x:t>
        </x:is>
      </x:c>
      <x:c r="C651" t="n">
        <x:v>83</x:v>
      </x:c>
      <x:c r="D651" t="n">
        <x:v>30</x:v>
      </x:c>
      <x:c r="E651" t="n">
        <x:f>INDEX(Model_TestVersion_Stats!$W:$W,C651)</x:f>
        <x:v>43</x:v>
      </x:c>
      <x:c r="F651" t="n">
        <x:f>INDEX(Model_TestVersion_Stats!$O:$O,C651)</x:f>
        <x:v>0.21</x:v>
      </x:c>
      <x:c r="G651" t="str">
        <x:f>IF(INDEX(Model_TestVersion_Stats!$R:$R,C651)="","",INDEX(Model_TestVersion_Stats!$R:$R,C651)/60)</x:f>
      </x:c>
      <x:c r="H651" t="n">
        <x:f>IF(E651="","",E651-(D651-1))</x:f>
        <x:v>14</x:v>
      </x:c>
      <x:c r="I651" t="n">
        <x:f>IF(H651&gt;0,1,0)</x:f>
        <x:v>1</x:v>
      </x:c>
      <x:c r="J651" t="n">
        <x:f>IF(OR(I651=0,F651="",F651=0),"",H651/F651)</x:f>
        <x:v>66.66666666666667</x:v>
      </x:c>
      <x:c r="K651" t="n">
        <x:f>IF(OR(I651=0,H651=0,F651=""),"",F651/H651)</x:f>
        <x:v>0.015</x:v>
      </x:c>
      <x:c r="L651" t="str">
        <x:f>IF(OR(I651=0,F651="",G651="",F651=0,G651=0),"",H651/(F651*G651))</x:f>
      </x:c>
      <x:c r="M651" t="n">
        <x:f>IF(J651="","",J651/_xlfn.MAXIFS($J:$J,$D:$D,D651))</x:f>
        <x:v>0.4444444444444445</x:v>
      </x:c>
      <x:c r="N651" t="str">
        <x:f>IF(L651="","",L651/_xlfn.MAXIFS($L:$L,$D:$D,D651))</x:f>
      </x:c>
      <x:c r="O651" t="str">
        <x:f>IF(OR(M651="",N651=""),"",SQRT(M651*N651))</x:f>
      </x:c>
      <x:c r="P651" t="str">
        <x:f>IF(OR(M651="",N651=""),"",M651^0.7*N651^0.3)</x:f>
      </x:c>
      <x:c r="Q651" t="str">
        <x:f>IF(OR(M651="",N651=""),"",M651^0.3*N651^0.7)</x:f>
      </x:c>
    </x:row>
    <x:row r="652">
      <x:c r="A652" t="inlineStr">
        <x:is>
          <x:t xml:space="preserve">anthropic|claude-haiku-5-5|max|reasoning|fallback-na</x:t>
        </x:is>
      </x:c>
      <x:c r="B652" t="inlineStr">
        <x:is>
          <x:t xml:space="preserve">AA|v4.3.2</x:t>
        </x:is>
      </x:c>
      <x:c r="C652" t="n">
        <x:v>83</x:v>
      </x:c>
      <x:c r="D652" t="n">
        <x:v>40</x:v>
      </x:c>
      <x:c r="E652" t="n">
        <x:f>INDEX(Model_TestVersion_Stats!$W:$W,C652)</x:f>
        <x:v>43</x:v>
      </x:c>
      <x:c r="F652" t="n">
        <x:f>INDEX(Model_TestVersion_Stats!$O:$O,C652)</x:f>
        <x:v>0.21</x:v>
      </x:c>
      <x:c r="G652" t="str">
        <x:f>IF(INDEX(Model_TestVersion_Stats!$R:$R,C652)="","",INDEX(Model_TestVersion_Stats!$R:$R,C652)/60)</x:f>
      </x:c>
      <x:c r="H652" t="n">
        <x:f>IF(E652="","",E652-(D652-1))</x:f>
        <x:v>4</x:v>
      </x:c>
      <x:c r="I652" t="n">
        <x:f>IF(H652&gt;0,1,0)</x:f>
        <x:v>1</x:v>
      </x:c>
      <x:c r="J652" t="n">
        <x:f>IF(OR(I652=0,F652="",F652=0),"",H652/F652)</x:f>
        <x:v>19.047619047619047</x:v>
      </x:c>
      <x:c r="K652" t="n">
        <x:f>IF(OR(I652=0,H652=0,F652=""),"",F652/H652)</x:f>
        <x:v>0.0525</x:v>
      </x:c>
      <x:c r="L652" t="str">
        <x:f>IF(OR(I652=0,F652="",G652="",F652=0,G652=0),"",H652/(F652*G652))</x:f>
      </x:c>
      <x:c r="M652" t="n">
        <x:f>IF(J652="","",J652/_xlfn.MAXIFS($J:$J,$D:$D,D652))</x:f>
        <x:v>0.35374149659863946</x:v>
      </x:c>
      <x:c r="N652" t="str">
        <x:f>IF(L652="","",L652/_xlfn.MAXIFS($L:$L,$D:$D,D652))</x:f>
      </x:c>
      <x:c r="O652" t="str">
        <x:f>IF(OR(M652="",N652=""),"",SQRT(M652*N652))</x:f>
      </x:c>
      <x:c r="P652" t="str">
        <x:f>IF(OR(M652="",N652=""),"",M652^0.7*N652^0.3)</x:f>
      </x:c>
      <x:c r="Q652" t="str">
        <x:f>IF(OR(M652="",N652=""),"",M652^0.3*N652^0.7)</x:f>
      </x:c>
    </x:row>
    <x:row r="653">
      <x:c r="A653" t="inlineStr">
        <x:is>
          <x:t xml:space="preserve">anthropic|claude-haiku-5-5|max|reasoning|fallback-na</x:t>
        </x:is>
      </x:c>
      <x:c r="B653" t="inlineStr">
        <x:is>
          <x:t xml:space="preserve">AA|v4.3.2</x:t>
        </x:is>
      </x:c>
      <x:c r="C653" t="n">
        <x:v>83</x:v>
      </x:c>
      <x:c r="D653" t="n">
        <x:v>45</x:v>
      </x:c>
      <x:c r="E653" t="n">
        <x:f>INDEX(Model_TestVersion_Stats!$W:$W,C653)</x:f>
        <x:v>43</x:v>
      </x:c>
      <x:c r="F653" t="n">
        <x:f>INDEX(Model_TestVersion_Stats!$O:$O,C653)</x:f>
        <x:v>0.21</x:v>
      </x:c>
      <x:c r="G653" t="str">
        <x:f>IF(INDEX(Model_TestVersion_Stats!$R:$R,C653)="","",INDEX(Model_TestVersion_Stats!$R:$R,C653)/60)</x:f>
      </x:c>
      <x:c r="H653" t="n">
        <x:f>IF(E653="","",E653-(D653-1))</x:f>
        <x:v>-1</x:v>
      </x:c>
      <x:c r="I653" t="n">
        <x:f>IF(H653&gt;0,1,0)</x:f>
        <x:v>0</x:v>
      </x:c>
      <x:c r="J653" t="str">
        <x:f>IF(OR(I653=0,F653="",F653=0),"",H653/F653)</x:f>
      </x:c>
      <x:c r="K653" t="str">
        <x:f>IF(OR(I653=0,H653=0,F653=""),"",F653/H653)</x:f>
      </x:c>
      <x:c r="L653" t="str">
        <x:f>IF(OR(I653=0,F653="",G653="",F653=0,G653=0),"",H653/(F653*G653))</x:f>
      </x:c>
      <x:c r="M653" t="str">
        <x:f>IF(J653="","",J653/_xlfn.MAXIFS($J:$J,$D:$D,D653))</x:f>
      </x:c>
      <x:c r="N653" t="str">
        <x:f>IF(L653="","",L653/_xlfn.MAXIFS($L:$L,$D:$D,D653))</x:f>
      </x:c>
      <x:c r="O653" t="str">
        <x:f>IF(OR(M653="",N653=""),"",SQRT(M653*N653))</x:f>
      </x:c>
      <x:c r="P653" t="str">
        <x:f>IF(OR(M653="",N653=""),"",M653^0.7*N653^0.3)</x:f>
      </x:c>
      <x:c r="Q653" t="str">
        <x:f>IF(OR(M653="",N653=""),"",M653^0.3*N653^0.7)</x:f>
      </x:c>
    </x:row>
    <x:row r="654">
      <x:c r="A654" t="inlineStr">
        <x:is>
          <x:t xml:space="preserve">anthropic|claude-haiku-5-5|max|reasoning|fallback-na</x:t>
        </x:is>
      </x:c>
      <x:c r="B654" t="inlineStr">
        <x:is>
          <x:t xml:space="preserve">AA|v4.3.2</x:t>
        </x:is>
      </x:c>
      <x:c r="C654" t="n">
        <x:v>83</x:v>
      </x:c>
      <x:c r="D654" t="n">
        <x:v>50</x:v>
      </x:c>
      <x:c r="E654" t="n">
        <x:f>INDEX(Model_TestVersion_Stats!$W:$W,C654)</x:f>
        <x:v>43</x:v>
      </x:c>
      <x:c r="F654" t="n">
        <x:f>INDEX(Model_TestVersion_Stats!$O:$O,C654)</x:f>
        <x:v>0.21</x:v>
      </x:c>
      <x:c r="G654" t="str">
        <x:f>IF(INDEX(Model_TestVersion_Stats!$R:$R,C654)="","",INDEX(Model_TestVersion_Stats!$R:$R,C654)/60)</x:f>
      </x:c>
      <x:c r="H654" t="n">
        <x:f>IF(E654="","",E654-(D654-1))</x:f>
        <x:v>-6</x:v>
      </x:c>
      <x:c r="I654" t="n">
        <x:f>IF(H654&gt;0,1,0)</x:f>
        <x:v>0</x:v>
      </x:c>
      <x:c r="J654" t="str">
        <x:f>IF(OR(I654=0,F654="",F654=0),"",H654/F654)</x:f>
      </x:c>
      <x:c r="K654" t="str">
        <x:f>IF(OR(I654=0,H654=0,F654=""),"",F654/H654)</x:f>
      </x:c>
      <x:c r="L654" t="str">
        <x:f>IF(OR(I654=0,F654="",G654="",F654=0,G654=0),"",H654/(F654*G654))</x:f>
      </x:c>
      <x:c r="M654" t="str">
        <x:f>IF(J654="","",J654/_xlfn.MAXIFS($J:$J,$D:$D,D654))</x:f>
      </x:c>
      <x:c r="N654" t="str">
        <x:f>IF(L654="","",L654/_xlfn.MAXIFS($L:$L,$D:$D,D654))</x:f>
      </x:c>
      <x:c r="O654" t="str">
        <x:f>IF(OR(M654="",N654=""),"",SQRT(M654*N654))</x:f>
      </x:c>
      <x:c r="P654" t="str">
        <x:f>IF(OR(M654="",N654=""),"",M654^0.7*N654^0.3)</x:f>
      </x:c>
      <x:c r="Q654" t="str">
        <x:f>IF(OR(M654="",N654=""),"",M654^0.3*N654^0.7)</x:f>
      </x:c>
    </x:row>
    <x:row r="655">
      <x:c r="A655" t="inlineStr">
        <x:is>
          <x:t xml:space="preserve">anthropic|claude-haiku-5-5|max|reasoning|fallback-na</x:t>
        </x:is>
      </x:c>
      <x:c r="B655" t="inlineStr">
        <x:is>
          <x:t xml:space="preserve">AA|v4.3.2</x:t>
        </x:is>
      </x:c>
      <x:c r="C655" t="n">
        <x:v>83</x:v>
      </x:c>
      <x:c r="D655" t="n">
        <x:v>52</x:v>
      </x:c>
      <x:c r="E655" t="n">
        <x:f>INDEX(Model_TestVersion_Stats!$W:$W,C655)</x:f>
        <x:v>43</x:v>
      </x:c>
      <x:c r="F655" t="n">
        <x:f>INDEX(Model_TestVersion_Stats!$O:$O,C655)</x:f>
        <x:v>0.21</x:v>
      </x:c>
      <x:c r="G655" t="str">
        <x:f>IF(INDEX(Model_TestVersion_Stats!$R:$R,C655)="","",INDEX(Model_TestVersion_Stats!$R:$R,C655)/60)</x:f>
      </x:c>
      <x:c r="H655" t="n">
        <x:f>IF(E655="","",E655-(D655-1))</x:f>
        <x:v>-8</x:v>
      </x:c>
      <x:c r="I655" t="n">
        <x:f>IF(H655&gt;0,1,0)</x:f>
        <x:v>0</x:v>
      </x:c>
      <x:c r="J655" t="str">
        <x:f>IF(OR(I655=0,F655="",F655=0),"",H655/F655)</x:f>
      </x:c>
      <x:c r="K655" t="str">
        <x:f>IF(OR(I655=0,H655=0,F655=""),"",F655/H655)</x:f>
      </x:c>
      <x:c r="L655" t="str">
        <x:f>IF(OR(I655=0,F655="",G655="",F655=0,G655=0),"",H655/(F655*G655))</x:f>
      </x:c>
      <x:c r="M655" t="str">
        <x:f>IF(J655="","",J655/_xlfn.MAXIFS($J:$J,$D:$D,D655))</x:f>
      </x:c>
      <x:c r="N655" t="str">
        <x:f>IF(L655="","",L655/_xlfn.MAXIFS($L:$L,$D:$D,D655))</x:f>
      </x:c>
      <x:c r="O655" t="str">
        <x:f>IF(OR(M655="",N655=""),"",SQRT(M655*N655))</x:f>
      </x:c>
      <x:c r="P655" t="str">
        <x:f>IF(OR(M655="",N655=""),"",M655^0.7*N655^0.3)</x:f>
      </x:c>
      <x:c r="Q655" t="str">
        <x:f>IF(OR(M655="",N655=""),"",M655^0.3*N655^0.7)</x:f>
      </x:c>
    </x:row>
    <x:row r="656">
      <x:c r="A656" t="inlineStr">
        <x:is>
          <x:t xml:space="preserve">anthropic|claude-haiku-5-5|max|reasoning|fallback-na</x:t>
        </x:is>
      </x:c>
      <x:c r="B656" t="inlineStr">
        <x:is>
          <x:t xml:space="preserve">AA|v4.3.2</x:t>
        </x:is>
      </x:c>
      <x:c r="C656" t="n">
        <x:v>83</x:v>
      </x:c>
      <x:c r="D656" t="n">
        <x:v>65</x:v>
      </x:c>
      <x:c r="E656" t="n">
        <x:f>INDEX(Model_TestVersion_Stats!$W:$W,C656)</x:f>
        <x:v>43</x:v>
      </x:c>
      <x:c r="F656" t="n">
        <x:f>INDEX(Model_TestVersion_Stats!$O:$O,C656)</x:f>
        <x:v>0.21</x:v>
      </x:c>
      <x:c r="G656" t="str">
        <x:f>IF(INDEX(Model_TestVersion_Stats!$R:$R,C656)="","",INDEX(Model_TestVersion_Stats!$R:$R,C656)/60)</x:f>
      </x:c>
      <x:c r="H656" t="n">
        <x:f>IF(E656="","",E656-(D656-1))</x:f>
        <x:v>-21</x:v>
      </x:c>
      <x:c r="I656" t="n">
        <x:f>IF(H656&gt;0,1,0)</x:f>
        <x:v>0</x:v>
      </x:c>
      <x:c r="J656" t="str">
        <x:f>IF(OR(I656=0,F656="",F656=0),"",H656/F656)</x:f>
      </x:c>
      <x:c r="K656" t="str">
        <x:f>IF(OR(I656=0,H656=0,F656=""),"",F656/H656)</x:f>
      </x:c>
      <x:c r="L656" t="str">
        <x:f>IF(OR(I656=0,F656="",G656="",F656=0,G656=0),"",H656/(F656*G656))</x:f>
      </x:c>
      <x:c r="M656" t="str">
        <x:f>IF(J656="","",J656/_xlfn.MAXIFS($J:$J,$D:$D,D656))</x:f>
      </x:c>
      <x:c r="N656" t="str">
        <x:f>IF(L656="","",L656/_xlfn.MAXIFS($L:$L,$D:$D,D656))</x:f>
      </x:c>
      <x:c r="O656" t="str">
        <x:f>IF(OR(M656="",N656=""),"",SQRT(M656*N656))</x:f>
      </x:c>
      <x:c r="P656" t="str">
        <x:f>IF(OR(M656="",N656=""),"",M656^0.7*N656^0.3)</x:f>
      </x:c>
      <x:c r="Q656" t="str">
        <x:f>IF(OR(M656="",N656=""),"",M656^0.3*N656^0.7)</x:f>
      </x:c>
    </x:row>
    <x:row r="657">
      <x:c r="A657" t="inlineStr">
        <x:is>
          <x:t xml:space="preserve">anthropic|claude-haiku-5-5|max|reasoning|fallback-na</x:t>
        </x:is>
      </x:c>
      <x:c r="B657" t="inlineStr">
        <x:is>
          <x:t xml:space="preserve">AA|v4.3.2</x:t>
        </x:is>
      </x:c>
      <x:c r="C657" t="n">
        <x:v>83</x:v>
      </x:c>
      <x:c r="D657" t="n">
        <x:v>80</x:v>
      </x:c>
      <x:c r="E657" t="n">
        <x:f>INDEX(Model_TestVersion_Stats!$W:$W,C657)</x:f>
        <x:v>43</x:v>
      </x:c>
      <x:c r="F657" t="n">
        <x:f>INDEX(Model_TestVersion_Stats!$O:$O,C657)</x:f>
        <x:v>0.21</x:v>
      </x:c>
      <x:c r="G657" t="str">
        <x:f>IF(INDEX(Model_TestVersion_Stats!$R:$R,C657)="","",INDEX(Model_TestVersion_Stats!$R:$R,C657)/60)</x:f>
      </x:c>
      <x:c r="H657" t="n">
        <x:f>IF(E657="","",E657-(D657-1))</x:f>
        <x:v>-36</x:v>
      </x:c>
      <x:c r="I657" t="n">
        <x:f>IF(H657&gt;0,1,0)</x:f>
        <x:v>0</x:v>
      </x:c>
      <x:c r="J657" t="str">
        <x:f>IF(OR(I657=0,F657="",F657=0),"",H657/F657)</x:f>
      </x:c>
      <x:c r="K657" t="str">
        <x:f>IF(OR(I657=0,H657=0,F657=""),"",F657/H657)</x:f>
      </x:c>
      <x:c r="L657" t="str">
        <x:f>IF(OR(I657=0,F657="",G657="",F657=0,G657=0),"",H657/(F657*G657))</x:f>
      </x:c>
      <x:c r="M657" t="str">
        <x:f>IF(J657="","",J657/_xlfn.MAXIFS($J:$J,$D:$D,D657))</x:f>
      </x:c>
      <x:c r="N657" t="str">
        <x:f>IF(L657="","",L657/_xlfn.MAXIFS($L:$L,$D:$D,D657))</x:f>
      </x:c>
      <x:c r="O657" t="str">
        <x:f>IF(OR(M657="",N657=""),"",SQRT(M657*N657))</x:f>
      </x:c>
      <x:c r="P657" t="str">
        <x:f>IF(OR(M657="",N657=""),"",M657^0.7*N657^0.3)</x:f>
      </x:c>
      <x:c r="Q657" t="str">
        <x:f>IF(OR(M657="",N657=""),"",M657^0.3*N657^0.7)</x:f>
      </x:c>
    </x:row>
    <x:row r="658">
      <x:c r="A658" t="inlineStr">
        <x:is>
          <x:t xml:space="preserve">mistral|mistral-large-4-preview|reasoning|reasoning|fallback-na</x:t>
        </x:is>
      </x:c>
      <x:c r="B658" t="inlineStr">
        <x:is>
          <x:t xml:space="preserve">AA|v4.3.2</x:t>
        </x:is>
      </x:c>
      <x:c r="C658" t="n">
        <x:v>84</x:v>
      </x:c>
      <x:c r="D658" t="n">
        <x:v>20</x:v>
      </x:c>
      <x:c r="E658" t="n">
        <x:f>INDEX(Model_TestVersion_Stats!$W:$W,C658)</x:f>
        <x:v>38</x:v>
      </x:c>
      <x:c r="F658" t="n">
        <x:f>INDEX(Model_TestVersion_Stats!$O:$O,C658)</x:f>
        <x:v>1.13</x:v>
      </x:c>
      <x:c r="G658" t="str">
        <x:f>IF(INDEX(Model_TestVersion_Stats!$R:$R,C658)="","",INDEX(Model_TestVersion_Stats!$R:$R,C658)/60)</x:f>
      </x:c>
      <x:c r="H658" t="n">
        <x:f>IF(E658="","",E658-(D658-1))</x:f>
        <x:v>19</x:v>
      </x:c>
      <x:c r="I658" t="n">
        <x:f>IF(H658&gt;0,1,0)</x:f>
        <x:v>1</x:v>
      </x:c>
      <x:c r="J658" t="n">
        <x:f>IF(OR(I658=0,F658="",F658=0),"",H658/F658)</x:f>
        <x:v>16.8141592920354</x:v>
      </x:c>
      <x:c r="K658" t="n">
        <x:f>IF(OR(I658=0,H658=0,F658=""),"",F658/H658)</x:f>
        <x:v>0.05947368421052631</x:v>
      </x:c>
      <x:c r="L658" t="str">
        <x:f>IF(OR(I658=0,F658="",G658="",F658=0,G658=0),"",H658/(F658*G658))</x:f>
      </x:c>
      <x:c r="M658" t="n">
        <x:f>IF(J658="","",J658/_xlfn.MAXIFS($J:$J,$D:$D,D658))</x:f>
        <x:v>0.030265486725663718</x:v>
      </x:c>
      <x:c r="N658" t="str">
        <x:f>IF(L658="","",L658/_xlfn.MAXIFS($L:$L,$D:$D,D658))</x:f>
      </x:c>
      <x:c r="O658" t="str">
        <x:f>IF(OR(M658="",N658=""),"",SQRT(M658*N658))</x:f>
      </x:c>
      <x:c r="P658" t="str">
        <x:f>IF(OR(M658="",N658=""),"",M658^0.7*N658^0.3)</x:f>
      </x:c>
      <x:c r="Q658" t="str">
        <x:f>IF(OR(M658="",N658=""),"",M658^0.3*N658^0.7)</x:f>
      </x:c>
    </x:row>
    <x:row r="659">
      <x:c r="A659" t="inlineStr">
        <x:is>
          <x:t xml:space="preserve">mistral|mistral-large-4-preview|reasoning|reasoning|fallback-na</x:t>
        </x:is>
      </x:c>
      <x:c r="B659" t="inlineStr">
        <x:is>
          <x:t xml:space="preserve">AA|v4.3.2</x:t>
        </x:is>
      </x:c>
      <x:c r="C659" t="n">
        <x:v>84</x:v>
      </x:c>
      <x:c r="D659" t="n">
        <x:v>30</x:v>
      </x:c>
      <x:c r="E659" t="n">
        <x:f>INDEX(Model_TestVersion_Stats!$W:$W,C659)</x:f>
        <x:v>38</x:v>
      </x:c>
      <x:c r="F659" t="n">
        <x:f>INDEX(Model_TestVersion_Stats!$O:$O,C659)</x:f>
        <x:v>1.13</x:v>
      </x:c>
      <x:c r="G659" t="str">
        <x:f>IF(INDEX(Model_TestVersion_Stats!$R:$R,C659)="","",INDEX(Model_TestVersion_Stats!$R:$R,C659)/60)</x:f>
      </x:c>
      <x:c r="H659" t="n">
        <x:f>IF(E659="","",E659-(D659-1))</x:f>
        <x:v>9</x:v>
      </x:c>
      <x:c r="I659" t="n">
        <x:f>IF(H659&gt;0,1,0)</x:f>
        <x:v>1</x:v>
      </x:c>
      <x:c r="J659" t="n">
        <x:f>IF(OR(I659=0,F659="",F659=0),"",H659/F659)</x:f>
        <x:v>7.964601769911505</x:v>
      </x:c>
      <x:c r="K659" t="n">
        <x:f>IF(OR(I659=0,H659=0,F659=""),"",F659/H659)</x:f>
        <x:v>0.12555555555555553</x:v>
      </x:c>
      <x:c r="L659" t="str">
        <x:f>IF(OR(I659=0,F659="",G659="",F659=0,G659=0),"",H659/(F659*G659))</x:f>
      </x:c>
      <x:c r="M659" t="n">
        <x:f>IF(J659="","",J659/_xlfn.MAXIFS($J:$J,$D:$D,D659))</x:f>
        <x:v>0.05309734513274337</x:v>
      </x:c>
      <x:c r="N659" t="str">
        <x:f>IF(L659="","",L659/_xlfn.MAXIFS($L:$L,$D:$D,D659))</x:f>
      </x:c>
      <x:c r="O659" t="str">
        <x:f>IF(OR(M659="",N659=""),"",SQRT(M659*N659))</x:f>
      </x:c>
      <x:c r="P659" t="str">
        <x:f>IF(OR(M659="",N659=""),"",M659^0.7*N659^0.3)</x:f>
      </x:c>
      <x:c r="Q659" t="str">
        <x:f>IF(OR(M659="",N659=""),"",M659^0.3*N659^0.7)</x:f>
      </x:c>
    </x:row>
    <x:row r="660">
      <x:c r="A660" t="inlineStr">
        <x:is>
          <x:t xml:space="preserve">mistral|mistral-large-4-preview|reasoning|reasoning|fallback-na</x:t>
        </x:is>
      </x:c>
      <x:c r="B660" t="inlineStr">
        <x:is>
          <x:t xml:space="preserve">AA|v4.3.2</x:t>
        </x:is>
      </x:c>
      <x:c r="C660" t="n">
        <x:v>84</x:v>
      </x:c>
      <x:c r="D660" t="n">
        <x:v>40</x:v>
      </x:c>
      <x:c r="E660" t="n">
        <x:f>INDEX(Model_TestVersion_Stats!$W:$W,C660)</x:f>
        <x:v>38</x:v>
      </x:c>
      <x:c r="F660" t="n">
        <x:f>INDEX(Model_TestVersion_Stats!$O:$O,C660)</x:f>
        <x:v>1.13</x:v>
      </x:c>
      <x:c r="G660" t="str">
        <x:f>IF(INDEX(Model_TestVersion_Stats!$R:$R,C660)="","",INDEX(Model_TestVersion_Stats!$R:$R,C660)/60)</x:f>
      </x:c>
      <x:c r="H660" t="n">
        <x:f>IF(E660="","",E660-(D660-1))</x:f>
        <x:v>-1</x:v>
      </x:c>
      <x:c r="I660" t="n">
        <x:f>IF(H660&gt;0,1,0)</x:f>
        <x:v>0</x:v>
      </x:c>
      <x:c r="J660" t="str">
        <x:f>IF(OR(I660=0,F660="",F660=0),"",H660/F660)</x:f>
      </x:c>
      <x:c r="K660" t="str">
        <x:f>IF(OR(I660=0,H660=0,F660=""),"",F660/H660)</x:f>
      </x:c>
      <x:c r="L660" t="str">
        <x:f>IF(OR(I660=0,F660="",G660="",F660=0,G660=0),"",H660/(F660*G660))</x:f>
      </x:c>
      <x:c r="M660" t="str">
        <x:f>IF(J660="","",J660/_xlfn.MAXIFS($J:$J,$D:$D,D660))</x:f>
      </x:c>
      <x:c r="N660" t="str">
        <x:f>IF(L660="","",L660/_xlfn.MAXIFS($L:$L,$D:$D,D660))</x:f>
      </x:c>
      <x:c r="O660" t="str">
        <x:f>IF(OR(M660="",N660=""),"",SQRT(M660*N660))</x:f>
      </x:c>
      <x:c r="P660" t="str">
        <x:f>IF(OR(M660="",N660=""),"",M660^0.7*N660^0.3)</x:f>
      </x:c>
      <x:c r="Q660" t="str">
        <x:f>IF(OR(M660="",N660=""),"",M660^0.3*N660^0.7)</x:f>
      </x:c>
    </x:row>
    <x:row r="661">
      <x:c r="A661" t="inlineStr">
        <x:is>
          <x:t xml:space="preserve">mistral|mistral-large-4-preview|reasoning|reasoning|fallback-na</x:t>
        </x:is>
      </x:c>
      <x:c r="B661" t="inlineStr">
        <x:is>
          <x:t xml:space="preserve">AA|v4.3.2</x:t>
        </x:is>
      </x:c>
      <x:c r="C661" t="n">
        <x:v>84</x:v>
      </x:c>
      <x:c r="D661" t="n">
        <x:v>45</x:v>
      </x:c>
      <x:c r="E661" t="n">
        <x:f>INDEX(Model_TestVersion_Stats!$W:$W,C661)</x:f>
        <x:v>38</x:v>
      </x:c>
      <x:c r="F661" t="n">
        <x:f>INDEX(Model_TestVersion_Stats!$O:$O,C661)</x:f>
        <x:v>1.13</x:v>
      </x:c>
      <x:c r="G661" t="str">
        <x:f>IF(INDEX(Model_TestVersion_Stats!$R:$R,C661)="","",INDEX(Model_TestVersion_Stats!$R:$R,C661)/60)</x:f>
      </x:c>
      <x:c r="H661" t="n">
        <x:f>IF(E661="","",E661-(D661-1))</x:f>
        <x:v>-6</x:v>
      </x:c>
      <x:c r="I661" t="n">
        <x:f>IF(H661&gt;0,1,0)</x:f>
        <x:v>0</x:v>
      </x:c>
      <x:c r="J661" t="str">
        <x:f>IF(OR(I661=0,F661="",F661=0),"",H661/F661)</x:f>
      </x:c>
      <x:c r="K661" t="str">
        <x:f>IF(OR(I661=0,H661=0,F661=""),"",F661/H661)</x:f>
      </x:c>
      <x:c r="L661" t="str">
        <x:f>IF(OR(I661=0,F661="",G661="",F661=0,G661=0),"",H661/(F661*G661))</x:f>
      </x:c>
      <x:c r="M661" t="str">
        <x:f>IF(J661="","",J661/_xlfn.MAXIFS($J:$J,$D:$D,D661))</x:f>
      </x:c>
      <x:c r="N661" t="str">
        <x:f>IF(L661="","",L661/_xlfn.MAXIFS($L:$L,$D:$D,D661))</x:f>
      </x:c>
      <x:c r="O661" t="str">
        <x:f>IF(OR(M661="",N661=""),"",SQRT(M661*N661))</x:f>
      </x:c>
      <x:c r="P661" t="str">
        <x:f>IF(OR(M661="",N661=""),"",M661^0.7*N661^0.3)</x:f>
      </x:c>
      <x:c r="Q661" t="str">
        <x:f>IF(OR(M661="",N661=""),"",M661^0.3*N661^0.7)</x:f>
      </x:c>
    </x:row>
    <x:row r="662">
      <x:c r="A662" t="inlineStr">
        <x:is>
          <x:t xml:space="preserve">mistral|mistral-large-4-preview|reasoning|reasoning|fallback-na</x:t>
        </x:is>
      </x:c>
      <x:c r="B662" t="inlineStr">
        <x:is>
          <x:t xml:space="preserve">AA|v4.3.2</x:t>
        </x:is>
      </x:c>
      <x:c r="C662" t="n">
        <x:v>84</x:v>
      </x:c>
      <x:c r="D662" t="n">
        <x:v>50</x:v>
      </x:c>
      <x:c r="E662" t="n">
        <x:f>INDEX(Model_TestVersion_Stats!$W:$W,C662)</x:f>
        <x:v>38</x:v>
      </x:c>
      <x:c r="F662" t="n">
        <x:f>INDEX(Model_TestVersion_Stats!$O:$O,C662)</x:f>
        <x:v>1.13</x:v>
      </x:c>
      <x:c r="G662" t="str">
        <x:f>IF(INDEX(Model_TestVersion_Stats!$R:$R,C662)="","",INDEX(Model_TestVersion_Stats!$R:$R,C662)/60)</x:f>
      </x:c>
      <x:c r="H662" t="n">
        <x:f>IF(E662="","",E662-(D662-1))</x:f>
        <x:v>-11</x:v>
      </x:c>
      <x:c r="I662" t="n">
        <x:f>IF(H662&gt;0,1,0)</x:f>
        <x:v>0</x:v>
      </x:c>
      <x:c r="J662" t="str">
        <x:f>IF(OR(I662=0,F662="",F662=0),"",H662/F662)</x:f>
      </x:c>
      <x:c r="K662" t="str">
        <x:f>IF(OR(I662=0,H662=0,F662=""),"",F662/H662)</x:f>
      </x:c>
      <x:c r="L662" t="str">
        <x:f>IF(OR(I662=0,F662="",G662="",F662=0,G662=0),"",H662/(F662*G662))</x:f>
      </x:c>
      <x:c r="M662" t="str">
        <x:f>IF(J662="","",J662/_xlfn.MAXIFS($J:$J,$D:$D,D662))</x:f>
      </x:c>
      <x:c r="N662" t="str">
        <x:f>IF(L662="","",L662/_xlfn.MAXIFS($L:$L,$D:$D,D662))</x:f>
      </x:c>
      <x:c r="O662" t="str">
        <x:f>IF(OR(M662="",N662=""),"",SQRT(M662*N662))</x:f>
      </x:c>
      <x:c r="P662" t="str">
        <x:f>IF(OR(M662="",N662=""),"",M662^0.7*N662^0.3)</x:f>
      </x:c>
      <x:c r="Q662" t="str">
        <x:f>IF(OR(M662="",N662=""),"",M662^0.3*N662^0.7)</x:f>
      </x:c>
    </x:row>
    <x:row r="663">
      <x:c r="A663" t="inlineStr">
        <x:is>
          <x:t xml:space="preserve">mistral|mistral-large-4-preview|reasoning|reasoning|fallback-na</x:t>
        </x:is>
      </x:c>
      <x:c r="B663" t="inlineStr">
        <x:is>
          <x:t xml:space="preserve">AA|v4.3.2</x:t>
        </x:is>
      </x:c>
      <x:c r="C663" t="n">
        <x:v>84</x:v>
      </x:c>
      <x:c r="D663" t="n">
        <x:v>52</x:v>
      </x:c>
      <x:c r="E663" t="n">
        <x:f>INDEX(Model_TestVersion_Stats!$W:$W,C663)</x:f>
        <x:v>38</x:v>
      </x:c>
      <x:c r="F663" t="n">
        <x:f>INDEX(Model_TestVersion_Stats!$O:$O,C663)</x:f>
        <x:v>1.13</x:v>
      </x:c>
      <x:c r="G663" t="str">
        <x:f>IF(INDEX(Model_TestVersion_Stats!$R:$R,C663)="","",INDEX(Model_TestVersion_Stats!$R:$R,C663)/60)</x:f>
      </x:c>
      <x:c r="H663" t="n">
        <x:f>IF(E663="","",E663-(D663-1))</x:f>
        <x:v>-13</x:v>
      </x:c>
      <x:c r="I663" t="n">
        <x:f>IF(H663&gt;0,1,0)</x:f>
        <x:v>0</x:v>
      </x:c>
      <x:c r="J663" t="str">
        <x:f>IF(OR(I663=0,F663="",F663=0),"",H663/F663)</x:f>
      </x:c>
      <x:c r="K663" t="str">
        <x:f>IF(OR(I663=0,H663=0,F663=""),"",F663/H663)</x:f>
      </x:c>
      <x:c r="L663" t="str">
        <x:f>IF(OR(I663=0,F663="",G663="",F663=0,G663=0),"",H663/(F663*G663))</x:f>
      </x:c>
      <x:c r="M663" t="str">
        <x:f>IF(J663="","",J663/_xlfn.MAXIFS($J:$J,$D:$D,D663))</x:f>
      </x:c>
      <x:c r="N663" t="str">
        <x:f>IF(L663="","",L663/_xlfn.MAXIFS($L:$L,$D:$D,D663))</x:f>
      </x:c>
      <x:c r="O663" t="str">
        <x:f>IF(OR(M663="",N663=""),"",SQRT(M663*N663))</x:f>
      </x:c>
      <x:c r="P663" t="str">
        <x:f>IF(OR(M663="",N663=""),"",M663^0.7*N663^0.3)</x:f>
      </x:c>
      <x:c r="Q663" t="str">
        <x:f>IF(OR(M663="",N663=""),"",M663^0.3*N663^0.7)</x:f>
      </x:c>
    </x:row>
    <x:row r="664">
      <x:c r="A664" t="inlineStr">
        <x:is>
          <x:t xml:space="preserve">mistral|mistral-large-4-preview|reasoning|reasoning|fallback-na</x:t>
        </x:is>
      </x:c>
      <x:c r="B664" t="inlineStr">
        <x:is>
          <x:t xml:space="preserve">AA|v4.3.2</x:t>
        </x:is>
      </x:c>
      <x:c r="C664" t="n">
        <x:v>84</x:v>
      </x:c>
      <x:c r="D664" t="n">
        <x:v>65</x:v>
      </x:c>
      <x:c r="E664" t="n">
        <x:f>INDEX(Model_TestVersion_Stats!$W:$W,C664)</x:f>
        <x:v>38</x:v>
      </x:c>
      <x:c r="F664" t="n">
        <x:f>INDEX(Model_TestVersion_Stats!$O:$O,C664)</x:f>
        <x:v>1.13</x:v>
      </x:c>
      <x:c r="G664" t="str">
        <x:f>IF(INDEX(Model_TestVersion_Stats!$R:$R,C664)="","",INDEX(Model_TestVersion_Stats!$R:$R,C664)/60)</x:f>
      </x:c>
      <x:c r="H664" t="n">
        <x:f>IF(E664="","",E664-(D664-1))</x:f>
        <x:v>-26</x:v>
      </x:c>
      <x:c r="I664" t="n">
        <x:f>IF(H664&gt;0,1,0)</x:f>
        <x:v>0</x:v>
      </x:c>
      <x:c r="J664" t="str">
        <x:f>IF(OR(I664=0,F664="",F664=0),"",H664/F664)</x:f>
      </x:c>
      <x:c r="K664" t="str">
        <x:f>IF(OR(I664=0,H664=0,F664=""),"",F664/H664)</x:f>
      </x:c>
      <x:c r="L664" t="str">
        <x:f>IF(OR(I664=0,F664="",G664="",F664=0,G664=0),"",H664/(F664*G664))</x:f>
      </x:c>
      <x:c r="M664" t="str">
        <x:f>IF(J664="","",J664/_xlfn.MAXIFS($J:$J,$D:$D,D664))</x:f>
      </x:c>
      <x:c r="N664" t="str">
        <x:f>IF(L664="","",L664/_xlfn.MAXIFS($L:$L,$D:$D,D664))</x:f>
      </x:c>
      <x:c r="O664" t="str">
        <x:f>IF(OR(M664="",N664=""),"",SQRT(M664*N664))</x:f>
      </x:c>
      <x:c r="P664" t="str">
        <x:f>IF(OR(M664="",N664=""),"",M664^0.7*N664^0.3)</x:f>
      </x:c>
      <x:c r="Q664" t="str">
        <x:f>IF(OR(M664="",N664=""),"",M664^0.3*N664^0.7)</x:f>
      </x:c>
    </x:row>
    <x:row r="665">
      <x:c r="A665" t="inlineStr">
        <x:is>
          <x:t xml:space="preserve">mistral|mistral-large-4-preview|reasoning|reasoning|fallback-na</x:t>
        </x:is>
      </x:c>
      <x:c r="B665" t="inlineStr">
        <x:is>
          <x:t xml:space="preserve">AA|v4.3.2</x:t>
        </x:is>
      </x:c>
      <x:c r="C665" t="n">
        <x:v>84</x:v>
      </x:c>
      <x:c r="D665" t="n">
        <x:v>80</x:v>
      </x:c>
      <x:c r="E665" t="n">
        <x:f>INDEX(Model_TestVersion_Stats!$W:$W,C665)</x:f>
        <x:v>38</x:v>
      </x:c>
      <x:c r="F665" t="n">
        <x:f>INDEX(Model_TestVersion_Stats!$O:$O,C665)</x:f>
        <x:v>1.13</x:v>
      </x:c>
      <x:c r="G665" t="str">
        <x:f>IF(INDEX(Model_TestVersion_Stats!$R:$R,C665)="","",INDEX(Model_TestVersion_Stats!$R:$R,C665)/60)</x:f>
      </x:c>
      <x:c r="H665" t="n">
        <x:f>IF(E665="","",E665-(D665-1))</x:f>
        <x:v>-41</x:v>
      </x:c>
      <x:c r="I665" t="n">
        <x:f>IF(H665&gt;0,1,0)</x:f>
        <x:v>0</x:v>
      </x:c>
      <x:c r="J665" t="str">
        <x:f>IF(OR(I665=0,F665="",F665=0),"",H665/F665)</x:f>
      </x:c>
      <x:c r="K665" t="str">
        <x:f>IF(OR(I665=0,H665=0,F665=""),"",F665/H665)</x:f>
      </x:c>
      <x:c r="L665" t="str">
        <x:f>IF(OR(I665=0,F665="",G665="",F665=0,G665=0),"",H665/(F665*G665))</x:f>
      </x:c>
      <x:c r="M665" t="str">
        <x:f>IF(J665="","",J665/_xlfn.MAXIFS($J:$J,$D:$D,D665))</x:f>
      </x:c>
      <x:c r="N665" t="str">
        <x:f>IF(L665="","",L665/_xlfn.MAXIFS($L:$L,$D:$D,D665))</x:f>
      </x:c>
      <x:c r="O665" t="str">
        <x:f>IF(OR(M665="",N665=""),"",SQRT(M665*N665))</x:f>
      </x:c>
      <x:c r="P665" t="str">
        <x:f>IF(OR(M665="",N665=""),"",M665^0.7*N665^0.3)</x:f>
      </x:c>
      <x:c r="Q665" t="str">
        <x:f>IF(OR(M665="",N665=""),"",M665^0.3*N665^0.7)</x:f>
      </x:c>
    </x:row>
    <x:row r="666">
      <x:c r="A666" t="inlineStr">
        <x:is>
          <x:t xml:space="preserve">spacexai|grok-4-7|xhigh|reasoning|fallback-na</x:t>
        </x:is>
      </x:c>
      <x:c r="B666" t="inlineStr">
        <x:is>
          <x:t xml:space="preserve">AA|v4.3.2</x:t>
        </x:is>
      </x:c>
      <x:c r="C666" t="n">
        <x:v>85</x:v>
      </x:c>
      <x:c r="D666" t="n">
        <x:v>20</x:v>
      </x:c>
      <x:c r="E666" t="n">
        <x:f>INDEX(Model_TestVersion_Stats!$W:$W,C666)</x:f>
        <x:v>46</x:v>
      </x:c>
      <x:c r="F666" t="n">
        <x:f>INDEX(Model_TestVersion_Stats!$O:$O,C666)</x:f>
        <x:v>3.74</x:v>
      </x:c>
      <x:c r="G666" t="str">
        <x:f>IF(INDEX(Model_TestVersion_Stats!$R:$R,C666)="","",INDEX(Model_TestVersion_Stats!$R:$R,C666)/60)</x:f>
      </x:c>
      <x:c r="H666" t="n">
        <x:f>IF(E666="","",E666-(D666-1))</x:f>
        <x:v>27</x:v>
      </x:c>
      <x:c r="I666" t="n">
        <x:f>IF(H666&gt;0,1,0)</x:f>
        <x:v>1</x:v>
      </x:c>
      <x:c r="J666" t="n">
        <x:f>IF(OR(I666=0,F666="",F666=0),"",H666/F666)</x:f>
        <x:v>7.219251336898395</x:v>
      </x:c>
      <x:c r="K666" t="n">
        <x:f>IF(OR(I666=0,H666=0,F666=""),"",F666/H666)</x:f>
        <x:v>0.1385185185185185</x:v>
      </x:c>
      <x:c r="L666" t="str">
        <x:f>IF(OR(I666=0,F666="",G666="",F666=0,G666=0),"",H666/(F666*G666))</x:f>
      </x:c>
      <x:c r="M666" t="n">
        <x:f>IF(J666="","",J666/_xlfn.MAXIFS($J:$J,$D:$D,D666))</x:f>
        <x:v>0.012994652406417112</x:v>
      </x:c>
      <x:c r="N666" t="str">
        <x:f>IF(L666="","",L666/_xlfn.MAXIFS($L:$L,$D:$D,D666))</x:f>
      </x:c>
      <x:c r="O666" t="str">
        <x:f>IF(OR(M666="",N666=""),"",SQRT(M666*N666))</x:f>
      </x:c>
      <x:c r="P666" t="str">
        <x:f>IF(OR(M666="",N666=""),"",M666^0.7*N666^0.3)</x:f>
      </x:c>
      <x:c r="Q666" t="str">
        <x:f>IF(OR(M666="",N666=""),"",M666^0.3*N666^0.7)</x:f>
      </x:c>
    </x:row>
    <x:row r="667">
      <x:c r="A667" t="inlineStr">
        <x:is>
          <x:t xml:space="preserve">spacexai|grok-4-7|xhigh|reasoning|fallback-na</x:t>
        </x:is>
      </x:c>
      <x:c r="B667" t="inlineStr">
        <x:is>
          <x:t xml:space="preserve">AA|v4.3.2</x:t>
        </x:is>
      </x:c>
      <x:c r="C667" t="n">
        <x:v>85</x:v>
      </x:c>
      <x:c r="D667" t="n">
        <x:v>30</x:v>
      </x:c>
      <x:c r="E667" t="n">
        <x:f>INDEX(Model_TestVersion_Stats!$W:$W,C667)</x:f>
        <x:v>46</x:v>
      </x:c>
      <x:c r="F667" t="n">
        <x:f>INDEX(Model_TestVersion_Stats!$O:$O,C667)</x:f>
        <x:v>3.74</x:v>
      </x:c>
      <x:c r="G667" t="str">
        <x:f>IF(INDEX(Model_TestVersion_Stats!$R:$R,C667)="","",INDEX(Model_TestVersion_Stats!$R:$R,C667)/60)</x:f>
      </x:c>
      <x:c r="H667" t="n">
        <x:f>IF(E667="","",E667-(D667-1))</x:f>
        <x:v>17</x:v>
      </x:c>
      <x:c r="I667" t="n">
        <x:f>IF(H667&gt;0,1,0)</x:f>
        <x:v>1</x:v>
      </x:c>
      <x:c r="J667" t="n">
        <x:f>IF(OR(I667=0,F667="",F667=0),"",H667/F667)</x:f>
        <x:v>4.545454545454545</x:v>
      </x:c>
      <x:c r="K667" t="n">
        <x:f>IF(OR(I667=0,H667=0,F667=""),"",F667/H667)</x:f>
        <x:v>0.22</x:v>
      </x:c>
      <x:c r="L667" t="str">
        <x:f>IF(OR(I667=0,F667="",G667="",F667=0,G667=0),"",H667/(F667*G667))</x:f>
      </x:c>
      <x:c r="M667" t="n">
        <x:f>IF(J667="","",J667/_xlfn.MAXIFS($J:$J,$D:$D,D667))</x:f>
        <x:v>0.0303030303030303</x:v>
      </x:c>
      <x:c r="N667" t="str">
        <x:f>IF(L667="","",L667/_xlfn.MAXIFS($L:$L,$D:$D,D667))</x:f>
      </x:c>
      <x:c r="O667" t="str">
        <x:f>IF(OR(M667="",N667=""),"",SQRT(M667*N667))</x:f>
      </x:c>
      <x:c r="P667" t="str">
        <x:f>IF(OR(M667="",N667=""),"",M667^0.7*N667^0.3)</x:f>
      </x:c>
      <x:c r="Q667" t="str">
        <x:f>IF(OR(M667="",N667=""),"",M667^0.3*N667^0.7)</x:f>
      </x:c>
    </x:row>
    <x:row r="668">
      <x:c r="A668" t="inlineStr">
        <x:is>
          <x:t xml:space="preserve">spacexai|grok-4-7|xhigh|reasoning|fallback-na</x:t>
        </x:is>
      </x:c>
      <x:c r="B668" t="inlineStr">
        <x:is>
          <x:t xml:space="preserve">AA|v4.3.2</x:t>
        </x:is>
      </x:c>
      <x:c r="C668" t="n">
        <x:v>85</x:v>
      </x:c>
      <x:c r="D668" t="n">
        <x:v>40</x:v>
      </x:c>
      <x:c r="E668" t="n">
        <x:f>INDEX(Model_TestVersion_Stats!$W:$W,C668)</x:f>
        <x:v>46</x:v>
      </x:c>
      <x:c r="F668" t="n">
        <x:f>INDEX(Model_TestVersion_Stats!$O:$O,C668)</x:f>
        <x:v>3.74</x:v>
      </x:c>
      <x:c r="G668" t="str">
        <x:f>IF(INDEX(Model_TestVersion_Stats!$R:$R,C668)="","",INDEX(Model_TestVersion_Stats!$R:$R,C668)/60)</x:f>
      </x:c>
      <x:c r="H668" t="n">
        <x:f>IF(E668="","",E668-(D668-1))</x:f>
        <x:v>7</x:v>
      </x:c>
      <x:c r="I668" t="n">
        <x:f>IF(H668&gt;0,1,0)</x:f>
        <x:v>1</x:v>
      </x:c>
      <x:c r="J668" t="n">
        <x:f>IF(OR(I668=0,F668="",F668=0),"",H668/F668)</x:f>
        <x:v>1.8716577540106951</x:v>
      </x:c>
      <x:c r="K668" t="n">
        <x:f>IF(OR(I668=0,H668=0,F668=""),"",F668/H668)</x:f>
        <x:v>0.5342857142857144</x:v>
      </x:c>
      <x:c r="L668" t="str">
        <x:f>IF(OR(I668=0,F668="",G668="",F668=0,G668=0),"",H668/(F668*G668))</x:f>
      </x:c>
      <x:c r="M668" t="n">
        <x:f>IF(J668="","",J668/_xlfn.MAXIFS($J:$J,$D:$D,D668))</x:f>
        <x:v>0.034759358288770054</x:v>
      </x:c>
      <x:c r="N668" t="str">
        <x:f>IF(L668="","",L668/_xlfn.MAXIFS($L:$L,$D:$D,D668))</x:f>
      </x:c>
      <x:c r="O668" t="str">
        <x:f>IF(OR(M668="",N668=""),"",SQRT(M668*N668))</x:f>
      </x:c>
      <x:c r="P668" t="str">
        <x:f>IF(OR(M668="",N668=""),"",M668^0.7*N668^0.3)</x:f>
      </x:c>
      <x:c r="Q668" t="str">
        <x:f>IF(OR(M668="",N668=""),"",M668^0.3*N668^0.7)</x:f>
      </x:c>
    </x:row>
    <x:row r="669">
      <x:c r="A669" t="inlineStr">
        <x:is>
          <x:t xml:space="preserve">spacexai|grok-4-7|xhigh|reasoning|fallback-na</x:t>
        </x:is>
      </x:c>
      <x:c r="B669" t="inlineStr">
        <x:is>
          <x:t xml:space="preserve">AA|v4.3.2</x:t>
        </x:is>
      </x:c>
      <x:c r="C669" t="n">
        <x:v>85</x:v>
      </x:c>
      <x:c r="D669" t="n">
        <x:v>45</x:v>
      </x:c>
      <x:c r="E669" t="n">
        <x:f>INDEX(Model_TestVersion_Stats!$W:$W,C669)</x:f>
        <x:v>46</x:v>
      </x:c>
      <x:c r="F669" t="n">
        <x:f>INDEX(Model_TestVersion_Stats!$O:$O,C669)</x:f>
        <x:v>3.74</x:v>
      </x:c>
      <x:c r="G669" t="str">
        <x:f>IF(INDEX(Model_TestVersion_Stats!$R:$R,C669)="","",INDEX(Model_TestVersion_Stats!$R:$R,C669)/60)</x:f>
      </x:c>
      <x:c r="H669" t="n">
        <x:f>IF(E669="","",E669-(D669-1))</x:f>
        <x:v>2</x:v>
      </x:c>
      <x:c r="I669" t="n">
        <x:f>IF(H669&gt;0,1,0)</x:f>
        <x:v>1</x:v>
      </x:c>
      <x:c r="J669" t="n">
        <x:f>IF(OR(I669=0,F669="",F669=0),"",H669/F669)</x:f>
        <x:v>0.53475935828877</x:v>
      </x:c>
      <x:c r="K669" t="n">
        <x:f>IF(OR(I669=0,H669=0,F669=""),"",F669/H669)</x:f>
        <x:v>1.87</x:v>
      </x:c>
      <x:c r="L669" t="str">
        <x:f>IF(OR(I669=0,F669="",G669="",F669=0,G669=0),"",H669/(F669*G669))</x:f>
      </x:c>
      <x:c r="M669" t="n">
        <x:f>IF(J669="","",J669/_xlfn.MAXIFS($J:$J,$D:$D,D669))</x:f>
        <x:v>0.028074866310160422</x:v>
      </x:c>
      <x:c r="N669" t="str">
        <x:f>IF(L669="","",L669/_xlfn.MAXIFS($L:$L,$D:$D,D669))</x:f>
      </x:c>
      <x:c r="O669" t="str">
        <x:f>IF(OR(M669="",N669=""),"",SQRT(M669*N669))</x:f>
      </x:c>
      <x:c r="P669" t="str">
        <x:f>IF(OR(M669="",N669=""),"",M669^0.7*N669^0.3)</x:f>
      </x:c>
      <x:c r="Q669" t="str">
        <x:f>IF(OR(M669="",N669=""),"",M669^0.3*N669^0.7)</x:f>
      </x:c>
    </x:row>
    <x:row r="670">
      <x:c r="A670" t="inlineStr">
        <x:is>
          <x:t xml:space="preserve">spacexai|grok-4-7|xhigh|reasoning|fallback-na</x:t>
        </x:is>
      </x:c>
      <x:c r="B670" t="inlineStr">
        <x:is>
          <x:t xml:space="preserve">AA|v4.3.2</x:t>
        </x:is>
      </x:c>
      <x:c r="C670" t="n">
        <x:v>85</x:v>
      </x:c>
      <x:c r="D670" t="n">
        <x:v>50</x:v>
      </x:c>
      <x:c r="E670" t="n">
        <x:f>INDEX(Model_TestVersion_Stats!$W:$W,C670)</x:f>
        <x:v>46</x:v>
      </x:c>
      <x:c r="F670" t="n">
        <x:f>INDEX(Model_TestVersion_Stats!$O:$O,C670)</x:f>
        <x:v>3.74</x:v>
      </x:c>
      <x:c r="G670" t="str">
        <x:f>IF(INDEX(Model_TestVersion_Stats!$R:$R,C670)="","",INDEX(Model_TestVersion_Stats!$R:$R,C670)/60)</x:f>
      </x:c>
      <x:c r="H670" t="n">
        <x:f>IF(E670="","",E670-(D670-1))</x:f>
        <x:v>-3</x:v>
      </x:c>
      <x:c r="I670" t="n">
        <x:f>IF(H670&gt;0,1,0)</x:f>
        <x:v>0</x:v>
      </x:c>
      <x:c r="J670" t="str">
        <x:f>IF(OR(I670=0,F670="",F670=0),"",H670/F670)</x:f>
      </x:c>
      <x:c r="K670" t="str">
        <x:f>IF(OR(I670=0,H670=0,F670=""),"",F670/H670)</x:f>
      </x:c>
      <x:c r="L670" t="str">
        <x:f>IF(OR(I670=0,F670="",G670="",F670=0,G670=0),"",H670/(F670*G670))</x:f>
      </x:c>
      <x:c r="M670" t="str">
        <x:f>IF(J670="","",J670/_xlfn.MAXIFS($J:$J,$D:$D,D670))</x:f>
      </x:c>
      <x:c r="N670" t="str">
        <x:f>IF(L670="","",L670/_xlfn.MAXIFS($L:$L,$D:$D,D670))</x:f>
      </x:c>
      <x:c r="O670" t="str">
        <x:f>IF(OR(M670="",N670=""),"",SQRT(M670*N670))</x:f>
      </x:c>
      <x:c r="P670" t="str">
        <x:f>IF(OR(M670="",N670=""),"",M670^0.7*N670^0.3)</x:f>
      </x:c>
      <x:c r="Q670" t="str">
        <x:f>IF(OR(M670="",N670=""),"",M670^0.3*N670^0.7)</x:f>
      </x:c>
    </x:row>
    <x:row r="671">
      <x:c r="A671" t="inlineStr">
        <x:is>
          <x:t xml:space="preserve">spacexai|grok-4-7|xhigh|reasoning|fallback-na</x:t>
        </x:is>
      </x:c>
      <x:c r="B671" t="inlineStr">
        <x:is>
          <x:t xml:space="preserve">AA|v4.3.2</x:t>
        </x:is>
      </x:c>
      <x:c r="C671" t="n">
        <x:v>85</x:v>
      </x:c>
      <x:c r="D671" t="n">
        <x:v>52</x:v>
      </x:c>
      <x:c r="E671" t="n">
        <x:f>INDEX(Model_TestVersion_Stats!$W:$W,C671)</x:f>
        <x:v>46</x:v>
      </x:c>
      <x:c r="F671" t="n">
        <x:f>INDEX(Model_TestVersion_Stats!$O:$O,C671)</x:f>
        <x:v>3.74</x:v>
      </x:c>
      <x:c r="G671" t="str">
        <x:f>IF(INDEX(Model_TestVersion_Stats!$R:$R,C671)="","",INDEX(Model_TestVersion_Stats!$R:$R,C671)/60)</x:f>
      </x:c>
      <x:c r="H671" t="n">
        <x:f>IF(E671="","",E671-(D671-1))</x:f>
        <x:v>-5</x:v>
      </x:c>
      <x:c r="I671" t="n">
        <x:f>IF(H671&gt;0,1,0)</x:f>
        <x:v>0</x:v>
      </x:c>
      <x:c r="J671" t="str">
        <x:f>IF(OR(I671=0,F671="",F671=0),"",H671/F671)</x:f>
      </x:c>
      <x:c r="K671" t="str">
        <x:f>IF(OR(I671=0,H671=0,F671=""),"",F671/H671)</x:f>
      </x:c>
      <x:c r="L671" t="str">
        <x:f>IF(OR(I671=0,F671="",G671="",F671=0,G671=0),"",H671/(F671*G671))</x:f>
      </x:c>
      <x:c r="M671" t="str">
        <x:f>IF(J671="","",J671/_xlfn.MAXIFS($J:$J,$D:$D,D671))</x:f>
      </x:c>
      <x:c r="N671" t="str">
        <x:f>IF(L671="","",L671/_xlfn.MAXIFS($L:$L,$D:$D,D671))</x:f>
      </x:c>
      <x:c r="O671" t="str">
        <x:f>IF(OR(M671="",N671=""),"",SQRT(M671*N671))</x:f>
      </x:c>
      <x:c r="P671" t="str">
        <x:f>IF(OR(M671="",N671=""),"",M671^0.7*N671^0.3)</x:f>
      </x:c>
      <x:c r="Q671" t="str">
        <x:f>IF(OR(M671="",N671=""),"",M671^0.3*N671^0.7)</x:f>
      </x:c>
    </x:row>
    <x:row r="672">
      <x:c r="A672" t="inlineStr">
        <x:is>
          <x:t xml:space="preserve">spacexai|grok-4-7|xhigh|reasoning|fallback-na</x:t>
        </x:is>
      </x:c>
      <x:c r="B672" t="inlineStr">
        <x:is>
          <x:t xml:space="preserve">AA|v4.3.2</x:t>
        </x:is>
      </x:c>
      <x:c r="C672" t="n">
        <x:v>85</x:v>
      </x:c>
      <x:c r="D672" t="n">
        <x:v>65</x:v>
      </x:c>
      <x:c r="E672" t="n">
        <x:f>INDEX(Model_TestVersion_Stats!$W:$W,C672)</x:f>
        <x:v>46</x:v>
      </x:c>
      <x:c r="F672" t="n">
        <x:f>INDEX(Model_TestVersion_Stats!$O:$O,C672)</x:f>
        <x:v>3.74</x:v>
      </x:c>
      <x:c r="G672" t="str">
        <x:f>IF(INDEX(Model_TestVersion_Stats!$R:$R,C672)="","",INDEX(Model_TestVersion_Stats!$R:$R,C672)/60)</x:f>
      </x:c>
      <x:c r="H672" t="n">
        <x:f>IF(E672="","",E672-(D672-1))</x:f>
        <x:v>-18</x:v>
      </x:c>
      <x:c r="I672" t="n">
        <x:f>IF(H672&gt;0,1,0)</x:f>
        <x:v>0</x:v>
      </x:c>
      <x:c r="J672" t="str">
        <x:f>IF(OR(I672=0,F672="",F672=0),"",H672/F672)</x:f>
      </x:c>
      <x:c r="K672" t="str">
        <x:f>IF(OR(I672=0,H672=0,F672=""),"",F672/H672)</x:f>
      </x:c>
      <x:c r="L672" t="str">
        <x:f>IF(OR(I672=0,F672="",G672="",F672=0,G672=0),"",H672/(F672*G672))</x:f>
      </x:c>
      <x:c r="M672" t="str">
        <x:f>IF(J672="","",J672/_xlfn.MAXIFS($J:$J,$D:$D,D672))</x:f>
      </x:c>
      <x:c r="N672" t="str">
        <x:f>IF(L672="","",L672/_xlfn.MAXIFS($L:$L,$D:$D,D672))</x:f>
      </x:c>
      <x:c r="O672" t="str">
        <x:f>IF(OR(M672="",N672=""),"",SQRT(M672*N672))</x:f>
      </x:c>
      <x:c r="P672" t="str">
        <x:f>IF(OR(M672="",N672=""),"",M672^0.7*N672^0.3)</x:f>
      </x:c>
      <x:c r="Q672" t="str">
        <x:f>IF(OR(M672="",N672=""),"",M672^0.3*N672^0.7)</x:f>
      </x:c>
    </x:row>
    <x:row r="673">
      <x:c r="A673" t="inlineStr">
        <x:is>
          <x:t xml:space="preserve">spacexai|grok-4-7|xhigh|reasoning|fallback-na</x:t>
        </x:is>
      </x:c>
      <x:c r="B673" t="inlineStr">
        <x:is>
          <x:t xml:space="preserve">AA|v4.3.2</x:t>
        </x:is>
      </x:c>
      <x:c r="C673" t="n">
        <x:v>85</x:v>
      </x:c>
      <x:c r="D673" t="n">
        <x:v>80</x:v>
      </x:c>
      <x:c r="E673" t="n">
        <x:f>INDEX(Model_TestVersion_Stats!$W:$W,C673)</x:f>
        <x:v>46</x:v>
      </x:c>
      <x:c r="F673" t="n">
        <x:f>INDEX(Model_TestVersion_Stats!$O:$O,C673)</x:f>
        <x:v>3.74</x:v>
      </x:c>
      <x:c r="G673" t="str">
        <x:f>IF(INDEX(Model_TestVersion_Stats!$R:$R,C673)="","",INDEX(Model_TestVersion_Stats!$R:$R,C673)/60)</x:f>
      </x:c>
      <x:c r="H673" t="n">
        <x:f>IF(E673="","",E673-(D673-1))</x:f>
        <x:v>-33</x:v>
      </x:c>
      <x:c r="I673" t="n">
        <x:f>IF(H673&gt;0,1,0)</x:f>
        <x:v>0</x:v>
      </x:c>
      <x:c r="J673" t="str">
        <x:f>IF(OR(I673=0,F673="",F673=0),"",H673/F673)</x:f>
      </x:c>
      <x:c r="K673" t="str">
        <x:f>IF(OR(I673=0,H673=0,F673=""),"",F673/H673)</x:f>
      </x:c>
      <x:c r="L673" t="str">
        <x:f>IF(OR(I673=0,F673="",G673="",F673=0,G673=0),"",H673/(F673*G673))</x:f>
      </x:c>
      <x:c r="M673" t="str">
        <x:f>IF(J673="","",J673/_xlfn.MAXIFS($J:$J,$D:$D,D673))</x:f>
      </x:c>
      <x:c r="N673" t="str">
        <x:f>IF(L673="","",L673/_xlfn.MAXIFS($L:$L,$D:$D,D673))</x:f>
      </x:c>
      <x:c r="O673" t="str">
        <x:f>IF(OR(M673="",N673=""),"",SQRT(M673*N673))</x:f>
      </x:c>
      <x:c r="P673" t="str">
        <x:f>IF(OR(M673="",N673=""),"",M673^0.7*N673^0.3)</x:f>
      </x:c>
      <x:c r="Q673" t="str">
        <x:f>IF(OR(M673="",N673=""),"",M673^0.3*N673^0.7)</x:f>
      </x:c>
    </x:row>
    <x:row r="674">
      <x:c r="A674" t="inlineStr">
        <x:is>
          <x:t xml:space="preserve">upstage|solar-mini-4|reasoning|reasoning|fallback-na</x:t>
        </x:is>
      </x:c>
      <x:c r="B674" t="inlineStr">
        <x:is>
          <x:t xml:space="preserve">AA|v4.3.2</x:t>
        </x:is>
      </x:c>
      <x:c r="C674" t="n">
        <x:v>86</x:v>
      </x:c>
      <x:c r="D674" t="n">
        <x:v>20</x:v>
      </x:c>
      <x:c r="E674" t="n">
        <x:f>INDEX(Model_TestVersion_Stats!$W:$W,C674)</x:f>
        <x:v>24</x:v>
      </x:c>
      <x:c r="F674" t="n">
        <x:f>INDEX(Model_TestVersion_Stats!$O:$O,C674)</x:f>
        <x:v>0.37</x:v>
      </x:c>
      <x:c r="G674" t="str">
        <x:f>IF(INDEX(Model_TestVersion_Stats!$R:$R,C674)="","",INDEX(Model_TestVersion_Stats!$R:$R,C674)/60)</x:f>
      </x:c>
      <x:c r="H674" t="n">
        <x:f>IF(E674="","",E674-(D674-1))</x:f>
        <x:v>5</x:v>
      </x:c>
      <x:c r="I674" t="n">
        <x:f>IF(H674&gt;0,1,0)</x:f>
        <x:v>1</x:v>
      </x:c>
      <x:c r="J674" t="n">
        <x:f>IF(OR(I674=0,F674="",F674=0),"",H674/F674)</x:f>
        <x:v>13.513513513513514</x:v>
      </x:c>
      <x:c r="K674" t="n">
        <x:f>IF(OR(I674=0,H674=0,F674=""),"",F674/H674)</x:f>
        <x:v>0.074</x:v>
      </x:c>
      <x:c r="L674" t="str">
        <x:f>IF(OR(I674=0,F674="",G674="",F674=0,G674=0),"",H674/(F674*G674))</x:f>
      </x:c>
      <x:c r="M674" t="n">
        <x:f>IF(J674="","",J674/_xlfn.MAXIFS($J:$J,$D:$D,D674))</x:f>
        <x:v>0.024324324324324326</x:v>
      </x:c>
      <x:c r="N674" t="str">
        <x:f>IF(L674="","",L674/_xlfn.MAXIFS($L:$L,$D:$D,D674))</x:f>
      </x:c>
      <x:c r="O674" t="str">
        <x:f>IF(OR(M674="",N674=""),"",SQRT(M674*N674))</x:f>
      </x:c>
      <x:c r="P674" t="str">
        <x:f>IF(OR(M674="",N674=""),"",M674^0.7*N674^0.3)</x:f>
      </x:c>
      <x:c r="Q674" t="str">
        <x:f>IF(OR(M674="",N674=""),"",M674^0.3*N674^0.7)</x:f>
      </x:c>
    </x:row>
    <x:row r="675">
      <x:c r="A675" t="inlineStr">
        <x:is>
          <x:t xml:space="preserve">upstage|solar-mini-4|reasoning|reasoning|fallback-na</x:t>
        </x:is>
      </x:c>
      <x:c r="B675" t="inlineStr">
        <x:is>
          <x:t xml:space="preserve">AA|v4.3.2</x:t>
        </x:is>
      </x:c>
      <x:c r="C675" t="n">
        <x:v>86</x:v>
      </x:c>
      <x:c r="D675" t="n">
        <x:v>30</x:v>
      </x:c>
      <x:c r="E675" t="n">
        <x:f>INDEX(Model_TestVersion_Stats!$W:$W,C675)</x:f>
        <x:v>24</x:v>
      </x:c>
      <x:c r="F675" t="n">
        <x:f>INDEX(Model_TestVersion_Stats!$O:$O,C675)</x:f>
        <x:v>0.37</x:v>
      </x:c>
      <x:c r="G675" t="str">
        <x:f>IF(INDEX(Model_TestVersion_Stats!$R:$R,C675)="","",INDEX(Model_TestVersion_Stats!$R:$R,C675)/60)</x:f>
      </x:c>
      <x:c r="H675" t="n">
        <x:f>IF(E675="","",E675-(D675-1))</x:f>
        <x:v>-5</x:v>
      </x:c>
      <x:c r="I675" t="n">
        <x:f>IF(H675&gt;0,1,0)</x:f>
        <x:v>0</x:v>
      </x:c>
      <x:c r="J675" t="str">
        <x:f>IF(OR(I675=0,F675="",F675=0),"",H675/F675)</x:f>
      </x:c>
      <x:c r="K675" t="str">
        <x:f>IF(OR(I675=0,H675=0,F675=""),"",F675/H675)</x:f>
      </x:c>
      <x:c r="L675" t="str">
        <x:f>IF(OR(I675=0,F675="",G675="",F675=0,G675=0),"",H675/(F675*G675))</x:f>
      </x:c>
      <x:c r="M675" t="str">
        <x:f>IF(J675="","",J675/_xlfn.MAXIFS($J:$J,$D:$D,D675))</x:f>
      </x:c>
      <x:c r="N675" t="str">
        <x:f>IF(L675="","",L675/_xlfn.MAXIFS($L:$L,$D:$D,D675))</x:f>
      </x:c>
      <x:c r="O675" t="str">
        <x:f>IF(OR(M675="",N675=""),"",SQRT(M675*N675))</x:f>
      </x:c>
      <x:c r="P675" t="str">
        <x:f>IF(OR(M675="",N675=""),"",M675^0.7*N675^0.3)</x:f>
      </x:c>
      <x:c r="Q675" t="str">
        <x:f>IF(OR(M675="",N675=""),"",M675^0.3*N675^0.7)</x:f>
      </x:c>
    </x:row>
    <x:row r="676">
      <x:c r="A676" t="inlineStr">
        <x:is>
          <x:t xml:space="preserve">upstage|solar-mini-4|reasoning|reasoning|fallback-na</x:t>
        </x:is>
      </x:c>
      <x:c r="B676" t="inlineStr">
        <x:is>
          <x:t xml:space="preserve">AA|v4.3.2</x:t>
        </x:is>
      </x:c>
      <x:c r="C676" t="n">
        <x:v>86</x:v>
      </x:c>
      <x:c r="D676" t="n">
        <x:v>40</x:v>
      </x:c>
      <x:c r="E676" t="n">
        <x:f>INDEX(Model_TestVersion_Stats!$W:$W,C676)</x:f>
        <x:v>24</x:v>
      </x:c>
      <x:c r="F676" t="n">
        <x:f>INDEX(Model_TestVersion_Stats!$O:$O,C676)</x:f>
        <x:v>0.37</x:v>
      </x:c>
      <x:c r="G676" t="str">
        <x:f>IF(INDEX(Model_TestVersion_Stats!$R:$R,C676)="","",INDEX(Model_TestVersion_Stats!$R:$R,C676)/60)</x:f>
      </x:c>
      <x:c r="H676" t="n">
        <x:f>IF(E676="","",E676-(D676-1))</x:f>
        <x:v>-15</x:v>
      </x:c>
      <x:c r="I676" t="n">
        <x:f>IF(H676&gt;0,1,0)</x:f>
        <x:v>0</x:v>
      </x:c>
      <x:c r="J676" t="str">
        <x:f>IF(OR(I676=0,F676="",F676=0),"",H676/F676)</x:f>
      </x:c>
      <x:c r="K676" t="str">
        <x:f>IF(OR(I676=0,H676=0,F676=""),"",F676/H676)</x:f>
      </x:c>
      <x:c r="L676" t="str">
        <x:f>IF(OR(I676=0,F676="",G676="",F676=0,G676=0),"",H676/(F676*G676))</x:f>
      </x:c>
      <x:c r="M676" t="str">
        <x:f>IF(J676="","",J676/_xlfn.MAXIFS($J:$J,$D:$D,D676))</x:f>
      </x:c>
      <x:c r="N676" t="str">
        <x:f>IF(L676="","",L676/_xlfn.MAXIFS($L:$L,$D:$D,D676))</x:f>
      </x:c>
      <x:c r="O676" t="str">
        <x:f>IF(OR(M676="",N676=""),"",SQRT(M676*N676))</x:f>
      </x:c>
      <x:c r="P676" t="str">
        <x:f>IF(OR(M676="",N676=""),"",M676^0.7*N676^0.3)</x:f>
      </x:c>
      <x:c r="Q676" t="str">
        <x:f>IF(OR(M676="",N676=""),"",M676^0.3*N676^0.7)</x:f>
      </x:c>
    </x:row>
    <x:row r="677">
      <x:c r="A677" t="inlineStr">
        <x:is>
          <x:t xml:space="preserve">upstage|solar-mini-4|reasoning|reasoning|fallback-na</x:t>
        </x:is>
      </x:c>
      <x:c r="B677" t="inlineStr">
        <x:is>
          <x:t xml:space="preserve">AA|v4.3.2</x:t>
        </x:is>
      </x:c>
      <x:c r="C677" t="n">
        <x:v>86</x:v>
      </x:c>
      <x:c r="D677" t="n">
        <x:v>45</x:v>
      </x:c>
      <x:c r="E677" t="n">
        <x:f>INDEX(Model_TestVersion_Stats!$W:$W,C677)</x:f>
        <x:v>24</x:v>
      </x:c>
      <x:c r="F677" t="n">
        <x:f>INDEX(Model_TestVersion_Stats!$O:$O,C677)</x:f>
        <x:v>0.37</x:v>
      </x:c>
      <x:c r="G677" t="str">
        <x:f>IF(INDEX(Model_TestVersion_Stats!$R:$R,C677)="","",INDEX(Model_TestVersion_Stats!$R:$R,C677)/60)</x:f>
      </x:c>
      <x:c r="H677" t="n">
        <x:f>IF(E677="","",E677-(D677-1))</x:f>
        <x:v>-20</x:v>
      </x:c>
      <x:c r="I677" t="n">
        <x:f>IF(H677&gt;0,1,0)</x:f>
        <x:v>0</x:v>
      </x:c>
      <x:c r="J677" t="str">
        <x:f>IF(OR(I677=0,F677="",F677=0),"",H677/F677)</x:f>
      </x:c>
      <x:c r="K677" t="str">
        <x:f>IF(OR(I677=0,H677=0,F677=""),"",F677/H677)</x:f>
      </x:c>
      <x:c r="L677" t="str">
        <x:f>IF(OR(I677=0,F677="",G677="",F677=0,G677=0),"",H677/(F677*G677))</x:f>
      </x:c>
      <x:c r="M677" t="str">
        <x:f>IF(J677="","",J677/_xlfn.MAXIFS($J:$J,$D:$D,D677))</x:f>
      </x:c>
      <x:c r="N677" t="str">
        <x:f>IF(L677="","",L677/_xlfn.MAXIFS($L:$L,$D:$D,D677))</x:f>
      </x:c>
      <x:c r="O677" t="str">
        <x:f>IF(OR(M677="",N677=""),"",SQRT(M677*N677))</x:f>
      </x:c>
      <x:c r="P677" t="str">
        <x:f>IF(OR(M677="",N677=""),"",M677^0.7*N677^0.3)</x:f>
      </x:c>
      <x:c r="Q677" t="str">
        <x:f>IF(OR(M677="",N677=""),"",M677^0.3*N677^0.7)</x:f>
      </x:c>
    </x:row>
    <x:row r="678">
      <x:c r="A678" t="inlineStr">
        <x:is>
          <x:t xml:space="preserve">upstage|solar-mini-4|reasoning|reasoning|fallback-na</x:t>
        </x:is>
      </x:c>
      <x:c r="B678" t="inlineStr">
        <x:is>
          <x:t xml:space="preserve">AA|v4.3.2</x:t>
        </x:is>
      </x:c>
      <x:c r="C678" t="n">
        <x:v>86</x:v>
      </x:c>
      <x:c r="D678" t="n">
        <x:v>50</x:v>
      </x:c>
      <x:c r="E678" t="n">
        <x:f>INDEX(Model_TestVersion_Stats!$W:$W,C678)</x:f>
        <x:v>24</x:v>
      </x:c>
      <x:c r="F678" t="n">
        <x:f>INDEX(Model_TestVersion_Stats!$O:$O,C678)</x:f>
        <x:v>0.37</x:v>
      </x:c>
      <x:c r="G678" t="str">
        <x:f>IF(INDEX(Model_TestVersion_Stats!$R:$R,C678)="","",INDEX(Model_TestVersion_Stats!$R:$R,C678)/60)</x:f>
      </x:c>
      <x:c r="H678" t="n">
        <x:f>IF(E678="","",E678-(D678-1))</x:f>
        <x:v>-25</x:v>
      </x:c>
      <x:c r="I678" t="n">
        <x:f>IF(H678&gt;0,1,0)</x:f>
        <x:v>0</x:v>
      </x:c>
      <x:c r="J678" t="str">
        <x:f>IF(OR(I678=0,F678="",F678=0),"",H678/F678)</x:f>
      </x:c>
      <x:c r="K678" t="str">
        <x:f>IF(OR(I678=0,H678=0,F678=""),"",F678/H678)</x:f>
      </x:c>
      <x:c r="L678" t="str">
        <x:f>IF(OR(I678=0,F678="",G678="",F678=0,G678=0),"",H678/(F678*G678))</x:f>
      </x:c>
      <x:c r="M678" t="str">
        <x:f>IF(J678="","",J678/_xlfn.MAXIFS($J:$J,$D:$D,D678))</x:f>
      </x:c>
      <x:c r="N678" t="str">
        <x:f>IF(L678="","",L678/_xlfn.MAXIFS($L:$L,$D:$D,D678))</x:f>
      </x:c>
      <x:c r="O678" t="str">
        <x:f>IF(OR(M678="",N678=""),"",SQRT(M678*N678))</x:f>
      </x:c>
      <x:c r="P678" t="str">
        <x:f>IF(OR(M678="",N678=""),"",M678^0.7*N678^0.3)</x:f>
      </x:c>
      <x:c r="Q678" t="str">
        <x:f>IF(OR(M678="",N678=""),"",M678^0.3*N678^0.7)</x:f>
      </x:c>
    </x:row>
    <x:row r="679">
      <x:c r="A679" t="inlineStr">
        <x:is>
          <x:t xml:space="preserve">upstage|solar-mini-4|reasoning|reasoning|fallback-na</x:t>
        </x:is>
      </x:c>
      <x:c r="B679" t="inlineStr">
        <x:is>
          <x:t xml:space="preserve">AA|v4.3.2</x:t>
        </x:is>
      </x:c>
      <x:c r="C679" t="n">
        <x:v>86</x:v>
      </x:c>
      <x:c r="D679" t="n">
        <x:v>52</x:v>
      </x:c>
      <x:c r="E679" t="n">
        <x:f>INDEX(Model_TestVersion_Stats!$W:$W,C679)</x:f>
        <x:v>24</x:v>
      </x:c>
      <x:c r="F679" t="n">
        <x:f>INDEX(Model_TestVersion_Stats!$O:$O,C679)</x:f>
        <x:v>0.37</x:v>
      </x:c>
      <x:c r="G679" t="str">
        <x:f>IF(INDEX(Model_TestVersion_Stats!$R:$R,C679)="","",INDEX(Model_TestVersion_Stats!$R:$R,C679)/60)</x:f>
      </x:c>
      <x:c r="H679" t="n">
        <x:f>IF(E679="","",E679-(D679-1))</x:f>
        <x:v>-27</x:v>
      </x:c>
      <x:c r="I679" t="n">
        <x:f>IF(H679&gt;0,1,0)</x:f>
        <x:v>0</x:v>
      </x:c>
      <x:c r="J679" t="str">
        <x:f>IF(OR(I679=0,F679="",F679=0),"",H679/F679)</x:f>
      </x:c>
      <x:c r="K679" t="str">
        <x:f>IF(OR(I679=0,H679=0,F679=""),"",F679/H679)</x:f>
      </x:c>
      <x:c r="L679" t="str">
        <x:f>IF(OR(I679=0,F679="",G679="",F679=0,G679=0),"",H679/(F679*G679))</x:f>
      </x:c>
      <x:c r="M679" t="str">
        <x:f>IF(J679="","",J679/_xlfn.MAXIFS($J:$J,$D:$D,D679))</x:f>
      </x:c>
      <x:c r="N679" t="str">
        <x:f>IF(L679="","",L679/_xlfn.MAXIFS($L:$L,$D:$D,D679))</x:f>
      </x:c>
      <x:c r="O679" t="str">
        <x:f>IF(OR(M679="",N679=""),"",SQRT(M679*N679))</x:f>
      </x:c>
      <x:c r="P679" t="str">
        <x:f>IF(OR(M679="",N679=""),"",M679^0.7*N679^0.3)</x:f>
      </x:c>
      <x:c r="Q679" t="str">
        <x:f>IF(OR(M679="",N679=""),"",M679^0.3*N679^0.7)</x:f>
      </x:c>
    </x:row>
    <x:row r="680">
      <x:c r="A680" t="inlineStr">
        <x:is>
          <x:t xml:space="preserve">upstage|solar-mini-4|reasoning|reasoning|fallback-na</x:t>
        </x:is>
      </x:c>
      <x:c r="B680" t="inlineStr">
        <x:is>
          <x:t xml:space="preserve">AA|v4.3.2</x:t>
        </x:is>
      </x:c>
      <x:c r="C680" t="n">
        <x:v>86</x:v>
      </x:c>
      <x:c r="D680" t="n">
        <x:v>65</x:v>
      </x:c>
      <x:c r="E680" t="n">
        <x:f>INDEX(Model_TestVersion_Stats!$W:$W,C680)</x:f>
        <x:v>24</x:v>
      </x:c>
      <x:c r="F680" t="n">
        <x:f>INDEX(Model_TestVersion_Stats!$O:$O,C680)</x:f>
        <x:v>0.37</x:v>
      </x:c>
      <x:c r="G680" t="str">
        <x:f>IF(INDEX(Model_TestVersion_Stats!$R:$R,C680)="","",INDEX(Model_TestVersion_Stats!$R:$R,C680)/60)</x:f>
      </x:c>
      <x:c r="H680" t="n">
        <x:f>IF(E680="","",E680-(D680-1))</x:f>
        <x:v>-40</x:v>
      </x:c>
      <x:c r="I680" t="n">
        <x:f>IF(H680&gt;0,1,0)</x:f>
        <x:v>0</x:v>
      </x:c>
      <x:c r="J680" t="str">
        <x:f>IF(OR(I680=0,F680="",F680=0),"",H680/F680)</x:f>
      </x:c>
      <x:c r="K680" t="str">
        <x:f>IF(OR(I680=0,H680=0,F680=""),"",F680/H680)</x:f>
      </x:c>
      <x:c r="L680" t="str">
        <x:f>IF(OR(I680=0,F680="",G680="",F680=0,G680=0),"",H680/(F680*G680))</x:f>
      </x:c>
      <x:c r="M680" t="str">
        <x:f>IF(J680="","",J680/_xlfn.MAXIFS($J:$J,$D:$D,D680))</x:f>
      </x:c>
      <x:c r="N680" t="str">
        <x:f>IF(L680="","",L680/_xlfn.MAXIFS($L:$L,$D:$D,D680))</x:f>
      </x:c>
      <x:c r="O680" t="str">
        <x:f>IF(OR(M680="",N680=""),"",SQRT(M680*N680))</x:f>
      </x:c>
      <x:c r="P680" t="str">
        <x:f>IF(OR(M680="",N680=""),"",M680^0.7*N680^0.3)</x:f>
      </x:c>
      <x:c r="Q680" t="str">
        <x:f>IF(OR(M680="",N680=""),"",M680^0.3*N680^0.7)</x:f>
      </x:c>
    </x:row>
    <x:row r="681">
      <x:c r="A681" t="inlineStr">
        <x:is>
          <x:t xml:space="preserve">upstage|solar-mini-4|reasoning|reasoning|fallback-na</x:t>
        </x:is>
      </x:c>
      <x:c r="B681" t="inlineStr">
        <x:is>
          <x:t xml:space="preserve">AA|v4.3.2</x:t>
        </x:is>
      </x:c>
      <x:c r="C681" t="n">
        <x:v>86</x:v>
      </x:c>
      <x:c r="D681" t="n">
        <x:v>80</x:v>
      </x:c>
      <x:c r="E681" t="n">
        <x:f>INDEX(Model_TestVersion_Stats!$W:$W,C681)</x:f>
        <x:v>24</x:v>
      </x:c>
      <x:c r="F681" t="n">
        <x:f>INDEX(Model_TestVersion_Stats!$O:$O,C681)</x:f>
        <x:v>0.37</x:v>
      </x:c>
      <x:c r="G681" t="str">
        <x:f>IF(INDEX(Model_TestVersion_Stats!$R:$R,C681)="","",INDEX(Model_TestVersion_Stats!$R:$R,C681)/60)</x:f>
      </x:c>
      <x:c r="H681" t="n">
        <x:f>IF(E681="","",E681-(D681-1))</x:f>
        <x:v>-55</x:v>
      </x:c>
      <x:c r="I681" t="n">
        <x:f>IF(H681&gt;0,1,0)</x:f>
        <x:v>0</x:v>
      </x:c>
      <x:c r="J681" t="str">
        <x:f>IF(OR(I681=0,F681="",F681=0),"",H681/F681)</x:f>
      </x:c>
      <x:c r="K681" t="str">
        <x:f>IF(OR(I681=0,H681=0,F681=""),"",F681/H681)</x:f>
      </x:c>
      <x:c r="L681" t="str">
        <x:f>IF(OR(I681=0,F681="",G681="",F681=0,G681=0),"",H681/(F681*G681))</x:f>
      </x:c>
      <x:c r="M681" t="str">
        <x:f>IF(J681="","",J681/_xlfn.MAXIFS($J:$J,$D:$D,D681))</x:f>
      </x:c>
      <x:c r="N681" t="str">
        <x:f>IF(L681="","",L681/_xlfn.MAXIFS($L:$L,$D:$D,D681))</x:f>
      </x:c>
      <x:c r="O681" t="str">
        <x:f>IF(OR(M681="",N681=""),"",SQRT(M681*N681))</x:f>
      </x:c>
      <x:c r="P681" t="str">
        <x:f>IF(OR(M681="",N681=""),"",M681^0.7*N681^0.3)</x:f>
      </x:c>
      <x:c r="Q681" t="str">
        <x:f>IF(OR(M681="",N681=""),"",M681^0.3*N681^0.7)</x:f>
      </x:c>
    </x:row>
    <x:row r="682">
      <x:c r="A682" t="inlineStr">
        <x:is>
          <x:t xml:space="preserve">google|gemini-4-argon|high|reasoning|fallback-na</x:t>
        </x:is>
      </x:c>
      <x:c r="B682" t="inlineStr">
        <x:is>
          <x:t xml:space="preserve">AA|v4.3.2</x:t>
        </x:is>
      </x:c>
      <x:c r="C682" t="n">
        <x:v>87</x:v>
      </x:c>
      <x:c r="D682" t="n">
        <x:v>20</x:v>
      </x:c>
      <x:c r="E682" t="n">
        <x:f>INDEX(Model_TestVersion_Stats!$W:$W,C682)</x:f>
        <x:v>53</x:v>
      </x:c>
      <x:c r="F682" t="n">
        <x:f>INDEX(Model_TestVersion_Stats!$O:$O,C682)</x:f>
        <x:v>1.99</x:v>
      </x:c>
      <x:c r="G682" t="str">
        <x:f>IF(INDEX(Model_TestVersion_Stats!$R:$R,C682)="","",INDEX(Model_TestVersion_Stats!$R:$R,C682)/60)</x:f>
      </x:c>
      <x:c r="H682" t="n">
        <x:f>IF(E682="","",E682-(D682-1))</x:f>
        <x:v>34</x:v>
      </x:c>
      <x:c r="I682" t="n">
        <x:f>IF(H682&gt;0,1,0)</x:f>
        <x:v>1</x:v>
      </x:c>
      <x:c r="J682" t="n">
        <x:f>IF(OR(I682=0,F682="",F682=0),"",H682/F682)</x:f>
        <x:v>17.08542713567839</x:v>
      </x:c>
      <x:c r="K682" t="n">
        <x:f>IF(OR(I682=0,H682=0,F682=""),"",F682/H682)</x:f>
        <x:v>0.058529411764705885</x:v>
      </x:c>
      <x:c r="L682" t="str">
        <x:f>IF(OR(I682=0,F682="",G682="",F682=0,G682=0),"",H682/(F682*G682))</x:f>
      </x:c>
      <x:c r="M682" t="n">
        <x:f>IF(J682="","",J682/_xlfn.MAXIFS($J:$J,$D:$D,D682))</x:f>
        <x:v>0.030753768844221104</x:v>
      </x:c>
      <x:c r="N682" t="str">
        <x:f>IF(L682="","",L682/_xlfn.MAXIFS($L:$L,$D:$D,D682))</x:f>
      </x:c>
      <x:c r="O682" t="str">
        <x:f>IF(OR(M682="",N682=""),"",SQRT(M682*N682))</x:f>
      </x:c>
      <x:c r="P682" t="str">
        <x:f>IF(OR(M682="",N682=""),"",M682^0.7*N682^0.3)</x:f>
      </x:c>
      <x:c r="Q682" t="str">
        <x:f>IF(OR(M682="",N682=""),"",M682^0.3*N682^0.7)</x:f>
      </x:c>
    </x:row>
    <x:row r="683">
      <x:c r="A683" t="inlineStr">
        <x:is>
          <x:t xml:space="preserve">google|gemini-4-argon|high|reasoning|fallback-na</x:t>
        </x:is>
      </x:c>
      <x:c r="B683" t="inlineStr">
        <x:is>
          <x:t xml:space="preserve">AA|v4.3.2</x:t>
        </x:is>
      </x:c>
      <x:c r="C683" t="n">
        <x:v>87</x:v>
      </x:c>
      <x:c r="D683" t="n">
        <x:v>30</x:v>
      </x:c>
      <x:c r="E683" t="n">
        <x:f>INDEX(Model_TestVersion_Stats!$W:$W,C683)</x:f>
        <x:v>53</x:v>
      </x:c>
      <x:c r="F683" t="n">
        <x:f>INDEX(Model_TestVersion_Stats!$O:$O,C683)</x:f>
        <x:v>1.99</x:v>
      </x:c>
      <x:c r="G683" t="str">
        <x:f>IF(INDEX(Model_TestVersion_Stats!$R:$R,C683)="","",INDEX(Model_TestVersion_Stats!$R:$R,C683)/60)</x:f>
      </x:c>
      <x:c r="H683" t="n">
        <x:f>IF(E683="","",E683-(D683-1))</x:f>
        <x:v>24</x:v>
      </x:c>
      <x:c r="I683" t="n">
        <x:f>IF(H683&gt;0,1,0)</x:f>
        <x:v>1</x:v>
      </x:c>
      <x:c r="J683" t="n">
        <x:f>IF(OR(I683=0,F683="",F683=0),"",H683/F683)</x:f>
        <x:v>12.06030150753769</x:v>
      </x:c>
      <x:c r="K683" t="n">
        <x:f>IF(OR(I683=0,H683=0,F683=""),"",F683/H683)</x:f>
        <x:v>0.08291666666666667</x:v>
      </x:c>
      <x:c r="L683" t="str">
        <x:f>IF(OR(I683=0,F683="",G683="",F683=0,G683=0),"",H683/(F683*G683))</x:f>
      </x:c>
      <x:c r="M683" t="n">
        <x:f>IF(J683="","",J683/_xlfn.MAXIFS($J:$J,$D:$D,D683))</x:f>
        <x:v>0.08040201005025126</x:v>
      </x:c>
      <x:c r="N683" t="str">
        <x:f>IF(L683="","",L683/_xlfn.MAXIFS($L:$L,$D:$D,D683))</x:f>
      </x:c>
      <x:c r="O683" t="str">
        <x:f>IF(OR(M683="",N683=""),"",SQRT(M683*N683))</x:f>
      </x:c>
      <x:c r="P683" t="str">
        <x:f>IF(OR(M683="",N683=""),"",M683^0.7*N683^0.3)</x:f>
      </x:c>
      <x:c r="Q683" t="str">
        <x:f>IF(OR(M683="",N683=""),"",M683^0.3*N683^0.7)</x:f>
      </x:c>
    </x:row>
    <x:row r="684">
      <x:c r="A684" t="inlineStr">
        <x:is>
          <x:t xml:space="preserve">google|gemini-4-argon|high|reasoning|fallback-na</x:t>
        </x:is>
      </x:c>
      <x:c r="B684" t="inlineStr">
        <x:is>
          <x:t xml:space="preserve">AA|v4.3.2</x:t>
        </x:is>
      </x:c>
      <x:c r="C684" t="n">
        <x:v>87</x:v>
      </x:c>
      <x:c r="D684" t="n">
        <x:v>40</x:v>
      </x:c>
      <x:c r="E684" t="n">
        <x:f>INDEX(Model_TestVersion_Stats!$W:$W,C684)</x:f>
        <x:v>53</x:v>
      </x:c>
      <x:c r="F684" t="n">
        <x:f>INDEX(Model_TestVersion_Stats!$O:$O,C684)</x:f>
        <x:v>1.99</x:v>
      </x:c>
      <x:c r="G684" t="str">
        <x:f>IF(INDEX(Model_TestVersion_Stats!$R:$R,C684)="","",INDEX(Model_TestVersion_Stats!$R:$R,C684)/60)</x:f>
      </x:c>
      <x:c r="H684" t="n">
        <x:f>IF(E684="","",E684-(D684-1))</x:f>
        <x:v>14</x:v>
      </x:c>
      <x:c r="I684" t="n">
        <x:f>IF(H684&gt;0,1,0)</x:f>
        <x:v>1</x:v>
      </x:c>
      <x:c r="J684" t="n">
        <x:f>IF(OR(I684=0,F684="",F684=0),"",H684/F684)</x:f>
        <x:v>7.035175879396985</x:v>
      </x:c>
      <x:c r="K684" t="n">
        <x:f>IF(OR(I684=0,H684=0,F684=""),"",F684/H684)</x:f>
        <x:v>0.14214285714285715</x:v>
      </x:c>
      <x:c r="L684" t="str">
        <x:f>IF(OR(I684=0,F684="",G684="",F684=0,G684=0),"",H684/(F684*G684))</x:f>
      </x:c>
      <x:c r="M684" t="n">
        <x:f>IF(J684="","",J684/_xlfn.MAXIFS($J:$J,$D:$D,D684))</x:f>
        <x:v>0.1306532663316583</x:v>
      </x:c>
      <x:c r="N684" t="str">
        <x:f>IF(L684="","",L684/_xlfn.MAXIFS($L:$L,$D:$D,D684))</x:f>
      </x:c>
      <x:c r="O684" t="str">
        <x:f>IF(OR(M684="",N684=""),"",SQRT(M684*N684))</x:f>
      </x:c>
      <x:c r="P684" t="str">
        <x:f>IF(OR(M684="",N684=""),"",M684^0.7*N684^0.3)</x:f>
      </x:c>
      <x:c r="Q684" t="str">
        <x:f>IF(OR(M684="",N684=""),"",M684^0.3*N684^0.7)</x:f>
      </x:c>
    </x:row>
    <x:row r="685">
      <x:c r="A685" t="inlineStr">
        <x:is>
          <x:t xml:space="preserve">google|gemini-4-argon|high|reasoning|fallback-na</x:t>
        </x:is>
      </x:c>
      <x:c r="B685" t="inlineStr">
        <x:is>
          <x:t xml:space="preserve">AA|v4.3.2</x:t>
        </x:is>
      </x:c>
      <x:c r="C685" t="n">
        <x:v>87</x:v>
      </x:c>
      <x:c r="D685" t="n">
        <x:v>45</x:v>
      </x:c>
      <x:c r="E685" t="n">
        <x:f>INDEX(Model_TestVersion_Stats!$W:$W,C685)</x:f>
        <x:v>53</x:v>
      </x:c>
      <x:c r="F685" t="n">
        <x:f>INDEX(Model_TestVersion_Stats!$O:$O,C685)</x:f>
        <x:v>1.99</x:v>
      </x:c>
      <x:c r="G685" t="str">
        <x:f>IF(INDEX(Model_TestVersion_Stats!$R:$R,C685)="","",INDEX(Model_TestVersion_Stats!$R:$R,C685)/60)</x:f>
      </x:c>
      <x:c r="H685" t="n">
        <x:f>IF(E685="","",E685-(D685-1))</x:f>
        <x:v>9</x:v>
      </x:c>
      <x:c r="I685" t="n">
        <x:f>IF(H685&gt;0,1,0)</x:f>
        <x:v>1</x:v>
      </x:c>
      <x:c r="J685" t="n">
        <x:f>IF(OR(I685=0,F685="",F685=0),"",H685/F685)</x:f>
        <x:v>4.522613065326633</x:v>
      </x:c>
      <x:c r="K685" t="n">
        <x:f>IF(OR(I685=0,H685=0,F685=""),"",F685/H685)</x:f>
        <x:v>0.22111111111111112</x:v>
      </x:c>
      <x:c r="L685" t="str">
        <x:f>IF(OR(I685=0,F685="",G685="",F685=0,G685=0),"",H685/(F685*G685))</x:f>
      </x:c>
      <x:c r="M685" t="n">
        <x:f>IF(J685="","",J685/_xlfn.MAXIFS($J:$J,$D:$D,D685))</x:f>
        <x:v>0.23743718592964821</x:v>
      </x:c>
      <x:c r="N685" t="str">
        <x:f>IF(L685="","",L685/_xlfn.MAXIFS($L:$L,$D:$D,D685))</x:f>
      </x:c>
      <x:c r="O685" t="str">
        <x:f>IF(OR(M685="",N685=""),"",SQRT(M685*N685))</x:f>
      </x:c>
      <x:c r="P685" t="str">
        <x:f>IF(OR(M685="",N685=""),"",M685^0.7*N685^0.3)</x:f>
      </x:c>
      <x:c r="Q685" t="str">
        <x:f>IF(OR(M685="",N685=""),"",M685^0.3*N685^0.7)</x:f>
      </x:c>
    </x:row>
    <x:row r="686">
      <x:c r="A686" t="inlineStr">
        <x:is>
          <x:t xml:space="preserve">google|gemini-4-argon|high|reasoning|fallback-na</x:t>
        </x:is>
      </x:c>
      <x:c r="B686" t="inlineStr">
        <x:is>
          <x:t xml:space="preserve">AA|v4.3.2</x:t>
        </x:is>
      </x:c>
      <x:c r="C686" t="n">
        <x:v>87</x:v>
      </x:c>
      <x:c r="D686" t="n">
        <x:v>50</x:v>
      </x:c>
      <x:c r="E686" t="n">
        <x:f>INDEX(Model_TestVersion_Stats!$W:$W,C686)</x:f>
        <x:v>53</x:v>
      </x:c>
      <x:c r="F686" t="n">
        <x:f>INDEX(Model_TestVersion_Stats!$O:$O,C686)</x:f>
        <x:v>1.99</x:v>
      </x:c>
      <x:c r="G686" t="str">
        <x:f>IF(INDEX(Model_TestVersion_Stats!$R:$R,C686)="","",INDEX(Model_TestVersion_Stats!$R:$R,C686)/60)</x:f>
      </x:c>
      <x:c r="H686" t="n">
        <x:f>IF(E686="","",E686-(D686-1))</x:f>
        <x:v>4</x:v>
      </x:c>
      <x:c r="I686" t="n">
        <x:f>IF(H686&gt;0,1,0)</x:f>
        <x:v>1</x:v>
      </x:c>
      <x:c r="J686" t="n">
        <x:f>IF(OR(I686=0,F686="",F686=0),"",H686/F686)</x:f>
        <x:v>2.0100502512562812</x:v>
      </x:c>
      <x:c r="K686" t="n">
        <x:f>IF(OR(I686=0,H686=0,F686=""),"",F686/H686)</x:f>
        <x:v>0.4975</x:v>
      </x:c>
      <x:c r="L686" t="str">
        <x:f>IF(OR(I686=0,F686="",G686="",F686=0,G686=0),"",H686/(F686*G686))</x:f>
      </x:c>
      <x:c r="M686" t="n">
        <x:f>IF(J686="","",J686/_xlfn.MAXIFS($J:$J,$D:$D,D686))</x:f>
        <x:v>0.39195979899497485</x:v>
      </x:c>
      <x:c r="N686" t="str">
        <x:f>IF(L686="","",L686/_xlfn.MAXIFS($L:$L,$D:$D,D686))</x:f>
      </x:c>
      <x:c r="O686" t="str">
        <x:f>IF(OR(M686="",N686=""),"",SQRT(M686*N686))</x:f>
      </x:c>
      <x:c r="P686" t="str">
        <x:f>IF(OR(M686="",N686=""),"",M686^0.7*N686^0.3)</x:f>
      </x:c>
      <x:c r="Q686" t="str">
        <x:f>IF(OR(M686="",N686=""),"",M686^0.3*N686^0.7)</x:f>
      </x:c>
    </x:row>
    <x:row r="687">
      <x:c r="A687" t="inlineStr">
        <x:is>
          <x:t xml:space="preserve">google|gemini-4-argon|high|reasoning|fallback-na</x:t>
        </x:is>
      </x:c>
      <x:c r="B687" t="inlineStr">
        <x:is>
          <x:t xml:space="preserve">AA|v4.3.2</x:t>
        </x:is>
      </x:c>
      <x:c r="C687" t="n">
        <x:v>87</x:v>
      </x:c>
      <x:c r="D687" t="n">
        <x:v>52</x:v>
      </x:c>
      <x:c r="E687" t="n">
        <x:f>INDEX(Model_TestVersion_Stats!$W:$W,C687)</x:f>
        <x:v>53</x:v>
      </x:c>
      <x:c r="F687" t="n">
        <x:f>INDEX(Model_TestVersion_Stats!$O:$O,C687)</x:f>
        <x:v>1.99</x:v>
      </x:c>
      <x:c r="G687" t="str">
        <x:f>IF(INDEX(Model_TestVersion_Stats!$R:$R,C687)="","",INDEX(Model_TestVersion_Stats!$R:$R,C687)/60)</x:f>
      </x:c>
      <x:c r="H687" t="n">
        <x:f>IF(E687="","",E687-(D687-1))</x:f>
        <x:v>2</x:v>
      </x:c>
      <x:c r="I687" t="n">
        <x:f>IF(H687&gt;0,1,0)</x:f>
        <x:v>1</x:v>
      </x:c>
      <x:c r="J687" t="n">
        <x:f>IF(OR(I687=0,F687="",F687=0),"",H687/F687)</x:f>
        <x:v>1.0050251256281406</x:v>
      </x:c>
      <x:c r="K687" t="n">
        <x:f>IF(OR(I687=0,H687=0,F687=""),"",F687/H687)</x:f>
        <x:v>0.995</x:v>
      </x:c>
      <x:c r="L687" t="str">
        <x:f>IF(OR(I687=0,F687="",G687="",F687=0,G687=0),"",H687/(F687*G687))</x:f>
      </x:c>
      <x:c r="M687" t="n">
        <x:f>IF(J687="","",J687/_xlfn.MAXIFS($J:$J,$D:$D,D687))</x:f>
        <x:v>0.609715242881072</x:v>
      </x:c>
      <x:c r="N687" t="str">
        <x:f>IF(L687="","",L687/_xlfn.MAXIFS($L:$L,$D:$D,D687))</x:f>
      </x:c>
      <x:c r="O687" t="str">
        <x:f>IF(OR(M687="",N687=""),"",SQRT(M687*N687))</x:f>
      </x:c>
      <x:c r="P687" t="str">
        <x:f>IF(OR(M687="",N687=""),"",M687^0.7*N687^0.3)</x:f>
      </x:c>
      <x:c r="Q687" t="str">
        <x:f>IF(OR(M687="",N687=""),"",M687^0.3*N687^0.7)</x:f>
      </x:c>
    </x:row>
    <x:row r="688">
      <x:c r="A688" t="inlineStr">
        <x:is>
          <x:t xml:space="preserve">google|gemini-4-argon|high|reasoning|fallback-na</x:t>
        </x:is>
      </x:c>
      <x:c r="B688" t="inlineStr">
        <x:is>
          <x:t xml:space="preserve">AA|v4.3.2</x:t>
        </x:is>
      </x:c>
      <x:c r="C688" t="n">
        <x:v>87</x:v>
      </x:c>
      <x:c r="D688" t="n">
        <x:v>65</x:v>
      </x:c>
      <x:c r="E688" t="n">
        <x:f>INDEX(Model_TestVersion_Stats!$W:$W,C688)</x:f>
        <x:v>53</x:v>
      </x:c>
      <x:c r="F688" t="n">
        <x:f>INDEX(Model_TestVersion_Stats!$O:$O,C688)</x:f>
        <x:v>1.99</x:v>
      </x:c>
      <x:c r="G688" t="str">
        <x:f>IF(INDEX(Model_TestVersion_Stats!$R:$R,C688)="","",INDEX(Model_TestVersion_Stats!$R:$R,C688)/60)</x:f>
      </x:c>
      <x:c r="H688" t="n">
        <x:f>IF(E688="","",E688-(D688-1))</x:f>
        <x:v>-11</x:v>
      </x:c>
      <x:c r="I688" t="n">
        <x:f>IF(H688&gt;0,1,0)</x:f>
        <x:v>0</x:v>
      </x:c>
      <x:c r="J688" t="str">
        <x:f>IF(OR(I688=0,F688="",F688=0),"",H688/F688)</x:f>
      </x:c>
      <x:c r="K688" t="str">
        <x:f>IF(OR(I688=0,H688=0,F688=""),"",F688/H688)</x:f>
      </x:c>
      <x:c r="L688" t="str">
        <x:f>IF(OR(I688=0,F688="",G688="",F688=0,G688=0),"",H688/(F688*G688))</x:f>
      </x:c>
      <x:c r="M688" t="str">
        <x:f>IF(J688="","",J688/_xlfn.MAXIFS($J:$J,$D:$D,D688))</x:f>
      </x:c>
      <x:c r="N688" t="str">
        <x:f>IF(L688="","",L688/_xlfn.MAXIFS($L:$L,$D:$D,D688))</x:f>
      </x:c>
      <x:c r="O688" t="str">
        <x:f>IF(OR(M688="",N688=""),"",SQRT(M688*N688))</x:f>
      </x:c>
      <x:c r="P688" t="str">
        <x:f>IF(OR(M688="",N688=""),"",M688^0.7*N688^0.3)</x:f>
      </x:c>
      <x:c r="Q688" t="str">
        <x:f>IF(OR(M688="",N688=""),"",M688^0.3*N688^0.7)</x:f>
      </x:c>
    </x:row>
    <x:row r="689">
      <x:c r="A689" t="inlineStr">
        <x:is>
          <x:t xml:space="preserve">google|gemini-4-argon|high|reasoning|fallback-na</x:t>
        </x:is>
      </x:c>
      <x:c r="B689" t="inlineStr">
        <x:is>
          <x:t xml:space="preserve">AA|v4.3.2</x:t>
        </x:is>
      </x:c>
      <x:c r="C689" t="n">
        <x:v>87</x:v>
      </x:c>
      <x:c r="D689" t="n">
        <x:v>80</x:v>
      </x:c>
      <x:c r="E689" t="n">
        <x:f>INDEX(Model_TestVersion_Stats!$W:$W,C689)</x:f>
        <x:v>53</x:v>
      </x:c>
      <x:c r="F689" t="n">
        <x:f>INDEX(Model_TestVersion_Stats!$O:$O,C689)</x:f>
        <x:v>1.99</x:v>
      </x:c>
      <x:c r="G689" t="str">
        <x:f>IF(INDEX(Model_TestVersion_Stats!$R:$R,C689)="","",INDEX(Model_TestVersion_Stats!$R:$R,C689)/60)</x:f>
      </x:c>
      <x:c r="H689" t="n">
        <x:f>IF(E689="","",E689-(D689-1))</x:f>
        <x:v>-26</x:v>
      </x:c>
      <x:c r="I689" t="n">
        <x:f>IF(H689&gt;0,1,0)</x:f>
        <x:v>0</x:v>
      </x:c>
      <x:c r="J689" t="str">
        <x:f>IF(OR(I689=0,F689="",F689=0),"",H689/F689)</x:f>
      </x:c>
      <x:c r="K689" t="str">
        <x:f>IF(OR(I689=0,H689=0,F689=""),"",F689/H689)</x:f>
      </x:c>
      <x:c r="L689" t="str">
        <x:f>IF(OR(I689=0,F689="",G689="",F689=0,G689=0),"",H689/(F689*G689))</x:f>
      </x:c>
      <x:c r="M689" t="str">
        <x:f>IF(J689="","",J689/_xlfn.MAXIFS($J:$J,$D:$D,D689))</x:f>
      </x:c>
      <x:c r="N689" t="str">
        <x:f>IF(L689="","",L689/_xlfn.MAXIFS($L:$L,$D:$D,D689))</x:f>
      </x:c>
      <x:c r="O689" t="str">
        <x:f>IF(OR(M689="",N689=""),"",SQRT(M689*N689))</x:f>
      </x:c>
      <x:c r="P689" t="str">
        <x:f>IF(OR(M689="",N689=""),"",M689^0.7*N689^0.3)</x:f>
      </x:c>
      <x:c r="Q689" t="str">
        <x:f>IF(OR(M689="",N689=""),"",M689^0.3*N689^0.7)</x:f>
      </x:c>
    </x:row>
    <x:row r="690">
      <x:c r="A690" t="inlineStr">
        <x:is>
          <x:t xml:space="preserve">meta|muse-wonder-full|max|reasoning|fallback-na</x:t>
        </x:is>
      </x:c>
      <x:c r="B690" t="inlineStr">
        <x:is>
          <x:t xml:space="preserve">AA|v4.3.2</x:t>
        </x:is>
      </x:c>
      <x:c r="C690" t="n">
        <x:v>88</x:v>
      </x:c>
      <x:c r="D690" t="n">
        <x:v>10</x:v>
      </x:c>
      <x:c r="E690" t="n">
        <x:f>INDEX(Model_TestVersion_Stats!$W:$W,C690)</x:f>
        <x:v>56</x:v>
      </x:c>
      <x:c r="F690" t="str">
        <x:f>INDEX(Model_TestVersion_Stats!$O:$O,C690)</x:f>
      </x:c>
      <x:c r="G690" t="str">
        <x:f>IF(INDEX(Model_TestVersion_Stats!$R:$R,C690)="","",INDEX(Model_TestVersion_Stats!$R:$R,C690)/60)</x:f>
      </x:c>
      <x:c r="H690" t="n">
        <x:f>IF(E690="","",E690-(D690-1))</x:f>
        <x:v>47</x:v>
      </x:c>
      <x:c r="I690" t="n">
        <x:f>IF(H690&gt;0,1,0)</x:f>
        <x:v>1</x:v>
      </x:c>
      <x:c r="J690" t="str">
        <x:f>IF(OR(I690=0,F690="",F690=0),"",H690/F690)</x:f>
      </x:c>
      <x:c r="K690" t="str">
        <x:f>IF(OR(I690=0,H690=0,F690=""),"",F690/H690)</x:f>
      </x:c>
      <x:c r="L690" t="str">
        <x:f>IF(OR(I690=0,F690="",G690="",F690=0,G690=0),"",H690/(F690*G690))</x:f>
      </x:c>
      <x:c r="M690" t="str">
        <x:f>IF(J690="","",J690/_xlfn.MAXIFS($J:$J,$D:$D,D690))</x:f>
      </x:c>
      <x:c r="N690" t="str">
        <x:f>IF(L690="","",L690/_xlfn.MAXIFS($L:$L,$D:$D,D690))</x:f>
      </x:c>
      <x:c r="O690" t="str">
        <x:f>IF(OR(M690="",N690=""),"",SQRT(M690*N690))</x:f>
      </x:c>
      <x:c r="P690" t="str">
        <x:f>IF(OR(M690="",N690=""),"",M690^0.7*N690^0.3)</x:f>
      </x:c>
      <x:c r="Q690" t="str">
        <x:f>IF(OR(M690="",N690=""),"",M690^0.3*N690^0.7)</x:f>
      </x:c>
    </x:row>
    <x:row r="691">
      <x:c r="A691" t="inlineStr">
        <x:is>
          <x:t xml:space="preserve">meta|muse-wonder-full|max|reasoning|fallback-na</x:t>
        </x:is>
      </x:c>
      <x:c r="B691" t="inlineStr">
        <x:is>
          <x:t xml:space="preserve">AA|v4.3.2</x:t>
        </x:is>
      </x:c>
      <x:c r="C691" t="n">
        <x:v>88</x:v>
      </x:c>
      <x:c r="D691" t="n">
        <x:v>20</x:v>
      </x:c>
      <x:c r="E691" t="n">
        <x:f>INDEX(Model_TestVersion_Stats!$W:$W,C691)</x:f>
        <x:v>56</x:v>
      </x:c>
      <x:c r="F691" t="str">
        <x:f>INDEX(Model_TestVersion_Stats!$O:$O,C691)</x:f>
      </x:c>
      <x:c r="G691" t="str">
        <x:f>IF(INDEX(Model_TestVersion_Stats!$R:$R,C691)="","",INDEX(Model_TestVersion_Stats!$R:$R,C691)/60)</x:f>
      </x:c>
      <x:c r="H691" t="n">
        <x:f>IF(E691="","",E691-(D691-1))</x:f>
        <x:v>37</x:v>
      </x:c>
      <x:c r="I691" t="n">
        <x:f>IF(H691&gt;0,1,0)</x:f>
        <x:v>1</x:v>
      </x:c>
      <x:c r="J691" t="str">
        <x:f>IF(OR(I691=0,F691="",F691=0),"",H691/F691)</x:f>
      </x:c>
      <x:c r="K691" t="str">
        <x:f>IF(OR(I691=0,H691=0,F691=""),"",F691/H691)</x:f>
      </x:c>
      <x:c r="L691" t="str">
        <x:f>IF(OR(I691=0,F691="",G691="",F691=0,G691=0),"",H691/(F691*G691))</x:f>
      </x:c>
      <x:c r="M691" t="str">
        <x:f>IF(J691="","",J691/_xlfn.MAXIFS($J:$J,$D:$D,D691))</x:f>
      </x:c>
      <x:c r="N691" t="str">
        <x:f>IF(L691="","",L691/_xlfn.MAXIFS($L:$L,$D:$D,D691))</x:f>
      </x:c>
      <x:c r="O691" t="str">
        <x:f>IF(OR(M691="",N691=""),"",SQRT(M691*N691))</x:f>
      </x:c>
      <x:c r="P691" t="str">
        <x:f>IF(OR(M691="",N691=""),"",M691^0.7*N691^0.3)</x:f>
      </x:c>
      <x:c r="Q691" t="str">
        <x:f>IF(OR(M691="",N691=""),"",M691^0.3*N691^0.7)</x:f>
      </x:c>
    </x:row>
    <x:row r="692">
      <x:c r="A692" t="inlineStr">
        <x:is>
          <x:t xml:space="preserve">meta|muse-wonder-full|max|reasoning|fallback-na</x:t>
        </x:is>
      </x:c>
      <x:c r="B692" t="inlineStr">
        <x:is>
          <x:t xml:space="preserve">AA|v4.3.2</x:t>
        </x:is>
      </x:c>
      <x:c r="C692" t="n">
        <x:v>88</x:v>
      </x:c>
      <x:c r="D692" t="n">
        <x:v>30</x:v>
      </x:c>
      <x:c r="E692" t="n">
        <x:f>INDEX(Model_TestVersion_Stats!$W:$W,C692)</x:f>
        <x:v>56</x:v>
      </x:c>
      <x:c r="F692" t="str">
        <x:f>INDEX(Model_TestVersion_Stats!$O:$O,C692)</x:f>
      </x:c>
      <x:c r="G692" t="str">
        <x:f>IF(INDEX(Model_TestVersion_Stats!$R:$R,C692)="","",INDEX(Model_TestVersion_Stats!$R:$R,C692)/60)</x:f>
      </x:c>
      <x:c r="H692" t="n">
        <x:f>IF(E692="","",E692-(D692-1))</x:f>
        <x:v>27</x:v>
      </x:c>
      <x:c r="I692" t="n">
        <x:f>IF(H692&gt;0,1,0)</x:f>
        <x:v>1</x:v>
      </x:c>
      <x:c r="J692" t="str">
        <x:f>IF(OR(I692=0,F692="",F692=0),"",H692/F692)</x:f>
      </x:c>
      <x:c r="K692" t="str">
        <x:f>IF(OR(I692=0,H692=0,F692=""),"",F692/H692)</x:f>
      </x:c>
      <x:c r="L692" t="str">
        <x:f>IF(OR(I692=0,F692="",G692="",F692=0,G692=0),"",H692/(F692*G692))</x:f>
      </x:c>
      <x:c r="M692" t="str">
        <x:f>IF(J692="","",J692/_xlfn.MAXIFS($J:$J,$D:$D,D692))</x:f>
      </x:c>
      <x:c r="N692" t="str">
        <x:f>IF(L692="","",L692/_xlfn.MAXIFS($L:$L,$D:$D,D692))</x:f>
      </x:c>
      <x:c r="O692" t="str">
        <x:f>IF(OR(M692="",N692=""),"",SQRT(M692*N692))</x:f>
      </x:c>
      <x:c r="P692" t="str">
        <x:f>IF(OR(M692="",N692=""),"",M692^0.7*N692^0.3)</x:f>
      </x:c>
      <x:c r="Q692" t="str">
        <x:f>IF(OR(M692="",N692=""),"",M692^0.3*N692^0.7)</x:f>
      </x:c>
    </x:row>
    <x:row r="693">
      <x:c r="A693" t="inlineStr">
        <x:is>
          <x:t xml:space="preserve">meta|muse-wonder-full|max|reasoning|fallback-na</x:t>
        </x:is>
      </x:c>
      <x:c r="B693" t="inlineStr">
        <x:is>
          <x:t xml:space="preserve">AA|v4.3.2</x:t>
        </x:is>
      </x:c>
      <x:c r="C693" t="n">
        <x:v>88</x:v>
      </x:c>
      <x:c r="D693" t="n">
        <x:v>40</x:v>
      </x:c>
      <x:c r="E693" t="n">
        <x:f>INDEX(Model_TestVersion_Stats!$W:$W,C693)</x:f>
        <x:v>56</x:v>
      </x:c>
      <x:c r="F693" t="str">
        <x:f>INDEX(Model_TestVersion_Stats!$O:$O,C693)</x:f>
      </x:c>
      <x:c r="G693" t="str">
        <x:f>IF(INDEX(Model_TestVersion_Stats!$R:$R,C693)="","",INDEX(Model_TestVersion_Stats!$R:$R,C693)/60)</x:f>
      </x:c>
      <x:c r="H693" t="n">
        <x:f>IF(E693="","",E693-(D693-1))</x:f>
        <x:v>17</x:v>
      </x:c>
      <x:c r="I693" t="n">
        <x:f>IF(H693&gt;0,1,0)</x:f>
        <x:v>1</x:v>
      </x:c>
      <x:c r="J693" t="str">
        <x:f>IF(OR(I693=0,F693="",F693=0),"",H693/F693)</x:f>
      </x:c>
      <x:c r="K693" t="str">
        <x:f>IF(OR(I693=0,H693=0,F693=""),"",F693/H693)</x:f>
      </x:c>
      <x:c r="L693" t="str">
        <x:f>IF(OR(I693=0,F693="",G693="",F693=0,G693=0),"",H693/(F693*G693))</x:f>
      </x:c>
      <x:c r="M693" t="str">
        <x:f>IF(J693="","",J693/_xlfn.MAXIFS($J:$J,$D:$D,D693))</x:f>
      </x:c>
      <x:c r="N693" t="str">
        <x:f>IF(L693="","",L693/_xlfn.MAXIFS($L:$L,$D:$D,D693))</x:f>
      </x:c>
      <x:c r="O693" t="str">
        <x:f>IF(OR(M693="",N693=""),"",SQRT(M693*N693))</x:f>
      </x:c>
      <x:c r="P693" t="str">
        <x:f>IF(OR(M693="",N693=""),"",M693^0.7*N693^0.3)</x:f>
      </x:c>
      <x:c r="Q693" t="str">
        <x:f>IF(OR(M693="",N693=""),"",M693^0.3*N693^0.7)</x:f>
      </x:c>
    </x:row>
    <x:row r="694">
      <x:c r="A694" t="inlineStr">
        <x:is>
          <x:t xml:space="preserve">meta|muse-wonder-full|max|reasoning|fallback-na</x:t>
        </x:is>
      </x:c>
      <x:c r="B694" t="inlineStr">
        <x:is>
          <x:t xml:space="preserve">AA|v4.3.2</x:t>
        </x:is>
      </x:c>
      <x:c r="C694" t="n">
        <x:v>88</x:v>
      </x:c>
      <x:c r="D694" t="n">
        <x:v>50</x:v>
      </x:c>
      <x:c r="E694" t="n">
        <x:f>INDEX(Model_TestVersion_Stats!$W:$W,C694)</x:f>
        <x:v>56</x:v>
      </x:c>
      <x:c r="F694" t="str">
        <x:f>INDEX(Model_TestVersion_Stats!$O:$O,C694)</x:f>
      </x:c>
      <x:c r="G694" t="str">
        <x:f>IF(INDEX(Model_TestVersion_Stats!$R:$R,C694)="","",INDEX(Model_TestVersion_Stats!$R:$R,C694)/60)</x:f>
      </x:c>
      <x:c r="H694" t="n">
        <x:f>IF(E694="","",E694-(D694-1))</x:f>
        <x:v>7</x:v>
      </x:c>
      <x:c r="I694" t="n">
        <x:f>IF(H694&gt;0,1,0)</x:f>
        <x:v>1</x:v>
      </x:c>
      <x:c r="J694" t="str">
        <x:f>IF(OR(I694=0,F694="",F694=0),"",H694/F694)</x:f>
      </x:c>
      <x:c r="K694" t="str">
        <x:f>IF(OR(I694=0,H694=0,F694=""),"",F694/H694)</x:f>
      </x:c>
      <x:c r="L694" t="str">
        <x:f>IF(OR(I694=0,F694="",G694="",F694=0,G694=0),"",H694/(F694*G694))</x:f>
      </x:c>
      <x:c r="M694" t="str">
        <x:f>IF(J694="","",J694/_xlfn.MAXIFS($J:$J,$D:$D,D694))</x:f>
      </x:c>
      <x:c r="N694" t="str">
        <x:f>IF(L694="","",L694/_xlfn.MAXIFS($L:$L,$D:$D,D694))</x:f>
      </x:c>
      <x:c r="O694" t="str">
        <x:f>IF(OR(M694="",N694=""),"",SQRT(M694*N694))</x:f>
      </x:c>
      <x:c r="P694" t="str">
        <x:f>IF(OR(M694="",N694=""),"",M694^0.7*N694^0.3)</x:f>
      </x:c>
      <x:c r="Q694" t="str">
        <x:f>IF(OR(M694="",N694=""),"",M694^0.3*N694^0.7)</x:f>
      </x:c>
    </x:row>
    <x:row r="695">
      <x:c r="A695" t="inlineStr">
        <x:is>
          <x:t xml:space="preserve">meta|muse-wonder-full|max|reasoning|fallback-na</x:t>
        </x:is>
      </x:c>
      <x:c r="B695" t="inlineStr">
        <x:is>
          <x:t xml:space="preserve">AA|v4.3.2</x:t>
        </x:is>
      </x:c>
      <x:c r="C695" t="n">
        <x:v>88</x:v>
      </x:c>
      <x:c r="D695" t="n">
        <x:v>60</x:v>
      </x:c>
      <x:c r="E695" t="n">
        <x:f>INDEX(Model_TestVersion_Stats!$W:$W,C695)</x:f>
        <x:v>56</x:v>
      </x:c>
      <x:c r="F695" t="str">
        <x:f>INDEX(Model_TestVersion_Stats!$O:$O,C695)</x:f>
      </x:c>
      <x:c r="G695" t="str">
        <x:f>IF(INDEX(Model_TestVersion_Stats!$R:$R,C695)="","",INDEX(Model_TestVersion_Stats!$R:$R,C695)/60)</x:f>
      </x:c>
      <x:c r="H695" t="n">
        <x:f>IF(E695="","",E695-(D695-1))</x:f>
        <x:v>-3</x:v>
      </x:c>
      <x:c r="I695" t="n">
        <x:f>IF(H695&gt;0,1,0)</x:f>
        <x:v>0</x:v>
      </x:c>
      <x:c r="J695" t="str">
        <x:f>IF(OR(I695=0,F695="",F695=0),"",H695/F695)</x:f>
      </x:c>
      <x:c r="K695" t="str">
        <x:f>IF(OR(I695=0,H695=0,F695=""),"",F695/H695)</x:f>
      </x:c>
      <x:c r="L695" t="str">
        <x:f>IF(OR(I695=0,F695="",G695="",F695=0,G695=0),"",H695/(F695*G695))</x:f>
      </x:c>
      <x:c r="M695" t="str">
        <x:f>IF(J695="","",J695/_xlfn.MAXIFS($J:$J,$D:$D,D695))</x:f>
      </x:c>
      <x:c r="N695" t="str">
        <x:f>IF(L695="","",L695/_xlfn.MAXIFS($L:$L,$D:$D,D695))</x:f>
      </x:c>
      <x:c r="O695" t="str">
        <x:f>IF(OR(M695="",N695=""),"",SQRT(M695*N695))</x:f>
      </x:c>
      <x:c r="P695" t="str">
        <x:f>IF(OR(M695="",N695=""),"",M695^0.7*N695^0.3)</x:f>
      </x:c>
      <x:c r="Q695" t="str">
        <x:f>IF(OR(M695="",N695=""),"",M695^0.3*N695^0.7)</x:f>
      </x:c>
    </x:row>
    <x:row r="696">
      <x:c r="A696" t="inlineStr">
        <x:is>
          <x:t xml:space="preserve">meta|muse-wonder-full|max|reasoning|fallback-na</x:t>
        </x:is>
      </x:c>
      <x:c r="B696" t="inlineStr">
        <x:is>
          <x:t xml:space="preserve">AA|v4.3.2</x:t>
        </x:is>
      </x:c>
      <x:c r="C696" t="n">
        <x:v>88</x:v>
      </x:c>
      <x:c r="D696" t="n">
        <x:v>70</x:v>
      </x:c>
      <x:c r="E696" t="n">
        <x:f>INDEX(Model_TestVersion_Stats!$W:$W,C696)</x:f>
        <x:v>56</x:v>
      </x:c>
      <x:c r="F696" t="str">
        <x:f>INDEX(Model_TestVersion_Stats!$O:$O,C696)</x:f>
      </x:c>
      <x:c r="G696" t="str">
        <x:f>IF(INDEX(Model_TestVersion_Stats!$R:$R,C696)="","",INDEX(Model_TestVersion_Stats!$R:$R,C696)/60)</x:f>
      </x:c>
      <x:c r="H696" t="n">
        <x:f>IF(E696="","",E696-(D696-1))</x:f>
        <x:v>-13</x:v>
      </x:c>
      <x:c r="I696" t="n">
        <x:f>IF(H696&gt;0,1,0)</x:f>
        <x:v>0</x:v>
      </x:c>
      <x:c r="J696" t="str">
        <x:f>IF(OR(I696=0,F696="",F696=0),"",H696/F696)</x:f>
      </x:c>
      <x:c r="K696" t="str">
        <x:f>IF(OR(I696=0,H696=0,F696=""),"",F696/H696)</x:f>
      </x:c>
      <x:c r="L696" t="str">
        <x:f>IF(OR(I696=0,F696="",G696="",F696=0,G696=0),"",H696/(F696*G696))</x:f>
      </x:c>
      <x:c r="M696" t="str">
        <x:f>IF(J696="","",J696/_xlfn.MAXIFS($J:$J,$D:$D,D696))</x:f>
      </x:c>
      <x:c r="N696" t="str">
        <x:f>IF(L696="","",L696/_xlfn.MAXIFS($L:$L,$D:$D,D696))</x:f>
      </x:c>
      <x:c r="O696" t="str">
        <x:f>IF(OR(M696="",N696=""),"",SQRT(M696*N696))</x:f>
      </x:c>
      <x:c r="P696" t="str">
        <x:f>IF(OR(M696="",N696=""),"",M696^0.7*N696^0.3)</x:f>
      </x:c>
      <x:c r="Q696" t="str">
        <x:f>IF(OR(M696="",N696=""),"",M696^0.3*N696^0.7)</x:f>
      </x:c>
    </x:row>
    <x:row r="697">
      <x:c r="A697" t="inlineStr">
        <x:is>
          <x:t xml:space="preserve">meta|muse-wonder-full|max|reasoning|fallback-na</x:t>
        </x:is>
      </x:c>
      <x:c r="B697" t="inlineStr">
        <x:is>
          <x:t xml:space="preserve">AA|v4.3.2</x:t>
        </x:is>
      </x:c>
      <x:c r="C697" t="n">
        <x:v>88</x:v>
      </x:c>
      <x:c r="D697" t="n">
        <x:v>80</x:v>
      </x:c>
      <x:c r="E697" t="n">
        <x:f>INDEX(Model_TestVersion_Stats!$W:$W,C697)</x:f>
        <x:v>56</x:v>
      </x:c>
      <x:c r="F697" t="str">
        <x:f>INDEX(Model_TestVersion_Stats!$O:$O,C697)</x:f>
      </x:c>
      <x:c r="G697" t="str">
        <x:f>IF(INDEX(Model_TestVersion_Stats!$R:$R,C697)="","",INDEX(Model_TestVersion_Stats!$R:$R,C697)/60)</x:f>
      </x:c>
      <x:c r="H697" t="n">
        <x:f>IF(E697="","",E697-(D697-1))</x:f>
        <x:v>-23</x:v>
      </x:c>
      <x:c r="I697" t="n">
        <x:f>IF(H697&gt;0,1,0)</x:f>
        <x:v>0</x:v>
      </x:c>
      <x:c r="J697" t="str">
        <x:f>IF(OR(I697=0,F697="",F697=0),"",H697/F697)</x:f>
      </x:c>
      <x:c r="K697" t="str">
        <x:f>IF(OR(I697=0,H697=0,F697=""),"",F697/H697)</x:f>
      </x:c>
      <x:c r="L697" t="str">
        <x:f>IF(OR(I697=0,F697="",G697="",F697=0,G697=0),"",H697/(F697*G697))</x:f>
      </x:c>
      <x:c r="M697" t="str">
        <x:f>IF(J697="","",J697/_xlfn.MAXIFS($J:$J,$D:$D,D697))</x:f>
      </x:c>
      <x:c r="N697" t="str">
        <x:f>IF(L697="","",L697/_xlfn.MAXIFS($L:$L,$D:$D,D697))</x:f>
      </x:c>
      <x:c r="O697" t="str">
        <x:f>IF(OR(M697="",N697=""),"",SQRT(M697*N697))</x:f>
      </x:c>
      <x:c r="P697" t="str">
        <x:f>IF(OR(M697="",N697=""),"",M697^0.7*N697^0.3)</x:f>
      </x:c>
      <x:c r="Q697" t="str">
        <x:f>IF(OR(M697="",N697=""),"",M697^0.3*N697^0.7)</x:f>
      </x:c>
    </x:row>
    <x:row r="698" s="14" customFormat="1">
      <x:c r="A698" t="inlineStr">
        <x:is>
          <x:t xml:space="preserve">openai|gpt-6-1-sol|max|yes|fallback-na</x:t>
        </x:is>
      </x:c>
      <x:c r="B698" t="inlineStr">
        <x:is>
          <x:t xml:space="preserve">AA|v4.3.2</x:t>
        </x:is>
      </x:c>
      <x:c r="C698" t="n">
        <x:v>89</x:v>
      </x:c>
      <x:c r="D698" t="n">
        <x:v>10</x:v>
      </x:c>
      <x:c r="E698" t="n">
        <x:f>INDEX(Model_TestVersion_Stats!$W:$W,C698)</x:f>
        <x:v>52</x:v>
      </x:c>
      <x:c r="F698" t="n">
        <x:f>INDEX(Model_TestVersion_Stats!$O:$O,C698)</x:f>
        <x:v>0.72</x:v>
      </x:c>
      <x:c r="G698" t="str">
        <x:f>IF(INDEX(Model_TestVersion_Stats!$R:$R,C698)="","",INDEX(Model_TestVersion_Stats!$R:$R,C698)/60)</x:f>
      </x:c>
      <x:c r="H698" t="n">
        <x:f>IF(E698="","",E698-(D698-1))</x:f>
        <x:v>43</x:v>
      </x:c>
      <x:c r="I698" t="n">
        <x:f>IF(H698&gt;0,1,0)</x:f>
        <x:v>1</x:v>
      </x:c>
      <x:c r="J698" t="n">
        <x:f>IF(OR(I698=0,F698="",F698=0),"",H698/F698)</x:f>
        <x:v>59.72222222222222</x:v>
      </x:c>
      <x:c r="K698" t="n">
        <x:f>IF(OR(I698=0,H698=0,F698=""),"",F698/H698)</x:f>
        <x:v>0.016744186046511626</x:v>
      </x:c>
      <x:c r="L698" t="str">
        <x:f>IF(OR(I698=0,F698="",G698="",F698=0,G698=0),"",H698/(F698*G698))</x:f>
      </x:c>
      <x:c r="M698" t="n">
        <x:f>IF(J698="","",J698/_xlfn.MAXIFS($J:$J,$D:$D,D698))</x:f>
        <x:v>0.05972222222222222</x:v>
      </x:c>
      <x:c r="N698" t="str">
        <x:f>IF(L698="","",L698/_xlfn.MAXIFS($L:$L,$D:$D,D698))</x:f>
      </x:c>
      <x:c r="O698" t="str">
        <x:f>IF(OR(M698="",N698=""),"",SQRT(M698*N698))</x:f>
      </x:c>
      <x:c r="P698" t="str">
        <x:f>IF(OR(M698="",N698=""),"",M698^0.7*N698^0.3)</x:f>
      </x:c>
      <x:c r="Q698" t="str">
        <x:f>IF(OR(M698="",N698=""),"",M698^0.3*N698^0.7)</x:f>
      </x:c>
    </x:row>
    <x:row r="699" s="14" customFormat="1">
      <x:c r="A699" t="inlineStr">
        <x:is>
          <x:t xml:space="preserve">openai|gpt-6-1-sol|max|yes|fallback-na</x:t>
        </x:is>
      </x:c>
      <x:c r="B699" t="inlineStr">
        <x:is>
          <x:t xml:space="preserve">AA|v4.3.2</x:t>
        </x:is>
      </x:c>
      <x:c r="C699" t="n">
        <x:v>89</x:v>
      </x:c>
      <x:c r="D699" t="n">
        <x:v>20</x:v>
      </x:c>
      <x:c r="E699" t="n">
        <x:f>INDEX(Model_TestVersion_Stats!$W:$W,C699)</x:f>
        <x:v>52</x:v>
      </x:c>
      <x:c r="F699" t="n">
        <x:f>INDEX(Model_TestVersion_Stats!$O:$O,C699)</x:f>
        <x:v>0.72</x:v>
      </x:c>
      <x:c r="G699" t="str">
        <x:f>IF(INDEX(Model_TestVersion_Stats!$R:$R,C699)="","",INDEX(Model_TestVersion_Stats!$R:$R,C699)/60)</x:f>
      </x:c>
      <x:c r="H699" t="n">
        <x:f>IF(E699="","",E699-(D699-1))</x:f>
        <x:v>33</x:v>
      </x:c>
      <x:c r="I699" t="n">
        <x:f>IF(H699&gt;0,1,0)</x:f>
        <x:v>1</x:v>
      </x:c>
      <x:c r="J699" t="n">
        <x:f>IF(OR(I699=0,F699="",F699=0),"",H699/F699)</x:f>
        <x:v>45.833333333333336</x:v>
      </x:c>
      <x:c r="K699" t="n">
        <x:f>IF(OR(I699=0,H699=0,F699=""),"",F699/H699)</x:f>
        <x:v>0.021818181818181816</x:v>
      </x:c>
      <x:c r="L699" t="str">
        <x:f>IF(OR(I699=0,F699="",G699="",F699=0,G699=0),"",H699/(F699*G699))</x:f>
      </x:c>
      <x:c r="M699" t="n">
        <x:f>IF(J699="","",J699/_xlfn.MAXIFS($J:$J,$D:$D,D699))</x:f>
        <x:v>0.0825</x:v>
      </x:c>
      <x:c r="N699" t="str">
        <x:f>IF(L699="","",L699/_xlfn.MAXIFS($L:$L,$D:$D,D699))</x:f>
      </x:c>
      <x:c r="O699" t="str">
        <x:f>IF(OR(M699="",N699=""),"",SQRT(M699*N699))</x:f>
      </x:c>
      <x:c r="P699" t="str">
        <x:f>IF(OR(M699="",N699=""),"",M699^0.7*N699^0.3)</x:f>
      </x:c>
      <x:c r="Q699" t="str">
        <x:f>IF(OR(M699="",N699=""),"",M699^0.3*N699^0.7)</x:f>
      </x:c>
    </x:row>
    <x:row r="700" s="14" customFormat="1">
      <x:c r="A700" t="inlineStr">
        <x:is>
          <x:t xml:space="preserve">openai|gpt-6-1-sol|max|yes|fallback-na</x:t>
        </x:is>
      </x:c>
      <x:c r="B700" t="inlineStr">
        <x:is>
          <x:t xml:space="preserve">AA|v4.3.2</x:t>
        </x:is>
      </x:c>
      <x:c r="C700" t="n">
        <x:v>89</x:v>
      </x:c>
      <x:c r="D700" t="n">
        <x:v>30</x:v>
      </x:c>
      <x:c r="E700" t="n">
        <x:f>INDEX(Model_TestVersion_Stats!$W:$W,C700)</x:f>
        <x:v>52</x:v>
      </x:c>
      <x:c r="F700" t="n">
        <x:f>INDEX(Model_TestVersion_Stats!$O:$O,C700)</x:f>
        <x:v>0.72</x:v>
      </x:c>
      <x:c r="G700" t="str">
        <x:f>IF(INDEX(Model_TestVersion_Stats!$R:$R,C700)="","",INDEX(Model_TestVersion_Stats!$R:$R,C700)/60)</x:f>
      </x:c>
      <x:c r="H700" t="n">
        <x:f>IF(E700="","",E700-(D700-1))</x:f>
        <x:v>23</x:v>
      </x:c>
      <x:c r="I700" t="n">
        <x:f>IF(H700&gt;0,1,0)</x:f>
        <x:v>1</x:v>
      </x:c>
      <x:c r="J700" t="n">
        <x:f>IF(OR(I700=0,F700="",F700=0),"",H700/F700)</x:f>
        <x:v>31.944444444444446</x:v>
      </x:c>
      <x:c r="K700" t="n">
        <x:f>IF(OR(I700=0,H700=0,F700=""),"",F700/H700)</x:f>
        <x:v>0.03130434782608695</x:v>
      </x:c>
      <x:c r="L700" t="str">
        <x:f>IF(OR(I700=0,F700="",G700="",F700=0,G700=0),"",H700/(F700*G700))</x:f>
      </x:c>
      <x:c r="M700" t="n">
        <x:f>IF(J700="","",J700/_xlfn.MAXIFS($J:$J,$D:$D,D700))</x:f>
        <x:v>0.21296296296296297</x:v>
      </x:c>
      <x:c r="N700" t="str">
        <x:f>IF(L700="","",L700/_xlfn.MAXIFS($L:$L,$D:$D,D700))</x:f>
      </x:c>
      <x:c r="O700" t="str">
        <x:f>IF(OR(M700="",N700=""),"",SQRT(M700*N700))</x:f>
      </x:c>
      <x:c r="P700" t="str">
        <x:f>IF(OR(M700="",N700=""),"",M700^0.7*N700^0.3)</x:f>
      </x:c>
      <x:c r="Q700" t="str">
        <x:f>IF(OR(M700="",N700=""),"",M700^0.3*N700^0.7)</x:f>
      </x:c>
    </x:row>
    <x:row r="701" s="14" customFormat="1">
      <x:c r="A701" t="inlineStr">
        <x:is>
          <x:t xml:space="preserve">openai|gpt-6-1-sol|max|yes|fallback-na</x:t>
        </x:is>
      </x:c>
      <x:c r="B701" t="inlineStr">
        <x:is>
          <x:t xml:space="preserve">AA|v4.3.2</x:t>
        </x:is>
      </x:c>
      <x:c r="C701" t="n">
        <x:v>89</x:v>
      </x:c>
      <x:c r="D701" t="n">
        <x:v>35</x:v>
      </x:c>
      <x:c r="E701" t="n">
        <x:f>INDEX(Model_TestVersion_Stats!$W:$W,C701)</x:f>
        <x:v>52</x:v>
      </x:c>
      <x:c r="F701" t="n">
        <x:f>INDEX(Model_TestVersion_Stats!$O:$O,C701)</x:f>
        <x:v>0.72</x:v>
      </x:c>
      <x:c r="G701" t="str">
        <x:f>IF(INDEX(Model_TestVersion_Stats!$R:$R,C701)="","",INDEX(Model_TestVersion_Stats!$R:$R,C701)/60)</x:f>
      </x:c>
      <x:c r="H701" t="n">
        <x:f>IF(E701="","",E701-(D701-1))</x:f>
        <x:v>18</x:v>
      </x:c>
      <x:c r="I701" t="n">
        <x:f>IF(H701&gt;0,1,0)</x:f>
        <x:v>1</x:v>
      </x:c>
      <x:c r="J701" t="n">
        <x:f>IF(OR(I701=0,F701="",F701=0),"",H701/F701)</x:f>
        <x:v>25</x:v>
      </x:c>
      <x:c r="K701" t="n">
        <x:f>IF(OR(I701=0,H701=0,F701=""),"",F701/H701)</x:f>
        <x:v>0.04</x:v>
      </x:c>
      <x:c r="L701" t="str">
        <x:f>IF(OR(I701=0,F701="",G701="",F701=0,G701=0),"",H701/(F701*G701))</x:f>
      </x:c>
      <x:c r="M701" t="n">
        <x:f>IF(J701="","",J701/_xlfn.MAXIFS($J:$J,$D:$D,D701))</x:f>
        <x:v>0.2708333333333333</x:v>
      </x:c>
      <x:c r="N701" t="str">
        <x:f>IF(L701="","",L701/_xlfn.MAXIFS($L:$L,$D:$D,D701))</x:f>
      </x:c>
      <x:c r="O701" t="str">
        <x:f>IF(OR(M701="",N701=""),"",SQRT(M701*N701))</x:f>
      </x:c>
      <x:c r="P701" t="str">
        <x:f>IF(OR(M701="",N701=""),"",M701^0.7*N701^0.3)</x:f>
      </x:c>
      <x:c r="Q701" t="str">
        <x:f>IF(OR(M701="",N701=""),"",M701^0.3*N701^0.7)</x:f>
      </x:c>
    </x:row>
    <x:row r="702" s="14" customFormat="1">
      <x:c r="A702" t="inlineStr">
        <x:is>
          <x:t xml:space="preserve">openai|gpt-6-1-sol|max|yes|fallback-na</x:t>
        </x:is>
      </x:c>
      <x:c r="B702" t="inlineStr">
        <x:is>
          <x:t xml:space="preserve">AA|v4.3.2</x:t>
        </x:is>
      </x:c>
      <x:c r="C702" t="n">
        <x:v>89</x:v>
      </x:c>
      <x:c r="D702" t="n">
        <x:v>40</x:v>
      </x:c>
      <x:c r="E702" t="n">
        <x:f>INDEX(Model_TestVersion_Stats!$W:$W,C702)</x:f>
        <x:v>52</x:v>
      </x:c>
      <x:c r="F702" t="n">
        <x:f>INDEX(Model_TestVersion_Stats!$O:$O,C702)</x:f>
        <x:v>0.72</x:v>
      </x:c>
      <x:c r="G702" t="str">
        <x:f>IF(INDEX(Model_TestVersion_Stats!$R:$R,C702)="","",INDEX(Model_TestVersion_Stats!$R:$R,C702)/60)</x:f>
      </x:c>
      <x:c r="H702" t="n">
        <x:f>IF(E702="","",E702-(D702-1))</x:f>
        <x:v>13</x:v>
      </x:c>
      <x:c r="I702" t="n">
        <x:f>IF(H702&gt;0,1,0)</x:f>
        <x:v>1</x:v>
      </x:c>
      <x:c r="J702" t="n">
        <x:f>IF(OR(I702=0,F702="",F702=0),"",H702/F702)</x:f>
        <x:v>18.055555555555557</x:v>
      </x:c>
      <x:c r="K702" t="n">
        <x:f>IF(OR(I702=0,H702=0,F702=""),"",F702/H702)</x:f>
        <x:v>0.05538461538461538</x:v>
      </x:c>
      <x:c r="L702" t="str">
        <x:f>IF(OR(I702=0,F702="",G702="",F702=0,G702=0),"",H702/(F702*G702))</x:f>
      </x:c>
      <x:c r="M702" t="n">
        <x:f>IF(J702="","",J702/_xlfn.MAXIFS($J:$J,$D:$D,D702))</x:f>
        <x:v>0.33531746031746035</x:v>
      </x:c>
      <x:c r="N702" t="str">
        <x:f>IF(L702="","",L702/_xlfn.MAXIFS($L:$L,$D:$D,D702))</x:f>
      </x:c>
      <x:c r="O702" t="str">
        <x:f>IF(OR(M702="",N702=""),"",SQRT(M702*N702))</x:f>
      </x:c>
      <x:c r="P702" t="str">
        <x:f>IF(OR(M702="",N702=""),"",M702^0.7*N702^0.3)</x:f>
      </x:c>
      <x:c r="Q702" t="str">
        <x:f>IF(OR(M702="",N702=""),"",M702^0.3*N702^0.7)</x:f>
      </x:c>
    </x:row>
    <x:row r="703" s="14" customFormat="1">
      <x:c r="A703" t="inlineStr">
        <x:is>
          <x:t xml:space="preserve">openai|gpt-6-1-sol|max|yes|fallback-na</x:t>
        </x:is>
      </x:c>
      <x:c r="B703" t="inlineStr">
        <x:is>
          <x:t xml:space="preserve">AA|v4.3.2</x:t>
        </x:is>
      </x:c>
      <x:c r="C703" t="n">
        <x:v>89</x:v>
      </x:c>
      <x:c r="D703" t="n">
        <x:v>45</x:v>
      </x:c>
      <x:c r="E703" t="n">
        <x:f>INDEX(Model_TestVersion_Stats!$W:$W,C703)</x:f>
        <x:v>52</x:v>
      </x:c>
      <x:c r="F703" t="n">
        <x:f>INDEX(Model_TestVersion_Stats!$O:$O,C703)</x:f>
        <x:v>0.72</x:v>
      </x:c>
      <x:c r="G703" t="str">
        <x:f>IF(INDEX(Model_TestVersion_Stats!$R:$R,C703)="","",INDEX(Model_TestVersion_Stats!$R:$R,C703)/60)</x:f>
      </x:c>
      <x:c r="H703" t="n">
        <x:f>IF(E703="","",E703-(D703-1))</x:f>
        <x:v>8</x:v>
      </x:c>
      <x:c r="I703" t="n">
        <x:f>IF(H703&gt;0,1,0)</x:f>
        <x:v>1</x:v>
      </x:c>
      <x:c r="J703" t="n">
        <x:f>IF(OR(I703=0,F703="",F703=0),"",H703/F703)</x:f>
        <x:v>11.11111111111111</x:v>
      </x:c>
      <x:c r="K703" t="n">
        <x:f>IF(OR(I703=0,H703=0,F703=""),"",F703/H703)</x:f>
        <x:v>0.09</x:v>
      </x:c>
      <x:c r="L703" t="str">
        <x:f>IF(OR(I703=0,F703="",G703="",F703=0,G703=0),"",H703/(F703*G703))</x:f>
      </x:c>
      <x:c r="M703" t="n">
        <x:f>IF(J703="","",J703/_xlfn.MAXIFS($J:$J,$D:$D,D703))</x:f>
        <x:v>0.5833333333333334</x:v>
      </x:c>
      <x:c r="N703" t="str">
        <x:f>IF(L703="","",L703/_xlfn.MAXIFS($L:$L,$D:$D,D703))</x:f>
      </x:c>
      <x:c r="O703" t="str">
        <x:f>IF(OR(M703="",N703=""),"",SQRT(M703*N703))</x:f>
      </x:c>
      <x:c r="P703" t="str">
        <x:f>IF(OR(M703="",N703=""),"",M703^0.7*N703^0.3)</x:f>
      </x:c>
      <x:c r="Q703" t="str">
        <x:f>IF(OR(M703="",N703=""),"",M703^0.3*N703^0.7)</x:f>
      </x:c>
    </x:row>
    <x:row r="704" s="14" customFormat="1">
      <x:c r="A704" t="inlineStr">
        <x:is>
          <x:t xml:space="preserve">openai|gpt-6-1-sol|max|yes|fallback-na</x:t>
        </x:is>
      </x:c>
      <x:c r="B704" t="inlineStr">
        <x:is>
          <x:t xml:space="preserve">AA|v4.3.2</x:t>
        </x:is>
      </x:c>
      <x:c r="C704" t="n">
        <x:v>89</x:v>
      </x:c>
      <x:c r="D704" t="n">
        <x:v>50</x:v>
      </x:c>
      <x:c r="E704" t="n">
        <x:f>INDEX(Model_TestVersion_Stats!$W:$W,C704)</x:f>
        <x:v>52</x:v>
      </x:c>
      <x:c r="F704" t="n">
        <x:f>INDEX(Model_TestVersion_Stats!$O:$O,C704)</x:f>
        <x:v>0.72</x:v>
      </x:c>
      <x:c r="G704" t="str">
        <x:f>IF(INDEX(Model_TestVersion_Stats!$R:$R,C704)="","",INDEX(Model_TestVersion_Stats!$R:$R,C704)/60)</x:f>
      </x:c>
      <x:c r="H704" t="n">
        <x:f>IF(E704="","",E704-(D704-1))</x:f>
        <x:v>3</x:v>
      </x:c>
      <x:c r="I704" t="n">
        <x:f>IF(H704&gt;0,1,0)</x:f>
        <x:v>1</x:v>
      </x:c>
      <x:c r="J704" t="n">
        <x:f>IF(OR(I704=0,F704="",F704=0),"",H704/F704)</x:f>
        <x:v>4.166666666666667</x:v>
      </x:c>
      <x:c r="K704" t="n">
        <x:f>IF(OR(I704=0,H704=0,F704=""),"",F704/H704)</x:f>
        <x:v>0.24</x:v>
      </x:c>
      <x:c r="L704" t="str">
        <x:f>IF(OR(I704=0,F704="",G704="",F704=0,G704=0),"",H704/(F704*G704))</x:f>
      </x:c>
      <x:c r="M704" t="n">
        <x:f>IF(J704="","",J704/_xlfn.MAXIFS($J:$J,$D:$D,D704))</x:f>
        <x:v>0.8125000000000001</x:v>
      </x:c>
      <x:c r="N704" t="str">
        <x:f>IF(L704="","",L704/_xlfn.MAXIFS($L:$L,$D:$D,D704))</x:f>
      </x:c>
      <x:c r="O704" t="str">
        <x:f>IF(OR(M704="",N704=""),"",SQRT(M704*N704))</x:f>
      </x:c>
      <x:c r="P704" t="str">
        <x:f>IF(OR(M704="",N704=""),"",M704^0.7*N704^0.3)</x:f>
      </x:c>
      <x:c r="Q704" t="str">
        <x:f>IF(OR(M704="",N704=""),"",M704^0.3*N704^0.7)</x:f>
      </x:c>
    </x:row>
    <x:row r="705" s="14" customFormat="1">
      <x:c r="A705" t="inlineStr">
        <x:is>
          <x:t xml:space="preserve">openai|gpt-6-1-sol|max|yes|fallback-na</x:t>
        </x:is>
      </x:c>
      <x:c r="B705" t="inlineStr">
        <x:is>
          <x:t xml:space="preserve">AA|v4.3.2</x:t>
        </x:is>
      </x:c>
      <x:c r="C705" t="n">
        <x:v>89</x:v>
      </x:c>
      <x:c r="D705" t="n">
        <x:v>60</x:v>
      </x:c>
      <x:c r="E705" t="n">
        <x:f>INDEX(Model_TestVersion_Stats!$W:$W,C705)</x:f>
        <x:v>52</x:v>
      </x:c>
      <x:c r="F705" t="n">
        <x:f>INDEX(Model_TestVersion_Stats!$O:$O,C705)</x:f>
        <x:v>0.72</x:v>
      </x:c>
      <x:c r="G705" t="str">
        <x:f>IF(INDEX(Model_TestVersion_Stats!$R:$R,C705)="","",INDEX(Model_TestVersion_Stats!$R:$R,C705)/60)</x:f>
      </x:c>
      <x:c r="H705" t="n">
        <x:f>IF(E705="","",E705-(D705-1))</x:f>
        <x:v>-7</x:v>
      </x:c>
      <x:c r="I705" t="n">
        <x:f>IF(H705&gt;0,1,0)</x:f>
        <x:v>0</x:v>
      </x:c>
      <x:c r="J705" t="str">
        <x:f>IF(OR(I705=0,F705="",F705=0),"",H705/F705)</x:f>
      </x:c>
      <x:c r="K705" t="str">
        <x:f>IF(OR(I705=0,H705=0,F705=""),"",F705/H705)</x:f>
      </x:c>
      <x:c r="L705" t="str">
        <x:f>IF(OR(I705=0,F705="",G705="",F705=0,G705=0),"",H705/(F705*G705))</x:f>
      </x:c>
      <x:c r="M705" t="str">
        <x:f>IF(J705="","",J705/_xlfn.MAXIFS($J:$J,$D:$D,D705))</x:f>
      </x:c>
      <x:c r="N705" t="str">
        <x:f>IF(L705="","",L705/_xlfn.MAXIFS($L:$L,$D:$D,D705))</x:f>
      </x:c>
      <x:c r="O705" t="str">
        <x:f>IF(OR(M705="",N705=""),"",SQRT(M705*N705))</x:f>
      </x:c>
      <x:c r="P705" t="str">
        <x:f>IF(OR(M705="",N705=""),"",M705^0.7*N705^0.3)</x:f>
      </x:c>
      <x:c r="Q705" t="str">
        <x:f>IF(OR(M705="",N705=""),"",M705^0.3*N705^0.7)</x:f>
      </x:c>
    </x:row>
    <x:row r="706" s="14" customFormat="1">
      <x:c r="A706" t="inlineStr">
        <x:is>
          <x:t xml:space="preserve">anthropic|claude-haiku-5-5|max|yes|fallback-na</x:t>
        </x:is>
      </x:c>
      <x:c r="B706" t="inlineStr">
        <x:is>
          <x:t xml:space="preserve">AA|v4.3.2</x:t>
        </x:is>
      </x:c>
      <x:c r="C706" t="n">
        <x:v>90</x:v>
      </x:c>
      <x:c r="D706" t="n">
        <x:v>10</x:v>
      </x:c>
      <x:c r="E706" t="n">
        <x:f>INDEX(Model_TestVersion_Stats!$W:$W,C706)</x:f>
        <x:v>43</x:v>
      </x:c>
      <x:c r="F706" t="n">
        <x:f>INDEX(Model_TestVersion_Stats!$O:$O,C706)</x:f>
        <x:v>0.21</x:v>
      </x:c>
      <x:c r="G706" t="str">
        <x:f>IF(INDEX(Model_TestVersion_Stats!$R:$R,C706)="","",INDEX(Model_TestVersion_Stats!$R:$R,C706)/60)</x:f>
      </x:c>
      <x:c r="H706" t="n">
        <x:f>IF(E706="","",E706-(D706-1))</x:f>
        <x:v>34</x:v>
      </x:c>
      <x:c r="I706" t="n">
        <x:f>IF(H706&gt;0,1,0)</x:f>
        <x:v>1</x:v>
      </x:c>
      <x:c r="J706" t="n">
        <x:f>IF(OR(I706=0,F706="",F706=0),"",H706/F706)</x:f>
        <x:v>161.9047619047619</x:v>
      </x:c>
      <x:c r="K706" t="n">
        <x:f>IF(OR(I706=0,H706=0,F706=""),"",F706/H706)</x:f>
        <x:v>0.006176470588235294</x:v>
      </x:c>
      <x:c r="L706" t="str">
        <x:f>IF(OR(I706=0,F706="",G706="",F706=0,G706=0),"",H706/(F706*G706))</x:f>
      </x:c>
      <x:c r="M706" t="n">
        <x:f>IF(J706="","",J706/_xlfn.MAXIFS($J:$J,$D:$D,D706))</x:f>
        <x:v>0.16190476190476188</x:v>
      </x:c>
      <x:c r="N706" t="str">
        <x:f>IF(L706="","",L706/_xlfn.MAXIFS($L:$L,$D:$D,D706))</x:f>
      </x:c>
      <x:c r="O706" t="str">
        <x:f>IF(OR(M706="",N706=""),"",SQRT(M706*N706))</x:f>
      </x:c>
      <x:c r="P706" t="str">
        <x:f>IF(OR(M706="",N706=""),"",M706^0.7*N706^0.3)</x:f>
      </x:c>
      <x:c r="Q706" t="str">
        <x:f>IF(OR(M706="",N706=""),"",M706^0.3*N706^0.7)</x:f>
      </x:c>
    </x:row>
    <x:row r="707" s="14" customFormat="1">
      <x:c r="A707" t="inlineStr">
        <x:is>
          <x:t xml:space="preserve">anthropic|claude-haiku-5-5|max|yes|fallback-na</x:t>
        </x:is>
      </x:c>
      <x:c r="B707" t="inlineStr">
        <x:is>
          <x:t xml:space="preserve">AA|v4.3.2</x:t>
        </x:is>
      </x:c>
      <x:c r="C707" t="n">
        <x:v>90</x:v>
      </x:c>
      <x:c r="D707" t="n">
        <x:v>20</x:v>
      </x:c>
      <x:c r="E707" t="n">
        <x:f>INDEX(Model_TestVersion_Stats!$W:$W,C707)</x:f>
        <x:v>43</x:v>
      </x:c>
      <x:c r="F707" t="n">
        <x:f>INDEX(Model_TestVersion_Stats!$O:$O,C707)</x:f>
        <x:v>0.21</x:v>
      </x:c>
      <x:c r="G707" t="str">
        <x:f>IF(INDEX(Model_TestVersion_Stats!$R:$R,C707)="","",INDEX(Model_TestVersion_Stats!$R:$R,C707)/60)</x:f>
      </x:c>
      <x:c r="H707" t="n">
        <x:f>IF(E707="","",E707-(D707-1))</x:f>
        <x:v>24</x:v>
      </x:c>
      <x:c r="I707" t="n">
        <x:f>IF(H707&gt;0,1,0)</x:f>
        <x:v>1</x:v>
      </x:c>
      <x:c r="J707" t="n">
        <x:f>IF(OR(I707=0,F707="",F707=0),"",H707/F707)</x:f>
        <x:v>114.28571428571429</x:v>
      </x:c>
      <x:c r="K707" t="n">
        <x:f>IF(OR(I707=0,H707=0,F707=""),"",F707/H707)</x:f>
        <x:v>0.008749999999999999</x:v>
      </x:c>
      <x:c r="L707" t="str">
        <x:f>IF(OR(I707=0,F707="",G707="",F707=0,G707=0),"",H707/(F707*G707))</x:f>
      </x:c>
      <x:c r="M707" t="n">
        <x:f>IF(J707="","",J707/_xlfn.MAXIFS($J:$J,$D:$D,D707))</x:f>
        <x:v>0.20571428571428574</x:v>
      </x:c>
      <x:c r="N707" t="str">
        <x:f>IF(L707="","",L707/_xlfn.MAXIFS($L:$L,$D:$D,D707))</x:f>
      </x:c>
      <x:c r="O707" t="str">
        <x:f>IF(OR(M707="",N707=""),"",SQRT(M707*N707))</x:f>
      </x:c>
      <x:c r="P707" t="str">
        <x:f>IF(OR(M707="",N707=""),"",M707^0.7*N707^0.3)</x:f>
      </x:c>
      <x:c r="Q707" t="str">
        <x:f>IF(OR(M707="",N707=""),"",M707^0.3*N707^0.7)</x:f>
      </x:c>
    </x:row>
    <x:row r="708" s="14" customFormat="1">
      <x:c r="A708" t="inlineStr">
        <x:is>
          <x:t xml:space="preserve">anthropic|claude-haiku-5-5|max|yes|fallback-na</x:t>
        </x:is>
      </x:c>
      <x:c r="B708" t="inlineStr">
        <x:is>
          <x:t xml:space="preserve">AA|v4.3.2</x:t>
        </x:is>
      </x:c>
      <x:c r="C708" t="n">
        <x:v>90</x:v>
      </x:c>
      <x:c r="D708" t="n">
        <x:v>30</x:v>
      </x:c>
      <x:c r="E708" t="n">
        <x:f>INDEX(Model_TestVersion_Stats!$W:$W,C708)</x:f>
        <x:v>43</x:v>
      </x:c>
      <x:c r="F708" t="n">
        <x:f>INDEX(Model_TestVersion_Stats!$O:$O,C708)</x:f>
        <x:v>0.21</x:v>
      </x:c>
      <x:c r="G708" t="str">
        <x:f>IF(INDEX(Model_TestVersion_Stats!$R:$R,C708)="","",INDEX(Model_TestVersion_Stats!$R:$R,C708)/60)</x:f>
      </x:c>
      <x:c r="H708" t="n">
        <x:f>IF(E708="","",E708-(D708-1))</x:f>
        <x:v>14</x:v>
      </x:c>
      <x:c r="I708" t="n">
        <x:f>IF(H708&gt;0,1,0)</x:f>
        <x:v>1</x:v>
      </x:c>
      <x:c r="J708" t="n">
        <x:f>IF(OR(I708=0,F708="",F708=0),"",H708/F708)</x:f>
        <x:v>66.66666666666667</x:v>
      </x:c>
      <x:c r="K708" t="n">
        <x:f>IF(OR(I708=0,H708=0,F708=""),"",F708/H708)</x:f>
        <x:v>0.015</x:v>
      </x:c>
      <x:c r="L708" t="str">
        <x:f>IF(OR(I708=0,F708="",G708="",F708=0,G708=0),"",H708/(F708*G708))</x:f>
      </x:c>
      <x:c r="M708" t="n">
        <x:f>IF(J708="","",J708/_xlfn.MAXIFS($J:$J,$D:$D,D708))</x:f>
        <x:v>0.4444444444444445</x:v>
      </x:c>
      <x:c r="N708" t="str">
        <x:f>IF(L708="","",L708/_xlfn.MAXIFS($L:$L,$D:$D,D708))</x:f>
      </x:c>
      <x:c r="O708" t="str">
        <x:f>IF(OR(M708="",N708=""),"",SQRT(M708*N708))</x:f>
      </x:c>
      <x:c r="P708" t="str">
        <x:f>IF(OR(M708="",N708=""),"",M708^0.7*N708^0.3)</x:f>
      </x:c>
      <x:c r="Q708" t="str">
        <x:f>IF(OR(M708="",N708=""),"",M708^0.3*N708^0.7)</x:f>
      </x:c>
    </x:row>
    <x:row r="709" s="14" customFormat="1">
      <x:c r="A709" t="inlineStr">
        <x:is>
          <x:t xml:space="preserve">anthropic|claude-haiku-5-5|max|yes|fallback-na</x:t>
        </x:is>
      </x:c>
      <x:c r="B709" t="inlineStr">
        <x:is>
          <x:t xml:space="preserve">AA|v4.3.2</x:t>
        </x:is>
      </x:c>
      <x:c r="C709" t="n">
        <x:v>90</x:v>
      </x:c>
      <x:c r="D709" t="n">
        <x:v>35</x:v>
      </x:c>
      <x:c r="E709" t="n">
        <x:f>INDEX(Model_TestVersion_Stats!$W:$W,C709)</x:f>
        <x:v>43</x:v>
      </x:c>
      <x:c r="F709" t="n">
        <x:f>INDEX(Model_TestVersion_Stats!$O:$O,C709)</x:f>
        <x:v>0.21</x:v>
      </x:c>
      <x:c r="G709" t="str">
        <x:f>IF(INDEX(Model_TestVersion_Stats!$R:$R,C709)="","",INDEX(Model_TestVersion_Stats!$R:$R,C709)/60)</x:f>
      </x:c>
      <x:c r="H709" t="n">
        <x:f>IF(E709="","",E709-(D709-1))</x:f>
        <x:v>9</x:v>
      </x:c>
      <x:c r="I709" t="n">
        <x:f>IF(H709&gt;0,1,0)</x:f>
        <x:v>1</x:v>
      </x:c>
      <x:c r="J709" t="n">
        <x:f>IF(OR(I709=0,F709="",F709=0),"",H709/F709)</x:f>
        <x:v>42.85714285714286</x:v>
      </x:c>
      <x:c r="K709" t="n">
        <x:f>IF(OR(I709=0,H709=0,F709=""),"",F709/H709)</x:f>
        <x:v>0.02333333333333333</x:v>
      </x:c>
      <x:c r="L709" t="str">
        <x:f>IF(OR(I709=0,F709="",G709="",F709=0,G709=0),"",H709/(F709*G709))</x:f>
      </x:c>
      <x:c r="M709" t="n">
        <x:f>IF(J709="","",J709/_xlfn.MAXIFS($J:$J,$D:$D,D709))</x:f>
        <x:v>0.46428571428571436</x:v>
      </x:c>
      <x:c r="N709" t="str">
        <x:f>IF(L709="","",L709/_xlfn.MAXIFS($L:$L,$D:$D,D709))</x:f>
      </x:c>
      <x:c r="O709" t="str">
        <x:f>IF(OR(M709="",N709=""),"",SQRT(M709*N709))</x:f>
      </x:c>
      <x:c r="P709" t="str">
        <x:f>IF(OR(M709="",N709=""),"",M709^0.7*N709^0.3)</x:f>
      </x:c>
      <x:c r="Q709" t="str">
        <x:f>IF(OR(M709="",N709=""),"",M709^0.3*N709^0.7)</x:f>
      </x:c>
    </x:row>
    <x:row r="710" s="14" customFormat="1">
      <x:c r="A710" t="inlineStr">
        <x:is>
          <x:t xml:space="preserve">anthropic|claude-haiku-5-5|max|yes|fallback-na</x:t>
        </x:is>
      </x:c>
      <x:c r="B710" t="inlineStr">
        <x:is>
          <x:t xml:space="preserve">AA|v4.3.2</x:t>
        </x:is>
      </x:c>
      <x:c r="C710" t="n">
        <x:v>90</x:v>
      </x:c>
      <x:c r="D710" t="n">
        <x:v>40</x:v>
      </x:c>
      <x:c r="E710" t="n">
        <x:f>INDEX(Model_TestVersion_Stats!$W:$W,C710)</x:f>
        <x:v>43</x:v>
      </x:c>
      <x:c r="F710" t="n">
        <x:f>INDEX(Model_TestVersion_Stats!$O:$O,C710)</x:f>
        <x:v>0.21</x:v>
      </x:c>
      <x:c r="G710" t="str">
        <x:f>IF(INDEX(Model_TestVersion_Stats!$R:$R,C710)="","",INDEX(Model_TestVersion_Stats!$R:$R,C710)/60)</x:f>
      </x:c>
      <x:c r="H710" t="n">
        <x:f>IF(E710="","",E710-(D710-1))</x:f>
        <x:v>4</x:v>
      </x:c>
      <x:c r="I710" t="n">
        <x:f>IF(H710&gt;0,1,0)</x:f>
        <x:v>1</x:v>
      </x:c>
      <x:c r="J710" t="n">
        <x:f>IF(OR(I710=0,F710="",F710=0),"",H710/F710)</x:f>
        <x:v>19.047619047619047</x:v>
      </x:c>
      <x:c r="K710" t="n">
        <x:f>IF(OR(I710=0,H710=0,F710=""),"",F710/H710)</x:f>
        <x:v>0.0525</x:v>
      </x:c>
      <x:c r="L710" t="str">
        <x:f>IF(OR(I710=0,F710="",G710="",F710=0,G710=0),"",H710/(F710*G710))</x:f>
      </x:c>
      <x:c r="M710" t="n">
        <x:f>IF(J710="","",J710/_xlfn.MAXIFS($J:$J,$D:$D,D710))</x:f>
        <x:v>0.35374149659863946</x:v>
      </x:c>
      <x:c r="N710" t="str">
        <x:f>IF(L710="","",L710/_xlfn.MAXIFS($L:$L,$D:$D,D710))</x:f>
      </x:c>
      <x:c r="O710" t="str">
        <x:f>IF(OR(M710="",N710=""),"",SQRT(M710*N710))</x:f>
      </x:c>
      <x:c r="P710" t="str">
        <x:f>IF(OR(M710="",N710=""),"",M710^0.7*N710^0.3)</x:f>
      </x:c>
      <x:c r="Q710" t="str">
        <x:f>IF(OR(M710="",N710=""),"",M710^0.3*N710^0.7)</x:f>
      </x:c>
    </x:row>
    <x:row r="711" s="14" customFormat="1">
      <x:c r="A711" t="inlineStr">
        <x:is>
          <x:t xml:space="preserve">anthropic|claude-haiku-5-5|max|yes|fallback-na</x:t>
        </x:is>
      </x:c>
      <x:c r="B711" t="inlineStr">
        <x:is>
          <x:t xml:space="preserve">AA|v4.3.2</x:t>
        </x:is>
      </x:c>
      <x:c r="C711" t="n">
        <x:v>90</x:v>
      </x:c>
      <x:c r="D711" t="n">
        <x:v>45</x:v>
      </x:c>
      <x:c r="E711" t="n">
        <x:f>INDEX(Model_TestVersion_Stats!$W:$W,C711)</x:f>
        <x:v>43</x:v>
      </x:c>
      <x:c r="F711" t="n">
        <x:f>INDEX(Model_TestVersion_Stats!$O:$O,C711)</x:f>
        <x:v>0.21</x:v>
      </x:c>
      <x:c r="G711" t="str">
        <x:f>IF(INDEX(Model_TestVersion_Stats!$R:$R,C711)="","",INDEX(Model_TestVersion_Stats!$R:$R,C711)/60)</x:f>
      </x:c>
      <x:c r="H711" t="n">
        <x:f>IF(E711="","",E711-(D711-1))</x:f>
        <x:v>-1</x:v>
      </x:c>
      <x:c r="I711" t="n">
        <x:f>IF(H711&gt;0,1,0)</x:f>
        <x:v>0</x:v>
      </x:c>
      <x:c r="J711" t="str">
        <x:f>IF(OR(I711=0,F711="",F711=0),"",H711/F711)</x:f>
      </x:c>
      <x:c r="K711" t="str">
        <x:f>IF(OR(I711=0,H711=0,F711=""),"",F711/H711)</x:f>
      </x:c>
      <x:c r="L711" t="str">
        <x:f>IF(OR(I711=0,F711="",G711="",F711=0,G711=0),"",H711/(F711*G711))</x:f>
      </x:c>
      <x:c r="M711" t="str">
        <x:f>IF(J711="","",J711/_xlfn.MAXIFS($J:$J,$D:$D,D711))</x:f>
      </x:c>
      <x:c r="N711" t="str">
        <x:f>IF(L711="","",L711/_xlfn.MAXIFS($L:$L,$D:$D,D711))</x:f>
      </x:c>
      <x:c r="O711" t="str">
        <x:f>IF(OR(M711="",N711=""),"",SQRT(M711*N711))</x:f>
      </x:c>
      <x:c r="P711" t="str">
        <x:f>IF(OR(M711="",N711=""),"",M711^0.7*N711^0.3)</x:f>
      </x:c>
      <x:c r="Q711" t="str">
        <x:f>IF(OR(M711="",N711=""),"",M711^0.3*N711^0.7)</x:f>
      </x:c>
    </x:row>
    <x:row r="712" s="14" customFormat="1">
      <x:c r="A712" t="inlineStr">
        <x:is>
          <x:t xml:space="preserve">anthropic|claude-haiku-5-5|max|yes|fallback-na</x:t>
        </x:is>
      </x:c>
      <x:c r="B712" t="inlineStr">
        <x:is>
          <x:t xml:space="preserve">AA|v4.3.2</x:t>
        </x:is>
      </x:c>
      <x:c r="C712" t="n">
        <x:v>90</x:v>
      </x:c>
      <x:c r="D712" t="n">
        <x:v>50</x:v>
      </x:c>
      <x:c r="E712" t="n">
        <x:f>INDEX(Model_TestVersion_Stats!$W:$W,C712)</x:f>
        <x:v>43</x:v>
      </x:c>
      <x:c r="F712" t="n">
        <x:f>INDEX(Model_TestVersion_Stats!$O:$O,C712)</x:f>
        <x:v>0.21</x:v>
      </x:c>
      <x:c r="G712" t="str">
        <x:f>IF(INDEX(Model_TestVersion_Stats!$R:$R,C712)="","",INDEX(Model_TestVersion_Stats!$R:$R,C712)/60)</x:f>
      </x:c>
      <x:c r="H712" t="n">
        <x:f>IF(E712="","",E712-(D712-1))</x:f>
        <x:v>-6</x:v>
      </x:c>
      <x:c r="I712" t="n">
        <x:f>IF(H712&gt;0,1,0)</x:f>
        <x:v>0</x:v>
      </x:c>
      <x:c r="J712" t="str">
        <x:f>IF(OR(I712=0,F712="",F712=0),"",H712/F712)</x:f>
      </x:c>
      <x:c r="K712" t="str">
        <x:f>IF(OR(I712=0,H712=0,F712=""),"",F712/H712)</x:f>
      </x:c>
      <x:c r="L712" t="str">
        <x:f>IF(OR(I712=0,F712="",G712="",F712=0,G712=0),"",H712/(F712*G712))</x:f>
      </x:c>
      <x:c r="M712" t="str">
        <x:f>IF(J712="","",J712/_xlfn.MAXIFS($J:$J,$D:$D,D712))</x:f>
      </x:c>
      <x:c r="N712" t="str">
        <x:f>IF(L712="","",L712/_xlfn.MAXIFS($L:$L,$D:$D,D712))</x:f>
      </x:c>
      <x:c r="O712" t="str">
        <x:f>IF(OR(M712="",N712=""),"",SQRT(M712*N712))</x:f>
      </x:c>
      <x:c r="P712" t="str">
        <x:f>IF(OR(M712="",N712=""),"",M712^0.7*N712^0.3)</x:f>
      </x:c>
      <x:c r="Q712" t="str">
        <x:f>IF(OR(M712="",N712=""),"",M712^0.3*N712^0.7)</x:f>
      </x:c>
    </x:row>
    <x:row r="713" s="14" customFormat="1">
      <x:c r="A713" t="inlineStr">
        <x:is>
          <x:t xml:space="preserve">anthropic|claude-haiku-5-5|max|yes|fallback-na</x:t>
        </x:is>
      </x:c>
      <x:c r="B713" t="inlineStr">
        <x:is>
          <x:t xml:space="preserve">AA|v4.3.2</x:t>
        </x:is>
      </x:c>
      <x:c r="C713" t="n">
        <x:v>90</x:v>
      </x:c>
      <x:c r="D713" t="n">
        <x:v>60</x:v>
      </x:c>
      <x:c r="E713" t="n">
        <x:f>INDEX(Model_TestVersion_Stats!$W:$W,C713)</x:f>
        <x:v>43</x:v>
      </x:c>
      <x:c r="F713" t="n">
        <x:f>INDEX(Model_TestVersion_Stats!$O:$O,C713)</x:f>
        <x:v>0.21</x:v>
      </x:c>
      <x:c r="G713" t="str">
        <x:f>IF(INDEX(Model_TestVersion_Stats!$R:$R,C713)="","",INDEX(Model_TestVersion_Stats!$R:$R,C713)/60)</x:f>
      </x:c>
      <x:c r="H713" t="n">
        <x:f>IF(E713="","",E713-(D713-1))</x:f>
        <x:v>-16</x:v>
      </x:c>
      <x:c r="I713" t="n">
        <x:f>IF(H713&gt;0,1,0)</x:f>
        <x:v>0</x:v>
      </x:c>
      <x:c r="J713" t="str">
        <x:f>IF(OR(I713=0,F713="",F713=0),"",H713/F713)</x:f>
      </x:c>
      <x:c r="K713" t="str">
        <x:f>IF(OR(I713=0,H713=0,F713=""),"",F713/H713)</x:f>
      </x:c>
      <x:c r="L713" t="str">
        <x:f>IF(OR(I713=0,F713="",G713="",F713=0,G713=0),"",H713/(F713*G713))</x:f>
      </x:c>
      <x:c r="M713" t="str">
        <x:f>IF(J713="","",J713/_xlfn.MAXIFS($J:$J,$D:$D,D713))</x:f>
      </x:c>
      <x:c r="N713" t="str">
        <x:f>IF(L713="","",L713/_xlfn.MAXIFS($L:$L,$D:$D,D713))</x:f>
      </x:c>
      <x:c r="O713" t="str">
        <x:f>IF(OR(M713="",N713=""),"",SQRT(M713*N713))</x:f>
      </x:c>
      <x:c r="P713" t="str">
        <x:f>IF(OR(M713="",N713=""),"",M713^0.7*N713^0.3)</x:f>
      </x:c>
      <x:c r="Q713" t="str">
        <x:f>IF(OR(M713="",N713=""),"",M713^0.3*N713^0.7)</x:f>
      </x:c>
    </x:row>
    <x:row r="714" s="14" customFormat="1">
      <x:c r="A714" t="inlineStr">
        <x:is>
          <x:t xml:space="preserve">mistral|mistral-large-4-preview|reasoning|yes|fallback-na</x:t>
        </x:is>
      </x:c>
      <x:c r="B714" t="inlineStr">
        <x:is>
          <x:t xml:space="preserve">AA|v4.3.2</x:t>
        </x:is>
      </x:c>
      <x:c r="C714" t="n">
        <x:v>91</x:v>
      </x:c>
      <x:c r="D714" t="n">
        <x:v>10</x:v>
      </x:c>
      <x:c r="E714" t="n">
        <x:f>INDEX(Model_TestVersion_Stats!$W:$W,C714)</x:f>
        <x:v>38</x:v>
      </x:c>
      <x:c r="F714" t="n">
        <x:f>INDEX(Model_TestVersion_Stats!$O:$O,C714)</x:f>
        <x:v>1.13</x:v>
      </x:c>
      <x:c r="G714" t="str">
        <x:f>IF(INDEX(Model_TestVersion_Stats!$R:$R,C714)="","",INDEX(Model_TestVersion_Stats!$R:$R,C714)/60)</x:f>
      </x:c>
      <x:c r="H714" t="n">
        <x:f>IF(E714="","",E714-(D714-1))</x:f>
        <x:v>29</x:v>
      </x:c>
      <x:c r="I714" t="n">
        <x:f>IF(H714&gt;0,1,0)</x:f>
        <x:v>1</x:v>
      </x:c>
      <x:c r="J714" t="n">
        <x:f>IF(OR(I714=0,F714="",F714=0),"",H714/F714)</x:f>
        <x:v>25.663716814159294</x:v>
      </x:c>
      <x:c r="K714" t="n">
        <x:f>IF(OR(I714=0,H714=0,F714=""),"",F714/H714)</x:f>
        <x:v>0.038965517241379304</x:v>
      </x:c>
      <x:c r="L714" t="str">
        <x:f>IF(OR(I714=0,F714="",G714="",F714=0,G714=0),"",H714/(F714*G714))</x:f>
      </x:c>
      <x:c r="M714" t="n">
        <x:f>IF(J714="","",J714/_xlfn.MAXIFS($J:$J,$D:$D,D714))</x:f>
        <x:v>0.025663716814159295</x:v>
      </x:c>
      <x:c r="N714" t="str">
        <x:f>IF(L714="","",L714/_xlfn.MAXIFS($L:$L,$D:$D,D714))</x:f>
      </x:c>
      <x:c r="O714" t="str">
        <x:f>IF(OR(M714="",N714=""),"",SQRT(M714*N714))</x:f>
      </x:c>
      <x:c r="P714" t="str">
        <x:f>IF(OR(M714="",N714=""),"",M714^0.7*N714^0.3)</x:f>
      </x:c>
      <x:c r="Q714" t="str">
        <x:f>IF(OR(M714="",N714=""),"",M714^0.3*N714^0.7)</x:f>
      </x:c>
    </x:row>
    <x:row r="715" s="14" customFormat="1">
      <x:c r="A715" t="inlineStr">
        <x:is>
          <x:t xml:space="preserve">mistral|mistral-large-4-preview|reasoning|yes|fallback-na</x:t>
        </x:is>
      </x:c>
      <x:c r="B715" t="inlineStr">
        <x:is>
          <x:t xml:space="preserve">AA|v4.3.2</x:t>
        </x:is>
      </x:c>
      <x:c r="C715" t="n">
        <x:v>91</x:v>
      </x:c>
      <x:c r="D715" t="n">
        <x:v>20</x:v>
      </x:c>
      <x:c r="E715" t="n">
        <x:f>INDEX(Model_TestVersion_Stats!$W:$W,C715)</x:f>
        <x:v>38</x:v>
      </x:c>
      <x:c r="F715" t="n">
        <x:f>INDEX(Model_TestVersion_Stats!$O:$O,C715)</x:f>
        <x:v>1.13</x:v>
      </x:c>
      <x:c r="G715" t="str">
        <x:f>IF(INDEX(Model_TestVersion_Stats!$R:$R,C715)="","",INDEX(Model_TestVersion_Stats!$R:$R,C715)/60)</x:f>
      </x:c>
      <x:c r="H715" t="n">
        <x:f>IF(E715="","",E715-(D715-1))</x:f>
        <x:v>19</x:v>
      </x:c>
      <x:c r="I715" t="n">
        <x:f>IF(H715&gt;0,1,0)</x:f>
        <x:v>1</x:v>
      </x:c>
      <x:c r="J715" t="n">
        <x:f>IF(OR(I715=0,F715="",F715=0),"",H715/F715)</x:f>
        <x:v>16.8141592920354</x:v>
      </x:c>
      <x:c r="K715" t="n">
        <x:f>IF(OR(I715=0,H715=0,F715=""),"",F715/H715)</x:f>
        <x:v>0.05947368421052631</x:v>
      </x:c>
      <x:c r="L715" t="str">
        <x:f>IF(OR(I715=0,F715="",G715="",F715=0,G715=0),"",H715/(F715*G715))</x:f>
      </x:c>
      <x:c r="M715" t="n">
        <x:f>IF(J715="","",J715/_xlfn.MAXIFS($J:$J,$D:$D,D715))</x:f>
        <x:v>0.030265486725663718</x:v>
      </x:c>
      <x:c r="N715" t="str">
        <x:f>IF(L715="","",L715/_xlfn.MAXIFS($L:$L,$D:$D,D715))</x:f>
      </x:c>
      <x:c r="O715" t="str">
        <x:f>IF(OR(M715="",N715=""),"",SQRT(M715*N715))</x:f>
      </x:c>
      <x:c r="P715" t="str">
        <x:f>IF(OR(M715="",N715=""),"",M715^0.7*N715^0.3)</x:f>
      </x:c>
      <x:c r="Q715" t="str">
        <x:f>IF(OR(M715="",N715=""),"",M715^0.3*N715^0.7)</x:f>
      </x:c>
    </x:row>
    <x:row r="716" s="14" customFormat="1">
      <x:c r="A716" t="inlineStr">
        <x:is>
          <x:t xml:space="preserve">mistral|mistral-large-4-preview|reasoning|yes|fallback-na</x:t>
        </x:is>
      </x:c>
      <x:c r="B716" t="inlineStr">
        <x:is>
          <x:t xml:space="preserve">AA|v4.3.2</x:t>
        </x:is>
      </x:c>
      <x:c r="C716" t="n">
        <x:v>91</x:v>
      </x:c>
      <x:c r="D716" t="n">
        <x:v>30</x:v>
      </x:c>
      <x:c r="E716" t="n">
        <x:f>INDEX(Model_TestVersion_Stats!$W:$W,C716)</x:f>
        <x:v>38</x:v>
      </x:c>
      <x:c r="F716" t="n">
        <x:f>INDEX(Model_TestVersion_Stats!$O:$O,C716)</x:f>
        <x:v>1.13</x:v>
      </x:c>
      <x:c r="G716" t="str">
        <x:f>IF(INDEX(Model_TestVersion_Stats!$R:$R,C716)="","",INDEX(Model_TestVersion_Stats!$R:$R,C716)/60)</x:f>
      </x:c>
      <x:c r="H716" t="n">
        <x:f>IF(E716="","",E716-(D716-1))</x:f>
        <x:v>9</x:v>
      </x:c>
      <x:c r="I716" t="n">
        <x:f>IF(H716&gt;0,1,0)</x:f>
        <x:v>1</x:v>
      </x:c>
      <x:c r="J716" t="n">
        <x:f>IF(OR(I716=0,F716="",F716=0),"",H716/F716)</x:f>
        <x:v>7.964601769911505</x:v>
      </x:c>
      <x:c r="K716" t="n">
        <x:f>IF(OR(I716=0,H716=0,F716=""),"",F716/H716)</x:f>
        <x:v>0.12555555555555553</x:v>
      </x:c>
      <x:c r="L716" t="str">
        <x:f>IF(OR(I716=0,F716="",G716="",F716=0,G716=0),"",H716/(F716*G716))</x:f>
      </x:c>
      <x:c r="M716" t="n">
        <x:f>IF(J716="","",J716/_xlfn.MAXIFS($J:$J,$D:$D,D716))</x:f>
        <x:v>0.05309734513274337</x:v>
      </x:c>
      <x:c r="N716" t="str">
        <x:f>IF(L716="","",L716/_xlfn.MAXIFS($L:$L,$D:$D,D716))</x:f>
      </x:c>
      <x:c r="O716" t="str">
        <x:f>IF(OR(M716="",N716=""),"",SQRT(M716*N716))</x:f>
      </x:c>
      <x:c r="P716" t="str">
        <x:f>IF(OR(M716="",N716=""),"",M716^0.7*N716^0.3)</x:f>
      </x:c>
      <x:c r="Q716" t="str">
        <x:f>IF(OR(M716="",N716=""),"",M716^0.3*N716^0.7)</x:f>
      </x:c>
    </x:row>
    <x:row r="717" s="14" customFormat="1">
      <x:c r="A717" t="inlineStr">
        <x:is>
          <x:t xml:space="preserve">mistral|mistral-large-4-preview|reasoning|yes|fallback-na</x:t>
        </x:is>
      </x:c>
      <x:c r="B717" t="inlineStr">
        <x:is>
          <x:t xml:space="preserve">AA|v4.3.2</x:t>
        </x:is>
      </x:c>
      <x:c r="C717" t="n">
        <x:v>91</x:v>
      </x:c>
      <x:c r="D717" t="n">
        <x:v>35</x:v>
      </x:c>
      <x:c r="E717" t="n">
        <x:f>INDEX(Model_TestVersion_Stats!$W:$W,C717)</x:f>
        <x:v>38</x:v>
      </x:c>
      <x:c r="F717" t="n">
        <x:f>INDEX(Model_TestVersion_Stats!$O:$O,C717)</x:f>
        <x:v>1.13</x:v>
      </x:c>
      <x:c r="G717" t="str">
        <x:f>IF(INDEX(Model_TestVersion_Stats!$R:$R,C717)="","",INDEX(Model_TestVersion_Stats!$R:$R,C717)/60)</x:f>
      </x:c>
      <x:c r="H717" t="n">
        <x:f>IF(E717="","",E717-(D717-1))</x:f>
        <x:v>4</x:v>
      </x:c>
      <x:c r="I717" t="n">
        <x:f>IF(H717&gt;0,1,0)</x:f>
        <x:v>1</x:v>
      </x:c>
      <x:c r="J717" t="n">
        <x:f>IF(OR(I717=0,F717="",F717=0),"",H717/F717)</x:f>
        <x:v>3.5398230088495577</x:v>
      </x:c>
      <x:c r="K717" t="n">
        <x:f>IF(OR(I717=0,H717=0,F717=""),"",F717/H717)</x:f>
        <x:v>0.2825</x:v>
      </x:c>
      <x:c r="L717" t="str">
        <x:f>IF(OR(I717=0,F717="",G717="",F717=0,G717=0),"",H717/(F717*G717))</x:f>
      </x:c>
      <x:c r="M717" t="n">
        <x:f>IF(J717="","",J717/_xlfn.MAXIFS($J:$J,$D:$D,D717))</x:f>
        <x:v>0.038348082595870206</x:v>
      </x:c>
      <x:c r="N717" t="str">
        <x:f>IF(L717="","",L717/_xlfn.MAXIFS($L:$L,$D:$D,D717))</x:f>
      </x:c>
      <x:c r="O717" t="str">
        <x:f>IF(OR(M717="",N717=""),"",SQRT(M717*N717))</x:f>
      </x:c>
      <x:c r="P717" t="str">
        <x:f>IF(OR(M717="",N717=""),"",M717^0.7*N717^0.3)</x:f>
      </x:c>
      <x:c r="Q717" t="str">
        <x:f>IF(OR(M717="",N717=""),"",M717^0.3*N717^0.7)</x:f>
      </x:c>
    </x:row>
    <x:row r="718" s="14" customFormat="1">
      <x:c r="A718" t="inlineStr">
        <x:is>
          <x:t xml:space="preserve">mistral|mistral-large-4-preview|reasoning|yes|fallback-na</x:t>
        </x:is>
      </x:c>
      <x:c r="B718" t="inlineStr">
        <x:is>
          <x:t xml:space="preserve">AA|v4.3.2</x:t>
        </x:is>
      </x:c>
      <x:c r="C718" t="n">
        <x:v>91</x:v>
      </x:c>
      <x:c r="D718" t="n">
        <x:v>40</x:v>
      </x:c>
      <x:c r="E718" t="n">
        <x:f>INDEX(Model_TestVersion_Stats!$W:$W,C718)</x:f>
        <x:v>38</x:v>
      </x:c>
      <x:c r="F718" t="n">
        <x:f>INDEX(Model_TestVersion_Stats!$O:$O,C718)</x:f>
        <x:v>1.13</x:v>
      </x:c>
      <x:c r="G718" t="str">
        <x:f>IF(INDEX(Model_TestVersion_Stats!$R:$R,C718)="","",INDEX(Model_TestVersion_Stats!$R:$R,C718)/60)</x:f>
      </x:c>
      <x:c r="H718" t="n">
        <x:f>IF(E718="","",E718-(D718-1))</x:f>
        <x:v>-1</x:v>
      </x:c>
      <x:c r="I718" t="n">
        <x:f>IF(H718&gt;0,1,0)</x:f>
        <x:v>0</x:v>
      </x:c>
      <x:c r="J718" t="str">
        <x:f>IF(OR(I718=0,F718="",F718=0),"",H718/F718)</x:f>
      </x:c>
      <x:c r="K718" t="str">
        <x:f>IF(OR(I718=0,H718=0,F718=""),"",F718/H718)</x:f>
      </x:c>
      <x:c r="L718" t="str">
        <x:f>IF(OR(I718=0,F718="",G718="",F718=0,G718=0),"",H718/(F718*G718))</x:f>
      </x:c>
      <x:c r="M718" t="str">
        <x:f>IF(J718="","",J718/_xlfn.MAXIFS($J:$J,$D:$D,D718))</x:f>
      </x:c>
      <x:c r="N718" t="str">
        <x:f>IF(L718="","",L718/_xlfn.MAXIFS($L:$L,$D:$D,D718))</x:f>
      </x:c>
      <x:c r="O718" t="str">
        <x:f>IF(OR(M718="",N718=""),"",SQRT(M718*N718))</x:f>
      </x:c>
      <x:c r="P718" t="str">
        <x:f>IF(OR(M718="",N718=""),"",M718^0.7*N718^0.3)</x:f>
      </x:c>
      <x:c r="Q718" t="str">
        <x:f>IF(OR(M718="",N718=""),"",M718^0.3*N718^0.7)</x:f>
      </x:c>
    </x:row>
    <x:row r="719" s="14" customFormat="1">
      <x:c r="A719" t="inlineStr">
        <x:is>
          <x:t xml:space="preserve">mistral|mistral-large-4-preview|reasoning|yes|fallback-na</x:t>
        </x:is>
      </x:c>
      <x:c r="B719" t="inlineStr">
        <x:is>
          <x:t xml:space="preserve">AA|v4.3.2</x:t>
        </x:is>
      </x:c>
      <x:c r="C719" t="n">
        <x:v>91</x:v>
      </x:c>
      <x:c r="D719" t="n">
        <x:v>45</x:v>
      </x:c>
      <x:c r="E719" t="n">
        <x:f>INDEX(Model_TestVersion_Stats!$W:$W,C719)</x:f>
        <x:v>38</x:v>
      </x:c>
      <x:c r="F719" t="n">
        <x:f>INDEX(Model_TestVersion_Stats!$O:$O,C719)</x:f>
        <x:v>1.13</x:v>
      </x:c>
      <x:c r="G719" t="str">
        <x:f>IF(INDEX(Model_TestVersion_Stats!$R:$R,C719)="","",INDEX(Model_TestVersion_Stats!$R:$R,C719)/60)</x:f>
      </x:c>
      <x:c r="H719" t="n">
        <x:f>IF(E719="","",E719-(D719-1))</x:f>
        <x:v>-6</x:v>
      </x:c>
      <x:c r="I719" t="n">
        <x:f>IF(H719&gt;0,1,0)</x:f>
        <x:v>0</x:v>
      </x:c>
      <x:c r="J719" t="str">
        <x:f>IF(OR(I719=0,F719="",F719=0),"",H719/F719)</x:f>
      </x:c>
      <x:c r="K719" t="str">
        <x:f>IF(OR(I719=0,H719=0,F719=""),"",F719/H719)</x:f>
      </x:c>
      <x:c r="L719" t="str">
        <x:f>IF(OR(I719=0,F719="",G719="",F719=0,G719=0),"",H719/(F719*G719))</x:f>
      </x:c>
      <x:c r="M719" t="str">
        <x:f>IF(J719="","",J719/_xlfn.MAXIFS($J:$J,$D:$D,D719))</x:f>
      </x:c>
      <x:c r="N719" t="str">
        <x:f>IF(L719="","",L719/_xlfn.MAXIFS($L:$L,$D:$D,D719))</x:f>
      </x:c>
      <x:c r="O719" t="str">
        <x:f>IF(OR(M719="",N719=""),"",SQRT(M719*N719))</x:f>
      </x:c>
      <x:c r="P719" t="str">
        <x:f>IF(OR(M719="",N719=""),"",M719^0.7*N719^0.3)</x:f>
      </x:c>
      <x:c r="Q719" t="str">
        <x:f>IF(OR(M719="",N719=""),"",M719^0.3*N719^0.7)</x:f>
      </x:c>
    </x:row>
    <x:row r="720" s="14" customFormat="1">
      <x:c r="A720" t="inlineStr">
        <x:is>
          <x:t xml:space="preserve">mistral|mistral-large-4-preview|reasoning|yes|fallback-na</x:t>
        </x:is>
      </x:c>
      <x:c r="B720" t="inlineStr">
        <x:is>
          <x:t xml:space="preserve">AA|v4.3.2</x:t>
        </x:is>
      </x:c>
      <x:c r="C720" t="n">
        <x:v>91</x:v>
      </x:c>
      <x:c r="D720" t="n">
        <x:v>50</x:v>
      </x:c>
      <x:c r="E720" t="n">
        <x:f>INDEX(Model_TestVersion_Stats!$W:$W,C720)</x:f>
        <x:v>38</x:v>
      </x:c>
      <x:c r="F720" t="n">
        <x:f>INDEX(Model_TestVersion_Stats!$O:$O,C720)</x:f>
        <x:v>1.13</x:v>
      </x:c>
      <x:c r="G720" t="str">
        <x:f>IF(INDEX(Model_TestVersion_Stats!$R:$R,C720)="","",INDEX(Model_TestVersion_Stats!$R:$R,C720)/60)</x:f>
      </x:c>
      <x:c r="H720" t="n">
        <x:f>IF(E720="","",E720-(D720-1))</x:f>
        <x:v>-11</x:v>
      </x:c>
      <x:c r="I720" t="n">
        <x:f>IF(H720&gt;0,1,0)</x:f>
        <x:v>0</x:v>
      </x:c>
      <x:c r="J720" t="str">
        <x:f>IF(OR(I720=0,F720="",F720=0),"",H720/F720)</x:f>
      </x:c>
      <x:c r="K720" t="str">
        <x:f>IF(OR(I720=0,H720=0,F720=""),"",F720/H720)</x:f>
      </x:c>
      <x:c r="L720" t="str">
        <x:f>IF(OR(I720=0,F720="",G720="",F720=0,G720=0),"",H720/(F720*G720))</x:f>
      </x:c>
      <x:c r="M720" t="str">
        <x:f>IF(J720="","",J720/_xlfn.MAXIFS($J:$J,$D:$D,D720))</x:f>
      </x:c>
      <x:c r="N720" t="str">
        <x:f>IF(L720="","",L720/_xlfn.MAXIFS($L:$L,$D:$D,D720))</x:f>
      </x:c>
      <x:c r="O720" t="str">
        <x:f>IF(OR(M720="",N720=""),"",SQRT(M720*N720))</x:f>
      </x:c>
      <x:c r="P720" t="str">
        <x:f>IF(OR(M720="",N720=""),"",M720^0.7*N720^0.3)</x:f>
      </x:c>
      <x:c r="Q720" t="str">
        <x:f>IF(OR(M720="",N720=""),"",M720^0.3*N720^0.7)</x:f>
      </x:c>
    </x:row>
    <x:row r="721" s="14" customFormat="1">
      <x:c r="A721" t="inlineStr">
        <x:is>
          <x:t xml:space="preserve">mistral|mistral-large-4-preview|reasoning|yes|fallback-na</x:t>
        </x:is>
      </x:c>
      <x:c r="B721" t="inlineStr">
        <x:is>
          <x:t xml:space="preserve">AA|v4.3.2</x:t>
        </x:is>
      </x:c>
      <x:c r="C721" t="n">
        <x:v>91</x:v>
      </x:c>
      <x:c r="D721" t="n">
        <x:v>60</x:v>
      </x:c>
      <x:c r="E721" t="n">
        <x:f>INDEX(Model_TestVersion_Stats!$W:$W,C721)</x:f>
        <x:v>38</x:v>
      </x:c>
      <x:c r="F721" t="n">
        <x:f>INDEX(Model_TestVersion_Stats!$O:$O,C721)</x:f>
        <x:v>1.13</x:v>
      </x:c>
      <x:c r="G721" t="str">
        <x:f>IF(INDEX(Model_TestVersion_Stats!$R:$R,C721)="","",INDEX(Model_TestVersion_Stats!$R:$R,C721)/60)</x:f>
      </x:c>
      <x:c r="H721" t="n">
        <x:f>IF(E721="","",E721-(D721-1))</x:f>
        <x:v>-21</x:v>
      </x:c>
      <x:c r="I721" t="n">
        <x:f>IF(H721&gt;0,1,0)</x:f>
        <x:v>0</x:v>
      </x:c>
      <x:c r="J721" t="str">
        <x:f>IF(OR(I721=0,F721="",F721=0),"",H721/F721)</x:f>
      </x:c>
      <x:c r="K721" t="str">
        <x:f>IF(OR(I721=0,H721=0,F721=""),"",F721/H721)</x:f>
      </x:c>
      <x:c r="L721" t="str">
        <x:f>IF(OR(I721=0,F721="",G721="",F721=0,G721=0),"",H721/(F721*G721))</x:f>
      </x:c>
      <x:c r="M721" t="str">
        <x:f>IF(J721="","",J721/_xlfn.MAXIFS($J:$J,$D:$D,D721))</x:f>
      </x:c>
      <x:c r="N721" t="str">
        <x:f>IF(L721="","",L721/_xlfn.MAXIFS($L:$L,$D:$D,D721))</x:f>
      </x:c>
      <x:c r="O721" t="str">
        <x:f>IF(OR(M721="",N721=""),"",SQRT(M721*N721))</x:f>
      </x:c>
      <x:c r="P721" t="str">
        <x:f>IF(OR(M721="",N721=""),"",M721^0.7*N721^0.3)</x:f>
      </x:c>
      <x:c r="Q721" t="str">
        <x:f>IF(OR(M721="",N721=""),"",M721^0.3*N721^0.7)</x:f>
      </x:c>
    </x:row>
    <x:row r="722" s="14" customFormat="1">
      <x:c r="A722" t="inlineStr">
        <x:is>
          <x:t xml:space="preserve">spacexai|grok-4-7|xhigh|yes|fallback-na</x:t>
        </x:is>
      </x:c>
      <x:c r="B722" t="inlineStr">
        <x:is>
          <x:t xml:space="preserve">AA|v4.3.2</x:t>
        </x:is>
      </x:c>
      <x:c r="C722" t="n">
        <x:v>92</x:v>
      </x:c>
      <x:c r="D722" t="n">
        <x:v>10</x:v>
      </x:c>
      <x:c r="E722" t="n">
        <x:f>INDEX(Model_TestVersion_Stats!$W:$W,C722)</x:f>
        <x:v>46</x:v>
      </x:c>
      <x:c r="F722" t="n">
        <x:f>INDEX(Model_TestVersion_Stats!$O:$O,C722)</x:f>
        <x:v>3.74</x:v>
      </x:c>
      <x:c r="G722" t="str">
        <x:f>IF(INDEX(Model_TestVersion_Stats!$R:$R,C722)="","",INDEX(Model_TestVersion_Stats!$R:$R,C722)/60)</x:f>
      </x:c>
      <x:c r="H722" t="n">
        <x:f>IF(E722="","",E722-(D722-1))</x:f>
        <x:v>37</x:v>
      </x:c>
      <x:c r="I722" t="n">
        <x:f>IF(H722&gt;0,1,0)</x:f>
        <x:v>1</x:v>
      </x:c>
      <x:c r="J722" t="n">
        <x:f>IF(OR(I722=0,F722="",F722=0),"",H722/F722)</x:f>
        <x:v>9.893048128342246</x:v>
      </x:c>
      <x:c r="K722" t="n">
        <x:f>IF(OR(I722=0,H722=0,F722=""),"",F722/H722)</x:f>
        <x:v>0.10108108108108109</x:v>
      </x:c>
      <x:c r="L722" t="str">
        <x:f>IF(OR(I722=0,F722="",G722="",F722=0,G722=0),"",H722/(F722*G722))</x:f>
      </x:c>
      <x:c r="M722" t="n">
        <x:f>IF(J722="","",J722/_xlfn.MAXIFS($J:$J,$D:$D,D722))</x:f>
        <x:v>0.009893048128342246</x:v>
      </x:c>
      <x:c r="N722" t="str">
        <x:f>IF(L722="","",L722/_xlfn.MAXIFS($L:$L,$D:$D,D722))</x:f>
      </x:c>
      <x:c r="O722" t="str">
        <x:f>IF(OR(M722="",N722=""),"",SQRT(M722*N722))</x:f>
      </x:c>
      <x:c r="P722" t="str">
        <x:f>IF(OR(M722="",N722=""),"",M722^0.7*N722^0.3)</x:f>
      </x:c>
      <x:c r="Q722" t="str">
        <x:f>IF(OR(M722="",N722=""),"",M722^0.3*N722^0.7)</x:f>
      </x:c>
    </x:row>
    <x:row r="723" s="14" customFormat="1">
      <x:c r="A723" t="inlineStr">
        <x:is>
          <x:t xml:space="preserve">spacexai|grok-4-7|xhigh|yes|fallback-na</x:t>
        </x:is>
      </x:c>
      <x:c r="B723" t="inlineStr">
        <x:is>
          <x:t xml:space="preserve">AA|v4.3.2</x:t>
        </x:is>
      </x:c>
      <x:c r="C723" t="n">
        <x:v>92</x:v>
      </x:c>
      <x:c r="D723" t="n">
        <x:v>20</x:v>
      </x:c>
      <x:c r="E723" t="n">
        <x:f>INDEX(Model_TestVersion_Stats!$W:$W,C723)</x:f>
        <x:v>46</x:v>
      </x:c>
      <x:c r="F723" t="n">
        <x:f>INDEX(Model_TestVersion_Stats!$O:$O,C723)</x:f>
        <x:v>3.74</x:v>
      </x:c>
      <x:c r="G723" t="str">
        <x:f>IF(INDEX(Model_TestVersion_Stats!$R:$R,C723)="","",INDEX(Model_TestVersion_Stats!$R:$R,C723)/60)</x:f>
      </x:c>
      <x:c r="H723" t="n">
        <x:f>IF(E723="","",E723-(D723-1))</x:f>
        <x:v>27</x:v>
      </x:c>
      <x:c r="I723" t="n">
        <x:f>IF(H723&gt;0,1,0)</x:f>
        <x:v>1</x:v>
      </x:c>
      <x:c r="J723" t="n">
        <x:f>IF(OR(I723=0,F723="",F723=0),"",H723/F723)</x:f>
        <x:v>7.219251336898395</x:v>
      </x:c>
      <x:c r="K723" t="n">
        <x:f>IF(OR(I723=0,H723=0,F723=""),"",F723/H723)</x:f>
        <x:v>0.1385185185185185</x:v>
      </x:c>
      <x:c r="L723" t="str">
        <x:f>IF(OR(I723=0,F723="",G723="",F723=0,G723=0),"",H723/(F723*G723))</x:f>
      </x:c>
      <x:c r="M723" t="n">
        <x:f>IF(J723="","",J723/_xlfn.MAXIFS($J:$J,$D:$D,D723))</x:f>
        <x:v>0.012994652406417112</x:v>
      </x:c>
      <x:c r="N723" t="str">
        <x:f>IF(L723="","",L723/_xlfn.MAXIFS($L:$L,$D:$D,D723))</x:f>
      </x:c>
      <x:c r="O723" t="str">
        <x:f>IF(OR(M723="",N723=""),"",SQRT(M723*N723))</x:f>
      </x:c>
      <x:c r="P723" t="str">
        <x:f>IF(OR(M723="",N723=""),"",M723^0.7*N723^0.3)</x:f>
      </x:c>
      <x:c r="Q723" t="str">
        <x:f>IF(OR(M723="",N723=""),"",M723^0.3*N723^0.7)</x:f>
      </x:c>
    </x:row>
    <x:row r="724" s="14" customFormat="1">
      <x:c r="A724" t="inlineStr">
        <x:is>
          <x:t xml:space="preserve">spacexai|grok-4-7|xhigh|yes|fallback-na</x:t>
        </x:is>
      </x:c>
      <x:c r="B724" t="inlineStr">
        <x:is>
          <x:t xml:space="preserve">AA|v4.3.2</x:t>
        </x:is>
      </x:c>
      <x:c r="C724" t="n">
        <x:v>92</x:v>
      </x:c>
      <x:c r="D724" t="n">
        <x:v>30</x:v>
      </x:c>
      <x:c r="E724" t="n">
        <x:f>INDEX(Model_TestVersion_Stats!$W:$W,C724)</x:f>
        <x:v>46</x:v>
      </x:c>
      <x:c r="F724" t="n">
        <x:f>INDEX(Model_TestVersion_Stats!$O:$O,C724)</x:f>
        <x:v>3.74</x:v>
      </x:c>
      <x:c r="G724" t="str">
        <x:f>IF(INDEX(Model_TestVersion_Stats!$R:$R,C724)="","",INDEX(Model_TestVersion_Stats!$R:$R,C724)/60)</x:f>
      </x:c>
      <x:c r="H724" t="n">
        <x:f>IF(E724="","",E724-(D724-1))</x:f>
        <x:v>17</x:v>
      </x:c>
      <x:c r="I724" t="n">
        <x:f>IF(H724&gt;0,1,0)</x:f>
        <x:v>1</x:v>
      </x:c>
      <x:c r="J724" t="n">
        <x:f>IF(OR(I724=0,F724="",F724=0),"",H724/F724)</x:f>
        <x:v>4.545454545454545</x:v>
      </x:c>
      <x:c r="K724" t="n">
        <x:f>IF(OR(I724=0,H724=0,F724=""),"",F724/H724)</x:f>
        <x:v>0.22</x:v>
      </x:c>
      <x:c r="L724" t="str">
        <x:f>IF(OR(I724=0,F724="",G724="",F724=0,G724=0),"",H724/(F724*G724))</x:f>
      </x:c>
      <x:c r="M724" t="n">
        <x:f>IF(J724="","",J724/_xlfn.MAXIFS($J:$J,$D:$D,D724))</x:f>
        <x:v>0.0303030303030303</x:v>
      </x:c>
      <x:c r="N724" t="str">
        <x:f>IF(L724="","",L724/_xlfn.MAXIFS($L:$L,$D:$D,D724))</x:f>
      </x:c>
      <x:c r="O724" t="str">
        <x:f>IF(OR(M724="",N724=""),"",SQRT(M724*N724))</x:f>
      </x:c>
      <x:c r="P724" t="str">
        <x:f>IF(OR(M724="",N724=""),"",M724^0.7*N724^0.3)</x:f>
      </x:c>
      <x:c r="Q724" t="str">
        <x:f>IF(OR(M724="",N724=""),"",M724^0.3*N724^0.7)</x:f>
      </x:c>
    </x:row>
    <x:row r="725" s="14" customFormat="1">
      <x:c r="A725" t="inlineStr">
        <x:is>
          <x:t xml:space="preserve">spacexai|grok-4-7|xhigh|yes|fallback-na</x:t>
        </x:is>
      </x:c>
      <x:c r="B725" t="inlineStr">
        <x:is>
          <x:t xml:space="preserve">AA|v4.3.2</x:t>
        </x:is>
      </x:c>
      <x:c r="C725" t="n">
        <x:v>92</x:v>
      </x:c>
      <x:c r="D725" t="n">
        <x:v>35</x:v>
      </x:c>
      <x:c r="E725" t="n">
        <x:f>INDEX(Model_TestVersion_Stats!$W:$W,C725)</x:f>
        <x:v>46</x:v>
      </x:c>
      <x:c r="F725" t="n">
        <x:f>INDEX(Model_TestVersion_Stats!$O:$O,C725)</x:f>
        <x:v>3.74</x:v>
      </x:c>
      <x:c r="G725" t="str">
        <x:f>IF(INDEX(Model_TestVersion_Stats!$R:$R,C725)="","",INDEX(Model_TestVersion_Stats!$R:$R,C725)/60)</x:f>
      </x:c>
      <x:c r="H725" t="n">
        <x:f>IF(E725="","",E725-(D725-1))</x:f>
        <x:v>12</x:v>
      </x:c>
      <x:c r="I725" t="n">
        <x:f>IF(H725&gt;0,1,0)</x:f>
        <x:v>1</x:v>
      </x:c>
      <x:c r="J725" t="n">
        <x:f>IF(OR(I725=0,F725="",F725=0),"",H725/F725)</x:f>
        <x:v>3.2085561497326203</x:v>
      </x:c>
      <x:c r="K725" t="n">
        <x:f>IF(OR(I725=0,H725=0,F725=""),"",F725/H725)</x:f>
        <x:v>0.3116666666666667</x:v>
      </x:c>
      <x:c r="L725" t="str">
        <x:f>IF(OR(I725=0,F725="",G725="",F725=0,G725=0),"",H725/(F725*G725))</x:f>
      </x:c>
      <x:c r="M725" t="n">
        <x:f>IF(J725="","",J725/_xlfn.MAXIFS($J:$J,$D:$D,D725))</x:f>
        <x:v>0.034759358288770054</x:v>
      </x:c>
      <x:c r="N725" t="str">
        <x:f>IF(L725="","",L725/_xlfn.MAXIFS($L:$L,$D:$D,D725))</x:f>
      </x:c>
      <x:c r="O725" t="str">
        <x:f>IF(OR(M725="",N725=""),"",SQRT(M725*N725))</x:f>
      </x:c>
      <x:c r="P725" t="str">
        <x:f>IF(OR(M725="",N725=""),"",M725^0.7*N725^0.3)</x:f>
      </x:c>
      <x:c r="Q725" t="str">
        <x:f>IF(OR(M725="",N725=""),"",M725^0.3*N725^0.7)</x:f>
      </x:c>
    </x:row>
    <x:row r="726" s="14" customFormat="1">
      <x:c r="A726" t="inlineStr">
        <x:is>
          <x:t xml:space="preserve">spacexai|grok-4-7|xhigh|yes|fallback-na</x:t>
        </x:is>
      </x:c>
      <x:c r="B726" t="inlineStr">
        <x:is>
          <x:t xml:space="preserve">AA|v4.3.2</x:t>
        </x:is>
      </x:c>
      <x:c r="C726" t="n">
        <x:v>92</x:v>
      </x:c>
      <x:c r="D726" t="n">
        <x:v>40</x:v>
      </x:c>
      <x:c r="E726" t="n">
        <x:f>INDEX(Model_TestVersion_Stats!$W:$W,C726)</x:f>
        <x:v>46</x:v>
      </x:c>
      <x:c r="F726" t="n">
        <x:f>INDEX(Model_TestVersion_Stats!$O:$O,C726)</x:f>
        <x:v>3.74</x:v>
      </x:c>
      <x:c r="G726" t="str">
        <x:f>IF(INDEX(Model_TestVersion_Stats!$R:$R,C726)="","",INDEX(Model_TestVersion_Stats!$R:$R,C726)/60)</x:f>
      </x:c>
      <x:c r="H726" t="n">
        <x:f>IF(E726="","",E726-(D726-1))</x:f>
        <x:v>7</x:v>
      </x:c>
      <x:c r="I726" t="n">
        <x:f>IF(H726&gt;0,1,0)</x:f>
        <x:v>1</x:v>
      </x:c>
      <x:c r="J726" t="n">
        <x:f>IF(OR(I726=0,F726="",F726=0),"",H726/F726)</x:f>
        <x:v>1.8716577540106951</x:v>
      </x:c>
      <x:c r="K726" t="n">
        <x:f>IF(OR(I726=0,H726=0,F726=""),"",F726/H726)</x:f>
        <x:v>0.5342857142857144</x:v>
      </x:c>
      <x:c r="L726" t="str">
        <x:f>IF(OR(I726=0,F726="",G726="",F726=0,G726=0),"",H726/(F726*G726))</x:f>
      </x:c>
      <x:c r="M726" t="n">
        <x:f>IF(J726="","",J726/_xlfn.MAXIFS($J:$J,$D:$D,D726))</x:f>
        <x:v>0.034759358288770054</x:v>
      </x:c>
      <x:c r="N726" t="str">
        <x:f>IF(L726="","",L726/_xlfn.MAXIFS($L:$L,$D:$D,D726))</x:f>
      </x:c>
      <x:c r="O726" t="str">
        <x:f>IF(OR(M726="",N726=""),"",SQRT(M726*N726))</x:f>
      </x:c>
      <x:c r="P726" t="str">
        <x:f>IF(OR(M726="",N726=""),"",M726^0.7*N726^0.3)</x:f>
      </x:c>
      <x:c r="Q726" t="str">
        <x:f>IF(OR(M726="",N726=""),"",M726^0.3*N726^0.7)</x:f>
      </x:c>
    </x:row>
    <x:row r="727" s="14" customFormat="1">
      <x:c r="A727" t="inlineStr">
        <x:is>
          <x:t xml:space="preserve">spacexai|grok-4-7|xhigh|yes|fallback-na</x:t>
        </x:is>
      </x:c>
      <x:c r="B727" t="inlineStr">
        <x:is>
          <x:t xml:space="preserve">AA|v4.3.2</x:t>
        </x:is>
      </x:c>
      <x:c r="C727" t="n">
        <x:v>92</x:v>
      </x:c>
      <x:c r="D727" t="n">
        <x:v>45</x:v>
      </x:c>
      <x:c r="E727" t="n">
        <x:f>INDEX(Model_TestVersion_Stats!$W:$W,C727)</x:f>
        <x:v>46</x:v>
      </x:c>
      <x:c r="F727" t="n">
        <x:f>INDEX(Model_TestVersion_Stats!$O:$O,C727)</x:f>
        <x:v>3.74</x:v>
      </x:c>
      <x:c r="G727" t="str">
        <x:f>IF(INDEX(Model_TestVersion_Stats!$R:$R,C727)="","",INDEX(Model_TestVersion_Stats!$R:$R,C727)/60)</x:f>
      </x:c>
      <x:c r="H727" t="n">
        <x:f>IF(E727="","",E727-(D727-1))</x:f>
        <x:v>2</x:v>
      </x:c>
      <x:c r="I727" t="n">
        <x:f>IF(H727&gt;0,1,0)</x:f>
        <x:v>1</x:v>
      </x:c>
      <x:c r="J727" t="n">
        <x:f>IF(OR(I727=0,F727="",F727=0),"",H727/F727)</x:f>
        <x:v>0.53475935828877</x:v>
      </x:c>
      <x:c r="K727" t="n">
        <x:f>IF(OR(I727=0,H727=0,F727=""),"",F727/H727)</x:f>
        <x:v>1.87</x:v>
      </x:c>
      <x:c r="L727" t="str">
        <x:f>IF(OR(I727=0,F727="",G727="",F727=0,G727=0),"",H727/(F727*G727))</x:f>
      </x:c>
      <x:c r="M727" t="n">
        <x:f>IF(J727="","",J727/_xlfn.MAXIFS($J:$J,$D:$D,D727))</x:f>
        <x:v>0.028074866310160422</x:v>
      </x:c>
      <x:c r="N727" t="str">
        <x:f>IF(L727="","",L727/_xlfn.MAXIFS($L:$L,$D:$D,D727))</x:f>
      </x:c>
      <x:c r="O727" t="str">
        <x:f>IF(OR(M727="",N727=""),"",SQRT(M727*N727))</x:f>
      </x:c>
      <x:c r="P727" t="str">
        <x:f>IF(OR(M727="",N727=""),"",M727^0.7*N727^0.3)</x:f>
      </x:c>
      <x:c r="Q727" t="str">
        <x:f>IF(OR(M727="",N727=""),"",M727^0.3*N727^0.7)</x:f>
      </x:c>
    </x:row>
    <x:row r="728" s="14" customFormat="1">
      <x:c r="A728" t="inlineStr">
        <x:is>
          <x:t xml:space="preserve">spacexai|grok-4-7|xhigh|yes|fallback-na</x:t>
        </x:is>
      </x:c>
      <x:c r="B728" t="inlineStr">
        <x:is>
          <x:t xml:space="preserve">AA|v4.3.2</x:t>
        </x:is>
      </x:c>
      <x:c r="C728" t="n">
        <x:v>92</x:v>
      </x:c>
      <x:c r="D728" t="n">
        <x:v>50</x:v>
      </x:c>
      <x:c r="E728" t="n">
        <x:f>INDEX(Model_TestVersion_Stats!$W:$W,C728)</x:f>
        <x:v>46</x:v>
      </x:c>
      <x:c r="F728" t="n">
        <x:f>INDEX(Model_TestVersion_Stats!$O:$O,C728)</x:f>
        <x:v>3.74</x:v>
      </x:c>
      <x:c r="G728" t="str">
        <x:f>IF(INDEX(Model_TestVersion_Stats!$R:$R,C728)="","",INDEX(Model_TestVersion_Stats!$R:$R,C728)/60)</x:f>
      </x:c>
      <x:c r="H728" t="n">
        <x:f>IF(E728="","",E728-(D728-1))</x:f>
        <x:v>-3</x:v>
      </x:c>
      <x:c r="I728" t="n">
        <x:f>IF(H728&gt;0,1,0)</x:f>
        <x:v>0</x:v>
      </x:c>
      <x:c r="J728" t="str">
        <x:f>IF(OR(I728=0,F728="",F728=0),"",H728/F728)</x:f>
      </x:c>
      <x:c r="K728" t="str">
        <x:f>IF(OR(I728=0,H728=0,F728=""),"",F728/H728)</x:f>
      </x:c>
      <x:c r="L728" t="str">
        <x:f>IF(OR(I728=0,F728="",G728="",F728=0,G728=0),"",H728/(F728*G728))</x:f>
      </x:c>
      <x:c r="M728" t="str">
        <x:f>IF(J728="","",J728/_xlfn.MAXIFS($J:$J,$D:$D,D728))</x:f>
      </x:c>
      <x:c r="N728" t="str">
        <x:f>IF(L728="","",L728/_xlfn.MAXIFS($L:$L,$D:$D,D728))</x:f>
      </x:c>
      <x:c r="O728" t="str">
        <x:f>IF(OR(M728="",N728=""),"",SQRT(M728*N728))</x:f>
      </x:c>
      <x:c r="P728" t="str">
        <x:f>IF(OR(M728="",N728=""),"",M728^0.7*N728^0.3)</x:f>
      </x:c>
      <x:c r="Q728" t="str">
        <x:f>IF(OR(M728="",N728=""),"",M728^0.3*N728^0.7)</x:f>
      </x:c>
    </x:row>
    <x:row r="729" s="14" customFormat="1">
      <x:c r="A729" t="inlineStr">
        <x:is>
          <x:t xml:space="preserve">spacexai|grok-4-7|xhigh|yes|fallback-na</x:t>
        </x:is>
      </x:c>
      <x:c r="B729" t="inlineStr">
        <x:is>
          <x:t xml:space="preserve">AA|v4.3.2</x:t>
        </x:is>
      </x:c>
      <x:c r="C729" t="n">
        <x:v>92</x:v>
      </x:c>
      <x:c r="D729" t="n">
        <x:v>60</x:v>
      </x:c>
      <x:c r="E729" t="n">
        <x:f>INDEX(Model_TestVersion_Stats!$W:$W,C729)</x:f>
        <x:v>46</x:v>
      </x:c>
      <x:c r="F729" t="n">
        <x:f>INDEX(Model_TestVersion_Stats!$O:$O,C729)</x:f>
        <x:v>3.74</x:v>
      </x:c>
      <x:c r="G729" t="str">
        <x:f>IF(INDEX(Model_TestVersion_Stats!$R:$R,C729)="","",INDEX(Model_TestVersion_Stats!$R:$R,C729)/60)</x:f>
      </x:c>
      <x:c r="H729" t="n">
        <x:f>IF(E729="","",E729-(D729-1))</x:f>
        <x:v>-13</x:v>
      </x:c>
      <x:c r="I729" t="n">
        <x:f>IF(H729&gt;0,1,0)</x:f>
        <x:v>0</x:v>
      </x:c>
      <x:c r="J729" t="str">
        <x:f>IF(OR(I729=0,F729="",F729=0),"",H729/F729)</x:f>
      </x:c>
      <x:c r="K729" t="str">
        <x:f>IF(OR(I729=0,H729=0,F729=""),"",F729/H729)</x:f>
      </x:c>
      <x:c r="L729" t="str">
        <x:f>IF(OR(I729=0,F729="",G729="",F729=0,G729=0),"",H729/(F729*G729))</x:f>
      </x:c>
      <x:c r="M729" t="str">
        <x:f>IF(J729="","",J729/_xlfn.MAXIFS($J:$J,$D:$D,D729))</x:f>
      </x:c>
      <x:c r="N729" t="str">
        <x:f>IF(L729="","",L729/_xlfn.MAXIFS($L:$L,$D:$D,D729))</x:f>
      </x:c>
      <x:c r="O729" t="str">
        <x:f>IF(OR(M729="",N729=""),"",SQRT(M729*N729))</x:f>
      </x:c>
      <x:c r="P729" t="str">
        <x:f>IF(OR(M729="",N729=""),"",M729^0.7*N729^0.3)</x:f>
      </x:c>
      <x:c r="Q729" t="str">
        <x:f>IF(OR(M729="",N729=""),"",M729^0.3*N729^0.7)</x:f>
      </x:c>
    </x:row>
    <x:row r="730" s="14" customFormat="1">
      <x:c r="A730" t="inlineStr">
        <x:is>
          <x:t xml:space="preserve">deepseek|deepseek-v4-pro-0813|non-reasoning|nonreasoning|fallback-na</x:t>
        </x:is>
      </x:c>
      <x:c r="B730" t="inlineStr">
        <x:is>
          <x:t xml:space="preserve">AA|v4.3.2</x:t>
        </x:is>
      </x:c>
      <x:c r="C730" t="n">
        <x:v>93</x:v>
      </x:c>
      <x:c r="D730" t="n">
        <x:v>10</x:v>
      </x:c>
      <x:c r="E730" t="n">
        <x:f>INDEX(Model_TestVersion_Stats!$W:$W,C730)</x:f>
        <x:v>20</x:v>
      </x:c>
      <x:c r="F730" t="n">
        <x:f>INDEX(Model_TestVersion_Stats!$O:$O,C730)</x:f>
        <x:v>0.36</x:v>
      </x:c>
      <x:c r="G730" t="str">
        <x:f>IF(INDEX(Model_TestVersion_Stats!$R:$R,C730)="","",INDEX(Model_TestVersion_Stats!$R:$R,C730)/60)</x:f>
      </x:c>
      <x:c r="H730" t="n">
        <x:f>IF(E730="","",E730-(D730-1))</x:f>
        <x:v>11</x:v>
      </x:c>
      <x:c r="I730" t="n">
        <x:f>IF(H730&gt;0,1,0)</x:f>
        <x:v>1</x:v>
      </x:c>
      <x:c r="J730" t="n">
        <x:f>IF(OR(I730=0,F730="",F730=0),"",H730/F730)</x:f>
        <x:v>30.555555555555557</x:v>
      </x:c>
      <x:c r="K730" t="n">
        <x:f>IF(OR(I730=0,H730=0,F730=""),"",F730/H730)</x:f>
        <x:v>0.03272727272727272</x:v>
      </x:c>
      <x:c r="L730" t="str">
        <x:f>IF(OR(I730=0,F730="",G730="",F730=0,G730=0),"",H730/(F730*G730))</x:f>
      </x:c>
      <x:c r="M730" t="n">
        <x:f>IF(J730="","",J730/_xlfn.MAXIFS($J:$J,$D:$D,D730))</x:f>
        <x:v>0.030555555555555558</x:v>
      </x:c>
      <x:c r="N730" t="str">
        <x:f>IF(L730="","",L730/_xlfn.MAXIFS($L:$L,$D:$D,D730))</x:f>
      </x:c>
      <x:c r="O730" t="str">
        <x:f>IF(OR(M730="",N730=""),"",SQRT(M730*N730))</x:f>
      </x:c>
      <x:c r="P730" t="str">
        <x:f>IF(OR(M730="",N730=""),"",M730^0.7*N730^0.3)</x:f>
      </x:c>
      <x:c r="Q730" t="str">
        <x:f>IF(OR(M730="",N730=""),"",M730^0.3*N730^0.7)</x:f>
      </x:c>
    </x:row>
    <x:row r="731" s="14" customFormat="1">
      <x:c r="A731" t="inlineStr">
        <x:is>
          <x:t xml:space="preserve">deepseek|deepseek-v4-pro-0813|non-reasoning|nonreasoning|fallback-na</x:t>
        </x:is>
      </x:c>
      <x:c r="B731" t="inlineStr">
        <x:is>
          <x:t xml:space="preserve">AA|v4.3.2</x:t>
        </x:is>
      </x:c>
      <x:c r="C731" t="n">
        <x:v>93</x:v>
      </x:c>
      <x:c r="D731" t="n">
        <x:v>20</x:v>
      </x:c>
      <x:c r="E731" t="n">
        <x:f>INDEX(Model_TestVersion_Stats!$W:$W,C731)</x:f>
        <x:v>20</x:v>
      </x:c>
      <x:c r="F731" t="n">
        <x:f>INDEX(Model_TestVersion_Stats!$O:$O,C731)</x:f>
        <x:v>0.36</x:v>
      </x:c>
      <x:c r="G731" t="str">
        <x:f>IF(INDEX(Model_TestVersion_Stats!$R:$R,C731)="","",INDEX(Model_TestVersion_Stats!$R:$R,C731)/60)</x:f>
      </x:c>
      <x:c r="H731" t="n">
        <x:f>IF(E731="","",E731-(D731-1))</x:f>
        <x:v>1</x:v>
      </x:c>
      <x:c r="I731" t="n">
        <x:f>IF(H731&gt;0,1,0)</x:f>
        <x:v>1</x:v>
      </x:c>
      <x:c r="J731" t="n">
        <x:f>IF(OR(I731=0,F731="",F731=0),"",H731/F731)</x:f>
        <x:v>2.7777777777777777</x:v>
      </x:c>
      <x:c r="K731" t="n">
        <x:f>IF(OR(I731=0,H731=0,F731=""),"",F731/H731)</x:f>
        <x:v>0.36</x:v>
      </x:c>
      <x:c r="L731" t="str">
        <x:f>IF(OR(I731=0,F731="",G731="",F731=0,G731=0),"",H731/(F731*G731))</x:f>
      </x:c>
      <x:c r="M731" t="n">
        <x:f>IF(J731="","",J731/_xlfn.MAXIFS($J:$J,$D:$D,D731))</x:f>
        <x:v>0.005</x:v>
      </x:c>
      <x:c r="N731" t="str">
        <x:f>IF(L731="","",L731/_xlfn.MAXIFS($L:$L,$D:$D,D731))</x:f>
      </x:c>
      <x:c r="O731" t="str">
        <x:f>IF(OR(M731="",N731=""),"",SQRT(M731*N731))</x:f>
      </x:c>
      <x:c r="P731" t="str">
        <x:f>IF(OR(M731="",N731=""),"",M731^0.7*N731^0.3)</x:f>
      </x:c>
      <x:c r="Q731" t="str">
        <x:f>IF(OR(M731="",N731=""),"",M731^0.3*N731^0.7)</x:f>
      </x:c>
    </x:row>
    <x:row r="732" s="14" customFormat="1">
      <x:c r="A732" t="inlineStr">
        <x:is>
          <x:t xml:space="preserve">deepseek|deepseek-v4-pro-0813|non-reasoning|nonreasoning|fallback-na</x:t>
        </x:is>
      </x:c>
      <x:c r="B732" t="inlineStr">
        <x:is>
          <x:t xml:space="preserve">AA|v4.3.2</x:t>
        </x:is>
      </x:c>
      <x:c r="C732" t="n">
        <x:v>93</x:v>
      </x:c>
      <x:c r="D732" t="n">
        <x:v>30</x:v>
      </x:c>
      <x:c r="E732" t="n">
        <x:f>INDEX(Model_TestVersion_Stats!$W:$W,C732)</x:f>
        <x:v>20</x:v>
      </x:c>
      <x:c r="F732" t="n">
        <x:f>INDEX(Model_TestVersion_Stats!$O:$O,C732)</x:f>
        <x:v>0.36</x:v>
      </x:c>
      <x:c r="G732" t="str">
        <x:f>IF(INDEX(Model_TestVersion_Stats!$R:$R,C732)="","",INDEX(Model_TestVersion_Stats!$R:$R,C732)/60)</x:f>
      </x:c>
      <x:c r="H732" t="n">
        <x:f>IF(E732="","",E732-(D732-1))</x:f>
        <x:v>-9</x:v>
      </x:c>
      <x:c r="I732" t="n">
        <x:f>IF(H732&gt;0,1,0)</x:f>
        <x:v>0</x:v>
      </x:c>
      <x:c r="J732" t="str">
        <x:f>IF(OR(I732=0,F732="",F732=0),"",H732/F732)</x:f>
      </x:c>
      <x:c r="K732" t="str">
        <x:f>IF(OR(I732=0,H732=0,F732=""),"",F732/H732)</x:f>
      </x:c>
      <x:c r="L732" t="str">
        <x:f>IF(OR(I732=0,F732="",G732="",F732=0,G732=0),"",H732/(F732*G732))</x:f>
      </x:c>
      <x:c r="M732" t="str">
        <x:f>IF(J732="","",J732/_xlfn.MAXIFS($J:$J,$D:$D,D732))</x:f>
      </x:c>
      <x:c r="N732" t="str">
        <x:f>IF(L732="","",L732/_xlfn.MAXIFS($L:$L,$D:$D,D732))</x:f>
      </x:c>
      <x:c r="O732" t="str">
        <x:f>IF(OR(M732="",N732=""),"",SQRT(M732*N732))</x:f>
      </x:c>
      <x:c r="P732" t="str">
        <x:f>IF(OR(M732="",N732=""),"",M732^0.7*N732^0.3)</x:f>
      </x:c>
      <x:c r="Q732" t="str">
        <x:f>IF(OR(M732="",N732=""),"",M732^0.3*N732^0.7)</x:f>
      </x:c>
    </x:row>
    <x:row r="733" s="14" customFormat="1">
      <x:c r="A733" t="inlineStr">
        <x:is>
          <x:t xml:space="preserve">deepseek|deepseek-v4-pro-0813|non-reasoning|nonreasoning|fallback-na</x:t>
        </x:is>
      </x:c>
      <x:c r="B733" t="inlineStr">
        <x:is>
          <x:t xml:space="preserve">AA|v4.3.2</x:t>
        </x:is>
      </x:c>
      <x:c r="C733" t="n">
        <x:v>93</x:v>
      </x:c>
      <x:c r="D733" t="n">
        <x:v>35</x:v>
      </x:c>
      <x:c r="E733" t="n">
        <x:f>INDEX(Model_TestVersion_Stats!$W:$W,C733)</x:f>
        <x:v>20</x:v>
      </x:c>
      <x:c r="F733" t="n">
        <x:f>INDEX(Model_TestVersion_Stats!$O:$O,C733)</x:f>
        <x:v>0.36</x:v>
      </x:c>
      <x:c r="G733" t="str">
        <x:f>IF(INDEX(Model_TestVersion_Stats!$R:$R,C733)="","",INDEX(Model_TestVersion_Stats!$R:$R,C733)/60)</x:f>
      </x:c>
      <x:c r="H733" t="n">
        <x:f>IF(E733="","",E733-(D733-1))</x:f>
        <x:v>-14</x:v>
      </x:c>
      <x:c r="I733" t="n">
        <x:f>IF(H733&gt;0,1,0)</x:f>
        <x:v>0</x:v>
      </x:c>
      <x:c r="J733" t="str">
        <x:f>IF(OR(I733=0,F733="",F733=0),"",H733/F733)</x:f>
      </x:c>
      <x:c r="K733" t="str">
        <x:f>IF(OR(I733=0,H733=0,F733=""),"",F733/H733)</x:f>
      </x:c>
      <x:c r="L733" t="str">
        <x:f>IF(OR(I733=0,F733="",G733="",F733=0,G733=0),"",H733/(F733*G733))</x:f>
      </x:c>
      <x:c r="M733" t="str">
        <x:f>IF(J733="","",J733/_xlfn.MAXIFS($J:$J,$D:$D,D733))</x:f>
      </x:c>
      <x:c r="N733" t="str">
        <x:f>IF(L733="","",L733/_xlfn.MAXIFS($L:$L,$D:$D,D733))</x:f>
      </x:c>
      <x:c r="O733" t="str">
        <x:f>IF(OR(M733="",N733=""),"",SQRT(M733*N733))</x:f>
      </x:c>
      <x:c r="P733" t="str">
        <x:f>IF(OR(M733="",N733=""),"",M733^0.7*N733^0.3)</x:f>
      </x:c>
      <x:c r="Q733" t="str">
        <x:f>IF(OR(M733="",N733=""),"",M733^0.3*N733^0.7)</x:f>
      </x:c>
    </x:row>
    <x:row r="734" s="14" customFormat="1">
      <x:c r="A734" t="inlineStr">
        <x:is>
          <x:t xml:space="preserve">deepseek|deepseek-v4-pro-0813|non-reasoning|nonreasoning|fallback-na</x:t>
        </x:is>
      </x:c>
      <x:c r="B734" t="inlineStr">
        <x:is>
          <x:t xml:space="preserve">AA|v4.3.2</x:t>
        </x:is>
      </x:c>
      <x:c r="C734" t="n">
        <x:v>93</x:v>
      </x:c>
      <x:c r="D734" t="n">
        <x:v>40</x:v>
      </x:c>
      <x:c r="E734" t="n">
        <x:f>INDEX(Model_TestVersion_Stats!$W:$W,C734)</x:f>
        <x:v>20</x:v>
      </x:c>
      <x:c r="F734" t="n">
        <x:f>INDEX(Model_TestVersion_Stats!$O:$O,C734)</x:f>
        <x:v>0.36</x:v>
      </x:c>
      <x:c r="G734" t="str">
        <x:f>IF(INDEX(Model_TestVersion_Stats!$R:$R,C734)="","",INDEX(Model_TestVersion_Stats!$R:$R,C734)/60)</x:f>
      </x:c>
      <x:c r="H734" t="n">
        <x:f>IF(E734="","",E734-(D734-1))</x:f>
        <x:v>-19</x:v>
      </x:c>
      <x:c r="I734" t="n">
        <x:f>IF(H734&gt;0,1,0)</x:f>
        <x:v>0</x:v>
      </x:c>
      <x:c r="J734" t="str">
        <x:f>IF(OR(I734=0,F734="",F734=0),"",H734/F734)</x:f>
      </x:c>
      <x:c r="K734" t="str">
        <x:f>IF(OR(I734=0,H734=0,F734=""),"",F734/H734)</x:f>
      </x:c>
      <x:c r="L734" t="str">
        <x:f>IF(OR(I734=0,F734="",G734="",F734=0,G734=0),"",H734/(F734*G734))</x:f>
      </x:c>
      <x:c r="M734" t="str">
        <x:f>IF(J734="","",J734/_xlfn.MAXIFS($J:$J,$D:$D,D734))</x:f>
      </x:c>
      <x:c r="N734" t="str">
        <x:f>IF(L734="","",L734/_xlfn.MAXIFS($L:$L,$D:$D,D734))</x:f>
      </x:c>
      <x:c r="O734" t="str">
        <x:f>IF(OR(M734="",N734=""),"",SQRT(M734*N734))</x:f>
      </x:c>
      <x:c r="P734" t="str">
        <x:f>IF(OR(M734="",N734=""),"",M734^0.7*N734^0.3)</x:f>
      </x:c>
      <x:c r="Q734" t="str">
        <x:f>IF(OR(M734="",N734=""),"",M734^0.3*N734^0.7)</x:f>
      </x:c>
    </x:row>
    <x:row r="735" s="14" customFormat="1">
      <x:c r="A735" t="inlineStr">
        <x:is>
          <x:t xml:space="preserve">deepseek|deepseek-v4-pro-0813|non-reasoning|nonreasoning|fallback-na</x:t>
        </x:is>
      </x:c>
      <x:c r="B735" t="inlineStr">
        <x:is>
          <x:t xml:space="preserve">AA|v4.3.2</x:t>
        </x:is>
      </x:c>
      <x:c r="C735" t="n">
        <x:v>93</x:v>
      </x:c>
      <x:c r="D735" t="n">
        <x:v>45</x:v>
      </x:c>
      <x:c r="E735" t="n">
        <x:f>INDEX(Model_TestVersion_Stats!$W:$W,C735)</x:f>
        <x:v>20</x:v>
      </x:c>
      <x:c r="F735" t="n">
        <x:f>INDEX(Model_TestVersion_Stats!$O:$O,C735)</x:f>
        <x:v>0.36</x:v>
      </x:c>
      <x:c r="G735" t="str">
        <x:f>IF(INDEX(Model_TestVersion_Stats!$R:$R,C735)="","",INDEX(Model_TestVersion_Stats!$R:$R,C735)/60)</x:f>
      </x:c>
      <x:c r="H735" t="n">
        <x:f>IF(E735="","",E735-(D735-1))</x:f>
        <x:v>-24</x:v>
      </x:c>
      <x:c r="I735" t="n">
        <x:f>IF(H735&gt;0,1,0)</x:f>
        <x:v>0</x:v>
      </x:c>
      <x:c r="J735" t="str">
        <x:f>IF(OR(I735=0,F735="",F735=0),"",H735/F735)</x:f>
      </x:c>
      <x:c r="K735" t="str">
        <x:f>IF(OR(I735=0,H735=0,F735=""),"",F735/H735)</x:f>
      </x:c>
      <x:c r="L735" t="str">
        <x:f>IF(OR(I735=0,F735="",G735="",F735=0,G735=0),"",H735/(F735*G735))</x:f>
      </x:c>
      <x:c r="M735" t="str">
        <x:f>IF(J735="","",J735/_xlfn.MAXIFS($J:$J,$D:$D,D735))</x:f>
      </x:c>
      <x:c r="N735" t="str">
        <x:f>IF(L735="","",L735/_xlfn.MAXIFS($L:$L,$D:$D,D735))</x:f>
      </x:c>
      <x:c r="O735" t="str">
        <x:f>IF(OR(M735="",N735=""),"",SQRT(M735*N735))</x:f>
      </x:c>
      <x:c r="P735" t="str">
        <x:f>IF(OR(M735="",N735=""),"",M735^0.7*N735^0.3)</x:f>
      </x:c>
      <x:c r="Q735" t="str">
        <x:f>IF(OR(M735="",N735=""),"",M735^0.3*N735^0.7)</x:f>
      </x:c>
    </x:row>
    <x:row r="736" s="14" customFormat="1">
      <x:c r="A736" t="inlineStr">
        <x:is>
          <x:t xml:space="preserve">deepseek|deepseek-v4-pro-0813|non-reasoning|nonreasoning|fallback-na</x:t>
        </x:is>
      </x:c>
      <x:c r="B736" t="inlineStr">
        <x:is>
          <x:t xml:space="preserve">AA|v4.3.2</x:t>
        </x:is>
      </x:c>
      <x:c r="C736" t="n">
        <x:v>93</x:v>
      </x:c>
      <x:c r="D736" t="n">
        <x:v>50</x:v>
      </x:c>
      <x:c r="E736" t="n">
        <x:f>INDEX(Model_TestVersion_Stats!$W:$W,C736)</x:f>
        <x:v>20</x:v>
      </x:c>
      <x:c r="F736" t="n">
        <x:f>INDEX(Model_TestVersion_Stats!$O:$O,C736)</x:f>
        <x:v>0.36</x:v>
      </x:c>
      <x:c r="G736" t="str">
        <x:f>IF(INDEX(Model_TestVersion_Stats!$R:$R,C736)="","",INDEX(Model_TestVersion_Stats!$R:$R,C736)/60)</x:f>
      </x:c>
      <x:c r="H736" t="n">
        <x:f>IF(E736="","",E736-(D736-1))</x:f>
        <x:v>-29</x:v>
      </x:c>
      <x:c r="I736" t="n">
        <x:f>IF(H736&gt;0,1,0)</x:f>
        <x:v>0</x:v>
      </x:c>
      <x:c r="J736" t="str">
        <x:f>IF(OR(I736=0,F736="",F736=0),"",H736/F736)</x:f>
      </x:c>
      <x:c r="K736" t="str">
        <x:f>IF(OR(I736=0,H736=0,F736=""),"",F736/H736)</x:f>
      </x:c>
      <x:c r="L736" t="str">
        <x:f>IF(OR(I736=0,F736="",G736="",F736=0,G736=0),"",H736/(F736*G736))</x:f>
      </x:c>
      <x:c r="M736" t="str">
        <x:f>IF(J736="","",J736/_xlfn.MAXIFS($J:$J,$D:$D,D736))</x:f>
      </x:c>
      <x:c r="N736" t="str">
        <x:f>IF(L736="","",L736/_xlfn.MAXIFS($L:$L,$D:$D,D736))</x:f>
      </x:c>
      <x:c r="O736" t="str">
        <x:f>IF(OR(M736="",N736=""),"",SQRT(M736*N736))</x:f>
      </x:c>
      <x:c r="P736" t="str">
        <x:f>IF(OR(M736="",N736=""),"",M736^0.7*N736^0.3)</x:f>
      </x:c>
      <x:c r="Q736" t="str">
        <x:f>IF(OR(M736="",N736=""),"",M736^0.3*N736^0.7)</x:f>
      </x:c>
    </x:row>
    <x:row r="737" s="14" customFormat="1">
      <x:c r="A737" t="inlineStr">
        <x:is>
          <x:t xml:space="preserve">deepseek|deepseek-v4-pro-0813|non-reasoning|nonreasoning|fallback-na</x:t>
        </x:is>
      </x:c>
      <x:c r="B737" t="inlineStr">
        <x:is>
          <x:t xml:space="preserve">AA|v4.3.2</x:t>
        </x:is>
      </x:c>
      <x:c r="C737" t="n">
        <x:v>93</x:v>
      </x:c>
      <x:c r="D737" t="n">
        <x:v>60</x:v>
      </x:c>
      <x:c r="E737" t="n">
        <x:f>INDEX(Model_TestVersion_Stats!$W:$W,C737)</x:f>
        <x:v>20</x:v>
      </x:c>
      <x:c r="F737" t="n">
        <x:f>INDEX(Model_TestVersion_Stats!$O:$O,C737)</x:f>
        <x:v>0.36</x:v>
      </x:c>
      <x:c r="G737" t="str">
        <x:f>IF(INDEX(Model_TestVersion_Stats!$R:$R,C737)="","",INDEX(Model_TestVersion_Stats!$R:$R,C737)/60)</x:f>
      </x:c>
      <x:c r="H737" t="n">
        <x:f>IF(E737="","",E737-(D737-1))</x:f>
        <x:v>-39</x:v>
      </x:c>
      <x:c r="I737" t="n">
        <x:f>IF(H737&gt;0,1,0)</x:f>
        <x:v>0</x:v>
      </x:c>
      <x:c r="J737" t="str">
        <x:f>IF(OR(I737=0,F737="",F737=0),"",H737/F737)</x:f>
      </x:c>
      <x:c r="K737" t="str">
        <x:f>IF(OR(I737=0,H737=0,F737=""),"",F737/H737)</x:f>
      </x:c>
      <x:c r="L737" t="str">
        <x:f>IF(OR(I737=0,F737="",G737="",F737=0,G737=0),"",H737/(F737*G737))</x:f>
      </x:c>
      <x:c r="M737" t="str">
        <x:f>IF(J737="","",J737/_xlfn.MAXIFS($J:$J,$D:$D,D737))</x:f>
      </x:c>
      <x:c r="N737" t="str">
        <x:f>IF(L737="","",L737/_xlfn.MAXIFS($L:$L,$D:$D,D737))</x:f>
      </x:c>
      <x:c r="O737" t="str">
        <x:f>IF(OR(M737="",N737=""),"",SQRT(M737*N737))</x:f>
      </x:c>
      <x:c r="P737" t="str">
        <x:f>IF(OR(M737="",N737=""),"",M737^0.7*N737^0.3)</x:f>
      </x:c>
      <x:c r="Q737" t="str">
        <x:f>IF(OR(M737="",N737=""),"",M737^0.3*N737^0.7)</x:f>
      </x:c>
    </x:row>
    <x:row r="738" s="14" customFormat="1">
      <x:c r="A738" t="inlineStr">
        <x:is>
          <x:t xml:space="preserve">deepseek|deepseek-v4-pro-0813|max|reasoning|fallback-na</x:t>
        </x:is>
      </x:c>
      <x:c r="B738" t="inlineStr">
        <x:is>
          <x:t xml:space="preserve">AA|v4.3.2</x:t>
        </x:is>
      </x:c>
      <x:c r="C738" t="n">
        <x:v>94</x:v>
      </x:c>
      <x:c r="D738" t="n">
        <x:v>10</x:v>
      </x:c>
      <x:c r="E738" t="n">
        <x:f>INDEX(Model_TestVersion_Stats!$W:$W,C738)</x:f>
        <x:v>36</x:v>
      </x:c>
      <x:c r="F738" t="n">
        <x:f>INDEX(Model_TestVersion_Stats!$O:$O,C738)</x:f>
        <x:v>0.67</x:v>
      </x:c>
      <x:c r="G738" t="str">
        <x:f>IF(INDEX(Model_TestVersion_Stats!$R:$R,C738)="","",INDEX(Model_TestVersion_Stats!$R:$R,C738)/60)</x:f>
      </x:c>
      <x:c r="H738" t="n">
        <x:f>IF(E738="","",E738-(D738-1))</x:f>
        <x:v>27</x:v>
      </x:c>
      <x:c r="I738" t="n">
        <x:f>IF(H738&gt;0,1,0)</x:f>
        <x:v>1</x:v>
      </x:c>
      <x:c r="J738" t="n">
        <x:f>IF(OR(I738=0,F738="",F738=0),"",H738/F738)</x:f>
        <x:v>40.298507462686565</x:v>
      </x:c>
      <x:c r="K738" t="n">
        <x:f>IF(OR(I738=0,H738=0,F738=""),"",F738/H738)</x:f>
        <x:v>0.024814814814814817</x:v>
      </x:c>
      <x:c r="L738" t="str">
        <x:f>IF(OR(I738=0,F738="",G738="",F738=0,G738=0),"",H738/(F738*G738))</x:f>
      </x:c>
      <x:c r="M738" t="n">
        <x:f>IF(J738="","",J738/_xlfn.MAXIFS($J:$J,$D:$D,D738))</x:f>
        <x:v>0.04029850746268657</x:v>
      </x:c>
      <x:c r="N738" t="str">
        <x:f>IF(L738="","",L738/_xlfn.MAXIFS($L:$L,$D:$D,D738))</x:f>
      </x:c>
      <x:c r="O738" t="str">
        <x:f>IF(OR(M738="",N738=""),"",SQRT(M738*N738))</x:f>
      </x:c>
      <x:c r="P738" t="str">
        <x:f>IF(OR(M738="",N738=""),"",M738^0.7*N738^0.3)</x:f>
      </x:c>
      <x:c r="Q738" t="str">
        <x:f>IF(OR(M738="",N738=""),"",M738^0.3*N738^0.7)</x:f>
      </x:c>
    </x:row>
    <x:row r="739" s="14" customFormat="1">
      <x:c r="A739" t="inlineStr">
        <x:is>
          <x:t xml:space="preserve">deepseek|deepseek-v4-pro-0813|max|reasoning|fallback-na</x:t>
        </x:is>
      </x:c>
      <x:c r="B739" t="inlineStr">
        <x:is>
          <x:t xml:space="preserve">AA|v4.3.2</x:t>
        </x:is>
      </x:c>
      <x:c r="C739" t="n">
        <x:v>94</x:v>
      </x:c>
      <x:c r="D739" t="n">
        <x:v>20</x:v>
      </x:c>
      <x:c r="E739" t="n">
        <x:f>INDEX(Model_TestVersion_Stats!$W:$W,C739)</x:f>
        <x:v>36</x:v>
      </x:c>
      <x:c r="F739" t="n">
        <x:f>INDEX(Model_TestVersion_Stats!$O:$O,C739)</x:f>
        <x:v>0.67</x:v>
      </x:c>
      <x:c r="G739" t="str">
        <x:f>IF(INDEX(Model_TestVersion_Stats!$R:$R,C739)="","",INDEX(Model_TestVersion_Stats!$R:$R,C739)/60)</x:f>
      </x:c>
      <x:c r="H739" t="n">
        <x:f>IF(E739="","",E739-(D739-1))</x:f>
        <x:v>17</x:v>
      </x:c>
      <x:c r="I739" t="n">
        <x:f>IF(H739&gt;0,1,0)</x:f>
        <x:v>1</x:v>
      </x:c>
      <x:c r="J739" t="n">
        <x:f>IF(OR(I739=0,F739="",F739=0),"",H739/F739)</x:f>
        <x:v>25.37313432835821</x:v>
      </x:c>
      <x:c r="K739" t="n">
        <x:f>IF(OR(I739=0,H739=0,F739=""),"",F739/H739)</x:f>
        <x:v>0.039411764705882354</x:v>
      </x:c>
      <x:c r="L739" t="str">
        <x:f>IF(OR(I739=0,F739="",G739="",F739=0,G739=0),"",H739/(F739*G739))</x:f>
      </x:c>
      <x:c r="M739" t="n">
        <x:f>IF(J739="","",J739/_xlfn.MAXIFS($J:$J,$D:$D,D739))</x:f>
        <x:v>0.04567164179104478</x:v>
      </x:c>
      <x:c r="N739" t="str">
        <x:f>IF(L739="","",L739/_xlfn.MAXIFS($L:$L,$D:$D,D739))</x:f>
      </x:c>
      <x:c r="O739" t="str">
        <x:f>IF(OR(M739="",N739=""),"",SQRT(M739*N739))</x:f>
      </x:c>
      <x:c r="P739" t="str">
        <x:f>IF(OR(M739="",N739=""),"",M739^0.7*N739^0.3)</x:f>
      </x:c>
      <x:c r="Q739" t="str">
        <x:f>IF(OR(M739="",N739=""),"",M739^0.3*N739^0.7)</x:f>
      </x:c>
    </x:row>
    <x:row r="740" s="14" customFormat="1">
      <x:c r="A740" t="inlineStr">
        <x:is>
          <x:t xml:space="preserve">deepseek|deepseek-v4-pro-0813|max|reasoning|fallback-na</x:t>
        </x:is>
      </x:c>
      <x:c r="B740" t="inlineStr">
        <x:is>
          <x:t xml:space="preserve">AA|v4.3.2</x:t>
        </x:is>
      </x:c>
      <x:c r="C740" t="n">
        <x:v>94</x:v>
      </x:c>
      <x:c r="D740" t="n">
        <x:v>30</x:v>
      </x:c>
      <x:c r="E740" t="n">
        <x:f>INDEX(Model_TestVersion_Stats!$W:$W,C740)</x:f>
        <x:v>36</x:v>
      </x:c>
      <x:c r="F740" t="n">
        <x:f>INDEX(Model_TestVersion_Stats!$O:$O,C740)</x:f>
        <x:v>0.67</x:v>
      </x:c>
      <x:c r="G740" t="str">
        <x:f>IF(INDEX(Model_TestVersion_Stats!$R:$R,C740)="","",INDEX(Model_TestVersion_Stats!$R:$R,C740)/60)</x:f>
      </x:c>
      <x:c r="H740" t="n">
        <x:f>IF(E740="","",E740-(D740-1))</x:f>
        <x:v>7</x:v>
      </x:c>
      <x:c r="I740" t="n">
        <x:f>IF(H740&gt;0,1,0)</x:f>
        <x:v>1</x:v>
      </x:c>
      <x:c r="J740" t="n">
        <x:f>IF(OR(I740=0,F740="",F740=0),"",H740/F740)</x:f>
        <x:v>10.44776119402985</x:v>
      </x:c>
      <x:c r="K740" t="n">
        <x:f>IF(OR(I740=0,H740=0,F740=""),"",F740/H740)</x:f>
        <x:v>0.09571428571428572</x:v>
      </x:c>
      <x:c r="L740" t="str">
        <x:f>IF(OR(I740=0,F740="",G740="",F740=0,G740=0),"",H740/(F740*G740))</x:f>
      </x:c>
      <x:c r="M740" t="n">
        <x:f>IF(J740="","",J740/_xlfn.MAXIFS($J:$J,$D:$D,D740))</x:f>
        <x:v>0.06965174129353233</x:v>
      </x:c>
      <x:c r="N740" t="str">
        <x:f>IF(L740="","",L740/_xlfn.MAXIFS($L:$L,$D:$D,D740))</x:f>
      </x:c>
      <x:c r="O740" t="str">
        <x:f>IF(OR(M740="",N740=""),"",SQRT(M740*N740))</x:f>
      </x:c>
      <x:c r="P740" t="str">
        <x:f>IF(OR(M740="",N740=""),"",M740^0.7*N740^0.3)</x:f>
      </x:c>
      <x:c r="Q740" t="str">
        <x:f>IF(OR(M740="",N740=""),"",M740^0.3*N740^0.7)</x:f>
      </x:c>
    </x:row>
    <x:row r="741" s="14" customFormat="1">
      <x:c r="A741" t="inlineStr">
        <x:is>
          <x:t xml:space="preserve">deepseek|deepseek-v4-pro-0813|max|reasoning|fallback-na</x:t>
        </x:is>
      </x:c>
      <x:c r="B741" t="inlineStr">
        <x:is>
          <x:t xml:space="preserve">AA|v4.3.2</x:t>
        </x:is>
      </x:c>
      <x:c r="C741" t="n">
        <x:v>94</x:v>
      </x:c>
      <x:c r="D741" t="n">
        <x:v>35</x:v>
      </x:c>
      <x:c r="E741" t="n">
        <x:f>INDEX(Model_TestVersion_Stats!$W:$W,C741)</x:f>
        <x:v>36</x:v>
      </x:c>
      <x:c r="F741" t="n">
        <x:f>INDEX(Model_TestVersion_Stats!$O:$O,C741)</x:f>
        <x:v>0.67</x:v>
      </x:c>
      <x:c r="G741" t="str">
        <x:f>IF(INDEX(Model_TestVersion_Stats!$R:$R,C741)="","",INDEX(Model_TestVersion_Stats!$R:$R,C741)/60)</x:f>
      </x:c>
      <x:c r="H741" t="n">
        <x:f>IF(E741="","",E741-(D741-1))</x:f>
        <x:v>2</x:v>
      </x:c>
      <x:c r="I741" t="n">
        <x:f>IF(H741&gt;0,1,0)</x:f>
        <x:v>1</x:v>
      </x:c>
      <x:c r="J741" t="n">
        <x:f>IF(OR(I741=0,F741="",F741=0),"",H741/F741)</x:f>
        <x:v>2.9850746268656714</x:v>
      </x:c>
      <x:c r="K741" t="n">
        <x:f>IF(OR(I741=0,H741=0,F741=""),"",F741/H741)</x:f>
        <x:v>0.335</x:v>
      </x:c>
      <x:c r="L741" t="str">
        <x:f>IF(OR(I741=0,F741="",G741="",F741=0,G741=0),"",H741/(F741*G741))</x:f>
      </x:c>
      <x:c r="M741" t="n">
        <x:f>IF(J741="","",J741/_xlfn.MAXIFS($J:$J,$D:$D,D741))</x:f>
        <x:v>0.03233830845771144</x:v>
      </x:c>
      <x:c r="N741" t="str">
        <x:f>IF(L741="","",L741/_xlfn.MAXIFS($L:$L,$D:$D,D741))</x:f>
      </x:c>
      <x:c r="O741" t="str">
        <x:f>IF(OR(M741="",N741=""),"",SQRT(M741*N741))</x:f>
      </x:c>
      <x:c r="P741" t="str">
        <x:f>IF(OR(M741="",N741=""),"",M741^0.7*N741^0.3)</x:f>
      </x:c>
      <x:c r="Q741" t="str">
        <x:f>IF(OR(M741="",N741=""),"",M741^0.3*N741^0.7)</x:f>
      </x:c>
    </x:row>
    <x:row r="742" s="14" customFormat="1">
      <x:c r="A742" t="inlineStr">
        <x:is>
          <x:t xml:space="preserve">deepseek|deepseek-v4-pro-0813|max|reasoning|fallback-na</x:t>
        </x:is>
      </x:c>
      <x:c r="B742" t="inlineStr">
        <x:is>
          <x:t xml:space="preserve">AA|v4.3.2</x:t>
        </x:is>
      </x:c>
      <x:c r="C742" t="n">
        <x:v>94</x:v>
      </x:c>
      <x:c r="D742" t="n">
        <x:v>40</x:v>
      </x:c>
      <x:c r="E742" t="n">
        <x:f>INDEX(Model_TestVersion_Stats!$W:$W,C742)</x:f>
        <x:v>36</x:v>
      </x:c>
      <x:c r="F742" t="n">
        <x:f>INDEX(Model_TestVersion_Stats!$O:$O,C742)</x:f>
        <x:v>0.67</x:v>
      </x:c>
      <x:c r="G742" t="str">
        <x:f>IF(INDEX(Model_TestVersion_Stats!$R:$R,C742)="","",INDEX(Model_TestVersion_Stats!$R:$R,C742)/60)</x:f>
      </x:c>
      <x:c r="H742" t="n">
        <x:f>IF(E742="","",E742-(D742-1))</x:f>
        <x:v>-3</x:v>
      </x:c>
      <x:c r="I742" t="n">
        <x:f>IF(H742&gt;0,1,0)</x:f>
        <x:v>0</x:v>
      </x:c>
      <x:c r="J742" t="str">
        <x:f>IF(OR(I742=0,F742="",F742=0),"",H742/F742)</x:f>
      </x:c>
      <x:c r="K742" t="str">
        <x:f>IF(OR(I742=0,H742=0,F742=""),"",F742/H742)</x:f>
      </x:c>
      <x:c r="L742" t="str">
        <x:f>IF(OR(I742=0,F742="",G742="",F742=0,G742=0),"",H742/(F742*G742))</x:f>
      </x:c>
      <x:c r="M742" t="str">
        <x:f>IF(J742="","",J742/_xlfn.MAXIFS($J:$J,$D:$D,D742))</x:f>
      </x:c>
      <x:c r="N742" t="str">
        <x:f>IF(L742="","",L742/_xlfn.MAXIFS($L:$L,$D:$D,D742))</x:f>
      </x:c>
      <x:c r="O742" t="str">
        <x:f>IF(OR(M742="",N742=""),"",SQRT(M742*N742))</x:f>
      </x:c>
      <x:c r="P742" t="str">
        <x:f>IF(OR(M742="",N742=""),"",M742^0.7*N742^0.3)</x:f>
      </x:c>
      <x:c r="Q742" t="str">
        <x:f>IF(OR(M742="",N742=""),"",M742^0.3*N742^0.7)</x:f>
      </x:c>
    </x:row>
    <x:row r="743" s="14" customFormat="1">
      <x:c r="A743" t="inlineStr">
        <x:is>
          <x:t xml:space="preserve">deepseek|deepseek-v4-pro-0813|max|reasoning|fallback-na</x:t>
        </x:is>
      </x:c>
      <x:c r="B743" t="inlineStr">
        <x:is>
          <x:t xml:space="preserve">AA|v4.3.2</x:t>
        </x:is>
      </x:c>
      <x:c r="C743" t="n">
        <x:v>94</x:v>
      </x:c>
      <x:c r="D743" t="n">
        <x:v>45</x:v>
      </x:c>
      <x:c r="E743" t="n">
        <x:f>INDEX(Model_TestVersion_Stats!$W:$W,C743)</x:f>
        <x:v>36</x:v>
      </x:c>
      <x:c r="F743" t="n">
        <x:f>INDEX(Model_TestVersion_Stats!$O:$O,C743)</x:f>
        <x:v>0.67</x:v>
      </x:c>
      <x:c r="G743" t="str">
        <x:f>IF(INDEX(Model_TestVersion_Stats!$R:$R,C743)="","",INDEX(Model_TestVersion_Stats!$R:$R,C743)/60)</x:f>
      </x:c>
      <x:c r="H743" t="n">
        <x:f>IF(E743="","",E743-(D743-1))</x:f>
        <x:v>-8</x:v>
      </x:c>
      <x:c r="I743" t="n">
        <x:f>IF(H743&gt;0,1,0)</x:f>
        <x:v>0</x:v>
      </x:c>
      <x:c r="J743" t="str">
        <x:f>IF(OR(I743=0,F743="",F743=0),"",H743/F743)</x:f>
      </x:c>
      <x:c r="K743" t="str">
        <x:f>IF(OR(I743=0,H743=0,F743=""),"",F743/H743)</x:f>
      </x:c>
      <x:c r="L743" t="str">
        <x:f>IF(OR(I743=0,F743="",G743="",F743=0,G743=0),"",H743/(F743*G743))</x:f>
      </x:c>
      <x:c r="M743" t="str">
        <x:f>IF(J743="","",J743/_xlfn.MAXIFS($J:$J,$D:$D,D743))</x:f>
      </x:c>
      <x:c r="N743" t="str">
        <x:f>IF(L743="","",L743/_xlfn.MAXIFS($L:$L,$D:$D,D743))</x:f>
      </x:c>
      <x:c r="O743" t="str">
        <x:f>IF(OR(M743="",N743=""),"",SQRT(M743*N743))</x:f>
      </x:c>
      <x:c r="P743" t="str">
        <x:f>IF(OR(M743="",N743=""),"",M743^0.7*N743^0.3)</x:f>
      </x:c>
      <x:c r="Q743" t="str">
        <x:f>IF(OR(M743="",N743=""),"",M743^0.3*N743^0.7)</x:f>
      </x:c>
    </x:row>
    <x:row r="744" s="14" customFormat="1">
      <x:c r="A744" t="inlineStr">
        <x:is>
          <x:t xml:space="preserve">deepseek|deepseek-v4-pro-0813|max|reasoning|fallback-na</x:t>
        </x:is>
      </x:c>
      <x:c r="B744" t="inlineStr">
        <x:is>
          <x:t xml:space="preserve">AA|v4.3.2</x:t>
        </x:is>
      </x:c>
      <x:c r="C744" t="n">
        <x:v>94</x:v>
      </x:c>
      <x:c r="D744" t="n">
        <x:v>50</x:v>
      </x:c>
      <x:c r="E744" t="n">
        <x:f>INDEX(Model_TestVersion_Stats!$W:$W,C744)</x:f>
        <x:v>36</x:v>
      </x:c>
      <x:c r="F744" t="n">
        <x:f>INDEX(Model_TestVersion_Stats!$O:$O,C744)</x:f>
        <x:v>0.67</x:v>
      </x:c>
      <x:c r="G744" t="str">
        <x:f>IF(INDEX(Model_TestVersion_Stats!$R:$R,C744)="","",INDEX(Model_TestVersion_Stats!$R:$R,C744)/60)</x:f>
      </x:c>
      <x:c r="H744" t="n">
        <x:f>IF(E744="","",E744-(D744-1))</x:f>
        <x:v>-13</x:v>
      </x:c>
      <x:c r="I744" t="n">
        <x:f>IF(H744&gt;0,1,0)</x:f>
        <x:v>0</x:v>
      </x:c>
      <x:c r="J744" t="str">
        <x:f>IF(OR(I744=0,F744="",F744=0),"",H744/F744)</x:f>
      </x:c>
      <x:c r="K744" t="str">
        <x:f>IF(OR(I744=0,H744=0,F744=""),"",F744/H744)</x:f>
      </x:c>
      <x:c r="L744" t="str">
        <x:f>IF(OR(I744=0,F744="",G744="",F744=0,G744=0),"",H744/(F744*G744))</x:f>
      </x:c>
      <x:c r="M744" t="str">
        <x:f>IF(J744="","",J744/_xlfn.MAXIFS($J:$J,$D:$D,D744))</x:f>
      </x:c>
      <x:c r="N744" t="str">
        <x:f>IF(L744="","",L744/_xlfn.MAXIFS($L:$L,$D:$D,D744))</x:f>
      </x:c>
      <x:c r="O744" t="str">
        <x:f>IF(OR(M744="",N744=""),"",SQRT(M744*N744))</x:f>
      </x:c>
      <x:c r="P744" t="str">
        <x:f>IF(OR(M744="",N744=""),"",M744^0.7*N744^0.3)</x:f>
      </x:c>
      <x:c r="Q744" t="str">
        <x:f>IF(OR(M744="",N744=""),"",M744^0.3*N744^0.7)</x:f>
      </x:c>
    </x:row>
    <x:row r="745" s="14" customFormat="1">
      <x:c r="A745" t="inlineStr">
        <x:is>
          <x:t xml:space="preserve">deepseek|deepseek-v4-pro-0813|max|reasoning|fallback-na</x:t>
        </x:is>
      </x:c>
      <x:c r="B745" t="inlineStr">
        <x:is>
          <x:t xml:space="preserve">AA|v4.3.2</x:t>
        </x:is>
      </x:c>
      <x:c r="C745" t="n">
        <x:v>94</x:v>
      </x:c>
      <x:c r="D745" t="n">
        <x:v>60</x:v>
      </x:c>
      <x:c r="E745" t="n">
        <x:f>INDEX(Model_TestVersion_Stats!$W:$W,C745)</x:f>
        <x:v>36</x:v>
      </x:c>
      <x:c r="F745" t="n">
        <x:f>INDEX(Model_TestVersion_Stats!$O:$O,C745)</x:f>
        <x:v>0.67</x:v>
      </x:c>
      <x:c r="G745" t="str">
        <x:f>IF(INDEX(Model_TestVersion_Stats!$R:$R,C745)="","",INDEX(Model_TestVersion_Stats!$R:$R,C745)/60)</x:f>
      </x:c>
      <x:c r="H745" t="n">
        <x:f>IF(E745="","",E745-(D745-1))</x:f>
        <x:v>-23</x:v>
      </x:c>
      <x:c r="I745" t="n">
        <x:f>IF(H745&gt;0,1,0)</x:f>
        <x:v>0</x:v>
      </x:c>
      <x:c r="J745" t="str">
        <x:f>IF(OR(I745=0,F745="",F745=0),"",H745/F745)</x:f>
      </x:c>
      <x:c r="K745" t="str">
        <x:f>IF(OR(I745=0,H745=0,F745=""),"",F745/H745)</x:f>
      </x:c>
      <x:c r="L745" t="str">
        <x:f>IF(OR(I745=0,F745="",G745="",F745=0,G745=0),"",H745/(F745*G745))</x:f>
      </x:c>
      <x:c r="M745" t="str">
        <x:f>IF(J745="","",J745/_xlfn.MAXIFS($J:$J,$D:$D,D745))</x:f>
      </x:c>
      <x:c r="N745" t="str">
        <x:f>IF(L745="","",L745/_xlfn.MAXIFS($L:$L,$D:$D,D745))</x:f>
      </x:c>
      <x:c r="O745" t="str">
        <x:f>IF(OR(M745="",N745=""),"",SQRT(M745*N745))</x:f>
      </x:c>
      <x:c r="P745" t="str">
        <x:f>IF(OR(M745="",N745=""),"",M745^0.7*N745^0.3)</x:f>
      </x:c>
      <x:c r="Q745" t="str">
        <x:f>IF(OR(M745="",N745=""),"",M745^0.3*N745^0.7)</x:f>
      </x:c>
    </x:row>
    <x:row r="746" s="14" customFormat="1">
      <x:c r="A746" t="inlineStr">
        <x:is>
          <x:t xml:space="preserve">xiaomi|mimo-v2-6-pro|reasoning|yes|fallback-na</x:t>
        </x:is>
      </x:c>
      <x:c r="B746" t="inlineStr">
        <x:is>
          <x:t xml:space="preserve">AA|v4.3.2</x:t>
        </x:is>
      </x:c>
      <x:c r="C746" t="n">
        <x:v>95</x:v>
      </x:c>
      <x:c r="D746" t="n">
        <x:v>10</x:v>
      </x:c>
      <x:c r="E746" t="n">
        <x:f>INDEX(Model_TestVersion_Stats!$W:$W,C746)</x:f>
        <x:v>46</x:v>
      </x:c>
      <x:c r="F746" t="n">
        <x:f>INDEX(Model_TestVersion_Stats!$O:$O,C746)</x:f>
        <x:v>0.13</x:v>
      </x:c>
      <x:c r="G746" t="str">
        <x:f>IF(INDEX(Model_TestVersion_Stats!$R:$R,C746)="","",INDEX(Model_TestVersion_Stats!$R:$R,C746)/60)</x:f>
      </x:c>
      <x:c r="H746" t="n">
        <x:f>IF(E746="","",E746-(D746-1))</x:f>
        <x:v>37</x:v>
      </x:c>
      <x:c r="I746" t="n">
        <x:f>IF(H746&gt;0,1,0)</x:f>
        <x:v>1</x:v>
      </x:c>
      <x:c r="J746" t="n">
        <x:f>IF(OR(I746=0,F746="",F746=0),"",H746/F746)</x:f>
        <x:v>284.6153846153846</x:v>
      </x:c>
      <x:c r="K746" t="n">
        <x:f>IF(OR(I746=0,H746=0,F746=""),"",F746/H746)</x:f>
        <x:v>0.0035135135135135136</x:v>
      </x:c>
      <x:c r="L746" t="str">
        <x:f>IF(OR(I746=0,F746="",G746="",F746=0,G746=0),"",H746/(F746*G746))</x:f>
      </x:c>
      <x:c r="M746" t="n">
        <x:f>IF(J746="","",J746/_xlfn.MAXIFS($J:$J,$D:$D,D746))</x:f>
        <x:v>0.2846153846153846</x:v>
      </x:c>
      <x:c r="N746" t="str">
        <x:f>IF(L746="","",L746/_xlfn.MAXIFS($L:$L,$D:$D,D746))</x:f>
      </x:c>
      <x:c r="O746" t="str">
        <x:f>IF(OR(M746="",N746=""),"",SQRT(M746*N746))</x:f>
      </x:c>
      <x:c r="P746" t="str">
        <x:f>IF(OR(M746="",N746=""),"",M746^0.7*N746^0.3)</x:f>
      </x:c>
      <x:c r="Q746" t="str">
        <x:f>IF(OR(M746="",N746=""),"",M746^0.3*N746^0.7)</x:f>
      </x:c>
    </x:row>
    <x:row r="747" s="14" customFormat="1">
      <x:c r="A747" t="inlineStr">
        <x:is>
          <x:t xml:space="preserve">xiaomi|mimo-v2-6-pro|reasoning|yes|fallback-na</x:t>
        </x:is>
      </x:c>
      <x:c r="B747" t="inlineStr">
        <x:is>
          <x:t xml:space="preserve">AA|v4.3.2</x:t>
        </x:is>
      </x:c>
      <x:c r="C747" t="n">
        <x:v>95</x:v>
      </x:c>
      <x:c r="D747" t="n">
        <x:v>20</x:v>
      </x:c>
      <x:c r="E747" t="n">
        <x:f>INDEX(Model_TestVersion_Stats!$W:$W,C747)</x:f>
        <x:v>46</x:v>
      </x:c>
      <x:c r="F747" t="n">
        <x:f>INDEX(Model_TestVersion_Stats!$O:$O,C747)</x:f>
        <x:v>0.13</x:v>
      </x:c>
      <x:c r="G747" t="str">
        <x:f>IF(INDEX(Model_TestVersion_Stats!$R:$R,C747)="","",INDEX(Model_TestVersion_Stats!$R:$R,C747)/60)</x:f>
      </x:c>
      <x:c r="H747" t="n">
        <x:f>IF(E747="","",E747-(D747-1))</x:f>
        <x:v>27</x:v>
      </x:c>
      <x:c r="I747" t="n">
        <x:f>IF(H747&gt;0,1,0)</x:f>
        <x:v>1</x:v>
      </x:c>
      <x:c r="J747" t="n">
        <x:f>IF(OR(I747=0,F747="",F747=0),"",H747/F747)</x:f>
        <x:v>207.69230769230768</x:v>
      </x:c>
      <x:c r="K747" t="n">
        <x:f>IF(OR(I747=0,H747=0,F747=""),"",F747/H747)</x:f>
        <x:v>0.004814814814814815</x:v>
      </x:c>
      <x:c r="L747" t="str">
        <x:f>IF(OR(I747=0,F747="",G747="",F747=0,G747=0),"",H747/(F747*G747))</x:f>
      </x:c>
      <x:c r="M747" t="n">
        <x:f>IF(J747="","",J747/_xlfn.MAXIFS($J:$J,$D:$D,D747))</x:f>
        <x:v>0.37384615384615383</x:v>
      </x:c>
      <x:c r="N747" t="str">
        <x:f>IF(L747="","",L747/_xlfn.MAXIFS($L:$L,$D:$D,D747))</x:f>
      </x:c>
      <x:c r="O747" t="str">
        <x:f>IF(OR(M747="",N747=""),"",SQRT(M747*N747))</x:f>
      </x:c>
      <x:c r="P747" t="str">
        <x:f>IF(OR(M747="",N747=""),"",M747^0.7*N747^0.3)</x:f>
      </x:c>
      <x:c r="Q747" t="str">
        <x:f>IF(OR(M747="",N747=""),"",M747^0.3*N747^0.7)</x:f>
      </x:c>
    </x:row>
    <x:row r="748" s="14" customFormat="1">
      <x:c r="A748" t="inlineStr">
        <x:is>
          <x:t xml:space="preserve">xiaomi|mimo-v2-6-pro|reasoning|yes|fallback-na</x:t>
        </x:is>
      </x:c>
      <x:c r="B748" t="inlineStr">
        <x:is>
          <x:t xml:space="preserve">AA|v4.3.2</x:t>
        </x:is>
      </x:c>
      <x:c r="C748" t="n">
        <x:v>95</x:v>
      </x:c>
      <x:c r="D748" t="n">
        <x:v>30</x:v>
      </x:c>
      <x:c r="E748" t="n">
        <x:f>INDEX(Model_TestVersion_Stats!$W:$W,C748)</x:f>
        <x:v>46</x:v>
      </x:c>
      <x:c r="F748" t="n">
        <x:f>INDEX(Model_TestVersion_Stats!$O:$O,C748)</x:f>
        <x:v>0.13</x:v>
      </x:c>
      <x:c r="G748" t="str">
        <x:f>IF(INDEX(Model_TestVersion_Stats!$R:$R,C748)="","",INDEX(Model_TestVersion_Stats!$R:$R,C748)/60)</x:f>
      </x:c>
      <x:c r="H748" t="n">
        <x:f>IF(E748="","",E748-(D748-1))</x:f>
        <x:v>17</x:v>
      </x:c>
      <x:c r="I748" t="n">
        <x:f>IF(H748&gt;0,1,0)</x:f>
        <x:v>1</x:v>
      </x:c>
      <x:c r="J748" t="n">
        <x:f>IF(OR(I748=0,F748="",F748=0),"",H748/F748)</x:f>
        <x:v>130.76923076923077</x:v>
      </x:c>
      <x:c r="K748" t="n">
        <x:f>IF(OR(I748=0,H748=0,F748=""),"",F748/H748)</x:f>
        <x:v>0.007647058823529412</x:v>
      </x:c>
      <x:c r="L748" t="str">
        <x:f>IF(OR(I748=0,F748="",G748="",F748=0,G748=0),"",H748/(F748*G748))</x:f>
      </x:c>
      <x:c r="M748" t="n">
        <x:f>IF(J748="","",J748/_xlfn.MAXIFS($J:$J,$D:$D,D748))</x:f>
        <x:v>0.8717948717948718</x:v>
      </x:c>
      <x:c r="N748" t="str">
        <x:f>IF(L748="","",L748/_xlfn.MAXIFS($L:$L,$D:$D,D748))</x:f>
      </x:c>
      <x:c r="O748" t="str">
        <x:f>IF(OR(M748="",N748=""),"",SQRT(M748*N748))</x:f>
      </x:c>
      <x:c r="P748" t="str">
        <x:f>IF(OR(M748="",N748=""),"",M748^0.7*N748^0.3)</x:f>
      </x:c>
      <x:c r="Q748" t="str">
        <x:f>IF(OR(M748="",N748=""),"",M748^0.3*N748^0.7)</x:f>
      </x:c>
    </x:row>
    <x:row r="749" s="14" customFormat="1">
      <x:c r="A749" t="inlineStr">
        <x:is>
          <x:t xml:space="preserve">xiaomi|mimo-v2-6-pro|reasoning|yes|fallback-na</x:t>
        </x:is>
      </x:c>
      <x:c r="B749" t="inlineStr">
        <x:is>
          <x:t xml:space="preserve">AA|v4.3.2</x:t>
        </x:is>
      </x:c>
      <x:c r="C749" t="n">
        <x:v>95</x:v>
      </x:c>
      <x:c r="D749" t="n">
        <x:v>35</x:v>
      </x:c>
      <x:c r="E749" t="n">
        <x:f>INDEX(Model_TestVersion_Stats!$W:$W,C749)</x:f>
        <x:v>46</x:v>
      </x:c>
      <x:c r="F749" t="n">
        <x:f>INDEX(Model_TestVersion_Stats!$O:$O,C749)</x:f>
        <x:v>0.13</x:v>
      </x:c>
      <x:c r="G749" t="str">
        <x:f>IF(INDEX(Model_TestVersion_Stats!$R:$R,C749)="","",INDEX(Model_TestVersion_Stats!$R:$R,C749)/60)</x:f>
      </x:c>
      <x:c r="H749" t="n">
        <x:f>IF(E749="","",E749-(D749-1))</x:f>
        <x:v>12</x:v>
      </x:c>
      <x:c r="I749" t="n">
        <x:f>IF(H749&gt;0,1,0)</x:f>
        <x:v>1</x:v>
      </x:c>
      <x:c r="J749" t="n">
        <x:f>IF(OR(I749=0,F749="",F749=0),"",H749/F749)</x:f>
        <x:v>92.3076923076923</x:v>
      </x:c>
      <x:c r="K749" t="n">
        <x:f>IF(OR(I749=0,H749=0,F749=""),"",F749/H749)</x:f>
        <x:v>0.010833333333333334</x:v>
      </x:c>
      <x:c r="L749" t="str">
        <x:f>IF(OR(I749=0,F749="",G749="",F749=0,G749=0),"",H749/(F749*G749))</x:f>
      </x:c>
      <x:c r="M749" t="n">
        <x:f>IF(J749="","",J749/_xlfn.MAXIFS($J:$J,$D:$D,D749))</x:f>
        <x:v>1</x:v>
      </x:c>
      <x:c r="N749" t="str">
        <x:f>IF(L749="","",L749/_xlfn.MAXIFS($L:$L,$D:$D,D749))</x:f>
      </x:c>
      <x:c r="O749" t="str">
        <x:f>IF(OR(M749="",N749=""),"",SQRT(M749*N749))</x:f>
      </x:c>
      <x:c r="P749" t="str">
        <x:f>IF(OR(M749="",N749=""),"",M749^0.7*N749^0.3)</x:f>
      </x:c>
      <x:c r="Q749" t="str">
        <x:f>IF(OR(M749="",N749=""),"",M749^0.3*N749^0.7)</x:f>
      </x:c>
    </x:row>
    <x:row r="750" s="14" customFormat="1">
      <x:c r="A750" t="inlineStr">
        <x:is>
          <x:t xml:space="preserve">xiaomi|mimo-v2-6-pro|reasoning|yes|fallback-na</x:t>
        </x:is>
      </x:c>
      <x:c r="B750" t="inlineStr">
        <x:is>
          <x:t xml:space="preserve">AA|v4.3.2</x:t>
        </x:is>
      </x:c>
      <x:c r="C750" t="n">
        <x:v>95</x:v>
      </x:c>
      <x:c r="D750" t="n">
        <x:v>40</x:v>
      </x:c>
      <x:c r="E750" t="n">
        <x:f>INDEX(Model_TestVersion_Stats!$W:$W,C750)</x:f>
        <x:v>46</x:v>
      </x:c>
      <x:c r="F750" t="n">
        <x:f>INDEX(Model_TestVersion_Stats!$O:$O,C750)</x:f>
        <x:v>0.13</x:v>
      </x:c>
      <x:c r="G750" t="str">
        <x:f>IF(INDEX(Model_TestVersion_Stats!$R:$R,C750)="","",INDEX(Model_TestVersion_Stats!$R:$R,C750)/60)</x:f>
      </x:c>
      <x:c r="H750" t="n">
        <x:f>IF(E750="","",E750-(D750-1))</x:f>
        <x:v>7</x:v>
      </x:c>
      <x:c r="I750" t="n">
        <x:f>IF(H750&gt;0,1,0)</x:f>
        <x:v>1</x:v>
      </x:c>
      <x:c r="J750" t="n">
        <x:f>IF(OR(I750=0,F750="",F750=0),"",H750/F750)</x:f>
        <x:v>53.84615384615385</x:v>
      </x:c>
      <x:c r="K750" t="n">
        <x:f>IF(OR(I750=0,H750=0,F750=""),"",F750/H750)</x:f>
        <x:v>0.018571428571428572</x:v>
      </x:c>
      <x:c r="L750" t="str">
        <x:f>IF(OR(I750=0,F750="",G750="",F750=0,G750=0),"",H750/(F750*G750))</x:f>
      </x:c>
      <x:c r="M750" t="n">
        <x:f>IF(J750="","",J750/_xlfn.MAXIFS($J:$J,$D:$D,D750))</x:f>
        <x:v>1</x:v>
      </x:c>
      <x:c r="N750" t="str">
        <x:f>IF(L750="","",L750/_xlfn.MAXIFS($L:$L,$D:$D,D750))</x:f>
      </x:c>
      <x:c r="O750" t="str">
        <x:f>IF(OR(M750="",N750=""),"",SQRT(M750*N750))</x:f>
      </x:c>
      <x:c r="P750" t="str">
        <x:f>IF(OR(M750="",N750=""),"",M750^0.7*N750^0.3)</x:f>
      </x:c>
      <x:c r="Q750" t="str">
        <x:f>IF(OR(M750="",N750=""),"",M750^0.3*N750^0.7)</x:f>
      </x:c>
    </x:row>
    <x:row r="751" s="14" customFormat="1">
      <x:c r="A751" t="inlineStr">
        <x:is>
          <x:t xml:space="preserve">xiaomi|mimo-v2-6-pro|reasoning|yes|fallback-na</x:t>
        </x:is>
      </x:c>
      <x:c r="B751" t="inlineStr">
        <x:is>
          <x:t xml:space="preserve">AA|v4.3.2</x:t>
        </x:is>
      </x:c>
      <x:c r="C751" t="n">
        <x:v>95</x:v>
      </x:c>
      <x:c r="D751" t="n">
        <x:v>45</x:v>
      </x:c>
      <x:c r="E751" t="n">
        <x:f>INDEX(Model_TestVersion_Stats!$W:$W,C751)</x:f>
        <x:v>46</x:v>
      </x:c>
      <x:c r="F751" t="n">
        <x:f>INDEX(Model_TestVersion_Stats!$O:$O,C751)</x:f>
        <x:v>0.13</x:v>
      </x:c>
      <x:c r="G751" t="str">
        <x:f>IF(INDEX(Model_TestVersion_Stats!$R:$R,C751)="","",INDEX(Model_TestVersion_Stats!$R:$R,C751)/60)</x:f>
      </x:c>
      <x:c r="H751" t="n">
        <x:f>IF(E751="","",E751-(D751-1))</x:f>
        <x:v>2</x:v>
      </x:c>
      <x:c r="I751" t="n">
        <x:f>IF(H751&gt;0,1,0)</x:f>
        <x:v>1</x:v>
      </x:c>
      <x:c r="J751" t="n">
        <x:f>IF(OR(I751=0,F751="",F751=0),"",H751/F751)</x:f>
        <x:v>15.384615384615383</x:v>
      </x:c>
      <x:c r="K751" t="n">
        <x:f>IF(OR(I751=0,H751=0,F751=""),"",F751/H751)</x:f>
        <x:v>0.065</x:v>
      </x:c>
      <x:c r="L751" t="str">
        <x:f>IF(OR(I751=0,F751="",G751="",F751=0,G751=0),"",H751/(F751*G751))</x:f>
      </x:c>
      <x:c r="M751" t="n">
        <x:f>IF(J751="","",J751/_xlfn.MAXIFS($J:$J,$D:$D,D751))</x:f>
        <x:v>0.8076923076923076</x:v>
      </x:c>
      <x:c r="N751" t="str">
        <x:f>IF(L751="","",L751/_xlfn.MAXIFS($L:$L,$D:$D,D751))</x:f>
      </x:c>
      <x:c r="O751" t="str">
        <x:f>IF(OR(M751="",N751=""),"",SQRT(M751*N751))</x:f>
      </x:c>
      <x:c r="P751" t="str">
        <x:f>IF(OR(M751="",N751=""),"",M751^0.7*N751^0.3)</x:f>
      </x:c>
      <x:c r="Q751" t="str">
        <x:f>IF(OR(M751="",N751=""),"",M751^0.3*N751^0.7)</x:f>
      </x:c>
    </x:row>
    <x:row r="752" s="14" customFormat="1">
      <x:c r="A752" t="inlineStr">
        <x:is>
          <x:t xml:space="preserve">xiaomi|mimo-v2-6-pro|reasoning|yes|fallback-na</x:t>
        </x:is>
      </x:c>
      <x:c r="B752" t="inlineStr">
        <x:is>
          <x:t xml:space="preserve">AA|v4.3.2</x:t>
        </x:is>
      </x:c>
      <x:c r="C752" t="n">
        <x:v>95</x:v>
      </x:c>
      <x:c r="D752" t="n">
        <x:v>50</x:v>
      </x:c>
      <x:c r="E752" t="n">
        <x:f>INDEX(Model_TestVersion_Stats!$W:$W,C752)</x:f>
        <x:v>46</x:v>
      </x:c>
      <x:c r="F752" t="n">
        <x:f>INDEX(Model_TestVersion_Stats!$O:$O,C752)</x:f>
        <x:v>0.13</x:v>
      </x:c>
      <x:c r="G752" t="str">
        <x:f>IF(INDEX(Model_TestVersion_Stats!$R:$R,C752)="","",INDEX(Model_TestVersion_Stats!$R:$R,C752)/60)</x:f>
      </x:c>
      <x:c r="H752" t="n">
        <x:f>IF(E752="","",E752-(D752-1))</x:f>
        <x:v>-3</x:v>
      </x:c>
      <x:c r="I752" t="n">
        <x:f>IF(H752&gt;0,1,0)</x:f>
        <x:v>0</x:v>
      </x:c>
      <x:c r="J752" t="str">
        <x:f>IF(OR(I752=0,F752="",F752=0),"",H752/F752)</x:f>
      </x:c>
      <x:c r="K752" t="str">
        <x:f>IF(OR(I752=0,H752=0,F752=""),"",F752/H752)</x:f>
      </x:c>
      <x:c r="L752" t="str">
        <x:f>IF(OR(I752=0,F752="",G752="",F752=0,G752=0),"",H752/(F752*G752))</x:f>
      </x:c>
      <x:c r="M752" t="str">
        <x:f>IF(J752="","",J752/_xlfn.MAXIFS($J:$J,$D:$D,D752))</x:f>
      </x:c>
      <x:c r="N752" t="str">
        <x:f>IF(L752="","",L752/_xlfn.MAXIFS($L:$L,$D:$D,D752))</x:f>
      </x:c>
      <x:c r="O752" t="str">
        <x:f>IF(OR(M752="",N752=""),"",SQRT(M752*N752))</x:f>
      </x:c>
      <x:c r="P752" t="str">
        <x:f>IF(OR(M752="",N752=""),"",M752^0.7*N752^0.3)</x:f>
      </x:c>
      <x:c r="Q752" t="str">
        <x:f>IF(OR(M752="",N752=""),"",M752^0.3*N752^0.7)</x:f>
      </x:c>
    </x:row>
    <x:row r="753" s="14" customFormat="1">
      <x:c r="A753" t="inlineStr">
        <x:is>
          <x:t xml:space="preserve">xiaomi|mimo-v2-6-pro|reasoning|yes|fallback-na</x:t>
        </x:is>
      </x:c>
      <x:c r="B753" t="inlineStr">
        <x:is>
          <x:t xml:space="preserve">AA|v4.3.2</x:t>
        </x:is>
      </x:c>
      <x:c r="C753" t="n">
        <x:v>95</x:v>
      </x:c>
      <x:c r="D753" t="n">
        <x:v>60</x:v>
      </x:c>
      <x:c r="E753" t="n">
        <x:f>INDEX(Model_TestVersion_Stats!$W:$W,C753)</x:f>
        <x:v>46</x:v>
      </x:c>
      <x:c r="F753" t="n">
        <x:f>INDEX(Model_TestVersion_Stats!$O:$O,C753)</x:f>
        <x:v>0.13</x:v>
      </x:c>
      <x:c r="G753" t="str">
        <x:f>IF(INDEX(Model_TestVersion_Stats!$R:$R,C753)="","",INDEX(Model_TestVersion_Stats!$R:$R,C753)/60)</x:f>
      </x:c>
      <x:c r="H753" t="n">
        <x:f>IF(E753="","",E753-(D753-1))</x:f>
        <x:v>-13</x:v>
      </x:c>
      <x:c r="I753" t="n">
        <x:f>IF(H753&gt;0,1,0)</x:f>
        <x:v>0</x:v>
      </x:c>
      <x:c r="J753" t="str">
        <x:f>IF(OR(I753=0,F753="",F753=0),"",H753/F753)</x:f>
      </x:c>
      <x:c r="K753" t="str">
        <x:f>IF(OR(I753=0,H753=0,F753=""),"",F753/H753)</x:f>
      </x:c>
      <x:c r="L753" t="str">
        <x:f>IF(OR(I753=0,F753="",G753="",F753=0,G753=0),"",H753/(F753*G753))</x:f>
      </x:c>
      <x:c r="M753" t="str">
        <x:f>IF(J753="","",J753/_xlfn.MAXIFS($J:$J,$D:$D,D753))</x:f>
      </x:c>
      <x:c r="N753" t="str">
        <x:f>IF(L753="","",L753/_xlfn.MAXIFS($L:$L,$D:$D,D753))</x:f>
      </x:c>
      <x:c r="O753" t="str">
        <x:f>IF(OR(M753="",N753=""),"",SQRT(M753*N753))</x:f>
      </x:c>
      <x:c r="P753" t="str">
        <x:f>IF(OR(M753="",N753=""),"",M753^0.7*N753^0.3)</x:f>
      </x:c>
      <x:c r="Q753" t="str">
        <x:f>IF(OR(M753="",N753=""),"",M753^0.3*N753^0.7)</x:f>
      </x:c>
    </x:row>
    <x:row r="754" s="14" customFormat="1">
      <x:c r="A754" t="inlineStr">
        <x:is>
          <x:t xml:space="preserve">meta|muse-wonder|max|reasoning|fallback-na</x:t>
        </x:is>
      </x:c>
      <x:c r="B754" t="inlineStr">
        <x:is>
          <x:t xml:space="preserve">AA|v4.3.2</x:t>
        </x:is>
      </x:c>
      <x:c r="C754" t="n">
        <x:v>96</x:v>
      </x:c>
      <x:c r="D754" t="n">
        <x:v>10</x:v>
      </x:c>
      <x:c r="E754" t="n">
        <x:f>INDEX(Model_TestVersion_Stats!$W:$W,C754)</x:f>
        <x:v>52</x:v>
      </x:c>
      <x:c r="F754" t="n">
        <x:f>INDEX(Model_TestVersion_Stats!$O:$O,C754)</x:f>
        <x:v>4.52</x:v>
      </x:c>
      <x:c r="G754" t="str">
        <x:f>IF(INDEX(Model_TestVersion_Stats!$R:$R,C754)="","",INDEX(Model_TestVersion_Stats!$R:$R,C754)/60)</x:f>
      </x:c>
      <x:c r="H754" t="n">
        <x:f>IF(E754="","",E754-(D754-1))</x:f>
        <x:v>43</x:v>
      </x:c>
      <x:c r="I754" t="n">
        <x:f>IF(H754&gt;0,1,0)</x:f>
        <x:v>1</x:v>
      </x:c>
      <x:c r="J754" t="n">
        <x:f>IF(OR(I754=0,F754="",F754=0),"",H754/F754)</x:f>
        <x:v>9.513274336283187</x:v>
      </x:c>
      <x:c r="K754" t="n">
        <x:f>IF(OR(I754=0,H754=0,F754=""),"",F754/H754)</x:f>
        <x:v>0.10511627906976743</x:v>
      </x:c>
      <x:c r="L754" t="str">
        <x:f>IF(OR(I754=0,F754="",G754="",F754=0,G754=0),"",H754/(F754*G754))</x:f>
      </x:c>
      <x:c r="M754" t="n">
        <x:f>IF(J754="","",J754/_xlfn.MAXIFS($J:$J,$D:$D,D754))</x:f>
        <x:v>0.009513274336283187</x:v>
      </x:c>
      <x:c r="N754" t="str">
        <x:f>IF(L754="","",L754/_xlfn.MAXIFS($L:$L,$D:$D,D754))</x:f>
      </x:c>
      <x:c r="O754" t="str">
        <x:f>IF(OR(M754="",N754=""),"",SQRT(M754*N754))</x:f>
      </x:c>
      <x:c r="P754" t="str">
        <x:f>IF(OR(M754="",N754=""),"",M754^0.7*N754^0.3)</x:f>
      </x:c>
      <x:c r="Q754" t="str">
        <x:f>IF(OR(M754="",N754=""),"",M754^0.3*N754^0.7)</x:f>
      </x:c>
    </x:row>
    <x:row r="755" s="14" customFormat="1">
      <x:c r="A755" t="inlineStr">
        <x:is>
          <x:t xml:space="preserve">meta|muse-wonder|max|reasoning|fallback-na</x:t>
        </x:is>
      </x:c>
      <x:c r="B755" t="inlineStr">
        <x:is>
          <x:t xml:space="preserve">AA|v4.3.2</x:t>
        </x:is>
      </x:c>
      <x:c r="C755" t="n">
        <x:v>96</x:v>
      </x:c>
      <x:c r="D755" t="n">
        <x:v>20</x:v>
      </x:c>
      <x:c r="E755" t="n">
        <x:f>INDEX(Model_TestVersion_Stats!$W:$W,C755)</x:f>
        <x:v>52</x:v>
      </x:c>
      <x:c r="F755" t="n">
        <x:f>INDEX(Model_TestVersion_Stats!$O:$O,C755)</x:f>
        <x:v>4.52</x:v>
      </x:c>
      <x:c r="G755" t="str">
        <x:f>IF(INDEX(Model_TestVersion_Stats!$R:$R,C755)="","",INDEX(Model_TestVersion_Stats!$R:$R,C755)/60)</x:f>
      </x:c>
      <x:c r="H755" t="n">
        <x:f>IF(E755="","",E755-(D755-1))</x:f>
        <x:v>33</x:v>
      </x:c>
      <x:c r="I755" t="n">
        <x:f>IF(H755&gt;0,1,0)</x:f>
        <x:v>1</x:v>
      </x:c>
      <x:c r="J755" t="n">
        <x:f>IF(OR(I755=0,F755="",F755=0),"",H755/F755)</x:f>
        <x:v>7.300884955752213</x:v>
      </x:c>
      <x:c r="K755" t="n">
        <x:f>IF(OR(I755=0,H755=0,F755=""),"",F755/H755)</x:f>
        <x:v>0.13696969696969696</x:v>
      </x:c>
      <x:c r="L755" t="str">
        <x:f>IF(OR(I755=0,F755="",G755="",F755=0,G755=0),"",H755/(F755*G755))</x:f>
      </x:c>
      <x:c r="M755" t="n">
        <x:f>IF(J755="","",J755/_xlfn.MAXIFS($J:$J,$D:$D,D755))</x:f>
        <x:v>0.013141592920353985</x:v>
      </x:c>
      <x:c r="N755" t="str">
        <x:f>IF(L755="","",L755/_xlfn.MAXIFS($L:$L,$D:$D,D755))</x:f>
      </x:c>
      <x:c r="O755" t="str">
        <x:f>IF(OR(M755="",N755=""),"",SQRT(M755*N755))</x:f>
      </x:c>
      <x:c r="P755" t="str">
        <x:f>IF(OR(M755="",N755=""),"",M755^0.7*N755^0.3)</x:f>
      </x:c>
      <x:c r="Q755" t="str">
        <x:f>IF(OR(M755="",N755=""),"",M755^0.3*N755^0.7)</x:f>
      </x:c>
    </x:row>
    <x:row r="756" s="14" customFormat="1">
      <x:c r="A756" t="inlineStr">
        <x:is>
          <x:t xml:space="preserve">meta|muse-wonder|max|reasoning|fallback-na</x:t>
        </x:is>
      </x:c>
      <x:c r="B756" t="inlineStr">
        <x:is>
          <x:t xml:space="preserve">AA|v4.3.2</x:t>
        </x:is>
      </x:c>
      <x:c r="C756" t="n">
        <x:v>96</x:v>
      </x:c>
      <x:c r="D756" t="n">
        <x:v>30</x:v>
      </x:c>
      <x:c r="E756" t="n">
        <x:f>INDEX(Model_TestVersion_Stats!$W:$W,C756)</x:f>
        <x:v>52</x:v>
      </x:c>
      <x:c r="F756" t="n">
        <x:f>INDEX(Model_TestVersion_Stats!$O:$O,C756)</x:f>
        <x:v>4.52</x:v>
      </x:c>
      <x:c r="G756" t="str">
        <x:f>IF(INDEX(Model_TestVersion_Stats!$R:$R,C756)="","",INDEX(Model_TestVersion_Stats!$R:$R,C756)/60)</x:f>
      </x:c>
      <x:c r="H756" t="n">
        <x:f>IF(E756="","",E756-(D756-1))</x:f>
        <x:v>23</x:v>
      </x:c>
      <x:c r="I756" t="n">
        <x:f>IF(H756&gt;0,1,0)</x:f>
        <x:v>1</x:v>
      </x:c>
      <x:c r="J756" t="n">
        <x:f>IF(OR(I756=0,F756="",F756=0),"",H756/F756)</x:f>
        <x:v>5.0884955752212395</x:v>
      </x:c>
      <x:c r="K756" t="n">
        <x:f>IF(OR(I756=0,H756=0,F756=""),"",F756/H756)</x:f>
        <x:v>0.19652173913043477</x:v>
      </x:c>
      <x:c r="L756" t="str">
        <x:f>IF(OR(I756=0,F756="",G756="",F756=0,G756=0),"",H756/(F756*G756))</x:f>
      </x:c>
      <x:c r="M756" t="n">
        <x:f>IF(J756="","",J756/_xlfn.MAXIFS($J:$J,$D:$D,D756))</x:f>
        <x:v>0.033923303834808266</x:v>
      </x:c>
      <x:c r="N756" t="str">
        <x:f>IF(L756="","",L756/_xlfn.MAXIFS($L:$L,$D:$D,D756))</x:f>
      </x:c>
      <x:c r="O756" t="str">
        <x:f>IF(OR(M756="",N756=""),"",SQRT(M756*N756))</x:f>
      </x:c>
      <x:c r="P756" t="str">
        <x:f>IF(OR(M756="",N756=""),"",M756^0.7*N756^0.3)</x:f>
      </x:c>
      <x:c r="Q756" t="str">
        <x:f>IF(OR(M756="",N756=""),"",M756^0.3*N756^0.7)</x:f>
      </x:c>
    </x:row>
    <x:row r="757" s="14" customFormat="1">
      <x:c r="A757" t="inlineStr">
        <x:is>
          <x:t xml:space="preserve">meta|muse-wonder|max|reasoning|fallback-na</x:t>
        </x:is>
      </x:c>
      <x:c r="B757" t="inlineStr">
        <x:is>
          <x:t xml:space="preserve">AA|v4.3.2</x:t>
        </x:is>
      </x:c>
      <x:c r="C757" t="n">
        <x:v>96</x:v>
      </x:c>
      <x:c r="D757" t="n">
        <x:v>35</x:v>
      </x:c>
      <x:c r="E757" t="n">
        <x:f>INDEX(Model_TestVersion_Stats!$W:$W,C757)</x:f>
        <x:v>52</x:v>
      </x:c>
      <x:c r="F757" t="n">
        <x:f>INDEX(Model_TestVersion_Stats!$O:$O,C757)</x:f>
        <x:v>4.52</x:v>
      </x:c>
      <x:c r="G757" t="str">
        <x:f>IF(INDEX(Model_TestVersion_Stats!$R:$R,C757)="","",INDEX(Model_TestVersion_Stats!$R:$R,C757)/60)</x:f>
      </x:c>
      <x:c r="H757" t="n">
        <x:f>IF(E757="","",E757-(D757-1))</x:f>
        <x:v>18</x:v>
      </x:c>
      <x:c r="I757" t="n">
        <x:f>IF(H757&gt;0,1,0)</x:f>
        <x:v>1</x:v>
      </x:c>
      <x:c r="J757" t="n">
        <x:f>IF(OR(I757=0,F757="",F757=0),"",H757/F757)</x:f>
        <x:v>3.9823008849557526</x:v>
      </x:c>
      <x:c r="K757" t="n">
        <x:f>IF(OR(I757=0,H757=0,F757=""),"",F757/H757)</x:f>
        <x:v>0.25111111111111106</x:v>
      </x:c>
      <x:c r="L757" t="str">
        <x:f>IF(OR(I757=0,F757="",G757="",F757=0,G757=0),"",H757/(F757*G757))</x:f>
      </x:c>
      <x:c r="M757" t="n">
        <x:f>IF(J757="","",J757/_xlfn.MAXIFS($J:$J,$D:$D,D757))</x:f>
        <x:v>0.04314159292035399</x:v>
      </x:c>
      <x:c r="N757" t="str">
        <x:f>IF(L757="","",L757/_xlfn.MAXIFS($L:$L,$D:$D,D757))</x:f>
      </x:c>
      <x:c r="O757" t="str">
        <x:f>IF(OR(M757="",N757=""),"",SQRT(M757*N757))</x:f>
      </x:c>
      <x:c r="P757" t="str">
        <x:f>IF(OR(M757="",N757=""),"",M757^0.7*N757^0.3)</x:f>
      </x:c>
      <x:c r="Q757" t="str">
        <x:f>IF(OR(M757="",N757=""),"",M757^0.3*N757^0.7)</x:f>
      </x:c>
    </x:row>
    <x:row r="758" s="14" customFormat="1">
      <x:c r="A758" t="inlineStr">
        <x:is>
          <x:t xml:space="preserve">meta|muse-wonder|max|reasoning|fallback-na</x:t>
        </x:is>
      </x:c>
      <x:c r="B758" t="inlineStr">
        <x:is>
          <x:t xml:space="preserve">AA|v4.3.2</x:t>
        </x:is>
      </x:c>
      <x:c r="C758" t="n">
        <x:v>96</x:v>
      </x:c>
      <x:c r="D758" t="n">
        <x:v>40</x:v>
      </x:c>
      <x:c r="E758" t="n">
        <x:f>INDEX(Model_TestVersion_Stats!$W:$W,C758)</x:f>
        <x:v>52</x:v>
      </x:c>
      <x:c r="F758" t="n">
        <x:f>INDEX(Model_TestVersion_Stats!$O:$O,C758)</x:f>
        <x:v>4.52</x:v>
      </x:c>
      <x:c r="G758" t="str">
        <x:f>IF(INDEX(Model_TestVersion_Stats!$R:$R,C758)="","",INDEX(Model_TestVersion_Stats!$R:$R,C758)/60)</x:f>
      </x:c>
      <x:c r="H758" t="n">
        <x:f>IF(E758="","",E758-(D758-1))</x:f>
        <x:v>13</x:v>
      </x:c>
      <x:c r="I758" t="n">
        <x:f>IF(H758&gt;0,1,0)</x:f>
        <x:v>1</x:v>
      </x:c>
      <x:c r="J758" t="n">
        <x:f>IF(OR(I758=0,F758="",F758=0),"",H758/F758)</x:f>
        <x:v>2.8761061946902657</x:v>
      </x:c>
      <x:c r="K758" t="n">
        <x:f>IF(OR(I758=0,H758=0,F758=""),"",F758/H758)</x:f>
        <x:v>0.34769230769230763</x:v>
      </x:c>
      <x:c r="L758" t="str">
        <x:f>IF(OR(I758=0,F758="",G758="",F758=0,G758=0),"",H758/(F758*G758))</x:f>
      </x:c>
      <x:c r="M758" t="n">
        <x:f>IF(J758="","",J758/_xlfn.MAXIFS($J:$J,$D:$D,D758))</x:f>
        <x:v>0.05341340075853351</x:v>
      </x:c>
      <x:c r="N758" t="str">
        <x:f>IF(L758="","",L758/_xlfn.MAXIFS($L:$L,$D:$D,D758))</x:f>
      </x:c>
      <x:c r="O758" t="str">
        <x:f>IF(OR(M758="",N758=""),"",SQRT(M758*N758))</x:f>
      </x:c>
      <x:c r="P758" t="str">
        <x:f>IF(OR(M758="",N758=""),"",M758^0.7*N758^0.3)</x:f>
      </x:c>
      <x:c r="Q758" t="str">
        <x:f>IF(OR(M758="",N758=""),"",M758^0.3*N758^0.7)</x:f>
      </x:c>
    </x:row>
    <x:row r="759" s="14" customFormat="1">
      <x:c r="A759" t="inlineStr">
        <x:is>
          <x:t xml:space="preserve">meta|muse-wonder|max|reasoning|fallback-na</x:t>
        </x:is>
      </x:c>
      <x:c r="B759" t="inlineStr">
        <x:is>
          <x:t xml:space="preserve">AA|v4.3.2</x:t>
        </x:is>
      </x:c>
      <x:c r="C759" t="n">
        <x:v>96</x:v>
      </x:c>
      <x:c r="D759" t="n">
        <x:v>45</x:v>
      </x:c>
      <x:c r="E759" t="n">
        <x:f>INDEX(Model_TestVersion_Stats!$W:$W,C759)</x:f>
        <x:v>52</x:v>
      </x:c>
      <x:c r="F759" t="n">
        <x:f>INDEX(Model_TestVersion_Stats!$O:$O,C759)</x:f>
        <x:v>4.52</x:v>
      </x:c>
      <x:c r="G759" t="str">
        <x:f>IF(INDEX(Model_TestVersion_Stats!$R:$R,C759)="","",INDEX(Model_TestVersion_Stats!$R:$R,C759)/60)</x:f>
      </x:c>
      <x:c r="H759" t="n">
        <x:f>IF(E759="","",E759-(D759-1))</x:f>
        <x:v>8</x:v>
      </x:c>
      <x:c r="I759" t="n">
        <x:f>IF(H759&gt;0,1,0)</x:f>
        <x:v>1</x:v>
      </x:c>
      <x:c r="J759" t="n">
        <x:f>IF(OR(I759=0,F759="",F759=0),"",H759/F759)</x:f>
        <x:v>1.7699115044247788</x:v>
      </x:c>
      <x:c r="K759" t="n">
        <x:f>IF(OR(I759=0,H759=0,F759=""),"",F759/H759)</x:f>
        <x:v>0.565</x:v>
      </x:c>
      <x:c r="L759" t="str">
        <x:f>IF(OR(I759=0,F759="",G759="",F759=0,G759=0),"",H759/(F759*G759))</x:f>
      </x:c>
      <x:c r="M759" t="n">
        <x:f>IF(J759="","",J759/_xlfn.MAXIFS($J:$J,$D:$D,D759))</x:f>
        <x:v>0.09292035398230089</x:v>
      </x:c>
      <x:c r="N759" t="str">
        <x:f>IF(L759="","",L759/_xlfn.MAXIFS($L:$L,$D:$D,D759))</x:f>
      </x:c>
      <x:c r="O759" t="str">
        <x:f>IF(OR(M759="",N759=""),"",SQRT(M759*N759))</x:f>
      </x:c>
      <x:c r="P759" t="str">
        <x:f>IF(OR(M759="",N759=""),"",M759^0.7*N759^0.3)</x:f>
      </x:c>
      <x:c r="Q759" t="str">
        <x:f>IF(OR(M759="",N759=""),"",M759^0.3*N759^0.7)</x:f>
      </x:c>
    </x:row>
    <x:row r="760" s="14" customFormat="1">
      <x:c r="A760" t="inlineStr">
        <x:is>
          <x:t xml:space="preserve">meta|muse-wonder|max|reasoning|fallback-na</x:t>
        </x:is>
      </x:c>
      <x:c r="B760" t="inlineStr">
        <x:is>
          <x:t xml:space="preserve">AA|v4.3.2</x:t>
        </x:is>
      </x:c>
      <x:c r="C760" t="n">
        <x:v>96</x:v>
      </x:c>
      <x:c r="D760" t="n">
        <x:v>50</x:v>
      </x:c>
      <x:c r="E760" t="n">
        <x:f>INDEX(Model_TestVersion_Stats!$W:$W,C760)</x:f>
        <x:v>52</x:v>
      </x:c>
      <x:c r="F760" t="n">
        <x:f>INDEX(Model_TestVersion_Stats!$O:$O,C760)</x:f>
        <x:v>4.52</x:v>
      </x:c>
      <x:c r="G760" t="str">
        <x:f>IF(INDEX(Model_TestVersion_Stats!$R:$R,C760)="","",INDEX(Model_TestVersion_Stats!$R:$R,C760)/60)</x:f>
      </x:c>
      <x:c r="H760" t="n">
        <x:f>IF(E760="","",E760-(D760-1))</x:f>
        <x:v>3</x:v>
      </x:c>
      <x:c r="I760" t="n">
        <x:f>IF(H760&gt;0,1,0)</x:f>
        <x:v>1</x:v>
      </x:c>
      <x:c r="J760" t="n">
        <x:f>IF(OR(I760=0,F760="",F760=0),"",H760/F760)</x:f>
        <x:v>0.6637168141592921</x:v>
      </x:c>
      <x:c r="K760" t="n">
        <x:f>IF(OR(I760=0,H760=0,F760=""),"",F760/H760)</x:f>
        <x:v>1.5066666666666666</x:v>
      </x:c>
      <x:c r="L760" t="str">
        <x:f>IF(OR(I760=0,F760="",G760="",F760=0,G760=0),"",H760/(F760*G760))</x:f>
      </x:c>
      <x:c r="M760" t="n">
        <x:f>IF(J760="","",J760/_xlfn.MAXIFS($J:$J,$D:$D,D760))</x:f>
        <x:v>0.12942477876106195</x:v>
      </x:c>
      <x:c r="N760" t="str">
        <x:f>IF(L760="","",L760/_xlfn.MAXIFS($L:$L,$D:$D,D760))</x:f>
      </x:c>
      <x:c r="O760" t="str">
        <x:f>IF(OR(M760="",N760=""),"",SQRT(M760*N760))</x:f>
      </x:c>
      <x:c r="P760" t="str">
        <x:f>IF(OR(M760="",N760=""),"",M760^0.7*N760^0.3)</x:f>
      </x:c>
      <x:c r="Q760" t="str">
        <x:f>IF(OR(M760="",N760=""),"",M760^0.3*N760^0.7)</x:f>
      </x:c>
    </x:row>
    <x:row r="761" s="14" customFormat="1">
      <x:c r="A761" t="inlineStr">
        <x:is>
          <x:t xml:space="preserve">meta|muse-wonder|max|reasoning|fallback-na</x:t>
        </x:is>
      </x:c>
      <x:c r="B761" t="inlineStr">
        <x:is>
          <x:t xml:space="preserve">AA|v4.3.2</x:t>
        </x:is>
      </x:c>
      <x:c r="C761" t="n">
        <x:v>96</x:v>
      </x:c>
      <x:c r="D761" t="n">
        <x:v>60</x:v>
      </x:c>
      <x:c r="E761" t="n">
        <x:f>INDEX(Model_TestVersion_Stats!$W:$W,C761)</x:f>
        <x:v>52</x:v>
      </x:c>
      <x:c r="F761" t="n">
        <x:f>INDEX(Model_TestVersion_Stats!$O:$O,C761)</x:f>
        <x:v>4.52</x:v>
      </x:c>
      <x:c r="G761" t="str">
        <x:f>IF(INDEX(Model_TestVersion_Stats!$R:$R,C761)="","",INDEX(Model_TestVersion_Stats!$R:$R,C761)/60)</x:f>
      </x:c>
      <x:c r="H761" t="n">
        <x:f>IF(E761="","",E761-(D761-1))</x:f>
        <x:v>-7</x:v>
      </x:c>
      <x:c r="I761" t="n">
        <x:f>IF(H761&gt;0,1,0)</x:f>
        <x:v>0</x:v>
      </x:c>
      <x:c r="J761" t="str">
        <x:f>IF(OR(I761=0,F761="",F761=0),"",H761/F761)</x:f>
      </x:c>
      <x:c r="K761" t="str">
        <x:f>IF(OR(I761=0,H761=0,F761=""),"",F761/H761)</x:f>
      </x:c>
      <x:c r="L761" t="str">
        <x:f>IF(OR(I761=0,F761="",G761="",F761=0,G761=0),"",H761/(F761*G761))</x:f>
      </x:c>
      <x:c r="M761" t="str">
        <x:f>IF(J761="","",J761/_xlfn.MAXIFS($J:$J,$D:$D,D761))</x:f>
      </x:c>
      <x:c r="N761" t="str">
        <x:f>IF(L761="","",L761/_xlfn.MAXIFS($L:$L,$D:$D,D761))</x:f>
      </x:c>
      <x:c r="O761" t="str">
        <x:f>IF(OR(M761="",N761=""),"",SQRT(M761*N761))</x:f>
      </x:c>
      <x:c r="P761" t="str">
        <x:f>IF(OR(M761="",N761=""),"",M761^0.7*N761^0.3)</x:f>
      </x:c>
      <x:c r="Q761" t="str">
        <x:f>IF(OR(M761="",N761=""),"",M761^0.3*N761^0.7)</x:f>
      </x:c>
    </x:row>
    <x:row r="762" s="14" customFormat="1">
      <x:c r="A762" t="inlineStr">
        <x:is>
          <x:t xml:space="preserve">openai|gpt-6-1-sol|xhigh|yes|fallback-na</x:t>
        </x:is>
      </x:c>
      <x:c r="B762" t="inlineStr">
        <x:is>
          <x:t xml:space="preserve">AA|v4.3.2</x:t>
        </x:is>
      </x:c>
      <x:c r="C762" t="n">
        <x:v>97</x:v>
      </x:c>
      <x:c r="D762" t="n">
        <x:v>10</x:v>
      </x:c>
      <x:c r="E762" t="n">
        <x:f>INDEX(Model_TestVersion_Stats!$W:$W,C762)</x:f>
        <x:v>51</x:v>
      </x:c>
      <x:c r="F762" t="n">
        <x:f>INDEX(Model_TestVersion_Stats!$O:$O,C762)</x:f>
        <x:v>0.39</x:v>
      </x:c>
      <x:c r="G762" t="str">
        <x:f>IF(INDEX(Model_TestVersion_Stats!$R:$R,C762)="","",INDEX(Model_TestVersion_Stats!$R:$R,C762)/60)</x:f>
      </x:c>
      <x:c r="H762" t="n">
        <x:f>IF(E762="","",E762-(D762-1))</x:f>
        <x:v>42</x:v>
      </x:c>
      <x:c r="I762" t="n">
        <x:f>IF(H762&gt;0,1,0)</x:f>
        <x:v>1</x:v>
      </x:c>
      <x:c r="J762" t="n">
        <x:f>IF(OR(I762=0,F762="",F762=0),"",H762/F762)</x:f>
        <x:v>107.6923076923077</x:v>
      </x:c>
      <x:c r="K762" t="n">
        <x:f>IF(OR(I762=0,H762=0,F762=""),"",F762/H762)</x:f>
        <x:v>0.009285714285714286</x:v>
      </x:c>
      <x:c r="L762" t="str">
        <x:f>IF(OR(I762=0,F762="",G762="",F762=0,G762=0),"",H762/(F762*G762))</x:f>
      </x:c>
      <x:c r="M762" t="n">
        <x:f>IF(J762="","",J762/_xlfn.MAXIFS($J:$J,$D:$D,D762))</x:f>
        <x:v>0.1076923076923077</x:v>
      </x:c>
      <x:c r="N762" t="str">
        <x:f>IF(L762="","",L762/_xlfn.MAXIFS($L:$L,$D:$D,D762))</x:f>
      </x:c>
      <x:c r="O762" t="str">
        <x:f>IF(OR(M762="",N762=""),"",SQRT(M762*N762))</x:f>
      </x:c>
      <x:c r="P762" t="str">
        <x:f>IF(OR(M762="",N762=""),"",M762^0.7*N762^0.3)</x:f>
      </x:c>
      <x:c r="Q762" t="str">
        <x:f>IF(OR(M762="",N762=""),"",M762^0.3*N762^0.7)</x:f>
      </x:c>
    </x:row>
    <x:row r="763" s="14" customFormat="1">
      <x:c r="A763" t="inlineStr">
        <x:is>
          <x:t xml:space="preserve">openai|gpt-6-1-sol|xhigh|yes|fallback-na</x:t>
        </x:is>
      </x:c>
      <x:c r="B763" t="inlineStr">
        <x:is>
          <x:t xml:space="preserve">AA|v4.3.2</x:t>
        </x:is>
      </x:c>
      <x:c r="C763" t="n">
        <x:v>97</x:v>
      </x:c>
      <x:c r="D763" t="n">
        <x:v>20</x:v>
      </x:c>
      <x:c r="E763" t="n">
        <x:f>INDEX(Model_TestVersion_Stats!$W:$W,C763)</x:f>
        <x:v>51</x:v>
      </x:c>
      <x:c r="F763" t="n">
        <x:f>INDEX(Model_TestVersion_Stats!$O:$O,C763)</x:f>
        <x:v>0.39</x:v>
      </x:c>
      <x:c r="G763" t="str">
        <x:f>IF(INDEX(Model_TestVersion_Stats!$R:$R,C763)="","",INDEX(Model_TestVersion_Stats!$R:$R,C763)/60)</x:f>
      </x:c>
      <x:c r="H763" t="n">
        <x:f>IF(E763="","",E763-(D763-1))</x:f>
        <x:v>32</x:v>
      </x:c>
      <x:c r="I763" t="n">
        <x:f>IF(H763&gt;0,1,0)</x:f>
        <x:v>1</x:v>
      </x:c>
      <x:c r="J763" t="n">
        <x:f>IF(OR(I763=0,F763="",F763=0),"",H763/F763)</x:f>
        <x:v>82.05128205128204</x:v>
      </x:c>
      <x:c r="K763" t="n">
        <x:f>IF(OR(I763=0,H763=0,F763=""),"",F763/H763)</x:f>
        <x:v>0.0121875</x:v>
      </x:c>
      <x:c r="L763" t="str">
        <x:f>IF(OR(I763=0,F763="",G763="",F763=0,G763=0),"",H763/(F763*G763))</x:f>
      </x:c>
      <x:c r="M763" t="n">
        <x:f>IF(J763="","",J763/_xlfn.MAXIFS($J:$J,$D:$D,D763))</x:f>
        <x:v>0.14769230769230768</x:v>
      </x:c>
      <x:c r="N763" t="str">
        <x:f>IF(L763="","",L763/_xlfn.MAXIFS($L:$L,$D:$D,D763))</x:f>
      </x:c>
      <x:c r="O763" t="str">
        <x:f>IF(OR(M763="",N763=""),"",SQRT(M763*N763))</x:f>
      </x:c>
      <x:c r="P763" t="str">
        <x:f>IF(OR(M763="",N763=""),"",M763^0.7*N763^0.3)</x:f>
      </x:c>
      <x:c r="Q763" t="str">
        <x:f>IF(OR(M763="",N763=""),"",M763^0.3*N763^0.7)</x:f>
      </x:c>
    </x:row>
    <x:row r="764" s="14" customFormat="1">
      <x:c r="A764" t="inlineStr">
        <x:is>
          <x:t xml:space="preserve">openai|gpt-6-1-sol|xhigh|yes|fallback-na</x:t>
        </x:is>
      </x:c>
      <x:c r="B764" t="inlineStr">
        <x:is>
          <x:t xml:space="preserve">AA|v4.3.2</x:t>
        </x:is>
      </x:c>
      <x:c r="C764" t="n">
        <x:v>97</x:v>
      </x:c>
      <x:c r="D764" t="n">
        <x:v>30</x:v>
      </x:c>
      <x:c r="E764" t="n">
        <x:f>INDEX(Model_TestVersion_Stats!$W:$W,C764)</x:f>
        <x:v>51</x:v>
      </x:c>
      <x:c r="F764" t="n">
        <x:f>INDEX(Model_TestVersion_Stats!$O:$O,C764)</x:f>
        <x:v>0.39</x:v>
      </x:c>
      <x:c r="G764" t="str">
        <x:f>IF(INDEX(Model_TestVersion_Stats!$R:$R,C764)="","",INDEX(Model_TestVersion_Stats!$R:$R,C764)/60)</x:f>
      </x:c>
      <x:c r="H764" t="n">
        <x:f>IF(E764="","",E764-(D764-1))</x:f>
        <x:v>22</x:v>
      </x:c>
      <x:c r="I764" t="n">
        <x:f>IF(H764&gt;0,1,0)</x:f>
        <x:v>1</x:v>
      </x:c>
      <x:c r="J764" t="n">
        <x:f>IF(OR(I764=0,F764="",F764=0),"",H764/F764)</x:f>
        <x:v>56.41025641025641</x:v>
      </x:c>
      <x:c r="K764" t="n">
        <x:f>IF(OR(I764=0,H764=0,F764=""),"",F764/H764)</x:f>
        <x:v>0.017727272727272727</x:v>
      </x:c>
      <x:c r="L764" t="str">
        <x:f>IF(OR(I764=0,F764="",G764="",F764=0,G764=0),"",H764/(F764*G764))</x:f>
      </x:c>
      <x:c r="M764" t="n">
        <x:f>IF(J764="","",J764/_xlfn.MAXIFS($J:$J,$D:$D,D764))</x:f>
        <x:v>0.37606837606837606</x:v>
      </x:c>
      <x:c r="N764" t="str">
        <x:f>IF(L764="","",L764/_xlfn.MAXIFS($L:$L,$D:$D,D764))</x:f>
      </x:c>
      <x:c r="O764" t="str">
        <x:f>IF(OR(M764="",N764=""),"",SQRT(M764*N764))</x:f>
      </x:c>
      <x:c r="P764" t="str">
        <x:f>IF(OR(M764="",N764=""),"",M764^0.7*N764^0.3)</x:f>
      </x:c>
      <x:c r="Q764" t="str">
        <x:f>IF(OR(M764="",N764=""),"",M764^0.3*N764^0.7)</x:f>
      </x:c>
    </x:row>
    <x:row r="765" s="14" customFormat="1">
      <x:c r="A765" t="inlineStr">
        <x:is>
          <x:t xml:space="preserve">openai|gpt-6-1-sol|xhigh|yes|fallback-na</x:t>
        </x:is>
      </x:c>
      <x:c r="B765" t="inlineStr">
        <x:is>
          <x:t xml:space="preserve">AA|v4.3.2</x:t>
        </x:is>
      </x:c>
      <x:c r="C765" t="n">
        <x:v>97</x:v>
      </x:c>
      <x:c r="D765" t="n">
        <x:v>35</x:v>
      </x:c>
      <x:c r="E765" t="n">
        <x:f>INDEX(Model_TestVersion_Stats!$W:$W,C765)</x:f>
        <x:v>51</x:v>
      </x:c>
      <x:c r="F765" t="n">
        <x:f>INDEX(Model_TestVersion_Stats!$O:$O,C765)</x:f>
        <x:v>0.39</x:v>
      </x:c>
      <x:c r="G765" t="str">
        <x:f>IF(INDEX(Model_TestVersion_Stats!$R:$R,C765)="","",INDEX(Model_TestVersion_Stats!$R:$R,C765)/60)</x:f>
      </x:c>
      <x:c r="H765" t="n">
        <x:f>IF(E765="","",E765-(D765-1))</x:f>
        <x:v>17</x:v>
      </x:c>
      <x:c r="I765" t="n">
        <x:f>IF(H765&gt;0,1,0)</x:f>
        <x:v>1</x:v>
      </x:c>
      <x:c r="J765" t="n">
        <x:f>IF(OR(I765=0,F765="",F765=0),"",H765/F765)</x:f>
        <x:v>43.58974358974359</x:v>
      </x:c>
      <x:c r="K765" t="n">
        <x:f>IF(OR(I765=0,H765=0,F765=""),"",F765/H765)</x:f>
        <x:v>0.022941176470588236</x:v>
      </x:c>
      <x:c r="L765" t="str">
        <x:f>IF(OR(I765=0,F765="",G765="",F765=0,G765=0),"",H765/(F765*G765))</x:f>
      </x:c>
      <x:c r="M765" t="n">
        <x:f>IF(J765="","",J765/_xlfn.MAXIFS($J:$J,$D:$D,D765))</x:f>
        <x:v>0.47222222222222227</x:v>
      </x:c>
      <x:c r="N765" t="str">
        <x:f>IF(L765="","",L765/_xlfn.MAXIFS($L:$L,$D:$D,D765))</x:f>
      </x:c>
      <x:c r="O765" t="str">
        <x:f>IF(OR(M765="",N765=""),"",SQRT(M765*N765))</x:f>
      </x:c>
      <x:c r="P765" t="str">
        <x:f>IF(OR(M765="",N765=""),"",M765^0.7*N765^0.3)</x:f>
      </x:c>
      <x:c r="Q765" t="str">
        <x:f>IF(OR(M765="",N765=""),"",M765^0.3*N765^0.7)</x:f>
      </x:c>
    </x:row>
    <x:row r="766" s="14" customFormat="1">
      <x:c r="A766" t="inlineStr">
        <x:is>
          <x:t xml:space="preserve">openai|gpt-6-1-sol|xhigh|yes|fallback-na</x:t>
        </x:is>
      </x:c>
      <x:c r="B766" t="inlineStr">
        <x:is>
          <x:t xml:space="preserve">AA|v4.3.2</x:t>
        </x:is>
      </x:c>
      <x:c r="C766" t="n">
        <x:v>97</x:v>
      </x:c>
      <x:c r="D766" t="n">
        <x:v>40</x:v>
      </x:c>
      <x:c r="E766" t="n">
        <x:f>INDEX(Model_TestVersion_Stats!$W:$W,C766)</x:f>
        <x:v>51</x:v>
      </x:c>
      <x:c r="F766" t="n">
        <x:f>INDEX(Model_TestVersion_Stats!$O:$O,C766)</x:f>
        <x:v>0.39</x:v>
      </x:c>
      <x:c r="G766" t="str">
        <x:f>IF(INDEX(Model_TestVersion_Stats!$R:$R,C766)="","",INDEX(Model_TestVersion_Stats!$R:$R,C766)/60)</x:f>
      </x:c>
      <x:c r="H766" t="n">
        <x:f>IF(E766="","",E766-(D766-1))</x:f>
        <x:v>12</x:v>
      </x:c>
      <x:c r="I766" t="n">
        <x:f>IF(H766&gt;0,1,0)</x:f>
        <x:v>1</x:v>
      </x:c>
      <x:c r="J766" t="n">
        <x:f>IF(OR(I766=0,F766="",F766=0),"",H766/F766)</x:f>
        <x:v>30.769230769230766</x:v>
      </x:c>
      <x:c r="K766" t="n">
        <x:f>IF(OR(I766=0,H766=0,F766=""),"",F766/H766)</x:f>
        <x:v>0.0325</x:v>
      </x:c>
      <x:c r="L766" t="str">
        <x:f>IF(OR(I766=0,F766="",G766="",F766=0,G766=0),"",H766/(F766*G766))</x:f>
      </x:c>
      <x:c r="M766" t="n">
        <x:f>IF(J766="","",J766/_xlfn.MAXIFS($J:$J,$D:$D,D766))</x:f>
        <x:v>0.5714285714285714</x:v>
      </x:c>
      <x:c r="N766" t="str">
        <x:f>IF(L766="","",L766/_xlfn.MAXIFS($L:$L,$D:$D,D766))</x:f>
      </x:c>
      <x:c r="O766" t="str">
        <x:f>IF(OR(M766="",N766=""),"",SQRT(M766*N766))</x:f>
      </x:c>
      <x:c r="P766" t="str">
        <x:f>IF(OR(M766="",N766=""),"",M766^0.7*N766^0.3)</x:f>
      </x:c>
      <x:c r="Q766" t="str">
        <x:f>IF(OR(M766="",N766=""),"",M766^0.3*N766^0.7)</x:f>
      </x:c>
    </x:row>
    <x:row r="767" s="14" customFormat="1">
      <x:c r="A767" t="inlineStr">
        <x:is>
          <x:t xml:space="preserve">openai|gpt-6-1-sol|xhigh|yes|fallback-na</x:t>
        </x:is>
      </x:c>
      <x:c r="B767" t="inlineStr">
        <x:is>
          <x:t xml:space="preserve">AA|v4.3.2</x:t>
        </x:is>
      </x:c>
      <x:c r="C767" t="n">
        <x:v>97</x:v>
      </x:c>
      <x:c r="D767" t="n">
        <x:v>45</x:v>
      </x:c>
      <x:c r="E767" t="n">
        <x:f>INDEX(Model_TestVersion_Stats!$W:$W,C767)</x:f>
        <x:v>51</x:v>
      </x:c>
      <x:c r="F767" t="n">
        <x:f>INDEX(Model_TestVersion_Stats!$O:$O,C767)</x:f>
        <x:v>0.39</x:v>
      </x:c>
      <x:c r="G767" t="str">
        <x:f>IF(INDEX(Model_TestVersion_Stats!$R:$R,C767)="","",INDEX(Model_TestVersion_Stats!$R:$R,C767)/60)</x:f>
      </x:c>
      <x:c r="H767" t="n">
        <x:f>IF(E767="","",E767-(D767-1))</x:f>
        <x:v>7</x:v>
      </x:c>
      <x:c r="I767" t="n">
        <x:f>IF(H767&gt;0,1,0)</x:f>
        <x:v>1</x:v>
      </x:c>
      <x:c r="J767" t="n">
        <x:f>IF(OR(I767=0,F767="",F767=0),"",H767/F767)</x:f>
        <x:v>17.94871794871795</x:v>
      </x:c>
      <x:c r="K767" t="n">
        <x:f>IF(OR(I767=0,H767=0,F767=""),"",F767/H767)</x:f>
        <x:v>0.055714285714285716</x:v>
      </x:c>
      <x:c r="L767" t="str">
        <x:f>IF(OR(I767=0,F767="",G767="",F767=0,G767=0),"",H767/(F767*G767))</x:f>
      </x:c>
      <x:c r="M767" t="n">
        <x:f>IF(J767="","",J767/_xlfn.MAXIFS($J:$J,$D:$D,D767))</x:f>
        <x:v>0.9423076923076923</x:v>
      </x:c>
      <x:c r="N767" t="str">
        <x:f>IF(L767="","",L767/_xlfn.MAXIFS($L:$L,$D:$D,D767))</x:f>
      </x:c>
      <x:c r="O767" t="str">
        <x:f>IF(OR(M767="",N767=""),"",SQRT(M767*N767))</x:f>
      </x:c>
      <x:c r="P767" t="str">
        <x:f>IF(OR(M767="",N767=""),"",M767^0.7*N767^0.3)</x:f>
      </x:c>
      <x:c r="Q767" t="str">
        <x:f>IF(OR(M767="",N767=""),"",M767^0.3*N767^0.7)</x:f>
      </x:c>
    </x:row>
    <x:row r="768" s="14" customFormat="1">
      <x:c r="A768" t="inlineStr">
        <x:is>
          <x:t xml:space="preserve">openai|gpt-6-1-sol|xhigh|yes|fallback-na</x:t>
        </x:is>
      </x:c>
      <x:c r="B768" t="inlineStr">
        <x:is>
          <x:t xml:space="preserve">AA|v4.3.2</x:t>
        </x:is>
      </x:c>
      <x:c r="C768" t="n">
        <x:v>97</x:v>
      </x:c>
      <x:c r="D768" t="n">
        <x:v>50</x:v>
      </x:c>
      <x:c r="E768" t="n">
        <x:f>INDEX(Model_TestVersion_Stats!$W:$W,C768)</x:f>
        <x:v>51</x:v>
      </x:c>
      <x:c r="F768" t="n">
        <x:f>INDEX(Model_TestVersion_Stats!$O:$O,C768)</x:f>
        <x:v>0.39</x:v>
      </x:c>
      <x:c r="G768" t="str">
        <x:f>IF(INDEX(Model_TestVersion_Stats!$R:$R,C768)="","",INDEX(Model_TestVersion_Stats!$R:$R,C768)/60)</x:f>
      </x:c>
      <x:c r="H768" t="n">
        <x:f>IF(E768="","",E768-(D768-1))</x:f>
        <x:v>2</x:v>
      </x:c>
      <x:c r="I768" t="n">
        <x:f>IF(H768&gt;0,1,0)</x:f>
        <x:v>1</x:v>
      </x:c>
      <x:c r="J768" t="n">
        <x:f>IF(OR(I768=0,F768="",F768=0),"",H768/F768)</x:f>
        <x:v>5.128205128205128</x:v>
      </x:c>
      <x:c r="K768" t="n">
        <x:f>IF(OR(I768=0,H768=0,F768=""),"",F768/H768)</x:f>
        <x:v>0.195</x:v>
      </x:c>
      <x:c r="L768" t="str">
        <x:f>IF(OR(I768=0,F768="",G768="",F768=0,G768=0),"",H768/(F768*G768))</x:f>
      </x:c>
      <x:c r="M768" t="n">
        <x:f>IF(J768="","",J768/_xlfn.MAXIFS($J:$J,$D:$D,D768))</x:f>
        <x:v>1</x:v>
      </x:c>
      <x:c r="N768" t="str">
        <x:f>IF(L768="","",L768/_xlfn.MAXIFS($L:$L,$D:$D,D768))</x:f>
      </x:c>
      <x:c r="O768" t="str">
        <x:f>IF(OR(M768="",N768=""),"",SQRT(M768*N768))</x:f>
      </x:c>
      <x:c r="P768" t="str">
        <x:f>IF(OR(M768="",N768=""),"",M768^0.7*N768^0.3)</x:f>
      </x:c>
      <x:c r="Q768" t="str">
        <x:f>IF(OR(M768="",N768=""),"",M768^0.3*N768^0.7)</x:f>
      </x:c>
    </x:row>
    <x:row r="769" s="14" customFormat="1">
      <x:c r="A769" t="inlineStr">
        <x:is>
          <x:t xml:space="preserve">openai|gpt-6-1-sol|xhigh|yes|fallback-na</x:t>
        </x:is>
      </x:c>
      <x:c r="B769" t="inlineStr">
        <x:is>
          <x:t xml:space="preserve">AA|v4.3.2</x:t>
        </x:is>
      </x:c>
      <x:c r="C769" t="n">
        <x:v>97</x:v>
      </x:c>
      <x:c r="D769" t="n">
        <x:v>60</x:v>
      </x:c>
      <x:c r="E769" t="n">
        <x:f>INDEX(Model_TestVersion_Stats!$W:$W,C769)</x:f>
        <x:v>51</x:v>
      </x:c>
      <x:c r="F769" t="n">
        <x:f>INDEX(Model_TestVersion_Stats!$O:$O,C769)</x:f>
        <x:v>0.39</x:v>
      </x:c>
      <x:c r="G769" t="str">
        <x:f>IF(INDEX(Model_TestVersion_Stats!$R:$R,C769)="","",INDEX(Model_TestVersion_Stats!$R:$R,C769)/60)</x:f>
      </x:c>
      <x:c r="H769" t="n">
        <x:f>IF(E769="","",E769-(D769-1))</x:f>
        <x:v>-8</x:v>
      </x:c>
      <x:c r="I769" t="n">
        <x:f>IF(H769&gt;0,1,0)</x:f>
        <x:v>0</x:v>
      </x:c>
      <x:c r="J769" t="str">
        <x:f>IF(OR(I769=0,F769="",F769=0),"",H769/F769)</x:f>
      </x:c>
      <x:c r="K769" t="str">
        <x:f>IF(OR(I769=0,H769=0,F769=""),"",F769/H769)</x:f>
      </x:c>
      <x:c r="L769" t="str">
        <x:f>IF(OR(I769=0,F769="",G769="",F769=0,G769=0),"",H769/(F769*G769))</x:f>
      </x:c>
      <x:c r="M769" t="str">
        <x:f>IF(J769="","",J769/_xlfn.MAXIFS($J:$J,$D:$D,D769))</x:f>
      </x:c>
      <x:c r="N769" t="str">
        <x:f>IF(L769="","",L769/_xlfn.MAXIFS($L:$L,$D:$D,D769))</x:f>
      </x:c>
      <x:c r="O769" t="str">
        <x:f>IF(OR(M769="",N769=""),"",SQRT(M769*N769))</x:f>
      </x:c>
      <x:c r="P769" t="str">
        <x:f>IF(OR(M769="",N769=""),"",M769^0.7*N769^0.3)</x:f>
      </x:c>
      <x:c r="Q769" t="str">
        <x:f>IF(OR(M769="",N769=""),"",M769^0.3*N769^0.7)</x:f>
      </x:c>
    </x:row>
    <x:row r="770" s="14" customFormat="1">
      <x:c r="A770" t="inlineStr">
        <x:is>
          <x:t xml:space="preserve">openai|gpt-6-1-sol|high|yes|fallback-na</x:t>
        </x:is>
      </x:c>
      <x:c r="B770" t="inlineStr">
        <x:is>
          <x:t xml:space="preserve">AA|v4.3.2</x:t>
        </x:is>
      </x:c>
      <x:c r="C770" t="n">
        <x:v>98</x:v>
      </x:c>
      <x:c r="D770" t="n">
        <x:v>10</x:v>
      </x:c>
      <x:c r="E770" t="n">
        <x:f>INDEX(Model_TestVersion_Stats!$W:$W,C770)</x:f>
        <x:v>50</x:v>
      </x:c>
      <x:c r="F770" t="n">
        <x:f>INDEX(Model_TestVersion_Stats!$O:$O,C770)</x:f>
        <x:v>0.32</x:v>
      </x:c>
      <x:c r="G770" t="str">
        <x:f>IF(INDEX(Model_TestVersion_Stats!$R:$R,C770)="","",INDEX(Model_TestVersion_Stats!$R:$R,C770)/60)</x:f>
      </x:c>
      <x:c r="H770" t="n">
        <x:f>IF(E770="","",E770-(D770-1))</x:f>
        <x:v>41</x:v>
      </x:c>
      <x:c r="I770" t="n">
        <x:f>IF(H770&gt;0,1,0)</x:f>
        <x:v>1</x:v>
      </x:c>
      <x:c r="J770" t="n">
        <x:f>IF(OR(I770=0,F770="",F770=0),"",H770/F770)</x:f>
        <x:v>128.125</x:v>
      </x:c>
      <x:c r="K770" t="n">
        <x:f>IF(OR(I770=0,H770=0,F770=""),"",F770/H770)</x:f>
        <x:v>0.007804878048780488</x:v>
      </x:c>
      <x:c r="L770" t="str">
        <x:f>IF(OR(I770=0,F770="",G770="",F770=0,G770=0),"",H770/(F770*G770))</x:f>
      </x:c>
      <x:c r="M770" t="n">
        <x:f>IF(J770="","",J770/_xlfn.MAXIFS($J:$J,$D:$D,D770))</x:f>
        <x:v>0.128125</x:v>
      </x:c>
      <x:c r="N770" t="str">
        <x:f>IF(L770="","",L770/_xlfn.MAXIFS($L:$L,$D:$D,D770))</x:f>
      </x:c>
      <x:c r="O770" t="str">
        <x:f>IF(OR(M770="",N770=""),"",SQRT(M770*N770))</x:f>
      </x:c>
      <x:c r="P770" t="str">
        <x:f>IF(OR(M770="",N770=""),"",M770^0.7*N770^0.3)</x:f>
      </x:c>
      <x:c r="Q770" t="str">
        <x:f>IF(OR(M770="",N770=""),"",M770^0.3*N770^0.7)</x:f>
      </x:c>
    </x:row>
    <x:row r="771" s="14" customFormat="1">
      <x:c r="A771" t="inlineStr">
        <x:is>
          <x:t xml:space="preserve">openai|gpt-6-1-sol|high|yes|fallback-na</x:t>
        </x:is>
      </x:c>
      <x:c r="B771" t="inlineStr">
        <x:is>
          <x:t xml:space="preserve">AA|v4.3.2</x:t>
        </x:is>
      </x:c>
      <x:c r="C771" t="n">
        <x:v>98</x:v>
      </x:c>
      <x:c r="D771" t="n">
        <x:v>20</x:v>
      </x:c>
      <x:c r="E771" t="n">
        <x:f>INDEX(Model_TestVersion_Stats!$W:$W,C771)</x:f>
        <x:v>50</x:v>
      </x:c>
      <x:c r="F771" t="n">
        <x:f>INDEX(Model_TestVersion_Stats!$O:$O,C771)</x:f>
        <x:v>0.32</x:v>
      </x:c>
      <x:c r="G771" t="str">
        <x:f>IF(INDEX(Model_TestVersion_Stats!$R:$R,C771)="","",INDEX(Model_TestVersion_Stats!$R:$R,C771)/60)</x:f>
      </x:c>
      <x:c r="H771" t="n">
        <x:f>IF(E771="","",E771-(D771-1))</x:f>
        <x:v>31</x:v>
      </x:c>
      <x:c r="I771" t="n">
        <x:f>IF(H771&gt;0,1,0)</x:f>
        <x:v>1</x:v>
      </x:c>
      <x:c r="J771" t="n">
        <x:f>IF(OR(I771=0,F771="",F771=0),"",H771/F771)</x:f>
        <x:v>96.875</x:v>
      </x:c>
      <x:c r="K771" t="n">
        <x:f>IF(OR(I771=0,H771=0,F771=""),"",F771/H771)</x:f>
        <x:v>0.01032258064516129</x:v>
      </x:c>
      <x:c r="L771" t="str">
        <x:f>IF(OR(I771=0,F771="",G771="",F771=0,G771=0),"",H771/(F771*G771))</x:f>
      </x:c>
      <x:c r="M771" t="n">
        <x:f>IF(J771="","",J771/_xlfn.MAXIFS($J:$J,$D:$D,D771))</x:f>
        <x:v>0.174375</x:v>
      </x:c>
      <x:c r="N771" t="str">
        <x:f>IF(L771="","",L771/_xlfn.MAXIFS($L:$L,$D:$D,D771))</x:f>
      </x:c>
      <x:c r="O771" t="str">
        <x:f>IF(OR(M771="",N771=""),"",SQRT(M771*N771))</x:f>
      </x:c>
      <x:c r="P771" t="str">
        <x:f>IF(OR(M771="",N771=""),"",M771^0.7*N771^0.3)</x:f>
      </x:c>
      <x:c r="Q771" t="str">
        <x:f>IF(OR(M771="",N771=""),"",M771^0.3*N771^0.7)</x:f>
      </x:c>
    </x:row>
    <x:row r="772" s="14" customFormat="1">
      <x:c r="A772" t="inlineStr">
        <x:is>
          <x:t xml:space="preserve">openai|gpt-6-1-sol|high|yes|fallback-na</x:t>
        </x:is>
      </x:c>
      <x:c r="B772" t="inlineStr">
        <x:is>
          <x:t xml:space="preserve">AA|v4.3.2</x:t>
        </x:is>
      </x:c>
      <x:c r="C772" t="n">
        <x:v>98</x:v>
      </x:c>
      <x:c r="D772" t="n">
        <x:v>30</x:v>
      </x:c>
      <x:c r="E772" t="n">
        <x:f>INDEX(Model_TestVersion_Stats!$W:$W,C772)</x:f>
        <x:v>50</x:v>
      </x:c>
      <x:c r="F772" t="n">
        <x:f>INDEX(Model_TestVersion_Stats!$O:$O,C772)</x:f>
        <x:v>0.32</x:v>
      </x:c>
      <x:c r="G772" t="str">
        <x:f>IF(INDEX(Model_TestVersion_Stats!$R:$R,C772)="","",INDEX(Model_TestVersion_Stats!$R:$R,C772)/60)</x:f>
      </x:c>
      <x:c r="H772" t="n">
        <x:f>IF(E772="","",E772-(D772-1))</x:f>
        <x:v>21</x:v>
      </x:c>
      <x:c r="I772" t="n">
        <x:f>IF(H772&gt;0,1,0)</x:f>
        <x:v>1</x:v>
      </x:c>
      <x:c r="J772" t="n">
        <x:f>IF(OR(I772=0,F772="",F772=0),"",H772/F772)</x:f>
        <x:v>65.625</x:v>
      </x:c>
      <x:c r="K772" t="n">
        <x:f>IF(OR(I772=0,H772=0,F772=""),"",F772/H772)</x:f>
        <x:v>0.015238095238095238</x:v>
      </x:c>
      <x:c r="L772" t="str">
        <x:f>IF(OR(I772=0,F772="",G772="",F772=0,G772=0),"",H772/(F772*G772))</x:f>
      </x:c>
      <x:c r="M772" t="n">
        <x:f>IF(J772="","",J772/_xlfn.MAXIFS($J:$J,$D:$D,D772))</x:f>
        <x:v>0.4375</x:v>
      </x:c>
      <x:c r="N772" t="str">
        <x:f>IF(L772="","",L772/_xlfn.MAXIFS($L:$L,$D:$D,D772))</x:f>
      </x:c>
      <x:c r="O772" t="str">
        <x:f>IF(OR(M772="",N772=""),"",SQRT(M772*N772))</x:f>
      </x:c>
      <x:c r="P772" t="str">
        <x:f>IF(OR(M772="",N772=""),"",M772^0.7*N772^0.3)</x:f>
      </x:c>
      <x:c r="Q772" t="str">
        <x:f>IF(OR(M772="",N772=""),"",M772^0.3*N772^0.7)</x:f>
      </x:c>
    </x:row>
    <x:row r="773" s="14" customFormat="1">
      <x:c r="A773" t="inlineStr">
        <x:is>
          <x:t xml:space="preserve">openai|gpt-6-1-sol|high|yes|fallback-na</x:t>
        </x:is>
      </x:c>
      <x:c r="B773" t="inlineStr">
        <x:is>
          <x:t xml:space="preserve">AA|v4.3.2</x:t>
        </x:is>
      </x:c>
      <x:c r="C773" t="n">
        <x:v>98</x:v>
      </x:c>
      <x:c r="D773" t="n">
        <x:v>35</x:v>
      </x:c>
      <x:c r="E773" t="n">
        <x:f>INDEX(Model_TestVersion_Stats!$W:$W,C773)</x:f>
        <x:v>50</x:v>
      </x:c>
      <x:c r="F773" t="n">
        <x:f>INDEX(Model_TestVersion_Stats!$O:$O,C773)</x:f>
        <x:v>0.32</x:v>
      </x:c>
      <x:c r="G773" t="str">
        <x:f>IF(INDEX(Model_TestVersion_Stats!$R:$R,C773)="","",INDEX(Model_TestVersion_Stats!$R:$R,C773)/60)</x:f>
      </x:c>
      <x:c r="H773" t="n">
        <x:f>IF(E773="","",E773-(D773-1))</x:f>
        <x:v>16</x:v>
      </x:c>
      <x:c r="I773" t="n">
        <x:f>IF(H773&gt;0,1,0)</x:f>
        <x:v>1</x:v>
      </x:c>
      <x:c r="J773" t="n">
        <x:f>IF(OR(I773=0,F773="",F773=0),"",H773/F773)</x:f>
        <x:v>50</x:v>
      </x:c>
      <x:c r="K773" t="n">
        <x:f>IF(OR(I773=0,H773=0,F773=""),"",F773/H773)</x:f>
        <x:v>0.02</x:v>
      </x:c>
      <x:c r="L773" t="str">
        <x:f>IF(OR(I773=0,F773="",G773="",F773=0,G773=0),"",H773/(F773*G773))</x:f>
      </x:c>
      <x:c r="M773" t="n">
        <x:f>IF(J773="","",J773/_xlfn.MAXIFS($J:$J,$D:$D,D773))</x:f>
        <x:v>0.5416666666666666</x:v>
      </x:c>
      <x:c r="N773" t="str">
        <x:f>IF(L773="","",L773/_xlfn.MAXIFS($L:$L,$D:$D,D773))</x:f>
      </x:c>
      <x:c r="O773" t="str">
        <x:f>IF(OR(M773="",N773=""),"",SQRT(M773*N773))</x:f>
      </x:c>
      <x:c r="P773" t="str">
        <x:f>IF(OR(M773="",N773=""),"",M773^0.7*N773^0.3)</x:f>
      </x:c>
      <x:c r="Q773" t="str">
        <x:f>IF(OR(M773="",N773=""),"",M773^0.3*N773^0.7)</x:f>
      </x:c>
    </x:row>
    <x:row r="774" s="14" customFormat="1">
      <x:c r="A774" t="inlineStr">
        <x:is>
          <x:t xml:space="preserve">openai|gpt-6-1-sol|high|yes|fallback-na</x:t>
        </x:is>
      </x:c>
      <x:c r="B774" t="inlineStr">
        <x:is>
          <x:t xml:space="preserve">AA|v4.3.2</x:t>
        </x:is>
      </x:c>
      <x:c r="C774" t="n">
        <x:v>98</x:v>
      </x:c>
      <x:c r="D774" t="n">
        <x:v>40</x:v>
      </x:c>
      <x:c r="E774" t="n">
        <x:f>INDEX(Model_TestVersion_Stats!$W:$W,C774)</x:f>
        <x:v>50</x:v>
      </x:c>
      <x:c r="F774" t="n">
        <x:f>INDEX(Model_TestVersion_Stats!$O:$O,C774)</x:f>
        <x:v>0.32</x:v>
      </x:c>
      <x:c r="G774" t="str">
        <x:f>IF(INDEX(Model_TestVersion_Stats!$R:$R,C774)="","",INDEX(Model_TestVersion_Stats!$R:$R,C774)/60)</x:f>
      </x:c>
      <x:c r="H774" t="n">
        <x:f>IF(E774="","",E774-(D774-1))</x:f>
        <x:v>11</x:v>
      </x:c>
      <x:c r="I774" t="n">
        <x:f>IF(H774&gt;0,1,0)</x:f>
        <x:v>1</x:v>
      </x:c>
      <x:c r="J774" t="n">
        <x:f>IF(OR(I774=0,F774="",F774=0),"",H774/F774)</x:f>
        <x:v>34.375</x:v>
      </x:c>
      <x:c r="K774" t="n">
        <x:f>IF(OR(I774=0,H774=0,F774=""),"",F774/H774)</x:f>
        <x:v>0.02909090909090909</x:v>
      </x:c>
      <x:c r="L774" t="str">
        <x:f>IF(OR(I774=0,F774="",G774="",F774=0,G774=0),"",H774/(F774*G774))</x:f>
      </x:c>
      <x:c r="M774" t="n">
        <x:f>IF(J774="","",J774/_xlfn.MAXIFS($J:$J,$D:$D,D774))</x:f>
        <x:v>0.6383928571428571</x:v>
      </x:c>
      <x:c r="N774" t="str">
        <x:f>IF(L774="","",L774/_xlfn.MAXIFS($L:$L,$D:$D,D774))</x:f>
      </x:c>
      <x:c r="O774" t="str">
        <x:f>IF(OR(M774="",N774=""),"",SQRT(M774*N774))</x:f>
      </x:c>
      <x:c r="P774" t="str">
        <x:f>IF(OR(M774="",N774=""),"",M774^0.7*N774^0.3)</x:f>
      </x:c>
      <x:c r="Q774" t="str">
        <x:f>IF(OR(M774="",N774=""),"",M774^0.3*N774^0.7)</x:f>
      </x:c>
    </x:row>
    <x:row r="775" s="14" customFormat="1">
      <x:c r="A775" t="inlineStr">
        <x:is>
          <x:t xml:space="preserve">openai|gpt-6-1-sol|high|yes|fallback-na</x:t>
        </x:is>
      </x:c>
      <x:c r="B775" t="inlineStr">
        <x:is>
          <x:t xml:space="preserve">AA|v4.3.2</x:t>
        </x:is>
      </x:c>
      <x:c r="C775" t="n">
        <x:v>98</x:v>
      </x:c>
      <x:c r="D775" t="n">
        <x:v>45</x:v>
      </x:c>
      <x:c r="E775" t="n">
        <x:f>INDEX(Model_TestVersion_Stats!$W:$W,C775)</x:f>
        <x:v>50</x:v>
      </x:c>
      <x:c r="F775" t="n">
        <x:f>INDEX(Model_TestVersion_Stats!$O:$O,C775)</x:f>
        <x:v>0.32</x:v>
      </x:c>
      <x:c r="G775" t="str">
        <x:f>IF(INDEX(Model_TestVersion_Stats!$R:$R,C775)="","",INDEX(Model_TestVersion_Stats!$R:$R,C775)/60)</x:f>
      </x:c>
      <x:c r="H775" t="n">
        <x:f>IF(E775="","",E775-(D775-1))</x:f>
        <x:v>6</x:v>
      </x:c>
      <x:c r="I775" t="n">
        <x:f>IF(H775&gt;0,1,0)</x:f>
        <x:v>1</x:v>
      </x:c>
      <x:c r="J775" t="n">
        <x:f>IF(OR(I775=0,F775="",F775=0),"",H775/F775)</x:f>
        <x:v>18.75</x:v>
      </x:c>
      <x:c r="K775" t="n">
        <x:f>IF(OR(I775=0,H775=0,F775=""),"",F775/H775)</x:f>
        <x:v>0.05333333333333334</x:v>
      </x:c>
      <x:c r="L775" t="str">
        <x:f>IF(OR(I775=0,F775="",G775="",F775=0,G775=0),"",H775/(F775*G775))</x:f>
      </x:c>
      <x:c r="M775" t="n">
        <x:f>IF(J775="","",J775/_xlfn.MAXIFS($J:$J,$D:$D,D775))</x:f>
        <x:v>0.984375</x:v>
      </x:c>
      <x:c r="N775" t="str">
        <x:f>IF(L775="","",L775/_xlfn.MAXIFS($L:$L,$D:$D,D775))</x:f>
      </x:c>
      <x:c r="O775" t="str">
        <x:f>IF(OR(M775="",N775=""),"",SQRT(M775*N775))</x:f>
      </x:c>
      <x:c r="P775" t="str">
        <x:f>IF(OR(M775="",N775=""),"",M775^0.7*N775^0.3)</x:f>
      </x:c>
      <x:c r="Q775" t="str">
        <x:f>IF(OR(M775="",N775=""),"",M775^0.3*N775^0.7)</x:f>
      </x:c>
    </x:row>
    <x:row r="776" s="14" customFormat="1">
      <x:c r="A776" t="inlineStr">
        <x:is>
          <x:t xml:space="preserve">openai|gpt-6-1-sol|high|yes|fallback-na</x:t>
        </x:is>
      </x:c>
      <x:c r="B776" t="inlineStr">
        <x:is>
          <x:t xml:space="preserve">AA|v4.3.2</x:t>
        </x:is>
      </x:c>
      <x:c r="C776" t="n">
        <x:v>98</x:v>
      </x:c>
      <x:c r="D776" t="n">
        <x:v>50</x:v>
      </x:c>
      <x:c r="E776" t="n">
        <x:f>INDEX(Model_TestVersion_Stats!$W:$W,C776)</x:f>
        <x:v>50</x:v>
      </x:c>
      <x:c r="F776" t="n">
        <x:f>INDEX(Model_TestVersion_Stats!$O:$O,C776)</x:f>
        <x:v>0.32</x:v>
      </x:c>
      <x:c r="G776" t="str">
        <x:f>IF(INDEX(Model_TestVersion_Stats!$R:$R,C776)="","",INDEX(Model_TestVersion_Stats!$R:$R,C776)/60)</x:f>
      </x:c>
      <x:c r="H776" t="n">
        <x:f>IF(E776="","",E776-(D776-1))</x:f>
        <x:v>1</x:v>
      </x:c>
      <x:c r="I776" t="n">
        <x:f>IF(H776&gt;0,1,0)</x:f>
        <x:v>1</x:v>
      </x:c>
      <x:c r="J776" t="n">
        <x:f>IF(OR(I776=0,F776="",F776=0),"",H776/F776)</x:f>
        <x:v>3.125</x:v>
      </x:c>
      <x:c r="K776" t="n">
        <x:f>IF(OR(I776=0,H776=0,F776=""),"",F776/H776)</x:f>
        <x:v>0.32</x:v>
      </x:c>
      <x:c r="L776" t="str">
        <x:f>IF(OR(I776=0,F776="",G776="",F776=0,G776=0),"",H776/(F776*G776))</x:f>
      </x:c>
      <x:c r="M776" t="n">
        <x:f>IF(J776="","",J776/_xlfn.MAXIFS($J:$J,$D:$D,D776))</x:f>
        <x:v>0.609375</x:v>
      </x:c>
      <x:c r="N776" t="str">
        <x:f>IF(L776="","",L776/_xlfn.MAXIFS($L:$L,$D:$D,D776))</x:f>
      </x:c>
      <x:c r="O776" t="str">
        <x:f>IF(OR(M776="",N776=""),"",SQRT(M776*N776))</x:f>
      </x:c>
      <x:c r="P776" t="str">
        <x:f>IF(OR(M776="",N776=""),"",M776^0.7*N776^0.3)</x:f>
      </x:c>
      <x:c r="Q776" t="str">
        <x:f>IF(OR(M776="",N776=""),"",M776^0.3*N776^0.7)</x:f>
      </x:c>
    </x:row>
    <x:row r="777" s="14" customFormat="1">
      <x:c r="A777" t="inlineStr">
        <x:is>
          <x:t xml:space="preserve">openai|gpt-6-1-sol|high|yes|fallback-na</x:t>
        </x:is>
      </x:c>
      <x:c r="B777" t="inlineStr">
        <x:is>
          <x:t xml:space="preserve">AA|v4.3.2</x:t>
        </x:is>
      </x:c>
      <x:c r="C777" t="n">
        <x:v>98</x:v>
      </x:c>
      <x:c r="D777" t="n">
        <x:v>60</x:v>
      </x:c>
      <x:c r="E777" t="n">
        <x:f>INDEX(Model_TestVersion_Stats!$W:$W,C777)</x:f>
        <x:v>50</x:v>
      </x:c>
      <x:c r="F777" t="n">
        <x:f>INDEX(Model_TestVersion_Stats!$O:$O,C777)</x:f>
        <x:v>0.32</x:v>
      </x:c>
      <x:c r="G777" t="str">
        <x:f>IF(INDEX(Model_TestVersion_Stats!$R:$R,C777)="","",INDEX(Model_TestVersion_Stats!$R:$R,C777)/60)</x:f>
      </x:c>
      <x:c r="H777" t="n">
        <x:f>IF(E777="","",E777-(D777-1))</x:f>
        <x:v>-9</x:v>
      </x:c>
      <x:c r="I777" t="n">
        <x:f>IF(H777&gt;0,1,0)</x:f>
        <x:v>0</x:v>
      </x:c>
      <x:c r="J777" t="str">
        <x:f>IF(OR(I777=0,F777="",F777=0),"",H777/F777)</x:f>
      </x:c>
      <x:c r="K777" t="str">
        <x:f>IF(OR(I777=0,H777=0,F777=""),"",F777/H777)</x:f>
      </x:c>
      <x:c r="L777" t="str">
        <x:f>IF(OR(I777=0,F777="",G777="",F777=0,G777=0),"",H777/(F777*G777))</x:f>
      </x:c>
      <x:c r="M777" t="str">
        <x:f>IF(J777="","",J777/_xlfn.MAXIFS($J:$J,$D:$D,D777))</x:f>
      </x:c>
      <x:c r="N777" t="str">
        <x:f>IF(L777="","",L777/_xlfn.MAXIFS($L:$L,$D:$D,D777))</x:f>
      </x:c>
      <x:c r="O777" t="str">
        <x:f>IF(OR(M777="",N777=""),"",SQRT(M777*N777))</x:f>
      </x:c>
      <x:c r="P777" t="str">
        <x:f>IF(OR(M777="",N777=""),"",M777^0.7*N777^0.3)</x:f>
      </x:c>
      <x:c r="Q777" t="str">
        <x:f>IF(OR(M777="",N777=""),"",M777^0.3*N777^0.7)</x:f>
      </x:c>
    </x:row>
    <x:row r="778" s="14" customFormat="1">
      <x:c r="A778" t="inlineStr">
        <x:is>
          <x:t xml:space="preserve">openai|gpt-6-1-sol|medium|yes|fallback-na</x:t>
        </x:is>
      </x:c>
      <x:c r="B778" t="inlineStr">
        <x:is>
          <x:t xml:space="preserve">AA|v4.3.2</x:t>
        </x:is>
      </x:c>
      <x:c r="C778" t="n">
        <x:v>99</x:v>
      </x:c>
      <x:c r="D778" t="n">
        <x:v>10</x:v>
      </x:c>
      <x:c r="E778" t="n">
        <x:f>INDEX(Model_TestVersion_Stats!$W:$W,C778)</x:f>
        <x:v>48</x:v>
      </x:c>
      <x:c r="F778" t="n">
        <x:f>INDEX(Model_TestVersion_Stats!$O:$O,C778)</x:f>
        <x:v>0.21</x:v>
      </x:c>
      <x:c r="G778" t="str">
        <x:f>IF(INDEX(Model_TestVersion_Stats!$R:$R,C778)="","",INDEX(Model_TestVersion_Stats!$R:$R,C778)/60)</x:f>
      </x:c>
      <x:c r="H778" t="n">
        <x:f>IF(E778="","",E778-(D778-1))</x:f>
        <x:v>39</x:v>
      </x:c>
      <x:c r="I778" t="n">
        <x:f>IF(H778&gt;0,1,0)</x:f>
        <x:v>1</x:v>
      </x:c>
      <x:c r="J778" t="n">
        <x:f>IF(OR(I778=0,F778="",F778=0),"",H778/F778)</x:f>
        <x:v>185.71428571428572</x:v>
      </x:c>
      <x:c r="K778" t="n">
        <x:f>IF(OR(I778=0,H778=0,F778=""),"",F778/H778)</x:f>
        <x:v>0.005384615384615384</x:v>
      </x:c>
      <x:c r="L778" t="str">
        <x:f>IF(OR(I778=0,F778="",G778="",F778=0,G778=0),"",H778/(F778*G778))</x:f>
      </x:c>
      <x:c r="M778" t="n">
        <x:f>IF(J778="","",J778/_xlfn.MAXIFS($J:$J,$D:$D,D778))</x:f>
        <x:v>0.18571428571428572</x:v>
      </x:c>
      <x:c r="N778" t="str">
        <x:f>IF(L778="","",L778/_xlfn.MAXIFS($L:$L,$D:$D,D778))</x:f>
      </x:c>
      <x:c r="O778" t="str">
        <x:f>IF(OR(M778="",N778=""),"",SQRT(M778*N778))</x:f>
      </x:c>
      <x:c r="P778" t="str">
        <x:f>IF(OR(M778="",N778=""),"",M778^0.7*N778^0.3)</x:f>
      </x:c>
      <x:c r="Q778" t="str">
        <x:f>IF(OR(M778="",N778=""),"",M778^0.3*N778^0.7)</x:f>
      </x:c>
    </x:row>
    <x:row r="779" s="14" customFormat="1">
      <x:c r="A779" t="inlineStr">
        <x:is>
          <x:t xml:space="preserve">openai|gpt-6-1-sol|medium|yes|fallback-na</x:t>
        </x:is>
      </x:c>
      <x:c r="B779" t="inlineStr">
        <x:is>
          <x:t xml:space="preserve">AA|v4.3.2</x:t>
        </x:is>
      </x:c>
      <x:c r="C779" t="n">
        <x:v>99</x:v>
      </x:c>
      <x:c r="D779" t="n">
        <x:v>20</x:v>
      </x:c>
      <x:c r="E779" t="n">
        <x:f>INDEX(Model_TestVersion_Stats!$W:$W,C779)</x:f>
        <x:v>48</x:v>
      </x:c>
      <x:c r="F779" t="n">
        <x:f>INDEX(Model_TestVersion_Stats!$O:$O,C779)</x:f>
        <x:v>0.21</x:v>
      </x:c>
      <x:c r="G779" t="str">
        <x:f>IF(INDEX(Model_TestVersion_Stats!$R:$R,C779)="","",INDEX(Model_TestVersion_Stats!$R:$R,C779)/60)</x:f>
      </x:c>
      <x:c r="H779" t="n">
        <x:f>IF(E779="","",E779-(D779-1))</x:f>
        <x:v>29</x:v>
      </x:c>
      <x:c r="I779" t="n">
        <x:f>IF(H779&gt;0,1,0)</x:f>
        <x:v>1</x:v>
      </x:c>
      <x:c r="J779" t="n">
        <x:f>IF(OR(I779=0,F779="",F779=0),"",H779/F779)</x:f>
        <x:v>138.0952380952381</x:v>
      </x:c>
      <x:c r="K779" t="n">
        <x:f>IF(OR(I779=0,H779=0,F779=""),"",F779/H779)</x:f>
        <x:v>0.007241379310344827</x:v>
      </x:c>
      <x:c r="L779" t="str">
        <x:f>IF(OR(I779=0,F779="",G779="",F779=0,G779=0),"",H779/(F779*G779))</x:f>
      </x:c>
      <x:c r="M779" t="n">
        <x:f>IF(J779="","",J779/_xlfn.MAXIFS($J:$J,$D:$D,D779))</x:f>
        <x:v>0.24857142857142858</x:v>
      </x:c>
      <x:c r="N779" t="str">
        <x:f>IF(L779="","",L779/_xlfn.MAXIFS($L:$L,$D:$D,D779))</x:f>
      </x:c>
      <x:c r="O779" t="str">
        <x:f>IF(OR(M779="",N779=""),"",SQRT(M779*N779))</x:f>
      </x:c>
      <x:c r="P779" t="str">
        <x:f>IF(OR(M779="",N779=""),"",M779^0.7*N779^0.3)</x:f>
      </x:c>
      <x:c r="Q779" t="str">
        <x:f>IF(OR(M779="",N779=""),"",M779^0.3*N779^0.7)</x:f>
      </x:c>
    </x:row>
    <x:row r="780" s="14" customFormat="1">
      <x:c r="A780" t="inlineStr">
        <x:is>
          <x:t xml:space="preserve">openai|gpt-6-1-sol|medium|yes|fallback-na</x:t>
        </x:is>
      </x:c>
      <x:c r="B780" t="inlineStr">
        <x:is>
          <x:t xml:space="preserve">AA|v4.3.2</x:t>
        </x:is>
      </x:c>
      <x:c r="C780" t="n">
        <x:v>99</x:v>
      </x:c>
      <x:c r="D780" t="n">
        <x:v>30</x:v>
      </x:c>
      <x:c r="E780" t="n">
        <x:f>INDEX(Model_TestVersion_Stats!$W:$W,C780)</x:f>
        <x:v>48</x:v>
      </x:c>
      <x:c r="F780" t="n">
        <x:f>INDEX(Model_TestVersion_Stats!$O:$O,C780)</x:f>
        <x:v>0.21</x:v>
      </x:c>
      <x:c r="G780" t="str">
        <x:f>IF(INDEX(Model_TestVersion_Stats!$R:$R,C780)="","",INDEX(Model_TestVersion_Stats!$R:$R,C780)/60)</x:f>
      </x:c>
      <x:c r="H780" t="n">
        <x:f>IF(E780="","",E780-(D780-1))</x:f>
        <x:v>19</x:v>
      </x:c>
      <x:c r="I780" t="n">
        <x:f>IF(H780&gt;0,1,0)</x:f>
        <x:v>1</x:v>
      </x:c>
      <x:c r="J780" t="n">
        <x:f>IF(OR(I780=0,F780="",F780=0),"",H780/F780)</x:f>
        <x:v>90.47619047619048</x:v>
      </x:c>
      <x:c r="K780" t="n">
        <x:f>IF(OR(I780=0,H780=0,F780=""),"",F780/H780)</x:f>
        <x:v>0.011052631578947368</x:v>
      </x:c>
      <x:c r="L780" t="str">
        <x:f>IF(OR(I780=0,F780="",G780="",F780=0,G780=0),"",H780/(F780*G780))</x:f>
      </x:c>
      <x:c r="M780" t="n">
        <x:f>IF(J780="","",J780/_xlfn.MAXIFS($J:$J,$D:$D,D780))</x:f>
        <x:v>0.6031746031746033</x:v>
      </x:c>
      <x:c r="N780" t="str">
        <x:f>IF(L780="","",L780/_xlfn.MAXIFS($L:$L,$D:$D,D780))</x:f>
      </x:c>
      <x:c r="O780" t="str">
        <x:f>IF(OR(M780="",N780=""),"",SQRT(M780*N780))</x:f>
      </x:c>
      <x:c r="P780" t="str">
        <x:f>IF(OR(M780="",N780=""),"",M780^0.7*N780^0.3)</x:f>
      </x:c>
      <x:c r="Q780" t="str">
        <x:f>IF(OR(M780="",N780=""),"",M780^0.3*N780^0.7)</x:f>
      </x:c>
    </x:row>
    <x:row r="781" s="14" customFormat="1">
      <x:c r="A781" t="inlineStr">
        <x:is>
          <x:t xml:space="preserve">openai|gpt-6-1-sol|medium|yes|fallback-na</x:t>
        </x:is>
      </x:c>
      <x:c r="B781" t="inlineStr">
        <x:is>
          <x:t xml:space="preserve">AA|v4.3.2</x:t>
        </x:is>
      </x:c>
      <x:c r="C781" t="n">
        <x:v>99</x:v>
      </x:c>
      <x:c r="D781" t="n">
        <x:v>35</x:v>
      </x:c>
      <x:c r="E781" t="n">
        <x:f>INDEX(Model_TestVersion_Stats!$W:$W,C781)</x:f>
        <x:v>48</x:v>
      </x:c>
      <x:c r="F781" t="n">
        <x:f>INDEX(Model_TestVersion_Stats!$O:$O,C781)</x:f>
        <x:v>0.21</x:v>
      </x:c>
      <x:c r="G781" t="str">
        <x:f>IF(INDEX(Model_TestVersion_Stats!$R:$R,C781)="","",INDEX(Model_TestVersion_Stats!$R:$R,C781)/60)</x:f>
      </x:c>
      <x:c r="H781" t="n">
        <x:f>IF(E781="","",E781-(D781-1))</x:f>
        <x:v>14</x:v>
      </x:c>
      <x:c r="I781" t="n">
        <x:f>IF(H781&gt;0,1,0)</x:f>
        <x:v>1</x:v>
      </x:c>
      <x:c r="J781" t="n">
        <x:f>IF(OR(I781=0,F781="",F781=0),"",H781/F781)</x:f>
        <x:v>66.66666666666667</x:v>
      </x:c>
      <x:c r="K781" t="n">
        <x:f>IF(OR(I781=0,H781=0,F781=""),"",F781/H781)</x:f>
        <x:v>0.015</x:v>
      </x:c>
      <x:c r="L781" t="str">
        <x:f>IF(OR(I781=0,F781="",G781="",F781=0,G781=0),"",H781/(F781*G781))</x:f>
      </x:c>
      <x:c r="M781" t="n">
        <x:f>IF(J781="","",J781/_xlfn.MAXIFS($J:$J,$D:$D,D781))</x:f>
        <x:v>0.7222222222222223</x:v>
      </x:c>
      <x:c r="N781" t="str">
        <x:f>IF(L781="","",L781/_xlfn.MAXIFS($L:$L,$D:$D,D781))</x:f>
      </x:c>
      <x:c r="O781" t="str">
        <x:f>IF(OR(M781="",N781=""),"",SQRT(M781*N781))</x:f>
      </x:c>
      <x:c r="P781" t="str">
        <x:f>IF(OR(M781="",N781=""),"",M781^0.7*N781^0.3)</x:f>
      </x:c>
      <x:c r="Q781" t="str">
        <x:f>IF(OR(M781="",N781=""),"",M781^0.3*N781^0.7)</x:f>
      </x:c>
    </x:row>
    <x:row r="782" s="14" customFormat="1">
      <x:c r="A782" t="inlineStr">
        <x:is>
          <x:t xml:space="preserve">openai|gpt-6-1-sol|medium|yes|fallback-na</x:t>
        </x:is>
      </x:c>
      <x:c r="B782" t="inlineStr">
        <x:is>
          <x:t xml:space="preserve">AA|v4.3.2</x:t>
        </x:is>
      </x:c>
      <x:c r="C782" t="n">
        <x:v>99</x:v>
      </x:c>
      <x:c r="D782" t="n">
        <x:v>40</x:v>
      </x:c>
      <x:c r="E782" t="n">
        <x:f>INDEX(Model_TestVersion_Stats!$W:$W,C782)</x:f>
        <x:v>48</x:v>
      </x:c>
      <x:c r="F782" t="n">
        <x:f>INDEX(Model_TestVersion_Stats!$O:$O,C782)</x:f>
        <x:v>0.21</x:v>
      </x:c>
      <x:c r="G782" t="str">
        <x:f>IF(INDEX(Model_TestVersion_Stats!$R:$R,C782)="","",INDEX(Model_TestVersion_Stats!$R:$R,C782)/60)</x:f>
      </x:c>
      <x:c r="H782" t="n">
        <x:f>IF(E782="","",E782-(D782-1))</x:f>
        <x:v>9</x:v>
      </x:c>
      <x:c r="I782" t="n">
        <x:f>IF(H782&gt;0,1,0)</x:f>
        <x:v>1</x:v>
      </x:c>
      <x:c r="J782" t="n">
        <x:f>IF(OR(I782=0,F782="",F782=0),"",H782/F782)</x:f>
        <x:v>42.85714285714286</x:v>
      </x:c>
      <x:c r="K782" t="n">
        <x:f>IF(OR(I782=0,H782=0,F782=""),"",F782/H782)</x:f>
        <x:v>0.02333333333333333</x:v>
      </x:c>
      <x:c r="L782" t="str">
        <x:f>IF(OR(I782=0,F782="",G782="",F782=0,G782=0),"",H782/(F782*G782))</x:f>
      </x:c>
      <x:c r="M782" t="n">
        <x:f>IF(J782="","",J782/_xlfn.MAXIFS($J:$J,$D:$D,D782))</x:f>
        <x:v>0.7959183673469389</x:v>
      </x:c>
      <x:c r="N782" t="str">
        <x:f>IF(L782="","",L782/_xlfn.MAXIFS($L:$L,$D:$D,D782))</x:f>
      </x:c>
      <x:c r="O782" t="str">
        <x:f>IF(OR(M782="",N782=""),"",SQRT(M782*N782))</x:f>
      </x:c>
      <x:c r="P782" t="str">
        <x:f>IF(OR(M782="",N782=""),"",M782^0.7*N782^0.3)</x:f>
      </x:c>
      <x:c r="Q782" t="str">
        <x:f>IF(OR(M782="",N782=""),"",M782^0.3*N782^0.7)</x:f>
      </x:c>
    </x:row>
    <x:row r="783" s="14" customFormat="1">
      <x:c r="A783" t="inlineStr">
        <x:is>
          <x:t xml:space="preserve">openai|gpt-6-1-sol|medium|yes|fallback-na</x:t>
        </x:is>
      </x:c>
      <x:c r="B783" t="inlineStr">
        <x:is>
          <x:t xml:space="preserve">AA|v4.3.2</x:t>
        </x:is>
      </x:c>
      <x:c r="C783" t="n">
        <x:v>99</x:v>
      </x:c>
      <x:c r="D783" t="n">
        <x:v>45</x:v>
      </x:c>
      <x:c r="E783" t="n">
        <x:f>INDEX(Model_TestVersion_Stats!$W:$W,C783)</x:f>
        <x:v>48</x:v>
      </x:c>
      <x:c r="F783" t="n">
        <x:f>INDEX(Model_TestVersion_Stats!$O:$O,C783)</x:f>
        <x:v>0.21</x:v>
      </x:c>
      <x:c r="G783" t="str">
        <x:f>IF(INDEX(Model_TestVersion_Stats!$R:$R,C783)="","",INDEX(Model_TestVersion_Stats!$R:$R,C783)/60)</x:f>
      </x:c>
      <x:c r="H783" t="n">
        <x:f>IF(E783="","",E783-(D783-1))</x:f>
        <x:v>4</x:v>
      </x:c>
      <x:c r="I783" t="n">
        <x:f>IF(H783&gt;0,1,0)</x:f>
        <x:v>1</x:v>
      </x:c>
      <x:c r="J783" t="n">
        <x:f>IF(OR(I783=0,F783="",F783=0),"",H783/F783)</x:f>
        <x:v>19.047619047619047</x:v>
      </x:c>
      <x:c r="K783" t="n">
        <x:f>IF(OR(I783=0,H783=0,F783=""),"",F783/H783)</x:f>
        <x:v>0.0525</x:v>
      </x:c>
      <x:c r="L783" t="str">
        <x:f>IF(OR(I783=0,F783="",G783="",F783=0,G783=0),"",H783/(F783*G783))</x:f>
      </x:c>
      <x:c r="M783" t="n">
        <x:f>IF(J783="","",J783/_xlfn.MAXIFS($J:$J,$D:$D,D783))</x:f>
        <x:v>1</x:v>
      </x:c>
      <x:c r="N783" t="str">
        <x:f>IF(L783="","",L783/_xlfn.MAXIFS($L:$L,$D:$D,D783))</x:f>
      </x:c>
      <x:c r="O783" t="str">
        <x:f>IF(OR(M783="",N783=""),"",SQRT(M783*N783))</x:f>
      </x:c>
      <x:c r="P783" t="str">
        <x:f>IF(OR(M783="",N783=""),"",M783^0.7*N783^0.3)</x:f>
      </x:c>
      <x:c r="Q783" t="str">
        <x:f>IF(OR(M783="",N783=""),"",M783^0.3*N783^0.7)</x:f>
      </x:c>
    </x:row>
    <x:row r="784" s="14" customFormat="1">
      <x:c r="A784" t="inlineStr">
        <x:is>
          <x:t xml:space="preserve">openai|gpt-6-1-sol|medium|yes|fallback-na</x:t>
        </x:is>
      </x:c>
      <x:c r="B784" t="inlineStr">
        <x:is>
          <x:t xml:space="preserve">AA|v4.3.2</x:t>
        </x:is>
      </x:c>
      <x:c r="C784" t="n">
        <x:v>99</x:v>
      </x:c>
      <x:c r="D784" t="n">
        <x:v>50</x:v>
      </x:c>
      <x:c r="E784" t="n">
        <x:f>INDEX(Model_TestVersion_Stats!$W:$W,C784)</x:f>
        <x:v>48</x:v>
      </x:c>
      <x:c r="F784" t="n">
        <x:f>INDEX(Model_TestVersion_Stats!$O:$O,C784)</x:f>
        <x:v>0.21</x:v>
      </x:c>
      <x:c r="G784" t="str">
        <x:f>IF(INDEX(Model_TestVersion_Stats!$R:$R,C784)="","",INDEX(Model_TestVersion_Stats!$R:$R,C784)/60)</x:f>
      </x:c>
      <x:c r="H784" t="n">
        <x:f>IF(E784="","",E784-(D784-1))</x:f>
        <x:v>-1</x:v>
      </x:c>
      <x:c r="I784" t="n">
        <x:f>IF(H784&gt;0,1,0)</x:f>
        <x:v>0</x:v>
      </x:c>
      <x:c r="J784" t="str">
        <x:f>IF(OR(I784=0,F784="",F784=0),"",H784/F784)</x:f>
      </x:c>
      <x:c r="K784" t="str">
        <x:f>IF(OR(I784=0,H784=0,F784=""),"",F784/H784)</x:f>
      </x:c>
      <x:c r="L784" t="str">
        <x:f>IF(OR(I784=0,F784="",G784="",F784=0,G784=0),"",H784/(F784*G784))</x:f>
      </x:c>
      <x:c r="M784" t="str">
        <x:f>IF(J784="","",J784/_xlfn.MAXIFS($J:$J,$D:$D,D784))</x:f>
      </x:c>
      <x:c r="N784" t="str">
        <x:f>IF(L784="","",L784/_xlfn.MAXIFS($L:$L,$D:$D,D784))</x:f>
      </x:c>
      <x:c r="O784" t="str">
        <x:f>IF(OR(M784="",N784=""),"",SQRT(M784*N784))</x:f>
      </x:c>
      <x:c r="P784" t="str">
        <x:f>IF(OR(M784="",N784=""),"",M784^0.7*N784^0.3)</x:f>
      </x:c>
      <x:c r="Q784" t="str">
        <x:f>IF(OR(M784="",N784=""),"",M784^0.3*N784^0.7)</x:f>
      </x:c>
    </x:row>
    <x:row r="785" s="14" customFormat="1">
      <x:c r="A785" t="inlineStr">
        <x:is>
          <x:t xml:space="preserve">openai|gpt-6-1-sol|medium|yes|fallback-na</x:t>
        </x:is>
      </x:c>
      <x:c r="B785" t="inlineStr">
        <x:is>
          <x:t xml:space="preserve">AA|v4.3.2</x:t>
        </x:is>
      </x:c>
      <x:c r="C785" t="n">
        <x:v>99</x:v>
      </x:c>
      <x:c r="D785" t="n">
        <x:v>60</x:v>
      </x:c>
      <x:c r="E785" t="n">
        <x:f>INDEX(Model_TestVersion_Stats!$W:$W,C785)</x:f>
        <x:v>48</x:v>
      </x:c>
      <x:c r="F785" t="n">
        <x:f>INDEX(Model_TestVersion_Stats!$O:$O,C785)</x:f>
        <x:v>0.21</x:v>
      </x:c>
      <x:c r="G785" t="str">
        <x:f>IF(INDEX(Model_TestVersion_Stats!$R:$R,C785)="","",INDEX(Model_TestVersion_Stats!$R:$R,C785)/60)</x:f>
      </x:c>
      <x:c r="H785" t="n">
        <x:f>IF(E785="","",E785-(D785-1))</x:f>
        <x:v>-11</x:v>
      </x:c>
      <x:c r="I785" t="n">
        <x:f>IF(H785&gt;0,1,0)</x:f>
        <x:v>0</x:v>
      </x:c>
      <x:c r="J785" t="str">
        <x:f>IF(OR(I785=0,F785="",F785=0),"",H785/F785)</x:f>
      </x:c>
      <x:c r="K785" t="str">
        <x:f>IF(OR(I785=0,H785=0,F785=""),"",F785/H785)</x:f>
      </x:c>
      <x:c r="L785" t="str">
        <x:f>IF(OR(I785=0,F785="",G785="",F785=0,G785=0),"",H785/(F785*G785))</x:f>
      </x:c>
      <x:c r="M785" t="str">
        <x:f>IF(J785="","",J785/_xlfn.MAXIFS($J:$J,$D:$D,D785))</x:f>
      </x:c>
      <x:c r="N785" t="str">
        <x:f>IF(L785="","",L785/_xlfn.MAXIFS($L:$L,$D:$D,D785))</x:f>
      </x:c>
      <x:c r="O785" t="str">
        <x:f>IF(OR(M785="",N785=""),"",SQRT(M785*N785))</x:f>
      </x:c>
      <x:c r="P785" t="str">
        <x:f>IF(OR(M785="",N785=""),"",M785^0.7*N785^0.3)</x:f>
      </x:c>
      <x:c r="Q785" t="str">
        <x:f>IF(OR(M785="",N785=""),"",M785^0.3*N785^0.7)</x:f>
      </x:c>
    </x:row>
    <x:row r="786" s="14" customFormat="1">
      <x:c r="A786" t="inlineStr">
        <x:is>
          <x:t xml:space="preserve">openai|gpt-6-1-sol|low|yes|fallback-na</x:t>
        </x:is>
      </x:c>
      <x:c r="B786" t="inlineStr">
        <x:is>
          <x:t xml:space="preserve">AA|v4.3.2</x:t>
        </x:is>
      </x:c>
      <x:c r="C786" t="n">
        <x:v>100</x:v>
      </x:c>
      <x:c r="D786" t="n">
        <x:v>10</x:v>
      </x:c>
      <x:c r="E786" t="n">
        <x:f>INDEX(Model_TestVersion_Stats!$W:$W,C786)</x:f>
        <x:v>42</x:v>
      </x:c>
      <x:c r="F786" t="n">
        <x:f>INDEX(Model_TestVersion_Stats!$O:$O,C786)</x:f>
        <x:v>0.13</x:v>
      </x:c>
      <x:c r="G786" t="str">
        <x:f>IF(INDEX(Model_TestVersion_Stats!$R:$R,C786)="","",INDEX(Model_TestVersion_Stats!$R:$R,C786)/60)</x:f>
      </x:c>
      <x:c r="H786" t="n">
        <x:f>IF(E786="","",E786-(D786-1))</x:f>
        <x:v>33</x:v>
      </x:c>
      <x:c r="I786" t="n">
        <x:f>IF(H786&gt;0,1,0)</x:f>
        <x:v>1</x:v>
      </x:c>
      <x:c r="J786" t="n">
        <x:f>IF(OR(I786=0,F786="",F786=0),"",H786/F786)</x:f>
        <x:v>253.84615384615384</x:v>
      </x:c>
      <x:c r="K786" t="n">
        <x:f>IF(OR(I786=0,H786=0,F786=""),"",F786/H786)</x:f>
        <x:v>0.00393939393939394</x:v>
      </x:c>
      <x:c r="L786" t="str">
        <x:f>IF(OR(I786=0,F786="",G786="",F786=0,G786=0),"",H786/(F786*G786))</x:f>
      </x:c>
      <x:c r="M786" t="n">
        <x:f>IF(J786="","",J786/_xlfn.MAXIFS($J:$J,$D:$D,D786))</x:f>
        <x:v>0.25384615384615383</x:v>
      </x:c>
      <x:c r="N786" t="str">
        <x:f>IF(L786="","",L786/_xlfn.MAXIFS($L:$L,$D:$D,D786))</x:f>
      </x:c>
      <x:c r="O786" t="str">
        <x:f>IF(OR(M786="",N786=""),"",SQRT(M786*N786))</x:f>
      </x:c>
      <x:c r="P786" t="str">
        <x:f>IF(OR(M786="",N786=""),"",M786^0.7*N786^0.3)</x:f>
      </x:c>
      <x:c r="Q786" t="str">
        <x:f>IF(OR(M786="",N786=""),"",M786^0.3*N786^0.7)</x:f>
      </x:c>
    </x:row>
    <x:row r="787" s="14" customFormat="1">
      <x:c r="A787" t="inlineStr">
        <x:is>
          <x:t xml:space="preserve">openai|gpt-6-1-sol|low|yes|fallback-na</x:t>
        </x:is>
      </x:c>
      <x:c r="B787" t="inlineStr">
        <x:is>
          <x:t xml:space="preserve">AA|v4.3.2</x:t>
        </x:is>
      </x:c>
      <x:c r="C787" t="n">
        <x:v>100</x:v>
      </x:c>
      <x:c r="D787" t="n">
        <x:v>20</x:v>
      </x:c>
      <x:c r="E787" t="n">
        <x:f>INDEX(Model_TestVersion_Stats!$W:$W,C787)</x:f>
        <x:v>42</x:v>
      </x:c>
      <x:c r="F787" t="n">
        <x:f>INDEX(Model_TestVersion_Stats!$O:$O,C787)</x:f>
        <x:v>0.13</x:v>
      </x:c>
      <x:c r="G787" t="str">
        <x:f>IF(INDEX(Model_TestVersion_Stats!$R:$R,C787)="","",INDEX(Model_TestVersion_Stats!$R:$R,C787)/60)</x:f>
      </x:c>
      <x:c r="H787" t="n">
        <x:f>IF(E787="","",E787-(D787-1))</x:f>
        <x:v>23</x:v>
      </x:c>
      <x:c r="I787" t="n">
        <x:f>IF(H787&gt;0,1,0)</x:f>
        <x:v>1</x:v>
      </x:c>
      <x:c r="J787" t="n">
        <x:f>IF(OR(I787=0,F787="",F787=0),"",H787/F787)</x:f>
        <x:v>176.9230769230769</x:v>
      </x:c>
      <x:c r="K787" t="n">
        <x:f>IF(OR(I787=0,H787=0,F787=""),"",F787/H787)</x:f>
        <x:v>0.005652173913043478</x:v>
      </x:c>
      <x:c r="L787" t="str">
        <x:f>IF(OR(I787=0,F787="",G787="",F787=0,G787=0),"",H787/(F787*G787))</x:f>
      </x:c>
      <x:c r="M787" t="n">
        <x:f>IF(J787="","",J787/_xlfn.MAXIFS($J:$J,$D:$D,D787))</x:f>
        <x:v>0.31846153846153846</x:v>
      </x:c>
      <x:c r="N787" t="str">
        <x:f>IF(L787="","",L787/_xlfn.MAXIFS($L:$L,$D:$D,D787))</x:f>
      </x:c>
      <x:c r="O787" t="str">
        <x:f>IF(OR(M787="",N787=""),"",SQRT(M787*N787))</x:f>
      </x:c>
      <x:c r="P787" t="str">
        <x:f>IF(OR(M787="",N787=""),"",M787^0.7*N787^0.3)</x:f>
      </x:c>
      <x:c r="Q787" t="str">
        <x:f>IF(OR(M787="",N787=""),"",M787^0.3*N787^0.7)</x:f>
      </x:c>
    </x:row>
    <x:row r="788" s="14" customFormat="1">
      <x:c r="A788" t="inlineStr">
        <x:is>
          <x:t xml:space="preserve">openai|gpt-6-1-sol|low|yes|fallback-na</x:t>
        </x:is>
      </x:c>
      <x:c r="B788" t="inlineStr">
        <x:is>
          <x:t xml:space="preserve">AA|v4.3.2</x:t>
        </x:is>
      </x:c>
      <x:c r="C788" t="n">
        <x:v>100</x:v>
      </x:c>
      <x:c r="D788" t="n">
        <x:v>30</x:v>
      </x:c>
      <x:c r="E788" t="n">
        <x:f>INDEX(Model_TestVersion_Stats!$W:$W,C788)</x:f>
        <x:v>42</x:v>
      </x:c>
      <x:c r="F788" t="n">
        <x:f>INDEX(Model_TestVersion_Stats!$O:$O,C788)</x:f>
        <x:v>0.13</x:v>
      </x:c>
      <x:c r="G788" t="str">
        <x:f>IF(INDEX(Model_TestVersion_Stats!$R:$R,C788)="","",INDEX(Model_TestVersion_Stats!$R:$R,C788)/60)</x:f>
      </x:c>
      <x:c r="H788" t="n">
        <x:f>IF(E788="","",E788-(D788-1))</x:f>
        <x:v>13</x:v>
      </x:c>
      <x:c r="I788" t="n">
        <x:f>IF(H788&gt;0,1,0)</x:f>
        <x:v>1</x:v>
      </x:c>
      <x:c r="J788" t="n">
        <x:f>IF(OR(I788=0,F788="",F788=0),"",H788/F788)</x:f>
        <x:v>100</x:v>
      </x:c>
      <x:c r="K788" t="n">
        <x:f>IF(OR(I788=0,H788=0,F788=""),"",F788/H788)</x:f>
        <x:v>0.01</x:v>
      </x:c>
      <x:c r="L788" t="str">
        <x:f>IF(OR(I788=0,F788="",G788="",F788=0,G788=0),"",H788/(F788*G788))</x:f>
      </x:c>
      <x:c r="M788" t="n">
        <x:f>IF(J788="","",J788/_xlfn.MAXIFS($J:$J,$D:$D,D788))</x:f>
        <x:v>0.6666666666666666</x:v>
      </x:c>
      <x:c r="N788" t="str">
        <x:f>IF(L788="","",L788/_xlfn.MAXIFS($L:$L,$D:$D,D788))</x:f>
      </x:c>
      <x:c r="O788" t="str">
        <x:f>IF(OR(M788="",N788=""),"",SQRT(M788*N788))</x:f>
      </x:c>
      <x:c r="P788" t="str">
        <x:f>IF(OR(M788="",N788=""),"",M788^0.7*N788^0.3)</x:f>
      </x:c>
      <x:c r="Q788" t="str">
        <x:f>IF(OR(M788="",N788=""),"",M788^0.3*N788^0.7)</x:f>
      </x:c>
    </x:row>
    <x:row r="789" s="14" customFormat="1">
      <x:c r="A789" t="inlineStr">
        <x:is>
          <x:t xml:space="preserve">openai|gpt-6-1-sol|low|yes|fallback-na</x:t>
        </x:is>
      </x:c>
      <x:c r="B789" t="inlineStr">
        <x:is>
          <x:t xml:space="preserve">AA|v4.3.2</x:t>
        </x:is>
      </x:c>
      <x:c r="C789" t="n">
        <x:v>100</x:v>
      </x:c>
      <x:c r="D789" t="n">
        <x:v>35</x:v>
      </x:c>
      <x:c r="E789" t="n">
        <x:f>INDEX(Model_TestVersion_Stats!$W:$W,C789)</x:f>
        <x:v>42</x:v>
      </x:c>
      <x:c r="F789" t="n">
        <x:f>INDEX(Model_TestVersion_Stats!$O:$O,C789)</x:f>
        <x:v>0.13</x:v>
      </x:c>
      <x:c r="G789" t="str">
        <x:f>IF(INDEX(Model_TestVersion_Stats!$R:$R,C789)="","",INDEX(Model_TestVersion_Stats!$R:$R,C789)/60)</x:f>
      </x:c>
      <x:c r="H789" t="n">
        <x:f>IF(E789="","",E789-(D789-1))</x:f>
        <x:v>8</x:v>
      </x:c>
      <x:c r="I789" t="n">
        <x:f>IF(H789&gt;0,1,0)</x:f>
        <x:v>1</x:v>
      </x:c>
      <x:c r="J789" t="n">
        <x:f>IF(OR(I789=0,F789="",F789=0),"",H789/F789)</x:f>
        <x:v>61.53846153846153</x:v>
      </x:c>
      <x:c r="K789" t="n">
        <x:f>IF(OR(I789=0,H789=0,F789=""),"",F789/H789)</x:f>
        <x:v>0.01625</x:v>
      </x:c>
      <x:c r="L789" t="str">
        <x:f>IF(OR(I789=0,F789="",G789="",F789=0,G789=0),"",H789/(F789*G789))</x:f>
      </x:c>
      <x:c r="M789" t="n">
        <x:f>IF(J789="","",J789/_xlfn.MAXIFS($J:$J,$D:$D,D789))</x:f>
        <x:v>0.6666666666666666</x:v>
      </x:c>
      <x:c r="N789" t="str">
        <x:f>IF(L789="","",L789/_xlfn.MAXIFS($L:$L,$D:$D,D789))</x:f>
      </x:c>
      <x:c r="O789" t="str">
        <x:f>IF(OR(M789="",N789=""),"",SQRT(M789*N789))</x:f>
      </x:c>
      <x:c r="P789" t="str">
        <x:f>IF(OR(M789="",N789=""),"",M789^0.7*N789^0.3)</x:f>
      </x:c>
      <x:c r="Q789" t="str">
        <x:f>IF(OR(M789="",N789=""),"",M789^0.3*N789^0.7)</x:f>
      </x:c>
    </x:row>
    <x:row r="790" s="14" customFormat="1">
      <x:c r="A790" t="inlineStr">
        <x:is>
          <x:t xml:space="preserve">openai|gpt-6-1-sol|low|yes|fallback-na</x:t>
        </x:is>
      </x:c>
      <x:c r="B790" t="inlineStr">
        <x:is>
          <x:t xml:space="preserve">AA|v4.3.2</x:t>
        </x:is>
      </x:c>
      <x:c r="C790" t="n">
        <x:v>100</x:v>
      </x:c>
      <x:c r="D790" t="n">
        <x:v>40</x:v>
      </x:c>
      <x:c r="E790" t="n">
        <x:f>INDEX(Model_TestVersion_Stats!$W:$W,C790)</x:f>
        <x:v>42</x:v>
      </x:c>
      <x:c r="F790" t="n">
        <x:f>INDEX(Model_TestVersion_Stats!$O:$O,C790)</x:f>
        <x:v>0.13</x:v>
      </x:c>
      <x:c r="G790" t="str">
        <x:f>IF(INDEX(Model_TestVersion_Stats!$R:$R,C790)="","",INDEX(Model_TestVersion_Stats!$R:$R,C790)/60)</x:f>
      </x:c>
      <x:c r="H790" t="n">
        <x:f>IF(E790="","",E790-(D790-1))</x:f>
        <x:v>3</x:v>
      </x:c>
      <x:c r="I790" t="n">
        <x:f>IF(H790&gt;0,1,0)</x:f>
        <x:v>1</x:v>
      </x:c>
      <x:c r="J790" t="n">
        <x:f>IF(OR(I790=0,F790="",F790=0),"",H790/F790)</x:f>
        <x:v>23.076923076923077</x:v>
      </x:c>
      <x:c r="K790" t="n">
        <x:f>IF(OR(I790=0,H790=0,F790=""),"",F790/H790)</x:f>
        <x:v>0.043333333333333335</x:v>
      </x:c>
      <x:c r="L790" t="str">
        <x:f>IF(OR(I790=0,F790="",G790="",F790=0,G790=0),"",H790/(F790*G790))</x:f>
      </x:c>
      <x:c r="M790" t="n">
        <x:f>IF(J790="","",J790/_xlfn.MAXIFS($J:$J,$D:$D,D790))</x:f>
        <x:v>0.42857142857142855</x:v>
      </x:c>
      <x:c r="N790" t="str">
        <x:f>IF(L790="","",L790/_xlfn.MAXIFS($L:$L,$D:$D,D790))</x:f>
      </x:c>
      <x:c r="O790" t="str">
        <x:f>IF(OR(M790="",N790=""),"",SQRT(M790*N790))</x:f>
      </x:c>
      <x:c r="P790" t="str">
        <x:f>IF(OR(M790="",N790=""),"",M790^0.7*N790^0.3)</x:f>
      </x:c>
      <x:c r="Q790" t="str">
        <x:f>IF(OR(M790="",N790=""),"",M790^0.3*N790^0.7)</x:f>
      </x:c>
    </x:row>
    <x:row r="791" s="14" customFormat="1">
      <x:c r="A791" t="inlineStr">
        <x:is>
          <x:t xml:space="preserve">openai|gpt-6-1-sol|low|yes|fallback-na</x:t>
        </x:is>
      </x:c>
      <x:c r="B791" t="inlineStr">
        <x:is>
          <x:t xml:space="preserve">AA|v4.3.2</x:t>
        </x:is>
      </x:c>
      <x:c r="C791" t="n">
        <x:v>100</x:v>
      </x:c>
      <x:c r="D791" t="n">
        <x:v>45</x:v>
      </x:c>
      <x:c r="E791" t="n">
        <x:f>INDEX(Model_TestVersion_Stats!$W:$W,C791)</x:f>
        <x:v>42</x:v>
      </x:c>
      <x:c r="F791" t="n">
        <x:f>INDEX(Model_TestVersion_Stats!$O:$O,C791)</x:f>
        <x:v>0.13</x:v>
      </x:c>
      <x:c r="G791" t="str">
        <x:f>IF(INDEX(Model_TestVersion_Stats!$R:$R,C791)="","",INDEX(Model_TestVersion_Stats!$R:$R,C791)/60)</x:f>
      </x:c>
      <x:c r="H791" t="n">
        <x:f>IF(E791="","",E791-(D791-1))</x:f>
        <x:v>-2</x:v>
      </x:c>
      <x:c r="I791" t="n">
        <x:f>IF(H791&gt;0,1,0)</x:f>
        <x:v>0</x:v>
      </x:c>
      <x:c r="J791" t="str">
        <x:f>IF(OR(I791=0,F791="",F791=0),"",H791/F791)</x:f>
      </x:c>
      <x:c r="K791" t="str">
        <x:f>IF(OR(I791=0,H791=0,F791=""),"",F791/H791)</x:f>
      </x:c>
      <x:c r="L791" t="str">
        <x:f>IF(OR(I791=0,F791="",G791="",F791=0,G791=0),"",H791/(F791*G791))</x:f>
      </x:c>
      <x:c r="M791" t="str">
        <x:f>IF(J791="","",J791/_xlfn.MAXIFS($J:$J,$D:$D,D791))</x:f>
      </x:c>
      <x:c r="N791" t="str">
        <x:f>IF(L791="","",L791/_xlfn.MAXIFS($L:$L,$D:$D,D791))</x:f>
      </x:c>
      <x:c r="O791" t="str">
        <x:f>IF(OR(M791="",N791=""),"",SQRT(M791*N791))</x:f>
      </x:c>
      <x:c r="P791" t="str">
        <x:f>IF(OR(M791="",N791=""),"",M791^0.7*N791^0.3)</x:f>
      </x:c>
      <x:c r="Q791" t="str">
        <x:f>IF(OR(M791="",N791=""),"",M791^0.3*N791^0.7)</x:f>
      </x:c>
    </x:row>
    <x:row r="792" s="14" customFormat="1">
      <x:c r="A792" t="inlineStr">
        <x:is>
          <x:t xml:space="preserve">openai|gpt-6-1-sol|low|yes|fallback-na</x:t>
        </x:is>
      </x:c>
      <x:c r="B792" t="inlineStr">
        <x:is>
          <x:t xml:space="preserve">AA|v4.3.2</x:t>
        </x:is>
      </x:c>
      <x:c r="C792" t="n">
        <x:v>100</x:v>
      </x:c>
      <x:c r="D792" t="n">
        <x:v>50</x:v>
      </x:c>
      <x:c r="E792" t="n">
        <x:f>INDEX(Model_TestVersion_Stats!$W:$W,C792)</x:f>
        <x:v>42</x:v>
      </x:c>
      <x:c r="F792" t="n">
        <x:f>INDEX(Model_TestVersion_Stats!$O:$O,C792)</x:f>
        <x:v>0.13</x:v>
      </x:c>
      <x:c r="G792" t="str">
        <x:f>IF(INDEX(Model_TestVersion_Stats!$R:$R,C792)="","",INDEX(Model_TestVersion_Stats!$R:$R,C792)/60)</x:f>
      </x:c>
      <x:c r="H792" t="n">
        <x:f>IF(E792="","",E792-(D792-1))</x:f>
        <x:v>-7</x:v>
      </x:c>
      <x:c r="I792" t="n">
        <x:f>IF(H792&gt;0,1,0)</x:f>
        <x:v>0</x:v>
      </x:c>
      <x:c r="J792" t="str">
        <x:f>IF(OR(I792=0,F792="",F792=0),"",H792/F792)</x:f>
      </x:c>
      <x:c r="K792" t="str">
        <x:f>IF(OR(I792=0,H792=0,F792=""),"",F792/H792)</x:f>
      </x:c>
      <x:c r="L792" t="str">
        <x:f>IF(OR(I792=0,F792="",G792="",F792=0,G792=0),"",H792/(F792*G792))</x:f>
      </x:c>
      <x:c r="M792" t="str">
        <x:f>IF(J792="","",J792/_xlfn.MAXIFS($J:$J,$D:$D,D792))</x:f>
      </x:c>
      <x:c r="N792" t="str">
        <x:f>IF(L792="","",L792/_xlfn.MAXIFS($L:$L,$D:$D,D792))</x:f>
      </x:c>
      <x:c r="O792" t="str">
        <x:f>IF(OR(M792="",N792=""),"",SQRT(M792*N792))</x:f>
      </x:c>
      <x:c r="P792" t="str">
        <x:f>IF(OR(M792="",N792=""),"",M792^0.7*N792^0.3)</x:f>
      </x:c>
      <x:c r="Q792" t="str">
        <x:f>IF(OR(M792="",N792=""),"",M792^0.3*N792^0.7)</x:f>
      </x:c>
    </x:row>
    <x:row r="793" s="14" customFormat="1">
      <x:c r="A793" t="inlineStr">
        <x:is>
          <x:t xml:space="preserve">openai|gpt-6-1-sol|low|yes|fallback-na</x:t>
        </x:is>
      </x:c>
      <x:c r="B793" t="inlineStr">
        <x:is>
          <x:t xml:space="preserve">AA|v4.3.2</x:t>
        </x:is>
      </x:c>
      <x:c r="C793" t="n">
        <x:v>100</x:v>
      </x:c>
      <x:c r="D793" t="n">
        <x:v>60</x:v>
      </x:c>
      <x:c r="E793" t="n">
        <x:f>INDEX(Model_TestVersion_Stats!$W:$W,C793)</x:f>
        <x:v>42</x:v>
      </x:c>
      <x:c r="F793" t="n">
        <x:f>INDEX(Model_TestVersion_Stats!$O:$O,C793)</x:f>
        <x:v>0.13</x:v>
      </x:c>
      <x:c r="G793" t="str">
        <x:f>IF(INDEX(Model_TestVersion_Stats!$R:$R,C793)="","",INDEX(Model_TestVersion_Stats!$R:$R,C793)/60)</x:f>
      </x:c>
      <x:c r="H793" t="n">
        <x:f>IF(E793="","",E793-(D793-1))</x:f>
        <x:v>-17</x:v>
      </x:c>
      <x:c r="I793" t="n">
        <x:f>IF(H793&gt;0,1,0)</x:f>
        <x:v>0</x:v>
      </x:c>
      <x:c r="J793" t="str">
        <x:f>IF(OR(I793=0,F793="",F793=0),"",H793/F793)</x:f>
      </x:c>
      <x:c r="K793" t="str">
        <x:f>IF(OR(I793=0,H793=0,F793=""),"",F793/H793)</x:f>
      </x:c>
      <x:c r="L793" t="str">
        <x:f>IF(OR(I793=0,F793="",G793="",F793=0,G793=0),"",H793/(F793*G793))</x:f>
      </x:c>
      <x:c r="M793" t="str">
        <x:f>IF(J793="","",J793/_xlfn.MAXIFS($J:$J,$D:$D,D793))</x:f>
      </x:c>
      <x:c r="N793" t="str">
        <x:f>IF(L793="","",L793/_xlfn.MAXIFS($L:$L,$D:$D,D793))</x:f>
      </x:c>
      <x:c r="O793" t="str">
        <x:f>IF(OR(M793="",N793=""),"",SQRT(M793*N793))</x:f>
      </x:c>
      <x:c r="P793" t="str">
        <x:f>IF(OR(M793="",N793=""),"",M793^0.7*N793^0.3)</x:f>
      </x:c>
      <x:c r="Q793" t="str">
        <x:f>IF(OR(M793="",N793=""),"",M793^0.3*N793^0.7)</x:f>
      </x:c>
    </x:row>
    <x:row r="794" s="14" customFormat="1">
      <x:c r="A794" t="inlineStr">
        <x:is>
          <x:t xml:space="preserve">openai|gpt-5-6-terra|max|reasoning|fallback-na</x:t>
        </x:is>
      </x:c>
      <x:c r="B794" t="inlineStr">
        <x:is>
          <x:t xml:space="preserve">AA|v4.3.2</x:t>
        </x:is>
      </x:c>
      <x:c r="C794" t="n">
        <x:v>101</x:v>
      </x:c>
      <x:c r="D794" t="n">
        <x:v>10</x:v>
      </x:c>
      <x:c r="E794" t="n">
        <x:f>INDEX(Model_TestVersion_Stats!$W:$W,C794)</x:f>
        <x:v>42</x:v>
      </x:c>
      <x:c r="F794" t="n">
        <x:f>INDEX(Model_TestVersion_Stats!$O:$O,C794)</x:f>
        <x:v>1.4</x:v>
      </x:c>
      <x:c r="G794" t="str">
        <x:f>IF(INDEX(Model_TestVersion_Stats!$R:$R,C794)="","",INDEX(Model_TestVersion_Stats!$R:$R,C794)/60)</x:f>
      </x:c>
      <x:c r="H794" t="n">
        <x:f>IF(E794="","",E794-(D794-1))</x:f>
        <x:v>33</x:v>
      </x:c>
      <x:c r="I794" t="n">
        <x:f>IF(H794&gt;0,1,0)</x:f>
        <x:v>1</x:v>
      </x:c>
      <x:c r="J794" t="n">
        <x:f>IF(OR(I794=0,F794="",F794=0),"",H794/F794)</x:f>
        <x:v>23.571428571428573</x:v>
      </x:c>
      <x:c r="K794" t="n">
        <x:f>IF(OR(I794=0,H794=0,F794=""),"",F794/H794)</x:f>
        <x:v>0.04242424242424242</x:v>
      </x:c>
      <x:c r="L794" t="str">
        <x:f>IF(OR(I794=0,F794="",G794="",F794=0,G794=0),"",H794/(F794*G794))</x:f>
      </x:c>
      <x:c r="M794" t="n">
        <x:f>IF(J794="","",J794/_xlfn.MAXIFS($J:$J,$D:$D,D794))</x:f>
        <x:v>0.023571428571428573</x:v>
      </x:c>
      <x:c r="N794" t="str">
        <x:f>IF(L794="","",L794/_xlfn.MAXIFS($L:$L,$D:$D,D794))</x:f>
      </x:c>
      <x:c r="O794" t="str">
        <x:f>IF(OR(M794="",N794=""),"",SQRT(M794*N794))</x:f>
      </x:c>
      <x:c r="P794" t="str">
        <x:f>IF(OR(M794="",N794=""),"",M794^0.7*N794^0.3)</x:f>
      </x:c>
      <x:c r="Q794" t="str">
        <x:f>IF(OR(M794="",N794=""),"",M794^0.3*N794^0.7)</x:f>
      </x:c>
    </x:row>
    <x:row r="795" s="14" customFormat="1">
      <x:c r="A795" t="inlineStr">
        <x:is>
          <x:t xml:space="preserve">openai|gpt-5-6-terra|max|reasoning|fallback-na</x:t>
        </x:is>
      </x:c>
      <x:c r="B795" t="inlineStr">
        <x:is>
          <x:t xml:space="preserve">AA|v4.3.2</x:t>
        </x:is>
      </x:c>
      <x:c r="C795" t="n">
        <x:v>101</x:v>
      </x:c>
      <x:c r="D795" t="n">
        <x:v>20</x:v>
      </x:c>
      <x:c r="E795" t="n">
        <x:f>INDEX(Model_TestVersion_Stats!$W:$W,C795)</x:f>
        <x:v>42</x:v>
      </x:c>
      <x:c r="F795" t="n">
        <x:f>INDEX(Model_TestVersion_Stats!$O:$O,C795)</x:f>
        <x:v>1.4</x:v>
      </x:c>
      <x:c r="G795" t="str">
        <x:f>IF(INDEX(Model_TestVersion_Stats!$R:$R,C795)="","",INDEX(Model_TestVersion_Stats!$R:$R,C795)/60)</x:f>
      </x:c>
      <x:c r="H795" t="n">
        <x:f>IF(E795="","",E795-(D795-1))</x:f>
        <x:v>23</x:v>
      </x:c>
      <x:c r="I795" t="n">
        <x:f>IF(H795&gt;0,1,0)</x:f>
        <x:v>1</x:v>
      </x:c>
      <x:c r="J795" t="n">
        <x:f>IF(OR(I795=0,F795="",F795=0),"",H795/F795)</x:f>
        <x:v>16.42857142857143</x:v>
      </x:c>
      <x:c r="K795" t="n">
        <x:f>IF(OR(I795=0,H795=0,F795=""),"",F795/H795)</x:f>
        <x:v>0.0608695652173913</x:v>
      </x:c>
      <x:c r="L795" t="str">
        <x:f>IF(OR(I795=0,F795="",G795="",F795=0,G795=0),"",H795/(F795*G795))</x:f>
      </x:c>
      <x:c r="M795" t="n">
        <x:f>IF(J795="","",J795/_xlfn.MAXIFS($J:$J,$D:$D,D795))</x:f>
        <x:v>0.029571428571428575</x:v>
      </x:c>
      <x:c r="N795" t="str">
        <x:f>IF(L795="","",L795/_xlfn.MAXIFS($L:$L,$D:$D,D795))</x:f>
      </x:c>
      <x:c r="O795" t="str">
        <x:f>IF(OR(M795="",N795=""),"",SQRT(M795*N795))</x:f>
      </x:c>
      <x:c r="P795" t="str">
        <x:f>IF(OR(M795="",N795=""),"",M795^0.7*N795^0.3)</x:f>
      </x:c>
      <x:c r="Q795" t="str">
        <x:f>IF(OR(M795="",N795=""),"",M795^0.3*N795^0.7)</x:f>
      </x:c>
    </x:row>
    <x:row r="796" s="14" customFormat="1">
      <x:c r="A796" t="inlineStr">
        <x:is>
          <x:t xml:space="preserve">openai|gpt-5-6-terra|max|reasoning|fallback-na</x:t>
        </x:is>
      </x:c>
      <x:c r="B796" t="inlineStr">
        <x:is>
          <x:t xml:space="preserve">AA|v4.3.2</x:t>
        </x:is>
      </x:c>
      <x:c r="C796" t="n">
        <x:v>101</x:v>
      </x:c>
      <x:c r="D796" t="n">
        <x:v>30</x:v>
      </x:c>
      <x:c r="E796" t="n">
        <x:f>INDEX(Model_TestVersion_Stats!$W:$W,C796)</x:f>
        <x:v>42</x:v>
      </x:c>
      <x:c r="F796" t="n">
        <x:f>INDEX(Model_TestVersion_Stats!$O:$O,C796)</x:f>
        <x:v>1.4</x:v>
      </x:c>
      <x:c r="G796" t="str">
        <x:f>IF(INDEX(Model_TestVersion_Stats!$R:$R,C796)="","",INDEX(Model_TestVersion_Stats!$R:$R,C796)/60)</x:f>
      </x:c>
      <x:c r="H796" t="n">
        <x:f>IF(E796="","",E796-(D796-1))</x:f>
        <x:v>13</x:v>
      </x:c>
      <x:c r="I796" t="n">
        <x:f>IF(H796&gt;0,1,0)</x:f>
        <x:v>1</x:v>
      </x:c>
      <x:c r="J796" t="n">
        <x:f>IF(OR(I796=0,F796="",F796=0),"",H796/F796)</x:f>
        <x:v>9.285714285714286</x:v>
      </x:c>
      <x:c r="K796" t="n">
        <x:f>IF(OR(I796=0,H796=0,F796=""),"",F796/H796)</x:f>
        <x:v>0.10769230769230768</x:v>
      </x:c>
      <x:c r="L796" t="str">
        <x:f>IF(OR(I796=0,F796="",G796="",F796=0,G796=0),"",H796/(F796*G796))</x:f>
      </x:c>
      <x:c r="M796" t="n">
        <x:f>IF(J796="","",J796/_xlfn.MAXIFS($J:$J,$D:$D,D796))</x:f>
        <x:v>0.06190476190476191</x:v>
      </x:c>
      <x:c r="N796" t="str">
        <x:f>IF(L796="","",L796/_xlfn.MAXIFS($L:$L,$D:$D,D796))</x:f>
      </x:c>
      <x:c r="O796" t="str">
        <x:f>IF(OR(M796="",N796=""),"",SQRT(M796*N796))</x:f>
      </x:c>
      <x:c r="P796" t="str">
        <x:f>IF(OR(M796="",N796=""),"",M796^0.7*N796^0.3)</x:f>
      </x:c>
      <x:c r="Q796" t="str">
        <x:f>IF(OR(M796="",N796=""),"",M796^0.3*N796^0.7)</x:f>
      </x:c>
    </x:row>
    <x:row r="797" s="14" customFormat="1">
      <x:c r="A797" t="inlineStr">
        <x:is>
          <x:t xml:space="preserve">openai|gpt-5-6-terra|max|reasoning|fallback-na</x:t>
        </x:is>
      </x:c>
      <x:c r="B797" t="inlineStr">
        <x:is>
          <x:t xml:space="preserve">AA|v4.3.2</x:t>
        </x:is>
      </x:c>
      <x:c r="C797" t="n">
        <x:v>101</x:v>
      </x:c>
      <x:c r="D797" t="n">
        <x:v>35</x:v>
      </x:c>
      <x:c r="E797" t="n">
        <x:f>INDEX(Model_TestVersion_Stats!$W:$W,C797)</x:f>
        <x:v>42</x:v>
      </x:c>
      <x:c r="F797" t="n">
        <x:f>INDEX(Model_TestVersion_Stats!$O:$O,C797)</x:f>
        <x:v>1.4</x:v>
      </x:c>
      <x:c r="G797" t="str">
        <x:f>IF(INDEX(Model_TestVersion_Stats!$R:$R,C797)="","",INDEX(Model_TestVersion_Stats!$R:$R,C797)/60)</x:f>
      </x:c>
      <x:c r="H797" t="n">
        <x:f>IF(E797="","",E797-(D797-1))</x:f>
        <x:v>8</x:v>
      </x:c>
      <x:c r="I797" t="n">
        <x:f>IF(H797&gt;0,1,0)</x:f>
        <x:v>1</x:v>
      </x:c>
      <x:c r="J797" t="n">
        <x:f>IF(OR(I797=0,F797="",F797=0),"",H797/F797)</x:f>
        <x:v>5.714285714285714</x:v>
      </x:c>
      <x:c r="K797" t="n">
        <x:f>IF(OR(I797=0,H797=0,F797=""),"",F797/H797)</x:f>
        <x:v>0.175</x:v>
      </x:c>
      <x:c r="L797" t="str">
        <x:f>IF(OR(I797=0,F797="",G797="",F797=0,G797=0),"",H797/(F797*G797))</x:f>
      </x:c>
      <x:c r="M797" t="n">
        <x:f>IF(J797="","",J797/_xlfn.MAXIFS($J:$J,$D:$D,D797))</x:f>
        <x:v>0.06190476190476191</x:v>
      </x:c>
      <x:c r="N797" t="str">
        <x:f>IF(L797="","",L797/_xlfn.MAXIFS($L:$L,$D:$D,D797))</x:f>
      </x:c>
      <x:c r="O797" t="str">
        <x:f>IF(OR(M797="",N797=""),"",SQRT(M797*N797))</x:f>
      </x:c>
      <x:c r="P797" t="str">
        <x:f>IF(OR(M797="",N797=""),"",M797^0.7*N797^0.3)</x:f>
      </x:c>
      <x:c r="Q797" t="str">
        <x:f>IF(OR(M797="",N797=""),"",M797^0.3*N797^0.7)</x:f>
      </x:c>
    </x:row>
    <x:row r="798" s="14" customFormat="1">
      <x:c r="A798" t="inlineStr">
        <x:is>
          <x:t xml:space="preserve">openai|gpt-5-6-terra|max|reasoning|fallback-na</x:t>
        </x:is>
      </x:c>
      <x:c r="B798" t="inlineStr">
        <x:is>
          <x:t xml:space="preserve">AA|v4.3.2</x:t>
        </x:is>
      </x:c>
      <x:c r="C798" t="n">
        <x:v>101</x:v>
      </x:c>
      <x:c r="D798" t="n">
        <x:v>40</x:v>
      </x:c>
      <x:c r="E798" t="n">
        <x:f>INDEX(Model_TestVersion_Stats!$W:$W,C798)</x:f>
        <x:v>42</x:v>
      </x:c>
      <x:c r="F798" t="n">
        <x:f>INDEX(Model_TestVersion_Stats!$O:$O,C798)</x:f>
        <x:v>1.4</x:v>
      </x:c>
      <x:c r="G798" t="str">
        <x:f>IF(INDEX(Model_TestVersion_Stats!$R:$R,C798)="","",INDEX(Model_TestVersion_Stats!$R:$R,C798)/60)</x:f>
      </x:c>
      <x:c r="H798" t="n">
        <x:f>IF(E798="","",E798-(D798-1))</x:f>
        <x:v>3</x:v>
      </x:c>
      <x:c r="I798" t="n">
        <x:f>IF(H798&gt;0,1,0)</x:f>
        <x:v>1</x:v>
      </x:c>
      <x:c r="J798" t="n">
        <x:f>IF(OR(I798=0,F798="",F798=0),"",H798/F798)</x:f>
        <x:v>2.142857142857143</x:v>
      </x:c>
      <x:c r="K798" t="n">
        <x:f>IF(OR(I798=0,H798=0,F798=""),"",F798/H798)</x:f>
        <x:v>0.4666666666666666</x:v>
      </x:c>
      <x:c r="L798" t="str">
        <x:f>IF(OR(I798=0,F798="",G798="",F798=0,G798=0),"",H798/(F798*G798))</x:f>
      </x:c>
      <x:c r="M798" t="n">
        <x:f>IF(J798="","",J798/_xlfn.MAXIFS($J:$J,$D:$D,D798))</x:f>
        <x:v>0.03979591836734694</x:v>
      </x:c>
      <x:c r="N798" t="str">
        <x:f>IF(L798="","",L798/_xlfn.MAXIFS($L:$L,$D:$D,D798))</x:f>
      </x:c>
      <x:c r="O798" t="str">
        <x:f>IF(OR(M798="",N798=""),"",SQRT(M798*N798))</x:f>
      </x:c>
      <x:c r="P798" t="str">
        <x:f>IF(OR(M798="",N798=""),"",M798^0.7*N798^0.3)</x:f>
      </x:c>
      <x:c r="Q798" t="str">
        <x:f>IF(OR(M798="",N798=""),"",M798^0.3*N798^0.7)</x:f>
      </x:c>
    </x:row>
    <x:row r="799" s="14" customFormat="1">
      <x:c r="A799" t="inlineStr">
        <x:is>
          <x:t xml:space="preserve">openai|gpt-5-6-terra|max|reasoning|fallback-na</x:t>
        </x:is>
      </x:c>
      <x:c r="B799" t="inlineStr">
        <x:is>
          <x:t xml:space="preserve">AA|v4.3.2</x:t>
        </x:is>
      </x:c>
      <x:c r="C799" t="n">
        <x:v>101</x:v>
      </x:c>
      <x:c r="D799" t="n">
        <x:v>45</x:v>
      </x:c>
      <x:c r="E799" t="n">
        <x:f>INDEX(Model_TestVersion_Stats!$W:$W,C799)</x:f>
        <x:v>42</x:v>
      </x:c>
      <x:c r="F799" t="n">
        <x:f>INDEX(Model_TestVersion_Stats!$O:$O,C799)</x:f>
        <x:v>1.4</x:v>
      </x:c>
      <x:c r="G799" t="str">
        <x:f>IF(INDEX(Model_TestVersion_Stats!$R:$R,C799)="","",INDEX(Model_TestVersion_Stats!$R:$R,C799)/60)</x:f>
      </x:c>
      <x:c r="H799" t="n">
        <x:f>IF(E799="","",E799-(D799-1))</x:f>
        <x:v>-2</x:v>
      </x:c>
      <x:c r="I799" t="n">
        <x:f>IF(H799&gt;0,1,0)</x:f>
        <x:v>0</x:v>
      </x:c>
      <x:c r="J799" t="str">
        <x:f>IF(OR(I799=0,F799="",F799=0),"",H799/F799)</x:f>
      </x:c>
      <x:c r="K799" t="str">
        <x:f>IF(OR(I799=0,H799=0,F799=""),"",F799/H799)</x:f>
      </x:c>
      <x:c r="L799" t="str">
        <x:f>IF(OR(I799=0,F799="",G799="",F799=0,G799=0),"",H799/(F799*G799))</x:f>
      </x:c>
      <x:c r="M799" t="str">
        <x:f>IF(J799="","",J799/_xlfn.MAXIFS($J:$J,$D:$D,D799))</x:f>
      </x:c>
      <x:c r="N799" t="str">
        <x:f>IF(L799="","",L799/_xlfn.MAXIFS($L:$L,$D:$D,D799))</x:f>
      </x:c>
      <x:c r="O799" t="str">
        <x:f>IF(OR(M799="",N799=""),"",SQRT(M799*N799))</x:f>
      </x:c>
      <x:c r="P799" t="str">
        <x:f>IF(OR(M799="",N799=""),"",M799^0.7*N799^0.3)</x:f>
      </x:c>
      <x:c r="Q799" t="str">
        <x:f>IF(OR(M799="",N799=""),"",M799^0.3*N799^0.7)</x:f>
      </x:c>
    </x:row>
    <x:row r="800" s="14" customFormat="1">
      <x:c r="A800" t="inlineStr">
        <x:is>
          <x:t xml:space="preserve">openai|gpt-5-6-terra|max|reasoning|fallback-na</x:t>
        </x:is>
      </x:c>
      <x:c r="B800" t="inlineStr">
        <x:is>
          <x:t xml:space="preserve">AA|v4.3.2</x:t>
        </x:is>
      </x:c>
      <x:c r="C800" t="n">
        <x:v>101</x:v>
      </x:c>
      <x:c r="D800" t="n">
        <x:v>50</x:v>
      </x:c>
      <x:c r="E800" t="n">
        <x:f>INDEX(Model_TestVersion_Stats!$W:$W,C800)</x:f>
        <x:v>42</x:v>
      </x:c>
      <x:c r="F800" t="n">
        <x:f>INDEX(Model_TestVersion_Stats!$O:$O,C800)</x:f>
        <x:v>1.4</x:v>
      </x:c>
      <x:c r="G800" t="str">
        <x:f>IF(INDEX(Model_TestVersion_Stats!$R:$R,C800)="","",INDEX(Model_TestVersion_Stats!$R:$R,C800)/60)</x:f>
      </x:c>
      <x:c r="H800" t="n">
        <x:f>IF(E800="","",E800-(D800-1))</x:f>
        <x:v>-7</x:v>
      </x:c>
      <x:c r="I800" t="n">
        <x:f>IF(H800&gt;0,1,0)</x:f>
        <x:v>0</x:v>
      </x:c>
      <x:c r="J800" t="str">
        <x:f>IF(OR(I800=0,F800="",F800=0),"",H800/F800)</x:f>
      </x:c>
      <x:c r="K800" t="str">
        <x:f>IF(OR(I800=0,H800=0,F800=""),"",F800/H800)</x:f>
      </x:c>
      <x:c r="L800" t="str">
        <x:f>IF(OR(I800=0,F800="",G800="",F800=0,G800=0),"",H800/(F800*G800))</x:f>
      </x:c>
      <x:c r="M800" t="str">
        <x:f>IF(J800="","",J800/_xlfn.MAXIFS($J:$J,$D:$D,D800))</x:f>
      </x:c>
      <x:c r="N800" t="str">
        <x:f>IF(L800="","",L800/_xlfn.MAXIFS($L:$L,$D:$D,D800))</x:f>
      </x:c>
      <x:c r="O800" t="str">
        <x:f>IF(OR(M800="",N800=""),"",SQRT(M800*N800))</x:f>
      </x:c>
      <x:c r="P800" t="str">
        <x:f>IF(OR(M800="",N800=""),"",M800^0.7*N800^0.3)</x:f>
      </x:c>
      <x:c r="Q800" t="str">
        <x:f>IF(OR(M800="",N800=""),"",M800^0.3*N800^0.7)</x:f>
      </x:c>
    </x:row>
    <x:row r="801" s="14" customFormat="1">
      <x:c r="A801" t="inlineStr">
        <x:is>
          <x:t xml:space="preserve">openai|gpt-5-6-terra|max|reasoning|fallback-na</x:t>
        </x:is>
      </x:c>
      <x:c r="B801" t="inlineStr">
        <x:is>
          <x:t xml:space="preserve">AA|v4.3.2</x:t>
        </x:is>
      </x:c>
      <x:c r="C801" t="n">
        <x:v>101</x:v>
      </x:c>
      <x:c r="D801" t="n">
        <x:v>60</x:v>
      </x:c>
      <x:c r="E801" t="n">
        <x:f>INDEX(Model_TestVersion_Stats!$W:$W,C801)</x:f>
        <x:v>42</x:v>
      </x:c>
      <x:c r="F801" t="n">
        <x:f>INDEX(Model_TestVersion_Stats!$O:$O,C801)</x:f>
        <x:v>1.4</x:v>
      </x:c>
      <x:c r="G801" t="str">
        <x:f>IF(INDEX(Model_TestVersion_Stats!$R:$R,C801)="","",INDEX(Model_TestVersion_Stats!$R:$R,C801)/60)</x:f>
      </x:c>
      <x:c r="H801" t="n">
        <x:f>IF(E801="","",E801-(D801-1))</x:f>
        <x:v>-17</x:v>
      </x:c>
      <x:c r="I801" t="n">
        <x:f>IF(H801&gt;0,1,0)</x:f>
        <x:v>0</x:v>
      </x:c>
      <x:c r="J801" t="str">
        <x:f>IF(OR(I801=0,F801="",F801=0),"",H801/F801)</x:f>
      </x:c>
      <x:c r="K801" t="str">
        <x:f>IF(OR(I801=0,H801=0,F801=""),"",F801/H801)</x:f>
      </x:c>
      <x:c r="L801" t="str">
        <x:f>IF(OR(I801=0,F801="",G801="",F801=0,G801=0),"",H801/(F801*G801))</x:f>
      </x:c>
      <x:c r="M801" t="str">
        <x:f>IF(J801="","",J801/_xlfn.MAXIFS($J:$J,$D:$D,D801))</x:f>
      </x:c>
      <x:c r="N801" t="str">
        <x:f>IF(L801="","",L801/_xlfn.MAXIFS($L:$L,$D:$D,D801))</x:f>
      </x:c>
      <x:c r="O801" t="str">
        <x:f>IF(OR(M801="",N801=""),"",SQRT(M801*N801))</x:f>
      </x:c>
      <x:c r="P801" t="str">
        <x:f>IF(OR(M801="",N801=""),"",M801^0.7*N801^0.3)</x:f>
      </x:c>
      <x:c r="Q801" t="str">
        <x:f>IF(OR(M801="",N801=""),"",M801^0.3*N801^0.7)</x:f>
      </x:c>
    </x:row>
    <x:row r="802" s="14" customFormat="1">
      <x:c r="A802" t="inlineStr">
        <x:is>
          <x:t xml:space="preserve">openai|gpt-5-6-terra|xhigh|reasoning|fallback-na</x:t>
        </x:is>
      </x:c>
      <x:c r="B802" t="inlineStr">
        <x:is>
          <x:t xml:space="preserve">AA|v4.3.2</x:t>
        </x:is>
      </x:c>
      <x:c r="C802" t="n">
        <x:v>102</x:v>
      </x:c>
      <x:c r="D802" t="n">
        <x:v>10</x:v>
      </x:c>
      <x:c r="E802" t="n">
        <x:f>INDEX(Model_TestVersion_Stats!$W:$W,C802)</x:f>
        <x:v>38</x:v>
      </x:c>
      <x:c r="F802" t="n">
        <x:f>INDEX(Model_TestVersion_Stats!$O:$O,C802)</x:f>
        <x:v>0.63</x:v>
      </x:c>
      <x:c r="G802" t="str">
        <x:f>IF(INDEX(Model_TestVersion_Stats!$R:$R,C802)="","",INDEX(Model_TestVersion_Stats!$R:$R,C802)/60)</x:f>
      </x:c>
      <x:c r="H802" t="n">
        <x:f>IF(E802="","",E802-(D802-1))</x:f>
        <x:v>29</x:v>
      </x:c>
      <x:c r="I802" t="n">
        <x:f>IF(H802&gt;0,1,0)</x:f>
        <x:v>1</x:v>
      </x:c>
      <x:c r="J802" t="n">
        <x:f>IF(OR(I802=0,F802="",F802=0),"",H802/F802)</x:f>
        <x:v>46.03174603174603</x:v>
      </x:c>
      <x:c r="K802" t="n">
        <x:f>IF(OR(I802=0,H802=0,F802=""),"",F802/H802)</x:f>
        <x:v>0.021724137931034483</x:v>
      </x:c>
      <x:c r="L802" t="str">
        <x:f>IF(OR(I802=0,F802="",G802="",F802=0,G802=0),"",H802/(F802*G802))</x:f>
      </x:c>
      <x:c r="M802" t="n">
        <x:f>IF(J802="","",J802/_xlfn.MAXIFS($J:$J,$D:$D,D802))</x:f>
        <x:v>0.046031746031746035</x:v>
      </x:c>
      <x:c r="N802" t="str">
        <x:f>IF(L802="","",L802/_xlfn.MAXIFS($L:$L,$D:$D,D802))</x:f>
      </x:c>
      <x:c r="O802" t="str">
        <x:f>IF(OR(M802="",N802=""),"",SQRT(M802*N802))</x:f>
      </x:c>
      <x:c r="P802" t="str">
        <x:f>IF(OR(M802="",N802=""),"",M802^0.7*N802^0.3)</x:f>
      </x:c>
      <x:c r="Q802" t="str">
        <x:f>IF(OR(M802="",N802=""),"",M802^0.3*N802^0.7)</x:f>
      </x:c>
    </x:row>
    <x:row r="803" s="14" customFormat="1">
      <x:c r="A803" t="inlineStr">
        <x:is>
          <x:t xml:space="preserve">openai|gpt-5-6-terra|xhigh|reasoning|fallback-na</x:t>
        </x:is>
      </x:c>
      <x:c r="B803" t="inlineStr">
        <x:is>
          <x:t xml:space="preserve">AA|v4.3.2</x:t>
        </x:is>
      </x:c>
      <x:c r="C803" t="n">
        <x:v>102</x:v>
      </x:c>
      <x:c r="D803" t="n">
        <x:v>20</x:v>
      </x:c>
      <x:c r="E803" t="n">
        <x:f>INDEX(Model_TestVersion_Stats!$W:$W,C803)</x:f>
        <x:v>38</x:v>
      </x:c>
      <x:c r="F803" t="n">
        <x:f>INDEX(Model_TestVersion_Stats!$O:$O,C803)</x:f>
        <x:v>0.63</x:v>
      </x:c>
      <x:c r="G803" t="str">
        <x:f>IF(INDEX(Model_TestVersion_Stats!$R:$R,C803)="","",INDEX(Model_TestVersion_Stats!$R:$R,C803)/60)</x:f>
      </x:c>
      <x:c r="H803" t="n">
        <x:f>IF(E803="","",E803-(D803-1))</x:f>
        <x:v>19</x:v>
      </x:c>
      <x:c r="I803" t="n">
        <x:f>IF(H803&gt;0,1,0)</x:f>
        <x:v>1</x:v>
      </x:c>
      <x:c r="J803" t="n">
        <x:f>IF(OR(I803=0,F803="",F803=0),"",H803/F803)</x:f>
        <x:v>30.158730158730158</x:v>
      </x:c>
      <x:c r="K803" t="n">
        <x:f>IF(OR(I803=0,H803=0,F803=""),"",F803/H803)</x:f>
        <x:v>0.03315789473684211</x:v>
      </x:c>
      <x:c r="L803" t="str">
        <x:f>IF(OR(I803=0,F803="",G803="",F803=0,G803=0),"",H803/(F803*G803))</x:f>
      </x:c>
      <x:c r="M803" t="n">
        <x:f>IF(J803="","",J803/_xlfn.MAXIFS($J:$J,$D:$D,D803))</x:f>
        <x:v>0.054285714285714284</x:v>
      </x:c>
      <x:c r="N803" t="str">
        <x:f>IF(L803="","",L803/_xlfn.MAXIFS($L:$L,$D:$D,D803))</x:f>
      </x:c>
      <x:c r="O803" t="str">
        <x:f>IF(OR(M803="",N803=""),"",SQRT(M803*N803))</x:f>
      </x:c>
      <x:c r="P803" t="str">
        <x:f>IF(OR(M803="",N803=""),"",M803^0.7*N803^0.3)</x:f>
      </x:c>
      <x:c r="Q803" t="str">
        <x:f>IF(OR(M803="",N803=""),"",M803^0.3*N803^0.7)</x:f>
      </x:c>
    </x:row>
    <x:row r="804" s="14" customFormat="1">
      <x:c r="A804" t="inlineStr">
        <x:is>
          <x:t xml:space="preserve">openai|gpt-5-6-terra|xhigh|reasoning|fallback-na</x:t>
        </x:is>
      </x:c>
      <x:c r="B804" t="inlineStr">
        <x:is>
          <x:t xml:space="preserve">AA|v4.3.2</x:t>
        </x:is>
      </x:c>
      <x:c r="C804" t="n">
        <x:v>102</x:v>
      </x:c>
      <x:c r="D804" t="n">
        <x:v>30</x:v>
      </x:c>
      <x:c r="E804" t="n">
        <x:f>INDEX(Model_TestVersion_Stats!$W:$W,C804)</x:f>
        <x:v>38</x:v>
      </x:c>
      <x:c r="F804" t="n">
        <x:f>INDEX(Model_TestVersion_Stats!$O:$O,C804)</x:f>
        <x:v>0.63</x:v>
      </x:c>
      <x:c r="G804" t="str">
        <x:f>IF(INDEX(Model_TestVersion_Stats!$R:$R,C804)="","",INDEX(Model_TestVersion_Stats!$R:$R,C804)/60)</x:f>
      </x:c>
      <x:c r="H804" t="n">
        <x:f>IF(E804="","",E804-(D804-1))</x:f>
        <x:v>9</x:v>
      </x:c>
      <x:c r="I804" t="n">
        <x:f>IF(H804&gt;0,1,0)</x:f>
        <x:v>1</x:v>
      </x:c>
      <x:c r="J804" t="n">
        <x:f>IF(OR(I804=0,F804="",F804=0),"",H804/F804)</x:f>
        <x:v>14.285714285714286</x:v>
      </x:c>
      <x:c r="K804" t="n">
        <x:f>IF(OR(I804=0,H804=0,F804=""),"",F804/H804)</x:f>
        <x:v>0.07</x:v>
      </x:c>
      <x:c r="L804" t="str">
        <x:f>IF(OR(I804=0,F804="",G804="",F804=0,G804=0),"",H804/(F804*G804))</x:f>
      </x:c>
      <x:c r="M804" t="n">
        <x:f>IF(J804="","",J804/_xlfn.MAXIFS($J:$J,$D:$D,D804))</x:f>
        <x:v>0.09523809523809525</x:v>
      </x:c>
      <x:c r="N804" t="str">
        <x:f>IF(L804="","",L804/_xlfn.MAXIFS($L:$L,$D:$D,D804))</x:f>
      </x:c>
      <x:c r="O804" t="str">
        <x:f>IF(OR(M804="",N804=""),"",SQRT(M804*N804))</x:f>
      </x:c>
      <x:c r="P804" t="str">
        <x:f>IF(OR(M804="",N804=""),"",M804^0.7*N804^0.3)</x:f>
      </x:c>
      <x:c r="Q804" t="str">
        <x:f>IF(OR(M804="",N804=""),"",M804^0.3*N804^0.7)</x:f>
      </x:c>
    </x:row>
    <x:row r="805" s="14" customFormat="1">
      <x:c r="A805" t="inlineStr">
        <x:is>
          <x:t xml:space="preserve">openai|gpt-5-6-terra|xhigh|reasoning|fallback-na</x:t>
        </x:is>
      </x:c>
      <x:c r="B805" t="inlineStr">
        <x:is>
          <x:t xml:space="preserve">AA|v4.3.2</x:t>
        </x:is>
      </x:c>
      <x:c r="C805" t="n">
        <x:v>102</x:v>
      </x:c>
      <x:c r="D805" t="n">
        <x:v>35</x:v>
      </x:c>
      <x:c r="E805" t="n">
        <x:f>INDEX(Model_TestVersion_Stats!$W:$W,C805)</x:f>
        <x:v>38</x:v>
      </x:c>
      <x:c r="F805" t="n">
        <x:f>INDEX(Model_TestVersion_Stats!$O:$O,C805)</x:f>
        <x:v>0.63</x:v>
      </x:c>
      <x:c r="G805" t="str">
        <x:f>IF(INDEX(Model_TestVersion_Stats!$R:$R,C805)="","",INDEX(Model_TestVersion_Stats!$R:$R,C805)/60)</x:f>
      </x:c>
      <x:c r="H805" t="n">
        <x:f>IF(E805="","",E805-(D805-1))</x:f>
        <x:v>4</x:v>
      </x:c>
      <x:c r="I805" t="n">
        <x:f>IF(H805&gt;0,1,0)</x:f>
        <x:v>1</x:v>
      </x:c>
      <x:c r="J805" t="n">
        <x:f>IF(OR(I805=0,F805="",F805=0),"",H805/F805)</x:f>
        <x:v>6.349206349206349</x:v>
      </x:c>
      <x:c r="K805" t="n">
        <x:f>IF(OR(I805=0,H805=0,F805=""),"",F805/H805)</x:f>
        <x:v>0.1575</x:v>
      </x:c>
      <x:c r="L805" t="str">
        <x:f>IF(OR(I805=0,F805="",G805="",F805=0,G805=0),"",H805/(F805*G805))</x:f>
      </x:c>
      <x:c r="M805" t="n">
        <x:f>IF(J805="","",J805/_xlfn.MAXIFS($J:$J,$D:$D,D805))</x:f>
        <x:v>0.06878306878306878</x:v>
      </x:c>
      <x:c r="N805" t="str">
        <x:f>IF(L805="","",L805/_xlfn.MAXIFS($L:$L,$D:$D,D805))</x:f>
      </x:c>
      <x:c r="O805" t="str">
        <x:f>IF(OR(M805="",N805=""),"",SQRT(M805*N805))</x:f>
      </x:c>
      <x:c r="P805" t="str">
        <x:f>IF(OR(M805="",N805=""),"",M805^0.7*N805^0.3)</x:f>
      </x:c>
      <x:c r="Q805" t="str">
        <x:f>IF(OR(M805="",N805=""),"",M805^0.3*N805^0.7)</x:f>
      </x:c>
    </x:row>
    <x:row r="806" s="14" customFormat="1">
      <x:c r="A806" t="inlineStr">
        <x:is>
          <x:t xml:space="preserve">openai|gpt-5-6-terra|xhigh|reasoning|fallback-na</x:t>
        </x:is>
      </x:c>
      <x:c r="B806" t="inlineStr">
        <x:is>
          <x:t xml:space="preserve">AA|v4.3.2</x:t>
        </x:is>
      </x:c>
      <x:c r="C806" t="n">
        <x:v>102</x:v>
      </x:c>
      <x:c r="D806" t="n">
        <x:v>40</x:v>
      </x:c>
      <x:c r="E806" t="n">
        <x:f>INDEX(Model_TestVersion_Stats!$W:$W,C806)</x:f>
        <x:v>38</x:v>
      </x:c>
      <x:c r="F806" t="n">
        <x:f>INDEX(Model_TestVersion_Stats!$O:$O,C806)</x:f>
        <x:v>0.63</x:v>
      </x:c>
      <x:c r="G806" t="str">
        <x:f>IF(INDEX(Model_TestVersion_Stats!$R:$R,C806)="","",INDEX(Model_TestVersion_Stats!$R:$R,C806)/60)</x:f>
      </x:c>
      <x:c r="H806" t="n">
        <x:f>IF(E806="","",E806-(D806-1))</x:f>
        <x:v>-1</x:v>
      </x:c>
      <x:c r="I806" t="n">
        <x:f>IF(H806&gt;0,1,0)</x:f>
        <x:v>0</x:v>
      </x:c>
      <x:c r="J806" t="str">
        <x:f>IF(OR(I806=0,F806="",F806=0),"",H806/F806)</x:f>
      </x:c>
      <x:c r="K806" t="str">
        <x:f>IF(OR(I806=0,H806=0,F806=""),"",F806/H806)</x:f>
      </x:c>
      <x:c r="L806" t="str">
        <x:f>IF(OR(I806=0,F806="",G806="",F806=0,G806=0),"",H806/(F806*G806))</x:f>
      </x:c>
      <x:c r="M806" t="str">
        <x:f>IF(J806="","",J806/_xlfn.MAXIFS($J:$J,$D:$D,D806))</x:f>
      </x:c>
      <x:c r="N806" t="str">
        <x:f>IF(L806="","",L806/_xlfn.MAXIFS($L:$L,$D:$D,D806))</x:f>
      </x:c>
      <x:c r="O806" t="str">
        <x:f>IF(OR(M806="",N806=""),"",SQRT(M806*N806))</x:f>
      </x:c>
      <x:c r="P806" t="str">
        <x:f>IF(OR(M806="",N806=""),"",M806^0.7*N806^0.3)</x:f>
      </x:c>
      <x:c r="Q806" t="str">
        <x:f>IF(OR(M806="",N806=""),"",M806^0.3*N806^0.7)</x:f>
      </x:c>
    </x:row>
    <x:row r="807" s="14" customFormat="1">
      <x:c r="A807" t="inlineStr">
        <x:is>
          <x:t xml:space="preserve">openai|gpt-5-6-terra|xhigh|reasoning|fallback-na</x:t>
        </x:is>
      </x:c>
      <x:c r="B807" t="inlineStr">
        <x:is>
          <x:t xml:space="preserve">AA|v4.3.2</x:t>
        </x:is>
      </x:c>
      <x:c r="C807" t="n">
        <x:v>102</x:v>
      </x:c>
      <x:c r="D807" t="n">
        <x:v>45</x:v>
      </x:c>
      <x:c r="E807" t="n">
        <x:f>INDEX(Model_TestVersion_Stats!$W:$W,C807)</x:f>
        <x:v>38</x:v>
      </x:c>
      <x:c r="F807" t="n">
        <x:f>INDEX(Model_TestVersion_Stats!$O:$O,C807)</x:f>
        <x:v>0.63</x:v>
      </x:c>
      <x:c r="G807" t="str">
        <x:f>IF(INDEX(Model_TestVersion_Stats!$R:$R,C807)="","",INDEX(Model_TestVersion_Stats!$R:$R,C807)/60)</x:f>
      </x:c>
      <x:c r="H807" t="n">
        <x:f>IF(E807="","",E807-(D807-1))</x:f>
        <x:v>-6</x:v>
      </x:c>
      <x:c r="I807" t="n">
        <x:f>IF(H807&gt;0,1,0)</x:f>
        <x:v>0</x:v>
      </x:c>
      <x:c r="J807" t="str">
        <x:f>IF(OR(I807=0,F807="",F807=0),"",H807/F807)</x:f>
      </x:c>
      <x:c r="K807" t="str">
        <x:f>IF(OR(I807=0,H807=0,F807=""),"",F807/H807)</x:f>
      </x:c>
      <x:c r="L807" t="str">
        <x:f>IF(OR(I807=0,F807="",G807="",F807=0,G807=0),"",H807/(F807*G807))</x:f>
      </x:c>
      <x:c r="M807" t="str">
        <x:f>IF(J807="","",J807/_xlfn.MAXIFS($J:$J,$D:$D,D807))</x:f>
      </x:c>
      <x:c r="N807" t="str">
        <x:f>IF(L807="","",L807/_xlfn.MAXIFS($L:$L,$D:$D,D807))</x:f>
      </x:c>
      <x:c r="O807" t="str">
        <x:f>IF(OR(M807="",N807=""),"",SQRT(M807*N807))</x:f>
      </x:c>
      <x:c r="P807" t="str">
        <x:f>IF(OR(M807="",N807=""),"",M807^0.7*N807^0.3)</x:f>
      </x:c>
      <x:c r="Q807" t="str">
        <x:f>IF(OR(M807="",N807=""),"",M807^0.3*N807^0.7)</x:f>
      </x:c>
    </x:row>
    <x:row r="808" s="14" customFormat="1">
      <x:c r="A808" t="inlineStr">
        <x:is>
          <x:t xml:space="preserve">openai|gpt-5-6-terra|xhigh|reasoning|fallback-na</x:t>
        </x:is>
      </x:c>
      <x:c r="B808" t="inlineStr">
        <x:is>
          <x:t xml:space="preserve">AA|v4.3.2</x:t>
        </x:is>
      </x:c>
      <x:c r="C808" t="n">
        <x:v>102</x:v>
      </x:c>
      <x:c r="D808" t="n">
        <x:v>50</x:v>
      </x:c>
      <x:c r="E808" t="n">
        <x:f>INDEX(Model_TestVersion_Stats!$W:$W,C808)</x:f>
        <x:v>38</x:v>
      </x:c>
      <x:c r="F808" t="n">
        <x:f>INDEX(Model_TestVersion_Stats!$O:$O,C808)</x:f>
        <x:v>0.63</x:v>
      </x:c>
      <x:c r="G808" t="str">
        <x:f>IF(INDEX(Model_TestVersion_Stats!$R:$R,C808)="","",INDEX(Model_TestVersion_Stats!$R:$R,C808)/60)</x:f>
      </x:c>
      <x:c r="H808" t="n">
        <x:f>IF(E808="","",E808-(D808-1))</x:f>
        <x:v>-11</x:v>
      </x:c>
      <x:c r="I808" t="n">
        <x:f>IF(H808&gt;0,1,0)</x:f>
        <x:v>0</x:v>
      </x:c>
      <x:c r="J808" t="str">
        <x:f>IF(OR(I808=0,F808="",F808=0),"",H808/F808)</x:f>
      </x:c>
      <x:c r="K808" t="str">
        <x:f>IF(OR(I808=0,H808=0,F808=""),"",F808/H808)</x:f>
      </x:c>
      <x:c r="L808" t="str">
        <x:f>IF(OR(I808=0,F808="",G808="",F808=0,G808=0),"",H808/(F808*G808))</x:f>
      </x:c>
      <x:c r="M808" t="str">
        <x:f>IF(J808="","",J808/_xlfn.MAXIFS($J:$J,$D:$D,D808))</x:f>
      </x:c>
      <x:c r="N808" t="str">
        <x:f>IF(L808="","",L808/_xlfn.MAXIFS($L:$L,$D:$D,D808))</x:f>
      </x:c>
      <x:c r="O808" t="str">
        <x:f>IF(OR(M808="",N808=""),"",SQRT(M808*N808))</x:f>
      </x:c>
      <x:c r="P808" t="str">
        <x:f>IF(OR(M808="",N808=""),"",M808^0.7*N808^0.3)</x:f>
      </x:c>
      <x:c r="Q808" t="str">
        <x:f>IF(OR(M808="",N808=""),"",M808^0.3*N808^0.7)</x:f>
      </x:c>
    </x:row>
    <x:row r="809" s="14" customFormat="1">
      <x:c r="A809" t="inlineStr">
        <x:is>
          <x:t xml:space="preserve">openai|gpt-5-6-terra|xhigh|reasoning|fallback-na</x:t>
        </x:is>
      </x:c>
      <x:c r="B809" t="inlineStr">
        <x:is>
          <x:t xml:space="preserve">AA|v4.3.2</x:t>
        </x:is>
      </x:c>
      <x:c r="C809" t="n">
        <x:v>102</x:v>
      </x:c>
      <x:c r="D809" t="n">
        <x:v>60</x:v>
      </x:c>
      <x:c r="E809" t="n">
        <x:f>INDEX(Model_TestVersion_Stats!$W:$W,C809)</x:f>
        <x:v>38</x:v>
      </x:c>
      <x:c r="F809" t="n">
        <x:f>INDEX(Model_TestVersion_Stats!$O:$O,C809)</x:f>
        <x:v>0.63</x:v>
      </x:c>
      <x:c r="G809" t="str">
        <x:f>IF(INDEX(Model_TestVersion_Stats!$R:$R,C809)="","",INDEX(Model_TestVersion_Stats!$R:$R,C809)/60)</x:f>
      </x:c>
      <x:c r="H809" t="n">
        <x:f>IF(E809="","",E809-(D809-1))</x:f>
        <x:v>-21</x:v>
      </x:c>
      <x:c r="I809" t="n">
        <x:f>IF(H809&gt;0,1,0)</x:f>
        <x:v>0</x:v>
      </x:c>
      <x:c r="J809" t="str">
        <x:f>IF(OR(I809=0,F809="",F809=0),"",H809/F809)</x:f>
      </x:c>
      <x:c r="K809" t="str">
        <x:f>IF(OR(I809=0,H809=0,F809=""),"",F809/H809)</x:f>
      </x:c>
      <x:c r="L809" t="str">
        <x:f>IF(OR(I809=0,F809="",G809="",F809=0,G809=0),"",H809/(F809*G809))</x:f>
      </x:c>
      <x:c r="M809" t="str">
        <x:f>IF(J809="","",J809/_xlfn.MAXIFS($J:$J,$D:$D,D809))</x:f>
      </x:c>
      <x:c r="N809" t="str">
        <x:f>IF(L809="","",L809/_xlfn.MAXIFS($L:$L,$D:$D,D809))</x:f>
      </x:c>
      <x:c r="O809" t="str">
        <x:f>IF(OR(M809="",N809=""),"",SQRT(M809*N809))</x:f>
      </x:c>
      <x:c r="P809" t="str">
        <x:f>IF(OR(M809="",N809=""),"",M809^0.7*N809^0.3)</x:f>
      </x:c>
      <x:c r="Q809" t="str">
        <x:f>IF(OR(M809="",N809=""),"",M809^0.3*N809^0.7)</x:f>
      </x:c>
    </x:row>
    <x:row r="810" s="14" customFormat="1">
      <x:c r="A810" t="inlineStr">
        <x:is>
          <x:t xml:space="preserve">openai|gpt-5-6-terra|high|reasoning|fallback-na</x:t>
        </x:is>
      </x:c>
      <x:c r="B810" t="inlineStr">
        <x:is>
          <x:t xml:space="preserve">AA|v4.3.2</x:t>
        </x:is>
      </x:c>
      <x:c r="C810" t="n">
        <x:v>103</x:v>
      </x:c>
      <x:c r="D810" t="n">
        <x:v>10</x:v>
      </x:c>
      <x:c r="E810" t="n">
        <x:f>INDEX(Model_TestVersion_Stats!$W:$W,C810)</x:f>
        <x:v>34</x:v>
      </x:c>
      <x:c r="F810" t="n">
        <x:f>INDEX(Model_TestVersion_Stats!$O:$O,C810)</x:f>
        <x:v>0.34</x:v>
      </x:c>
      <x:c r="G810" t="str">
        <x:f>IF(INDEX(Model_TestVersion_Stats!$R:$R,C810)="","",INDEX(Model_TestVersion_Stats!$R:$R,C810)/60)</x:f>
      </x:c>
      <x:c r="H810" t="n">
        <x:f>IF(E810="","",E810-(D810-1))</x:f>
        <x:v>25</x:v>
      </x:c>
      <x:c r="I810" t="n">
        <x:f>IF(H810&gt;0,1,0)</x:f>
        <x:v>1</x:v>
      </x:c>
      <x:c r="J810" t="n">
        <x:f>IF(OR(I810=0,F810="",F810=0),"",H810/F810)</x:f>
        <x:v>73.52941176470588</x:v>
      </x:c>
      <x:c r="K810" t="n">
        <x:f>IF(OR(I810=0,H810=0,F810=""),"",F810/H810)</x:f>
        <x:v>0.013600000000000001</x:v>
      </x:c>
      <x:c r="L810" t="str">
        <x:f>IF(OR(I810=0,F810="",G810="",F810=0,G810=0),"",H810/(F810*G810))</x:f>
      </x:c>
      <x:c r="M810" t="n">
        <x:f>IF(J810="","",J810/_xlfn.MAXIFS($J:$J,$D:$D,D810))</x:f>
        <x:v>0.07352941176470588</x:v>
      </x:c>
      <x:c r="N810" t="str">
        <x:f>IF(L810="","",L810/_xlfn.MAXIFS($L:$L,$D:$D,D810))</x:f>
      </x:c>
      <x:c r="O810" t="str">
        <x:f>IF(OR(M810="",N810=""),"",SQRT(M810*N810))</x:f>
      </x:c>
      <x:c r="P810" t="str">
        <x:f>IF(OR(M810="",N810=""),"",M810^0.7*N810^0.3)</x:f>
      </x:c>
      <x:c r="Q810" t="str">
        <x:f>IF(OR(M810="",N810=""),"",M810^0.3*N810^0.7)</x:f>
      </x:c>
    </x:row>
    <x:row r="811" s="14" customFormat="1">
      <x:c r="A811" t="inlineStr">
        <x:is>
          <x:t xml:space="preserve">openai|gpt-5-6-terra|high|reasoning|fallback-na</x:t>
        </x:is>
      </x:c>
      <x:c r="B811" t="inlineStr">
        <x:is>
          <x:t xml:space="preserve">AA|v4.3.2</x:t>
        </x:is>
      </x:c>
      <x:c r="C811" t="n">
        <x:v>103</x:v>
      </x:c>
      <x:c r="D811" t="n">
        <x:v>20</x:v>
      </x:c>
      <x:c r="E811" t="n">
        <x:f>INDEX(Model_TestVersion_Stats!$W:$W,C811)</x:f>
        <x:v>34</x:v>
      </x:c>
      <x:c r="F811" t="n">
        <x:f>INDEX(Model_TestVersion_Stats!$O:$O,C811)</x:f>
        <x:v>0.34</x:v>
      </x:c>
      <x:c r="G811" t="str">
        <x:f>IF(INDEX(Model_TestVersion_Stats!$R:$R,C811)="","",INDEX(Model_TestVersion_Stats!$R:$R,C811)/60)</x:f>
      </x:c>
      <x:c r="H811" t="n">
        <x:f>IF(E811="","",E811-(D811-1))</x:f>
        <x:v>15</x:v>
      </x:c>
      <x:c r="I811" t="n">
        <x:f>IF(H811&gt;0,1,0)</x:f>
        <x:v>1</x:v>
      </x:c>
      <x:c r="J811" t="n">
        <x:f>IF(OR(I811=0,F811="",F811=0),"",H811/F811)</x:f>
        <x:v>44.11764705882353</x:v>
      </x:c>
      <x:c r="K811" t="n">
        <x:f>IF(OR(I811=0,H811=0,F811=""),"",F811/H811)</x:f>
        <x:v>0.02266666666666667</x:v>
      </x:c>
      <x:c r="L811" t="str">
        <x:f>IF(OR(I811=0,F811="",G811="",F811=0,G811=0),"",H811/(F811*G811))</x:f>
      </x:c>
      <x:c r="M811" t="n">
        <x:f>IF(J811="","",J811/_xlfn.MAXIFS($J:$J,$D:$D,D811))</x:f>
        <x:v>0.07941176470588235</x:v>
      </x:c>
      <x:c r="N811" t="str">
        <x:f>IF(L811="","",L811/_xlfn.MAXIFS($L:$L,$D:$D,D811))</x:f>
      </x:c>
      <x:c r="O811" t="str">
        <x:f>IF(OR(M811="",N811=""),"",SQRT(M811*N811))</x:f>
      </x:c>
      <x:c r="P811" t="str">
        <x:f>IF(OR(M811="",N811=""),"",M811^0.7*N811^0.3)</x:f>
      </x:c>
      <x:c r="Q811" t="str">
        <x:f>IF(OR(M811="",N811=""),"",M811^0.3*N811^0.7)</x:f>
      </x:c>
    </x:row>
    <x:row r="812" s="14" customFormat="1">
      <x:c r="A812" t="inlineStr">
        <x:is>
          <x:t xml:space="preserve">openai|gpt-5-6-terra|high|reasoning|fallback-na</x:t>
        </x:is>
      </x:c>
      <x:c r="B812" t="inlineStr">
        <x:is>
          <x:t xml:space="preserve">AA|v4.3.2</x:t>
        </x:is>
      </x:c>
      <x:c r="C812" t="n">
        <x:v>103</x:v>
      </x:c>
      <x:c r="D812" t="n">
        <x:v>30</x:v>
      </x:c>
      <x:c r="E812" t="n">
        <x:f>INDEX(Model_TestVersion_Stats!$W:$W,C812)</x:f>
        <x:v>34</x:v>
      </x:c>
      <x:c r="F812" t="n">
        <x:f>INDEX(Model_TestVersion_Stats!$O:$O,C812)</x:f>
        <x:v>0.34</x:v>
      </x:c>
      <x:c r="G812" t="str">
        <x:f>IF(INDEX(Model_TestVersion_Stats!$R:$R,C812)="","",INDEX(Model_TestVersion_Stats!$R:$R,C812)/60)</x:f>
      </x:c>
      <x:c r="H812" t="n">
        <x:f>IF(E812="","",E812-(D812-1))</x:f>
        <x:v>5</x:v>
      </x:c>
      <x:c r="I812" t="n">
        <x:f>IF(H812&gt;0,1,0)</x:f>
        <x:v>1</x:v>
      </x:c>
      <x:c r="J812" t="n">
        <x:f>IF(OR(I812=0,F812="",F812=0),"",H812/F812)</x:f>
        <x:v>14.705882352941176</x:v>
      </x:c>
      <x:c r="K812" t="n">
        <x:f>IF(OR(I812=0,H812=0,F812=""),"",F812/H812)</x:f>
        <x:v>0.068</x:v>
      </x:c>
      <x:c r="L812" t="str">
        <x:f>IF(OR(I812=0,F812="",G812="",F812=0,G812=0),"",H812/(F812*G812))</x:f>
      </x:c>
      <x:c r="M812" t="n">
        <x:f>IF(J812="","",J812/_xlfn.MAXIFS($J:$J,$D:$D,D812))</x:f>
        <x:v>0.09803921568627451</x:v>
      </x:c>
      <x:c r="N812" t="str">
        <x:f>IF(L812="","",L812/_xlfn.MAXIFS($L:$L,$D:$D,D812))</x:f>
      </x:c>
      <x:c r="O812" t="str">
        <x:f>IF(OR(M812="",N812=""),"",SQRT(M812*N812))</x:f>
      </x:c>
      <x:c r="P812" t="str">
        <x:f>IF(OR(M812="",N812=""),"",M812^0.7*N812^0.3)</x:f>
      </x:c>
      <x:c r="Q812" t="str">
        <x:f>IF(OR(M812="",N812=""),"",M812^0.3*N812^0.7)</x:f>
      </x:c>
    </x:row>
    <x:row r="813" s="14" customFormat="1">
      <x:c r="A813" t="inlineStr">
        <x:is>
          <x:t xml:space="preserve">openai|gpt-5-6-terra|high|reasoning|fallback-na</x:t>
        </x:is>
      </x:c>
      <x:c r="B813" t="inlineStr">
        <x:is>
          <x:t xml:space="preserve">AA|v4.3.2</x:t>
        </x:is>
      </x:c>
      <x:c r="C813" t="n">
        <x:v>103</x:v>
      </x:c>
      <x:c r="D813" t="n">
        <x:v>35</x:v>
      </x:c>
      <x:c r="E813" t="n">
        <x:f>INDEX(Model_TestVersion_Stats!$W:$W,C813)</x:f>
        <x:v>34</x:v>
      </x:c>
      <x:c r="F813" t="n">
        <x:f>INDEX(Model_TestVersion_Stats!$O:$O,C813)</x:f>
        <x:v>0.34</x:v>
      </x:c>
      <x:c r="G813" t="str">
        <x:f>IF(INDEX(Model_TestVersion_Stats!$R:$R,C813)="","",INDEX(Model_TestVersion_Stats!$R:$R,C813)/60)</x:f>
      </x:c>
      <x:c r="H813" t="n">
        <x:f>IF(E813="","",E813-(D813-1))</x:f>
        <x:v>0</x:v>
      </x:c>
      <x:c r="I813" t="n">
        <x:f>IF(H813&gt;0,1,0)</x:f>
        <x:v>0</x:v>
      </x:c>
      <x:c r="J813" t="str">
        <x:f>IF(OR(I813=0,F813="",F813=0),"",H813/F813)</x:f>
      </x:c>
      <x:c r="K813" t="str">
        <x:f>IF(OR(I813=0,H813=0,F813=""),"",F813/H813)</x:f>
      </x:c>
      <x:c r="L813" t="str">
        <x:f>IF(OR(I813=0,F813="",G813="",F813=0,G813=0),"",H813/(F813*G813))</x:f>
      </x:c>
      <x:c r="M813" t="str">
        <x:f>IF(J813="","",J813/_xlfn.MAXIFS($J:$J,$D:$D,D813))</x:f>
      </x:c>
      <x:c r="N813" t="str">
        <x:f>IF(L813="","",L813/_xlfn.MAXIFS($L:$L,$D:$D,D813))</x:f>
      </x:c>
      <x:c r="O813" t="str">
        <x:f>IF(OR(M813="",N813=""),"",SQRT(M813*N813))</x:f>
      </x:c>
      <x:c r="P813" t="str">
        <x:f>IF(OR(M813="",N813=""),"",M813^0.7*N813^0.3)</x:f>
      </x:c>
      <x:c r="Q813" t="str">
        <x:f>IF(OR(M813="",N813=""),"",M813^0.3*N813^0.7)</x:f>
      </x:c>
    </x:row>
    <x:row r="814" s="14" customFormat="1">
      <x:c r="A814" t="inlineStr">
        <x:is>
          <x:t xml:space="preserve">openai|gpt-5-6-terra|high|reasoning|fallback-na</x:t>
        </x:is>
      </x:c>
      <x:c r="B814" t="inlineStr">
        <x:is>
          <x:t xml:space="preserve">AA|v4.3.2</x:t>
        </x:is>
      </x:c>
      <x:c r="C814" t="n">
        <x:v>103</x:v>
      </x:c>
      <x:c r="D814" t="n">
        <x:v>40</x:v>
      </x:c>
      <x:c r="E814" t="n">
        <x:f>INDEX(Model_TestVersion_Stats!$W:$W,C814)</x:f>
        <x:v>34</x:v>
      </x:c>
      <x:c r="F814" t="n">
        <x:f>INDEX(Model_TestVersion_Stats!$O:$O,C814)</x:f>
        <x:v>0.34</x:v>
      </x:c>
      <x:c r="G814" t="str">
        <x:f>IF(INDEX(Model_TestVersion_Stats!$R:$R,C814)="","",INDEX(Model_TestVersion_Stats!$R:$R,C814)/60)</x:f>
      </x:c>
      <x:c r="H814" t="n">
        <x:f>IF(E814="","",E814-(D814-1))</x:f>
        <x:v>-5</x:v>
      </x:c>
      <x:c r="I814" t="n">
        <x:f>IF(H814&gt;0,1,0)</x:f>
        <x:v>0</x:v>
      </x:c>
      <x:c r="J814" t="str">
        <x:f>IF(OR(I814=0,F814="",F814=0),"",H814/F814)</x:f>
      </x:c>
      <x:c r="K814" t="str">
        <x:f>IF(OR(I814=0,H814=0,F814=""),"",F814/H814)</x:f>
      </x:c>
      <x:c r="L814" t="str">
        <x:f>IF(OR(I814=0,F814="",G814="",F814=0,G814=0),"",H814/(F814*G814))</x:f>
      </x:c>
      <x:c r="M814" t="str">
        <x:f>IF(J814="","",J814/_xlfn.MAXIFS($J:$J,$D:$D,D814))</x:f>
      </x:c>
      <x:c r="N814" t="str">
        <x:f>IF(L814="","",L814/_xlfn.MAXIFS($L:$L,$D:$D,D814))</x:f>
      </x:c>
      <x:c r="O814" t="str">
        <x:f>IF(OR(M814="",N814=""),"",SQRT(M814*N814))</x:f>
      </x:c>
      <x:c r="P814" t="str">
        <x:f>IF(OR(M814="",N814=""),"",M814^0.7*N814^0.3)</x:f>
      </x:c>
      <x:c r="Q814" t="str">
        <x:f>IF(OR(M814="",N814=""),"",M814^0.3*N814^0.7)</x:f>
      </x:c>
    </x:row>
    <x:row r="815" s="14" customFormat="1">
      <x:c r="A815" t="inlineStr">
        <x:is>
          <x:t xml:space="preserve">openai|gpt-5-6-terra|high|reasoning|fallback-na</x:t>
        </x:is>
      </x:c>
      <x:c r="B815" t="inlineStr">
        <x:is>
          <x:t xml:space="preserve">AA|v4.3.2</x:t>
        </x:is>
      </x:c>
      <x:c r="C815" t="n">
        <x:v>103</x:v>
      </x:c>
      <x:c r="D815" t="n">
        <x:v>45</x:v>
      </x:c>
      <x:c r="E815" t="n">
        <x:f>INDEX(Model_TestVersion_Stats!$W:$W,C815)</x:f>
        <x:v>34</x:v>
      </x:c>
      <x:c r="F815" t="n">
        <x:f>INDEX(Model_TestVersion_Stats!$O:$O,C815)</x:f>
        <x:v>0.34</x:v>
      </x:c>
      <x:c r="G815" t="str">
        <x:f>IF(INDEX(Model_TestVersion_Stats!$R:$R,C815)="","",INDEX(Model_TestVersion_Stats!$R:$R,C815)/60)</x:f>
      </x:c>
      <x:c r="H815" t="n">
        <x:f>IF(E815="","",E815-(D815-1))</x:f>
        <x:v>-10</x:v>
      </x:c>
      <x:c r="I815" t="n">
        <x:f>IF(H815&gt;0,1,0)</x:f>
        <x:v>0</x:v>
      </x:c>
      <x:c r="J815" t="str">
        <x:f>IF(OR(I815=0,F815="",F815=0),"",H815/F815)</x:f>
      </x:c>
      <x:c r="K815" t="str">
        <x:f>IF(OR(I815=0,H815=0,F815=""),"",F815/H815)</x:f>
      </x:c>
      <x:c r="L815" t="str">
        <x:f>IF(OR(I815=0,F815="",G815="",F815=0,G815=0),"",H815/(F815*G815))</x:f>
      </x:c>
      <x:c r="M815" t="str">
        <x:f>IF(J815="","",J815/_xlfn.MAXIFS($J:$J,$D:$D,D815))</x:f>
      </x:c>
      <x:c r="N815" t="str">
        <x:f>IF(L815="","",L815/_xlfn.MAXIFS($L:$L,$D:$D,D815))</x:f>
      </x:c>
      <x:c r="O815" t="str">
        <x:f>IF(OR(M815="",N815=""),"",SQRT(M815*N815))</x:f>
      </x:c>
      <x:c r="P815" t="str">
        <x:f>IF(OR(M815="",N815=""),"",M815^0.7*N815^0.3)</x:f>
      </x:c>
      <x:c r="Q815" t="str">
        <x:f>IF(OR(M815="",N815=""),"",M815^0.3*N815^0.7)</x:f>
      </x:c>
    </x:row>
    <x:row r="816" s="14" customFormat="1">
      <x:c r="A816" t="inlineStr">
        <x:is>
          <x:t xml:space="preserve">openai|gpt-5-6-terra|high|reasoning|fallback-na</x:t>
        </x:is>
      </x:c>
      <x:c r="B816" t="inlineStr">
        <x:is>
          <x:t xml:space="preserve">AA|v4.3.2</x:t>
        </x:is>
      </x:c>
      <x:c r="C816" t="n">
        <x:v>103</x:v>
      </x:c>
      <x:c r="D816" t="n">
        <x:v>50</x:v>
      </x:c>
      <x:c r="E816" t="n">
        <x:f>INDEX(Model_TestVersion_Stats!$W:$W,C816)</x:f>
        <x:v>34</x:v>
      </x:c>
      <x:c r="F816" t="n">
        <x:f>INDEX(Model_TestVersion_Stats!$O:$O,C816)</x:f>
        <x:v>0.34</x:v>
      </x:c>
      <x:c r="G816" t="str">
        <x:f>IF(INDEX(Model_TestVersion_Stats!$R:$R,C816)="","",INDEX(Model_TestVersion_Stats!$R:$R,C816)/60)</x:f>
      </x:c>
      <x:c r="H816" t="n">
        <x:f>IF(E816="","",E816-(D816-1))</x:f>
        <x:v>-15</x:v>
      </x:c>
      <x:c r="I816" t="n">
        <x:f>IF(H816&gt;0,1,0)</x:f>
        <x:v>0</x:v>
      </x:c>
      <x:c r="J816" t="str">
        <x:f>IF(OR(I816=0,F816="",F816=0),"",H816/F816)</x:f>
      </x:c>
      <x:c r="K816" t="str">
        <x:f>IF(OR(I816=0,H816=0,F816=""),"",F816/H816)</x:f>
      </x:c>
      <x:c r="L816" t="str">
        <x:f>IF(OR(I816=0,F816="",G816="",F816=0,G816=0),"",H816/(F816*G816))</x:f>
      </x:c>
      <x:c r="M816" t="str">
        <x:f>IF(J816="","",J816/_xlfn.MAXIFS($J:$J,$D:$D,D816))</x:f>
      </x:c>
      <x:c r="N816" t="str">
        <x:f>IF(L816="","",L816/_xlfn.MAXIFS($L:$L,$D:$D,D816))</x:f>
      </x:c>
      <x:c r="O816" t="str">
        <x:f>IF(OR(M816="",N816=""),"",SQRT(M816*N816))</x:f>
      </x:c>
      <x:c r="P816" t="str">
        <x:f>IF(OR(M816="",N816=""),"",M816^0.7*N816^0.3)</x:f>
      </x:c>
      <x:c r="Q816" t="str">
        <x:f>IF(OR(M816="",N816=""),"",M816^0.3*N816^0.7)</x:f>
      </x:c>
    </x:row>
    <x:row r="817" s="14" customFormat="1">
      <x:c r="A817" t="inlineStr">
        <x:is>
          <x:t xml:space="preserve">openai|gpt-5-6-terra|high|reasoning|fallback-na</x:t>
        </x:is>
      </x:c>
      <x:c r="B817" t="inlineStr">
        <x:is>
          <x:t xml:space="preserve">AA|v4.3.2</x:t>
        </x:is>
      </x:c>
      <x:c r="C817" t="n">
        <x:v>103</x:v>
      </x:c>
      <x:c r="D817" t="n">
        <x:v>60</x:v>
      </x:c>
      <x:c r="E817" t="n">
        <x:f>INDEX(Model_TestVersion_Stats!$W:$W,C817)</x:f>
        <x:v>34</x:v>
      </x:c>
      <x:c r="F817" t="n">
        <x:f>INDEX(Model_TestVersion_Stats!$O:$O,C817)</x:f>
        <x:v>0.34</x:v>
      </x:c>
      <x:c r="G817" t="str">
        <x:f>IF(INDEX(Model_TestVersion_Stats!$R:$R,C817)="","",INDEX(Model_TestVersion_Stats!$R:$R,C817)/60)</x:f>
      </x:c>
      <x:c r="H817" t="n">
        <x:f>IF(E817="","",E817-(D817-1))</x:f>
        <x:v>-25</x:v>
      </x:c>
      <x:c r="I817" t="n">
        <x:f>IF(H817&gt;0,1,0)</x:f>
        <x:v>0</x:v>
      </x:c>
      <x:c r="J817" t="str">
        <x:f>IF(OR(I817=0,F817="",F817=0),"",H817/F817)</x:f>
      </x:c>
      <x:c r="K817" t="str">
        <x:f>IF(OR(I817=0,H817=0,F817=""),"",F817/H817)</x:f>
      </x:c>
      <x:c r="L817" t="str">
        <x:f>IF(OR(I817=0,F817="",G817="",F817=0,G817=0),"",H817/(F817*G817))</x:f>
      </x:c>
      <x:c r="M817" t="str">
        <x:f>IF(J817="","",J817/_xlfn.MAXIFS($J:$J,$D:$D,D817))</x:f>
      </x:c>
      <x:c r="N817" t="str">
        <x:f>IF(L817="","",L817/_xlfn.MAXIFS($L:$L,$D:$D,D817))</x:f>
      </x:c>
      <x:c r="O817" t="str">
        <x:f>IF(OR(M817="",N817=""),"",SQRT(M817*N817))</x:f>
      </x:c>
      <x:c r="P817" t="str">
        <x:f>IF(OR(M817="",N817=""),"",M817^0.7*N817^0.3)</x:f>
      </x:c>
      <x:c r="Q817" t="str">
        <x:f>IF(OR(M817="",N817=""),"",M817^0.3*N817^0.7)</x:f>
      </x:c>
    </x:row>
    <x:row r="818" s="14" customFormat="1">
      <x:c r="A818" t="inlineStr">
        <x:is>
          <x:t xml:space="preserve">openai|gpt-5-6-terra|medium|reasoning|fallback-na</x:t>
        </x:is>
      </x:c>
      <x:c r="B818" t="inlineStr">
        <x:is>
          <x:t xml:space="preserve">AA|v4.3.2</x:t>
        </x:is>
      </x:c>
      <x:c r="C818" t="n">
        <x:v>104</x:v>
      </x:c>
      <x:c r="D818" t="n">
        <x:v>10</x:v>
      </x:c>
      <x:c r="E818" t="n">
        <x:f>INDEX(Model_TestVersion_Stats!$W:$W,C818)</x:f>
        <x:v>30</x:v>
      </x:c>
      <x:c r="F818" t="n">
        <x:f>INDEX(Model_TestVersion_Stats!$O:$O,C818)</x:f>
        <x:v>0.18</x:v>
      </x:c>
      <x:c r="G818" t="str">
        <x:f>IF(INDEX(Model_TestVersion_Stats!$R:$R,C818)="","",INDEX(Model_TestVersion_Stats!$R:$R,C818)/60)</x:f>
      </x:c>
      <x:c r="H818" t="n">
        <x:f>IF(E818="","",E818-(D818-1))</x:f>
        <x:v>21</x:v>
      </x:c>
      <x:c r="I818" t="n">
        <x:f>IF(H818&gt;0,1,0)</x:f>
        <x:v>1</x:v>
      </x:c>
      <x:c r="J818" t="n">
        <x:f>IF(OR(I818=0,F818="",F818=0),"",H818/F818)</x:f>
        <x:v>116.66666666666667</x:v>
      </x:c>
      <x:c r="K818" t="n">
        <x:f>IF(OR(I818=0,H818=0,F818=""),"",F818/H818)</x:f>
        <x:v>0.008571428571428572</x:v>
      </x:c>
      <x:c r="L818" t="str">
        <x:f>IF(OR(I818=0,F818="",G818="",F818=0,G818=0),"",H818/(F818*G818))</x:f>
      </x:c>
      <x:c r="M818" t="n">
        <x:f>IF(J818="","",J818/_xlfn.MAXIFS($J:$J,$D:$D,D818))</x:f>
        <x:v>0.11666666666666667</x:v>
      </x:c>
      <x:c r="N818" t="str">
        <x:f>IF(L818="","",L818/_xlfn.MAXIFS($L:$L,$D:$D,D818))</x:f>
      </x:c>
      <x:c r="O818" t="str">
        <x:f>IF(OR(M818="",N818=""),"",SQRT(M818*N818))</x:f>
      </x:c>
      <x:c r="P818" t="str">
        <x:f>IF(OR(M818="",N818=""),"",M818^0.7*N818^0.3)</x:f>
      </x:c>
      <x:c r="Q818" t="str">
        <x:f>IF(OR(M818="",N818=""),"",M818^0.3*N818^0.7)</x:f>
      </x:c>
    </x:row>
    <x:row r="819" s="14" customFormat="1">
      <x:c r="A819" t="inlineStr">
        <x:is>
          <x:t xml:space="preserve">openai|gpt-5-6-terra|medium|reasoning|fallback-na</x:t>
        </x:is>
      </x:c>
      <x:c r="B819" t="inlineStr">
        <x:is>
          <x:t xml:space="preserve">AA|v4.3.2</x:t>
        </x:is>
      </x:c>
      <x:c r="C819" t="n">
        <x:v>104</x:v>
      </x:c>
      <x:c r="D819" t="n">
        <x:v>20</x:v>
      </x:c>
      <x:c r="E819" t="n">
        <x:f>INDEX(Model_TestVersion_Stats!$W:$W,C819)</x:f>
        <x:v>30</x:v>
      </x:c>
      <x:c r="F819" t="n">
        <x:f>INDEX(Model_TestVersion_Stats!$O:$O,C819)</x:f>
        <x:v>0.18</x:v>
      </x:c>
      <x:c r="G819" t="str">
        <x:f>IF(INDEX(Model_TestVersion_Stats!$R:$R,C819)="","",INDEX(Model_TestVersion_Stats!$R:$R,C819)/60)</x:f>
      </x:c>
      <x:c r="H819" t="n">
        <x:f>IF(E819="","",E819-(D819-1))</x:f>
        <x:v>11</x:v>
      </x:c>
      <x:c r="I819" t="n">
        <x:f>IF(H819&gt;0,1,0)</x:f>
        <x:v>1</x:v>
      </x:c>
      <x:c r="J819" t="n">
        <x:f>IF(OR(I819=0,F819="",F819=0),"",H819/F819)</x:f>
        <x:v>61.111111111111114</x:v>
      </x:c>
      <x:c r="K819" t="n">
        <x:f>IF(OR(I819=0,H819=0,F819=""),"",F819/H819)</x:f>
        <x:v>0.01636363636363636</x:v>
      </x:c>
      <x:c r="L819" t="str">
        <x:f>IF(OR(I819=0,F819="",G819="",F819=0,G819=0),"",H819/(F819*G819))</x:f>
      </x:c>
      <x:c r="M819" t="n">
        <x:f>IF(J819="","",J819/_xlfn.MAXIFS($J:$J,$D:$D,D819))</x:f>
        <x:v>0.11000000000000001</x:v>
      </x:c>
      <x:c r="N819" t="str">
        <x:f>IF(L819="","",L819/_xlfn.MAXIFS($L:$L,$D:$D,D819))</x:f>
      </x:c>
      <x:c r="O819" t="str">
        <x:f>IF(OR(M819="",N819=""),"",SQRT(M819*N819))</x:f>
      </x:c>
      <x:c r="P819" t="str">
        <x:f>IF(OR(M819="",N819=""),"",M819^0.7*N819^0.3)</x:f>
      </x:c>
      <x:c r="Q819" t="str">
        <x:f>IF(OR(M819="",N819=""),"",M819^0.3*N819^0.7)</x:f>
      </x:c>
    </x:row>
    <x:row r="820" s="14" customFormat="1">
      <x:c r="A820" t="inlineStr">
        <x:is>
          <x:t xml:space="preserve">openai|gpt-5-6-terra|medium|reasoning|fallback-na</x:t>
        </x:is>
      </x:c>
      <x:c r="B820" t="inlineStr">
        <x:is>
          <x:t xml:space="preserve">AA|v4.3.2</x:t>
        </x:is>
      </x:c>
      <x:c r="C820" t="n">
        <x:v>104</x:v>
      </x:c>
      <x:c r="D820" t="n">
        <x:v>30</x:v>
      </x:c>
      <x:c r="E820" t="n">
        <x:f>INDEX(Model_TestVersion_Stats!$W:$W,C820)</x:f>
        <x:v>30</x:v>
      </x:c>
      <x:c r="F820" t="n">
        <x:f>INDEX(Model_TestVersion_Stats!$O:$O,C820)</x:f>
        <x:v>0.18</x:v>
      </x:c>
      <x:c r="G820" t="str">
        <x:f>IF(INDEX(Model_TestVersion_Stats!$R:$R,C820)="","",INDEX(Model_TestVersion_Stats!$R:$R,C820)/60)</x:f>
      </x:c>
      <x:c r="H820" t="n">
        <x:f>IF(E820="","",E820-(D820-1))</x:f>
        <x:v>1</x:v>
      </x:c>
      <x:c r="I820" t="n">
        <x:f>IF(H820&gt;0,1,0)</x:f>
        <x:v>1</x:v>
      </x:c>
      <x:c r="J820" t="n">
        <x:f>IF(OR(I820=0,F820="",F820=0),"",H820/F820)</x:f>
        <x:v>5.555555555555555</x:v>
      </x:c>
      <x:c r="K820" t="n">
        <x:f>IF(OR(I820=0,H820=0,F820=""),"",F820/H820)</x:f>
        <x:v>0.18</x:v>
      </x:c>
      <x:c r="L820" t="str">
        <x:f>IF(OR(I820=0,F820="",G820="",F820=0,G820=0),"",H820/(F820*G820))</x:f>
      </x:c>
      <x:c r="M820" t="n">
        <x:f>IF(J820="","",J820/_xlfn.MAXIFS($J:$J,$D:$D,D820))</x:f>
        <x:v>0.037037037037037035</x:v>
      </x:c>
      <x:c r="N820" t="str">
        <x:f>IF(L820="","",L820/_xlfn.MAXIFS($L:$L,$D:$D,D820))</x:f>
      </x:c>
      <x:c r="O820" t="str">
        <x:f>IF(OR(M820="",N820=""),"",SQRT(M820*N820))</x:f>
      </x:c>
      <x:c r="P820" t="str">
        <x:f>IF(OR(M820="",N820=""),"",M820^0.7*N820^0.3)</x:f>
      </x:c>
      <x:c r="Q820" t="str">
        <x:f>IF(OR(M820="",N820=""),"",M820^0.3*N820^0.7)</x:f>
      </x:c>
    </x:row>
    <x:row r="821" s="14" customFormat="1">
      <x:c r="A821" t="inlineStr">
        <x:is>
          <x:t xml:space="preserve">openai|gpt-5-6-terra|medium|reasoning|fallback-na</x:t>
        </x:is>
      </x:c>
      <x:c r="B821" t="inlineStr">
        <x:is>
          <x:t xml:space="preserve">AA|v4.3.2</x:t>
        </x:is>
      </x:c>
      <x:c r="C821" t="n">
        <x:v>104</x:v>
      </x:c>
      <x:c r="D821" t="n">
        <x:v>35</x:v>
      </x:c>
      <x:c r="E821" t="n">
        <x:f>INDEX(Model_TestVersion_Stats!$W:$W,C821)</x:f>
        <x:v>30</x:v>
      </x:c>
      <x:c r="F821" t="n">
        <x:f>INDEX(Model_TestVersion_Stats!$O:$O,C821)</x:f>
        <x:v>0.18</x:v>
      </x:c>
      <x:c r="G821" t="str">
        <x:f>IF(INDEX(Model_TestVersion_Stats!$R:$R,C821)="","",INDEX(Model_TestVersion_Stats!$R:$R,C821)/60)</x:f>
      </x:c>
      <x:c r="H821" t="n">
        <x:f>IF(E821="","",E821-(D821-1))</x:f>
        <x:v>-4</x:v>
      </x:c>
      <x:c r="I821" t="n">
        <x:f>IF(H821&gt;0,1,0)</x:f>
        <x:v>0</x:v>
      </x:c>
      <x:c r="J821" t="str">
        <x:f>IF(OR(I821=0,F821="",F821=0),"",H821/F821)</x:f>
      </x:c>
      <x:c r="K821" t="str">
        <x:f>IF(OR(I821=0,H821=0,F821=""),"",F821/H821)</x:f>
      </x:c>
      <x:c r="L821" t="str">
        <x:f>IF(OR(I821=0,F821="",G821="",F821=0,G821=0),"",H821/(F821*G821))</x:f>
      </x:c>
      <x:c r="M821" t="str">
        <x:f>IF(J821="","",J821/_xlfn.MAXIFS($J:$J,$D:$D,D821))</x:f>
      </x:c>
      <x:c r="N821" t="str">
        <x:f>IF(L821="","",L821/_xlfn.MAXIFS($L:$L,$D:$D,D821))</x:f>
      </x:c>
      <x:c r="O821" t="str">
        <x:f>IF(OR(M821="",N821=""),"",SQRT(M821*N821))</x:f>
      </x:c>
      <x:c r="P821" t="str">
        <x:f>IF(OR(M821="",N821=""),"",M821^0.7*N821^0.3)</x:f>
      </x:c>
      <x:c r="Q821" t="str">
        <x:f>IF(OR(M821="",N821=""),"",M821^0.3*N821^0.7)</x:f>
      </x:c>
    </x:row>
    <x:row r="822" s="14" customFormat="1">
      <x:c r="A822" t="inlineStr">
        <x:is>
          <x:t xml:space="preserve">openai|gpt-5-6-terra|medium|reasoning|fallback-na</x:t>
        </x:is>
      </x:c>
      <x:c r="B822" t="inlineStr">
        <x:is>
          <x:t xml:space="preserve">AA|v4.3.2</x:t>
        </x:is>
      </x:c>
      <x:c r="C822" t="n">
        <x:v>104</x:v>
      </x:c>
      <x:c r="D822" t="n">
        <x:v>40</x:v>
      </x:c>
      <x:c r="E822" t="n">
        <x:f>INDEX(Model_TestVersion_Stats!$W:$W,C822)</x:f>
        <x:v>30</x:v>
      </x:c>
      <x:c r="F822" t="n">
        <x:f>INDEX(Model_TestVersion_Stats!$O:$O,C822)</x:f>
        <x:v>0.18</x:v>
      </x:c>
      <x:c r="G822" t="str">
        <x:f>IF(INDEX(Model_TestVersion_Stats!$R:$R,C822)="","",INDEX(Model_TestVersion_Stats!$R:$R,C822)/60)</x:f>
      </x:c>
      <x:c r="H822" t="n">
        <x:f>IF(E822="","",E822-(D822-1))</x:f>
        <x:v>-9</x:v>
      </x:c>
      <x:c r="I822" t="n">
        <x:f>IF(H822&gt;0,1,0)</x:f>
        <x:v>0</x:v>
      </x:c>
      <x:c r="J822" t="str">
        <x:f>IF(OR(I822=0,F822="",F822=0),"",H822/F822)</x:f>
      </x:c>
      <x:c r="K822" t="str">
        <x:f>IF(OR(I822=0,H822=0,F822=""),"",F822/H822)</x:f>
      </x:c>
      <x:c r="L822" t="str">
        <x:f>IF(OR(I822=0,F822="",G822="",F822=0,G822=0),"",H822/(F822*G822))</x:f>
      </x:c>
      <x:c r="M822" t="str">
        <x:f>IF(J822="","",J822/_xlfn.MAXIFS($J:$J,$D:$D,D822))</x:f>
      </x:c>
      <x:c r="N822" t="str">
        <x:f>IF(L822="","",L822/_xlfn.MAXIFS($L:$L,$D:$D,D822))</x:f>
      </x:c>
      <x:c r="O822" t="str">
        <x:f>IF(OR(M822="",N822=""),"",SQRT(M822*N822))</x:f>
      </x:c>
      <x:c r="P822" t="str">
        <x:f>IF(OR(M822="",N822=""),"",M822^0.7*N822^0.3)</x:f>
      </x:c>
      <x:c r="Q822" t="str">
        <x:f>IF(OR(M822="",N822=""),"",M822^0.3*N822^0.7)</x:f>
      </x:c>
    </x:row>
    <x:row r="823" s="14" customFormat="1">
      <x:c r="A823" t="inlineStr">
        <x:is>
          <x:t xml:space="preserve">openai|gpt-5-6-terra|medium|reasoning|fallback-na</x:t>
        </x:is>
      </x:c>
      <x:c r="B823" t="inlineStr">
        <x:is>
          <x:t xml:space="preserve">AA|v4.3.2</x:t>
        </x:is>
      </x:c>
      <x:c r="C823" t="n">
        <x:v>104</x:v>
      </x:c>
      <x:c r="D823" t="n">
        <x:v>45</x:v>
      </x:c>
      <x:c r="E823" t="n">
        <x:f>INDEX(Model_TestVersion_Stats!$W:$W,C823)</x:f>
        <x:v>30</x:v>
      </x:c>
      <x:c r="F823" t="n">
        <x:f>INDEX(Model_TestVersion_Stats!$O:$O,C823)</x:f>
        <x:v>0.18</x:v>
      </x:c>
      <x:c r="G823" t="str">
        <x:f>IF(INDEX(Model_TestVersion_Stats!$R:$R,C823)="","",INDEX(Model_TestVersion_Stats!$R:$R,C823)/60)</x:f>
      </x:c>
      <x:c r="H823" t="n">
        <x:f>IF(E823="","",E823-(D823-1))</x:f>
        <x:v>-14</x:v>
      </x:c>
      <x:c r="I823" t="n">
        <x:f>IF(H823&gt;0,1,0)</x:f>
        <x:v>0</x:v>
      </x:c>
      <x:c r="J823" t="str">
        <x:f>IF(OR(I823=0,F823="",F823=0),"",H823/F823)</x:f>
      </x:c>
      <x:c r="K823" t="str">
        <x:f>IF(OR(I823=0,H823=0,F823=""),"",F823/H823)</x:f>
      </x:c>
      <x:c r="L823" t="str">
        <x:f>IF(OR(I823=0,F823="",G823="",F823=0,G823=0),"",H823/(F823*G823))</x:f>
      </x:c>
      <x:c r="M823" t="str">
        <x:f>IF(J823="","",J823/_xlfn.MAXIFS($J:$J,$D:$D,D823))</x:f>
      </x:c>
      <x:c r="N823" t="str">
        <x:f>IF(L823="","",L823/_xlfn.MAXIFS($L:$L,$D:$D,D823))</x:f>
      </x:c>
      <x:c r="O823" t="str">
        <x:f>IF(OR(M823="",N823=""),"",SQRT(M823*N823))</x:f>
      </x:c>
      <x:c r="P823" t="str">
        <x:f>IF(OR(M823="",N823=""),"",M823^0.7*N823^0.3)</x:f>
      </x:c>
      <x:c r="Q823" t="str">
        <x:f>IF(OR(M823="",N823=""),"",M823^0.3*N823^0.7)</x:f>
      </x:c>
    </x:row>
    <x:row r="824" s="14" customFormat="1">
      <x:c r="A824" t="inlineStr">
        <x:is>
          <x:t xml:space="preserve">openai|gpt-5-6-terra|medium|reasoning|fallback-na</x:t>
        </x:is>
      </x:c>
      <x:c r="B824" t="inlineStr">
        <x:is>
          <x:t xml:space="preserve">AA|v4.3.2</x:t>
        </x:is>
      </x:c>
      <x:c r="C824" t="n">
        <x:v>104</x:v>
      </x:c>
      <x:c r="D824" t="n">
        <x:v>50</x:v>
      </x:c>
      <x:c r="E824" t="n">
        <x:f>INDEX(Model_TestVersion_Stats!$W:$W,C824)</x:f>
        <x:v>30</x:v>
      </x:c>
      <x:c r="F824" t="n">
        <x:f>INDEX(Model_TestVersion_Stats!$O:$O,C824)</x:f>
        <x:v>0.18</x:v>
      </x:c>
      <x:c r="G824" t="str">
        <x:f>IF(INDEX(Model_TestVersion_Stats!$R:$R,C824)="","",INDEX(Model_TestVersion_Stats!$R:$R,C824)/60)</x:f>
      </x:c>
      <x:c r="H824" t="n">
        <x:f>IF(E824="","",E824-(D824-1))</x:f>
        <x:v>-19</x:v>
      </x:c>
      <x:c r="I824" t="n">
        <x:f>IF(H824&gt;0,1,0)</x:f>
        <x:v>0</x:v>
      </x:c>
      <x:c r="J824" t="str">
        <x:f>IF(OR(I824=0,F824="",F824=0),"",H824/F824)</x:f>
      </x:c>
      <x:c r="K824" t="str">
        <x:f>IF(OR(I824=0,H824=0,F824=""),"",F824/H824)</x:f>
      </x:c>
      <x:c r="L824" t="str">
        <x:f>IF(OR(I824=0,F824="",G824="",F824=0,G824=0),"",H824/(F824*G824))</x:f>
      </x:c>
      <x:c r="M824" t="str">
        <x:f>IF(J824="","",J824/_xlfn.MAXIFS($J:$J,$D:$D,D824))</x:f>
      </x:c>
      <x:c r="N824" t="str">
        <x:f>IF(L824="","",L824/_xlfn.MAXIFS($L:$L,$D:$D,D824))</x:f>
      </x:c>
      <x:c r="O824" t="str">
        <x:f>IF(OR(M824="",N824=""),"",SQRT(M824*N824))</x:f>
      </x:c>
      <x:c r="P824" t="str">
        <x:f>IF(OR(M824="",N824=""),"",M824^0.7*N824^0.3)</x:f>
      </x:c>
      <x:c r="Q824" t="str">
        <x:f>IF(OR(M824="",N824=""),"",M824^0.3*N824^0.7)</x:f>
      </x:c>
    </x:row>
    <x:row r="825" s="14" customFormat="1">
      <x:c r="A825" t="inlineStr">
        <x:is>
          <x:t xml:space="preserve">openai|gpt-5-6-terra|medium|reasoning|fallback-na</x:t>
        </x:is>
      </x:c>
      <x:c r="B825" t="inlineStr">
        <x:is>
          <x:t xml:space="preserve">AA|v4.3.2</x:t>
        </x:is>
      </x:c>
      <x:c r="C825" t="n">
        <x:v>104</x:v>
      </x:c>
      <x:c r="D825" t="n">
        <x:v>60</x:v>
      </x:c>
      <x:c r="E825" t="n">
        <x:f>INDEX(Model_TestVersion_Stats!$W:$W,C825)</x:f>
        <x:v>30</x:v>
      </x:c>
      <x:c r="F825" t="n">
        <x:f>INDEX(Model_TestVersion_Stats!$O:$O,C825)</x:f>
        <x:v>0.18</x:v>
      </x:c>
      <x:c r="G825" t="str">
        <x:f>IF(INDEX(Model_TestVersion_Stats!$R:$R,C825)="","",INDEX(Model_TestVersion_Stats!$R:$R,C825)/60)</x:f>
      </x:c>
      <x:c r="H825" t="n">
        <x:f>IF(E825="","",E825-(D825-1))</x:f>
        <x:v>-29</x:v>
      </x:c>
      <x:c r="I825" t="n">
        <x:f>IF(H825&gt;0,1,0)</x:f>
        <x:v>0</x:v>
      </x:c>
      <x:c r="J825" t="str">
        <x:f>IF(OR(I825=0,F825="",F825=0),"",H825/F825)</x:f>
      </x:c>
      <x:c r="K825" t="str">
        <x:f>IF(OR(I825=0,H825=0,F825=""),"",F825/H825)</x:f>
      </x:c>
      <x:c r="L825" t="str">
        <x:f>IF(OR(I825=0,F825="",G825="",F825=0,G825=0),"",H825/(F825*G825))</x:f>
      </x:c>
      <x:c r="M825" t="str">
        <x:f>IF(J825="","",J825/_xlfn.MAXIFS($J:$J,$D:$D,D825))</x:f>
      </x:c>
      <x:c r="N825" t="str">
        <x:f>IF(L825="","",L825/_xlfn.MAXIFS($L:$L,$D:$D,D825))</x:f>
      </x:c>
      <x:c r="O825" t="str">
        <x:f>IF(OR(M825="",N825=""),"",SQRT(M825*N825))</x:f>
      </x:c>
      <x:c r="P825" t="str">
        <x:f>IF(OR(M825="",N825=""),"",M825^0.7*N825^0.3)</x:f>
      </x:c>
      <x:c r="Q825" t="str">
        <x:f>IF(OR(M825="",N825=""),"",M825^0.3*N825^0.7)</x:f>
      </x:c>
    </x:row>
    <x:row r="826" s="14" customFormat="1">
      <x:c r="A826" t="inlineStr">
        <x:is>
          <x:t xml:space="preserve">openai|gpt-5-6-terra|low|reasoning|fallback-na</x:t>
        </x:is>
      </x:c>
      <x:c r="B826" t="inlineStr">
        <x:is>
          <x:t xml:space="preserve">AA|v4.3.2</x:t>
        </x:is>
      </x:c>
      <x:c r="C826" t="n">
        <x:v>105</x:v>
      </x:c>
      <x:c r="D826" t="n">
        <x:v>10</x:v>
      </x:c>
      <x:c r="E826" t="n">
        <x:f>INDEX(Model_TestVersion_Stats!$W:$W,C826)</x:f>
        <x:v>27</x:v>
      </x:c>
      <x:c r="F826" t="n">
        <x:f>INDEX(Model_TestVersion_Stats!$O:$O,C826)</x:f>
        <x:v>0.14</x:v>
      </x:c>
      <x:c r="G826" t="str">
        <x:f>IF(INDEX(Model_TestVersion_Stats!$R:$R,C826)="","",INDEX(Model_TestVersion_Stats!$R:$R,C826)/60)</x:f>
      </x:c>
      <x:c r="H826" t="n">
        <x:f>IF(E826="","",E826-(D826-1))</x:f>
        <x:v>18</x:v>
      </x:c>
      <x:c r="I826" t="n">
        <x:f>IF(H826&gt;0,1,0)</x:f>
        <x:v>1</x:v>
      </x:c>
      <x:c r="J826" t="n">
        <x:f>IF(OR(I826=0,F826="",F826=0),"",H826/F826)</x:f>
        <x:v>128.57142857142856</x:v>
      </x:c>
      <x:c r="K826" t="n">
        <x:f>IF(OR(I826=0,H826=0,F826=""),"",F826/H826)</x:f>
        <x:v>0.007777777777777778</x:v>
      </x:c>
      <x:c r="L826" t="str">
        <x:f>IF(OR(I826=0,F826="",G826="",F826=0,G826=0),"",H826/(F826*G826))</x:f>
      </x:c>
      <x:c r="M826" t="n">
        <x:f>IF(J826="","",J826/_xlfn.MAXIFS($J:$J,$D:$D,D826))</x:f>
        <x:v>0.12857142857142856</x:v>
      </x:c>
      <x:c r="N826" t="str">
        <x:f>IF(L826="","",L826/_xlfn.MAXIFS($L:$L,$D:$D,D826))</x:f>
      </x:c>
      <x:c r="O826" t="str">
        <x:f>IF(OR(M826="",N826=""),"",SQRT(M826*N826))</x:f>
      </x:c>
      <x:c r="P826" t="str">
        <x:f>IF(OR(M826="",N826=""),"",M826^0.7*N826^0.3)</x:f>
      </x:c>
      <x:c r="Q826" t="str">
        <x:f>IF(OR(M826="",N826=""),"",M826^0.3*N826^0.7)</x:f>
      </x:c>
    </x:row>
    <x:row r="827" s="14" customFormat="1">
      <x:c r="A827" t="inlineStr">
        <x:is>
          <x:t xml:space="preserve">openai|gpt-5-6-terra|low|reasoning|fallback-na</x:t>
        </x:is>
      </x:c>
      <x:c r="B827" t="inlineStr">
        <x:is>
          <x:t xml:space="preserve">AA|v4.3.2</x:t>
        </x:is>
      </x:c>
      <x:c r="C827" t="n">
        <x:v>105</x:v>
      </x:c>
      <x:c r="D827" t="n">
        <x:v>20</x:v>
      </x:c>
      <x:c r="E827" t="n">
        <x:f>INDEX(Model_TestVersion_Stats!$W:$W,C827)</x:f>
        <x:v>27</x:v>
      </x:c>
      <x:c r="F827" t="n">
        <x:f>INDEX(Model_TestVersion_Stats!$O:$O,C827)</x:f>
        <x:v>0.14</x:v>
      </x:c>
      <x:c r="G827" t="str">
        <x:f>IF(INDEX(Model_TestVersion_Stats!$R:$R,C827)="","",INDEX(Model_TestVersion_Stats!$R:$R,C827)/60)</x:f>
      </x:c>
      <x:c r="H827" t="n">
        <x:f>IF(E827="","",E827-(D827-1))</x:f>
        <x:v>8</x:v>
      </x:c>
      <x:c r="I827" t="n">
        <x:f>IF(H827&gt;0,1,0)</x:f>
        <x:v>1</x:v>
      </x:c>
      <x:c r="J827" t="n">
        <x:f>IF(OR(I827=0,F827="",F827=0),"",H827/F827)</x:f>
        <x:v>57.14285714285714</x:v>
      </x:c>
      <x:c r="K827" t="n">
        <x:f>IF(OR(I827=0,H827=0,F827=""),"",F827/H827)</x:f>
        <x:v>0.0175</x:v>
      </x:c>
      <x:c r="L827" t="str">
        <x:f>IF(OR(I827=0,F827="",G827="",F827=0,G827=0),"",H827/(F827*G827))</x:f>
      </x:c>
      <x:c r="M827" t="n">
        <x:f>IF(J827="","",J827/_xlfn.MAXIFS($J:$J,$D:$D,D827))</x:f>
        <x:v>0.10285714285714286</x:v>
      </x:c>
      <x:c r="N827" t="str">
        <x:f>IF(L827="","",L827/_xlfn.MAXIFS($L:$L,$D:$D,D827))</x:f>
      </x:c>
      <x:c r="O827" t="str">
        <x:f>IF(OR(M827="",N827=""),"",SQRT(M827*N827))</x:f>
      </x:c>
      <x:c r="P827" t="str">
        <x:f>IF(OR(M827="",N827=""),"",M827^0.7*N827^0.3)</x:f>
      </x:c>
      <x:c r="Q827" t="str">
        <x:f>IF(OR(M827="",N827=""),"",M827^0.3*N827^0.7)</x:f>
      </x:c>
    </x:row>
    <x:row r="828" s="14" customFormat="1">
      <x:c r="A828" t="inlineStr">
        <x:is>
          <x:t xml:space="preserve">openai|gpt-5-6-terra|low|reasoning|fallback-na</x:t>
        </x:is>
      </x:c>
      <x:c r="B828" t="inlineStr">
        <x:is>
          <x:t xml:space="preserve">AA|v4.3.2</x:t>
        </x:is>
      </x:c>
      <x:c r="C828" t="n">
        <x:v>105</x:v>
      </x:c>
      <x:c r="D828" t="n">
        <x:v>30</x:v>
      </x:c>
      <x:c r="E828" t="n">
        <x:f>INDEX(Model_TestVersion_Stats!$W:$W,C828)</x:f>
        <x:v>27</x:v>
      </x:c>
      <x:c r="F828" t="n">
        <x:f>INDEX(Model_TestVersion_Stats!$O:$O,C828)</x:f>
        <x:v>0.14</x:v>
      </x:c>
      <x:c r="G828" t="str">
        <x:f>IF(INDEX(Model_TestVersion_Stats!$R:$R,C828)="","",INDEX(Model_TestVersion_Stats!$R:$R,C828)/60)</x:f>
      </x:c>
      <x:c r="H828" t="n">
        <x:f>IF(E828="","",E828-(D828-1))</x:f>
        <x:v>-2</x:v>
      </x:c>
      <x:c r="I828" t="n">
        <x:f>IF(H828&gt;0,1,0)</x:f>
        <x:v>0</x:v>
      </x:c>
      <x:c r="J828" t="str">
        <x:f>IF(OR(I828=0,F828="",F828=0),"",H828/F828)</x:f>
      </x:c>
      <x:c r="K828" t="str">
        <x:f>IF(OR(I828=0,H828=0,F828=""),"",F828/H828)</x:f>
      </x:c>
      <x:c r="L828" t="str">
        <x:f>IF(OR(I828=0,F828="",G828="",F828=0,G828=0),"",H828/(F828*G828))</x:f>
      </x:c>
      <x:c r="M828" t="str">
        <x:f>IF(J828="","",J828/_xlfn.MAXIFS($J:$J,$D:$D,D828))</x:f>
      </x:c>
      <x:c r="N828" t="str">
        <x:f>IF(L828="","",L828/_xlfn.MAXIFS($L:$L,$D:$D,D828))</x:f>
      </x:c>
      <x:c r="O828" t="str">
        <x:f>IF(OR(M828="",N828=""),"",SQRT(M828*N828))</x:f>
      </x:c>
      <x:c r="P828" t="str">
        <x:f>IF(OR(M828="",N828=""),"",M828^0.7*N828^0.3)</x:f>
      </x:c>
      <x:c r="Q828" t="str">
        <x:f>IF(OR(M828="",N828=""),"",M828^0.3*N828^0.7)</x:f>
      </x:c>
    </x:row>
    <x:row r="829" s="14" customFormat="1">
      <x:c r="A829" t="inlineStr">
        <x:is>
          <x:t xml:space="preserve">openai|gpt-5-6-terra|low|reasoning|fallback-na</x:t>
        </x:is>
      </x:c>
      <x:c r="B829" t="inlineStr">
        <x:is>
          <x:t xml:space="preserve">AA|v4.3.2</x:t>
        </x:is>
      </x:c>
      <x:c r="C829" t="n">
        <x:v>105</x:v>
      </x:c>
      <x:c r="D829" t="n">
        <x:v>35</x:v>
      </x:c>
      <x:c r="E829" t="n">
        <x:f>INDEX(Model_TestVersion_Stats!$W:$W,C829)</x:f>
        <x:v>27</x:v>
      </x:c>
      <x:c r="F829" t="n">
        <x:f>INDEX(Model_TestVersion_Stats!$O:$O,C829)</x:f>
        <x:v>0.14</x:v>
      </x:c>
      <x:c r="G829" t="str">
        <x:f>IF(INDEX(Model_TestVersion_Stats!$R:$R,C829)="","",INDEX(Model_TestVersion_Stats!$R:$R,C829)/60)</x:f>
      </x:c>
      <x:c r="H829" t="n">
        <x:f>IF(E829="","",E829-(D829-1))</x:f>
        <x:v>-7</x:v>
      </x:c>
      <x:c r="I829" t="n">
        <x:f>IF(H829&gt;0,1,0)</x:f>
        <x:v>0</x:v>
      </x:c>
      <x:c r="J829" t="str">
        <x:f>IF(OR(I829=0,F829="",F829=0),"",H829/F829)</x:f>
      </x:c>
      <x:c r="K829" t="str">
        <x:f>IF(OR(I829=0,H829=0,F829=""),"",F829/H829)</x:f>
      </x:c>
      <x:c r="L829" t="str">
        <x:f>IF(OR(I829=0,F829="",G829="",F829=0,G829=0),"",H829/(F829*G829))</x:f>
      </x:c>
      <x:c r="M829" t="str">
        <x:f>IF(J829="","",J829/_xlfn.MAXIFS($J:$J,$D:$D,D829))</x:f>
      </x:c>
      <x:c r="N829" t="str">
        <x:f>IF(L829="","",L829/_xlfn.MAXIFS($L:$L,$D:$D,D829))</x:f>
      </x:c>
      <x:c r="O829" t="str">
        <x:f>IF(OR(M829="",N829=""),"",SQRT(M829*N829))</x:f>
      </x:c>
      <x:c r="P829" t="str">
        <x:f>IF(OR(M829="",N829=""),"",M829^0.7*N829^0.3)</x:f>
      </x:c>
      <x:c r="Q829" t="str">
        <x:f>IF(OR(M829="",N829=""),"",M829^0.3*N829^0.7)</x:f>
      </x:c>
    </x:row>
    <x:row r="830" s="14" customFormat="1">
      <x:c r="A830" t="inlineStr">
        <x:is>
          <x:t xml:space="preserve">openai|gpt-5-6-terra|low|reasoning|fallback-na</x:t>
        </x:is>
      </x:c>
      <x:c r="B830" t="inlineStr">
        <x:is>
          <x:t xml:space="preserve">AA|v4.3.2</x:t>
        </x:is>
      </x:c>
      <x:c r="C830" t="n">
        <x:v>105</x:v>
      </x:c>
      <x:c r="D830" t="n">
        <x:v>40</x:v>
      </x:c>
      <x:c r="E830" t="n">
        <x:f>INDEX(Model_TestVersion_Stats!$W:$W,C830)</x:f>
        <x:v>27</x:v>
      </x:c>
      <x:c r="F830" t="n">
        <x:f>INDEX(Model_TestVersion_Stats!$O:$O,C830)</x:f>
        <x:v>0.14</x:v>
      </x:c>
      <x:c r="G830" t="str">
        <x:f>IF(INDEX(Model_TestVersion_Stats!$R:$R,C830)="","",INDEX(Model_TestVersion_Stats!$R:$R,C830)/60)</x:f>
      </x:c>
      <x:c r="H830" t="n">
        <x:f>IF(E830="","",E830-(D830-1))</x:f>
        <x:v>-12</x:v>
      </x:c>
      <x:c r="I830" t="n">
        <x:f>IF(H830&gt;0,1,0)</x:f>
        <x:v>0</x:v>
      </x:c>
      <x:c r="J830" t="str">
        <x:f>IF(OR(I830=0,F830="",F830=0),"",H830/F830)</x:f>
      </x:c>
      <x:c r="K830" t="str">
        <x:f>IF(OR(I830=0,H830=0,F830=""),"",F830/H830)</x:f>
      </x:c>
      <x:c r="L830" t="str">
        <x:f>IF(OR(I830=0,F830="",G830="",F830=0,G830=0),"",H830/(F830*G830))</x:f>
      </x:c>
      <x:c r="M830" t="str">
        <x:f>IF(J830="","",J830/_xlfn.MAXIFS($J:$J,$D:$D,D830))</x:f>
      </x:c>
      <x:c r="N830" t="str">
        <x:f>IF(L830="","",L830/_xlfn.MAXIFS($L:$L,$D:$D,D830))</x:f>
      </x:c>
      <x:c r="O830" t="str">
        <x:f>IF(OR(M830="",N830=""),"",SQRT(M830*N830))</x:f>
      </x:c>
      <x:c r="P830" t="str">
        <x:f>IF(OR(M830="",N830=""),"",M830^0.7*N830^0.3)</x:f>
      </x:c>
      <x:c r="Q830" t="str">
        <x:f>IF(OR(M830="",N830=""),"",M830^0.3*N830^0.7)</x:f>
      </x:c>
    </x:row>
    <x:row r="831" s="14" customFormat="1">
      <x:c r="A831" t="inlineStr">
        <x:is>
          <x:t xml:space="preserve">openai|gpt-5-6-terra|low|reasoning|fallback-na</x:t>
        </x:is>
      </x:c>
      <x:c r="B831" t="inlineStr">
        <x:is>
          <x:t xml:space="preserve">AA|v4.3.2</x:t>
        </x:is>
      </x:c>
      <x:c r="C831" t="n">
        <x:v>105</x:v>
      </x:c>
      <x:c r="D831" t="n">
        <x:v>45</x:v>
      </x:c>
      <x:c r="E831" t="n">
        <x:f>INDEX(Model_TestVersion_Stats!$W:$W,C831)</x:f>
        <x:v>27</x:v>
      </x:c>
      <x:c r="F831" t="n">
        <x:f>INDEX(Model_TestVersion_Stats!$O:$O,C831)</x:f>
        <x:v>0.14</x:v>
      </x:c>
      <x:c r="G831" t="str">
        <x:f>IF(INDEX(Model_TestVersion_Stats!$R:$R,C831)="","",INDEX(Model_TestVersion_Stats!$R:$R,C831)/60)</x:f>
      </x:c>
      <x:c r="H831" t="n">
        <x:f>IF(E831="","",E831-(D831-1))</x:f>
        <x:v>-17</x:v>
      </x:c>
      <x:c r="I831" t="n">
        <x:f>IF(H831&gt;0,1,0)</x:f>
        <x:v>0</x:v>
      </x:c>
      <x:c r="J831" t="str">
        <x:f>IF(OR(I831=0,F831="",F831=0),"",H831/F831)</x:f>
      </x:c>
      <x:c r="K831" t="str">
        <x:f>IF(OR(I831=0,H831=0,F831=""),"",F831/H831)</x:f>
      </x:c>
      <x:c r="L831" t="str">
        <x:f>IF(OR(I831=0,F831="",G831="",F831=0,G831=0),"",H831/(F831*G831))</x:f>
      </x:c>
      <x:c r="M831" t="str">
        <x:f>IF(J831="","",J831/_xlfn.MAXIFS($J:$J,$D:$D,D831))</x:f>
      </x:c>
      <x:c r="N831" t="str">
        <x:f>IF(L831="","",L831/_xlfn.MAXIFS($L:$L,$D:$D,D831))</x:f>
      </x:c>
      <x:c r="O831" t="str">
        <x:f>IF(OR(M831="",N831=""),"",SQRT(M831*N831))</x:f>
      </x:c>
      <x:c r="P831" t="str">
        <x:f>IF(OR(M831="",N831=""),"",M831^0.7*N831^0.3)</x:f>
      </x:c>
      <x:c r="Q831" t="str">
        <x:f>IF(OR(M831="",N831=""),"",M831^0.3*N831^0.7)</x:f>
      </x:c>
    </x:row>
    <x:row r="832" s="14" customFormat="1">
      <x:c r="A832" t="inlineStr">
        <x:is>
          <x:t xml:space="preserve">openai|gpt-5-6-terra|low|reasoning|fallback-na</x:t>
        </x:is>
      </x:c>
      <x:c r="B832" t="inlineStr">
        <x:is>
          <x:t xml:space="preserve">AA|v4.3.2</x:t>
        </x:is>
      </x:c>
      <x:c r="C832" t="n">
        <x:v>105</x:v>
      </x:c>
      <x:c r="D832" t="n">
        <x:v>50</x:v>
      </x:c>
      <x:c r="E832" t="n">
        <x:f>INDEX(Model_TestVersion_Stats!$W:$W,C832)</x:f>
        <x:v>27</x:v>
      </x:c>
      <x:c r="F832" t="n">
        <x:f>INDEX(Model_TestVersion_Stats!$O:$O,C832)</x:f>
        <x:v>0.14</x:v>
      </x:c>
      <x:c r="G832" t="str">
        <x:f>IF(INDEX(Model_TestVersion_Stats!$R:$R,C832)="","",INDEX(Model_TestVersion_Stats!$R:$R,C832)/60)</x:f>
      </x:c>
      <x:c r="H832" t="n">
        <x:f>IF(E832="","",E832-(D832-1))</x:f>
        <x:v>-22</x:v>
      </x:c>
      <x:c r="I832" t="n">
        <x:f>IF(H832&gt;0,1,0)</x:f>
        <x:v>0</x:v>
      </x:c>
      <x:c r="J832" t="str">
        <x:f>IF(OR(I832=0,F832="",F832=0),"",H832/F832)</x:f>
      </x:c>
      <x:c r="K832" t="str">
        <x:f>IF(OR(I832=0,H832=0,F832=""),"",F832/H832)</x:f>
      </x:c>
      <x:c r="L832" t="str">
        <x:f>IF(OR(I832=0,F832="",G832="",F832=0,G832=0),"",H832/(F832*G832))</x:f>
      </x:c>
      <x:c r="M832" t="str">
        <x:f>IF(J832="","",J832/_xlfn.MAXIFS($J:$J,$D:$D,D832))</x:f>
      </x:c>
      <x:c r="N832" t="str">
        <x:f>IF(L832="","",L832/_xlfn.MAXIFS($L:$L,$D:$D,D832))</x:f>
      </x:c>
      <x:c r="O832" t="str">
        <x:f>IF(OR(M832="",N832=""),"",SQRT(M832*N832))</x:f>
      </x:c>
      <x:c r="P832" t="str">
        <x:f>IF(OR(M832="",N832=""),"",M832^0.7*N832^0.3)</x:f>
      </x:c>
      <x:c r="Q832" t="str">
        <x:f>IF(OR(M832="",N832=""),"",M832^0.3*N832^0.7)</x:f>
      </x:c>
    </x:row>
    <x:row r="833" s="14" customFormat="1">
      <x:c r="A833" t="inlineStr">
        <x:is>
          <x:t xml:space="preserve">openai|gpt-5-6-terra|low|reasoning|fallback-na</x:t>
        </x:is>
      </x:c>
      <x:c r="B833" t="inlineStr">
        <x:is>
          <x:t xml:space="preserve">AA|v4.3.2</x:t>
        </x:is>
      </x:c>
      <x:c r="C833" t="n">
        <x:v>105</x:v>
      </x:c>
      <x:c r="D833" t="n">
        <x:v>60</x:v>
      </x:c>
      <x:c r="E833" t="n">
        <x:f>INDEX(Model_TestVersion_Stats!$W:$W,C833)</x:f>
        <x:v>27</x:v>
      </x:c>
      <x:c r="F833" t="n">
        <x:f>INDEX(Model_TestVersion_Stats!$O:$O,C833)</x:f>
        <x:v>0.14</x:v>
      </x:c>
      <x:c r="G833" t="str">
        <x:f>IF(INDEX(Model_TestVersion_Stats!$R:$R,C833)="","",INDEX(Model_TestVersion_Stats!$R:$R,C833)/60)</x:f>
      </x:c>
      <x:c r="H833" t="n">
        <x:f>IF(E833="","",E833-(D833-1))</x:f>
        <x:v>-32</x:v>
      </x:c>
      <x:c r="I833" t="n">
        <x:f>IF(H833&gt;0,1,0)</x:f>
        <x:v>0</x:v>
      </x:c>
      <x:c r="J833" t="str">
        <x:f>IF(OR(I833=0,F833="",F833=0),"",H833/F833)</x:f>
      </x:c>
      <x:c r="K833" t="str">
        <x:f>IF(OR(I833=0,H833=0,F833=""),"",F833/H833)</x:f>
      </x:c>
      <x:c r="L833" t="str">
        <x:f>IF(OR(I833=0,F833="",G833="",F833=0,G833=0),"",H833/(F833*G833))</x:f>
      </x:c>
      <x:c r="M833" t="str">
        <x:f>IF(J833="","",J833/_xlfn.MAXIFS($J:$J,$D:$D,D833))</x:f>
      </x:c>
      <x:c r="N833" t="str">
        <x:f>IF(L833="","",L833/_xlfn.MAXIFS($L:$L,$D:$D,D833))</x:f>
      </x:c>
      <x:c r="O833" t="str">
        <x:f>IF(OR(M833="",N833=""),"",SQRT(M833*N833))</x:f>
      </x:c>
      <x:c r="P833" t="str">
        <x:f>IF(OR(M833="",N833=""),"",M833^0.7*N833^0.3)</x:f>
      </x:c>
      <x:c r="Q833" t="str">
        <x:f>IF(OR(M833="",N833=""),"",M833^0.3*N833^0.7)</x:f>
      </x:c>
    </x:row>
    <x:row r="834" s="14" customFormat="1">
      <x:c r="A834" t="inlineStr">
        <x:is>
          <x:t xml:space="preserve">openai|gpt-5-6-terra|non-reasoning|nonreasoning|fallback-na</x:t>
        </x:is>
      </x:c>
      <x:c r="B834" t="inlineStr">
        <x:is>
          <x:t xml:space="preserve">AA|v4.3.2</x:t>
        </x:is>
      </x:c>
      <x:c r="C834" t="n">
        <x:v>106</x:v>
      </x:c>
      <x:c r="D834" t="n">
        <x:v>10</x:v>
      </x:c>
      <x:c r="E834" t="n">
        <x:f>INDEX(Model_TestVersion_Stats!$W:$W,C834)</x:f>
        <x:v>21</x:v>
      </x:c>
      <x:c r="F834" t="n">
        <x:f>INDEX(Model_TestVersion_Stats!$O:$O,C834)</x:f>
        <x:v>0.14</x:v>
      </x:c>
      <x:c r="G834" t="str">
        <x:f>IF(INDEX(Model_TestVersion_Stats!$R:$R,C834)="","",INDEX(Model_TestVersion_Stats!$R:$R,C834)/60)</x:f>
      </x:c>
      <x:c r="H834" t="n">
        <x:f>IF(E834="","",E834-(D834-1))</x:f>
        <x:v>12</x:v>
      </x:c>
      <x:c r="I834" t="n">
        <x:f>IF(H834&gt;0,1,0)</x:f>
        <x:v>1</x:v>
      </x:c>
      <x:c r="J834" t="n">
        <x:f>IF(OR(I834=0,F834="",F834=0),"",H834/F834)</x:f>
        <x:v>85.71428571428571</x:v>
      </x:c>
      <x:c r="K834" t="n">
        <x:f>IF(OR(I834=0,H834=0,F834=""),"",F834/H834)</x:f>
        <x:v>0.011666666666666667</x:v>
      </x:c>
      <x:c r="L834" t="str">
        <x:f>IF(OR(I834=0,F834="",G834="",F834=0,G834=0),"",H834/(F834*G834))</x:f>
      </x:c>
      <x:c r="M834" t="n">
        <x:f>IF(J834="","",J834/_xlfn.MAXIFS($J:$J,$D:$D,D834))</x:f>
        <x:v>0.08571428571428572</x:v>
      </x:c>
      <x:c r="N834" t="str">
        <x:f>IF(L834="","",L834/_xlfn.MAXIFS($L:$L,$D:$D,D834))</x:f>
      </x:c>
      <x:c r="O834" t="str">
        <x:f>IF(OR(M834="",N834=""),"",SQRT(M834*N834))</x:f>
      </x:c>
      <x:c r="P834" t="str">
        <x:f>IF(OR(M834="",N834=""),"",M834^0.7*N834^0.3)</x:f>
      </x:c>
      <x:c r="Q834" t="str">
        <x:f>IF(OR(M834="",N834=""),"",M834^0.3*N834^0.7)</x:f>
      </x:c>
    </x:row>
    <x:row r="835" s="14" customFormat="1">
      <x:c r="A835" t="inlineStr">
        <x:is>
          <x:t xml:space="preserve">openai|gpt-5-6-terra|non-reasoning|nonreasoning|fallback-na</x:t>
        </x:is>
      </x:c>
      <x:c r="B835" t="inlineStr">
        <x:is>
          <x:t xml:space="preserve">AA|v4.3.2</x:t>
        </x:is>
      </x:c>
      <x:c r="C835" t="n">
        <x:v>106</x:v>
      </x:c>
      <x:c r="D835" t="n">
        <x:v>20</x:v>
      </x:c>
      <x:c r="E835" t="n">
        <x:f>INDEX(Model_TestVersion_Stats!$W:$W,C835)</x:f>
        <x:v>21</x:v>
      </x:c>
      <x:c r="F835" t="n">
        <x:f>INDEX(Model_TestVersion_Stats!$O:$O,C835)</x:f>
        <x:v>0.14</x:v>
      </x:c>
      <x:c r="G835" t="str">
        <x:f>IF(INDEX(Model_TestVersion_Stats!$R:$R,C835)="","",INDEX(Model_TestVersion_Stats!$R:$R,C835)/60)</x:f>
      </x:c>
      <x:c r="H835" t="n">
        <x:f>IF(E835="","",E835-(D835-1))</x:f>
        <x:v>2</x:v>
      </x:c>
      <x:c r="I835" t="n">
        <x:f>IF(H835&gt;0,1,0)</x:f>
        <x:v>1</x:v>
      </x:c>
      <x:c r="J835" t="n">
        <x:f>IF(OR(I835=0,F835="",F835=0),"",H835/F835)</x:f>
        <x:v>14.285714285714285</x:v>
      </x:c>
      <x:c r="K835" t="n">
        <x:f>IF(OR(I835=0,H835=0,F835=""),"",F835/H835)</x:f>
        <x:v>0.07</x:v>
      </x:c>
      <x:c r="L835" t="str">
        <x:f>IF(OR(I835=0,F835="",G835="",F835=0,G835=0),"",H835/(F835*G835))</x:f>
      </x:c>
      <x:c r="M835" t="n">
        <x:f>IF(J835="","",J835/_xlfn.MAXIFS($J:$J,$D:$D,D835))</x:f>
        <x:v>0.025714285714285714</x:v>
      </x:c>
      <x:c r="N835" t="str">
        <x:f>IF(L835="","",L835/_xlfn.MAXIFS($L:$L,$D:$D,D835))</x:f>
      </x:c>
      <x:c r="O835" t="str">
        <x:f>IF(OR(M835="",N835=""),"",SQRT(M835*N835))</x:f>
      </x:c>
      <x:c r="P835" t="str">
        <x:f>IF(OR(M835="",N835=""),"",M835^0.7*N835^0.3)</x:f>
      </x:c>
      <x:c r="Q835" t="str">
        <x:f>IF(OR(M835="",N835=""),"",M835^0.3*N835^0.7)</x:f>
      </x:c>
    </x:row>
    <x:row r="836" s="14" customFormat="1">
      <x:c r="A836" t="inlineStr">
        <x:is>
          <x:t xml:space="preserve">openai|gpt-5-6-terra|non-reasoning|nonreasoning|fallback-na</x:t>
        </x:is>
      </x:c>
      <x:c r="B836" t="inlineStr">
        <x:is>
          <x:t xml:space="preserve">AA|v4.3.2</x:t>
        </x:is>
      </x:c>
      <x:c r="C836" t="n">
        <x:v>106</x:v>
      </x:c>
      <x:c r="D836" t="n">
        <x:v>30</x:v>
      </x:c>
      <x:c r="E836" t="n">
        <x:f>INDEX(Model_TestVersion_Stats!$W:$W,C836)</x:f>
        <x:v>21</x:v>
      </x:c>
      <x:c r="F836" t="n">
        <x:f>INDEX(Model_TestVersion_Stats!$O:$O,C836)</x:f>
        <x:v>0.14</x:v>
      </x:c>
      <x:c r="G836" t="str">
        <x:f>IF(INDEX(Model_TestVersion_Stats!$R:$R,C836)="","",INDEX(Model_TestVersion_Stats!$R:$R,C836)/60)</x:f>
      </x:c>
      <x:c r="H836" t="n">
        <x:f>IF(E836="","",E836-(D836-1))</x:f>
        <x:v>-8</x:v>
      </x:c>
      <x:c r="I836" t="n">
        <x:f>IF(H836&gt;0,1,0)</x:f>
        <x:v>0</x:v>
      </x:c>
      <x:c r="J836" t="str">
        <x:f>IF(OR(I836=0,F836="",F836=0),"",H836/F836)</x:f>
      </x:c>
      <x:c r="K836" t="str">
        <x:f>IF(OR(I836=0,H836=0,F836=""),"",F836/H836)</x:f>
      </x:c>
      <x:c r="L836" t="str">
        <x:f>IF(OR(I836=0,F836="",G836="",F836=0,G836=0),"",H836/(F836*G836))</x:f>
      </x:c>
      <x:c r="M836" t="str">
        <x:f>IF(J836="","",J836/_xlfn.MAXIFS($J:$J,$D:$D,D836))</x:f>
      </x:c>
      <x:c r="N836" t="str">
        <x:f>IF(L836="","",L836/_xlfn.MAXIFS($L:$L,$D:$D,D836))</x:f>
      </x:c>
      <x:c r="O836" t="str">
        <x:f>IF(OR(M836="",N836=""),"",SQRT(M836*N836))</x:f>
      </x:c>
      <x:c r="P836" t="str">
        <x:f>IF(OR(M836="",N836=""),"",M836^0.7*N836^0.3)</x:f>
      </x:c>
      <x:c r="Q836" t="str">
        <x:f>IF(OR(M836="",N836=""),"",M836^0.3*N836^0.7)</x:f>
      </x:c>
    </x:row>
    <x:row r="837" s="14" customFormat="1">
      <x:c r="A837" t="inlineStr">
        <x:is>
          <x:t xml:space="preserve">openai|gpt-5-6-terra|non-reasoning|nonreasoning|fallback-na</x:t>
        </x:is>
      </x:c>
      <x:c r="B837" t="inlineStr">
        <x:is>
          <x:t xml:space="preserve">AA|v4.3.2</x:t>
        </x:is>
      </x:c>
      <x:c r="C837" t="n">
        <x:v>106</x:v>
      </x:c>
      <x:c r="D837" t="n">
        <x:v>35</x:v>
      </x:c>
      <x:c r="E837" t="n">
        <x:f>INDEX(Model_TestVersion_Stats!$W:$W,C837)</x:f>
        <x:v>21</x:v>
      </x:c>
      <x:c r="F837" t="n">
        <x:f>INDEX(Model_TestVersion_Stats!$O:$O,C837)</x:f>
        <x:v>0.14</x:v>
      </x:c>
      <x:c r="G837" t="str">
        <x:f>IF(INDEX(Model_TestVersion_Stats!$R:$R,C837)="","",INDEX(Model_TestVersion_Stats!$R:$R,C837)/60)</x:f>
      </x:c>
      <x:c r="H837" t="n">
        <x:f>IF(E837="","",E837-(D837-1))</x:f>
        <x:v>-13</x:v>
      </x:c>
      <x:c r="I837" t="n">
        <x:f>IF(H837&gt;0,1,0)</x:f>
        <x:v>0</x:v>
      </x:c>
      <x:c r="J837" t="str">
        <x:f>IF(OR(I837=0,F837="",F837=0),"",H837/F837)</x:f>
      </x:c>
      <x:c r="K837" t="str">
        <x:f>IF(OR(I837=0,H837=0,F837=""),"",F837/H837)</x:f>
      </x:c>
      <x:c r="L837" t="str">
        <x:f>IF(OR(I837=0,F837="",G837="",F837=0,G837=0),"",H837/(F837*G837))</x:f>
      </x:c>
      <x:c r="M837" t="str">
        <x:f>IF(J837="","",J837/_xlfn.MAXIFS($J:$J,$D:$D,D837))</x:f>
      </x:c>
      <x:c r="N837" t="str">
        <x:f>IF(L837="","",L837/_xlfn.MAXIFS($L:$L,$D:$D,D837))</x:f>
      </x:c>
      <x:c r="O837" t="str">
        <x:f>IF(OR(M837="",N837=""),"",SQRT(M837*N837))</x:f>
      </x:c>
      <x:c r="P837" t="str">
        <x:f>IF(OR(M837="",N837=""),"",M837^0.7*N837^0.3)</x:f>
      </x:c>
      <x:c r="Q837" t="str">
        <x:f>IF(OR(M837="",N837=""),"",M837^0.3*N837^0.7)</x:f>
      </x:c>
    </x:row>
    <x:row r="838" s="14" customFormat="1">
      <x:c r="A838" t="inlineStr">
        <x:is>
          <x:t xml:space="preserve">openai|gpt-5-6-terra|non-reasoning|nonreasoning|fallback-na</x:t>
        </x:is>
      </x:c>
      <x:c r="B838" t="inlineStr">
        <x:is>
          <x:t xml:space="preserve">AA|v4.3.2</x:t>
        </x:is>
      </x:c>
      <x:c r="C838" t="n">
        <x:v>106</x:v>
      </x:c>
      <x:c r="D838" t="n">
        <x:v>40</x:v>
      </x:c>
      <x:c r="E838" t="n">
        <x:f>INDEX(Model_TestVersion_Stats!$W:$W,C838)</x:f>
        <x:v>21</x:v>
      </x:c>
      <x:c r="F838" t="n">
        <x:f>INDEX(Model_TestVersion_Stats!$O:$O,C838)</x:f>
        <x:v>0.14</x:v>
      </x:c>
      <x:c r="G838" t="str">
        <x:f>IF(INDEX(Model_TestVersion_Stats!$R:$R,C838)="","",INDEX(Model_TestVersion_Stats!$R:$R,C838)/60)</x:f>
      </x:c>
      <x:c r="H838" t="n">
        <x:f>IF(E838="","",E838-(D838-1))</x:f>
        <x:v>-18</x:v>
      </x:c>
      <x:c r="I838" t="n">
        <x:f>IF(H838&gt;0,1,0)</x:f>
        <x:v>0</x:v>
      </x:c>
      <x:c r="J838" t="str">
        <x:f>IF(OR(I838=0,F838="",F838=0),"",H838/F838)</x:f>
      </x:c>
      <x:c r="K838" t="str">
        <x:f>IF(OR(I838=0,H838=0,F838=""),"",F838/H838)</x:f>
      </x:c>
      <x:c r="L838" t="str">
        <x:f>IF(OR(I838=0,F838="",G838="",F838=0,G838=0),"",H838/(F838*G838))</x:f>
      </x:c>
      <x:c r="M838" t="str">
        <x:f>IF(J838="","",J838/_xlfn.MAXIFS($J:$J,$D:$D,D838))</x:f>
      </x:c>
      <x:c r="N838" t="str">
        <x:f>IF(L838="","",L838/_xlfn.MAXIFS($L:$L,$D:$D,D838))</x:f>
      </x:c>
      <x:c r="O838" t="str">
        <x:f>IF(OR(M838="",N838=""),"",SQRT(M838*N838))</x:f>
      </x:c>
      <x:c r="P838" t="str">
        <x:f>IF(OR(M838="",N838=""),"",M838^0.7*N838^0.3)</x:f>
      </x:c>
      <x:c r="Q838" t="str">
        <x:f>IF(OR(M838="",N838=""),"",M838^0.3*N838^0.7)</x:f>
      </x:c>
    </x:row>
    <x:row r="839" s="14" customFormat="1">
      <x:c r="A839" t="inlineStr">
        <x:is>
          <x:t xml:space="preserve">openai|gpt-5-6-terra|non-reasoning|nonreasoning|fallback-na</x:t>
        </x:is>
      </x:c>
      <x:c r="B839" t="inlineStr">
        <x:is>
          <x:t xml:space="preserve">AA|v4.3.2</x:t>
        </x:is>
      </x:c>
      <x:c r="C839" t="n">
        <x:v>106</x:v>
      </x:c>
      <x:c r="D839" t="n">
        <x:v>45</x:v>
      </x:c>
      <x:c r="E839" t="n">
        <x:f>INDEX(Model_TestVersion_Stats!$W:$W,C839)</x:f>
        <x:v>21</x:v>
      </x:c>
      <x:c r="F839" t="n">
        <x:f>INDEX(Model_TestVersion_Stats!$O:$O,C839)</x:f>
        <x:v>0.14</x:v>
      </x:c>
      <x:c r="G839" t="str">
        <x:f>IF(INDEX(Model_TestVersion_Stats!$R:$R,C839)="","",INDEX(Model_TestVersion_Stats!$R:$R,C839)/60)</x:f>
      </x:c>
      <x:c r="H839" t="n">
        <x:f>IF(E839="","",E839-(D839-1))</x:f>
        <x:v>-23</x:v>
      </x:c>
      <x:c r="I839" t="n">
        <x:f>IF(H839&gt;0,1,0)</x:f>
        <x:v>0</x:v>
      </x:c>
      <x:c r="J839" t="str">
        <x:f>IF(OR(I839=0,F839="",F839=0),"",H839/F839)</x:f>
      </x:c>
      <x:c r="K839" t="str">
        <x:f>IF(OR(I839=0,H839=0,F839=""),"",F839/H839)</x:f>
      </x:c>
      <x:c r="L839" t="str">
        <x:f>IF(OR(I839=0,F839="",G839="",F839=0,G839=0),"",H839/(F839*G839))</x:f>
      </x:c>
      <x:c r="M839" t="str">
        <x:f>IF(J839="","",J839/_xlfn.MAXIFS($J:$J,$D:$D,D839))</x:f>
      </x:c>
      <x:c r="N839" t="str">
        <x:f>IF(L839="","",L839/_xlfn.MAXIFS($L:$L,$D:$D,D839))</x:f>
      </x:c>
      <x:c r="O839" t="str">
        <x:f>IF(OR(M839="",N839=""),"",SQRT(M839*N839))</x:f>
      </x:c>
      <x:c r="P839" t="str">
        <x:f>IF(OR(M839="",N839=""),"",M839^0.7*N839^0.3)</x:f>
      </x:c>
      <x:c r="Q839" t="str">
        <x:f>IF(OR(M839="",N839=""),"",M839^0.3*N839^0.7)</x:f>
      </x:c>
    </x:row>
    <x:row r="840" s="14" customFormat="1">
      <x:c r="A840" t="inlineStr">
        <x:is>
          <x:t xml:space="preserve">openai|gpt-5-6-terra|non-reasoning|nonreasoning|fallback-na</x:t>
        </x:is>
      </x:c>
      <x:c r="B840" t="inlineStr">
        <x:is>
          <x:t xml:space="preserve">AA|v4.3.2</x:t>
        </x:is>
      </x:c>
      <x:c r="C840" t="n">
        <x:v>106</x:v>
      </x:c>
      <x:c r="D840" t="n">
        <x:v>50</x:v>
      </x:c>
      <x:c r="E840" t="n">
        <x:f>INDEX(Model_TestVersion_Stats!$W:$W,C840)</x:f>
        <x:v>21</x:v>
      </x:c>
      <x:c r="F840" t="n">
        <x:f>INDEX(Model_TestVersion_Stats!$O:$O,C840)</x:f>
        <x:v>0.14</x:v>
      </x:c>
      <x:c r="G840" t="str">
        <x:f>IF(INDEX(Model_TestVersion_Stats!$R:$R,C840)="","",INDEX(Model_TestVersion_Stats!$R:$R,C840)/60)</x:f>
      </x:c>
      <x:c r="H840" t="n">
        <x:f>IF(E840="","",E840-(D840-1))</x:f>
        <x:v>-28</x:v>
      </x:c>
      <x:c r="I840" t="n">
        <x:f>IF(H840&gt;0,1,0)</x:f>
        <x:v>0</x:v>
      </x:c>
      <x:c r="J840" t="str">
        <x:f>IF(OR(I840=0,F840="",F840=0),"",H840/F840)</x:f>
      </x:c>
      <x:c r="K840" t="str">
        <x:f>IF(OR(I840=0,H840=0,F840=""),"",F840/H840)</x:f>
      </x:c>
      <x:c r="L840" t="str">
        <x:f>IF(OR(I840=0,F840="",G840="",F840=0,G840=0),"",H840/(F840*G840))</x:f>
      </x:c>
      <x:c r="M840" t="str">
        <x:f>IF(J840="","",J840/_xlfn.MAXIFS($J:$J,$D:$D,D840))</x:f>
      </x:c>
      <x:c r="N840" t="str">
        <x:f>IF(L840="","",L840/_xlfn.MAXIFS($L:$L,$D:$D,D840))</x:f>
      </x:c>
      <x:c r="O840" t="str">
        <x:f>IF(OR(M840="",N840=""),"",SQRT(M840*N840))</x:f>
      </x:c>
      <x:c r="P840" t="str">
        <x:f>IF(OR(M840="",N840=""),"",M840^0.7*N840^0.3)</x:f>
      </x:c>
      <x:c r="Q840" t="str">
        <x:f>IF(OR(M840="",N840=""),"",M840^0.3*N840^0.7)</x:f>
      </x:c>
    </x:row>
    <x:row r="841" s="14" customFormat="1">
      <x:c r="A841" t="inlineStr">
        <x:is>
          <x:t xml:space="preserve">openai|gpt-5-6-terra|non-reasoning|nonreasoning|fallback-na</x:t>
        </x:is>
      </x:c>
      <x:c r="B841" t="inlineStr">
        <x:is>
          <x:t xml:space="preserve">AA|v4.3.2</x:t>
        </x:is>
      </x:c>
      <x:c r="C841" t="n">
        <x:v>106</x:v>
      </x:c>
      <x:c r="D841" t="n">
        <x:v>60</x:v>
      </x:c>
      <x:c r="E841" t="n">
        <x:f>INDEX(Model_TestVersion_Stats!$W:$W,C841)</x:f>
        <x:v>21</x:v>
      </x:c>
      <x:c r="F841" t="n">
        <x:f>INDEX(Model_TestVersion_Stats!$O:$O,C841)</x:f>
        <x:v>0.14</x:v>
      </x:c>
      <x:c r="G841" t="str">
        <x:f>IF(INDEX(Model_TestVersion_Stats!$R:$R,C841)="","",INDEX(Model_TestVersion_Stats!$R:$R,C841)/60)</x:f>
      </x:c>
      <x:c r="H841" t="n">
        <x:f>IF(E841="","",E841-(D841-1))</x:f>
        <x:v>-38</x:v>
      </x:c>
      <x:c r="I841" t="n">
        <x:f>IF(H841&gt;0,1,0)</x:f>
        <x:v>0</x:v>
      </x:c>
      <x:c r="J841" t="str">
        <x:f>IF(OR(I841=0,F841="",F841=0),"",H841/F841)</x:f>
      </x:c>
      <x:c r="K841" t="str">
        <x:f>IF(OR(I841=0,H841=0,F841=""),"",F841/H841)</x:f>
      </x:c>
      <x:c r="L841" t="str">
        <x:f>IF(OR(I841=0,F841="",G841="",F841=0,G841=0),"",H841/(F841*G841))</x:f>
      </x:c>
      <x:c r="M841" t="str">
        <x:f>IF(J841="","",J841/_xlfn.MAXIFS($J:$J,$D:$D,D841))</x:f>
      </x:c>
      <x:c r="N841" t="str">
        <x:f>IF(L841="","",L841/_xlfn.MAXIFS($L:$L,$D:$D,D841))</x:f>
      </x:c>
      <x:c r="O841" t="str">
        <x:f>IF(OR(M841="",N841=""),"",SQRT(M841*N841))</x:f>
      </x:c>
      <x:c r="P841" t="str">
        <x:f>IF(OR(M841="",N841=""),"",M841^0.7*N841^0.3)</x:f>
      </x:c>
      <x:c r="Q841" t="str">
        <x:f>IF(OR(M841="",N841=""),"",M841^0.3*N841^0.7)</x:f>
      </x:c>
    </x:row>
    <x:row r="842" s="14" customFormat="1">
      <x:c r="A842" t="inlineStr">
        <x:is>
          <x:t xml:space="preserve">anthropic|claude-haiku-5-5|xhigh|yes|fallback-na</x:t>
        </x:is>
      </x:c>
      <x:c r="B842" t="inlineStr">
        <x:is>
          <x:t xml:space="preserve">AA|v4.3.2</x:t>
        </x:is>
      </x:c>
      <x:c r="C842" t="n">
        <x:v>107</x:v>
      </x:c>
      <x:c r="D842" t="n">
        <x:v>10</x:v>
      </x:c>
      <x:c r="E842" t="n">
        <x:f>INDEX(Model_TestVersion_Stats!$W:$W,C842)</x:f>
        <x:v>41</x:v>
      </x:c>
      <x:c r="F842" t="n">
        <x:f>INDEX(Model_TestVersion_Stats!$O:$O,C842)</x:f>
        <x:v>0.12</x:v>
      </x:c>
      <x:c r="G842" t="str">
        <x:f>IF(INDEX(Model_TestVersion_Stats!$R:$R,C842)="","",INDEX(Model_TestVersion_Stats!$R:$R,C842)/60)</x:f>
      </x:c>
      <x:c r="H842" t="n">
        <x:f>IF(E842="","",E842-(D842-1))</x:f>
        <x:v>32</x:v>
      </x:c>
      <x:c r="I842" t="n">
        <x:f>IF(H842&gt;0,1,0)</x:f>
        <x:v>1</x:v>
      </x:c>
      <x:c r="J842" t="n">
        <x:f>IF(OR(I842=0,F842="",F842=0),"",H842/F842)</x:f>
        <x:v>266.6666666666667</x:v>
      </x:c>
      <x:c r="K842" t="n">
        <x:f>IF(OR(I842=0,H842=0,F842=""),"",F842/H842)</x:f>
        <x:v>0.00375</x:v>
      </x:c>
      <x:c r="L842" t="str">
        <x:f>IF(OR(I842=0,F842="",G842="",F842=0,G842=0),"",H842/(F842*G842))</x:f>
      </x:c>
      <x:c r="M842" t="n">
        <x:f>IF(J842="","",J842/_xlfn.MAXIFS($J:$J,$D:$D,D842))</x:f>
        <x:v>0.26666666666666666</x:v>
      </x:c>
      <x:c r="N842" t="str">
        <x:f>IF(L842="","",L842/_xlfn.MAXIFS($L:$L,$D:$D,D842))</x:f>
      </x:c>
      <x:c r="O842" t="str">
        <x:f>IF(OR(M842="",N842=""),"",SQRT(M842*N842))</x:f>
      </x:c>
      <x:c r="P842" t="str">
        <x:f>IF(OR(M842="",N842=""),"",M842^0.7*N842^0.3)</x:f>
      </x:c>
      <x:c r="Q842" t="str">
        <x:f>IF(OR(M842="",N842=""),"",M842^0.3*N842^0.7)</x:f>
      </x:c>
    </x:row>
    <x:row r="843" s="14" customFormat="1">
      <x:c r="A843" t="inlineStr">
        <x:is>
          <x:t xml:space="preserve">anthropic|claude-haiku-5-5|xhigh|yes|fallback-na</x:t>
        </x:is>
      </x:c>
      <x:c r="B843" t="inlineStr">
        <x:is>
          <x:t xml:space="preserve">AA|v4.3.2</x:t>
        </x:is>
      </x:c>
      <x:c r="C843" t="n">
        <x:v>107</x:v>
      </x:c>
      <x:c r="D843" t="n">
        <x:v>20</x:v>
      </x:c>
      <x:c r="E843" t="n">
        <x:f>INDEX(Model_TestVersion_Stats!$W:$W,C843)</x:f>
        <x:v>41</x:v>
      </x:c>
      <x:c r="F843" t="n">
        <x:f>INDEX(Model_TestVersion_Stats!$O:$O,C843)</x:f>
        <x:v>0.12</x:v>
      </x:c>
      <x:c r="G843" t="str">
        <x:f>IF(INDEX(Model_TestVersion_Stats!$R:$R,C843)="","",INDEX(Model_TestVersion_Stats!$R:$R,C843)/60)</x:f>
      </x:c>
      <x:c r="H843" t="n">
        <x:f>IF(E843="","",E843-(D843-1))</x:f>
        <x:v>22</x:v>
      </x:c>
      <x:c r="I843" t="n">
        <x:f>IF(H843&gt;0,1,0)</x:f>
        <x:v>1</x:v>
      </x:c>
      <x:c r="J843" t="n">
        <x:f>IF(OR(I843=0,F843="",F843=0),"",H843/F843)</x:f>
        <x:v>183.33333333333334</x:v>
      </x:c>
      <x:c r="K843" t="n">
        <x:f>IF(OR(I843=0,H843=0,F843=""),"",F843/H843)</x:f>
        <x:v>0.005454545454545454</x:v>
      </x:c>
      <x:c r="L843" t="str">
        <x:f>IF(OR(I843=0,F843="",G843="",F843=0,G843=0),"",H843/(F843*G843))</x:f>
      </x:c>
      <x:c r="M843" t="n">
        <x:f>IF(J843="","",J843/_xlfn.MAXIFS($J:$J,$D:$D,D843))</x:f>
        <x:v>0.33</x:v>
      </x:c>
      <x:c r="N843" t="str">
        <x:f>IF(L843="","",L843/_xlfn.MAXIFS($L:$L,$D:$D,D843))</x:f>
      </x:c>
      <x:c r="O843" t="str">
        <x:f>IF(OR(M843="",N843=""),"",SQRT(M843*N843))</x:f>
      </x:c>
      <x:c r="P843" t="str">
        <x:f>IF(OR(M843="",N843=""),"",M843^0.7*N843^0.3)</x:f>
      </x:c>
      <x:c r="Q843" t="str">
        <x:f>IF(OR(M843="",N843=""),"",M843^0.3*N843^0.7)</x:f>
      </x:c>
    </x:row>
    <x:row r="844" s="14" customFormat="1">
      <x:c r="A844" t="inlineStr">
        <x:is>
          <x:t xml:space="preserve">anthropic|claude-haiku-5-5|xhigh|yes|fallback-na</x:t>
        </x:is>
      </x:c>
      <x:c r="B844" t="inlineStr">
        <x:is>
          <x:t xml:space="preserve">AA|v4.3.2</x:t>
        </x:is>
      </x:c>
      <x:c r="C844" t="n">
        <x:v>107</x:v>
      </x:c>
      <x:c r="D844" t="n">
        <x:v>30</x:v>
      </x:c>
      <x:c r="E844" t="n">
        <x:f>INDEX(Model_TestVersion_Stats!$W:$W,C844)</x:f>
        <x:v>41</x:v>
      </x:c>
      <x:c r="F844" t="n">
        <x:f>INDEX(Model_TestVersion_Stats!$O:$O,C844)</x:f>
        <x:v>0.12</x:v>
      </x:c>
      <x:c r="G844" t="str">
        <x:f>IF(INDEX(Model_TestVersion_Stats!$R:$R,C844)="","",INDEX(Model_TestVersion_Stats!$R:$R,C844)/60)</x:f>
      </x:c>
      <x:c r="H844" t="n">
        <x:f>IF(E844="","",E844-(D844-1))</x:f>
        <x:v>12</x:v>
      </x:c>
      <x:c r="I844" t="n">
        <x:f>IF(H844&gt;0,1,0)</x:f>
        <x:v>1</x:v>
      </x:c>
      <x:c r="J844" t="n">
        <x:f>IF(OR(I844=0,F844="",F844=0),"",H844/F844)</x:f>
        <x:v>100</x:v>
      </x:c>
      <x:c r="K844" t="n">
        <x:f>IF(OR(I844=0,H844=0,F844=""),"",F844/H844)</x:f>
        <x:v>0.01</x:v>
      </x:c>
      <x:c r="L844" t="str">
        <x:f>IF(OR(I844=0,F844="",G844="",F844=0,G844=0),"",H844/(F844*G844))</x:f>
      </x:c>
      <x:c r="M844" t="n">
        <x:f>IF(J844="","",J844/_xlfn.MAXIFS($J:$J,$D:$D,D844))</x:f>
        <x:v>0.6666666666666666</x:v>
      </x:c>
      <x:c r="N844" t="str">
        <x:f>IF(L844="","",L844/_xlfn.MAXIFS($L:$L,$D:$D,D844))</x:f>
      </x:c>
      <x:c r="O844" t="str">
        <x:f>IF(OR(M844="",N844=""),"",SQRT(M844*N844))</x:f>
      </x:c>
      <x:c r="P844" t="str">
        <x:f>IF(OR(M844="",N844=""),"",M844^0.7*N844^0.3)</x:f>
      </x:c>
      <x:c r="Q844" t="str">
        <x:f>IF(OR(M844="",N844=""),"",M844^0.3*N844^0.7)</x:f>
      </x:c>
    </x:row>
    <x:row r="845" s="14" customFormat="1">
      <x:c r="A845" t="inlineStr">
        <x:is>
          <x:t xml:space="preserve">anthropic|claude-haiku-5-5|xhigh|yes|fallback-na</x:t>
        </x:is>
      </x:c>
      <x:c r="B845" t="inlineStr">
        <x:is>
          <x:t xml:space="preserve">AA|v4.3.2</x:t>
        </x:is>
      </x:c>
      <x:c r="C845" t="n">
        <x:v>107</x:v>
      </x:c>
      <x:c r="D845" t="n">
        <x:v>35</x:v>
      </x:c>
      <x:c r="E845" t="n">
        <x:f>INDEX(Model_TestVersion_Stats!$W:$W,C845)</x:f>
        <x:v>41</x:v>
      </x:c>
      <x:c r="F845" t="n">
        <x:f>INDEX(Model_TestVersion_Stats!$O:$O,C845)</x:f>
        <x:v>0.12</x:v>
      </x:c>
      <x:c r="G845" t="str">
        <x:f>IF(INDEX(Model_TestVersion_Stats!$R:$R,C845)="","",INDEX(Model_TestVersion_Stats!$R:$R,C845)/60)</x:f>
      </x:c>
      <x:c r="H845" t="n">
        <x:f>IF(E845="","",E845-(D845-1))</x:f>
        <x:v>7</x:v>
      </x:c>
      <x:c r="I845" t="n">
        <x:f>IF(H845&gt;0,1,0)</x:f>
        <x:v>1</x:v>
      </x:c>
      <x:c r="J845" t="n">
        <x:f>IF(OR(I845=0,F845="",F845=0),"",H845/F845)</x:f>
        <x:v>58.333333333333336</x:v>
      </x:c>
      <x:c r="K845" t="n">
        <x:f>IF(OR(I845=0,H845=0,F845=""),"",F845/H845)</x:f>
        <x:v>0.017142857142857144</x:v>
      </x:c>
      <x:c r="L845" t="str">
        <x:f>IF(OR(I845=0,F845="",G845="",F845=0,G845=0),"",H845/(F845*G845))</x:f>
      </x:c>
      <x:c r="M845" t="n">
        <x:f>IF(J845="","",J845/_xlfn.MAXIFS($J:$J,$D:$D,D845))</x:f>
        <x:v>0.6319444444444445</x:v>
      </x:c>
      <x:c r="N845" t="str">
        <x:f>IF(L845="","",L845/_xlfn.MAXIFS($L:$L,$D:$D,D845))</x:f>
      </x:c>
      <x:c r="O845" t="str">
        <x:f>IF(OR(M845="",N845=""),"",SQRT(M845*N845))</x:f>
      </x:c>
      <x:c r="P845" t="str">
        <x:f>IF(OR(M845="",N845=""),"",M845^0.7*N845^0.3)</x:f>
      </x:c>
      <x:c r="Q845" t="str">
        <x:f>IF(OR(M845="",N845=""),"",M845^0.3*N845^0.7)</x:f>
      </x:c>
    </x:row>
    <x:row r="846" s="14" customFormat="1">
      <x:c r="A846" t="inlineStr">
        <x:is>
          <x:t xml:space="preserve">anthropic|claude-haiku-5-5|xhigh|yes|fallback-na</x:t>
        </x:is>
      </x:c>
      <x:c r="B846" t="inlineStr">
        <x:is>
          <x:t xml:space="preserve">AA|v4.3.2</x:t>
        </x:is>
      </x:c>
      <x:c r="C846" t="n">
        <x:v>107</x:v>
      </x:c>
      <x:c r="D846" t="n">
        <x:v>40</x:v>
      </x:c>
      <x:c r="E846" t="n">
        <x:f>INDEX(Model_TestVersion_Stats!$W:$W,C846)</x:f>
        <x:v>41</x:v>
      </x:c>
      <x:c r="F846" t="n">
        <x:f>INDEX(Model_TestVersion_Stats!$O:$O,C846)</x:f>
        <x:v>0.12</x:v>
      </x:c>
      <x:c r="G846" t="str">
        <x:f>IF(INDEX(Model_TestVersion_Stats!$R:$R,C846)="","",INDEX(Model_TestVersion_Stats!$R:$R,C846)/60)</x:f>
      </x:c>
      <x:c r="H846" t="n">
        <x:f>IF(E846="","",E846-(D846-1))</x:f>
        <x:v>2</x:v>
      </x:c>
      <x:c r="I846" t="n">
        <x:f>IF(H846&gt;0,1,0)</x:f>
        <x:v>1</x:v>
      </x:c>
      <x:c r="J846" t="n">
        <x:f>IF(OR(I846=0,F846="",F846=0),"",H846/F846)</x:f>
        <x:v>16.666666666666668</x:v>
      </x:c>
      <x:c r="K846" t="n">
        <x:f>IF(OR(I846=0,H846=0,F846=""),"",F846/H846)</x:f>
        <x:v>0.06</x:v>
      </x:c>
      <x:c r="L846" t="str">
        <x:f>IF(OR(I846=0,F846="",G846="",F846=0,G846=0),"",H846/(F846*G846))</x:f>
      </x:c>
      <x:c r="M846" t="n">
        <x:f>IF(J846="","",J846/_xlfn.MAXIFS($J:$J,$D:$D,D846))</x:f>
        <x:v>0.30952380952380953</x:v>
      </x:c>
      <x:c r="N846" t="str">
        <x:f>IF(L846="","",L846/_xlfn.MAXIFS($L:$L,$D:$D,D846))</x:f>
      </x:c>
      <x:c r="O846" t="str">
        <x:f>IF(OR(M846="",N846=""),"",SQRT(M846*N846))</x:f>
      </x:c>
      <x:c r="P846" t="str">
        <x:f>IF(OR(M846="",N846=""),"",M846^0.7*N846^0.3)</x:f>
      </x:c>
      <x:c r="Q846" t="str">
        <x:f>IF(OR(M846="",N846=""),"",M846^0.3*N846^0.7)</x:f>
      </x:c>
    </x:row>
    <x:row r="847" s="14" customFormat="1">
      <x:c r="A847" t="inlineStr">
        <x:is>
          <x:t xml:space="preserve">anthropic|claude-haiku-5-5|xhigh|yes|fallback-na</x:t>
        </x:is>
      </x:c>
      <x:c r="B847" t="inlineStr">
        <x:is>
          <x:t xml:space="preserve">AA|v4.3.2</x:t>
        </x:is>
      </x:c>
      <x:c r="C847" t="n">
        <x:v>107</x:v>
      </x:c>
      <x:c r="D847" t="n">
        <x:v>45</x:v>
      </x:c>
      <x:c r="E847" t="n">
        <x:f>INDEX(Model_TestVersion_Stats!$W:$W,C847)</x:f>
        <x:v>41</x:v>
      </x:c>
      <x:c r="F847" t="n">
        <x:f>INDEX(Model_TestVersion_Stats!$O:$O,C847)</x:f>
        <x:v>0.12</x:v>
      </x:c>
      <x:c r="G847" t="str">
        <x:f>IF(INDEX(Model_TestVersion_Stats!$R:$R,C847)="","",INDEX(Model_TestVersion_Stats!$R:$R,C847)/60)</x:f>
      </x:c>
      <x:c r="H847" t="n">
        <x:f>IF(E847="","",E847-(D847-1))</x:f>
        <x:v>-3</x:v>
      </x:c>
      <x:c r="I847" t="n">
        <x:f>IF(H847&gt;0,1,0)</x:f>
        <x:v>0</x:v>
      </x:c>
      <x:c r="J847" t="str">
        <x:f>IF(OR(I847=0,F847="",F847=0),"",H847/F847)</x:f>
      </x:c>
      <x:c r="K847" t="str">
        <x:f>IF(OR(I847=0,H847=0,F847=""),"",F847/H847)</x:f>
      </x:c>
      <x:c r="L847" t="str">
        <x:f>IF(OR(I847=0,F847="",G847="",F847=0,G847=0),"",H847/(F847*G847))</x:f>
      </x:c>
      <x:c r="M847" t="str">
        <x:f>IF(J847="","",J847/_xlfn.MAXIFS($J:$J,$D:$D,D847))</x:f>
      </x:c>
      <x:c r="N847" t="str">
        <x:f>IF(L847="","",L847/_xlfn.MAXIFS($L:$L,$D:$D,D847))</x:f>
      </x:c>
      <x:c r="O847" t="str">
        <x:f>IF(OR(M847="",N847=""),"",SQRT(M847*N847))</x:f>
      </x:c>
      <x:c r="P847" t="str">
        <x:f>IF(OR(M847="",N847=""),"",M847^0.7*N847^0.3)</x:f>
      </x:c>
      <x:c r="Q847" t="str">
        <x:f>IF(OR(M847="",N847=""),"",M847^0.3*N847^0.7)</x:f>
      </x:c>
    </x:row>
    <x:row r="848" s="14" customFormat="1">
      <x:c r="A848" t="inlineStr">
        <x:is>
          <x:t xml:space="preserve">anthropic|claude-haiku-5-5|xhigh|yes|fallback-na</x:t>
        </x:is>
      </x:c>
      <x:c r="B848" t="inlineStr">
        <x:is>
          <x:t xml:space="preserve">AA|v4.3.2</x:t>
        </x:is>
      </x:c>
      <x:c r="C848" t="n">
        <x:v>107</x:v>
      </x:c>
      <x:c r="D848" t="n">
        <x:v>50</x:v>
      </x:c>
      <x:c r="E848" t="n">
        <x:f>INDEX(Model_TestVersion_Stats!$W:$W,C848)</x:f>
        <x:v>41</x:v>
      </x:c>
      <x:c r="F848" t="n">
        <x:f>INDEX(Model_TestVersion_Stats!$O:$O,C848)</x:f>
        <x:v>0.12</x:v>
      </x:c>
      <x:c r="G848" t="str">
        <x:f>IF(INDEX(Model_TestVersion_Stats!$R:$R,C848)="","",INDEX(Model_TestVersion_Stats!$R:$R,C848)/60)</x:f>
      </x:c>
      <x:c r="H848" t="n">
        <x:f>IF(E848="","",E848-(D848-1))</x:f>
        <x:v>-8</x:v>
      </x:c>
      <x:c r="I848" t="n">
        <x:f>IF(H848&gt;0,1,0)</x:f>
        <x:v>0</x:v>
      </x:c>
      <x:c r="J848" t="str">
        <x:f>IF(OR(I848=0,F848="",F848=0),"",H848/F848)</x:f>
      </x:c>
      <x:c r="K848" t="str">
        <x:f>IF(OR(I848=0,H848=0,F848=""),"",F848/H848)</x:f>
      </x:c>
      <x:c r="L848" t="str">
        <x:f>IF(OR(I848=0,F848="",G848="",F848=0,G848=0),"",H848/(F848*G848))</x:f>
      </x:c>
      <x:c r="M848" t="str">
        <x:f>IF(J848="","",J848/_xlfn.MAXIFS($J:$J,$D:$D,D848))</x:f>
      </x:c>
      <x:c r="N848" t="str">
        <x:f>IF(L848="","",L848/_xlfn.MAXIFS($L:$L,$D:$D,D848))</x:f>
      </x:c>
      <x:c r="O848" t="str">
        <x:f>IF(OR(M848="",N848=""),"",SQRT(M848*N848))</x:f>
      </x:c>
      <x:c r="P848" t="str">
        <x:f>IF(OR(M848="",N848=""),"",M848^0.7*N848^0.3)</x:f>
      </x:c>
      <x:c r="Q848" t="str">
        <x:f>IF(OR(M848="",N848=""),"",M848^0.3*N848^0.7)</x:f>
      </x:c>
    </x:row>
    <x:row r="849" s="14" customFormat="1">
      <x:c r="A849" t="inlineStr">
        <x:is>
          <x:t xml:space="preserve">anthropic|claude-haiku-5-5|xhigh|yes|fallback-na</x:t>
        </x:is>
      </x:c>
      <x:c r="B849" t="inlineStr">
        <x:is>
          <x:t xml:space="preserve">AA|v4.3.2</x:t>
        </x:is>
      </x:c>
      <x:c r="C849" t="n">
        <x:v>107</x:v>
      </x:c>
      <x:c r="D849" t="n">
        <x:v>60</x:v>
      </x:c>
      <x:c r="E849" t="n">
        <x:f>INDEX(Model_TestVersion_Stats!$W:$W,C849)</x:f>
        <x:v>41</x:v>
      </x:c>
      <x:c r="F849" t="n">
        <x:f>INDEX(Model_TestVersion_Stats!$O:$O,C849)</x:f>
        <x:v>0.12</x:v>
      </x:c>
      <x:c r="G849" t="str">
        <x:f>IF(INDEX(Model_TestVersion_Stats!$R:$R,C849)="","",INDEX(Model_TestVersion_Stats!$R:$R,C849)/60)</x:f>
      </x:c>
      <x:c r="H849" t="n">
        <x:f>IF(E849="","",E849-(D849-1))</x:f>
        <x:v>-18</x:v>
      </x:c>
      <x:c r="I849" t="n">
        <x:f>IF(H849&gt;0,1,0)</x:f>
        <x:v>0</x:v>
      </x:c>
      <x:c r="J849" t="str">
        <x:f>IF(OR(I849=0,F849="",F849=0),"",H849/F849)</x:f>
      </x:c>
      <x:c r="K849" t="str">
        <x:f>IF(OR(I849=0,H849=0,F849=""),"",F849/H849)</x:f>
      </x:c>
      <x:c r="L849" t="str">
        <x:f>IF(OR(I849=0,F849="",G849="",F849=0,G849=0),"",H849/(F849*G849))</x:f>
      </x:c>
      <x:c r="M849" t="str">
        <x:f>IF(J849="","",J849/_xlfn.MAXIFS($J:$J,$D:$D,D849))</x:f>
      </x:c>
      <x:c r="N849" t="str">
        <x:f>IF(L849="","",L849/_xlfn.MAXIFS($L:$L,$D:$D,D849))</x:f>
      </x:c>
      <x:c r="O849" t="str">
        <x:f>IF(OR(M849="",N849=""),"",SQRT(M849*N849))</x:f>
      </x:c>
      <x:c r="P849" t="str">
        <x:f>IF(OR(M849="",N849=""),"",M849^0.7*N849^0.3)</x:f>
      </x:c>
      <x:c r="Q849" t="str">
        <x:f>IF(OR(M849="",N849=""),"",M849^0.3*N849^0.7)</x:f>
      </x:c>
    </x:row>
    <x:row r="850" s="14" customFormat="1">
      <x:c r="A850" t="inlineStr">
        <x:is>
          <x:t xml:space="preserve">anthropic|claude-haiku-5-5|high|yes|fallback-na</x:t>
        </x:is>
      </x:c>
      <x:c r="B850" t="inlineStr">
        <x:is>
          <x:t xml:space="preserve">AA|v4.3.2</x:t>
        </x:is>
      </x:c>
      <x:c r="C850" t="n">
        <x:v>108</x:v>
      </x:c>
      <x:c r="D850" t="n">
        <x:v>10</x:v>
      </x:c>
      <x:c r="E850" t="n">
        <x:f>INDEX(Model_TestVersion_Stats!$W:$W,C850)</x:f>
        <x:v>38</x:v>
      </x:c>
      <x:c r="F850" t="n">
        <x:f>INDEX(Model_TestVersion_Stats!$O:$O,C850)</x:f>
        <x:v>0.08</x:v>
      </x:c>
      <x:c r="G850" t="str">
        <x:f>IF(INDEX(Model_TestVersion_Stats!$R:$R,C850)="","",INDEX(Model_TestVersion_Stats!$R:$R,C850)/60)</x:f>
      </x:c>
      <x:c r="H850" t="n">
        <x:f>IF(E850="","",E850-(D850-1))</x:f>
        <x:v>29</x:v>
      </x:c>
      <x:c r="I850" t="n">
        <x:f>IF(H850&gt;0,1,0)</x:f>
        <x:v>1</x:v>
      </x:c>
      <x:c r="J850" t="n">
        <x:f>IF(OR(I850=0,F850="",F850=0),"",H850/F850)</x:f>
        <x:v>362.5</x:v>
      </x:c>
      <x:c r="K850" t="n">
        <x:f>IF(OR(I850=0,H850=0,F850=""),"",F850/H850)</x:f>
        <x:v>0.0027586206896551726</x:v>
      </x:c>
      <x:c r="L850" t="str">
        <x:f>IF(OR(I850=0,F850="",G850="",F850=0,G850=0),"",H850/(F850*G850))</x:f>
      </x:c>
      <x:c r="M850" t="n">
        <x:f>IF(J850="","",J850/_xlfn.MAXIFS($J:$J,$D:$D,D850))</x:f>
        <x:v>0.3625</x:v>
      </x:c>
      <x:c r="N850" t="str">
        <x:f>IF(L850="","",L850/_xlfn.MAXIFS($L:$L,$D:$D,D850))</x:f>
      </x:c>
      <x:c r="O850" t="str">
        <x:f>IF(OR(M850="",N850=""),"",SQRT(M850*N850))</x:f>
      </x:c>
      <x:c r="P850" t="str">
        <x:f>IF(OR(M850="",N850=""),"",M850^0.7*N850^0.3)</x:f>
      </x:c>
      <x:c r="Q850" t="str">
        <x:f>IF(OR(M850="",N850=""),"",M850^0.3*N850^0.7)</x:f>
      </x:c>
    </x:row>
    <x:row r="851" s="14" customFormat="1">
      <x:c r="A851" t="inlineStr">
        <x:is>
          <x:t xml:space="preserve">anthropic|claude-haiku-5-5|high|yes|fallback-na</x:t>
        </x:is>
      </x:c>
      <x:c r="B851" t="inlineStr">
        <x:is>
          <x:t xml:space="preserve">AA|v4.3.2</x:t>
        </x:is>
      </x:c>
      <x:c r="C851" t="n">
        <x:v>108</x:v>
      </x:c>
      <x:c r="D851" t="n">
        <x:v>20</x:v>
      </x:c>
      <x:c r="E851" t="n">
        <x:f>INDEX(Model_TestVersion_Stats!$W:$W,C851)</x:f>
        <x:v>38</x:v>
      </x:c>
      <x:c r="F851" t="n">
        <x:f>INDEX(Model_TestVersion_Stats!$O:$O,C851)</x:f>
        <x:v>0.08</x:v>
      </x:c>
      <x:c r="G851" t="str">
        <x:f>IF(INDEX(Model_TestVersion_Stats!$R:$R,C851)="","",INDEX(Model_TestVersion_Stats!$R:$R,C851)/60)</x:f>
      </x:c>
      <x:c r="H851" t="n">
        <x:f>IF(E851="","",E851-(D851-1))</x:f>
        <x:v>19</x:v>
      </x:c>
      <x:c r="I851" t="n">
        <x:f>IF(H851&gt;0,1,0)</x:f>
        <x:v>1</x:v>
      </x:c>
      <x:c r="J851" t="n">
        <x:f>IF(OR(I851=0,F851="",F851=0),"",H851/F851)</x:f>
        <x:v>237.5</x:v>
      </x:c>
      <x:c r="K851" t="n">
        <x:f>IF(OR(I851=0,H851=0,F851=""),"",F851/H851)</x:f>
        <x:v>0.004210526315789474</x:v>
      </x:c>
      <x:c r="L851" t="str">
        <x:f>IF(OR(I851=0,F851="",G851="",F851=0,G851=0),"",H851/(F851*G851))</x:f>
      </x:c>
      <x:c r="M851" t="n">
        <x:f>IF(J851="","",J851/_xlfn.MAXIFS($J:$J,$D:$D,D851))</x:f>
        <x:v>0.4275</x:v>
      </x:c>
      <x:c r="N851" t="str">
        <x:f>IF(L851="","",L851/_xlfn.MAXIFS($L:$L,$D:$D,D851))</x:f>
      </x:c>
      <x:c r="O851" t="str">
        <x:f>IF(OR(M851="",N851=""),"",SQRT(M851*N851))</x:f>
      </x:c>
      <x:c r="P851" t="str">
        <x:f>IF(OR(M851="",N851=""),"",M851^0.7*N851^0.3)</x:f>
      </x:c>
      <x:c r="Q851" t="str">
        <x:f>IF(OR(M851="",N851=""),"",M851^0.3*N851^0.7)</x:f>
      </x:c>
    </x:row>
    <x:row r="852" s="14" customFormat="1">
      <x:c r="A852" t="inlineStr">
        <x:is>
          <x:t xml:space="preserve">anthropic|claude-haiku-5-5|high|yes|fallback-na</x:t>
        </x:is>
      </x:c>
      <x:c r="B852" t="inlineStr">
        <x:is>
          <x:t xml:space="preserve">AA|v4.3.2</x:t>
        </x:is>
      </x:c>
      <x:c r="C852" t="n">
        <x:v>108</x:v>
      </x:c>
      <x:c r="D852" t="n">
        <x:v>30</x:v>
      </x:c>
      <x:c r="E852" t="n">
        <x:f>INDEX(Model_TestVersion_Stats!$W:$W,C852)</x:f>
        <x:v>38</x:v>
      </x:c>
      <x:c r="F852" t="n">
        <x:f>INDEX(Model_TestVersion_Stats!$O:$O,C852)</x:f>
        <x:v>0.08</x:v>
      </x:c>
      <x:c r="G852" t="str">
        <x:f>IF(INDEX(Model_TestVersion_Stats!$R:$R,C852)="","",INDEX(Model_TestVersion_Stats!$R:$R,C852)/60)</x:f>
      </x:c>
      <x:c r="H852" t="n">
        <x:f>IF(E852="","",E852-(D852-1))</x:f>
        <x:v>9</x:v>
      </x:c>
      <x:c r="I852" t="n">
        <x:f>IF(H852&gt;0,1,0)</x:f>
        <x:v>1</x:v>
      </x:c>
      <x:c r="J852" t="n">
        <x:f>IF(OR(I852=0,F852="",F852=0),"",H852/F852)</x:f>
        <x:v>112.5</x:v>
      </x:c>
      <x:c r="K852" t="n">
        <x:f>IF(OR(I852=0,H852=0,F852=""),"",F852/H852)</x:f>
        <x:v>0.008888888888888889</x:v>
      </x:c>
      <x:c r="L852" t="str">
        <x:f>IF(OR(I852=0,F852="",G852="",F852=0,G852=0),"",H852/(F852*G852))</x:f>
      </x:c>
      <x:c r="M852" t="n">
        <x:f>IF(J852="","",J852/_xlfn.MAXIFS($J:$J,$D:$D,D852))</x:f>
        <x:v>0.75</x:v>
      </x:c>
      <x:c r="N852" t="str">
        <x:f>IF(L852="","",L852/_xlfn.MAXIFS($L:$L,$D:$D,D852))</x:f>
      </x:c>
      <x:c r="O852" t="str">
        <x:f>IF(OR(M852="",N852=""),"",SQRT(M852*N852))</x:f>
      </x:c>
      <x:c r="P852" t="str">
        <x:f>IF(OR(M852="",N852=""),"",M852^0.7*N852^0.3)</x:f>
      </x:c>
      <x:c r="Q852" t="str">
        <x:f>IF(OR(M852="",N852=""),"",M852^0.3*N852^0.7)</x:f>
      </x:c>
    </x:row>
    <x:row r="853" s="14" customFormat="1">
      <x:c r="A853" t="inlineStr">
        <x:is>
          <x:t xml:space="preserve">anthropic|claude-haiku-5-5|high|yes|fallback-na</x:t>
        </x:is>
      </x:c>
      <x:c r="B853" t="inlineStr">
        <x:is>
          <x:t xml:space="preserve">AA|v4.3.2</x:t>
        </x:is>
      </x:c>
      <x:c r="C853" t="n">
        <x:v>108</x:v>
      </x:c>
      <x:c r="D853" t="n">
        <x:v>35</x:v>
      </x:c>
      <x:c r="E853" t="n">
        <x:f>INDEX(Model_TestVersion_Stats!$W:$W,C853)</x:f>
        <x:v>38</x:v>
      </x:c>
      <x:c r="F853" t="n">
        <x:f>INDEX(Model_TestVersion_Stats!$O:$O,C853)</x:f>
        <x:v>0.08</x:v>
      </x:c>
      <x:c r="G853" t="str">
        <x:f>IF(INDEX(Model_TestVersion_Stats!$R:$R,C853)="","",INDEX(Model_TestVersion_Stats!$R:$R,C853)/60)</x:f>
      </x:c>
      <x:c r="H853" t="n">
        <x:f>IF(E853="","",E853-(D853-1))</x:f>
        <x:v>4</x:v>
      </x:c>
      <x:c r="I853" t="n">
        <x:f>IF(H853&gt;0,1,0)</x:f>
        <x:v>1</x:v>
      </x:c>
      <x:c r="J853" t="n">
        <x:f>IF(OR(I853=0,F853="",F853=0),"",H853/F853)</x:f>
        <x:v>50</x:v>
      </x:c>
      <x:c r="K853" t="n">
        <x:f>IF(OR(I853=0,H853=0,F853=""),"",F853/H853)</x:f>
        <x:v>0.02</x:v>
      </x:c>
      <x:c r="L853" t="str">
        <x:f>IF(OR(I853=0,F853="",G853="",F853=0,G853=0),"",H853/(F853*G853))</x:f>
      </x:c>
      <x:c r="M853" t="n">
        <x:f>IF(J853="","",J853/_xlfn.MAXIFS($J:$J,$D:$D,D853))</x:f>
        <x:v>0.5416666666666666</x:v>
      </x:c>
      <x:c r="N853" t="str">
        <x:f>IF(L853="","",L853/_xlfn.MAXIFS($L:$L,$D:$D,D853))</x:f>
      </x:c>
      <x:c r="O853" t="str">
        <x:f>IF(OR(M853="",N853=""),"",SQRT(M853*N853))</x:f>
      </x:c>
      <x:c r="P853" t="str">
        <x:f>IF(OR(M853="",N853=""),"",M853^0.7*N853^0.3)</x:f>
      </x:c>
      <x:c r="Q853" t="str">
        <x:f>IF(OR(M853="",N853=""),"",M853^0.3*N853^0.7)</x:f>
      </x:c>
    </x:row>
    <x:row r="854" s="14" customFormat="1">
      <x:c r="A854" t="inlineStr">
        <x:is>
          <x:t xml:space="preserve">anthropic|claude-haiku-5-5|high|yes|fallback-na</x:t>
        </x:is>
      </x:c>
      <x:c r="B854" t="inlineStr">
        <x:is>
          <x:t xml:space="preserve">AA|v4.3.2</x:t>
        </x:is>
      </x:c>
      <x:c r="C854" t="n">
        <x:v>108</x:v>
      </x:c>
      <x:c r="D854" t="n">
        <x:v>40</x:v>
      </x:c>
      <x:c r="E854" t="n">
        <x:f>INDEX(Model_TestVersion_Stats!$W:$W,C854)</x:f>
        <x:v>38</x:v>
      </x:c>
      <x:c r="F854" t="n">
        <x:f>INDEX(Model_TestVersion_Stats!$O:$O,C854)</x:f>
        <x:v>0.08</x:v>
      </x:c>
      <x:c r="G854" t="str">
        <x:f>IF(INDEX(Model_TestVersion_Stats!$R:$R,C854)="","",INDEX(Model_TestVersion_Stats!$R:$R,C854)/60)</x:f>
      </x:c>
      <x:c r="H854" t="n">
        <x:f>IF(E854="","",E854-(D854-1))</x:f>
        <x:v>-1</x:v>
      </x:c>
      <x:c r="I854" t="n">
        <x:f>IF(H854&gt;0,1,0)</x:f>
        <x:v>0</x:v>
      </x:c>
      <x:c r="J854" t="str">
        <x:f>IF(OR(I854=0,F854="",F854=0),"",H854/F854)</x:f>
      </x:c>
      <x:c r="K854" t="str">
        <x:f>IF(OR(I854=0,H854=0,F854=""),"",F854/H854)</x:f>
      </x:c>
      <x:c r="L854" t="str">
        <x:f>IF(OR(I854=0,F854="",G854="",F854=0,G854=0),"",H854/(F854*G854))</x:f>
      </x:c>
      <x:c r="M854" t="str">
        <x:f>IF(J854="","",J854/_xlfn.MAXIFS($J:$J,$D:$D,D854))</x:f>
      </x:c>
      <x:c r="N854" t="str">
        <x:f>IF(L854="","",L854/_xlfn.MAXIFS($L:$L,$D:$D,D854))</x:f>
      </x:c>
      <x:c r="O854" t="str">
        <x:f>IF(OR(M854="",N854=""),"",SQRT(M854*N854))</x:f>
      </x:c>
      <x:c r="P854" t="str">
        <x:f>IF(OR(M854="",N854=""),"",M854^0.7*N854^0.3)</x:f>
      </x:c>
      <x:c r="Q854" t="str">
        <x:f>IF(OR(M854="",N854=""),"",M854^0.3*N854^0.7)</x:f>
      </x:c>
    </x:row>
    <x:row r="855" s="14" customFormat="1">
      <x:c r="A855" t="inlineStr">
        <x:is>
          <x:t xml:space="preserve">anthropic|claude-haiku-5-5|high|yes|fallback-na</x:t>
        </x:is>
      </x:c>
      <x:c r="B855" t="inlineStr">
        <x:is>
          <x:t xml:space="preserve">AA|v4.3.2</x:t>
        </x:is>
      </x:c>
      <x:c r="C855" t="n">
        <x:v>108</x:v>
      </x:c>
      <x:c r="D855" t="n">
        <x:v>45</x:v>
      </x:c>
      <x:c r="E855" t="n">
        <x:f>INDEX(Model_TestVersion_Stats!$W:$W,C855)</x:f>
        <x:v>38</x:v>
      </x:c>
      <x:c r="F855" t="n">
        <x:f>INDEX(Model_TestVersion_Stats!$O:$O,C855)</x:f>
        <x:v>0.08</x:v>
      </x:c>
      <x:c r="G855" t="str">
        <x:f>IF(INDEX(Model_TestVersion_Stats!$R:$R,C855)="","",INDEX(Model_TestVersion_Stats!$R:$R,C855)/60)</x:f>
      </x:c>
      <x:c r="H855" t="n">
        <x:f>IF(E855="","",E855-(D855-1))</x:f>
        <x:v>-6</x:v>
      </x:c>
      <x:c r="I855" t="n">
        <x:f>IF(H855&gt;0,1,0)</x:f>
        <x:v>0</x:v>
      </x:c>
      <x:c r="J855" t="str">
        <x:f>IF(OR(I855=0,F855="",F855=0),"",H855/F855)</x:f>
      </x:c>
      <x:c r="K855" t="str">
        <x:f>IF(OR(I855=0,H855=0,F855=""),"",F855/H855)</x:f>
      </x:c>
      <x:c r="L855" t="str">
        <x:f>IF(OR(I855=0,F855="",G855="",F855=0,G855=0),"",H855/(F855*G855))</x:f>
      </x:c>
      <x:c r="M855" t="str">
        <x:f>IF(J855="","",J855/_xlfn.MAXIFS($J:$J,$D:$D,D855))</x:f>
      </x:c>
      <x:c r="N855" t="str">
        <x:f>IF(L855="","",L855/_xlfn.MAXIFS($L:$L,$D:$D,D855))</x:f>
      </x:c>
      <x:c r="O855" t="str">
        <x:f>IF(OR(M855="",N855=""),"",SQRT(M855*N855))</x:f>
      </x:c>
      <x:c r="P855" t="str">
        <x:f>IF(OR(M855="",N855=""),"",M855^0.7*N855^0.3)</x:f>
      </x:c>
      <x:c r="Q855" t="str">
        <x:f>IF(OR(M855="",N855=""),"",M855^0.3*N855^0.7)</x:f>
      </x:c>
    </x:row>
    <x:row r="856" s="14" customFormat="1">
      <x:c r="A856" t="inlineStr">
        <x:is>
          <x:t xml:space="preserve">anthropic|claude-haiku-5-5|high|yes|fallback-na</x:t>
        </x:is>
      </x:c>
      <x:c r="B856" t="inlineStr">
        <x:is>
          <x:t xml:space="preserve">AA|v4.3.2</x:t>
        </x:is>
      </x:c>
      <x:c r="C856" t="n">
        <x:v>108</x:v>
      </x:c>
      <x:c r="D856" t="n">
        <x:v>50</x:v>
      </x:c>
      <x:c r="E856" t="n">
        <x:f>INDEX(Model_TestVersion_Stats!$W:$W,C856)</x:f>
        <x:v>38</x:v>
      </x:c>
      <x:c r="F856" t="n">
        <x:f>INDEX(Model_TestVersion_Stats!$O:$O,C856)</x:f>
        <x:v>0.08</x:v>
      </x:c>
      <x:c r="G856" t="str">
        <x:f>IF(INDEX(Model_TestVersion_Stats!$R:$R,C856)="","",INDEX(Model_TestVersion_Stats!$R:$R,C856)/60)</x:f>
      </x:c>
      <x:c r="H856" t="n">
        <x:f>IF(E856="","",E856-(D856-1))</x:f>
        <x:v>-11</x:v>
      </x:c>
      <x:c r="I856" t="n">
        <x:f>IF(H856&gt;0,1,0)</x:f>
        <x:v>0</x:v>
      </x:c>
      <x:c r="J856" t="str">
        <x:f>IF(OR(I856=0,F856="",F856=0),"",H856/F856)</x:f>
      </x:c>
      <x:c r="K856" t="str">
        <x:f>IF(OR(I856=0,H856=0,F856=""),"",F856/H856)</x:f>
      </x:c>
      <x:c r="L856" t="str">
        <x:f>IF(OR(I856=0,F856="",G856="",F856=0,G856=0),"",H856/(F856*G856))</x:f>
      </x:c>
      <x:c r="M856" t="str">
        <x:f>IF(J856="","",J856/_xlfn.MAXIFS($J:$J,$D:$D,D856))</x:f>
      </x:c>
      <x:c r="N856" t="str">
        <x:f>IF(L856="","",L856/_xlfn.MAXIFS($L:$L,$D:$D,D856))</x:f>
      </x:c>
      <x:c r="O856" t="str">
        <x:f>IF(OR(M856="",N856=""),"",SQRT(M856*N856))</x:f>
      </x:c>
      <x:c r="P856" t="str">
        <x:f>IF(OR(M856="",N856=""),"",M856^0.7*N856^0.3)</x:f>
      </x:c>
      <x:c r="Q856" t="str">
        <x:f>IF(OR(M856="",N856=""),"",M856^0.3*N856^0.7)</x:f>
      </x:c>
    </x:row>
    <x:row r="857" s="14" customFormat="1">
      <x:c r="A857" t="inlineStr">
        <x:is>
          <x:t xml:space="preserve">anthropic|claude-haiku-5-5|high|yes|fallback-na</x:t>
        </x:is>
      </x:c>
      <x:c r="B857" t="inlineStr">
        <x:is>
          <x:t xml:space="preserve">AA|v4.3.2</x:t>
        </x:is>
      </x:c>
      <x:c r="C857" t="n">
        <x:v>108</x:v>
      </x:c>
      <x:c r="D857" t="n">
        <x:v>60</x:v>
      </x:c>
      <x:c r="E857" t="n">
        <x:f>INDEX(Model_TestVersion_Stats!$W:$W,C857)</x:f>
        <x:v>38</x:v>
      </x:c>
      <x:c r="F857" t="n">
        <x:f>INDEX(Model_TestVersion_Stats!$O:$O,C857)</x:f>
        <x:v>0.08</x:v>
      </x:c>
      <x:c r="G857" t="str">
        <x:f>IF(INDEX(Model_TestVersion_Stats!$R:$R,C857)="","",INDEX(Model_TestVersion_Stats!$R:$R,C857)/60)</x:f>
      </x:c>
      <x:c r="H857" t="n">
        <x:f>IF(E857="","",E857-(D857-1))</x:f>
        <x:v>-21</x:v>
      </x:c>
      <x:c r="I857" t="n">
        <x:f>IF(H857&gt;0,1,0)</x:f>
        <x:v>0</x:v>
      </x:c>
      <x:c r="J857" t="str">
        <x:f>IF(OR(I857=0,F857="",F857=0),"",H857/F857)</x:f>
      </x:c>
      <x:c r="K857" t="str">
        <x:f>IF(OR(I857=0,H857=0,F857=""),"",F857/H857)</x:f>
      </x:c>
      <x:c r="L857" t="str">
        <x:f>IF(OR(I857=0,F857="",G857="",F857=0,G857=0),"",H857/(F857*G857))</x:f>
      </x:c>
      <x:c r="M857" t="str">
        <x:f>IF(J857="","",J857/_xlfn.MAXIFS($J:$J,$D:$D,D857))</x:f>
      </x:c>
      <x:c r="N857" t="str">
        <x:f>IF(L857="","",L857/_xlfn.MAXIFS($L:$L,$D:$D,D857))</x:f>
      </x:c>
      <x:c r="O857" t="str">
        <x:f>IF(OR(M857="",N857=""),"",SQRT(M857*N857))</x:f>
      </x:c>
      <x:c r="P857" t="str">
        <x:f>IF(OR(M857="",N857=""),"",M857^0.7*N857^0.3)</x:f>
      </x:c>
      <x:c r="Q857" t="str">
        <x:f>IF(OR(M857="",N857=""),"",M857^0.3*N857^0.7)</x:f>
      </x:c>
    </x:row>
    <x:row r="858" s="14" customFormat="1">
      <x:c r="A858" t="inlineStr">
        <x:is>
          <x:t xml:space="preserve">anthropic|claude-haiku-5-5|medium|yes|fallback-na</x:t>
        </x:is>
      </x:c>
      <x:c r="B858" t="inlineStr">
        <x:is>
          <x:t xml:space="preserve">AA|v4.3.2</x:t>
        </x:is>
      </x:c>
      <x:c r="C858" t="n">
        <x:v>109</x:v>
      </x:c>
      <x:c r="D858" t="n">
        <x:v>10</x:v>
      </x:c>
      <x:c r="E858" t="n">
        <x:f>INDEX(Model_TestVersion_Stats!$W:$W,C858)</x:f>
        <x:v>34</x:v>
      </x:c>
      <x:c r="F858" t="n">
        <x:f>INDEX(Model_TestVersion_Stats!$O:$O,C858)</x:f>
        <x:v>0.05</x:v>
      </x:c>
      <x:c r="G858" t="str">
        <x:f>IF(INDEX(Model_TestVersion_Stats!$R:$R,C858)="","",INDEX(Model_TestVersion_Stats!$R:$R,C858)/60)</x:f>
      </x:c>
      <x:c r="H858" t="n">
        <x:f>IF(E858="","",E858-(D858-1))</x:f>
        <x:v>25</x:v>
      </x:c>
      <x:c r="I858" t="n">
        <x:f>IF(H858&gt;0,1,0)</x:f>
        <x:v>1</x:v>
      </x:c>
      <x:c r="J858" t="n">
        <x:f>IF(OR(I858=0,F858="",F858=0),"",H858/F858)</x:f>
        <x:v>500</x:v>
      </x:c>
      <x:c r="K858" t="n">
        <x:f>IF(OR(I858=0,H858=0,F858=""),"",F858/H858)</x:f>
        <x:v>0.002</x:v>
      </x:c>
      <x:c r="L858" t="str">
        <x:f>IF(OR(I858=0,F858="",G858="",F858=0,G858=0),"",H858/(F858*G858))</x:f>
      </x:c>
      <x:c r="M858" t="n">
        <x:f>IF(J858="","",J858/_xlfn.MAXIFS($J:$J,$D:$D,D858))</x:f>
        <x:v>0.5</x:v>
      </x:c>
      <x:c r="N858" t="str">
        <x:f>IF(L858="","",L858/_xlfn.MAXIFS($L:$L,$D:$D,D858))</x:f>
      </x:c>
      <x:c r="O858" t="str">
        <x:f>IF(OR(M858="",N858=""),"",SQRT(M858*N858))</x:f>
      </x:c>
      <x:c r="P858" t="str">
        <x:f>IF(OR(M858="",N858=""),"",M858^0.7*N858^0.3)</x:f>
      </x:c>
      <x:c r="Q858" t="str">
        <x:f>IF(OR(M858="",N858=""),"",M858^0.3*N858^0.7)</x:f>
      </x:c>
    </x:row>
    <x:row r="859" s="14" customFormat="1">
      <x:c r="A859" t="inlineStr">
        <x:is>
          <x:t xml:space="preserve">anthropic|claude-haiku-5-5|medium|yes|fallback-na</x:t>
        </x:is>
      </x:c>
      <x:c r="B859" t="inlineStr">
        <x:is>
          <x:t xml:space="preserve">AA|v4.3.2</x:t>
        </x:is>
      </x:c>
      <x:c r="C859" t="n">
        <x:v>109</x:v>
      </x:c>
      <x:c r="D859" t="n">
        <x:v>20</x:v>
      </x:c>
      <x:c r="E859" t="n">
        <x:f>INDEX(Model_TestVersion_Stats!$W:$W,C859)</x:f>
        <x:v>34</x:v>
      </x:c>
      <x:c r="F859" t="n">
        <x:f>INDEX(Model_TestVersion_Stats!$O:$O,C859)</x:f>
        <x:v>0.05</x:v>
      </x:c>
      <x:c r="G859" t="str">
        <x:f>IF(INDEX(Model_TestVersion_Stats!$R:$R,C859)="","",INDEX(Model_TestVersion_Stats!$R:$R,C859)/60)</x:f>
      </x:c>
      <x:c r="H859" t="n">
        <x:f>IF(E859="","",E859-(D859-1))</x:f>
        <x:v>15</x:v>
      </x:c>
      <x:c r="I859" t="n">
        <x:f>IF(H859&gt;0,1,0)</x:f>
        <x:v>1</x:v>
      </x:c>
      <x:c r="J859" t="n">
        <x:f>IF(OR(I859=0,F859="",F859=0),"",H859/F859)</x:f>
        <x:v>300</x:v>
      </x:c>
      <x:c r="K859" t="n">
        <x:f>IF(OR(I859=0,H859=0,F859=""),"",F859/H859)</x:f>
        <x:v>0.0033333333333333335</x:v>
      </x:c>
      <x:c r="L859" t="str">
        <x:f>IF(OR(I859=0,F859="",G859="",F859=0,G859=0),"",H859/(F859*G859))</x:f>
      </x:c>
      <x:c r="M859" t="n">
        <x:f>IF(J859="","",J859/_xlfn.MAXIFS($J:$J,$D:$D,D859))</x:f>
        <x:v>0.54</x:v>
      </x:c>
      <x:c r="N859" t="str">
        <x:f>IF(L859="","",L859/_xlfn.MAXIFS($L:$L,$D:$D,D859))</x:f>
      </x:c>
      <x:c r="O859" t="str">
        <x:f>IF(OR(M859="",N859=""),"",SQRT(M859*N859))</x:f>
      </x:c>
      <x:c r="P859" t="str">
        <x:f>IF(OR(M859="",N859=""),"",M859^0.7*N859^0.3)</x:f>
      </x:c>
      <x:c r="Q859" t="str">
        <x:f>IF(OR(M859="",N859=""),"",M859^0.3*N859^0.7)</x:f>
      </x:c>
    </x:row>
    <x:row r="860" s="14" customFormat="1">
      <x:c r="A860" t="inlineStr">
        <x:is>
          <x:t xml:space="preserve">anthropic|claude-haiku-5-5|medium|yes|fallback-na</x:t>
        </x:is>
      </x:c>
      <x:c r="B860" t="inlineStr">
        <x:is>
          <x:t xml:space="preserve">AA|v4.3.2</x:t>
        </x:is>
      </x:c>
      <x:c r="C860" t="n">
        <x:v>109</x:v>
      </x:c>
      <x:c r="D860" t="n">
        <x:v>30</x:v>
      </x:c>
      <x:c r="E860" t="n">
        <x:f>INDEX(Model_TestVersion_Stats!$W:$W,C860)</x:f>
        <x:v>34</x:v>
      </x:c>
      <x:c r="F860" t="n">
        <x:f>INDEX(Model_TestVersion_Stats!$O:$O,C860)</x:f>
        <x:v>0.05</x:v>
      </x:c>
      <x:c r="G860" t="str">
        <x:f>IF(INDEX(Model_TestVersion_Stats!$R:$R,C860)="","",INDEX(Model_TestVersion_Stats!$R:$R,C860)/60)</x:f>
      </x:c>
      <x:c r="H860" t="n">
        <x:f>IF(E860="","",E860-(D860-1))</x:f>
        <x:v>5</x:v>
      </x:c>
      <x:c r="I860" t="n">
        <x:f>IF(H860&gt;0,1,0)</x:f>
        <x:v>1</x:v>
      </x:c>
      <x:c r="J860" t="n">
        <x:f>IF(OR(I860=0,F860="",F860=0),"",H860/F860)</x:f>
        <x:v>100</x:v>
      </x:c>
      <x:c r="K860" t="n">
        <x:f>IF(OR(I860=0,H860=0,F860=""),"",F860/H860)</x:f>
        <x:v>0.01</x:v>
      </x:c>
      <x:c r="L860" t="str">
        <x:f>IF(OR(I860=0,F860="",G860="",F860=0,G860=0),"",H860/(F860*G860))</x:f>
      </x:c>
      <x:c r="M860" t="n">
        <x:f>IF(J860="","",J860/_xlfn.MAXIFS($J:$J,$D:$D,D860))</x:f>
        <x:v>0.6666666666666666</x:v>
      </x:c>
      <x:c r="N860" t="str">
        <x:f>IF(L860="","",L860/_xlfn.MAXIFS($L:$L,$D:$D,D860))</x:f>
      </x:c>
      <x:c r="O860" t="str">
        <x:f>IF(OR(M860="",N860=""),"",SQRT(M860*N860))</x:f>
      </x:c>
      <x:c r="P860" t="str">
        <x:f>IF(OR(M860="",N860=""),"",M860^0.7*N860^0.3)</x:f>
      </x:c>
      <x:c r="Q860" t="str">
        <x:f>IF(OR(M860="",N860=""),"",M860^0.3*N860^0.7)</x:f>
      </x:c>
    </x:row>
    <x:row r="861" s="14" customFormat="1">
      <x:c r="A861" t="inlineStr">
        <x:is>
          <x:t xml:space="preserve">anthropic|claude-haiku-5-5|medium|yes|fallback-na</x:t>
        </x:is>
      </x:c>
      <x:c r="B861" t="inlineStr">
        <x:is>
          <x:t xml:space="preserve">AA|v4.3.2</x:t>
        </x:is>
      </x:c>
      <x:c r="C861" t="n">
        <x:v>109</x:v>
      </x:c>
      <x:c r="D861" t="n">
        <x:v>35</x:v>
      </x:c>
      <x:c r="E861" t="n">
        <x:f>INDEX(Model_TestVersion_Stats!$W:$W,C861)</x:f>
        <x:v>34</x:v>
      </x:c>
      <x:c r="F861" t="n">
        <x:f>INDEX(Model_TestVersion_Stats!$O:$O,C861)</x:f>
        <x:v>0.05</x:v>
      </x:c>
      <x:c r="G861" t="str">
        <x:f>IF(INDEX(Model_TestVersion_Stats!$R:$R,C861)="","",INDEX(Model_TestVersion_Stats!$R:$R,C861)/60)</x:f>
      </x:c>
      <x:c r="H861" t="n">
        <x:f>IF(E861="","",E861-(D861-1))</x:f>
        <x:v>0</x:v>
      </x:c>
      <x:c r="I861" t="n">
        <x:f>IF(H861&gt;0,1,0)</x:f>
        <x:v>0</x:v>
      </x:c>
      <x:c r="J861" t="str">
        <x:f>IF(OR(I861=0,F861="",F861=0),"",H861/F861)</x:f>
      </x:c>
      <x:c r="K861" t="str">
        <x:f>IF(OR(I861=0,H861=0,F861=""),"",F861/H861)</x:f>
      </x:c>
      <x:c r="L861" t="str">
        <x:f>IF(OR(I861=0,F861="",G861="",F861=0,G861=0),"",H861/(F861*G861))</x:f>
      </x:c>
      <x:c r="M861" t="str">
        <x:f>IF(J861="","",J861/_xlfn.MAXIFS($J:$J,$D:$D,D861))</x:f>
      </x:c>
      <x:c r="N861" t="str">
        <x:f>IF(L861="","",L861/_xlfn.MAXIFS($L:$L,$D:$D,D861))</x:f>
      </x:c>
      <x:c r="O861" t="str">
        <x:f>IF(OR(M861="",N861=""),"",SQRT(M861*N861))</x:f>
      </x:c>
      <x:c r="P861" t="str">
        <x:f>IF(OR(M861="",N861=""),"",M861^0.7*N861^0.3)</x:f>
      </x:c>
      <x:c r="Q861" t="str">
        <x:f>IF(OR(M861="",N861=""),"",M861^0.3*N861^0.7)</x:f>
      </x:c>
    </x:row>
    <x:row r="862" s="14" customFormat="1">
      <x:c r="A862" t="inlineStr">
        <x:is>
          <x:t xml:space="preserve">anthropic|claude-haiku-5-5|medium|yes|fallback-na</x:t>
        </x:is>
      </x:c>
      <x:c r="B862" t="inlineStr">
        <x:is>
          <x:t xml:space="preserve">AA|v4.3.2</x:t>
        </x:is>
      </x:c>
      <x:c r="C862" t="n">
        <x:v>109</x:v>
      </x:c>
      <x:c r="D862" t="n">
        <x:v>40</x:v>
      </x:c>
      <x:c r="E862" t="n">
        <x:f>INDEX(Model_TestVersion_Stats!$W:$W,C862)</x:f>
        <x:v>34</x:v>
      </x:c>
      <x:c r="F862" t="n">
        <x:f>INDEX(Model_TestVersion_Stats!$O:$O,C862)</x:f>
        <x:v>0.05</x:v>
      </x:c>
      <x:c r="G862" t="str">
        <x:f>IF(INDEX(Model_TestVersion_Stats!$R:$R,C862)="","",INDEX(Model_TestVersion_Stats!$R:$R,C862)/60)</x:f>
      </x:c>
      <x:c r="H862" t="n">
        <x:f>IF(E862="","",E862-(D862-1))</x:f>
        <x:v>-5</x:v>
      </x:c>
      <x:c r="I862" t="n">
        <x:f>IF(H862&gt;0,1,0)</x:f>
        <x:v>0</x:v>
      </x:c>
      <x:c r="J862" t="str">
        <x:f>IF(OR(I862=0,F862="",F862=0),"",H862/F862)</x:f>
      </x:c>
      <x:c r="K862" t="str">
        <x:f>IF(OR(I862=0,H862=0,F862=""),"",F862/H862)</x:f>
      </x:c>
      <x:c r="L862" t="str">
        <x:f>IF(OR(I862=0,F862="",G862="",F862=0,G862=0),"",H862/(F862*G862))</x:f>
      </x:c>
      <x:c r="M862" t="str">
        <x:f>IF(J862="","",J862/_xlfn.MAXIFS($J:$J,$D:$D,D862))</x:f>
      </x:c>
      <x:c r="N862" t="str">
        <x:f>IF(L862="","",L862/_xlfn.MAXIFS($L:$L,$D:$D,D862))</x:f>
      </x:c>
      <x:c r="O862" t="str">
        <x:f>IF(OR(M862="",N862=""),"",SQRT(M862*N862))</x:f>
      </x:c>
      <x:c r="P862" t="str">
        <x:f>IF(OR(M862="",N862=""),"",M862^0.7*N862^0.3)</x:f>
      </x:c>
      <x:c r="Q862" t="str">
        <x:f>IF(OR(M862="",N862=""),"",M862^0.3*N862^0.7)</x:f>
      </x:c>
    </x:row>
    <x:row r="863" s="14" customFormat="1">
      <x:c r="A863" t="inlineStr">
        <x:is>
          <x:t xml:space="preserve">anthropic|claude-haiku-5-5|medium|yes|fallback-na</x:t>
        </x:is>
      </x:c>
      <x:c r="B863" t="inlineStr">
        <x:is>
          <x:t xml:space="preserve">AA|v4.3.2</x:t>
        </x:is>
      </x:c>
      <x:c r="C863" t="n">
        <x:v>109</x:v>
      </x:c>
      <x:c r="D863" t="n">
        <x:v>45</x:v>
      </x:c>
      <x:c r="E863" t="n">
        <x:f>INDEX(Model_TestVersion_Stats!$W:$W,C863)</x:f>
        <x:v>34</x:v>
      </x:c>
      <x:c r="F863" t="n">
        <x:f>INDEX(Model_TestVersion_Stats!$O:$O,C863)</x:f>
        <x:v>0.05</x:v>
      </x:c>
      <x:c r="G863" t="str">
        <x:f>IF(INDEX(Model_TestVersion_Stats!$R:$R,C863)="","",INDEX(Model_TestVersion_Stats!$R:$R,C863)/60)</x:f>
      </x:c>
      <x:c r="H863" t="n">
        <x:f>IF(E863="","",E863-(D863-1))</x:f>
        <x:v>-10</x:v>
      </x:c>
      <x:c r="I863" t="n">
        <x:f>IF(H863&gt;0,1,0)</x:f>
        <x:v>0</x:v>
      </x:c>
      <x:c r="J863" t="str">
        <x:f>IF(OR(I863=0,F863="",F863=0),"",H863/F863)</x:f>
      </x:c>
      <x:c r="K863" t="str">
        <x:f>IF(OR(I863=0,H863=0,F863=""),"",F863/H863)</x:f>
      </x:c>
      <x:c r="L863" t="str">
        <x:f>IF(OR(I863=0,F863="",G863="",F863=0,G863=0),"",H863/(F863*G863))</x:f>
      </x:c>
      <x:c r="M863" t="str">
        <x:f>IF(J863="","",J863/_xlfn.MAXIFS($J:$J,$D:$D,D863))</x:f>
      </x:c>
      <x:c r="N863" t="str">
        <x:f>IF(L863="","",L863/_xlfn.MAXIFS($L:$L,$D:$D,D863))</x:f>
      </x:c>
      <x:c r="O863" t="str">
        <x:f>IF(OR(M863="",N863=""),"",SQRT(M863*N863))</x:f>
      </x:c>
      <x:c r="P863" t="str">
        <x:f>IF(OR(M863="",N863=""),"",M863^0.7*N863^0.3)</x:f>
      </x:c>
      <x:c r="Q863" t="str">
        <x:f>IF(OR(M863="",N863=""),"",M863^0.3*N863^0.7)</x:f>
      </x:c>
    </x:row>
    <x:row r="864" s="14" customFormat="1">
      <x:c r="A864" t="inlineStr">
        <x:is>
          <x:t xml:space="preserve">anthropic|claude-haiku-5-5|medium|yes|fallback-na</x:t>
        </x:is>
      </x:c>
      <x:c r="B864" t="inlineStr">
        <x:is>
          <x:t xml:space="preserve">AA|v4.3.2</x:t>
        </x:is>
      </x:c>
      <x:c r="C864" t="n">
        <x:v>109</x:v>
      </x:c>
      <x:c r="D864" t="n">
        <x:v>50</x:v>
      </x:c>
      <x:c r="E864" t="n">
        <x:f>INDEX(Model_TestVersion_Stats!$W:$W,C864)</x:f>
        <x:v>34</x:v>
      </x:c>
      <x:c r="F864" t="n">
        <x:f>INDEX(Model_TestVersion_Stats!$O:$O,C864)</x:f>
        <x:v>0.05</x:v>
      </x:c>
      <x:c r="G864" t="str">
        <x:f>IF(INDEX(Model_TestVersion_Stats!$R:$R,C864)="","",INDEX(Model_TestVersion_Stats!$R:$R,C864)/60)</x:f>
      </x:c>
      <x:c r="H864" t="n">
        <x:f>IF(E864="","",E864-(D864-1))</x:f>
        <x:v>-15</x:v>
      </x:c>
      <x:c r="I864" t="n">
        <x:f>IF(H864&gt;0,1,0)</x:f>
        <x:v>0</x:v>
      </x:c>
      <x:c r="J864" t="str">
        <x:f>IF(OR(I864=0,F864="",F864=0),"",H864/F864)</x:f>
      </x:c>
      <x:c r="K864" t="str">
        <x:f>IF(OR(I864=0,H864=0,F864=""),"",F864/H864)</x:f>
      </x:c>
      <x:c r="L864" t="str">
        <x:f>IF(OR(I864=0,F864="",G864="",F864=0,G864=0),"",H864/(F864*G864))</x:f>
      </x:c>
      <x:c r="M864" t="str">
        <x:f>IF(J864="","",J864/_xlfn.MAXIFS($J:$J,$D:$D,D864))</x:f>
      </x:c>
      <x:c r="N864" t="str">
        <x:f>IF(L864="","",L864/_xlfn.MAXIFS($L:$L,$D:$D,D864))</x:f>
      </x:c>
      <x:c r="O864" t="str">
        <x:f>IF(OR(M864="",N864=""),"",SQRT(M864*N864))</x:f>
      </x:c>
      <x:c r="P864" t="str">
        <x:f>IF(OR(M864="",N864=""),"",M864^0.7*N864^0.3)</x:f>
      </x:c>
      <x:c r="Q864" t="str">
        <x:f>IF(OR(M864="",N864=""),"",M864^0.3*N864^0.7)</x:f>
      </x:c>
    </x:row>
    <x:row r="865" s="14" customFormat="1">
      <x:c r="A865" t="inlineStr">
        <x:is>
          <x:t xml:space="preserve">anthropic|claude-haiku-5-5|medium|yes|fallback-na</x:t>
        </x:is>
      </x:c>
      <x:c r="B865" t="inlineStr">
        <x:is>
          <x:t xml:space="preserve">AA|v4.3.2</x:t>
        </x:is>
      </x:c>
      <x:c r="C865" t="n">
        <x:v>109</x:v>
      </x:c>
      <x:c r="D865" t="n">
        <x:v>60</x:v>
      </x:c>
      <x:c r="E865" t="n">
        <x:f>INDEX(Model_TestVersion_Stats!$W:$W,C865)</x:f>
        <x:v>34</x:v>
      </x:c>
      <x:c r="F865" t="n">
        <x:f>INDEX(Model_TestVersion_Stats!$O:$O,C865)</x:f>
        <x:v>0.05</x:v>
      </x:c>
      <x:c r="G865" t="str">
        <x:f>IF(INDEX(Model_TestVersion_Stats!$R:$R,C865)="","",INDEX(Model_TestVersion_Stats!$R:$R,C865)/60)</x:f>
      </x:c>
      <x:c r="H865" t="n">
        <x:f>IF(E865="","",E865-(D865-1))</x:f>
        <x:v>-25</x:v>
      </x:c>
      <x:c r="I865" t="n">
        <x:f>IF(H865&gt;0,1,0)</x:f>
        <x:v>0</x:v>
      </x:c>
      <x:c r="J865" t="str">
        <x:f>IF(OR(I865=0,F865="",F865=0),"",H865/F865)</x:f>
      </x:c>
      <x:c r="K865" t="str">
        <x:f>IF(OR(I865=0,H865=0,F865=""),"",F865/H865)</x:f>
      </x:c>
      <x:c r="L865" t="str">
        <x:f>IF(OR(I865=0,F865="",G865="",F865=0,G865=0),"",H865/(F865*G865))</x:f>
      </x:c>
      <x:c r="M865" t="str">
        <x:f>IF(J865="","",J865/_xlfn.MAXIFS($J:$J,$D:$D,D865))</x:f>
      </x:c>
      <x:c r="N865" t="str">
        <x:f>IF(L865="","",L865/_xlfn.MAXIFS($L:$L,$D:$D,D865))</x:f>
      </x:c>
      <x:c r="O865" t="str">
        <x:f>IF(OR(M865="",N865=""),"",SQRT(M865*N865))</x:f>
      </x:c>
      <x:c r="P865" t="str">
        <x:f>IF(OR(M865="",N865=""),"",M865^0.7*N865^0.3)</x:f>
      </x:c>
      <x:c r="Q865" t="str">
        <x:f>IF(OR(M865="",N865=""),"",M865^0.3*N865^0.7)</x:f>
      </x:c>
    </x:row>
    <x:row r="866" s="14" customFormat="1">
      <x:c r="A866" t="inlineStr">
        <x:is>
          <x:t xml:space="preserve">anthropic|claude-haiku-5-5|low|yes|fallback-na</x:t>
        </x:is>
      </x:c>
      <x:c r="B866" t="inlineStr">
        <x:is>
          <x:t xml:space="preserve">AA|v4.3.2</x:t>
        </x:is>
      </x:c>
      <x:c r="C866" t="n">
        <x:v>110</x:v>
      </x:c>
      <x:c r="D866" t="n">
        <x:v>10</x:v>
      </x:c>
      <x:c r="E866" t="n">
        <x:f>INDEX(Model_TestVersion_Stats!$W:$W,C866)</x:f>
        <x:v>29</x:v>
      </x:c>
      <x:c r="F866" t="n">
        <x:f>INDEX(Model_TestVersion_Stats!$O:$O,C866)</x:f>
        <x:v>0.02</x:v>
      </x:c>
      <x:c r="G866" t="str">
        <x:f>IF(INDEX(Model_TestVersion_Stats!$R:$R,C866)="","",INDEX(Model_TestVersion_Stats!$R:$R,C866)/60)</x:f>
      </x:c>
      <x:c r="H866" t="n">
        <x:f>IF(E866="","",E866-(D866-1))</x:f>
        <x:v>20</x:v>
      </x:c>
      <x:c r="I866" t="n">
        <x:f>IF(H866&gt;0,1,0)</x:f>
        <x:v>1</x:v>
      </x:c>
      <x:c r="J866" t="n">
        <x:f>IF(OR(I866=0,F866="",F866=0),"",H866/F866)</x:f>
        <x:v>1000</x:v>
      </x:c>
      <x:c r="K866" t="n">
        <x:f>IF(OR(I866=0,H866=0,F866=""),"",F866/H866)</x:f>
        <x:v>0.001</x:v>
      </x:c>
      <x:c r="L866" t="str">
        <x:f>IF(OR(I866=0,F866="",G866="",F866=0,G866=0),"",H866/(F866*G866))</x:f>
      </x:c>
      <x:c r="M866" t="n">
        <x:f>IF(J866="","",J866/_xlfn.MAXIFS($J:$J,$D:$D,D866))</x:f>
        <x:v>1</x:v>
      </x:c>
      <x:c r="N866" t="str">
        <x:f>IF(L866="","",L866/_xlfn.MAXIFS($L:$L,$D:$D,D866))</x:f>
      </x:c>
      <x:c r="O866" t="str">
        <x:f>IF(OR(M866="",N866=""),"",SQRT(M866*N866))</x:f>
      </x:c>
      <x:c r="P866" t="str">
        <x:f>IF(OR(M866="",N866=""),"",M866^0.7*N866^0.3)</x:f>
      </x:c>
      <x:c r="Q866" t="str">
        <x:f>IF(OR(M866="",N866=""),"",M866^0.3*N866^0.7)</x:f>
      </x:c>
    </x:row>
    <x:row r="867" s="14" customFormat="1">
      <x:c r="A867" t="inlineStr">
        <x:is>
          <x:t xml:space="preserve">anthropic|claude-haiku-5-5|low|yes|fallback-na</x:t>
        </x:is>
      </x:c>
      <x:c r="B867" t="inlineStr">
        <x:is>
          <x:t xml:space="preserve">AA|v4.3.2</x:t>
        </x:is>
      </x:c>
      <x:c r="C867" t="n">
        <x:v>110</x:v>
      </x:c>
      <x:c r="D867" t="n">
        <x:v>20</x:v>
      </x:c>
      <x:c r="E867" t="n">
        <x:f>INDEX(Model_TestVersion_Stats!$W:$W,C867)</x:f>
        <x:v>29</x:v>
      </x:c>
      <x:c r="F867" t="n">
        <x:f>INDEX(Model_TestVersion_Stats!$O:$O,C867)</x:f>
        <x:v>0.02</x:v>
      </x:c>
      <x:c r="G867" t="str">
        <x:f>IF(INDEX(Model_TestVersion_Stats!$R:$R,C867)="","",INDEX(Model_TestVersion_Stats!$R:$R,C867)/60)</x:f>
      </x:c>
      <x:c r="H867" t="n">
        <x:f>IF(E867="","",E867-(D867-1))</x:f>
        <x:v>10</x:v>
      </x:c>
      <x:c r="I867" t="n">
        <x:f>IF(H867&gt;0,1,0)</x:f>
        <x:v>1</x:v>
      </x:c>
      <x:c r="J867" t="n">
        <x:f>IF(OR(I867=0,F867="",F867=0),"",H867/F867)</x:f>
        <x:v>500</x:v>
      </x:c>
      <x:c r="K867" t="n">
        <x:f>IF(OR(I867=0,H867=0,F867=""),"",F867/H867)</x:f>
        <x:v>0.002</x:v>
      </x:c>
      <x:c r="L867" t="str">
        <x:f>IF(OR(I867=0,F867="",G867="",F867=0,G867=0),"",H867/(F867*G867))</x:f>
      </x:c>
      <x:c r="M867" t="n">
        <x:f>IF(J867="","",J867/_xlfn.MAXIFS($J:$J,$D:$D,D867))</x:f>
        <x:v>0.9</x:v>
      </x:c>
      <x:c r="N867" t="str">
        <x:f>IF(L867="","",L867/_xlfn.MAXIFS($L:$L,$D:$D,D867))</x:f>
      </x:c>
      <x:c r="O867" t="str">
        <x:f>IF(OR(M867="",N867=""),"",SQRT(M867*N867))</x:f>
      </x:c>
      <x:c r="P867" t="str">
        <x:f>IF(OR(M867="",N867=""),"",M867^0.7*N867^0.3)</x:f>
      </x:c>
      <x:c r="Q867" t="str">
        <x:f>IF(OR(M867="",N867=""),"",M867^0.3*N867^0.7)</x:f>
      </x:c>
    </x:row>
    <x:row r="868" s="14" customFormat="1">
      <x:c r="A868" t="inlineStr">
        <x:is>
          <x:t xml:space="preserve">anthropic|claude-haiku-5-5|low|yes|fallback-na</x:t>
        </x:is>
      </x:c>
      <x:c r="B868" t="inlineStr">
        <x:is>
          <x:t xml:space="preserve">AA|v4.3.2</x:t>
        </x:is>
      </x:c>
      <x:c r="C868" t="n">
        <x:v>110</x:v>
      </x:c>
      <x:c r="D868" t="n">
        <x:v>30</x:v>
      </x:c>
      <x:c r="E868" t="n">
        <x:f>INDEX(Model_TestVersion_Stats!$W:$W,C868)</x:f>
        <x:v>29</x:v>
      </x:c>
      <x:c r="F868" t="n">
        <x:f>INDEX(Model_TestVersion_Stats!$O:$O,C868)</x:f>
        <x:v>0.02</x:v>
      </x:c>
      <x:c r="G868" t="str">
        <x:f>IF(INDEX(Model_TestVersion_Stats!$R:$R,C868)="","",INDEX(Model_TestVersion_Stats!$R:$R,C868)/60)</x:f>
      </x:c>
      <x:c r="H868" t="n">
        <x:f>IF(E868="","",E868-(D868-1))</x:f>
        <x:v>0</x:v>
      </x:c>
      <x:c r="I868" t="n">
        <x:f>IF(H868&gt;0,1,0)</x:f>
        <x:v>0</x:v>
      </x:c>
      <x:c r="J868" t="str">
        <x:f>IF(OR(I868=0,F868="",F868=0),"",H868/F868)</x:f>
      </x:c>
      <x:c r="K868" t="str">
        <x:f>IF(OR(I868=0,H868=0,F868=""),"",F868/H868)</x:f>
      </x:c>
      <x:c r="L868" t="str">
        <x:f>IF(OR(I868=0,F868="",G868="",F868=0,G868=0),"",H868/(F868*G868))</x:f>
      </x:c>
      <x:c r="M868" t="str">
        <x:f>IF(J868="","",J868/_xlfn.MAXIFS($J:$J,$D:$D,D868))</x:f>
      </x:c>
      <x:c r="N868" t="str">
        <x:f>IF(L868="","",L868/_xlfn.MAXIFS($L:$L,$D:$D,D868))</x:f>
      </x:c>
      <x:c r="O868" t="str">
        <x:f>IF(OR(M868="",N868=""),"",SQRT(M868*N868))</x:f>
      </x:c>
      <x:c r="P868" t="str">
        <x:f>IF(OR(M868="",N868=""),"",M868^0.7*N868^0.3)</x:f>
      </x:c>
      <x:c r="Q868" t="str">
        <x:f>IF(OR(M868="",N868=""),"",M868^0.3*N868^0.7)</x:f>
      </x:c>
    </x:row>
    <x:row r="869" s="14" customFormat="1">
      <x:c r="A869" t="inlineStr">
        <x:is>
          <x:t xml:space="preserve">anthropic|claude-haiku-5-5|low|yes|fallback-na</x:t>
        </x:is>
      </x:c>
      <x:c r="B869" t="inlineStr">
        <x:is>
          <x:t xml:space="preserve">AA|v4.3.2</x:t>
        </x:is>
      </x:c>
      <x:c r="C869" t="n">
        <x:v>110</x:v>
      </x:c>
      <x:c r="D869" t="n">
        <x:v>35</x:v>
      </x:c>
      <x:c r="E869" t="n">
        <x:f>INDEX(Model_TestVersion_Stats!$W:$W,C869)</x:f>
        <x:v>29</x:v>
      </x:c>
      <x:c r="F869" t="n">
        <x:f>INDEX(Model_TestVersion_Stats!$O:$O,C869)</x:f>
        <x:v>0.02</x:v>
      </x:c>
      <x:c r="G869" t="str">
        <x:f>IF(INDEX(Model_TestVersion_Stats!$R:$R,C869)="","",INDEX(Model_TestVersion_Stats!$R:$R,C869)/60)</x:f>
      </x:c>
      <x:c r="H869" t="n">
        <x:f>IF(E869="","",E869-(D869-1))</x:f>
        <x:v>-5</x:v>
      </x:c>
      <x:c r="I869" t="n">
        <x:f>IF(H869&gt;0,1,0)</x:f>
        <x:v>0</x:v>
      </x:c>
      <x:c r="J869" t="str">
        <x:f>IF(OR(I869=0,F869="",F869=0),"",H869/F869)</x:f>
      </x:c>
      <x:c r="K869" t="str">
        <x:f>IF(OR(I869=0,H869=0,F869=""),"",F869/H869)</x:f>
      </x:c>
      <x:c r="L869" t="str">
        <x:f>IF(OR(I869=0,F869="",G869="",F869=0,G869=0),"",H869/(F869*G869))</x:f>
      </x:c>
      <x:c r="M869" t="str">
        <x:f>IF(J869="","",J869/_xlfn.MAXIFS($J:$J,$D:$D,D869))</x:f>
      </x:c>
      <x:c r="N869" t="str">
        <x:f>IF(L869="","",L869/_xlfn.MAXIFS($L:$L,$D:$D,D869))</x:f>
      </x:c>
      <x:c r="O869" t="str">
        <x:f>IF(OR(M869="",N869=""),"",SQRT(M869*N869))</x:f>
      </x:c>
      <x:c r="P869" t="str">
        <x:f>IF(OR(M869="",N869=""),"",M869^0.7*N869^0.3)</x:f>
      </x:c>
      <x:c r="Q869" t="str">
        <x:f>IF(OR(M869="",N869=""),"",M869^0.3*N869^0.7)</x:f>
      </x:c>
    </x:row>
    <x:row r="870" s="14" customFormat="1">
      <x:c r="A870" t="inlineStr">
        <x:is>
          <x:t xml:space="preserve">anthropic|claude-haiku-5-5|low|yes|fallback-na</x:t>
        </x:is>
      </x:c>
      <x:c r="B870" t="inlineStr">
        <x:is>
          <x:t xml:space="preserve">AA|v4.3.2</x:t>
        </x:is>
      </x:c>
      <x:c r="C870" t="n">
        <x:v>110</x:v>
      </x:c>
      <x:c r="D870" t="n">
        <x:v>40</x:v>
      </x:c>
      <x:c r="E870" t="n">
        <x:f>INDEX(Model_TestVersion_Stats!$W:$W,C870)</x:f>
        <x:v>29</x:v>
      </x:c>
      <x:c r="F870" t="n">
        <x:f>INDEX(Model_TestVersion_Stats!$O:$O,C870)</x:f>
        <x:v>0.02</x:v>
      </x:c>
      <x:c r="G870" t="str">
        <x:f>IF(INDEX(Model_TestVersion_Stats!$R:$R,C870)="","",INDEX(Model_TestVersion_Stats!$R:$R,C870)/60)</x:f>
      </x:c>
      <x:c r="H870" t="n">
        <x:f>IF(E870="","",E870-(D870-1))</x:f>
        <x:v>-10</x:v>
      </x:c>
      <x:c r="I870" t="n">
        <x:f>IF(H870&gt;0,1,0)</x:f>
        <x:v>0</x:v>
      </x:c>
      <x:c r="J870" t="str">
        <x:f>IF(OR(I870=0,F870="",F870=0),"",H870/F870)</x:f>
      </x:c>
      <x:c r="K870" t="str">
        <x:f>IF(OR(I870=0,H870=0,F870=""),"",F870/H870)</x:f>
      </x:c>
      <x:c r="L870" t="str">
        <x:f>IF(OR(I870=0,F870="",G870="",F870=0,G870=0),"",H870/(F870*G870))</x:f>
      </x:c>
      <x:c r="M870" t="str">
        <x:f>IF(J870="","",J870/_xlfn.MAXIFS($J:$J,$D:$D,D870))</x:f>
      </x:c>
      <x:c r="N870" t="str">
        <x:f>IF(L870="","",L870/_xlfn.MAXIFS($L:$L,$D:$D,D870))</x:f>
      </x:c>
      <x:c r="O870" t="str">
        <x:f>IF(OR(M870="",N870=""),"",SQRT(M870*N870))</x:f>
      </x:c>
      <x:c r="P870" t="str">
        <x:f>IF(OR(M870="",N870=""),"",M870^0.7*N870^0.3)</x:f>
      </x:c>
      <x:c r="Q870" t="str">
        <x:f>IF(OR(M870="",N870=""),"",M870^0.3*N870^0.7)</x:f>
      </x:c>
    </x:row>
    <x:row r="871" s="14" customFormat="1">
      <x:c r="A871" t="inlineStr">
        <x:is>
          <x:t xml:space="preserve">anthropic|claude-haiku-5-5|low|yes|fallback-na</x:t>
        </x:is>
      </x:c>
      <x:c r="B871" t="inlineStr">
        <x:is>
          <x:t xml:space="preserve">AA|v4.3.2</x:t>
        </x:is>
      </x:c>
      <x:c r="C871" t="n">
        <x:v>110</x:v>
      </x:c>
      <x:c r="D871" t="n">
        <x:v>45</x:v>
      </x:c>
      <x:c r="E871" t="n">
        <x:f>INDEX(Model_TestVersion_Stats!$W:$W,C871)</x:f>
        <x:v>29</x:v>
      </x:c>
      <x:c r="F871" t="n">
        <x:f>INDEX(Model_TestVersion_Stats!$O:$O,C871)</x:f>
        <x:v>0.02</x:v>
      </x:c>
      <x:c r="G871" t="str">
        <x:f>IF(INDEX(Model_TestVersion_Stats!$R:$R,C871)="","",INDEX(Model_TestVersion_Stats!$R:$R,C871)/60)</x:f>
      </x:c>
      <x:c r="H871" t="n">
        <x:f>IF(E871="","",E871-(D871-1))</x:f>
        <x:v>-15</x:v>
      </x:c>
      <x:c r="I871" t="n">
        <x:f>IF(H871&gt;0,1,0)</x:f>
        <x:v>0</x:v>
      </x:c>
      <x:c r="J871" t="str">
        <x:f>IF(OR(I871=0,F871="",F871=0),"",H871/F871)</x:f>
      </x:c>
      <x:c r="K871" t="str">
        <x:f>IF(OR(I871=0,H871=0,F871=""),"",F871/H871)</x:f>
      </x:c>
      <x:c r="L871" t="str">
        <x:f>IF(OR(I871=0,F871="",G871="",F871=0,G871=0),"",H871/(F871*G871))</x:f>
      </x:c>
      <x:c r="M871" t="str">
        <x:f>IF(J871="","",J871/_xlfn.MAXIFS($J:$J,$D:$D,D871))</x:f>
      </x:c>
      <x:c r="N871" t="str">
        <x:f>IF(L871="","",L871/_xlfn.MAXIFS($L:$L,$D:$D,D871))</x:f>
      </x:c>
      <x:c r="O871" t="str">
        <x:f>IF(OR(M871="",N871=""),"",SQRT(M871*N871))</x:f>
      </x:c>
      <x:c r="P871" t="str">
        <x:f>IF(OR(M871="",N871=""),"",M871^0.7*N871^0.3)</x:f>
      </x:c>
      <x:c r="Q871" t="str">
        <x:f>IF(OR(M871="",N871=""),"",M871^0.3*N871^0.7)</x:f>
      </x:c>
    </x:row>
    <x:row r="872" s="14" customFormat="1">
      <x:c r="A872" t="inlineStr">
        <x:is>
          <x:t xml:space="preserve">anthropic|claude-haiku-5-5|low|yes|fallback-na</x:t>
        </x:is>
      </x:c>
      <x:c r="B872" t="inlineStr">
        <x:is>
          <x:t xml:space="preserve">AA|v4.3.2</x:t>
        </x:is>
      </x:c>
      <x:c r="C872" t="n">
        <x:v>110</x:v>
      </x:c>
      <x:c r="D872" t="n">
        <x:v>50</x:v>
      </x:c>
      <x:c r="E872" t="n">
        <x:f>INDEX(Model_TestVersion_Stats!$W:$W,C872)</x:f>
        <x:v>29</x:v>
      </x:c>
      <x:c r="F872" t="n">
        <x:f>INDEX(Model_TestVersion_Stats!$O:$O,C872)</x:f>
        <x:v>0.02</x:v>
      </x:c>
      <x:c r="G872" t="str">
        <x:f>IF(INDEX(Model_TestVersion_Stats!$R:$R,C872)="","",INDEX(Model_TestVersion_Stats!$R:$R,C872)/60)</x:f>
      </x:c>
      <x:c r="H872" t="n">
        <x:f>IF(E872="","",E872-(D872-1))</x:f>
        <x:v>-20</x:v>
      </x:c>
      <x:c r="I872" t="n">
        <x:f>IF(H872&gt;0,1,0)</x:f>
        <x:v>0</x:v>
      </x:c>
      <x:c r="J872" t="str">
        <x:f>IF(OR(I872=0,F872="",F872=0),"",H872/F872)</x:f>
      </x:c>
      <x:c r="K872" t="str">
        <x:f>IF(OR(I872=0,H872=0,F872=""),"",F872/H872)</x:f>
      </x:c>
      <x:c r="L872" t="str">
        <x:f>IF(OR(I872=0,F872="",G872="",F872=0,G872=0),"",H872/(F872*G872))</x:f>
      </x:c>
      <x:c r="M872" t="str">
        <x:f>IF(J872="","",J872/_xlfn.MAXIFS($J:$J,$D:$D,D872))</x:f>
      </x:c>
      <x:c r="N872" t="str">
        <x:f>IF(L872="","",L872/_xlfn.MAXIFS($L:$L,$D:$D,D872))</x:f>
      </x:c>
      <x:c r="O872" t="str">
        <x:f>IF(OR(M872="",N872=""),"",SQRT(M872*N872))</x:f>
      </x:c>
      <x:c r="P872" t="str">
        <x:f>IF(OR(M872="",N872=""),"",M872^0.7*N872^0.3)</x:f>
      </x:c>
      <x:c r="Q872" t="str">
        <x:f>IF(OR(M872="",N872=""),"",M872^0.3*N872^0.7)</x:f>
      </x:c>
    </x:row>
    <x:row r="873" s="14" customFormat="1">
      <x:c r="A873" t="inlineStr">
        <x:is>
          <x:t xml:space="preserve">anthropic|claude-haiku-5-5|low|yes|fallback-na</x:t>
        </x:is>
      </x:c>
      <x:c r="B873" t="inlineStr">
        <x:is>
          <x:t xml:space="preserve">AA|v4.3.2</x:t>
        </x:is>
      </x:c>
      <x:c r="C873" t="n">
        <x:v>110</x:v>
      </x:c>
      <x:c r="D873" t="n">
        <x:v>60</x:v>
      </x:c>
      <x:c r="E873" t="n">
        <x:f>INDEX(Model_TestVersion_Stats!$W:$W,C873)</x:f>
        <x:v>29</x:v>
      </x:c>
      <x:c r="F873" t="n">
        <x:f>INDEX(Model_TestVersion_Stats!$O:$O,C873)</x:f>
        <x:v>0.02</x:v>
      </x:c>
      <x:c r="G873" t="str">
        <x:f>IF(INDEX(Model_TestVersion_Stats!$R:$R,C873)="","",INDEX(Model_TestVersion_Stats!$R:$R,C873)/60)</x:f>
      </x:c>
      <x:c r="H873" t="n">
        <x:f>IF(E873="","",E873-(D873-1))</x:f>
        <x:v>-30</x:v>
      </x:c>
      <x:c r="I873" t="n">
        <x:f>IF(H873&gt;0,1,0)</x:f>
        <x:v>0</x:v>
      </x:c>
      <x:c r="J873" t="str">
        <x:f>IF(OR(I873=0,F873="",F873=0),"",H873/F873)</x:f>
      </x:c>
      <x:c r="K873" t="str">
        <x:f>IF(OR(I873=0,H873=0,F873=""),"",F873/H873)</x:f>
      </x:c>
      <x:c r="L873" t="str">
        <x:f>IF(OR(I873=0,F873="",G873="",F873=0,G873=0),"",H873/(F873*G873))</x:f>
      </x:c>
      <x:c r="M873" t="str">
        <x:f>IF(J873="","",J873/_xlfn.MAXIFS($J:$J,$D:$D,D873))</x:f>
      </x:c>
      <x:c r="N873" t="str">
        <x:f>IF(L873="","",L873/_xlfn.MAXIFS($L:$L,$D:$D,D873))</x:f>
      </x:c>
      <x:c r="O873" t="str">
        <x:f>IF(OR(M873="",N873=""),"",SQRT(M873*N873))</x:f>
      </x:c>
      <x:c r="P873" t="str">
        <x:f>IF(OR(M873="",N873=""),"",M873^0.7*N873^0.3)</x:f>
      </x:c>
      <x:c r="Q873" t="str">
        <x:f>IF(OR(M873="",N873=""),"",M873^0.3*N873^0.7)</x:f>
      </x:c>
    </x:row>
    <x:row r="874">
      <x:c r="A874" t="inlineStr">
        <x:is>
          <x:t xml:space="preserve">google|gemini-3-1-pro-preview|not-stated|reasoning|fallback-na</x:t>
        </x:is>
      </x:c>
      <x:c r="B874" t="inlineStr">
        <x:is>
          <x:t xml:space="preserve">AA|v4.3.2</x:t>
        </x:is>
      </x:c>
      <x:c r="C874" t="n">
        <x:v>111</x:v>
      </x:c>
      <x:c r="D874" t="n">
        <x:v>20</x:v>
      </x:c>
      <x:c r="E874" t="n">
        <x:f>INDEX(Model_TestVersion_Stats!$W:$W,C874)</x:f>
        <x:v>30</x:v>
      </x:c>
      <x:c r="F874" t="n">
        <x:f>INDEX(Model_TestVersion_Stats!$O:$O,C874)</x:f>
        <x:v>1.3</x:v>
      </x:c>
      <x:c r="G874" t="n">
        <x:f>IF(INDEX(Model_TestVersion_Stats!$R:$R,C874)="","",INDEX(Model_TestVersion_Stats!$R:$R,C874)/60)</x:f>
        <x:v>2.0586666666666664</x:v>
      </x:c>
      <x:c r="H874" t="n">
        <x:f>IF(E874="","",E874-(D874-1))</x:f>
        <x:v>11</x:v>
      </x:c>
      <x:c r="I874" t="n">
        <x:f>IF(H874&gt;0,1,0)</x:f>
        <x:v>1</x:v>
      </x:c>
      <x:c r="J874" t="n">
        <x:f>IF(OR(I874=0,F874="",F874=0),"",H874/F874)</x:f>
        <x:v>8.461538461538462</x:v>
      </x:c>
      <x:c r="K874" t="n">
        <x:f>IF(OR(I874=0,H874=0,F874=""),"",F874/H874)</x:f>
        <x:v>0.11818181818181818</x:v>
      </x:c>
      <x:c r="L874" t="n">
        <x:f>IF(OR(I874=0,F874="",G874="",F874=0,G874=0),"",H874/(F874*G874))</x:f>
        <x:v>4.110203268234357</x:v>
      </x:c>
      <x:c r="M874" t="n">
        <x:f>IF(J874="","",J874/_xlfn.MAXIFS($J:$J,$D:$D,D874))</x:f>
        <x:v>0.015230769230769232</x:v>
      </x:c>
      <x:c r="N874" t="n">
        <x:f>IF(L874="","",L874/_xlfn.MAXIFS($L:$L,$D:$D,D874))</x:f>
        <x:v>0.001742315165404544</x:v>
      </x:c>
      <x:c r="O874" t="n">
        <x:f>IF(OR(M874="",N874=""),"",SQRT(M874*N874))</x:f>
        <x:v>0.005151388182960602</x:v>
      </x:c>
      <x:c r="P874" t="n">
        <x:f>IF(OR(M874="",N874=""),"",M874^0.7*N874^0.3)</x:f>
        <x:v>0.007947733600773199</x:v>
      </x:c>
      <x:c r="Q874" t="n">
        <x:f>IF(OR(M874="",N874=""),"",M874^0.3*N874^0.7)</x:f>
        <x:v>0.003338914153962647</x:v>
      </x:c>
    </x:row>
    <x:row r="875">
      <x:c r="A875" t="inlineStr">
        <x:is>
          <x:t xml:space="preserve">google|gemini-3-1-pro-preview|not-stated|reasoning|fallback-na</x:t>
        </x:is>
      </x:c>
      <x:c r="B875" t="inlineStr">
        <x:is>
          <x:t xml:space="preserve">AA|v4.3.2</x:t>
        </x:is>
      </x:c>
      <x:c r="C875" t="n">
        <x:v>111</x:v>
      </x:c>
      <x:c r="D875" t="n">
        <x:v>30</x:v>
      </x:c>
      <x:c r="E875" t="n">
        <x:f>INDEX(Model_TestVersion_Stats!$W:$W,C875)</x:f>
        <x:v>30</x:v>
      </x:c>
      <x:c r="F875" t="n">
        <x:f>INDEX(Model_TestVersion_Stats!$O:$O,C875)</x:f>
        <x:v>1.3</x:v>
      </x:c>
      <x:c r="G875" t="n">
        <x:f>IF(INDEX(Model_TestVersion_Stats!$R:$R,C875)="","",INDEX(Model_TestVersion_Stats!$R:$R,C875)/60)</x:f>
        <x:v>2.0586666666666664</x:v>
      </x:c>
      <x:c r="H875" t="n">
        <x:f>IF(E875="","",E875-(D875-1))</x:f>
        <x:v>1</x:v>
      </x:c>
      <x:c r="I875" t="n">
        <x:f>IF(H875&gt;0,1,0)</x:f>
        <x:v>1</x:v>
      </x:c>
      <x:c r="J875" t="n">
        <x:f>IF(OR(I875=0,F875="",F875=0),"",H875/F875)</x:f>
        <x:v>0.7692307692307692</x:v>
      </x:c>
      <x:c r="K875" t="n">
        <x:f>IF(OR(I875=0,H875=0,F875=""),"",F875/H875)</x:f>
        <x:v>1.3</x:v>
      </x:c>
      <x:c r="L875" t="n">
        <x:f>IF(OR(I875=0,F875="",G875="",F875=0,G875=0),"",H875/(F875*G875))</x:f>
        <x:v>0.3736548425667597</x:v>
      </x:c>
      <x:c r="M875" t="n">
        <x:f>IF(J875="","",J875/_xlfn.MAXIFS($J:$J,$D:$D,D875))</x:f>
        <x:v>0.005128205128205127</x:v>
      </x:c>
      <x:c r="N875" t="n">
        <x:f>IF(L875="","",L875/_xlfn.MAXIFS($L:$L,$D:$D,D875))</x:f>
        <x:v>0.006649935233160623</x:v>
      </x:c>
      <x:c r="O875" t="n">
        <x:f>IF(OR(M875="",N875=""),"",SQRT(M875*N875))</x:f>
        <x:v>0.005839711633713283</x:v>
      </x:c>
      <x:c r="P875" t="n">
        <x:f>IF(OR(M875="",N875=""),"",M875^0.7*N875^0.3)</x:f>
        <x:v>0.00554397159804471</x:v>
      </x:c>
      <x:c r="Q875" t="n">
        <x:f>IF(OR(M875="",N875=""),"",M875^0.3*N875^0.7)</x:f>
        <x:v>0.006151227754657639</x:v>
      </x:c>
    </x:row>
    <x:row r="876">
      <x:c r="A876" t="inlineStr">
        <x:is>
          <x:t xml:space="preserve">google|gemini-3-1-pro-preview|not-stated|reasoning|fallback-na</x:t>
        </x:is>
      </x:c>
      <x:c r="B876" t="inlineStr">
        <x:is>
          <x:t xml:space="preserve">AA|v4.3.2</x:t>
        </x:is>
      </x:c>
      <x:c r="C876" t="n">
        <x:v>111</x:v>
      </x:c>
      <x:c r="D876" t="n">
        <x:v>40</x:v>
      </x:c>
      <x:c r="E876" t="n">
        <x:f>INDEX(Model_TestVersion_Stats!$W:$W,C876)</x:f>
        <x:v>30</x:v>
      </x:c>
      <x:c r="F876" t="n">
        <x:f>INDEX(Model_TestVersion_Stats!$O:$O,C876)</x:f>
        <x:v>1.3</x:v>
      </x:c>
      <x:c r="G876" t="n">
        <x:f>IF(INDEX(Model_TestVersion_Stats!$R:$R,C876)="","",INDEX(Model_TestVersion_Stats!$R:$R,C876)/60)</x:f>
        <x:v>2.0586666666666664</x:v>
      </x:c>
      <x:c r="H876" t="n">
        <x:f>IF(E876="","",E876-(D876-1))</x:f>
        <x:v>-9</x:v>
      </x:c>
      <x:c r="I876" t="n">
        <x:f>IF(H876&gt;0,1,0)</x:f>
        <x:v>0</x:v>
      </x:c>
      <x:c r="J876" t="str">
        <x:f>IF(OR(I876=0,F876="",F876=0),"",H876/F876)</x:f>
      </x:c>
      <x:c r="K876" t="str">
        <x:f>IF(OR(I876=0,H876=0,F876=""),"",F876/H876)</x:f>
      </x:c>
      <x:c r="L876" t="str">
        <x:f>IF(OR(I876=0,F876="",G876="",F876=0,G876=0),"",H876/(F876*G876))</x:f>
      </x:c>
      <x:c r="M876" t="str">
        <x:f>IF(J876="","",J876/_xlfn.MAXIFS($J:$J,$D:$D,D876))</x:f>
      </x:c>
      <x:c r="N876" t="str">
        <x:f>IF(L876="","",L876/_xlfn.MAXIFS($L:$L,$D:$D,D876))</x:f>
      </x:c>
      <x:c r="O876" t="str">
        <x:f>IF(OR(M876="",N876=""),"",SQRT(M876*N876))</x:f>
      </x:c>
      <x:c r="P876" t="str">
        <x:f>IF(OR(M876="",N876=""),"",M876^0.7*N876^0.3)</x:f>
      </x:c>
      <x:c r="Q876" t="str">
        <x:f>IF(OR(M876="",N876=""),"",M876^0.3*N876^0.7)</x:f>
      </x:c>
    </x:row>
    <x:row r="877">
      <x:c r="A877" t="inlineStr">
        <x:is>
          <x:t xml:space="preserve">google|gemini-3-1-pro-preview|not-stated|reasoning|fallback-na</x:t>
        </x:is>
      </x:c>
      <x:c r="B877" t="inlineStr">
        <x:is>
          <x:t xml:space="preserve">AA|v4.3.2</x:t>
        </x:is>
      </x:c>
      <x:c r="C877" t="n">
        <x:v>111</x:v>
      </x:c>
      <x:c r="D877" t="n">
        <x:v>50</x:v>
      </x:c>
      <x:c r="E877" t="n">
        <x:f>INDEX(Model_TestVersion_Stats!$W:$W,C877)</x:f>
        <x:v>30</x:v>
      </x:c>
      <x:c r="F877" t="n">
        <x:f>INDEX(Model_TestVersion_Stats!$O:$O,C877)</x:f>
        <x:v>1.3</x:v>
      </x:c>
      <x:c r="G877" t="n">
        <x:f>IF(INDEX(Model_TestVersion_Stats!$R:$R,C877)="","",INDEX(Model_TestVersion_Stats!$R:$R,C877)/60)</x:f>
        <x:v>2.0586666666666664</x:v>
      </x:c>
      <x:c r="H877" t="n">
        <x:f>IF(E877="","",E877-(D877-1))</x:f>
        <x:v>-19</x:v>
      </x:c>
      <x:c r="I877" t="n">
        <x:f>IF(H877&gt;0,1,0)</x:f>
        <x:v>0</x:v>
      </x:c>
      <x:c r="J877" t="str">
        <x:f>IF(OR(I877=0,F877="",F877=0),"",H877/F877)</x:f>
      </x:c>
      <x:c r="K877" t="str">
        <x:f>IF(OR(I877=0,H877=0,F877=""),"",F877/H877)</x:f>
      </x:c>
      <x:c r="L877" t="str">
        <x:f>IF(OR(I877=0,F877="",G877="",F877=0,G877=0),"",H877/(F877*G877))</x:f>
      </x:c>
      <x:c r="M877" t="str">
        <x:f>IF(J877="","",J877/_xlfn.MAXIFS($J:$J,$D:$D,D877))</x:f>
      </x:c>
      <x:c r="N877" t="str">
        <x:f>IF(L877="","",L877/_xlfn.MAXIFS($L:$L,$D:$D,D877))</x:f>
      </x:c>
      <x:c r="O877" t="str">
        <x:f>IF(OR(M877="",N877=""),"",SQRT(M877*N877))</x:f>
      </x:c>
      <x:c r="P877" t="str">
        <x:f>IF(OR(M877="",N877=""),"",M877^0.7*N877^0.3)</x:f>
      </x:c>
      <x:c r="Q877" t="str">
        <x:f>IF(OR(M877="",N877=""),"",M877^0.3*N877^0.7)</x:f>
      </x:c>
    </x:row>
    <x:row r="878">
      <x:c r="A878" t="inlineStr">
        <x:is>
          <x:t xml:space="preserve">google|gemini-3-1-pro-preview|not-stated|reasoning|fallback-na</x:t>
        </x:is>
      </x:c>
      <x:c r="B878" t="inlineStr">
        <x:is>
          <x:t xml:space="preserve">AA|v4.3.2</x:t>
        </x:is>
      </x:c>
      <x:c r="C878" t="n">
        <x:v>111</x:v>
      </x:c>
      <x:c r="D878" t="n">
        <x:v>60</x:v>
      </x:c>
      <x:c r="E878" t="n">
        <x:f>INDEX(Model_TestVersion_Stats!$W:$W,C878)</x:f>
        <x:v>30</x:v>
      </x:c>
      <x:c r="F878" t="n">
        <x:f>INDEX(Model_TestVersion_Stats!$O:$O,C878)</x:f>
        <x:v>1.3</x:v>
      </x:c>
      <x:c r="G878" t="n">
        <x:f>IF(INDEX(Model_TestVersion_Stats!$R:$R,C878)="","",INDEX(Model_TestVersion_Stats!$R:$R,C878)/60)</x:f>
        <x:v>2.0586666666666664</x:v>
      </x:c>
      <x:c r="H878" t="n">
        <x:f>IF(E878="","",E878-(D878-1))</x:f>
        <x:v>-29</x:v>
      </x:c>
      <x:c r="I878" t="n">
        <x:f>IF(H878&gt;0,1,0)</x:f>
        <x:v>0</x:v>
      </x:c>
      <x:c r="J878" t="str">
        <x:f>IF(OR(I878=0,F878="",F878=0),"",H878/F878)</x:f>
      </x:c>
      <x:c r="K878" t="str">
        <x:f>IF(OR(I878=0,H878=0,F878=""),"",F878/H878)</x:f>
      </x:c>
      <x:c r="L878" t="str">
        <x:f>IF(OR(I878=0,F878="",G878="",F878=0,G878=0),"",H878/(F878*G878))</x:f>
      </x:c>
      <x:c r="M878" t="str">
        <x:f>IF(J878="","",J878/_xlfn.MAXIFS($J:$J,$D:$D,D878))</x:f>
      </x:c>
      <x:c r="N878" t="str">
        <x:f>IF(L878="","",L878/_xlfn.MAXIFS($L:$L,$D:$D,D878))</x:f>
      </x:c>
      <x:c r="O878" t="str">
        <x:f>IF(OR(M878="",N878=""),"",SQRT(M878*N878))</x:f>
      </x:c>
      <x:c r="P878" t="str">
        <x:f>IF(OR(M878="",N878=""),"",M878^0.7*N878^0.3)</x:f>
      </x:c>
      <x:c r="Q878" t="str">
        <x:f>IF(OR(M878="",N878=""),"",M878^0.3*N878^0.7)</x:f>
      </x:c>
    </x:row>
    <x:row r="879">
      <x:c r="A879" t="inlineStr">
        <x:is>
          <x:t xml:space="preserve">google|gemini-3-1-pro-preview|not-stated|reasoning|fallback-na</x:t>
        </x:is>
      </x:c>
      <x:c r="B879" t="inlineStr">
        <x:is>
          <x:t xml:space="preserve">AA|v4.3.2</x:t>
        </x:is>
      </x:c>
      <x:c r="C879" t="n">
        <x:v>111</x:v>
      </x:c>
      <x:c r="D879" t="n">
        <x:v>70</x:v>
      </x:c>
      <x:c r="E879" t="n">
        <x:f>INDEX(Model_TestVersion_Stats!$W:$W,C879)</x:f>
        <x:v>30</x:v>
      </x:c>
      <x:c r="F879" t="n">
        <x:f>INDEX(Model_TestVersion_Stats!$O:$O,C879)</x:f>
        <x:v>1.3</x:v>
      </x:c>
      <x:c r="G879" t="n">
        <x:f>IF(INDEX(Model_TestVersion_Stats!$R:$R,C879)="","",INDEX(Model_TestVersion_Stats!$R:$R,C879)/60)</x:f>
        <x:v>2.0586666666666664</x:v>
      </x:c>
      <x:c r="H879" t="n">
        <x:f>IF(E879="","",E879-(D879-1))</x:f>
        <x:v>-39</x:v>
      </x:c>
      <x:c r="I879" t="n">
        <x:f>IF(H879&gt;0,1,0)</x:f>
        <x:v>0</x:v>
      </x:c>
      <x:c r="J879" t="str">
        <x:f>IF(OR(I879=0,F879="",F879=0),"",H879/F879)</x:f>
      </x:c>
      <x:c r="K879" t="str">
        <x:f>IF(OR(I879=0,H879=0,F879=""),"",F879/H879)</x:f>
      </x:c>
      <x:c r="L879" t="str">
        <x:f>IF(OR(I879=0,F879="",G879="",F879=0,G879=0),"",H879/(F879*G879))</x:f>
      </x:c>
      <x:c r="M879" t="str">
        <x:f>IF(J879="","",J879/_xlfn.MAXIFS($J:$J,$D:$D,D879))</x:f>
      </x:c>
      <x:c r="N879" t="str">
        <x:f>IF(L879="","",L879/_xlfn.MAXIFS($L:$L,$D:$D,D879))</x:f>
      </x:c>
      <x:c r="O879" t="str">
        <x:f>IF(OR(M879="",N879=""),"",SQRT(M879*N879))</x:f>
      </x:c>
      <x:c r="P879" t="str">
        <x:f>IF(OR(M879="",N879=""),"",M879^0.7*N879^0.3)</x:f>
      </x:c>
      <x:c r="Q879" t="str">
        <x:f>IF(OR(M879="",N879=""),"",M879^0.3*N879^0.7)</x:f>
      </x:c>
    </x:row>
    <x:row r="880">
      <x:c r="A880" t="inlineStr">
        <x:is>
          <x:t xml:space="preserve">google|gemini-3-1-pro-preview|not-stated|reasoning|fallback-na</x:t>
        </x:is>
      </x:c>
      <x:c r="B880" t="inlineStr">
        <x:is>
          <x:t xml:space="preserve">AA|v4.3.2</x:t>
        </x:is>
      </x:c>
      <x:c r="C880" t="n">
        <x:v>111</x:v>
      </x:c>
      <x:c r="D880" t="n">
        <x:v>80</x:v>
      </x:c>
      <x:c r="E880" t="n">
        <x:f>INDEX(Model_TestVersion_Stats!$W:$W,C880)</x:f>
        <x:v>30</x:v>
      </x:c>
      <x:c r="F880" t="n">
        <x:f>INDEX(Model_TestVersion_Stats!$O:$O,C880)</x:f>
        <x:v>1.3</x:v>
      </x:c>
      <x:c r="G880" t="n">
        <x:f>IF(INDEX(Model_TestVersion_Stats!$R:$R,C880)="","",INDEX(Model_TestVersion_Stats!$R:$R,C880)/60)</x:f>
        <x:v>2.0586666666666664</x:v>
      </x:c>
      <x:c r="H880" t="n">
        <x:f>IF(E880="","",E880-(D880-1))</x:f>
        <x:v>-49</x:v>
      </x:c>
      <x:c r="I880" t="n">
        <x:f>IF(H880&gt;0,1,0)</x:f>
        <x:v>0</x:v>
      </x:c>
      <x:c r="J880" t="str">
        <x:f>IF(OR(I880=0,F880="",F880=0),"",H880/F880)</x:f>
      </x:c>
      <x:c r="K880" t="str">
        <x:f>IF(OR(I880=0,H880=0,F880=""),"",F880/H880)</x:f>
      </x:c>
      <x:c r="L880" t="str">
        <x:f>IF(OR(I880=0,F880="",G880="",F880=0,G880=0),"",H880/(F880*G880))</x:f>
      </x:c>
      <x:c r="M880" t="str">
        <x:f>IF(J880="","",J880/_xlfn.MAXIFS($J:$J,$D:$D,D880))</x:f>
      </x:c>
      <x:c r="N880" t="str">
        <x:f>IF(L880="","",L880/_xlfn.MAXIFS($L:$L,$D:$D,D880))</x:f>
      </x:c>
      <x:c r="O880" t="str">
        <x:f>IF(OR(M880="",N880=""),"",SQRT(M880*N880))</x:f>
      </x:c>
      <x:c r="P880" t="str">
        <x:f>IF(OR(M880="",N880=""),"",M880^0.7*N880^0.3)</x:f>
      </x:c>
      <x:c r="Q880" t="str">
        <x:f>IF(OR(M880="",N880=""),"",M880^0.3*N880^0.7)</x:f>
      </x:c>
    </x:row>
    <x:row r="881">
      <x:c r="A881" t="inlineStr">
        <x:is>
          <x:t xml:space="preserve">google|gemini-3-1-pro-preview|not-stated|reasoning|fallback-na</x:t>
        </x:is>
      </x:c>
      <x:c r="B881" t="inlineStr">
        <x:is>
          <x:t xml:space="preserve">AA|v4.3.2</x:t>
        </x:is>
      </x:c>
      <x:c r="C881" t="n">
        <x:v>111</x:v>
      </x:c>
      <x:c r="D881" t="n">
        <x:v>90</x:v>
      </x:c>
      <x:c r="E881" t="n">
        <x:f>INDEX(Model_TestVersion_Stats!$W:$W,C881)</x:f>
        <x:v>30</x:v>
      </x:c>
      <x:c r="F881" t="n">
        <x:f>INDEX(Model_TestVersion_Stats!$O:$O,C881)</x:f>
        <x:v>1.3</x:v>
      </x:c>
      <x:c r="G881" t="n">
        <x:f>IF(INDEX(Model_TestVersion_Stats!$R:$R,C881)="","",INDEX(Model_TestVersion_Stats!$R:$R,C881)/60)</x:f>
        <x:v>2.0586666666666664</x:v>
      </x:c>
      <x:c r="H881" t="n">
        <x:f>IF(E881="","",E881-(D881-1))</x:f>
        <x:v>-59</x:v>
      </x:c>
      <x:c r="I881" t="n">
        <x:f>IF(H881&gt;0,1,0)</x:f>
        <x:v>0</x:v>
      </x:c>
      <x:c r="J881" t="str">
        <x:f>IF(OR(I881=0,F881="",F881=0),"",H881/F881)</x:f>
      </x:c>
      <x:c r="K881" t="str">
        <x:f>IF(OR(I881=0,H881=0,F881=""),"",F881/H881)</x:f>
      </x:c>
      <x:c r="L881" t="str">
        <x:f>IF(OR(I881=0,F881="",G881="",F881=0,G881=0),"",H881/(F881*G881))</x:f>
      </x:c>
      <x:c r="M881" t="str">
        <x:f>IF(J881="","",J881/_xlfn.MAXIFS($J:$J,$D:$D,D881))</x:f>
      </x:c>
      <x:c r="N881" t="str">
        <x:f>IF(L881="","",L881/_xlfn.MAXIFS($L:$L,$D:$D,D881))</x:f>
      </x:c>
      <x:c r="O881" t="str">
        <x:f>IF(OR(M881="",N881=""),"",SQRT(M881*N881))</x:f>
      </x:c>
      <x:c r="P881" t="str">
        <x:f>IF(OR(M881="",N881=""),"",M881^0.7*N881^0.3)</x:f>
      </x:c>
      <x:c r="Q881" t="str">
        <x:f>IF(OR(M881="",N881=""),"",M881^0.3*N881^0.7)</x:f>
      </x:c>
    </x:row>
    <x:row r="882">
      <x:c r="A882" t="inlineStr">
        <x:is>
          <x:t xml:space="preserve">google|gemini-3-5-flash|high|reasoning|fallback-na</x:t>
        </x:is>
      </x:c>
      <x:c r="B882" t="inlineStr">
        <x:is>
          <x:t xml:space="preserve">AA|v4.3.2</x:t>
        </x:is>
      </x:c>
      <x:c r="C882" t="n">
        <x:v>112</x:v>
      </x:c>
      <x:c r="D882" t="n">
        <x:v>20</x:v>
      </x:c>
      <x:c r="E882" t="n">
        <x:f>INDEX(Model_TestVersion_Stats!$W:$W,C882)</x:f>
        <x:v>33</x:v>
      </x:c>
      <x:c r="F882" t="n">
        <x:f>INDEX(Model_TestVersion_Stats!$O:$O,C882)</x:f>
        <x:v>3.69</x:v>
      </x:c>
      <x:c r="G882" t="str">
        <x:f>IF(INDEX(Model_TestVersion_Stats!$R:$R,C882)="","",INDEX(Model_TestVersion_Stats!$R:$R,C882)/60)</x:f>
      </x:c>
      <x:c r="H882" t="n">
        <x:f>IF(E882="","",E882-(D882-1))</x:f>
        <x:v>14</x:v>
      </x:c>
      <x:c r="I882" t="n">
        <x:f>IF(H882&gt;0,1,0)</x:f>
        <x:v>1</x:v>
      </x:c>
      <x:c r="J882" t="n">
        <x:f>IF(OR(I882=0,F882="",F882=0),"",H882/F882)</x:f>
        <x:v>3.794037940379404</x:v>
      </x:c>
      <x:c r="K882" t="n">
        <x:f>IF(OR(I882=0,H882=0,F882=""),"",F882/H882)</x:f>
        <x:v>0.26357142857142857</x:v>
      </x:c>
      <x:c r="L882" t="str">
        <x:f>IF(OR(I882=0,F882="",G882="",F882=0,G882=0),"",H882/(F882*G882))</x:f>
      </x:c>
      <x:c r="M882" t="n">
        <x:f>IF(J882="","",J882/_xlfn.MAXIFS($J:$J,$D:$D,D882))</x:f>
        <x:v>0.006829268292682928</x:v>
      </x:c>
      <x:c r="N882" t="str">
        <x:f>IF(L882="","",L882/_xlfn.MAXIFS($L:$L,$D:$D,D882))</x:f>
      </x:c>
      <x:c r="O882" t="str">
        <x:f>IF(OR(M882="",N882=""),"",SQRT(M882*N882))</x:f>
      </x:c>
      <x:c r="P882" t="str">
        <x:f>IF(OR(M882="",N882=""),"",M882^0.7*N882^0.3)</x:f>
      </x:c>
      <x:c r="Q882" t="str">
        <x:f>IF(OR(M882="",N882=""),"",M882^0.3*N882^0.7)</x:f>
      </x:c>
    </x:row>
    <x:row r="883">
      <x:c r="A883" t="inlineStr">
        <x:is>
          <x:t xml:space="preserve">google|gemini-3-5-flash|high|reasoning|fallback-na</x:t>
        </x:is>
      </x:c>
      <x:c r="B883" t="inlineStr">
        <x:is>
          <x:t xml:space="preserve">AA|v4.3.2</x:t>
        </x:is>
      </x:c>
      <x:c r="C883" t="n">
        <x:v>112</x:v>
      </x:c>
      <x:c r="D883" t="n">
        <x:v>30</x:v>
      </x:c>
      <x:c r="E883" t="n">
        <x:f>INDEX(Model_TestVersion_Stats!$W:$W,C883)</x:f>
        <x:v>33</x:v>
      </x:c>
      <x:c r="F883" t="n">
        <x:f>INDEX(Model_TestVersion_Stats!$O:$O,C883)</x:f>
        <x:v>3.69</x:v>
      </x:c>
      <x:c r="G883" t="str">
        <x:f>IF(INDEX(Model_TestVersion_Stats!$R:$R,C883)="","",INDEX(Model_TestVersion_Stats!$R:$R,C883)/60)</x:f>
      </x:c>
      <x:c r="H883" t="n">
        <x:f>IF(E883="","",E883-(D883-1))</x:f>
        <x:v>4</x:v>
      </x:c>
      <x:c r="I883" t="n">
        <x:f>IF(H883&gt;0,1,0)</x:f>
        <x:v>1</x:v>
      </x:c>
      <x:c r="J883" t="n">
        <x:f>IF(OR(I883=0,F883="",F883=0),"",H883/F883)</x:f>
        <x:v>1.0840108401084012</x:v>
      </x:c>
      <x:c r="K883" t="n">
        <x:f>IF(OR(I883=0,H883=0,F883=""),"",F883/H883)</x:f>
        <x:v>0.9225</x:v>
      </x:c>
      <x:c r="L883" t="str">
        <x:f>IF(OR(I883=0,F883="",G883="",F883=0,G883=0),"",H883/(F883*G883))</x:f>
      </x:c>
      <x:c r="M883" t="n">
        <x:f>IF(J883="","",J883/_xlfn.MAXIFS($J:$J,$D:$D,D883))</x:f>
        <x:v>0.007226738934056008</x:v>
      </x:c>
      <x:c r="N883" t="str">
        <x:f>IF(L883="","",L883/_xlfn.MAXIFS($L:$L,$D:$D,D883))</x:f>
      </x:c>
      <x:c r="O883" t="str">
        <x:f>IF(OR(M883="",N883=""),"",SQRT(M883*N883))</x:f>
      </x:c>
      <x:c r="P883" t="str">
        <x:f>IF(OR(M883="",N883=""),"",M883^0.7*N883^0.3)</x:f>
      </x:c>
      <x:c r="Q883" t="str">
        <x:f>IF(OR(M883="",N883=""),"",M883^0.3*N883^0.7)</x:f>
      </x:c>
    </x:row>
    <x:row r="884">
      <x:c r="A884" t="inlineStr">
        <x:is>
          <x:t xml:space="preserve">google|gemini-3-5-flash|high|reasoning|fallback-na</x:t>
        </x:is>
      </x:c>
      <x:c r="B884" t="inlineStr">
        <x:is>
          <x:t xml:space="preserve">AA|v4.3.2</x:t>
        </x:is>
      </x:c>
      <x:c r="C884" t="n">
        <x:v>112</x:v>
      </x:c>
      <x:c r="D884" t="n">
        <x:v>40</x:v>
      </x:c>
      <x:c r="E884" t="n">
        <x:f>INDEX(Model_TestVersion_Stats!$W:$W,C884)</x:f>
        <x:v>33</x:v>
      </x:c>
      <x:c r="F884" t="n">
        <x:f>INDEX(Model_TestVersion_Stats!$O:$O,C884)</x:f>
        <x:v>3.69</x:v>
      </x:c>
      <x:c r="G884" t="str">
        <x:f>IF(INDEX(Model_TestVersion_Stats!$R:$R,C884)="","",INDEX(Model_TestVersion_Stats!$R:$R,C884)/60)</x:f>
      </x:c>
      <x:c r="H884" t="n">
        <x:f>IF(E884="","",E884-(D884-1))</x:f>
        <x:v>-6</x:v>
      </x:c>
      <x:c r="I884" t="n">
        <x:f>IF(H884&gt;0,1,0)</x:f>
        <x:v>0</x:v>
      </x:c>
      <x:c r="J884" t="str">
        <x:f>IF(OR(I884=0,F884="",F884=0),"",H884/F884)</x:f>
      </x:c>
      <x:c r="K884" t="str">
        <x:f>IF(OR(I884=0,H884=0,F884=""),"",F884/H884)</x:f>
      </x:c>
      <x:c r="L884" t="str">
        <x:f>IF(OR(I884=0,F884="",G884="",F884=0,G884=0),"",H884/(F884*G884))</x:f>
      </x:c>
      <x:c r="M884" t="str">
        <x:f>IF(J884="","",J884/_xlfn.MAXIFS($J:$J,$D:$D,D884))</x:f>
      </x:c>
      <x:c r="N884" t="str">
        <x:f>IF(L884="","",L884/_xlfn.MAXIFS($L:$L,$D:$D,D884))</x:f>
      </x:c>
      <x:c r="O884" t="str">
        <x:f>IF(OR(M884="",N884=""),"",SQRT(M884*N884))</x:f>
      </x:c>
      <x:c r="P884" t="str">
        <x:f>IF(OR(M884="",N884=""),"",M884^0.7*N884^0.3)</x:f>
      </x:c>
      <x:c r="Q884" t="str">
        <x:f>IF(OR(M884="",N884=""),"",M884^0.3*N884^0.7)</x:f>
      </x:c>
    </x:row>
    <x:row r="885">
      <x:c r="A885" t="inlineStr">
        <x:is>
          <x:t xml:space="preserve">google|gemini-3-5-flash|high|reasoning|fallback-na</x:t>
        </x:is>
      </x:c>
      <x:c r="B885" t="inlineStr">
        <x:is>
          <x:t xml:space="preserve">AA|v4.3.2</x:t>
        </x:is>
      </x:c>
      <x:c r="C885" t="n">
        <x:v>112</x:v>
      </x:c>
      <x:c r="D885" t="n">
        <x:v>50</x:v>
      </x:c>
      <x:c r="E885" t="n">
        <x:f>INDEX(Model_TestVersion_Stats!$W:$W,C885)</x:f>
        <x:v>33</x:v>
      </x:c>
      <x:c r="F885" t="n">
        <x:f>INDEX(Model_TestVersion_Stats!$O:$O,C885)</x:f>
        <x:v>3.69</x:v>
      </x:c>
      <x:c r="G885" t="str">
        <x:f>IF(INDEX(Model_TestVersion_Stats!$R:$R,C885)="","",INDEX(Model_TestVersion_Stats!$R:$R,C885)/60)</x:f>
      </x:c>
      <x:c r="H885" t="n">
        <x:f>IF(E885="","",E885-(D885-1))</x:f>
        <x:v>-16</x:v>
      </x:c>
      <x:c r="I885" t="n">
        <x:f>IF(H885&gt;0,1,0)</x:f>
        <x:v>0</x:v>
      </x:c>
      <x:c r="J885" t="str">
        <x:f>IF(OR(I885=0,F885="",F885=0),"",H885/F885)</x:f>
      </x:c>
      <x:c r="K885" t="str">
        <x:f>IF(OR(I885=0,H885=0,F885=""),"",F885/H885)</x:f>
      </x:c>
      <x:c r="L885" t="str">
        <x:f>IF(OR(I885=0,F885="",G885="",F885=0,G885=0),"",H885/(F885*G885))</x:f>
      </x:c>
      <x:c r="M885" t="str">
        <x:f>IF(J885="","",J885/_xlfn.MAXIFS($J:$J,$D:$D,D885))</x:f>
      </x:c>
      <x:c r="N885" t="str">
        <x:f>IF(L885="","",L885/_xlfn.MAXIFS($L:$L,$D:$D,D885))</x:f>
      </x:c>
      <x:c r="O885" t="str">
        <x:f>IF(OR(M885="",N885=""),"",SQRT(M885*N885))</x:f>
      </x:c>
      <x:c r="P885" t="str">
        <x:f>IF(OR(M885="",N885=""),"",M885^0.7*N885^0.3)</x:f>
      </x:c>
      <x:c r="Q885" t="str">
        <x:f>IF(OR(M885="",N885=""),"",M885^0.3*N885^0.7)</x:f>
      </x:c>
    </x:row>
    <x:row r="886">
      <x:c r="A886" t="inlineStr">
        <x:is>
          <x:t xml:space="preserve">google|gemini-3-5-flash|high|reasoning|fallback-na</x:t>
        </x:is>
      </x:c>
      <x:c r="B886" t="inlineStr">
        <x:is>
          <x:t xml:space="preserve">AA|v4.3.2</x:t>
        </x:is>
      </x:c>
      <x:c r="C886" t="n">
        <x:v>112</x:v>
      </x:c>
      <x:c r="D886" t="n">
        <x:v>60</x:v>
      </x:c>
      <x:c r="E886" t="n">
        <x:f>INDEX(Model_TestVersion_Stats!$W:$W,C886)</x:f>
        <x:v>33</x:v>
      </x:c>
      <x:c r="F886" t="n">
        <x:f>INDEX(Model_TestVersion_Stats!$O:$O,C886)</x:f>
        <x:v>3.69</x:v>
      </x:c>
      <x:c r="G886" t="str">
        <x:f>IF(INDEX(Model_TestVersion_Stats!$R:$R,C886)="","",INDEX(Model_TestVersion_Stats!$R:$R,C886)/60)</x:f>
      </x:c>
      <x:c r="H886" t="n">
        <x:f>IF(E886="","",E886-(D886-1))</x:f>
        <x:v>-26</x:v>
      </x:c>
      <x:c r="I886" t="n">
        <x:f>IF(H886&gt;0,1,0)</x:f>
        <x:v>0</x:v>
      </x:c>
      <x:c r="J886" t="str">
        <x:f>IF(OR(I886=0,F886="",F886=0),"",H886/F886)</x:f>
      </x:c>
      <x:c r="K886" t="str">
        <x:f>IF(OR(I886=0,H886=0,F886=""),"",F886/H886)</x:f>
      </x:c>
      <x:c r="L886" t="str">
        <x:f>IF(OR(I886=0,F886="",G886="",F886=0,G886=0),"",H886/(F886*G886))</x:f>
      </x:c>
      <x:c r="M886" t="str">
        <x:f>IF(J886="","",J886/_xlfn.MAXIFS($J:$J,$D:$D,D886))</x:f>
      </x:c>
      <x:c r="N886" t="str">
        <x:f>IF(L886="","",L886/_xlfn.MAXIFS($L:$L,$D:$D,D886))</x:f>
      </x:c>
      <x:c r="O886" t="str">
        <x:f>IF(OR(M886="",N886=""),"",SQRT(M886*N886))</x:f>
      </x:c>
      <x:c r="P886" t="str">
        <x:f>IF(OR(M886="",N886=""),"",M886^0.7*N886^0.3)</x:f>
      </x:c>
      <x:c r="Q886" t="str">
        <x:f>IF(OR(M886="",N886=""),"",M886^0.3*N886^0.7)</x:f>
      </x:c>
    </x:row>
    <x:row r="887">
      <x:c r="A887" t="inlineStr">
        <x:is>
          <x:t xml:space="preserve">google|gemini-3-5-flash|high|reasoning|fallback-na</x:t>
        </x:is>
      </x:c>
      <x:c r="B887" t="inlineStr">
        <x:is>
          <x:t xml:space="preserve">AA|v4.3.2</x:t>
        </x:is>
      </x:c>
      <x:c r="C887" t="n">
        <x:v>112</x:v>
      </x:c>
      <x:c r="D887" t="n">
        <x:v>70</x:v>
      </x:c>
      <x:c r="E887" t="n">
        <x:f>INDEX(Model_TestVersion_Stats!$W:$W,C887)</x:f>
        <x:v>33</x:v>
      </x:c>
      <x:c r="F887" t="n">
        <x:f>INDEX(Model_TestVersion_Stats!$O:$O,C887)</x:f>
        <x:v>3.69</x:v>
      </x:c>
      <x:c r="G887" t="str">
        <x:f>IF(INDEX(Model_TestVersion_Stats!$R:$R,C887)="","",INDEX(Model_TestVersion_Stats!$R:$R,C887)/60)</x:f>
      </x:c>
      <x:c r="H887" t="n">
        <x:f>IF(E887="","",E887-(D887-1))</x:f>
        <x:v>-36</x:v>
      </x:c>
      <x:c r="I887" t="n">
        <x:f>IF(H887&gt;0,1,0)</x:f>
        <x:v>0</x:v>
      </x:c>
      <x:c r="J887" t="str">
        <x:f>IF(OR(I887=0,F887="",F887=0),"",H887/F887)</x:f>
      </x:c>
      <x:c r="K887" t="str">
        <x:f>IF(OR(I887=0,H887=0,F887=""),"",F887/H887)</x:f>
      </x:c>
      <x:c r="L887" t="str">
        <x:f>IF(OR(I887=0,F887="",G887="",F887=0,G887=0),"",H887/(F887*G887))</x:f>
      </x:c>
      <x:c r="M887" t="str">
        <x:f>IF(J887="","",J887/_xlfn.MAXIFS($J:$J,$D:$D,D887))</x:f>
      </x:c>
      <x:c r="N887" t="str">
        <x:f>IF(L887="","",L887/_xlfn.MAXIFS($L:$L,$D:$D,D887))</x:f>
      </x:c>
      <x:c r="O887" t="str">
        <x:f>IF(OR(M887="",N887=""),"",SQRT(M887*N887))</x:f>
      </x:c>
      <x:c r="P887" t="str">
        <x:f>IF(OR(M887="",N887=""),"",M887^0.7*N887^0.3)</x:f>
      </x:c>
      <x:c r="Q887" t="str">
        <x:f>IF(OR(M887="",N887=""),"",M887^0.3*N887^0.7)</x:f>
      </x:c>
    </x:row>
    <x:row r="888">
      <x:c r="A888" t="inlineStr">
        <x:is>
          <x:t xml:space="preserve">google|gemini-3-5-flash|high|reasoning|fallback-na</x:t>
        </x:is>
      </x:c>
      <x:c r="B888" t="inlineStr">
        <x:is>
          <x:t xml:space="preserve">AA|v4.3.2</x:t>
        </x:is>
      </x:c>
      <x:c r="C888" t="n">
        <x:v>112</x:v>
      </x:c>
      <x:c r="D888" t="n">
        <x:v>80</x:v>
      </x:c>
      <x:c r="E888" t="n">
        <x:f>INDEX(Model_TestVersion_Stats!$W:$W,C888)</x:f>
        <x:v>33</x:v>
      </x:c>
      <x:c r="F888" t="n">
        <x:f>INDEX(Model_TestVersion_Stats!$O:$O,C888)</x:f>
        <x:v>3.69</x:v>
      </x:c>
      <x:c r="G888" t="str">
        <x:f>IF(INDEX(Model_TestVersion_Stats!$R:$R,C888)="","",INDEX(Model_TestVersion_Stats!$R:$R,C888)/60)</x:f>
      </x:c>
      <x:c r="H888" t="n">
        <x:f>IF(E888="","",E888-(D888-1))</x:f>
        <x:v>-46</x:v>
      </x:c>
      <x:c r="I888" t="n">
        <x:f>IF(H888&gt;0,1,0)</x:f>
        <x:v>0</x:v>
      </x:c>
      <x:c r="J888" t="str">
        <x:f>IF(OR(I888=0,F888="",F888=0),"",H888/F888)</x:f>
      </x:c>
      <x:c r="K888" t="str">
        <x:f>IF(OR(I888=0,H888=0,F888=""),"",F888/H888)</x:f>
      </x:c>
      <x:c r="L888" t="str">
        <x:f>IF(OR(I888=0,F888="",G888="",F888=0,G888=0),"",H888/(F888*G888))</x:f>
      </x:c>
      <x:c r="M888" t="str">
        <x:f>IF(J888="","",J888/_xlfn.MAXIFS($J:$J,$D:$D,D888))</x:f>
      </x:c>
      <x:c r="N888" t="str">
        <x:f>IF(L888="","",L888/_xlfn.MAXIFS($L:$L,$D:$D,D888))</x:f>
      </x:c>
      <x:c r="O888" t="str">
        <x:f>IF(OR(M888="",N888=""),"",SQRT(M888*N888))</x:f>
      </x:c>
      <x:c r="P888" t="str">
        <x:f>IF(OR(M888="",N888=""),"",M888^0.7*N888^0.3)</x:f>
      </x:c>
      <x:c r="Q888" t="str">
        <x:f>IF(OR(M888="",N888=""),"",M888^0.3*N888^0.7)</x:f>
      </x:c>
    </x:row>
    <x:row r="889">
      <x:c r="A889" t="inlineStr">
        <x:is>
          <x:t xml:space="preserve">google|gemini-3-5-flash|high|reasoning|fallback-na</x:t>
        </x:is>
      </x:c>
      <x:c r="B889" t="inlineStr">
        <x:is>
          <x:t xml:space="preserve">AA|v4.3.2</x:t>
        </x:is>
      </x:c>
      <x:c r="C889" t="n">
        <x:v>112</x:v>
      </x:c>
      <x:c r="D889" t="n">
        <x:v>90</x:v>
      </x:c>
      <x:c r="E889" t="n">
        <x:f>INDEX(Model_TestVersion_Stats!$W:$W,C889)</x:f>
        <x:v>33</x:v>
      </x:c>
      <x:c r="F889" t="n">
        <x:f>INDEX(Model_TestVersion_Stats!$O:$O,C889)</x:f>
        <x:v>3.69</x:v>
      </x:c>
      <x:c r="G889" t="str">
        <x:f>IF(INDEX(Model_TestVersion_Stats!$R:$R,C889)="","",INDEX(Model_TestVersion_Stats!$R:$R,C889)/60)</x:f>
      </x:c>
      <x:c r="H889" t="n">
        <x:f>IF(E889="","",E889-(D889-1))</x:f>
        <x:v>-56</x:v>
      </x:c>
      <x:c r="I889" t="n">
        <x:f>IF(H889&gt;0,1,0)</x:f>
        <x:v>0</x:v>
      </x:c>
      <x:c r="J889" t="str">
        <x:f>IF(OR(I889=0,F889="",F889=0),"",H889/F889)</x:f>
      </x:c>
      <x:c r="K889" t="str">
        <x:f>IF(OR(I889=0,H889=0,F889=""),"",F889/H889)</x:f>
      </x:c>
      <x:c r="L889" t="str">
        <x:f>IF(OR(I889=0,F889="",G889="",F889=0,G889=0),"",H889/(F889*G889))</x:f>
      </x:c>
      <x:c r="M889" t="str">
        <x:f>IF(J889="","",J889/_xlfn.MAXIFS($J:$J,$D:$D,D889))</x:f>
      </x:c>
      <x:c r="N889" t="str">
        <x:f>IF(L889="","",L889/_xlfn.MAXIFS($L:$L,$D:$D,D889))</x:f>
      </x:c>
      <x:c r="O889" t="str">
        <x:f>IF(OR(M889="",N889=""),"",SQRT(M889*N889))</x:f>
      </x:c>
      <x:c r="P889" t="str">
        <x:f>IF(OR(M889="",N889=""),"",M889^0.7*N889^0.3)</x:f>
      </x:c>
      <x:c r="Q889" t="str">
        <x:f>IF(OR(M889="",N889=""),"",M889^0.3*N889^0.7)</x:f>
      </x:c>
    </x:row>
  </x:sheetData>
  <x:pageMargins left="0.7" right="0.7" top="0.75" bottom="0.75" header="0.3" footer="0.3"/>
</x:worksheet>
</file>

<file path=xl/worksheets/sheet25.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20" style="14" customWidth="1"/>
    <x:col min="5" max="5" width="50" style="14" customWidth="1"/>
    <x:col min="6" max="6" width="50" style="14" customWidth="1"/>
    <x:col min="7" max="7" width="20" style="14" customWidth="1"/>
    <x:col min="8" max="8" width="72" style="14" customWidth="1"/>
  </x:cols>
  <x:sheetData>
    <x:row r="1">
      <x:c r="A1" s="6" t="inlineStr">
        <x:is>
          <x:t xml:space="preserve">plan_id</x:t>
        </x:is>
      </x:c>
      <x:c r="B1" s="6" t="inlineStr">
        <x:is>
          <x:t xml:space="preserve">provider</x:t>
        </x:is>
      </x:c>
      <x:c r="C1" s="6" t="inlineStr">
        <x:is>
          <x:t xml:space="preserve">plan</x:t>
        </x:is>
      </x:c>
      <x:c r="D1" s="6" t="inlineStr">
        <x:is>
          <x:t xml:space="preserve">price_monthly</x:t>
        </x:is>
      </x:c>
      <x:c r="E1" s="6" t="inlineStr">
        <x:is>
          <x:t xml:space="preserve">limit_basis</x:t>
        </x:is>
      </x:c>
      <x:c r="F1" s="6" t="inlineStr">
        <x:is>
          <x:t xml:space="preserve">limit_notes</x:t>
        </x:is>
      </x:c>
      <x:c r="G1" s="6" t="inlineStr">
        <x:is>
          <x:t xml:space="preserve">confidence</x:t>
        </x:is>
      </x:c>
      <x:c r="H1" s="6" t="inlineStr">
        <x:is>
          <x:t xml:space="preserve">source_url</x:t>
        </x:is>
      </x:c>
    </x:row>
    <x:row r="2">
      <x:c r="A2" t="inlineStr">
        <x:is>
          <x:t xml:space="preserve">opencode-go</x:t>
        </x:is>
      </x:c>
      <x:c r="B2" t="inlineStr">
        <x:is>
          <x:t xml:space="preserve">OpenCode</x:t>
        </x:is>
      </x:c>
      <x:c r="C2" t="inlineStr">
        <x:is>
          <x:t xml:space="preserve">Go</x:t>
        </x:is>
      </x:c>
      <x:c r="D2" t="n">
        <x:v>10</x:v>
      </x:c>
      <x:c r="E2" t="inlineStr">
        <x:is>
          <x:t xml:space="preserve">dollar_cap_per_model</x:t>
        </x:is>
      </x:c>
      <x:c r="F2" t="inlineStr">
        <x:is>
          <x:t xml:space="preserve">Per-model dollar caps; not a fungible wallet.</x:t>
        </x:is>
      </x:c>
      <x:c r="G2" t="inlineStr">
        <x:is>
          <x:t xml:space="preserve">high</x:t>
        </x:is>
      </x:c>
      <x:c r="H2" t="inlineStr">
        <x:is>
          <x:t xml:space="preserve">https://opencode.ai/docs/go</x:t>
        </x:is>
      </x:c>
    </x:row>
    <x:row r="3">
      <x:c r="A3" t="inlineStr">
        <x:is>
          <x:t xml:space="preserve">opencode-go-plus</x:t>
        </x:is>
      </x:c>
      <x:c r="B3" t="inlineStr">
        <x:is>
          <x:t xml:space="preserve">OpenCode</x:t>
        </x:is>
      </x:c>
      <x:c r="C3" t="inlineStr">
        <x:is>
          <x:t xml:space="preserve">Go Plus</x:t>
        </x:is>
      </x:c>
      <x:c r="D3" t="n">
        <x:v>40</x:v>
      </x:c>
      <x:c r="E3" t="inlineStr">
        <x:is>
          <x:t xml:space="preserve">dollar_cap_per_model</x:t>
        </x:is>
      </x:c>
      <x:c r="F3" t="inlineStr">
        <x:is>
          <x:t xml:space="preserve">Higher per-model dollar caps; not a fungible wallet.</x:t>
        </x:is>
      </x:c>
      <x:c r="G3" t="inlineStr">
        <x:is>
          <x:t xml:space="preserve">high</x:t>
        </x:is>
      </x:c>
      <x:c r="H3" t="inlineStr">
        <x:is>
          <x:t xml:space="preserve">https://opencode.ai/docs/go</x:t>
        </x:is>
      </x:c>
    </x:row>
    <x:row r="4">
      <x:c r="A4" t="inlineStr">
        <x:is>
          <x:t xml:space="preserve">chatgpt-plus</x:t>
        </x:is>
      </x:c>
      <x:c r="B4" t="inlineStr">
        <x:is>
          <x:t xml:space="preserve">OpenAI</x:t>
        </x:is>
      </x:c>
      <x:c r="C4" t="inlineStr">
        <x:is>
          <x:t xml:space="preserve">ChatGPT Plus</x:t>
        </x:is>
      </x:c>
      <x:c r="D4" t="n">
        <x:v>20</x:v>
      </x:c>
      <x:c r="E4" t="inlineStr">
        <x:is>
          <x:t xml:space="preserve">message_range_proxy</x:t>
        </x:is>
      </x:c>
      <x:c r="F4" t="inlineStr">
        <x:is>
          <x:t xml:space="preserve">Work/Codex local-message ranges; weekly limit may bind.</x:t>
        </x:is>
      </x:c>
      <x:c r="G4" t="inlineStr">
        <x:is>
          <x:t xml:space="preserve">medium</x:t>
        </x:is>
      </x:c>
      <x:c r="H4" t="inlineStr">
        <x:is>
          <x:t xml:space="preserve">https://help.openai.com/en/articles/20001516-managing-usage-with-gpt-6-astra-in-work-and-codex</x:t>
        </x:is>
      </x:c>
    </x:row>
    <x:row r="5">
      <x:c r="A5" t="inlineStr">
        <x:is>
          <x:t xml:space="preserve">chatgpt-pro-5x</x:t>
        </x:is>
      </x:c>
      <x:c r="B5" t="inlineStr">
        <x:is>
          <x:t xml:space="preserve">OpenAI</x:t>
        </x:is>
      </x:c>
      <x:c r="C5" t="inlineStr">
        <x:is>
          <x:t xml:space="preserve">ChatGPT Pro $100</x:t>
        </x:is>
      </x:c>
      <x:c r="D5" t="n">
        <x:v>100</x:v>
      </x:c>
      <x:c r="E5" t="inlineStr">
        <x:is>
          <x:t xml:space="preserve">message_range_proxy</x:t>
        </x:is>
      </x:c>
      <x:c r="F5" t="inlineStr">
        <x:is>
          <x:t xml:space="preserve">Approx. 5x tier for Work/Codex usage.</x:t>
        </x:is>
      </x:c>
      <x:c r="G5" t="inlineStr">
        <x:is>
          <x:t xml:space="preserve">medium</x:t>
        </x:is>
      </x:c>
      <x:c r="H5" t="inlineStr">
        <x:is>
          <x:t xml:space="preserve">https://help.openai.com/en/articles/20001516-managing-usage-with-gpt-6-astra-in-work-and-codex</x:t>
        </x:is>
      </x:c>
    </x:row>
    <x:row r="6">
      <x:c r="A6" t="inlineStr">
        <x:is>
          <x:t xml:space="preserve">chatgpt-pro-20x</x:t>
        </x:is>
      </x:c>
      <x:c r="B6" t="inlineStr">
        <x:is>
          <x:t xml:space="preserve">OpenAI</x:t>
        </x:is>
      </x:c>
      <x:c r="C6" t="inlineStr">
        <x:is>
          <x:t xml:space="preserve">ChatGPT Pro $200</x:t>
        </x:is>
      </x:c>
      <x:c r="D6" t="n">
        <x:v>200</x:v>
      </x:c>
      <x:c r="E6" t="inlineStr">
        <x:is>
          <x:t xml:space="preserve">message_range_proxy</x:t>
        </x:is>
      </x:c>
      <x:c r="F6" t="inlineStr">
        <x:is>
          <x:t xml:space="preserve">Approx. 20x tier for Work/Codex usage.</x:t>
        </x:is>
      </x:c>
      <x:c r="G6" t="inlineStr">
        <x:is>
          <x:t xml:space="preserve">medium</x:t>
        </x:is>
      </x:c>
      <x:c r="H6" t="inlineStr">
        <x:is>
          <x:t xml:space="preserve">https://help.openai.com/en/articles/20001516-managing-usage-with-gpt-6-astra-in-work-and-codex</x:t>
        </x:is>
      </x:c>
    </x:row>
    <x:row r="7">
      <x:c r="A7" t="inlineStr">
        <x:is>
          <x:t xml:space="preserve">claude-pro</x:t>
        </x:is>
      </x:c>
      <x:c r="B7" t="inlineStr">
        <x:is>
          <x:t xml:space="preserve">Anthropic</x:t>
        </x:is>
      </x:c>
      <x:c r="C7" t="inlineStr">
        <x:is>
          <x:t xml:space="preserve">Claude Pro</x:t>
        </x:is>
      </x:c>
      <x:c r="D7" t="n">
        <x:v>20</x:v>
      </x:c>
      <x:c r="E7" t="inlineStr">
        <x:is>
          <x:t xml:space="preserve">prompt_range_proxy</x:t>
        </x:is>
      </x:c>
      <x:c r="F7" t="inlineStr">
        <x:is>
          <x:t xml:space="preserve">Claude Code prompt range varies heavily by repository/task.</x:t>
        </x:is>
      </x:c>
      <x:c r="G7" t="inlineStr">
        <x:is>
          <x:t xml:space="preserve">medium</x:t>
        </x:is>
      </x:c>
      <x:c r="H7" t="inlineStr">
        <x:is>
          <x:t xml:space="preserve">https://support.anthropic.com/en/articles/11145838-using-claude-code-with-your-pro-or-max-plan</x:t>
        </x:is>
      </x:c>
    </x:row>
    <x:row r="8">
      <x:c r="A8" t="inlineStr">
        <x:is>
          <x:t xml:space="preserve">claude-max-5x</x:t>
        </x:is>
      </x:c>
      <x:c r="B8" t="inlineStr">
        <x:is>
          <x:t xml:space="preserve">Anthropic</x:t>
        </x:is>
      </x:c>
      <x:c r="C8" t="inlineStr">
        <x:is>
          <x:t xml:space="preserve">Claude Max 5x</x:t>
        </x:is>
      </x:c>
      <x:c r="D8" t="n">
        <x:v>100</x:v>
      </x:c>
      <x:c r="E8" t="inlineStr">
        <x:is>
          <x:t xml:space="preserve">prompt_range_proxy</x:t>
        </x:is>
      </x:c>
      <x:c r="F8" t="inlineStr">
        <x:is>
          <x:t xml:space="preserve">5x Pro; Opus consumes allowance materially faster.</x:t>
        </x:is>
      </x:c>
      <x:c r="G8" t="inlineStr">
        <x:is>
          <x:t xml:space="preserve">medium</x:t>
        </x:is>
      </x:c>
      <x:c r="H8" t="inlineStr">
        <x:is>
          <x:t xml:space="preserve">https://support.anthropic.com/en/articles/11145838-using-claude-code-with-your-pro-or-max-plan</x:t>
        </x:is>
      </x:c>
    </x:row>
    <x:row r="9">
      <x:c r="A9" t="inlineStr">
        <x:is>
          <x:t xml:space="preserve">claude-max-20x</x:t>
        </x:is>
      </x:c>
      <x:c r="B9" t="inlineStr">
        <x:is>
          <x:t xml:space="preserve">Anthropic</x:t>
        </x:is>
      </x:c>
      <x:c r="C9" t="inlineStr">
        <x:is>
          <x:t xml:space="preserve">Claude Max 20x</x:t>
        </x:is>
      </x:c>
      <x:c r="D9" t="n">
        <x:v>200</x:v>
      </x:c>
      <x:c r="E9" t="inlineStr">
        <x:is>
          <x:t xml:space="preserve">prompt_range_proxy</x:t>
        </x:is>
      </x:c>
      <x:c r="F9" t="inlineStr">
        <x:is>
          <x:t xml:space="preserve">20x Pro; Opus consumes allowance materially faster.</x:t>
        </x:is>
      </x:c>
      <x:c r="G9" t="inlineStr">
        <x:is>
          <x:t xml:space="preserve">medium</x:t>
        </x:is>
      </x:c>
      <x:c r="H9" t="inlineStr">
        <x:is>
          <x:t xml:space="preserve">https://support.anthropic.com/en/articles/11145838-using-claude-code-with-your-pro-or-max-plan</x:t>
        </x:is>
      </x:c>
    </x:row>
    <x:row r="10">
      <x:c r="A10" t="inlineStr">
        <x:is>
          <x:t xml:space="preserve">muse-everyday</x:t>
        </x:is>
      </x:c>
      <x:c r="B10" t="inlineStr">
        <x:is>
          <x:t xml:space="preserve">Meta</x:t>
        </x:is>
      </x:c>
      <x:c r="C10" t="inlineStr">
        <x:is>
          <x:t xml:space="preserve">Muse Code Everyday</x:t>
        </x:is>
      </x:c>
      <x:c r="D10" t="n">
        <x:v>5</x:v>
      </x:c>
      <x:c r="E10" t="inlineStr">
        <x:is>
          <x:t xml:space="preserve">prompt_range_proxy</x:t>
        </x:is>
      </x:c>
      <x:c r="F10" t="inlineStr">
        <x:is>
          <x:t xml:space="preserve">Approx. 10–50 prompts/5h.</x:t>
        </x:is>
      </x:c>
      <x:c r="G10" t="inlineStr">
        <x:is>
          <x:t xml:space="preserve">medium</x:t>
        </x:is>
      </x:c>
      <x:c r="H10" t="inlineStr">
        <x:is>
          <x:t xml:space="preserve">https://dev.meta.ai/help/subscriptions/what-is-a-muse-code-subscription</x:t>
        </x:is>
      </x:c>
    </x:row>
    <x:row r="11">
      <x:c r="A11" t="inlineStr">
        <x:is>
          <x:t xml:space="preserve">muse-high</x:t>
        </x:is>
      </x:c>
      <x:c r="B11" t="inlineStr">
        <x:is>
          <x:t xml:space="preserve">Meta</x:t>
        </x:is>
      </x:c>
      <x:c r="C11" t="inlineStr">
        <x:is>
          <x:t xml:space="preserve">Muse Code High</x:t>
        </x:is>
      </x:c>
      <x:c r="D11" t="n">
        <x:v>15</x:v>
      </x:c>
      <x:c r="E11" t="inlineStr">
        <x:is>
          <x:t xml:space="preserve">prompt_range_proxy</x:t>
        </x:is>
      </x:c>
      <x:c r="F11" t="inlineStr">
        <x:is>
          <x:t xml:space="preserve">Approx. 5x Everyday usage.</x:t>
        </x:is>
      </x:c>
      <x:c r="G11" t="inlineStr">
        <x:is>
          <x:t xml:space="preserve">medium</x:t>
        </x:is>
      </x:c>
      <x:c r="H11" t="inlineStr">
        <x:is>
          <x:t xml:space="preserve">https://dev.meta.ai/help/subscriptions/what-is-a-muse-code-subscription</x:t>
        </x:is>
      </x:c>
    </x:row>
    <x:row r="12">
      <x:c r="A12" t="inlineStr">
        <x:is>
          <x:t xml:space="preserve">muse-power</x:t>
        </x:is>
      </x:c>
      <x:c r="B12" t="inlineStr">
        <x:is>
          <x:t xml:space="preserve">Meta</x:t>
        </x:is>
      </x:c>
      <x:c r="C12" t="inlineStr">
        <x:is>
          <x:t xml:space="preserve">Muse Code Power</x:t>
        </x:is>
      </x:c>
      <x:c r="D12" t="n">
        <x:v>50</x:v>
      </x:c>
      <x:c r="E12" t="inlineStr">
        <x:is>
          <x:t xml:space="preserve">prompt_range_proxy</x:t>
        </x:is>
      </x:c>
      <x:c r="F12" t="inlineStr">
        <x:is>
          <x:t xml:space="preserve">Approx. 20x Everyday usage.</x:t>
        </x:is>
      </x:c>
      <x:c r="G12" t="inlineStr">
        <x:is>
          <x:t xml:space="preserve">medium</x:t>
        </x:is>
      </x:c>
      <x:c r="H12" t="inlineStr">
        <x:is>
          <x:t xml:space="preserve">https://dev.meta.ai/help/subscriptions/what-is-a-muse-code-subscription</x:t>
        </x:is>
      </x:c>
    </x:row>
    <x:row r="13">
      <x:c r="A13" t="inlineStr">
        <x:is>
          <x:t xml:space="preserve">google-ai-pro</x:t>
        </x:is>
      </x:c>
      <x:c r="B13" t="inlineStr">
        <x:is>
          <x:t xml:space="preserve">Google</x:t>
        </x:is>
      </x:c>
      <x:c r="C13" t="inlineStr">
        <x:is>
          <x:t xml:space="preserve">Google AI Pro</x:t>
        </x:is>
      </x:c>
      <x:c r="D13" t="n">
        <x:v>19.99</x:v>
      </x:c>
      <x:c r="E13" t="inlineStr">
        <x:is>
          <x:t xml:space="preserve">relative_only</x:t>
        </x:is>
      </x:c>
      <x:c r="F13" t="inlineStr">
        <x:is>
          <x:t xml:space="preserve">Relative limits; no defensible prompt base entered.</x:t>
        </x:is>
      </x:c>
      <x:c r="G13" t="inlineStr">
        <x:is>
          <x:t xml:space="preserve">low</x:t>
        </x:is>
      </x:c>
      <x:c r="H13" t="inlineStr">
        <x:is>
          <x:t xml:space="preserve">https://one.google.com/about/plans</x:t>
        </x:is>
      </x:c>
    </x:row>
    <x:row r="14">
      <x:c r="A14" t="inlineStr">
        <x:is>
          <x:t xml:space="preserve">direct-api-20</x:t>
        </x:is>
      </x:c>
      <x:c r="B14" t="inlineStr">
        <x:is>
          <x:t xml:space="preserve">Direct API</x:t>
        </x:is>
      </x:c>
      <x:c r="C14" t="inlineStr">
        <x:is>
          <x:t xml:space="preserve">$20 API budget</x:t>
        </x:is>
      </x:c>
      <x:c r="D14" t="n">
        <x:v>20</x:v>
      </x:c>
      <x:c r="E14" t="inlineStr">
        <x:is>
          <x:t xml:space="preserve">fungible_dollar_budget</x:t>
        </x:is>
      </x:c>
      <x:c r="F14" t="inlineStr">
        <x:is>
          <x:t xml:space="preserve">Analytical baseline: $20 of direct API spend = 1.00x. Not a subscription.</x:t>
        </x:is>
      </x:c>
      <x:c r="G14" t="inlineStr">
        <x:is>
          <x:t xml:space="preserve">high</x:t>
        </x:is>
      </x:c>
      <x:c r="H14" t="inlineStr">
        <x:is>
          <x:t xml:space="preserve">calculation baseline</x:t>
        </x:is>
      </x:c>
    </x:row>
  </x:sheetData>
  <x:pageMargins left="0.7" right="0.7" top="0.75" bottom="0.75" header="0.3" footer="0.3"/>
</x:worksheet>
</file>

<file path=xl/worksheets/sheet26.xml><?xml version="1.0" encoding="utf-8"?>
<x:worksheet xmlns:x="http://schemas.openxmlformats.org/spreadsheetml/2006/main">
  <x:sheetFormatPr baseColWidth="8" defaultRowHeight="15"/>
  <x:cols>
    <x:col min="1" max="1" width="28" style="14" customWidth="1"/>
    <x:col min="2" max="2" width="28" style="14" customWidth="1"/>
    <x:col min="3" max="3" width="28" style="14" customWidth="1"/>
    <x:col min="4" max="4" width="16" style="14" customWidth="1"/>
    <x:col min="5" max="5" width="16" style="14" customWidth="1"/>
    <x:col min="6" max="6" width="16" style="14" customWidth="1"/>
    <x:col min="7" max="7" width="16" style="14" customWidth="1"/>
    <x:col min="8" max="8" width="62" style="14" customWidth="1"/>
    <x:col min="10" max="10" width="72" style="14" customWidth="1"/>
  </x:cols>
  <x:sheetData>
    <x:row r="1">
      <x:c r="A1" s="6" t="inlineStr">
        <x:is>
          <x:t xml:space="preserve">plan_id</x:t>
        </x:is>
      </x:c>
      <x:c r="B1" s="6" t="inlineStr">
        <x:is>
          <x:t xml:space="preserve">family</x:t>
        </x:is>
      </x:c>
      <x:c r="C1" s="6" t="inlineStr">
        <x:is>
          <x:t xml:space="preserve">benchmark_effort</x:t>
        </x:is>
      </x:c>
      <x:c r="D1" s="6" t="inlineStr">
        <x:is>
          <x:t xml:space="preserve">per_5h_low</x:t>
        </x:is>
      </x:c>
      <x:c r="E1" s="6" t="inlineStr">
        <x:is>
          <x:t xml:space="preserve">per_5h_high</x:t>
        </x:is>
      </x:c>
      <x:c r="F1" s="6" t="inlineStr">
        <x:is>
          <x:t xml:space="preserve">monthly_dollar_cap</x:t>
        </x:is>
      </x:c>
      <x:c r="G1" s="6" t="inlineStr">
        <x:is>
          <x:t xml:space="preserve">relative_multiplier</x:t>
        </x:is>
      </x:c>
      <x:c r="H1" s="6" t="inlineStr">
        <x:is>
          <x:t xml:space="preserve">basis_note</x:t>
        </x:is>
      </x:c>
      <x:c r="I1" s="6" t="inlineStr">
        <x:is>
          <x:t xml:space="preserve">confidence</x:t>
        </x:is>
      </x:c>
      <x:c r="J1" s="6" t="inlineStr">
        <x:is>
          <x:t xml:space="preserve">source_url</x:t>
        </x:is>
      </x:c>
    </x:row>
    <x:row r="2">
      <x:c r="A2" t="inlineStr">
        <x:is>
          <x:t xml:space="preserve">opencode-go</x:t>
        </x:is>
      </x:c>
      <x:c r="B2" t="inlineStr">
        <x:is>
          <x:t xml:space="preserve">GPT-6 Luna</x:t>
        </x:is>
      </x:c>
      <x:c r="C2" t="inlineStr">
        <x:is>
          <x:t xml:space="preserve">medium</x:t>
        </x:is>
      </x:c>
      <x:c r="F2" t="n">
        <x:v>15</x:v>
      </x:c>
      <x:c r="G2" t="n">
        <x:v>1</x:v>
      </x:c>
      <x:c r="H2" t="inlineStr">
        <x:is>
          <x:t xml:space="preserve">published dollar cap</x:t>
        </x:is>
      </x:c>
      <x:c r="I2" t="inlineStr">
        <x:is>
          <x:t xml:space="preserve">high</x:t>
        </x:is>
      </x:c>
      <x:c r="J2" t="inlineStr">
        <x:is>
          <x:t xml:space="preserve">https://opencode.ai/docs/go</x:t>
        </x:is>
      </x:c>
    </x:row>
    <x:row r="3">
      <x:c r="A3" t="inlineStr">
        <x:is>
          <x:t xml:space="preserve">opencode-go-plus</x:t>
        </x:is>
      </x:c>
      <x:c r="B3" t="inlineStr">
        <x:is>
          <x:t xml:space="preserve">GPT-6 Luna</x:t>
        </x:is>
      </x:c>
      <x:c r="C3" t="inlineStr">
        <x:is>
          <x:t xml:space="preserve">medium</x:t>
        </x:is>
      </x:c>
      <x:c r="F3" t="n">
        <x:v>60</x:v>
      </x:c>
      <x:c r="G3" t="n">
        <x:v>1</x:v>
      </x:c>
      <x:c r="H3" t="inlineStr">
        <x:is>
          <x:t xml:space="preserve">published dollar cap</x:t>
        </x:is>
      </x:c>
      <x:c r="I3" t="inlineStr">
        <x:is>
          <x:t xml:space="preserve">high</x:t>
        </x:is>
      </x:c>
      <x:c r="J3" t="inlineStr">
        <x:is>
          <x:t xml:space="preserve">https://opencode.ai/docs/go</x:t>
        </x:is>
      </x:c>
    </x:row>
    <x:row r="4">
      <x:c r="A4" t="inlineStr">
        <x:is>
          <x:t xml:space="preserve">opencode-go</x:t>
        </x:is>
      </x:c>
      <x:c r="B4" t="inlineStr">
        <x:is>
          <x:t xml:space="preserve">DeepSeek V4.1 Flash</x:t>
        </x:is>
      </x:c>
      <x:c r="C4" t="inlineStr">
        <x:is>
          <x:t xml:space="preserve">max</x:t>
        </x:is>
      </x:c>
      <x:c r="F4" t="n">
        <x:v>60</x:v>
      </x:c>
      <x:c r="G4" t="n">
        <x:v>1</x:v>
      </x:c>
      <x:c r="H4" t="inlineStr">
        <x:is>
          <x:t xml:space="preserve">published dollar cap</x:t>
        </x:is>
      </x:c>
      <x:c r="I4" t="inlineStr">
        <x:is>
          <x:t xml:space="preserve">high</x:t>
        </x:is>
      </x:c>
      <x:c r="J4" t="inlineStr">
        <x:is>
          <x:t xml:space="preserve">https://opencode.ai/docs/go</x:t>
        </x:is>
      </x:c>
    </x:row>
    <x:row r="5">
      <x:c r="A5" t="inlineStr">
        <x:is>
          <x:t xml:space="preserve">opencode-go-plus</x:t>
        </x:is>
      </x:c>
      <x:c r="B5" t="inlineStr">
        <x:is>
          <x:t xml:space="preserve">DeepSeek V4.1 Flash</x:t>
        </x:is>
      </x:c>
      <x:c r="C5" t="inlineStr">
        <x:is>
          <x:t xml:space="preserve">max</x:t>
        </x:is>
      </x:c>
      <x:c r="F5" t="n">
        <x:v>120</x:v>
      </x:c>
      <x:c r="G5" t="n">
        <x:v>1</x:v>
      </x:c>
      <x:c r="H5" t="inlineStr">
        <x:is>
          <x:t xml:space="preserve">published dollar cap</x:t>
        </x:is>
      </x:c>
      <x:c r="I5" t="inlineStr">
        <x:is>
          <x:t xml:space="preserve">high</x:t>
        </x:is>
      </x:c>
      <x:c r="J5" t="inlineStr">
        <x:is>
          <x:t xml:space="preserve">https://opencode.ai/docs/go</x:t>
        </x:is>
      </x:c>
    </x:row>
    <x:row r="6">
      <x:c r="A6" t="inlineStr">
        <x:is>
          <x:t xml:space="preserve">opencode-go</x:t>
        </x:is>
      </x:c>
      <x:c r="B6" t="inlineStr">
        <x:is>
          <x:t xml:space="preserve">GLM-5.3 Flash</x:t>
        </x:is>
      </x:c>
      <x:c r="C6" t="inlineStr">
        <x:is>
          <x:t xml:space="preserve">reasoning</x:t>
        </x:is>
      </x:c>
      <x:c r="F6" t="n">
        <x:v>60</x:v>
      </x:c>
      <x:c r="G6" t="n">
        <x:v>1</x:v>
      </x:c>
      <x:c r="H6" t="inlineStr">
        <x:is>
          <x:t xml:space="preserve">published dollar cap</x:t>
        </x:is>
      </x:c>
      <x:c r="I6" t="inlineStr">
        <x:is>
          <x:t xml:space="preserve">high</x:t>
        </x:is>
      </x:c>
      <x:c r="J6" t="inlineStr">
        <x:is>
          <x:t xml:space="preserve">https://opencode.ai/docs/go</x:t>
        </x:is>
      </x:c>
    </x:row>
    <x:row r="7">
      <x:c r="A7" t="inlineStr">
        <x:is>
          <x:t xml:space="preserve">opencode-go-plus</x:t>
        </x:is>
      </x:c>
      <x:c r="B7" t="inlineStr">
        <x:is>
          <x:t xml:space="preserve">GLM-5.3 Flash</x:t>
        </x:is>
      </x:c>
      <x:c r="C7" t="inlineStr">
        <x:is>
          <x:t xml:space="preserve">reasoning</x:t>
        </x:is>
      </x:c>
      <x:c r="F7" t="n">
        <x:v>180</x:v>
      </x:c>
      <x:c r="G7" t="n">
        <x:v>1</x:v>
      </x:c>
      <x:c r="H7" t="inlineStr">
        <x:is>
          <x:t xml:space="preserve">published dollar cap</x:t>
        </x:is>
      </x:c>
      <x:c r="I7" t="inlineStr">
        <x:is>
          <x:t xml:space="preserve">high</x:t>
        </x:is>
      </x:c>
      <x:c r="J7" t="inlineStr">
        <x:is>
          <x:t xml:space="preserve">https://opencode.ai/docs/go</x:t>
        </x:is>
      </x:c>
    </x:row>
    <x:row r="8">
      <x:c r="A8" t="inlineStr">
        <x:is>
          <x:t xml:space="preserve">opencode-go</x:t>
        </x:is>
      </x:c>
      <x:c r="B8" t="inlineStr">
        <x:is>
          <x:t xml:space="preserve">MiMo-V2.6-Flash</x:t>
        </x:is>
      </x:c>
      <x:c r="C8" t="inlineStr">
        <x:is>
          <x:t xml:space="preserve">reasoning</x:t>
        </x:is>
      </x:c>
      <x:c r="F8" t="n">
        <x:v>60</x:v>
      </x:c>
      <x:c r="G8" t="n">
        <x:v>1</x:v>
      </x:c>
      <x:c r="H8" t="inlineStr">
        <x:is>
          <x:t xml:space="preserve">published dollar cap</x:t>
        </x:is>
      </x:c>
      <x:c r="I8" t="inlineStr">
        <x:is>
          <x:t xml:space="preserve">high</x:t>
        </x:is>
      </x:c>
      <x:c r="J8" t="inlineStr">
        <x:is>
          <x:t xml:space="preserve">https://opencode.ai/docs/go</x:t>
        </x:is>
      </x:c>
    </x:row>
    <x:row r="9">
      <x:c r="A9" t="inlineStr">
        <x:is>
          <x:t xml:space="preserve">opencode-go-plus</x:t>
        </x:is>
      </x:c>
      <x:c r="B9" t="inlineStr">
        <x:is>
          <x:t xml:space="preserve">MiMo-V2.6-Flash</x:t>
        </x:is>
      </x:c>
      <x:c r="C9" t="inlineStr">
        <x:is>
          <x:t xml:space="preserve">reasoning</x:t>
        </x:is>
      </x:c>
      <x:c r="F9" t="n">
        <x:v>120</x:v>
      </x:c>
      <x:c r="G9" t="n">
        <x:v>1</x:v>
      </x:c>
      <x:c r="H9" t="inlineStr">
        <x:is>
          <x:t xml:space="preserve">published dollar cap</x:t>
        </x:is>
      </x:c>
      <x:c r="I9" t="inlineStr">
        <x:is>
          <x:t xml:space="preserve">high</x:t>
        </x:is>
      </x:c>
      <x:c r="J9" t="inlineStr">
        <x:is>
          <x:t xml:space="preserve">https://opencode.ai/docs/go</x:t>
        </x:is>
      </x:c>
    </x:row>
    <x:row r="10">
      <x:c r="A10" t="inlineStr">
        <x:is>
          <x:t xml:space="preserve">opencode-go</x:t>
        </x:is>
      </x:c>
      <x:c r="B10" t="inlineStr">
        <x:is>
          <x:t xml:space="preserve">MiniMax-M3</x:t>
        </x:is>
      </x:c>
      <x:c r="C10" t="inlineStr">
        <x:is>
          <x:t xml:space="preserve">reasoning</x:t>
        </x:is>
      </x:c>
      <x:c r="F10" t="n">
        <x:v>60</x:v>
      </x:c>
      <x:c r="G10" t="n">
        <x:v>1</x:v>
      </x:c>
      <x:c r="H10" t="inlineStr">
        <x:is>
          <x:t xml:space="preserve">published dollar cap</x:t>
        </x:is>
      </x:c>
      <x:c r="I10" t="inlineStr">
        <x:is>
          <x:t xml:space="preserve">high</x:t>
        </x:is>
      </x:c>
      <x:c r="J10" t="inlineStr">
        <x:is>
          <x:t xml:space="preserve">https://opencode.ai/docs/go</x:t>
        </x:is>
      </x:c>
    </x:row>
    <x:row r="11">
      <x:c r="A11" t="inlineStr">
        <x:is>
          <x:t xml:space="preserve">opencode-go-plus</x:t>
        </x:is>
      </x:c>
      <x:c r="B11" t="inlineStr">
        <x:is>
          <x:t xml:space="preserve">MiniMax-M3</x:t>
        </x:is>
      </x:c>
      <x:c r="C11" t="inlineStr">
        <x:is>
          <x:t xml:space="preserve">reasoning</x:t>
        </x:is>
      </x:c>
      <x:c r="F11" t="n">
        <x:v>180</x:v>
      </x:c>
      <x:c r="G11" t="n">
        <x:v>1</x:v>
      </x:c>
      <x:c r="H11" t="inlineStr">
        <x:is>
          <x:t xml:space="preserve">published dollar cap</x:t>
        </x:is>
      </x:c>
      <x:c r="I11" t="inlineStr">
        <x:is>
          <x:t xml:space="preserve">high</x:t>
        </x:is>
      </x:c>
      <x:c r="J11" t="inlineStr">
        <x:is>
          <x:t xml:space="preserve">https://opencode.ai/docs/go</x:t>
        </x:is>
      </x:c>
    </x:row>
    <x:row r="12">
      <x:c r="A12" t="inlineStr">
        <x:is>
          <x:t xml:space="preserve">opencode-go</x:t>
        </x:is>
      </x:c>
      <x:c r="B12" t="inlineStr">
        <x:is>
          <x:t xml:space="preserve">Muse Spark 1.3</x:t>
        </x:is>
      </x:c>
      <x:c r="C12" t="inlineStr">
        <x:is>
          <x:t xml:space="preserve">xhigh</x:t>
        </x:is>
      </x:c>
      <x:c r="F12" t="n">
        <x:v>60</x:v>
      </x:c>
      <x:c r="G12" t="n">
        <x:v>1</x:v>
      </x:c>
      <x:c r="H12" t="inlineStr">
        <x:is>
          <x:t xml:space="preserve">published dollar cap</x:t>
        </x:is>
      </x:c>
      <x:c r="I12" t="inlineStr">
        <x:is>
          <x:t xml:space="preserve">high</x:t>
        </x:is>
      </x:c>
      <x:c r="J12" t="inlineStr">
        <x:is>
          <x:t xml:space="preserve">https://opencode.ai/docs/go</x:t>
        </x:is>
      </x:c>
    </x:row>
    <x:row r="13">
      <x:c r="A13" t="inlineStr">
        <x:is>
          <x:t xml:space="preserve">opencode-go-plus</x:t>
        </x:is>
      </x:c>
      <x:c r="B13" t="inlineStr">
        <x:is>
          <x:t xml:space="preserve">Muse Spark 1.3</x:t>
        </x:is>
      </x:c>
      <x:c r="C13" t="inlineStr">
        <x:is>
          <x:t xml:space="preserve">xhigh</x:t>
        </x:is>
      </x:c>
      <x:c r="F13" t="n">
        <x:v>120</x:v>
      </x:c>
      <x:c r="G13" t="n">
        <x:v>1</x:v>
      </x:c>
      <x:c r="H13" t="inlineStr">
        <x:is>
          <x:t xml:space="preserve">published dollar cap</x:t>
        </x:is>
      </x:c>
      <x:c r="I13" t="inlineStr">
        <x:is>
          <x:t xml:space="preserve">high</x:t>
        </x:is>
      </x:c>
      <x:c r="J13" t="inlineStr">
        <x:is>
          <x:t xml:space="preserve">https://opencode.ai/docs/go</x:t>
        </x:is>
      </x:c>
    </x:row>
    <x:row r="14">
      <x:c r="A14" t="inlineStr">
        <x:is>
          <x:t xml:space="preserve">opencode-go</x:t>
        </x:is>
      </x:c>
      <x:c r="B14" t="inlineStr">
        <x:is>
          <x:t xml:space="preserve">Kimi K3</x:t>
        </x:is>
      </x:c>
      <x:c r="C14" t="inlineStr">
        <x:is>
          <x:t xml:space="preserve">max</x:t>
        </x:is>
      </x:c>
      <x:c r="F14" t="n">
        <x:v>15</x:v>
      </x:c>
      <x:c r="G14" t="n">
        <x:v>1</x:v>
      </x:c>
      <x:c r="H14" t="inlineStr">
        <x:is>
          <x:t xml:space="preserve">published dollar cap</x:t>
        </x:is>
      </x:c>
      <x:c r="I14" t="inlineStr">
        <x:is>
          <x:t xml:space="preserve">high</x:t>
        </x:is>
      </x:c>
      <x:c r="J14" t="inlineStr">
        <x:is>
          <x:t xml:space="preserve">https://opencode.ai/docs/go</x:t>
        </x:is>
      </x:c>
    </x:row>
    <x:row r="15">
      <x:c r="A15" t="inlineStr">
        <x:is>
          <x:t xml:space="preserve">opencode-go-plus</x:t>
        </x:is>
      </x:c>
      <x:c r="B15" t="inlineStr">
        <x:is>
          <x:t xml:space="preserve">Kimi K3</x:t>
        </x:is>
      </x:c>
      <x:c r="C15" t="inlineStr">
        <x:is>
          <x:t xml:space="preserve">max</x:t>
        </x:is>
      </x:c>
      <x:c r="F15" t="n">
        <x:v>60</x:v>
      </x:c>
      <x:c r="G15" t="n">
        <x:v>1</x:v>
      </x:c>
      <x:c r="H15" t="inlineStr">
        <x:is>
          <x:t xml:space="preserve">published dollar cap</x:t>
        </x:is>
      </x:c>
      <x:c r="I15" t="inlineStr">
        <x:is>
          <x:t xml:space="preserve">high</x:t>
        </x:is>
      </x:c>
      <x:c r="J15" t="inlineStr">
        <x:is>
          <x:t xml:space="preserve">https://opencode.ai/docs/go</x:t>
        </x:is>
      </x:c>
    </x:row>
    <x:row r="16">
      <x:c r="A16" t="inlineStr">
        <x:is>
          <x:t xml:space="preserve">chatgpt-plus</x:t>
        </x:is>
      </x:c>
      <x:c r="B16" t="inlineStr">
        <x:is>
          <x:t xml:space="preserve">GPT-6 Astra</x:t>
        </x:is>
      </x:c>
      <x:c r="C16" t="inlineStr">
        <x:is>
          <x:t xml:space="preserve">medium</x:t>
        </x:is>
      </x:c>
      <x:c r="D16" t="n">
        <x:v>5</x:v>
      </x:c>
      <x:c r="E16" t="n">
        <x:v>45</x:v>
      </x:c>
      <x:c r="G16" t="n">
        <x:v>1</x:v>
      </x:c>
      <x:c r="H16" t="inlineStr">
        <x:is>
          <x:t xml:space="preserve">published 5h local-message range; monthly projection is a proxy</x:t>
        </x:is>
      </x:c>
      <x:c r="I16" t="inlineStr">
        <x:is>
          <x:t xml:space="preserve">medium</x:t>
        </x:is>
      </x:c>
      <x:c r="J16" t="inlineStr">
        <x:is>
          <x:t xml:space="preserve">https://help.openai.com/en/articles/20001516-managing-usage-with-gpt-6-astra-in-work-and-codex</x:t>
        </x:is>
      </x:c>
    </x:row>
    <x:row r="17">
      <x:c r="A17" t="inlineStr">
        <x:is>
          <x:t xml:space="preserve">chatgpt-plus</x:t>
        </x:is>
      </x:c>
      <x:c r="B17" t="inlineStr">
        <x:is>
          <x:t xml:space="preserve">GPT-5.6 Sol</x:t>
        </x:is>
      </x:c>
      <x:c r="C17" t="inlineStr">
        <x:is>
          <x:t xml:space="preserve">medium</x:t>
        </x:is>
      </x:c>
      <x:c r="D17" t="n">
        <x:v>10</x:v>
      </x:c>
      <x:c r="E17" t="n">
        <x:v>100</x:v>
      </x:c>
      <x:c r="G17" t="n">
        <x:v>1</x:v>
      </x:c>
      <x:c r="H17" t="inlineStr">
        <x:is>
          <x:t xml:space="preserve">published 5h local-message range; monthly projection is a proxy</x:t>
        </x:is>
      </x:c>
      <x:c r="I17" t="inlineStr">
        <x:is>
          <x:t xml:space="preserve">medium</x:t>
        </x:is>
      </x:c>
      <x:c r="J17" t="inlineStr">
        <x:is>
          <x:t xml:space="preserve">https://help.openai.com/en/articles/20001516-managing-usage-with-gpt-6-astra-in-work-and-codex</x:t>
        </x:is>
      </x:c>
    </x:row>
    <x:row r="18">
      <x:c r="A18" t="inlineStr">
        <x:is>
          <x:t xml:space="preserve">chatgpt-plus</x:t>
        </x:is>
      </x:c>
      <x:c r="B18" t="inlineStr">
        <x:is>
          <x:t xml:space="preserve">GPT-5.6 Luna</x:t>
        </x:is>
      </x:c>
      <x:c r="C18" t="inlineStr">
        <x:is>
          <x:t xml:space="preserve">medium</x:t>
        </x:is>
      </x:c>
      <x:c r="D18" t="n">
        <x:v>250</x:v>
      </x:c>
      <x:c r="E18" t="n">
        <x:v>2000</x:v>
      </x:c>
      <x:c r="G18" t="n">
        <x:v>1</x:v>
      </x:c>
      <x:c r="H18" t="inlineStr">
        <x:is>
          <x:t xml:space="preserve">published 5h local-message range; monthly projection is a proxy</x:t>
        </x:is>
      </x:c>
      <x:c r="I18" t="inlineStr">
        <x:is>
          <x:t xml:space="preserve">medium</x:t>
        </x:is>
      </x:c>
      <x:c r="J18" t="inlineStr">
        <x:is>
          <x:t xml:space="preserve">https://help.openai.com/en/articles/20001516-managing-usage-with-gpt-6-astra-in-work-and-codex</x:t>
        </x:is>
      </x:c>
    </x:row>
    <x:row r="19">
      <x:c r="A19" t="inlineStr">
        <x:is>
          <x:t xml:space="preserve">chatgpt-pro-5x</x:t>
        </x:is>
      </x:c>
      <x:c r="B19" t="inlineStr">
        <x:is>
          <x:t xml:space="preserve">GPT-6 Astra</x:t>
        </x:is>
      </x:c>
      <x:c r="C19" t="inlineStr">
        <x:is>
          <x:t xml:space="preserve">medium</x:t>
        </x:is>
      </x:c>
      <x:c r="D19" t="n">
        <x:v>25</x:v>
      </x:c>
      <x:c r="E19" t="n">
        <x:v>225</x:v>
      </x:c>
      <x:c r="G19" t="n">
        <x:v>5</x:v>
      </x:c>
      <x:c r="H19" t="inlineStr">
        <x:is>
          <x:t xml:space="preserve">published 5h local-message range; monthly projection is a proxy</x:t>
        </x:is>
      </x:c>
      <x:c r="I19" t="inlineStr">
        <x:is>
          <x:t xml:space="preserve">medium</x:t>
        </x:is>
      </x:c>
      <x:c r="J19" t="inlineStr">
        <x:is>
          <x:t xml:space="preserve">https://help.openai.com/en/articles/20001516-managing-usage-with-gpt-6-astra-in-work-and-codex</x:t>
        </x:is>
      </x:c>
    </x:row>
    <x:row r="20">
      <x:c r="A20" t="inlineStr">
        <x:is>
          <x:t xml:space="preserve">chatgpt-pro-5x</x:t>
        </x:is>
      </x:c>
      <x:c r="B20" t="inlineStr">
        <x:is>
          <x:t xml:space="preserve">GPT-5.6 Sol</x:t>
        </x:is>
      </x:c>
      <x:c r="C20" t="inlineStr">
        <x:is>
          <x:t xml:space="preserve">medium</x:t>
        </x:is>
      </x:c>
      <x:c r="D20" t="n">
        <x:v>50</x:v>
      </x:c>
      <x:c r="E20" t="n">
        <x:v>500</x:v>
      </x:c>
      <x:c r="G20" t="n">
        <x:v>5</x:v>
      </x:c>
      <x:c r="H20" t="inlineStr">
        <x:is>
          <x:t xml:space="preserve">published 5h local-message range; monthly projection is a proxy</x:t>
        </x:is>
      </x:c>
      <x:c r="I20" t="inlineStr">
        <x:is>
          <x:t xml:space="preserve">medium</x:t>
        </x:is>
      </x:c>
      <x:c r="J20" t="inlineStr">
        <x:is>
          <x:t xml:space="preserve">https://help.openai.com/en/articles/20001516-managing-usage-with-gpt-6-astra-in-work-and-codex</x:t>
        </x:is>
      </x:c>
    </x:row>
    <x:row r="21">
      <x:c r="A21" t="inlineStr">
        <x:is>
          <x:t xml:space="preserve">chatgpt-pro-5x</x:t>
        </x:is>
      </x:c>
      <x:c r="B21" t="inlineStr">
        <x:is>
          <x:t xml:space="preserve">GPT-5.6 Luna</x:t>
        </x:is>
      </x:c>
      <x:c r="C21" t="inlineStr">
        <x:is>
          <x:t xml:space="preserve">medium</x:t>
        </x:is>
      </x:c>
      <x:c r="D21" t="n">
        <x:v>1250</x:v>
      </x:c>
      <x:c r="E21" t="n">
        <x:v>10000</x:v>
      </x:c>
      <x:c r="G21" t="n">
        <x:v>5</x:v>
      </x:c>
      <x:c r="H21" t="inlineStr">
        <x:is>
          <x:t xml:space="preserve">published 5h local-message range; monthly projection is a proxy</x:t>
        </x:is>
      </x:c>
      <x:c r="I21" t="inlineStr">
        <x:is>
          <x:t xml:space="preserve">medium</x:t>
        </x:is>
      </x:c>
      <x:c r="J21" t="inlineStr">
        <x:is>
          <x:t xml:space="preserve">https://help.openai.com/en/articles/20001516-managing-usage-with-gpt-6-astra-in-work-and-codex</x:t>
        </x:is>
      </x:c>
    </x:row>
    <x:row r="22">
      <x:c r="A22" t="inlineStr">
        <x:is>
          <x:t xml:space="preserve">chatgpt-pro-20x</x:t>
        </x:is>
      </x:c>
      <x:c r="B22" t="inlineStr">
        <x:is>
          <x:t xml:space="preserve">GPT-6 Astra</x:t>
        </x:is>
      </x:c>
      <x:c r="C22" t="inlineStr">
        <x:is>
          <x:t xml:space="preserve">medium</x:t>
        </x:is>
      </x:c>
      <x:c r="D22" t="n">
        <x:v>100</x:v>
      </x:c>
      <x:c r="E22" t="n">
        <x:v>900</x:v>
      </x:c>
      <x:c r="G22" t="n">
        <x:v>20</x:v>
      </x:c>
      <x:c r="H22" t="inlineStr">
        <x:is>
          <x:t xml:space="preserve">published 5h local-message range; monthly projection is a proxy</x:t>
        </x:is>
      </x:c>
      <x:c r="I22" t="inlineStr">
        <x:is>
          <x:t xml:space="preserve">medium</x:t>
        </x:is>
      </x:c>
      <x:c r="J22" t="inlineStr">
        <x:is>
          <x:t xml:space="preserve">https://help.openai.com/en/articles/20001516-managing-usage-with-gpt-6-astra-in-work-and-codex</x:t>
        </x:is>
      </x:c>
    </x:row>
    <x:row r="23">
      <x:c r="A23" t="inlineStr">
        <x:is>
          <x:t xml:space="preserve">chatgpt-pro-20x</x:t>
        </x:is>
      </x:c>
      <x:c r="B23" t="inlineStr">
        <x:is>
          <x:t xml:space="preserve">GPT-5.6 Sol</x:t>
        </x:is>
      </x:c>
      <x:c r="C23" t="inlineStr">
        <x:is>
          <x:t xml:space="preserve">medium</x:t>
        </x:is>
      </x:c>
      <x:c r="D23" t="n">
        <x:v>200</x:v>
      </x:c>
      <x:c r="E23" t="n">
        <x:v>2000</x:v>
      </x:c>
      <x:c r="G23" t="n">
        <x:v>20</x:v>
      </x:c>
      <x:c r="H23" t="inlineStr">
        <x:is>
          <x:t xml:space="preserve">published 5h local-message range; monthly projection is a proxy</x:t>
        </x:is>
      </x:c>
      <x:c r="I23" t="inlineStr">
        <x:is>
          <x:t xml:space="preserve">medium</x:t>
        </x:is>
      </x:c>
      <x:c r="J23" t="inlineStr">
        <x:is>
          <x:t xml:space="preserve">https://help.openai.com/en/articles/20001516-managing-usage-with-gpt-6-astra-in-work-and-codex</x:t>
        </x:is>
      </x:c>
    </x:row>
    <x:row r="24">
      <x:c r="A24" t="inlineStr">
        <x:is>
          <x:t xml:space="preserve">chatgpt-pro-20x</x:t>
        </x:is>
      </x:c>
      <x:c r="B24" t="inlineStr">
        <x:is>
          <x:t xml:space="preserve">GPT-5.6 Luna</x:t>
        </x:is>
      </x:c>
      <x:c r="C24" t="inlineStr">
        <x:is>
          <x:t xml:space="preserve">medium</x:t>
        </x:is>
      </x:c>
      <x:c r="D24" t="n">
        <x:v>5000</x:v>
      </x:c>
      <x:c r="E24" t="n">
        <x:v>40000</x:v>
      </x:c>
      <x:c r="G24" t="n">
        <x:v>20</x:v>
      </x:c>
      <x:c r="H24" t="inlineStr">
        <x:is>
          <x:t xml:space="preserve">published 5h local-message range; monthly projection is a proxy</x:t>
        </x:is>
      </x:c>
      <x:c r="I24" t="inlineStr">
        <x:is>
          <x:t xml:space="preserve">medium</x:t>
        </x:is>
      </x:c>
      <x:c r="J24" t="inlineStr">
        <x:is>
          <x:t xml:space="preserve">https://help.openai.com/en/articles/20001516-managing-usage-with-gpt-6-astra-in-work-and-codex</x:t>
        </x:is>
      </x:c>
    </x:row>
    <x:row r="25">
      <x:c r="A25" t="inlineStr">
        <x:is>
          <x:t xml:space="preserve">claude-pro</x:t>
        </x:is>
      </x:c>
      <x:c r="B25" t="inlineStr">
        <x:is>
          <x:t xml:space="preserve">Claude Sonnet 5.5</x:t>
        </x:is>
      </x:c>
      <x:c r="C25" t="inlineStr">
        <x:is>
          <x:t xml:space="preserve">medium</x:t>
        </x:is>
      </x:c>
      <x:c r="D25" t="n">
        <x:v>10</x:v>
      </x:c>
      <x:c r="E25" t="n">
        <x:v>40</x:v>
      </x:c>
      <x:c r="G25" t="n">
        <x:v>1</x:v>
      </x:c>
      <x:c r="H25" t="inlineStr">
        <x:is>
          <x:t xml:space="preserve">published Claude Code prompt range; AA-task mapping is a proxy</x:t>
        </x:is>
      </x:c>
      <x:c r="I25" t="inlineStr">
        <x:is>
          <x:t xml:space="preserve">medium</x:t>
        </x:is>
      </x:c>
      <x:c r="J25" t="inlineStr">
        <x:is>
          <x:t xml:space="preserve">https://support.anthropic.com/en/articles/11145838-using-claude-code-with-your-pro-or-max-plan</x:t>
        </x:is>
      </x:c>
    </x:row>
    <x:row r="26">
      <x:c r="A26" t="inlineStr">
        <x:is>
          <x:t xml:space="preserve">claude-max-5x</x:t>
        </x:is>
      </x:c>
      <x:c r="B26" t="inlineStr">
        <x:is>
          <x:t xml:space="preserve">Claude Sonnet 5.5</x:t>
        </x:is>
      </x:c>
      <x:c r="C26" t="inlineStr">
        <x:is>
          <x:t xml:space="preserve">medium</x:t>
        </x:is>
      </x:c>
      <x:c r="D26" t="n">
        <x:v>50</x:v>
      </x:c>
      <x:c r="E26" t="n">
        <x:v>200</x:v>
      </x:c>
      <x:c r="G26" t="n">
        <x:v>5</x:v>
      </x:c>
      <x:c r="H26" t="inlineStr">
        <x:is>
          <x:t xml:space="preserve">published Claude Code prompt range; AA-task mapping is a proxy</x:t>
        </x:is>
      </x:c>
      <x:c r="I26" t="inlineStr">
        <x:is>
          <x:t xml:space="preserve">medium</x:t>
        </x:is>
      </x:c>
      <x:c r="J26" t="inlineStr">
        <x:is>
          <x:t xml:space="preserve">https://support.anthropic.com/en/articles/11145838-using-claude-code-with-your-pro-or-max-plan</x:t>
        </x:is>
      </x:c>
    </x:row>
    <x:row r="27">
      <x:c r="A27" t="inlineStr">
        <x:is>
          <x:t xml:space="preserve">claude-max-5x</x:t>
        </x:is>
      </x:c>
      <x:c r="B27" t="inlineStr">
        <x:is>
          <x:t xml:space="preserve">Claude Opus 5.5</x:t>
        </x:is>
      </x:c>
      <x:c r="C27" t="inlineStr">
        <x:is>
          <x:t xml:space="preserve">medium</x:t>
        </x:is>
      </x:c>
      <x:c r="D27" t="n">
        <x:v>10</x:v>
      </x:c>
      <x:c r="E27" t="n">
        <x:v>40</x:v>
      </x:c>
      <x:c r="G27" t="n">
        <x:v>1</x:v>
      </x:c>
      <x:c r="H27" t="inlineStr">
        <x:is>
          <x:t xml:space="preserve">rough Opus-only range from ~5x faster allowance burn</x:t>
        </x:is>
      </x:c>
      <x:c r="I27" t="inlineStr">
        <x:is>
          <x:t xml:space="preserve">low</x:t>
        </x:is>
      </x:c>
      <x:c r="J27" t="inlineStr">
        <x:is>
          <x:t xml:space="preserve">https://support.anthropic.com/en/articles/11145838-using-claude-code-with-your-pro-or-max-plan</x:t>
        </x:is>
      </x:c>
    </x:row>
    <x:row r="28">
      <x:c r="A28" t="inlineStr">
        <x:is>
          <x:t xml:space="preserve">claude-max-20x</x:t>
        </x:is>
      </x:c>
      <x:c r="B28" t="inlineStr">
        <x:is>
          <x:t xml:space="preserve">Claude Sonnet 5.5</x:t>
        </x:is>
      </x:c>
      <x:c r="C28" t="inlineStr">
        <x:is>
          <x:t xml:space="preserve">medium</x:t>
        </x:is>
      </x:c>
      <x:c r="D28" t="n">
        <x:v>200</x:v>
      </x:c>
      <x:c r="E28" t="n">
        <x:v>800</x:v>
      </x:c>
      <x:c r="G28" t="n">
        <x:v>20</x:v>
      </x:c>
      <x:c r="H28" t="inlineStr">
        <x:is>
          <x:t xml:space="preserve">published Claude Code prompt range; AA-task mapping is a proxy</x:t>
        </x:is>
      </x:c>
      <x:c r="I28" t="inlineStr">
        <x:is>
          <x:t xml:space="preserve">medium</x:t>
        </x:is>
      </x:c>
      <x:c r="J28" t="inlineStr">
        <x:is>
          <x:t xml:space="preserve">https://support.anthropic.com/en/articles/11145838-using-claude-code-with-your-pro-or-max-plan</x:t>
        </x:is>
      </x:c>
    </x:row>
    <x:row r="29">
      <x:c r="A29" t="inlineStr">
        <x:is>
          <x:t xml:space="preserve">claude-max-20x</x:t>
        </x:is>
      </x:c>
      <x:c r="B29" t="inlineStr">
        <x:is>
          <x:t xml:space="preserve">Claude Opus 5.5</x:t>
        </x:is>
      </x:c>
      <x:c r="C29" t="inlineStr">
        <x:is>
          <x:t xml:space="preserve">medium</x:t>
        </x:is>
      </x:c>
      <x:c r="D29" t="n">
        <x:v>40</x:v>
      </x:c>
      <x:c r="E29" t="n">
        <x:v>160</x:v>
      </x:c>
      <x:c r="G29" t="n">
        <x:v>4</x:v>
      </x:c>
      <x:c r="H29" t="inlineStr">
        <x:is>
          <x:t xml:space="preserve">rough Opus-only range from ~5x faster allowance burn</x:t>
        </x:is>
      </x:c>
      <x:c r="I29" t="inlineStr">
        <x:is>
          <x:t xml:space="preserve">low</x:t>
        </x:is>
      </x:c>
      <x:c r="J29" t="inlineStr">
        <x:is>
          <x:t xml:space="preserve">https://support.anthropic.com/en/articles/11145838-using-claude-code-with-your-pro-or-max-plan</x:t>
        </x:is>
      </x:c>
    </x:row>
    <x:row r="30">
      <x:c r="A30" t="inlineStr">
        <x:is>
          <x:t xml:space="preserve">muse-everyday</x:t>
        </x:is>
      </x:c>
      <x:c r="B30" t="inlineStr">
        <x:is>
          <x:t xml:space="preserve">Muse Spark 1.3</x:t>
        </x:is>
      </x:c>
      <x:c r="C30" t="inlineStr">
        <x:is>
          <x:t xml:space="preserve">xhigh</x:t>
        </x:is>
      </x:c>
      <x:c r="D30" t="n">
        <x:v>10</x:v>
      </x:c>
      <x:c r="E30" t="n">
        <x:v>50</x:v>
      </x:c>
      <x:c r="G30" t="n">
        <x:v>1</x:v>
      </x:c>
      <x:c r="H30" t="inlineStr">
        <x:is>
          <x:t xml:space="preserve">latest Muse family; Spark 1.3 used as benchmark representative</x:t>
        </x:is>
      </x:c>
      <x:c r="I30" t="inlineStr">
        <x:is>
          <x:t xml:space="preserve">low</x:t>
        </x:is>
      </x:c>
      <x:c r="J30" t="inlineStr">
        <x:is>
          <x:t xml:space="preserve">https://dev.meta.ai/help/subscriptions/what-is-a-muse-code-subscription</x:t>
        </x:is>
      </x:c>
    </x:row>
    <x:row r="31">
      <x:c r="A31" t="inlineStr">
        <x:is>
          <x:t xml:space="preserve">muse-high</x:t>
        </x:is>
      </x:c>
      <x:c r="B31" t="inlineStr">
        <x:is>
          <x:t xml:space="preserve">Muse Spark 1.3</x:t>
        </x:is>
      </x:c>
      <x:c r="C31" t="inlineStr">
        <x:is>
          <x:t xml:space="preserve">xhigh</x:t>
        </x:is>
      </x:c>
      <x:c r="D31" t="n">
        <x:v>50</x:v>
      </x:c>
      <x:c r="E31" t="n">
        <x:v>250</x:v>
      </x:c>
      <x:c r="G31" t="n">
        <x:v>5</x:v>
      </x:c>
      <x:c r="H31" t="inlineStr">
        <x:is>
          <x:t xml:space="preserve">latest Muse family; Spark 1.3 used as benchmark representative</x:t>
        </x:is>
      </x:c>
      <x:c r="I31" t="inlineStr">
        <x:is>
          <x:t xml:space="preserve">low</x:t>
        </x:is>
      </x:c>
      <x:c r="J31" t="inlineStr">
        <x:is>
          <x:t xml:space="preserve">https://dev.meta.ai/help/subscriptions/what-is-a-muse-code-subscription</x:t>
        </x:is>
      </x:c>
    </x:row>
    <x:row r="32">
      <x:c r="A32" t="inlineStr">
        <x:is>
          <x:t xml:space="preserve">muse-power</x:t>
        </x:is>
      </x:c>
      <x:c r="B32" t="inlineStr">
        <x:is>
          <x:t xml:space="preserve">Muse Spark 1.3</x:t>
        </x:is>
      </x:c>
      <x:c r="C32" t="inlineStr">
        <x:is>
          <x:t xml:space="preserve">xhigh</x:t>
        </x:is>
      </x:c>
      <x:c r="D32" t="n">
        <x:v>200</x:v>
      </x:c>
      <x:c r="E32" t="n">
        <x:v>1000</x:v>
      </x:c>
      <x:c r="G32" t="n">
        <x:v>20</x:v>
      </x:c>
      <x:c r="H32" t="inlineStr">
        <x:is>
          <x:t xml:space="preserve">latest Muse family; Spark 1.3 used as benchmark representative</x:t>
        </x:is>
      </x:c>
      <x:c r="I32" t="inlineStr">
        <x:is>
          <x:t xml:space="preserve">low</x:t>
        </x:is>
      </x:c>
      <x:c r="J32" t="inlineStr">
        <x:is>
          <x:t xml:space="preserve">https://dev.meta.ai/help/subscriptions/what-is-a-muse-code-subscription</x:t>
        </x:is>
      </x:c>
    </x:row>
    <x:row r="33">
      <x:c r="A33" t="inlineStr">
        <x:is>
          <x:t xml:space="preserve">google-ai-pro</x:t>
        </x:is>
      </x:c>
      <x:c r="B33" t="inlineStr">
        <x:is>
          <x:t xml:space="preserve">Gemini 3.8 Flash</x:t>
        </x:is>
      </x:c>
      <x:c r="C33" t="inlineStr">
        <x:is>
          <x:t xml:space="preserve">high</x:t>
        </x:is>
      </x:c>
      <x:c r="G33" t="n">
        <x:v>1</x:v>
      </x:c>
      <x:c r="H33" t="inlineStr">
        <x:is>
          <x:t xml:space="preserve">relative-only; no prompt quantity invented</x:t>
        </x:is>
      </x:c>
      <x:c r="I33" t="inlineStr">
        <x:is>
          <x:t xml:space="preserve">low</x:t>
        </x:is>
      </x:c>
      <x:c r="J33" t="inlineStr">
        <x:is>
          <x:t xml:space="preserve">https://one.google.com/about/plans</x:t>
        </x:is>
      </x:c>
    </x:row>
    <x:row r="34">
      <x:c r="A34" t="inlineStr">
        <x:is>
          <x:t xml:space="preserve">direct-api-20</x:t>
        </x:is>
      </x:c>
      <x:c r="B34" t="inlineStr">
        <x:is>
          <x:t xml:space="preserve">GPT-6 Luna</x:t>
        </x:is>
      </x:c>
      <x:c r="C34" t="inlineStr">
        <x:is>
          <x:t xml:space="preserve">non-reasoning</x:t>
        </x:is>
      </x:c>
      <x:c r="F34" t="n">
        <x:v>20</x:v>
      </x:c>
      <x:c r="G34" t="n">
        <x:v>1</x:v>
      </x:c>
      <x:c r="H34" t="inlineStr">
        <x:is>
          <x:t xml:space="preserve">Fungible $20 direct-API baseline; entire budget allocated to this variant.</x:t>
        </x:is>
      </x:c>
      <x:c r="I34" t="inlineStr">
        <x:is>
          <x:t xml:space="preserve">high</x:t>
        </x:is>
      </x:c>
      <x:c r="J34" t="inlineStr">
        <x:is>
          <x:t xml:space="preserve">calculation baseline</x:t>
        </x:is>
      </x:c>
    </x:row>
    <x:row r="35">
      <x:c r="A35" t="inlineStr">
        <x:is>
          <x:t xml:space="preserve">direct-api-20</x:t>
        </x:is>
      </x:c>
      <x:c r="B35" t="inlineStr">
        <x:is>
          <x:t xml:space="preserve">GPT-6 Luna</x:t>
        </x:is>
      </x:c>
      <x:c r="C35" t="inlineStr">
        <x:is>
          <x:t xml:space="preserve">low</x:t>
        </x:is>
      </x:c>
      <x:c r="F35" t="n">
        <x:v>20</x:v>
      </x:c>
      <x:c r="G35" t="n">
        <x:v>1</x:v>
      </x:c>
      <x:c r="H35" t="inlineStr">
        <x:is>
          <x:t xml:space="preserve">Fungible $20 direct-API baseline; entire budget allocated to this variant.</x:t>
        </x:is>
      </x:c>
      <x:c r="I35" t="inlineStr">
        <x:is>
          <x:t xml:space="preserve">high</x:t>
        </x:is>
      </x:c>
      <x:c r="J35" t="inlineStr">
        <x:is>
          <x:t xml:space="preserve">calculation baseline</x:t>
        </x:is>
      </x:c>
    </x:row>
    <x:row r="36">
      <x:c r="A36" t="inlineStr">
        <x:is>
          <x:t xml:space="preserve">direct-api-20</x:t>
        </x:is>
      </x:c>
      <x:c r="B36" t="inlineStr">
        <x:is>
          <x:t xml:space="preserve">GPT-6 Luna</x:t>
        </x:is>
      </x:c>
      <x:c r="C36" t="inlineStr">
        <x:is>
          <x:t xml:space="preserve">medium</x:t>
        </x:is>
      </x:c>
      <x:c r="F36" t="n">
        <x:v>20</x:v>
      </x:c>
      <x:c r="G36" t="n">
        <x:v>1</x:v>
      </x:c>
      <x:c r="H36" t="inlineStr">
        <x:is>
          <x:t xml:space="preserve">Fungible $20 direct-API baseline; entire budget allocated to this variant.</x:t>
        </x:is>
      </x:c>
      <x:c r="I36" t="inlineStr">
        <x:is>
          <x:t xml:space="preserve">high</x:t>
        </x:is>
      </x:c>
      <x:c r="J36" t="inlineStr">
        <x:is>
          <x:t xml:space="preserve">calculation baseline</x:t>
        </x:is>
      </x:c>
    </x:row>
    <x:row r="37">
      <x:c r="A37" t="inlineStr">
        <x:is>
          <x:t xml:space="preserve">direct-api-20</x:t>
        </x:is>
      </x:c>
      <x:c r="B37" t="inlineStr">
        <x:is>
          <x:t xml:space="preserve">GPT-6 Luna</x:t>
        </x:is>
      </x:c>
      <x:c r="C37" t="inlineStr">
        <x:is>
          <x:t xml:space="preserve">high</x:t>
        </x:is>
      </x:c>
      <x:c r="F37" t="n">
        <x:v>20</x:v>
      </x:c>
      <x:c r="G37" t="n">
        <x:v>1</x:v>
      </x:c>
      <x:c r="H37" t="inlineStr">
        <x:is>
          <x:t xml:space="preserve">Fungible $20 direct-API baseline; entire budget allocated to this variant.</x:t>
        </x:is>
      </x:c>
      <x:c r="I37" t="inlineStr">
        <x:is>
          <x:t xml:space="preserve">high</x:t>
        </x:is>
      </x:c>
      <x:c r="J37" t="inlineStr">
        <x:is>
          <x:t xml:space="preserve">calculation baseline</x:t>
        </x:is>
      </x:c>
    </x:row>
    <x:row r="38">
      <x:c r="A38" t="inlineStr">
        <x:is>
          <x:t xml:space="preserve">direct-api-20</x:t>
        </x:is>
      </x:c>
      <x:c r="B38" t="inlineStr">
        <x:is>
          <x:t xml:space="preserve">GPT-6 Luna</x:t>
        </x:is>
      </x:c>
      <x:c r="C38" t="inlineStr">
        <x:is>
          <x:t xml:space="preserve">xhigh</x:t>
        </x:is>
      </x:c>
      <x:c r="F38" t="n">
        <x:v>20</x:v>
      </x:c>
      <x:c r="G38" t="n">
        <x:v>1</x:v>
      </x:c>
      <x:c r="H38" t="inlineStr">
        <x:is>
          <x:t xml:space="preserve">Fungible $20 direct-API baseline; entire budget allocated to this variant.</x:t>
        </x:is>
      </x:c>
      <x:c r="I38" t="inlineStr">
        <x:is>
          <x:t xml:space="preserve">high</x:t>
        </x:is>
      </x:c>
      <x:c r="J38" t="inlineStr">
        <x:is>
          <x:t xml:space="preserve">calculation baseline</x:t>
        </x:is>
      </x:c>
    </x:row>
    <x:row r="39">
      <x:c r="A39" t="inlineStr">
        <x:is>
          <x:t xml:space="preserve">direct-api-20</x:t>
        </x:is>
      </x:c>
      <x:c r="B39" t="inlineStr">
        <x:is>
          <x:t xml:space="preserve">GPT-6 Luna</x:t>
        </x:is>
      </x:c>
      <x:c r="C39" t="inlineStr">
        <x:is>
          <x:t xml:space="preserve">max</x:t>
        </x:is>
      </x:c>
      <x:c r="F39" t="n">
        <x:v>20</x:v>
      </x:c>
      <x:c r="G39" t="n">
        <x:v>1</x:v>
      </x:c>
      <x:c r="H39" t="inlineStr">
        <x:is>
          <x:t xml:space="preserve">Fungible $20 direct-API baseline; entire budget allocated to this variant.</x:t>
        </x:is>
      </x:c>
      <x:c r="I39" t="inlineStr">
        <x:is>
          <x:t xml:space="preserve">high</x:t>
        </x:is>
      </x:c>
      <x:c r="J39" t="inlineStr">
        <x:is>
          <x:t xml:space="preserve">calculation baseline</x:t>
        </x:is>
      </x:c>
    </x:row>
    <x:row r="40">
      <x:c r="A40" t="inlineStr">
        <x:is>
          <x:t xml:space="preserve">direct-api-20</x:t>
        </x:is>
      </x:c>
      <x:c r="B40" t="inlineStr">
        <x:is>
          <x:t xml:space="preserve">GPT-6 Sol</x:t>
        </x:is>
      </x:c>
      <x:c r="C40" t="inlineStr">
        <x:is>
          <x:t xml:space="preserve">non-reasoning</x:t>
        </x:is>
      </x:c>
      <x:c r="F40" t="n">
        <x:v>20</x:v>
      </x:c>
      <x:c r="G40" t="n">
        <x:v>1</x:v>
      </x:c>
      <x:c r="H40" t="inlineStr">
        <x:is>
          <x:t xml:space="preserve">Fungible $20 direct-API baseline; entire budget allocated to this variant.</x:t>
        </x:is>
      </x:c>
      <x:c r="I40" t="inlineStr">
        <x:is>
          <x:t xml:space="preserve">high</x:t>
        </x:is>
      </x:c>
      <x:c r="J40" t="inlineStr">
        <x:is>
          <x:t xml:space="preserve">calculation baseline</x:t>
        </x:is>
      </x:c>
    </x:row>
    <x:row r="41">
      <x:c r="A41" t="inlineStr">
        <x:is>
          <x:t xml:space="preserve">direct-api-20</x:t>
        </x:is>
      </x:c>
      <x:c r="B41" t="inlineStr">
        <x:is>
          <x:t xml:space="preserve">GPT-6 Sol</x:t>
        </x:is>
      </x:c>
      <x:c r="C41" t="inlineStr">
        <x:is>
          <x:t xml:space="preserve">low</x:t>
        </x:is>
      </x:c>
      <x:c r="F41" t="n">
        <x:v>20</x:v>
      </x:c>
      <x:c r="G41" t="n">
        <x:v>1</x:v>
      </x:c>
      <x:c r="H41" t="inlineStr">
        <x:is>
          <x:t xml:space="preserve">Fungible $20 direct-API baseline; entire budget allocated to this variant.</x:t>
        </x:is>
      </x:c>
      <x:c r="I41" t="inlineStr">
        <x:is>
          <x:t xml:space="preserve">high</x:t>
        </x:is>
      </x:c>
      <x:c r="J41" t="inlineStr">
        <x:is>
          <x:t xml:space="preserve">calculation baseline</x:t>
        </x:is>
      </x:c>
    </x:row>
    <x:row r="42">
      <x:c r="A42" t="inlineStr">
        <x:is>
          <x:t xml:space="preserve">direct-api-20</x:t>
        </x:is>
      </x:c>
      <x:c r="B42" t="inlineStr">
        <x:is>
          <x:t xml:space="preserve">GPT-6 Sol</x:t>
        </x:is>
      </x:c>
      <x:c r="C42" t="inlineStr">
        <x:is>
          <x:t xml:space="preserve">medium</x:t>
        </x:is>
      </x:c>
      <x:c r="F42" t="n">
        <x:v>20</x:v>
      </x:c>
      <x:c r="G42" t="n">
        <x:v>1</x:v>
      </x:c>
      <x:c r="H42" t="inlineStr">
        <x:is>
          <x:t xml:space="preserve">Fungible $20 direct-API baseline; entire budget allocated to this variant.</x:t>
        </x:is>
      </x:c>
      <x:c r="I42" t="inlineStr">
        <x:is>
          <x:t xml:space="preserve">high</x:t>
        </x:is>
      </x:c>
      <x:c r="J42" t="inlineStr">
        <x:is>
          <x:t xml:space="preserve">calculation baseline</x:t>
        </x:is>
      </x:c>
    </x:row>
    <x:row r="43">
      <x:c r="A43" t="inlineStr">
        <x:is>
          <x:t xml:space="preserve">direct-api-20</x:t>
        </x:is>
      </x:c>
      <x:c r="B43" t="inlineStr">
        <x:is>
          <x:t xml:space="preserve">GPT-6 Sol</x:t>
        </x:is>
      </x:c>
      <x:c r="C43" t="inlineStr">
        <x:is>
          <x:t xml:space="preserve">high</x:t>
        </x:is>
      </x:c>
      <x:c r="F43" t="n">
        <x:v>20</x:v>
      </x:c>
      <x:c r="G43" t="n">
        <x:v>1</x:v>
      </x:c>
      <x:c r="H43" t="inlineStr">
        <x:is>
          <x:t xml:space="preserve">Fungible $20 direct-API baseline; entire budget allocated to this variant.</x:t>
        </x:is>
      </x:c>
      <x:c r="I43" t="inlineStr">
        <x:is>
          <x:t xml:space="preserve">high</x:t>
        </x:is>
      </x:c>
      <x:c r="J43" t="inlineStr">
        <x:is>
          <x:t xml:space="preserve">calculation baseline</x:t>
        </x:is>
      </x:c>
    </x:row>
    <x:row r="44">
      <x:c r="A44" t="inlineStr">
        <x:is>
          <x:t xml:space="preserve">direct-api-20</x:t>
        </x:is>
      </x:c>
      <x:c r="B44" t="inlineStr">
        <x:is>
          <x:t xml:space="preserve">GPT-6 Sol</x:t>
        </x:is>
      </x:c>
      <x:c r="C44" t="inlineStr">
        <x:is>
          <x:t xml:space="preserve">xhigh</x:t>
        </x:is>
      </x:c>
      <x:c r="F44" t="n">
        <x:v>20</x:v>
      </x:c>
      <x:c r="G44" t="n">
        <x:v>1</x:v>
      </x:c>
      <x:c r="H44" t="inlineStr">
        <x:is>
          <x:t xml:space="preserve">Fungible $20 direct-API baseline; entire budget allocated to this variant.</x:t>
        </x:is>
      </x:c>
      <x:c r="I44" t="inlineStr">
        <x:is>
          <x:t xml:space="preserve">high</x:t>
        </x:is>
      </x:c>
      <x:c r="J44" t="inlineStr">
        <x:is>
          <x:t xml:space="preserve">calculation baseline</x:t>
        </x:is>
      </x:c>
    </x:row>
    <x:row r="45">
      <x:c r="A45" t="inlineStr">
        <x:is>
          <x:t xml:space="preserve">direct-api-20</x:t>
        </x:is>
      </x:c>
      <x:c r="B45" t="inlineStr">
        <x:is>
          <x:t xml:space="preserve">GPT-6 Sol</x:t>
        </x:is>
      </x:c>
      <x:c r="C45" t="inlineStr">
        <x:is>
          <x:t xml:space="preserve">max</x:t>
        </x:is>
      </x:c>
      <x:c r="F45" t="n">
        <x:v>20</x:v>
      </x:c>
      <x:c r="G45" t="n">
        <x:v>1</x:v>
      </x:c>
      <x:c r="H45" t="inlineStr">
        <x:is>
          <x:t xml:space="preserve">Fungible $20 direct-API baseline; entire budget allocated to this variant.</x:t>
        </x:is>
      </x:c>
      <x:c r="I45" t="inlineStr">
        <x:is>
          <x:t xml:space="preserve">high</x:t>
        </x:is>
      </x:c>
      <x:c r="J45" t="inlineStr">
        <x:is>
          <x:t xml:space="preserve">calculation baseline</x:t>
        </x:is>
      </x:c>
    </x:row>
    <x:row r="46">
      <x:c r="A46" t="inlineStr">
        <x:is>
          <x:t xml:space="preserve">direct-api-20</x:t>
        </x:is>
      </x:c>
      <x:c r="B46" t="inlineStr">
        <x:is>
          <x:t xml:space="preserve">GPT-6 Astra</x:t>
        </x:is>
      </x:c>
      <x:c r="C46" t="inlineStr">
        <x:is>
          <x:t xml:space="preserve">low</x:t>
        </x:is>
      </x:c>
      <x:c r="F46" t="n">
        <x:v>20</x:v>
      </x:c>
      <x:c r="G46" t="n">
        <x:v>1</x:v>
      </x:c>
      <x:c r="H46" t="inlineStr">
        <x:is>
          <x:t xml:space="preserve">Fungible $20 direct-API baseline; entire budget allocated to this variant.</x:t>
        </x:is>
      </x:c>
      <x:c r="I46" t="inlineStr">
        <x:is>
          <x:t xml:space="preserve">high</x:t>
        </x:is>
      </x:c>
      <x:c r="J46" t="inlineStr">
        <x:is>
          <x:t xml:space="preserve">calculation baseline</x:t>
        </x:is>
      </x:c>
    </x:row>
    <x:row r="47">
      <x:c r="A47" t="inlineStr">
        <x:is>
          <x:t xml:space="preserve">direct-api-20</x:t>
        </x:is>
      </x:c>
      <x:c r="B47" t="inlineStr">
        <x:is>
          <x:t xml:space="preserve">GPT-6 Astra</x:t>
        </x:is>
      </x:c>
      <x:c r="C47" t="inlineStr">
        <x:is>
          <x:t xml:space="preserve">medium</x:t>
        </x:is>
      </x:c>
      <x:c r="F47" t="n">
        <x:v>20</x:v>
      </x:c>
      <x:c r="G47" t="n">
        <x:v>1</x:v>
      </x:c>
      <x:c r="H47" t="inlineStr">
        <x:is>
          <x:t xml:space="preserve">Fungible $20 direct-API baseline; entire budget allocated to this variant.</x:t>
        </x:is>
      </x:c>
      <x:c r="I47" t="inlineStr">
        <x:is>
          <x:t xml:space="preserve">high</x:t>
        </x:is>
      </x:c>
      <x:c r="J47" t="inlineStr">
        <x:is>
          <x:t xml:space="preserve">calculation baseline</x:t>
        </x:is>
      </x:c>
    </x:row>
    <x:row r="48">
      <x:c r="A48" t="inlineStr">
        <x:is>
          <x:t xml:space="preserve">direct-api-20</x:t>
        </x:is>
      </x:c>
      <x:c r="B48" t="inlineStr">
        <x:is>
          <x:t xml:space="preserve">GPT-6 Astra</x:t>
        </x:is>
      </x:c>
      <x:c r="C48" t="inlineStr">
        <x:is>
          <x:t xml:space="preserve">high</x:t>
        </x:is>
      </x:c>
      <x:c r="F48" t="n">
        <x:v>20</x:v>
      </x:c>
      <x:c r="G48" t="n">
        <x:v>1</x:v>
      </x:c>
      <x:c r="H48" t="inlineStr">
        <x:is>
          <x:t xml:space="preserve">Fungible $20 direct-API baseline; entire budget allocated to this variant.</x:t>
        </x:is>
      </x:c>
      <x:c r="I48" t="inlineStr">
        <x:is>
          <x:t xml:space="preserve">high</x:t>
        </x:is>
      </x:c>
      <x:c r="J48" t="inlineStr">
        <x:is>
          <x:t xml:space="preserve">calculation baseline</x:t>
        </x:is>
      </x:c>
    </x:row>
    <x:row r="49">
      <x:c r="A49" t="inlineStr">
        <x:is>
          <x:t xml:space="preserve">direct-api-20</x:t>
        </x:is>
      </x:c>
      <x:c r="B49" t="inlineStr">
        <x:is>
          <x:t xml:space="preserve">GPT-6 Astra</x:t>
        </x:is>
      </x:c>
      <x:c r="C49" t="inlineStr">
        <x:is>
          <x:t xml:space="preserve">xhigh</x:t>
        </x:is>
      </x:c>
      <x:c r="F49" t="n">
        <x:v>20</x:v>
      </x:c>
      <x:c r="G49" t="n">
        <x:v>1</x:v>
      </x:c>
      <x:c r="H49" t="inlineStr">
        <x:is>
          <x:t xml:space="preserve">Fungible $20 direct-API baseline; entire budget allocated to this variant.</x:t>
        </x:is>
      </x:c>
      <x:c r="I49" t="inlineStr">
        <x:is>
          <x:t xml:space="preserve">high</x:t>
        </x:is>
      </x:c>
      <x:c r="J49" t="inlineStr">
        <x:is>
          <x:t xml:space="preserve">calculation baseline</x:t>
        </x:is>
      </x:c>
    </x:row>
    <x:row r="50">
      <x:c r="A50" t="inlineStr">
        <x:is>
          <x:t xml:space="preserve">direct-api-20</x:t>
        </x:is>
      </x:c>
      <x:c r="B50" t="inlineStr">
        <x:is>
          <x:t xml:space="preserve">GPT-6 Astra</x:t>
        </x:is>
      </x:c>
      <x:c r="C50" t="inlineStr">
        <x:is>
          <x:t xml:space="preserve">max</x:t>
        </x:is>
      </x:c>
      <x:c r="F50" t="n">
        <x:v>20</x:v>
      </x:c>
      <x:c r="G50" t="n">
        <x:v>1</x:v>
      </x:c>
      <x:c r="H50" t="inlineStr">
        <x:is>
          <x:t xml:space="preserve">Fungible $20 direct-API baseline; entire budget allocated to this variant.</x:t>
        </x:is>
      </x:c>
      <x:c r="I50" t="inlineStr">
        <x:is>
          <x:t xml:space="preserve">high</x:t>
        </x:is>
      </x:c>
      <x:c r="J50" t="inlineStr">
        <x:is>
          <x:t xml:space="preserve">calculation baseline</x:t>
        </x:is>
      </x:c>
    </x:row>
    <x:row r="51">
      <x:c r="A51" t="inlineStr">
        <x:is>
          <x:t xml:space="preserve">direct-api-20</x:t>
        </x:is>
      </x:c>
      <x:c r="B51" t="inlineStr">
        <x:is>
          <x:t xml:space="preserve">GPT-5.6 Luna</x:t>
        </x:is>
      </x:c>
      <x:c r="C51" t="inlineStr">
        <x:is>
          <x:t xml:space="preserve">non-reasoning</x:t>
        </x:is>
      </x:c>
      <x:c r="F51" t="n">
        <x:v>20</x:v>
      </x:c>
      <x:c r="G51" t="n">
        <x:v>1</x:v>
      </x:c>
      <x:c r="H51" t="inlineStr">
        <x:is>
          <x:t xml:space="preserve">Fungible $20 direct-API baseline; entire budget allocated to this variant.</x:t>
        </x:is>
      </x:c>
      <x:c r="I51" t="inlineStr">
        <x:is>
          <x:t xml:space="preserve">high</x:t>
        </x:is>
      </x:c>
      <x:c r="J51" t="inlineStr">
        <x:is>
          <x:t xml:space="preserve">calculation baseline</x:t>
        </x:is>
      </x:c>
    </x:row>
    <x:row r="52">
      <x:c r="A52" t="inlineStr">
        <x:is>
          <x:t xml:space="preserve">direct-api-20</x:t>
        </x:is>
      </x:c>
      <x:c r="B52" t="inlineStr">
        <x:is>
          <x:t xml:space="preserve">GPT-5.6 Luna</x:t>
        </x:is>
      </x:c>
      <x:c r="C52" t="inlineStr">
        <x:is>
          <x:t xml:space="preserve">low</x:t>
        </x:is>
      </x:c>
      <x:c r="F52" t="n">
        <x:v>20</x:v>
      </x:c>
      <x:c r="G52" t="n">
        <x:v>1</x:v>
      </x:c>
      <x:c r="H52" t="inlineStr">
        <x:is>
          <x:t xml:space="preserve">Fungible $20 direct-API baseline; entire budget allocated to this variant.</x:t>
        </x:is>
      </x:c>
      <x:c r="I52" t="inlineStr">
        <x:is>
          <x:t xml:space="preserve">high</x:t>
        </x:is>
      </x:c>
      <x:c r="J52" t="inlineStr">
        <x:is>
          <x:t xml:space="preserve">calculation baseline</x:t>
        </x:is>
      </x:c>
    </x:row>
    <x:row r="53">
      <x:c r="A53" t="inlineStr">
        <x:is>
          <x:t xml:space="preserve">direct-api-20</x:t>
        </x:is>
      </x:c>
      <x:c r="B53" t="inlineStr">
        <x:is>
          <x:t xml:space="preserve">GPT-5.6 Luna</x:t>
        </x:is>
      </x:c>
      <x:c r="C53" t="inlineStr">
        <x:is>
          <x:t xml:space="preserve">medium</x:t>
        </x:is>
      </x:c>
      <x:c r="F53" t="n">
        <x:v>20</x:v>
      </x:c>
      <x:c r="G53" t="n">
        <x:v>1</x:v>
      </x:c>
      <x:c r="H53" t="inlineStr">
        <x:is>
          <x:t xml:space="preserve">Fungible $20 direct-API baseline; entire budget allocated to this variant.</x:t>
        </x:is>
      </x:c>
      <x:c r="I53" t="inlineStr">
        <x:is>
          <x:t xml:space="preserve">high</x:t>
        </x:is>
      </x:c>
      <x:c r="J53" t="inlineStr">
        <x:is>
          <x:t xml:space="preserve">calculation baseline</x:t>
        </x:is>
      </x:c>
    </x:row>
    <x:row r="54">
      <x:c r="A54" t="inlineStr">
        <x:is>
          <x:t xml:space="preserve">direct-api-20</x:t>
        </x:is>
      </x:c>
      <x:c r="B54" t="inlineStr">
        <x:is>
          <x:t xml:space="preserve">GPT-5.6 Luna</x:t>
        </x:is>
      </x:c>
      <x:c r="C54" t="inlineStr">
        <x:is>
          <x:t xml:space="preserve">high</x:t>
        </x:is>
      </x:c>
      <x:c r="F54" t="n">
        <x:v>20</x:v>
      </x:c>
      <x:c r="G54" t="n">
        <x:v>1</x:v>
      </x:c>
      <x:c r="H54" t="inlineStr">
        <x:is>
          <x:t xml:space="preserve">Fungible $20 direct-API baseline; entire budget allocated to this variant.</x:t>
        </x:is>
      </x:c>
      <x:c r="I54" t="inlineStr">
        <x:is>
          <x:t xml:space="preserve">high</x:t>
        </x:is>
      </x:c>
      <x:c r="J54" t="inlineStr">
        <x:is>
          <x:t xml:space="preserve">calculation baseline</x:t>
        </x:is>
      </x:c>
    </x:row>
    <x:row r="55">
      <x:c r="A55" t="inlineStr">
        <x:is>
          <x:t xml:space="preserve">direct-api-20</x:t>
        </x:is>
      </x:c>
      <x:c r="B55" t="inlineStr">
        <x:is>
          <x:t xml:space="preserve">GPT-5.6 Luna</x:t>
        </x:is>
      </x:c>
      <x:c r="C55" t="inlineStr">
        <x:is>
          <x:t xml:space="preserve">xhigh</x:t>
        </x:is>
      </x:c>
      <x:c r="F55" t="n">
        <x:v>20</x:v>
      </x:c>
      <x:c r="G55" t="n">
        <x:v>1</x:v>
      </x:c>
      <x:c r="H55" t="inlineStr">
        <x:is>
          <x:t xml:space="preserve">Fungible $20 direct-API baseline; entire budget allocated to this variant.</x:t>
        </x:is>
      </x:c>
      <x:c r="I55" t="inlineStr">
        <x:is>
          <x:t xml:space="preserve">high</x:t>
        </x:is>
      </x:c>
      <x:c r="J55" t="inlineStr">
        <x:is>
          <x:t xml:space="preserve">calculation baseline</x:t>
        </x:is>
      </x:c>
    </x:row>
    <x:row r="56">
      <x:c r="A56" t="inlineStr">
        <x:is>
          <x:t xml:space="preserve">direct-api-20</x:t>
        </x:is>
      </x:c>
      <x:c r="B56" t="inlineStr">
        <x:is>
          <x:t xml:space="preserve">GPT-5.6 Luna</x:t>
        </x:is>
      </x:c>
      <x:c r="C56" t="inlineStr">
        <x:is>
          <x:t xml:space="preserve">max</x:t>
        </x:is>
      </x:c>
      <x:c r="F56" t="n">
        <x:v>20</x:v>
      </x:c>
      <x:c r="G56" t="n">
        <x:v>1</x:v>
      </x:c>
      <x:c r="H56" t="inlineStr">
        <x:is>
          <x:t xml:space="preserve">Fungible $20 direct-API baseline; entire budget allocated to this variant.</x:t>
        </x:is>
      </x:c>
      <x:c r="I56" t="inlineStr">
        <x:is>
          <x:t xml:space="preserve">high</x:t>
        </x:is>
      </x:c>
      <x:c r="J56" t="inlineStr">
        <x:is>
          <x:t xml:space="preserve">calculation baseline</x:t>
        </x:is>
      </x:c>
    </x:row>
    <x:row r="57">
      <x:c r="A57" t="inlineStr">
        <x:is>
          <x:t xml:space="preserve">direct-api-20</x:t>
        </x:is>
      </x:c>
      <x:c r="B57" t="inlineStr">
        <x:is>
          <x:t xml:space="preserve">GPT-5.6 Sol</x:t>
        </x:is>
      </x:c>
      <x:c r="C57" t="inlineStr">
        <x:is>
          <x:t xml:space="preserve">low</x:t>
        </x:is>
      </x:c>
      <x:c r="F57" t="n">
        <x:v>20</x:v>
      </x:c>
      <x:c r="G57" t="n">
        <x:v>1</x:v>
      </x:c>
      <x:c r="H57" t="inlineStr">
        <x:is>
          <x:t xml:space="preserve">Fungible $20 direct-API baseline; entire budget allocated to this variant.</x:t>
        </x:is>
      </x:c>
      <x:c r="I57" t="inlineStr">
        <x:is>
          <x:t xml:space="preserve">high</x:t>
        </x:is>
      </x:c>
      <x:c r="J57" t="inlineStr">
        <x:is>
          <x:t xml:space="preserve">calculation baseline</x:t>
        </x:is>
      </x:c>
    </x:row>
    <x:row r="58">
      <x:c r="A58" t="inlineStr">
        <x:is>
          <x:t xml:space="preserve">direct-api-20</x:t>
        </x:is>
      </x:c>
      <x:c r="B58" t="inlineStr">
        <x:is>
          <x:t xml:space="preserve">GPT-5.6 Sol</x:t>
        </x:is>
      </x:c>
      <x:c r="C58" t="inlineStr">
        <x:is>
          <x:t xml:space="preserve">medium</x:t>
        </x:is>
      </x:c>
      <x:c r="F58" t="n">
        <x:v>20</x:v>
      </x:c>
      <x:c r="G58" t="n">
        <x:v>1</x:v>
      </x:c>
      <x:c r="H58" t="inlineStr">
        <x:is>
          <x:t xml:space="preserve">Fungible $20 direct-API baseline; entire budget allocated to this variant.</x:t>
        </x:is>
      </x:c>
      <x:c r="I58" t="inlineStr">
        <x:is>
          <x:t xml:space="preserve">high</x:t>
        </x:is>
      </x:c>
      <x:c r="J58" t="inlineStr">
        <x:is>
          <x:t xml:space="preserve">calculation baseline</x:t>
        </x:is>
      </x:c>
    </x:row>
    <x:row r="59">
      <x:c r="A59" t="inlineStr">
        <x:is>
          <x:t xml:space="preserve">direct-api-20</x:t>
        </x:is>
      </x:c>
      <x:c r="B59" t="inlineStr">
        <x:is>
          <x:t xml:space="preserve">GPT-5.6 Sol</x:t>
        </x:is>
      </x:c>
      <x:c r="C59" t="inlineStr">
        <x:is>
          <x:t xml:space="preserve">high</x:t>
        </x:is>
      </x:c>
      <x:c r="F59" t="n">
        <x:v>20</x:v>
      </x:c>
      <x:c r="G59" t="n">
        <x:v>1</x:v>
      </x:c>
      <x:c r="H59" t="inlineStr">
        <x:is>
          <x:t xml:space="preserve">Fungible $20 direct-API baseline; entire budget allocated to this variant.</x:t>
        </x:is>
      </x:c>
      <x:c r="I59" t="inlineStr">
        <x:is>
          <x:t xml:space="preserve">high</x:t>
        </x:is>
      </x:c>
      <x:c r="J59" t="inlineStr">
        <x:is>
          <x:t xml:space="preserve">calculation baseline</x:t>
        </x:is>
      </x:c>
    </x:row>
    <x:row r="60">
      <x:c r="A60" t="inlineStr">
        <x:is>
          <x:t xml:space="preserve">direct-api-20</x:t>
        </x:is>
      </x:c>
      <x:c r="B60" t="inlineStr">
        <x:is>
          <x:t xml:space="preserve">GPT-5.6 Sol</x:t>
        </x:is>
      </x:c>
      <x:c r="C60" t="inlineStr">
        <x:is>
          <x:t xml:space="preserve">xhigh</x:t>
        </x:is>
      </x:c>
      <x:c r="F60" t="n">
        <x:v>20</x:v>
      </x:c>
      <x:c r="G60" t="n">
        <x:v>1</x:v>
      </x:c>
      <x:c r="H60" t="inlineStr">
        <x:is>
          <x:t xml:space="preserve">Fungible $20 direct-API baseline; entire budget allocated to this variant.</x:t>
        </x:is>
      </x:c>
      <x:c r="I60" t="inlineStr">
        <x:is>
          <x:t xml:space="preserve">high</x:t>
        </x:is>
      </x:c>
      <x:c r="J60" t="inlineStr">
        <x:is>
          <x:t xml:space="preserve">calculation baseline</x:t>
        </x:is>
      </x:c>
    </x:row>
    <x:row r="61">
      <x:c r="A61" t="inlineStr">
        <x:is>
          <x:t xml:space="preserve">direct-api-20</x:t>
        </x:is>
      </x:c>
      <x:c r="B61" t="inlineStr">
        <x:is>
          <x:t xml:space="preserve">GPT-5.6 Sol</x:t>
        </x:is>
      </x:c>
      <x:c r="C61" t="inlineStr">
        <x:is>
          <x:t xml:space="preserve">max</x:t>
        </x:is>
      </x:c>
      <x:c r="F61" t="n">
        <x:v>20</x:v>
      </x:c>
      <x:c r="G61" t="n">
        <x:v>1</x:v>
      </x:c>
      <x:c r="H61" t="inlineStr">
        <x:is>
          <x:t xml:space="preserve">Fungible $20 direct-API baseline; entire budget allocated to this variant.</x:t>
        </x:is>
      </x:c>
      <x:c r="I61" t="inlineStr">
        <x:is>
          <x:t xml:space="preserve">high</x:t>
        </x:is>
      </x:c>
      <x:c r="J61" t="inlineStr">
        <x:is>
          <x:t xml:space="preserve">calculation baseline</x:t>
        </x:is>
      </x:c>
    </x:row>
    <x:row r="62">
      <x:c r="A62" t="inlineStr">
        <x:is>
          <x:t xml:space="preserve">direct-api-20</x:t>
        </x:is>
      </x:c>
      <x:c r="B62" t="inlineStr">
        <x:is>
          <x:t xml:space="preserve">Claude Sonnet 5.5</x:t>
        </x:is>
      </x:c>
      <x:c r="C62" t="inlineStr">
        <x:is>
          <x:t xml:space="preserve">low</x:t>
        </x:is>
      </x:c>
      <x:c r="F62" t="n">
        <x:v>20</x:v>
      </x:c>
      <x:c r="G62" t="n">
        <x:v>1</x:v>
      </x:c>
      <x:c r="H62" t="inlineStr">
        <x:is>
          <x:t xml:space="preserve">Fungible $20 direct-API baseline; entire budget allocated to this variant.</x:t>
        </x:is>
      </x:c>
      <x:c r="I62" t="inlineStr">
        <x:is>
          <x:t xml:space="preserve">high</x:t>
        </x:is>
      </x:c>
      <x:c r="J62" t="inlineStr">
        <x:is>
          <x:t xml:space="preserve">calculation baseline</x:t>
        </x:is>
      </x:c>
    </x:row>
    <x:row r="63">
      <x:c r="A63" t="inlineStr">
        <x:is>
          <x:t xml:space="preserve">direct-api-20</x:t>
        </x:is>
      </x:c>
      <x:c r="B63" t="inlineStr">
        <x:is>
          <x:t xml:space="preserve">Claude Sonnet 5.5</x:t>
        </x:is>
      </x:c>
      <x:c r="C63" t="inlineStr">
        <x:is>
          <x:t xml:space="preserve">medium</x:t>
        </x:is>
      </x:c>
      <x:c r="F63" t="n">
        <x:v>20</x:v>
      </x:c>
      <x:c r="G63" t="n">
        <x:v>1</x:v>
      </x:c>
      <x:c r="H63" t="inlineStr">
        <x:is>
          <x:t xml:space="preserve">Fungible $20 direct-API baseline; entire budget allocated to this variant.</x:t>
        </x:is>
      </x:c>
      <x:c r="I63" t="inlineStr">
        <x:is>
          <x:t xml:space="preserve">high</x:t>
        </x:is>
      </x:c>
      <x:c r="J63" t="inlineStr">
        <x:is>
          <x:t xml:space="preserve">calculation baseline</x:t>
        </x:is>
      </x:c>
    </x:row>
    <x:row r="64">
      <x:c r="A64" t="inlineStr">
        <x:is>
          <x:t xml:space="preserve">direct-api-20</x:t>
        </x:is>
      </x:c>
      <x:c r="B64" t="inlineStr">
        <x:is>
          <x:t xml:space="preserve">Claude Sonnet 5.5</x:t>
        </x:is>
      </x:c>
      <x:c r="C64" t="inlineStr">
        <x:is>
          <x:t xml:space="preserve">high</x:t>
        </x:is>
      </x:c>
      <x:c r="F64" t="n">
        <x:v>20</x:v>
      </x:c>
      <x:c r="G64" t="n">
        <x:v>1</x:v>
      </x:c>
      <x:c r="H64" t="inlineStr">
        <x:is>
          <x:t xml:space="preserve">Fungible $20 direct-API baseline; entire budget allocated to this variant.</x:t>
        </x:is>
      </x:c>
      <x:c r="I64" t="inlineStr">
        <x:is>
          <x:t xml:space="preserve">high</x:t>
        </x:is>
      </x:c>
      <x:c r="J64" t="inlineStr">
        <x:is>
          <x:t xml:space="preserve">calculation baseline</x:t>
        </x:is>
      </x:c>
    </x:row>
    <x:row r="65">
      <x:c r="A65" t="inlineStr">
        <x:is>
          <x:t xml:space="preserve">direct-api-20</x:t>
        </x:is>
      </x:c>
      <x:c r="B65" t="inlineStr">
        <x:is>
          <x:t xml:space="preserve">Claude Sonnet 5.5</x:t>
        </x:is>
      </x:c>
      <x:c r="C65" t="inlineStr">
        <x:is>
          <x:t xml:space="preserve">xhigh</x:t>
        </x:is>
      </x:c>
      <x:c r="F65" t="n">
        <x:v>20</x:v>
      </x:c>
      <x:c r="G65" t="n">
        <x:v>1</x:v>
      </x:c>
      <x:c r="H65" t="inlineStr">
        <x:is>
          <x:t xml:space="preserve">Fungible $20 direct-API baseline; entire budget allocated to this variant.</x:t>
        </x:is>
      </x:c>
      <x:c r="I65" t="inlineStr">
        <x:is>
          <x:t xml:space="preserve">high</x:t>
        </x:is>
      </x:c>
      <x:c r="J65" t="inlineStr">
        <x:is>
          <x:t xml:space="preserve">calculation baseline</x:t>
        </x:is>
      </x:c>
    </x:row>
    <x:row r="66">
      <x:c r="A66" t="inlineStr">
        <x:is>
          <x:t xml:space="preserve">direct-api-20</x:t>
        </x:is>
      </x:c>
      <x:c r="B66" t="inlineStr">
        <x:is>
          <x:t xml:space="preserve">Claude Sonnet 5.5</x:t>
        </x:is>
      </x:c>
      <x:c r="C66" t="inlineStr">
        <x:is>
          <x:t xml:space="preserve">max</x:t>
        </x:is>
      </x:c>
      <x:c r="F66" t="n">
        <x:v>20</x:v>
      </x:c>
      <x:c r="G66" t="n">
        <x:v>1</x:v>
      </x:c>
      <x:c r="H66" t="inlineStr">
        <x:is>
          <x:t xml:space="preserve">Fungible $20 direct-API baseline; entire budget allocated to this variant.</x:t>
        </x:is>
      </x:c>
      <x:c r="I66" t="inlineStr">
        <x:is>
          <x:t xml:space="preserve">high</x:t>
        </x:is>
      </x:c>
      <x:c r="J66" t="inlineStr">
        <x:is>
          <x:t xml:space="preserve">calculation baseline</x:t>
        </x:is>
      </x:c>
    </x:row>
    <x:row r="67">
      <x:c r="A67" t="inlineStr">
        <x:is>
          <x:t xml:space="preserve">direct-api-20</x:t>
        </x:is>
      </x:c>
      <x:c r="B67" t="inlineStr">
        <x:is>
          <x:t xml:space="preserve">Claude Opus 5.5</x:t>
        </x:is>
      </x:c>
      <x:c r="C67" t="inlineStr">
        <x:is>
          <x:t xml:space="preserve">low</x:t>
        </x:is>
      </x:c>
      <x:c r="F67" t="n">
        <x:v>20</x:v>
      </x:c>
      <x:c r="G67" t="n">
        <x:v>1</x:v>
      </x:c>
      <x:c r="H67" t="inlineStr">
        <x:is>
          <x:t xml:space="preserve">Fungible $20 direct-API baseline; entire budget allocated to this variant.</x:t>
        </x:is>
      </x:c>
      <x:c r="I67" t="inlineStr">
        <x:is>
          <x:t xml:space="preserve">high</x:t>
        </x:is>
      </x:c>
      <x:c r="J67" t="inlineStr">
        <x:is>
          <x:t xml:space="preserve">calculation baseline</x:t>
        </x:is>
      </x:c>
    </x:row>
    <x:row r="68">
      <x:c r="A68" t="inlineStr">
        <x:is>
          <x:t xml:space="preserve">direct-api-20</x:t>
        </x:is>
      </x:c>
      <x:c r="B68" t="inlineStr">
        <x:is>
          <x:t xml:space="preserve">Claude Opus 5.5</x:t>
        </x:is>
      </x:c>
      <x:c r="C68" t="inlineStr">
        <x:is>
          <x:t xml:space="preserve">medium</x:t>
        </x:is>
      </x:c>
      <x:c r="F68" t="n">
        <x:v>20</x:v>
      </x:c>
      <x:c r="G68" t="n">
        <x:v>1</x:v>
      </x:c>
      <x:c r="H68" t="inlineStr">
        <x:is>
          <x:t xml:space="preserve">Fungible $20 direct-API baseline; entire budget allocated to this variant.</x:t>
        </x:is>
      </x:c>
      <x:c r="I68" t="inlineStr">
        <x:is>
          <x:t xml:space="preserve">high</x:t>
        </x:is>
      </x:c>
      <x:c r="J68" t="inlineStr">
        <x:is>
          <x:t xml:space="preserve">calculation baseline</x:t>
        </x:is>
      </x:c>
    </x:row>
    <x:row r="69">
      <x:c r="A69" t="inlineStr">
        <x:is>
          <x:t xml:space="preserve">direct-api-20</x:t>
        </x:is>
      </x:c>
      <x:c r="B69" t="inlineStr">
        <x:is>
          <x:t xml:space="preserve">Claude Opus 5.5</x:t>
        </x:is>
      </x:c>
      <x:c r="C69" t="inlineStr">
        <x:is>
          <x:t xml:space="preserve">high</x:t>
        </x:is>
      </x:c>
      <x:c r="F69" t="n">
        <x:v>20</x:v>
      </x:c>
      <x:c r="G69" t="n">
        <x:v>1</x:v>
      </x:c>
      <x:c r="H69" t="inlineStr">
        <x:is>
          <x:t xml:space="preserve">Fungible $20 direct-API baseline; entire budget allocated to this variant.</x:t>
        </x:is>
      </x:c>
      <x:c r="I69" t="inlineStr">
        <x:is>
          <x:t xml:space="preserve">high</x:t>
        </x:is>
      </x:c>
      <x:c r="J69" t="inlineStr">
        <x:is>
          <x:t xml:space="preserve">calculation baseline</x:t>
        </x:is>
      </x:c>
    </x:row>
    <x:row r="70">
      <x:c r="A70" t="inlineStr">
        <x:is>
          <x:t xml:space="preserve">direct-api-20</x:t>
        </x:is>
      </x:c>
      <x:c r="B70" t="inlineStr">
        <x:is>
          <x:t xml:space="preserve">Claude Opus 5.5</x:t>
        </x:is>
      </x:c>
      <x:c r="C70" t="inlineStr">
        <x:is>
          <x:t xml:space="preserve">xhigh</x:t>
        </x:is>
      </x:c>
      <x:c r="F70" t="n">
        <x:v>20</x:v>
      </x:c>
      <x:c r="G70" t="n">
        <x:v>1</x:v>
      </x:c>
      <x:c r="H70" t="inlineStr">
        <x:is>
          <x:t xml:space="preserve">Fungible $20 direct-API baseline; entire budget allocated to this variant.</x:t>
        </x:is>
      </x:c>
      <x:c r="I70" t="inlineStr">
        <x:is>
          <x:t xml:space="preserve">high</x:t>
        </x:is>
      </x:c>
      <x:c r="J70" t="inlineStr">
        <x:is>
          <x:t xml:space="preserve">calculation baseline</x:t>
        </x:is>
      </x:c>
    </x:row>
    <x:row r="71">
      <x:c r="A71" t="inlineStr">
        <x:is>
          <x:t xml:space="preserve">direct-api-20</x:t>
        </x:is>
      </x:c>
      <x:c r="B71" t="inlineStr">
        <x:is>
          <x:t xml:space="preserve">Claude Opus 5.5</x:t>
        </x:is>
      </x:c>
      <x:c r="C71" t="inlineStr">
        <x:is>
          <x:t xml:space="preserve">max</x:t>
        </x:is>
      </x:c>
      <x:c r="F71" t="n">
        <x:v>20</x:v>
      </x:c>
      <x:c r="G71" t="n">
        <x:v>1</x:v>
      </x:c>
      <x:c r="H71" t="inlineStr">
        <x:is>
          <x:t xml:space="preserve">Fungible $20 direct-API baseline; entire budget allocated to this variant.</x:t>
        </x:is>
      </x:c>
      <x:c r="I71" t="inlineStr">
        <x:is>
          <x:t xml:space="preserve">high</x:t>
        </x:is>
      </x:c>
      <x:c r="J71" t="inlineStr">
        <x:is>
          <x:t xml:space="preserve">calculation baseline</x:t>
        </x:is>
      </x:c>
    </x:row>
    <x:row r="72">
      <x:c r="A72" t="inlineStr">
        <x:is>
          <x:t xml:space="preserve">direct-api-20</x:t>
        </x:is>
      </x:c>
      <x:c r="B72" t="inlineStr">
        <x:is>
          <x:t xml:space="preserve">Claude Opus 5</x:t>
        </x:is>
      </x:c>
      <x:c r="C72" t="inlineStr">
        <x:is>
          <x:t xml:space="preserve">low</x:t>
        </x:is>
      </x:c>
      <x:c r="F72" t="n">
        <x:v>20</x:v>
      </x:c>
      <x:c r="G72" t="n">
        <x:v>1</x:v>
      </x:c>
      <x:c r="H72" t="inlineStr">
        <x:is>
          <x:t xml:space="preserve">Fungible $20 direct-API baseline; entire budget allocated to this variant.</x:t>
        </x:is>
      </x:c>
      <x:c r="I72" t="inlineStr">
        <x:is>
          <x:t xml:space="preserve">high</x:t>
        </x:is>
      </x:c>
      <x:c r="J72" t="inlineStr">
        <x:is>
          <x:t xml:space="preserve">calculation baseline</x:t>
        </x:is>
      </x:c>
    </x:row>
    <x:row r="73">
      <x:c r="A73" t="inlineStr">
        <x:is>
          <x:t xml:space="preserve">direct-api-20</x:t>
        </x:is>
      </x:c>
      <x:c r="B73" t="inlineStr">
        <x:is>
          <x:t xml:space="preserve">Claude Opus 5</x:t>
        </x:is>
      </x:c>
      <x:c r="C73" t="inlineStr">
        <x:is>
          <x:t xml:space="preserve">medium</x:t>
        </x:is>
      </x:c>
      <x:c r="F73" t="n">
        <x:v>20</x:v>
      </x:c>
      <x:c r="G73" t="n">
        <x:v>1</x:v>
      </x:c>
      <x:c r="H73" t="inlineStr">
        <x:is>
          <x:t xml:space="preserve">Fungible $20 direct-API baseline; entire budget allocated to this variant.</x:t>
        </x:is>
      </x:c>
      <x:c r="I73" t="inlineStr">
        <x:is>
          <x:t xml:space="preserve">high</x:t>
        </x:is>
      </x:c>
      <x:c r="J73" t="inlineStr">
        <x:is>
          <x:t xml:space="preserve">calculation baseline</x:t>
        </x:is>
      </x:c>
    </x:row>
    <x:row r="74">
      <x:c r="A74" t="inlineStr">
        <x:is>
          <x:t xml:space="preserve">direct-api-20</x:t>
        </x:is>
      </x:c>
      <x:c r="B74" t="inlineStr">
        <x:is>
          <x:t xml:space="preserve">Claude Opus 5</x:t>
        </x:is>
      </x:c>
      <x:c r="C74" t="inlineStr">
        <x:is>
          <x:t xml:space="preserve">high</x:t>
        </x:is>
      </x:c>
      <x:c r="F74" t="n">
        <x:v>20</x:v>
      </x:c>
      <x:c r="G74" t="n">
        <x:v>1</x:v>
      </x:c>
      <x:c r="H74" t="inlineStr">
        <x:is>
          <x:t xml:space="preserve">Fungible $20 direct-API baseline; entire budget allocated to this variant.</x:t>
        </x:is>
      </x:c>
      <x:c r="I74" t="inlineStr">
        <x:is>
          <x:t xml:space="preserve">high</x:t>
        </x:is>
      </x:c>
      <x:c r="J74" t="inlineStr">
        <x:is>
          <x:t xml:space="preserve">calculation baseline</x:t>
        </x:is>
      </x:c>
    </x:row>
    <x:row r="75">
      <x:c r="A75" t="inlineStr">
        <x:is>
          <x:t xml:space="preserve">direct-api-20</x:t>
        </x:is>
      </x:c>
      <x:c r="B75" t="inlineStr">
        <x:is>
          <x:t xml:space="preserve">Claude Opus 5</x:t>
        </x:is>
      </x:c>
      <x:c r="C75" t="inlineStr">
        <x:is>
          <x:t xml:space="preserve">xhigh</x:t>
        </x:is>
      </x:c>
      <x:c r="F75" t="n">
        <x:v>20</x:v>
      </x:c>
      <x:c r="G75" t="n">
        <x:v>1</x:v>
      </x:c>
      <x:c r="H75" t="inlineStr">
        <x:is>
          <x:t xml:space="preserve">Fungible $20 direct-API baseline; entire budget allocated to this variant.</x:t>
        </x:is>
      </x:c>
      <x:c r="I75" t="inlineStr">
        <x:is>
          <x:t xml:space="preserve">high</x:t>
        </x:is>
      </x:c>
      <x:c r="J75" t="inlineStr">
        <x:is>
          <x:t xml:space="preserve">calculation baseline</x:t>
        </x:is>
      </x:c>
    </x:row>
    <x:row r="76">
      <x:c r="A76" t="inlineStr">
        <x:is>
          <x:t xml:space="preserve">direct-api-20</x:t>
        </x:is>
      </x:c>
      <x:c r="B76" t="inlineStr">
        <x:is>
          <x:t xml:space="preserve">Claude Opus 5</x:t>
        </x:is>
      </x:c>
      <x:c r="C76" t="inlineStr">
        <x:is>
          <x:t xml:space="preserve">max</x:t>
        </x:is>
      </x:c>
      <x:c r="F76" t="n">
        <x:v>20</x:v>
      </x:c>
      <x:c r="G76" t="n">
        <x:v>1</x:v>
      </x:c>
      <x:c r="H76" t="inlineStr">
        <x:is>
          <x:t xml:space="preserve">Fungible $20 direct-API baseline; entire budget allocated to this variant.</x:t>
        </x:is>
      </x:c>
      <x:c r="I76" t="inlineStr">
        <x:is>
          <x:t xml:space="preserve">high</x:t>
        </x:is>
      </x:c>
      <x:c r="J76" t="inlineStr">
        <x:is>
          <x:t xml:space="preserve">calculation baseline</x:t>
        </x:is>
      </x:c>
    </x:row>
    <x:row r="77">
      <x:c r="A77" t="inlineStr">
        <x:is>
          <x:t xml:space="preserve">direct-api-20</x:t>
        </x:is>
      </x:c>
      <x:c r="B77" t="inlineStr">
        <x:is>
          <x:t xml:space="preserve">Claude Sonnet 5</x:t>
        </x:is>
      </x:c>
      <x:c r="C77" t="inlineStr">
        <x:is>
          <x:t xml:space="preserve">low</x:t>
        </x:is>
      </x:c>
      <x:c r="F77" t="n">
        <x:v>20</x:v>
      </x:c>
      <x:c r="G77" t="n">
        <x:v>1</x:v>
      </x:c>
      <x:c r="H77" t="inlineStr">
        <x:is>
          <x:t xml:space="preserve">Fungible $20 direct-API baseline; entire budget allocated to this variant.</x:t>
        </x:is>
      </x:c>
      <x:c r="I77" t="inlineStr">
        <x:is>
          <x:t xml:space="preserve">high</x:t>
        </x:is>
      </x:c>
      <x:c r="J77" t="inlineStr">
        <x:is>
          <x:t xml:space="preserve">calculation baseline</x:t>
        </x:is>
      </x:c>
    </x:row>
    <x:row r="78">
      <x:c r="A78" t="inlineStr">
        <x:is>
          <x:t xml:space="preserve">direct-api-20</x:t>
        </x:is>
      </x:c>
      <x:c r="B78" t="inlineStr">
        <x:is>
          <x:t xml:space="preserve">Claude Sonnet 5</x:t>
        </x:is>
      </x:c>
      <x:c r="C78" t="inlineStr">
        <x:is>
          <x:t xml:space="preserve">medium</x:t>
        </x:is>
      </x:c>
      <x:c r="F78" t="n">
        <x:v>20</x:v>
      </x:c>
      <x:c r="G78" t="n">
        <x:v>1</x:v>
      </x:c>
      <x:c r="H78" t="inlineStr">
        <x:is>
          <x:t xml:space="preserve">Fungible $20 direct-API baseline; entire budget allocated to this variant.</x:t>
        </x:is>
      </x:c>
      <x:c r="I78" t="inlineStr">
        <x:is>
          <x:t xml:space="preserve">high</x:t>
        </x:is>
      </x:c>
      <x:c r="J78" t="inlineStr">
        <x:is>
          <x:t xml:space="preserve">calculation baseline</x:t>
        </x:is>
      </x:c>
    </x:row>
    <x:row r="79">
      <x:c r="A79" t="inlineStr">
        <x:is>
          <x:t xml:space="preserve">direct-api-20</x:t>
        </x:is>
      </x:c>
      <x:c r="B79" t="inlineStr">
        <x:is>
          <x:t xml:space="preserve">Claude Sonnet 5</x:t>
        </x:is>
      </x:c>
      <x:c r="C79" t="inlineStr">
        <x:is>
          <x:t xml:space="preserve">high</x:t>
        </x:is>
      </x:c>
      <x:c r="F79" t="n">
        <x:v>20</x:v>
      </x:c>
      <x:c r="G79" t="n">
        <x:v>1</x:v>
      </x:c>
      <x:c r="H79" t="inlineStr">
        <x:is>
          <x:t xml:space="preserve">Fungible $20 direct-API baseline; entire budget allocated to this variant.</x:t>
        </x:is>
      </x:c>
      <x:c r="I79" t="inlineStr">
        <x:is>
          <x:t xml:space="preserve">high</x:t>
        </x:is>
      </x:c>
      <x:c r="J79" t="inlineStr">
        <x:is>
          <x:t xml:space="preserve">calculation baseline</x:t>
        </x:is>
      </x:c>
    </x:row>
    <x:row r="80">
      <x:c r="A80" t="inlineStr">
        <x:is>
          <x:t xml:space="preserve">direct-api-20</x:t>
        </x:is>
      </x:c>
      <x:c r="B80" t="inlineStr">
        <x:is>
          <x:t xml:space="preserve">Claude Sonnet 5</x:t>
        </x:is>
      </x:c>
      <x:c r="C80" t="inlineStr">
        <x:is>
          <x:t xml:space="preserve">max</x:t>
        </x:is>
      </x:c>
      <x:c r="F80" t="n">
        <x:v>20</x:v>
      </x:c>
      <x:c r="G80" t="n">
        <x:v>1</x:v>
      </x:c>
      <x:c r="H80" t="inlineStr">
        <x:is>
          <x:t xml:space="preserve">Fungible $20 direct-API baseline; entire budget allocated to this variant.</x:t>
        </x:is>
      </x:c>
      <x:c r="I80" t="inlineStr">
        <x:is>
          <x:t xml:space="preserve">high</x:t>
        </x:is>
      </x:c>
      <x:c r="J80" t="inlineStr">
        <x:is>
          <x:t xml:space="preserve">calculation baseline</x:t>
        </x:is>
      </x:c>
    </x:row>
    <x:row r="81">
      <x:c r="A81" t="inlineStr">
        <x:is>
          <x:t xml:space="preserve">direct-api-20</x:t>
        </x:is>
      </x:c>
      <x:c r="B81" t="inlineStr">
        <x:is>
          <x:t xml:space="preserve">Claude 4.5 Haiku</x:t>
        </x:is>
      </x:c>
      <x:c r="C81" t="inlineStr">
        <x:is>
          <x:t xml:space="preserve">reasoning</x:t>
        </x:is>
      </x:c>
      <x:c r="F81" t="n">
        <x:v>20</x:v>
      </x:c>
      <x:c r="G81" t="n">
        <x:v>1</x:v>
      </x:c>
      <x:c r="H81" t="inlineStr">
        <x:is>
          <x:t xml:space="preserve">Fungible $20 direct-API baseline; entire budget allocated to this variant.</x:t>
        </x:is>
      </x:c>
      <x:c r="I81" t="inlineStr">
        <x:is>
          <x:t xml:space="preserve">high</x:t>
        </x:is>
      </x:c>
      <x:c r="J81" t="inlineStr">
        <x:is>
          <x:t xml:space="preserve">calculation baseline</x:t>
        </x:is>
      </x:c>
    </x:row>
    <x:row r="82">
      <x:c r="A82" t="inlineStr">
        <x:is>
          <x:t xml:space="preserve">direct-api-20</x:t>
        </x:is>
      </x:c>
      <x:c r="B82" t="inlineStr">
        <x:is>
          <x:t xml:space="preserve">GLM-5.3 Flash</x:t>
        </x:is>
      </x:c>
      <x:c r="C82" t="inlineStr">
        <x:is>
          <x:t xml:space="preserve">reasoning</x:t>
        </x:is>
      </x:c>
      <x:c r="F82" t="n">
        <x:v>20</x:v>
      </x:c>
      <x:c r="G82" t="n">
        <x:v>1</x:v>
      </x:c>
      <x:c r="H82" t="inlineStr">
        <x:is>
          <x:t xml:space="preserve">Fungible $20 direct-API baseline; entire budget allocated to this variant.</x:t>
        </x:is>
      </x:c>
      <x:c r="I82" t="inlineStr">
        <x:is>
          <x:t xml:space="preserve">high</x:t>
        </x:is>
      </x:c>
      <x:c r="J82" t="inlineStr">
        <x:is>
          <x:t xml:space="preserve">calculation baseline</x:t>
        </x:is>
      </x:c>
    </x:row>
    <x:row r="83">
      <x:c r="A83" t="inlineStr">
        <x:is>
          <x:t xml:space="preserve">direct-api-20</x:t>
        </x:is>
      </x:c>
      <x:c r="B83" t="inlineStr">
        <x:is>
          <x:t xml:space="preserve">Qwen3.8-Flash-Next</x:t>
        </x:is>
      </x:c>
      <x:c r="C83" t="inlineStr">
        <x:is>
          <x:t xml:space="preserve">reasoning</x:t>
        </x:is>
      </x:c>
      <x:c r="F83" t="n">
        <x:v>20</x:v>
      </x:c>
      <x:c r="G83" t="n">
        <x:v>1</x:v>
      </x:c>
      <x:c r="H83" t="inlineStr">
        <x:is>
          <x:t xml:space="preserve">Fungible $20 direct-API baseline; entire budget allocated to this variant.</x:t>
        </x:is>
      </x:c>
      <x:c r="I83" t="inlineStr">
        <x:is>
          <x:t xml:space="preserve">high</x:t>
        </x:is>
      </x:c>
      <x:c r="J83" t="inlineStr">
        <x:is>
          <x:t xml:space="preserve">calculation baseline</x:t>
        </x:is>
      </x:c>
    </x:row>
    <x:row r="84">
      <x:c r="A84" t="inlineStr">
        <x:is>
          <x:t xml:space="preserve">direct-api-20</x:t>
        </x:is>
      </x:c>
      <x:c r="B84" t="inlineStr">
        <x:is>
          <x:t xml:space="preserve">MiMo-V2.6-Flash</x:t>
        </x:is>
      </x:c>
      <x:c r="C84" t="inlineStr">
        <x:is>
          <x:t xml:space="preserve">reasoning</x:t>
        </x:is>
      </x:c>
      <x:c r="F84" t="n">
        <x:v>20</x:v>
      </x:c>
      <x:c r="G84" t="n">
        <x:v>1</x:v>
      </x:c>
      <x:c r="H84" t="inlineStr">
        <x:is>
          <x:t xml:space="preserve">Fungible $20 direct-API baseline; entire budget allocated to this variant.</x:t>
        </x:is>
      </x:c>
      <x:c r="I84" t="inlineStr">
        <x:is>
          <x:t xml:space="preserve">high</x:t>
        </x:is>
      </x:c>
      <x:c r="J84" t="inlineStr">
        <x:is>
          <x:t xml:space="preserve">calculation baseline</x:t>
        </x:is>
      </x:c>
    </x:row>
    <x:row r="85">
      <x:c r="A85" t="inlineStr">
        <x:is>
          <x:t xml:space="preserve">direct-api-20</x:t>
        </x:is>
      </x:c>
      <x:c r="B85" t="inlineStr">
        <x:is>
          <x:t xml:space="preserve">MiniMax-M3</x:t>
        </x:is>
      </x:c>
      <x:c r="C85" t="inlineStr">
        <x:is>
          <x:t xml:space="preserve">reasoning</x:t>
        </x:is>
      </x:c>
      <x:c r="F85" t="n">
        <x:v>20</x:v>
      </x:c>
      <x:c r="G85" t="n">
        <x:v>1</x:v>
      </x:c>
      <x:c r="H85" t="inlineStr">
        <x:is>
          <x:t xml:space="preserve">Fungible $20 direct-API baseline; entire budget allocated to this variant.</x:t>
        </x:is>
      </x:c>
      <x:c r="I85" t="inlineStr">
        <x:is>
          <x:t xml:space="preserve">high</x:t>
        </x:is>
      </x:c>
      <x:c r="J85" t="inlineStr">
        <x:is>
          <x:t xml:space="preserve">calculation baseline</x:t>
        </x:is>
      </x:c>
    </x:row>
    <x:row r="86">
      <x:c r="A86" t="inlineStr">
        <x:is>
          <x:t xml:space="preserve">direct-api-20</x:t>
        </x:is>
      </x:c>
      <x:c r="B86" t="inlineStr">
        <x:is>
          <x:t xml:space="preserve">Muse Spark 1.3</x:t>
        </x:is>
      </x:c>
      <x:c r="C86" t="inlineStr">
        <x:is>
          <x:t xml:space="preserve">xhigh</x:t>
        </x:is>
      </x:c>
      <x:c r="F86" t="n">
        <x:v>20</x:v>
      </x:c>
      <x:c r="G86" t="n">
        <x:v>1</x:v>
      </x:c>
      <x:c r="H86" t="inlineStr">
        <x:is>
          <x:t xml:space="preserve">Fungible $20 direct-API baseline; entire budget allocated to this variant.</x:t>
        </x:is>
      </x:c>
      <x:c r="I86" t="inlineStr">
        <x:is>
          <x:t xml:space="preserve">high</x:t>
        </x:is>
      </x:c>
      <x:c r="J86" t="inlineStr">
        <x:is>
          <x:t xml:space="preserve">calculation baseline</x:t>
        </x:is>
      </x:c>
    </x:row>
    <x:row r="87">
      <x:c r="A87" t="inlineStr">
        <x:is>
          <x:t xml:space="preserve">direct-api-20</x:t>
        </x:is>
      </x:c>
      <x:c r="B87" t="inlineStr">
        <x:is>
          <x:t xml:space="preserve">Muse Spark 1.3</x:t>
        </x:is>
      </x:c>
      <x:c r="C87" t="inlineStr">
        <x:is>
          <x:t xml:space="preserve">max</x:t>
        </x:is>
      </x:c>
      <x:c r="F87" t="n">
        <x:v>20</x:v>
      </x:c>
      <x:c r="G87" t="n">
        <x:v>1</x:v>
      </x:c>
      <x:c r="H87" t="inlineStr">
        <x:is>
          <x:t xml:space="preserve">Fungible $20 direct-API baseline; entire budget allocated to this variant.</x:t>
        </x:is>
      </x:c>
      <x:c r="I87" t="inlineStr">
        <x:is>
          <x:t xml:space="preserve">high</x:t>
        </x:is>
      </x:c>
      <x:c r="J87" t="inlineStr">
        <x:is>
          <x:t xml:space="preserve">calculation baseline</x:t>
        </x:is>
      </x:c>
    </x:row>
    <x:row r="88">
      <x:c r="A88" t="inlineStr">
        <x:is>
          <x:t xml:space="preserve">direct-api-20</x:t>
        </x:is>
      </x:c>
      <x:c r="B88" t="inlineStr">
        <x:is>
          <x:t xml:space="preserve">Gemini 3.8 Flash</x:t>
        </x:is>
      </x:c>
      <x:c r="C88" t="inlineStr">
        <x:is>
          <x:t xml:space="preserve">medium</x:t>
        </x:is>
      </x:c>
      <x:c r="F88" t="n">
        <x:v>20</x:v>
      </x:c>
      <x:c r="G88" t="n">
        <x:v>1</x:v>
      </x:c>
      <x:c r="H88" t="inlineStr">
        <x:is>
          <x:t xml:space="preserve">Fungible $20 direct-API baseline; entire budget allocated to this variant.</x:t>
        </x:is>
      </x:c>
      <x:c r="I88" t="inlineStr">
        <x:is>
          <x:t xml:space="preserve">high</x:t>
        </x:is>
      </x:c>
      <x:c r="J88" t="inlineStr">
        <x:is>
          <x:t xml:space="preserve">calculation baseline</x:t>
        </x:is>
      </x:c>
    </x:row>
    <x:row r="89">
      <x:c r="A89" t="inlineStr">
        <x:is>
          <x:t xml:space="preserve">direct-api-20</x:t>
        </x:is>
      </x:c>
      <x:c r="B89" t="inlineStr">
        <x:is>
          <x:t xml:space="preserve">Gemini 3.8 Flash</x:t>
        </x:is>
      </x:c>
      <x:c r="C89" t="inlineStr">
        <x:is>
          <x:t xml:space="preserve">high</x:t>
        </x:is>
      </x:c>
      <x:c r="F89" t="n">
        <x:v>20</x:v>
      </x:c>
      <x:c r="G89" t="n">
        <x:v>1</x:v>
      </x:c>
      <x:c r="H89" t="inlineStr">
        <x:is>
          <x:t xml:space="preserve">Fungible $20 direct-API baseline; entire budget allocated to this variant.</x:t>
        </x:is>
      </x:c>
      <x:c r="I89" t="inlineStr">
        <x:is>
          <x:t xml:space="preserve">high</x:t>
        </x:is>
      </x:c>
      <x:c r="J89" t="inlineStr">
        <x:is>
          <x:t xml:space="preserve">calculation baseline</x:t>
        </x:is>
      </x:c>
    </x:row>
    <x:row r="90">
      <x:c r="A90" t="inlineStr">
        <x:is>
          <x:t xml:space="preserve">direct-api-20</x:t>
        </x:is>
      </x:c>
      <x:c r="B90" t="inlineStr">
        <x:is>
          <x:t xml:space="preserve">DeepSeek V4.1 Flash</x:t>
        </x:is>
      </x:c>
      <x:c r="C90" t="inlineStr">
        <x:is>
          <x:t xml:space="preserve">non-reasoning</x:t>
        </x:is>
      </x:c>
      <x:c r="F90" t="n">
        <x:v>20</x:v>
      </x:c>
      <x:c r="G90" t="n">
        <x:v>1</x:v>
      </x:c>
      <x:c r="H90" t="inlineStr">
        <x:is>
          <x:t xml:space="preserve">Fungible $20 direct-API baseline; entire budget allocated to this variant.</x:t>
        </x:is>
      </x:c>
      <x:c r="I90" t="inlineStr">
        <x:is>
          <x:t xml:space="preserve">high</x:t>
        </x:is>
      </x:c>
      <x:c r="J90" t="inlineStr">
        <x:is>
          <x:t xml:space="preserve">calculation baseline</x:t>
        </x:is>
      </x:c>
    </x:row>
    <x:row r="91">
      <x:c r="A91" t="inlineStr">
        <x:is>
          <x:t xml:space="preserve">direct-api-20</x:t>
        </x:is>
      </x:c>
      <x:c r="B91" t="inlineStr">
        <x:is>
          <x:t xml:space="preserve">DeepSeek V4.1 Flash</x:t>
        </x:is>
      </x:c>
      <x:c r="C91" t="inlineStr">
        <x:is>
          <x:t xml:space="preserve">max</x:t>
        </x:is>
      </x:c>
      <x:c r="F91" t="n">
        <x:v>20</x:v>
      </x:c>
      <x:c r="G91" t="n">
        <x:v>1</x:v>
      </x:c>
      <x:c r="H91" t="inlineStr">
        <x:is>
          <x:t xml:space="preserve">Fungible $20 direct-API baseline; entire budget allocated to this variant.</x:t>
        </x:is>
      </x:c>
      <x:c r="I91" t="inlineStr">
        <x:is>
          <x:t xml:space="preserve">high</x:t>
        </x:is>
      </x:c>
      <x:c r="J91" t="inlineStr">
        <x:is>
          <x:t xml:space="preserve">calculation baseline</x:t>
        </x:is>
      </x:c>
    </x:row>
    <x:row r="92">
      <x:c r="A92" t="inlineStr">
        <x:is>
          <x:t xml:space="preserve">direct-api-20</x:t>
        </x:is>
      </x:c>
      <x:c r="B92" t="inlineStr">
        <x:is>
          <x:t xml:space="preserve">GLM-5.3</x:t>
        </x:is>
      </x:c>
      <x:c r="C92" t="inlineStr">
        <x:is>
          <x:t xml:space="preserve">low</x:t>
        </x:is>
      </x:c>
      <x:c r="F92" t="n">
        <x:v>20</x:v>
      </x:c>
      <x:c r="G92" t="n">
        <x:v>1</x:v>
      </x:c>
      <x:c r="H92" t="inlineStr">
        <x:is>
          <x:t xml:space="preserve">Fungible $20 direct-API baseline; entire budget allocated to this variant.</x:t>
        </x:is>
      </x:c>
      <x:c r="I92" t="inlineStr">
        <x:is>
          <x:t xml:space="preserve">high</x:t>
        </x:is>
      </x:c>
      <x:c r="J92" t="inlineStr">
        <x:is>
          <x:t xml:space="preserve">calculation baseline</x:t>
        </x:is>
      </x:c>
    </x:row>
    <x:row r="93">
      <x:c r="A93" t="inlineStr">
        <x:is>
          <x:t xml:space="preserve">direct-api-20</x:t>
        </x:is>
      </x:c>
      <x:c r="B93" t="inlineStr">
        <x:is>
          <x:t xml:space="preserve">GLM-5.3</x:t>
        </x:is>
      </x:c>
      <x:c r="C93" t="inlineStr">
        <x:is>
          <x:t xml:space="preserve">max</x:t>
        </x:is>
      </x:c>
      <x:c r="F93" t="n">
        <x:v>20</x:v>
      </x:c>
      <x:c r="G93" t="n">
        <x:v>1</x:v>
      </x:c>
      <x:c r="H93" t="inlineStr">
        <x:is>
          <x:t xml:space="preserve">Fungible $20 direct-API baseline; entire budget allocated to this variant.</x:t>
        </x:is>
      </x:c>
      <x:c r="I93" t="inlineStr">
        <x:is>
          <x:t xml:space="preserve">high</x:t>
        </x:is>
      </x:c>
      <x:c r="J93" t="inlineStr">
        <x:is>
          <x:t xml:space="preserve">calculation baseline</x:t>
        </x:is>
      </x:c>
    </x:row>
    <x:row r="94">
      <x:c r="A94" t="inlineStr">
        <x:is>
          <x:t xml:space="preserve">direct-api-20</x:t>
        </x:is>
      </x:c>
      <x:c r="B94" t="inlineStr">
        <x:is>
          <x:t xml:space="preserve">Kimi K3</x:t>
        </x:is>
      </x:c>
      <x:c r="C94" t="inlineStr">
        <x:is>
          <x:t xml:space="preserve">max</x:t>
        </x:is>
      </x:c>
      <x:c r="F94" t="n">
        <x:v>20</x:v>
      </x:c>
      <x:c r="G94" t="n">
        <x:v>1</x:v>
      </x:c>
      <x:c r="H94" t="inlineStr">
        <x:is>
          <x:t xml:space="preserve">Fungible $20 direct-API baseline; entire budget allocated to this variant.</x:t>
        </x:is>
      </x:c>
      <x:c r="I94" t="inlineStr">
        <x:is>
          <x:t xml:space="preserve">high</x:t>
        </x:is>
      </x:c>
      <x:c r="J94" t="inlineStr">
        <x:is>
          <x:t xml:space="preserve">calculation baseline</x:t>
        </x:is>
      </x:c>
    </x:row>
    <x:row r="95">
      <x:c r="A95" t="inlineStr">
        <x:is>
          <x:t xml:space="preserve">opencode-go</x:t>
        </x:is>
      </x:c>
      <x:c r="B95" t="inlineStr">
        <x:is>
          <x:t xml:space="preserve">GPT-6 Luna</x:t>
        </x:is>
      </x:c>
      <x:c r="C95" t="inlineStr">
        <x:is>
          <x:t xml:space="preserve">non-reasoning</x:t>
        </x:is>
      </x:c>
      <x:c r="F95" t="n">
        <x:v>15</x:v>
      </x:c>
      <x:c r="G95" t="n">
        <x:v>1</x:v>
      </x:c>
      <x:c r="H95" t="inlineStr">
        <x:is>
          <x:t xml:space="preserve">Same published family/model dollar cap; effort changes how fast the cap is consumed.</x:t>
        </x:is>
      </x:c>
      <x:c r="I95" t="inlineStr">
        <x:is>
          <x:t xml:space="preserve">high</x:t>
        </x:is>
      </x:c>
      <x:c r="J95" t="inlineStr">
        <x:is>
          <x:t xml:space="preserve">https://opencode.ai/docs/go</x:t>
        </x:is>
      </x:c>
    </x:row>
    <x:row r="96">
      <x:c r="A96" t="inlineStr">
        <x:is>
          <x:t xml:space="preserve">opencode-go</x:t>
        </x:is>
      </x:c>
      <x:c r="B96" t="inlineStr">
        <x:is>
          <x:t xml:space="preserve">GPT-6 Luna</x:t>
        </x:is>
      </x:c>
      <x:c r="C96" t="inlineStr">
        <x:is>
          <x:t xml:space="preserve">low</x:t>
        </x:is>
      </x:c>
      <x:c r="F96" t="n">
        <x:v>15</x:v>
      </x:c>
      <x:c r="G96" t="n">
        <x:v>1</x:v>
      </x:c>
      <x:c r="H96" t="inlineStr">
        <x:is>
          <x:t xml:space="preserve">Same published family/model dollar cap; effort changes how fast the cap is consumed.</x:t>
        </x:is>
      </x:c>
      <x:c r="I96" t="inlineStr">
        <x:is>
          <x:t xml:space="preserve">high</x:t>
        </x:is>
      </x:c>
      <x:c r="J96" t="inlineStr">
        <x:is>
          <x:t xml:space="preserve">https://opencode.ai/docs/go</x:t>
        </x:is>
      </x:c>
    </x:row>
    <x:row r="97">
      <x:c r="A97" t="inlineStr">
        <x:is>
          <x:t xml:space="preserve">opencode-go</x:t>
        </x:is>
      </x:c>
      <x:c r="B97" t="inlineStr">
        <x:is>
          <x:t xml:space="preserve">GPT-6 Luna</x:t>
        </x:is>
      </x:c>
      <x:c r="C97" t="inlineStr">
        <x:is>
          <x:t xml:space="preserve">high</x:t>
        </x:is>
      </x:c>
      <x:c r="F97" t="n">
        <x:v>15</x:v>
      </x:c>
      <x:c r="G97" t="n">
        <x:v>1</x:v>
      </x:c>
      <x:c r="H97" t="inlineStr">
        <x:is>
          <x:t xml:space="preserve">Same published family/model dollar cap; effort changes how fast the cap is consumed.</x:t>
        </x:is>
      </x:c>
      <x:c r="I97" t="inlineStr">
        <x:is>
          <x:t xml:space="preserve">high</x:t>
        </x:is>
      </x:c>
      <x:c r="J97" t="inlineStr">
        <x:is>
          <x:t xml:space="preserve">https://opencode.ai/docs/go</x:t>
        </x:is>
      </x:c>
    </x:row>
    <x:row r="98">
      <x:c r="A98" t="inlineStr">
        <x:is>
          <x:t xml:space="preserve">opencode-go</x:t>
        </x:is>
      </x:c>
      <x:c r="B98" t="inlineStr">
        <x:is>
          <x:t xml:space="preserve">GPT-6 Luna</x:t>
        </x:is>
      </x:c>
      <x:c r="C98" t="inlineStr">
        <x:is>
          <x:t xml:space="preserve">xhigh</x:t>
        </x:is>
      </x:c>
      <x:c r="F98" t="n">
        <x:v>15</x:v>
      </x:c>
      <x:c r="G98" t="n">
        <x:v>1</x:v>
      </x:c>
      <x:c r="H98" t="inlineStr">
        <x:is>
          <x:t xml:space="preserve">Same published family/model dollar cap; effort changes how fast the cap is consumed.</x:t>
        </x:is>
      </x:c>
      <x:c r="I98" t="inlineStr">
        <x:is>
          <x:t xml:space="preserve">high</x:t>
        </x:is>
      </x:c>
      <x:c r="J98" t="inlineStr">
        <x:is>
          <x:t xml:space="preserve">https://opencode.ai/docs/go</x:t>
        </x:is>
      </x:c>
    </x:row>
    <x:row r="99">
      <x:c r="A99" t="inlineStr">
        <x:is>
          <x:t xml:space="preserve">opencode-go</x:t>
        </x:is>
      </x:c>
      <x:c r="B99" t="inlineStr">
        <x:is>
          <x:t xml:space="preserve">GPT-6 Luna</x:t>
        </x:is>
      </x:c>
      <x:c r="C99" t="inlineStr">
        <x:is>
          <x:t xml:space="preserve">max</x:t>
        </x:is>
      </x:c>
      <x:c r="F99" t="n">
        <x:v>15</x:v>
      </x:c>
      <x:c r="G99" t="n">
        <x:v>1</x:v>
      </x:c>
      <x:c r="H99" t="inlineStr">
        <x:is>
          <x:t xml:space="preserve">Same published family/model dollar cap; effort changes how fast the cap is consumed.</x:t>
        </x:is>
      </x:c>
      <x:c r="I99" t="inlineStr">
        <x:is>
          <x:t xml:space="preserve">high</x:t>
        </x:is>
      </x:c>
      <x:c r="J99" t="inlineStr">
        <x:is>
          <x:t xml:space="preserve">https://opencode.ai/docs/go</x:t>
        </x:is>
      </x:c>
    </x:row>
    <x:row r="100">
      <x:c r="A100" t="inlineStr">
        <x:is>
          <x:t xml:space="preserve">opencode-go</x:t>
        </x:is>
      </x:c>
      <x:c r="B100" t="inlineStr">
        <x:is>
          <x:t xml:space="preserve">DeepSeek V4.1 Flash</x:t>
        </x:is>
      </x:c>
      <x:c r="C100" t="inlineStr">
        <x:is>
          <x:t xml:space="preserve">non-reasoning</x:t>
        </x:is>
      </x:c>
      <x:c r="F100" t="n">
        <x:v>60</x:v>
      </x:c>
      <x:c r="G100" t="n">
        <x:v>1</x:v>
      </x:c>
      <x:c r="H100" t="inlineStr">
        <x:is>
          <x:t xml:space="preserve">Same published family/model dollar cap; effort changes how fast the cap is consumed.</x:t>
        </x:is>
      </x:c>
      <x:c r="I100" t="inlineStr">
        <x:is>
          <x:t xml:space="preserve">high</x:t>
        </x:is>
      </x:c>
      <x:c r="J100" t="inlineStr">
        <x:is>
          <x:t xml:space="preserve">https://opencode.ai/docs/go</x:t>
        </x:is>
      </x:c>
    </x:row>
    <x:row r="101">
      <x:c r="A101" t="inlineStr">
        <x:is>
          <x:t xml:space="preserve">opencode-go</x:t>
        </x:is>
      </x:c>
      <x:c r="B101" t="inlineStr">
        <x:is>
          <x:t xml:space="preserve">Muse Spark 1.3</x:t>
        </x:is>
      </x:c>
      <x:c r="C101" t="inlineStr">
        <x:is>
          <x:t xml:space="preserve">max</x:t>
        </x:is>
      </x:c>
      <x:c r="F101" t="n">
        <x:v>60</x:v>
      </x:c>
      <x:c r="G101" t="n">
        <x:v>1</x:v>
      </x:c>
      <x:c r="H101" t="inlineStr">
        <x:is>
          <x:t xml:space="preserve">Same published family/model dollar cap; effort changes how fast the cap is consumed.</x:t>
        </x:is>
      </x:c>
      <x:c r="I101" t="inlineStr">
        <x:is>
          <x:t xml:space="preserve">high</x:t>
        </x:is>
      </x:c>
      <x:c r="J101" t="inlineStr">
        <x:is>
          <x:t xml:space="preserve">https://opencode.ai/docs/go</x:t>
        </x:is>
      </x:c>
    </x:row>
    <x:row r="102">
      <x:c r="A102" t="inlineStr">
        <x:is>
          <x:t xml:space="preserve">opencode-go-plus</x:t>
        </x:is>
      </x:c>
      <x:c r="B102" t="inlineStr">
        <x:is>
          <x:t xml:space="preserve">GPT-6 Luna</x:t>
        </x:is>
      </x:c>
      <x:c r="C102" t="inlineStr">
        <x:is>
          <x:t xml:space="preserve">non-reasoning</x:t>
        </x:is>
      </x:c>
      <x:c r="F102" t="n">
        <x:v>60</x:v>
      </x:c>
      <x:c r="G102" t="n">
        <x:v>1</x:v>
      </x:c>
      <x:c r="H102" t="inlineStr">
        <x:is>
          <x:t xml:space="preserve">Same published family/model dollar cap; effort changes how fast the cap is consumed.</x:t>
        </x:is>
      </x:c>
      <x:c r="I102" t="inlineStr">
        <x:is>
          <x:t xml:space="preserve">high</x:t>
        </x:is>
      </x:c>
      <x:c r="J102" t="inlineStr">
        <x:is>
          <x:t xml:space="preserve">https://opencode.ai/docs/go</x:t>
        </x:is>
      </x:c>
    </x:row>
    <x:row r="103">
      <x:c r="A103" t="inlineStr">
        <x:is>
          <x:t xml:space="preserve">opencode-go-plus</x:t>
        </x:is>
      </x:c>
      <x:c r="B103" t="inlineStr">
        <x:is>
          <x:t xml:space="preserve">GPT-6 Luna</x:t>
        </x:is>
      </x:c>
      <x:c r="C103" t="inlineStr">
        <x:is>
          <x:t xml:space="preserve">low</x:t>
        </x:is>
      </x:c>
      <x:c r="F103" t="n">
        <x:v>60</x:v>
      </x:c>
      <x:c r="G103" t="n">
        <x:v>1</x:v>
      </x:c>
      <x:c r="H103" t="inlineStr">
        <x:is>
          <x:t xml:space="preserve">Same published family/model dollar cap; effort changes how fast the cap is consumed.</x:t>
        </x:is>
      </x:c>
      <x:c r="I103" t="inlineStr">
        <x:is>
          <x:t xml:space="preserve">high</x:t>
        </x:is>
      </x:c>
      <x:c r="J103" t="inlineStr">
        <x:is>
          <x:t xml:space="preserve">https://opencode.ai/docs/go</x:t>
        </x:is>
      </x:c>
    </x:row>
    <x:row r="104">
      <x:c r="A104" t="inlineStr">
        <x:is>
          <x:t xml:space="preserve">opencode-go-plus</x:t>
        </x:is>
      </x:c>
      <x:c r="B104" t="inlineStr">
        <x:is>
          <x:t xml:space="preserve">GPT-6 Luna</x:t>
        </x:is>
      </x:c>
      <x:c r="C104" t="inlineStr">
        <x:is>
          <x:t xml:space="preserve">high</x:t>
        </x:is>
      </x:c>
      <x:c r="F104" t="n">
        <x:v>60</x:v>
      </x:c>
      <x:c r="G104" t="n">
        <x:v>1</x:v>
      </x:c>
      <x:c r="H104" t="inlineStr">
        <x:is>
          <x:t xml:space="preserve">Same published family/model dollar cap; effort changes how fast the cap is consumed.</x:t>
        </x:is>
      </x:c>
      <x:c r="I104" t="inlineStr">
        <x:is>
          <x:t xml:space="preserve">high</x:t>
        </x:is>
      </x:c>
      <x:c r="J104" t="inlineStr">
        <x:is>
          <x:t xml:space="preserve">https://opencode.ai/docs/go</x:t>
        </x:is>
      </x:c>
    </x:row>
    <x:row r="105">
      <x:c r="A105" t="inlineStr">
        <x:is>
          <x:t xml:space="preserve">opencode-go-plus</x:t>
        </x:is>
      </x:c>
      <x:c r="B105" t="inlineStr">
        <x:is>
          <x:t xml:space="preserve">GPT-6 Luna</x:t>
        </x:is>
      </x:c>
      <x:c r="C105" t="inlineStr">
        <x:is>
          <x:t xml:space="preserve">xhigh</x:t>
        </x:is>
      </x:c>
      <x:c r="F105" t="n">
        <x:v>60</x:v>
      </x:c>
      <x:c r="G105" t="n">
        <x:v>1</x:v>
      </x:c>
      <x:c r="H105" t="inlineStr">
        <x:is>
          <x:t xml:space="preserve">Same published family/model dollar cap; effort changes how fast the cap is consumed.</x:t>
        </x:is>
      </x:c>
      <x:c r="I105" t="inlineStr">
        <x:is>
          <x:t xml:space="preserve">high</x:t>
        </x:is>
      </x:c>
      <x:c r="J105" t="inlineStr">
        <x:is>
          <x:t xml:space="preserve">https://opencode.ai/docs/go</x:t>
        </x:is>
      </x:c>
    </x:row>
    <x:row r="106">
      <x:c r="A106" t="inlineStr">
        <x:is>
          <x:t xml:space="preserve">opencode-go-plus</x:t>
        </x:is>
      </x:c>
      <x:c r="B106" t="inlineStr">
        <x:is>
          <x:t xml:space="preserve">GPT-6 Luna</x:t>
        </x:is>
      </x:c>
      <x:c r="C106" t="inlineStr">
        <x:is>
          <x:t xml:space="preserve">max</x:t>
        </x:is>
      </x:c>
      <x:c r="F106" t="n">
        <x:v>60</x:v>
      </x:c>
      <x:c r="G106" t="n">
        <x:v>1</x:v>
      </x:c>
      <x:c r="H106" t="inlineStr">
        <x:is>
          <x:t xml:space="preserve">Same published family/model dollar cap; effort changes how fast the cap is consumed.</x:t>
        </x:is>
      </x:c>
      <x:c r="I106" t="inlineStr">
        <x:is>
          <x:t xml:space="preserve">high</x:t>
        </x:is>
      </x:c>
      <x:c r="J106" t="inlineStr">
        <x:is>
          <x:t xml:space="preserve">https://opencode.ai/docs/go</x:t>
        </x:is>
      </x:c>
    </x:row>
    <x:row r="107">
      <x:c r="A107" t="inlineStr">
        <x:is>
          <x:t xml:space="preserve">opencode-go-plus</x:t>
        </x:is>
      </x:c>
      <x:c r="B107" t="inlineStr">
        <x:is>
          <x:t xml:space="preserve">DeepSeek V4.1 Flash</x:t>
        </x:is>
      </x:c>
      <x:c r="C107" t="inlineStr">
        <x:is>
          <x:t xml:space="preserve">non-reasoning</x:t>
        </x:is>
      </x:c>
      <x:c r="F107" t="n">
        <x:v>120</x:v>
      </x:c>
      <x:c r="G107" t="n">
        <x:v>1</x:v>
      </x:c>
      <x:c r="H107" t="inlineStr">
        <x:is>
          <x:t xml:space="preserve">Same published family/model dollar cap; effort changes how fast the cap is consumed.</x:t>
        </x:is>
      </x:c>
      <x:c r="I107" t="inlineStr">
        <x:is>
          <x:t xml:space="preserve">high</x:t>
        </x:is>
      </x:c>
      <x:c r="J107" t="inlineStr">
        <x:is>
          <x:t xml:space="preserve">https://opencode.ai/docs/go</x:t>
        </x:is>
      </x:c>
    </x:row>
    <x:row r="108">
      <x:c r="A108" t="inlineStr">
        <x:is>
          <x:t xml:space="preserve">opencode-go-plus</x:t>
        </x:is>
      </x:c>
      <x:c r="B108" t="inlineStr">
        <x:is>
          <x:t xml:space="preserve">Muse Spark 1.3</x:t>
        </x:is>
      </x:c>
      <x:c r="C108" t="inlineStr">
        <x:is>
          <x:t xml:space="preserve">max</x:t>
        </x:is>
      </x:c>
      <x:c r="F108" t="n">
        <x:v>120</x:v>
      </x:c>
      <x:c r="G108" t="n">
        <x:v>1</x:v>
      </x:c>
      <x:c r="H108" t="inlineStr">
        <x:is>
          <x:t xml:space="preserve">Same published family/model dollar cap; effort changes how fast the cap is consumed.</x:t>
        </x:is>
      </x:c>
      <x:c r="I108" t="inlineStr">
        <x:is>
          <x:t xml:space="preserve">high</x:t>
        </x:is>
      </x:c>
      <x:c r="J108" t="inlineStr">
        <x:is>
          <x:t xml:space="preserve">https://opencode.ai/docs/go</x:t>
        </x:is>
      </x:c>
    </x:row>
    <x:row r="109">
      <x:c r="A109" t="inlineStr">
        <x:is>
          <x:t xml:space="preserve">opencode-go</x:t>
        </x:is>
      </x:c>
      <x:c r="B109" t="inlineStr">
        <x:is>
          <x:t xml:space="preserve">Qwen3.8-Flash-Next</x:t>
        </x:is>
      </x:c>
      <x:c r="C109" t="inlineStr">
        <x:is>
          <x:t xml:space="preserve">reasoning</x:t>
        </x:is>
      </x:c>
      <x:c r="F109" t="n">
        <x:v>30</x:v>
      </x:c>
      <x:c r="G109" t="n">
        <x:v>1</x:v>
      </x:c>
      <x:c r="H109" t="inlineStr">
        <x:is>
          <x:t xml:space="preserve">Published/previously verified OpenCode Qwen Flash bucket; effort shares model cap.</x:t>
        </x:is>
      </x:c>
      <x:c r="I109" t="inlineStr">
        <x:is>
          <x:t xml:space="preserve">medium</x:t>
        </x:is>
      </x:c>
      <x:c r="J109" t="inlineStr">
        <x:is>
          <x:t xml:space="preserve">https://opencode.ai/docs/go</x:t>
        </x:is>
      </x:c>
    </x:row>
    <x:row r="110">
      <x:c r="A110" t="inlineStr">
        <x:is>
          <x:t xml:space="preserve">opencode-go-plus</x:t>
        </x:is>
      </x:c>
      <x:c r="B110" t="inlineStr">
        <x:is>
          <x:t xml:space="preserve">Qwen3.8-Flash-Next</x:t>
        </x:is>
      </x:c>
      <x:c r="C110" t="inlineStr">
        <x:is>
          <x:t xml:space="preserve">reasoning</x:t>
        </x:is>
      </x:c>
      <x:c r="F110" t="n">
        <x:v>90</x:v>
      </x:c>
      <x:c r="G110" t="n">
        <x:v>1</x:v>
      </x:c>
      <x:c r="H110" t="inlineStr">
        <x:is>
          <x:t xml:space="preserve">Published/previously verified OpenCode Qwen Flash bucket; effort shares model cap.</x:t>
        </x:is>
      </x:c>
      <x:c r="I110" t="inlineStr">
        <x:is>
          <x:t xml:space="preserve">medium</x:t>
        </x:is>
      </x:c>
      <x:c r="J110" t="inlineStr">
        <x:is>
          <x:t xml:space="preserve">https://opencode.ai/docs/go</x:t>
        </x:is>
      </x:c>
    </x:row>
    <x:row r="111">
      <x:c r="A111" t="inlineStr">
        <x:is>
          <x:t xml:space="preserve">chatgpt-plus</x:t>
        </x:is>
      </x:c>
      <x:c r="B111" t="inlineStr">
        <x:is>
          <x:t xml:space="preserve">GPT-6 Luna</x:t>
        </x:is>
      </x:c>
      <x:c r="C111" t="inlineStr">
        <x:is>
          <x:t xml:space="preserve">low</x:t>
        </x:is>
      </x:c>
      <x:c r="D111" t="n">
        <x:v>350</x:v>
      </x:c>
      <x:c r="E111" t="n">
        <x:v>3000</x:v>
      </x:c>
      <x:c r="G111" t="n">
        <x:v>1</x:v>
      </x:c>
      <x:c r="H111" t="inlineStr">
        <x:is>
          <x:t xml:space="preserve">Current Luna local-message range used as a rough plan proxy; actual consumption varies strongly by effort/context/tool use.</x:t>
        </x:is>
      </x:c>
      <x:c r="I111" t="inlineStr">
        <x:is>
          <x:t xml:space="preserve">low</x:t>
        </x:is>
      </x:c>
      <x:c r="J111" t="inlineStr">
        <x:is>
          <x:t xml:space="preserve">https://chatgpt.com/codex/pricing/</x:t>
        </x:is>
      </x:c>
    </x:row>
    <x:row r="112">
      <x:c r="A112" t="inlineStr">
        <x:is>
          <x:t xml:space="preserve">chatgpt-plus</x:t>
        </x:is>
      </x:c>
      <x:c r="B112" t="inlineStr">
        <x:is>
          <x:t xml:space="preserve">GPT-6 Luna</x:t>
        </x:is>
      </x:c>
      <x:c r="C112" t="inlineStr">
        <x:is>
          <x:t xml:space="preserve">medium</x:t>
        </x:is>
      </x:c>
      <x:c r="D112" t="n">
        <x:v>350</x:v>
      </x:c>
      <x:c r="E112" t="n">
        <x:v>3000</x:v>
      </x:c>
      <x:c r="G112" t="n">
        <x:v>1</x:v>
      </x:c>
      <x:c r="H112" t="inlineStr">
        <x:is>
          <x:t xml:space="preserve">Current Luna local-message range used as a rough plan proxy; actual consumption varies strongly by effort/context/tool use.</x:t>
        </x:is>
      </x:c>
      <x:c r="I112" t="inlineStr">
        <x:is>
          <x:t xml:space="preserve">low</x:t>
        </x:is>
      </x:c>
      <x:c r="J112" t="inlineStr">
        <x:is>
          <x:t xml:space="preserve">https://chatgpt.com/codex/pricing/</x:t>
        </x:is>
      </x:c>
    </x:row>
    <x:row r="113">
      <x:c r="A113" t="inlineStr">
        <x:is>
          <x:t xml:space="preserve">chatgpt-plus</x:t>
        </x:is>
      </x:c>
      <x:c r="B113" t="inlineStr">
        <x:is>
          <x:t xml:space="preserve">GPT-6 Luna</x:t>
        </x:is>
      </x:c>
      <x:c r="C113" t="inlineStr">
        <x:is>
          <x:t xml:space="preserve">high</x:t>
        </x:is>
      </x:c>
      <x:c r="D113" t="n">
        <x:v>350</x:v>
      </x:c>
      <x:c r="E113" t="n">
        <x:v>3000</x:v>
      </x:c>
      <x:c r="G113" t="n">
        <x:v>1</x:v>
      </x:c>
      <x:c r="H113" t="inlineStr">
        <x:is>
          <x:t xml:space="preserve">Current Luna local-message range used as a rough plan proxy; actual consumption varies strongly by effort/context/tool use.</x:t>
        </x:is>
      </x:c>
      <x:c r="I113" t="inlineStr">
        <x:is>
          <x:t xml:space="preserve">low</x:t>
        </x:is>
      </x:c>
      <x:c r="J113" t="inlineStr">
        <x:is>
          <x:t xml:space="preserve">https://chatgpt.com/codex/pricing/</x:t>
        </x:is>
      </x:c>
    </x:row>
    <x:row r="114">
      <x:c r="A114" t="inlineStr">
        <x:is>
          <x:t xml:space="preserve">chatgpt-plus</x:t>
        </x:is>
      </x:c>
      <x:c r="B114" t="inlineStr">
        <x:is>
          <x:t xml:space="preserve">GPT-6 Luna</x:t>
        </x:is>
      </x:c>
      <x:c r="C114" t="inlineStr">
        <x:is>
          <x:t xml:space="preserve">xhigh</x:t>
        </x:is>
      </x:c>
      <x:c r="D114" t="n">
        <x:v>350</x:v>
      </x:c>
      <x:c r="E114" t="n">
        <x:v>3000</x:v>
      </x:c>
      <x:c r="G114" t="n">
        <x:v>1</x:v>
      </x:c>
      <x:c r="H114" t="inlineStr">
        <x:is>
          <x:t xml:space="preserve">Current Luna local-message range used as a rough plan proxy; actual consumption varies strongly by effort/context/tool use.</x:t>
        </x:is>
      </x:c>
      <x:c r="I114" t="inlineStr">
        <x:is>
          <x:t xml:space="preserve">low</x:t>
        </x:is>
      </x:c>
      <x:c r="J114" t="inlineStr">
        <x:is>
          <x:t xml:space="preserve">https://chatgpt.com/codex/pricing/</x:t>
        </x:is>
      </x:c>
    </x:row>
    <x:row r="115">
      <x:c r="A115" t="inlineStr">
        <x:is>
          <x:t xml:space="preserve">chatgpt-plus</x:t>
        </x:is>
      </x:c>
      <x:c r="B115" t="inlineStr">
        <x:is>
          <x:t xml:space="preserve">GPT-6 Luna</x:t>
        </x:is>
      </x:c>
      <x:c r="C115" t="inlineStr">
        <x:is>
          <x:t xml:space="preserve">max</x:t>
        </x:is>
      </x:c>
      <x:c r="D115" t="n">
        <x:v>350</x:v>
      </x:c>
      <x:c r="E115" t="n">
        <x:v>3000</x:v>
      </x:c>
      <x:c r="G115" t="n">
        <x:v>1</x:v>
      </x:c>
      <x:c r="H115" t="inlineStr">
        <x:is>
          <x:t xml:space="preserve">Current Luna local-message range used as a rough plan proxy; actual consumption varies strongly by effort/context/tool use.</x:t>
        </x:is>
      </x:c>
      <x:c r="I115" t="inlineStr">
        <x:is>
          <x:t xml:space="preserve">low</x:t>
        </x:is>
      </x:c>
      <x:c r="J115" t="inlineStr">
        <x:is>
          <x:t xml:space="preserve">https://chatgpt.com/codex/pricing/</x:t>
        </x:is>
      </x:c>
    </x:row>
    <x:row r="116">
      <x:c r="A116" t="inlineStr">
        <x:is>
          <x:t xml:space="preserve">chatgpt-pro-5x</x:t>
        </x:is>
      </x:c>
      <x:c r="B116" t="inlineStr">
        <x:is>
          <x:t xml:space="preserve">GPT-6 Luna</x:t>
        </x:is>
      </x:c>
      <x:c r="C116" t="inlineStr">
        <x:is>
          <x:t xml:space="preserve">low</x:t>
        </x:is>
      </x:c>
      <x:c r="D116" t="n">
        <x:v>1750</x:v>
      </x:c>
      <x:c r="E116" t="n">
        <x:v>15000</x:v>
      </x:c>
      <x:c r="G116" t="n">
        <x:v>5</x:v>
      </x:c>
      <x:c r="H116" t="inlineStr">
        <x:is>
          <x:t xml:space="preserve">Current Luna local-message range used as a rough plan proxy; actual consumption varies strongly by effort/context/tool use.</x:t>
        </x:is>
      </x:c>
      <x:c r="I116" t="inlineStr">
        <x:is>
          <x:t xml:space="preserve">low</x:t>
        </x:is>
      </x:c>
      <x:c r="J116" t="inlineStr">
        <x:is>
          <x:t xml:space="preserve">https://chatgpt.com/codex/pricing/</x:t>
        </x:is>
      </x:c>
    </x:row>
    <x:row r="117">
      <x:c r="A117" t="inlineStr">
        <x:is>
          <x:t xml:space="preserve">chatgpt-pro-5x</x:t>
        </x:is>
      </x:c>
      <x:c r="B117" t="inlineStr">
        <x:is>
          <x:t xml:space="preserve">GPT-6 Luna</x:t>
        </x:is>
      </x:c>
      <x:c r="C117" t="inlineStr">
        <x:is>
          <x:t xml:space="preserve">medium</x:t>
        </x:is>
      </x:c>
      <x:c r="D117" t="n">
        <x:v>1750</x:v>
      </x:c>
      <x:c r="E117" t="n">
        <x:v>15000</x:v>
      </x:c>
      <x:c r="G117" t="n">
        <x:v>5</x:v>
      </x:c>
      <x:c r="H117" t="inlineStr">
        <x:is>
          <x:t xml:space="preserve">Current Luna local-message range used as a rough plan proxy; actual consumption varies strongly by effort/context/tool use.</x:t>
        </x:is>
      </x:c>
      <x:c r="I117" t="inlineStr">
        <x:is>
          <x:t xml:space="preserve">low</x:t>
        </x:is>
      </x:c>
      <x:c r="J117" t="inlineStr">
        <x:is>
          <x:t xml:space="preserve">https://chatgpt.com/codex/pricing/</x:t>
        </x:is>
      </x:c>
    </x:row>
    <x:row r="118">
      <x:c r="A118" t="inlineStr">
        <x:is>
          <x:t xml:space="preserve">chatgpt-pro-5x</x:t>
        </x:is>
      </x:c>
      <x:c r="B118" t="inlineStr">
        <x:is>
          <x:t xml:space="preserve">GPT-6 Luna</x:t>
        </x:is>
      </x:c>
      <x:c r="C118" t="inlineStr">
        <x:is>
          <x:t xml:space="preserve">high</x:t>
        </x:is>
      </x:c>
      <x:c r="D118" t="n">
        <x:v>1750</x:v>
      </x:c>
      <x:c r="E118" t="n">
        <x:v>15000</x:v>
      </x:c>
      <x:c r="G118" t="n">
        <x:v>5</x:v>
      </x:c>
      <x:c r="H118" t="inlineStr">
        <x:is>
          <x:t xml:space="preserve">Current Luna local-message range used as a rough plan proxy; actual consumption varies strongly by effort/context/tool use.</x:t>
        </x:is>
      </x:c>
      <x:c r="I118" t="inlineStr">
        <x:is>
          <x:t xml:space="preserve">low</x:t>
        </x:is>
      </x:c>
      <x:c r="J118" t="inlineStr">
        <x:is>
          <x:t xml:space="preserve">https://chatgpt.com/codex/pricing/</x:t>
        </x:is>
      </x:c>
    </x:row>
    <x:row r="119">
      <x:c r="A119" t="inlineStr">
        <x:is>
          <x:t xml:space="preserve">chatgpt-pro-5x</x:t>
        </x:is>
      </x:c>
      <x:c r="B119" t="inlineStr">
        <x:is>
          <x:t xml:space="preserve">GPT-6 Luna</x:t>
        </x:is>
      </x:c>
      <x:c r="C119" t="inlineStr">
        <x:is>
          <x:t xml:space="preserve">xhigh</x:t>
        </x:is>
      </x:c>
      <x:c r="D119" t="n">
        <x:v>1750</x:v>
      </x:c>
      <x:c r="E119" t="n">
        <x:v>15000</x:v>
      </x:c>
      <x:c r="G119" t="n">
        <x:v>5</x:v>
      </x:c>
      <x:c r="H119" t="inlineStr">
        <x:is>
          <x:t xml:space="preserve">Current Luna local-message range used as a rough plan proxy; actual consumption varies strongly by effort/context/tool use.</x:t>
        </x:is>
      </x:c>
      <x:c r="I119" t="inlineStr">
        <x:is>
          <x:t xml:space="preserve">low</x:t>
        </x:is>
      </x:c>
      <x:c r="J119" t="inlineStr">
        <x:is>
          <x:t xml:space="preserve">https://chatgpt.com/codex/pricing/</x:t>
        </x:is>
      </x:c>
    </x:row>
    <x:row r="120">
      <x:c r="A120" t="inlineStr">
        <x:is>
          <x:t xml:space="preserve">chatgpt-pro-5x</x:t>
        </x:is>
      </x:c>
      <x:c r="B120" t="inlineStr">
        <x:is>
          <x:t xml:space="preserve">GPT-6 Luna</x:t>
        </x:is>
      </x:c>
      <x:c r="C120" t="inlineStr">
        <x:is>
          <x:t xml:space="preserve">max</x:t>
        </x:is>
      </x:c>
      <x:c r="D120" t="n">
        <x:v>1750</x:v>
      </x:c>
      <x:c r="E120" t="n">
        <x:v>15000</x:v>
      </x:c>
      <x:c r="G120" t="n">
        <x:v>5</x:v>
      </x:c>
      <x:c r="H120" t="inlineStr">
        <x:is>
          <x:t xml:space="preserve">Current Luna local-message range used as a rough plan proxy; actual consumption varies strongly by effort/context/tool use.</x:t>
        </x:is>
      </x:c>
      <x:c r="I120" t="inlineStr">
        <x:is>
          <x:t xml:space="preserve">low</x:t>
        </x:is>
      </x:c>
      <x:c r="J120" t="inlineStr">
        <x:is>
          <x:t xml:space="preserve">https://chatgpt.com/codex/pricing/</x:t>
        </x:is>
      </x:c>
    </x:row>
    <x:row r="121">
      <x:c r="A121" t="inlineStr">
        <x:is>
          <x:t xml:space="preserve">chatgpt-pro-20x</x:t>
        </x:is>
      </x:c>
      <x:c r="B121" t="inlineStr">
        <x:is>
          <x:t xml:space="preserve">GPT-6 Luna</x:t>
        </x:is>
      </x:c>
      <x:c r="C121" t="inlineStr">
        <x:is>
          <x:t xml:space="preserve">low</x:t>
        </x:is>
      </x:c>
      <x:c r="D121" t="n">
        <x:v>7000</x:v>
      </x:c>
      <x:c r="E121" t="n">
        <x:v>60000</x:v>
      </x:c>
      <x:c r="G121" t="n">
        <x:v>20</x:v>
      </x:c>
      <x:c r="H121" t="inlineStr">
        <x:is>
          <x:t xml:space="preserve">Current Luna local-message range used as a rough plan proxy; actual consumption varies strongly by effort/context/tool use.</x:t>
        </x:is>
      </x:c>
      <x:c r="I121" t="inlineStr">
        <x:is>
          <x:t xml:space="preserve">low</x:t>
        </x:is>
      </x:c>
      <x:c r="J121" t="inlineStr">
        <x:is>
          <x:t xml:space="preserve">https://chatgpt.com/codex/pricing/</x:t>
        </x:is>
      </x:c>
    </x:row>
    <x:row r="122">
      <x:c r="A122" t="inlineStr">
        <x:is>
          <x:t xml:space="preserve">chatgpt-pro-20x</x:t>
        </x:is>
      </x:c>
      <x:c r="B122" t="inlineStr">
        <x:is>
          <x:t xml:space="preserve">GPT-6 Luna</x:t>
        </x:is>
      </x:c>
      <x:c r="C122" t="inlineStr">
        <x:is>
          <x:t xml:space="preserve">medium</x:t>
        </x:is>
      </x:c>
      <x:c r="D122" t="n">
        <x:v>7000</x:v>
      </x:c>
      <x:c r="E122" t="n">
        <x:v>60000</x:v>
      </x:c>
      <x:c r="G122" t="n">
        <x:v>20</x:v>
      </x:c>
      <x:c r="H122" t="inlineStr">
        <x:is>
          <x:t xml:space="preserve">Current Luna local-message range used as a rough plan proxy; actual consumption varies strongly by effort/context/tool use.</x:t>
        </x:is>
      </x:c>
      <x:c r="I122" t="inlineStr">
        <x:is>
          <x:t xml:space="preserve">low</x:t>
        </x:is>
      </x:c>
      <x:c r="J122" t="inlineStr">
        <x:is>
          <x:t xml:space="preserve">https://chatgpt.com/codex/pricing/</x:t>
        </x:is>
      </x:c>
    </x:row>
    <x:row r="123">
      <x:c r="A123" t="inlineStr">
        <x:is>
          <x:t xml:space="preserve">chatgpt-pro-20x</x:t>
        </x:is>
      </x:c>
      <x:c r="B123" t="inlineStr">
        <x:is>
          <x:t xml:space="preserve">GPT-6 Luna</x:t>
        </x:is>
      </x:c>
      <x:c r="C123" t="inlineStr">
        <x:is>
          <x:t xml:space="preserve">high</x:t>
        </x:is>
      </x:c>
      <x:c r="D123" t="n">
        <x:v>7000</x:v>
      </x:c>
      <x:c r="E123" t="n">
        <x:v>60000</x:v>
      </x:c>
      <x:c r="G123" t="n">
        <x:v>20</x:v>
      </x:c>
      <x:c r="H123" t="inlineStr">
        <x:is>
          <x:t xml:space="preserve">Current Luna local-message range used as a rough plan proxy; actual consumption varies strongly by effort/context/tool use.</x:t>
        </x:is>
      </x:c>
      <x:c r="I123" t="inlineStr">
        <x:is>
          <x:t xml:space="preserve">low</x:t>
        </x:is>
      </x:c>
      <x:c r="J123" t="inlineStr">
        <x:is>
          <x:t xml:space="preserve">https://chatgpt.com/codex/pricing/</x:t>
        </x:is>
      </x:c>
    </x:row>
    <x:row r="124">
      <x:c r="A124" t="inlineStr">
        <x:is>
          <x:t xml:space="preserve">chatgpt-pro-20x</x:t>
        </x:is>
      </x:c>
      <x:c r="B124" t="inlineStr">
        <x:is>
          <x:t xml:space="preserve">GPT-6 Luna</x:t>
        </x:is>
      </x:c>
      <x:c r="C124" t="inlineStr">
        <x:is>
          <x:t xml:space="preserve">xhigh</x:t>
        </x:is>
      </x:c>
      <x:c r="D124" t="n">
        <x:v>7000</x:v>
      </x:c>
      <x:c r="E124" t="n">
        <x:v>60000</x:v>
      </x:c>
      <x:c r="G124" t="n">
        <x:v>20</x:v>
      </x:c>
      <x:c r="H124" t="inlineStr">
        <x:is>
          <x:t xml:space="preserve">Current Luna local-message range used as a rough plan proxy; actual consumption varies strongly by effort/context/tool use.</x:t>
        </x:is>
      </x:c>
      <x:c r="I124" t="inlineStr">
        <x:is>
          <x:t xml:space="preserve">low</x:t>
        </x:is>
      </x:c>
      <x:c r="J124" t="inlineStr">
        <x:is>
          <x:t xml:space="preserve">https://chatgpt.com/codex/pricing/</x:t>
        </x:is>
      </x:c>
    </x:row>
    <x:row r="125">
      <x:c r="A125" t="inlineStr">
        <x:is>
          <x:t xml:space="preserve">chatgpt-pro-20x</x:t>
        </x:is>
      </x:c>
      <x:c r="B125" t="inlineStr">
        <x:is>
          <x:t xml:space="preserve">GPT-6 Luna</x:t>
        </x:is>
      </x:c>
      <x:c r="C125" t="inlineStr">
        <x:is>
          <x:t xml:space="preserve">max</x:t>
        </x:is>
      </x:c>
      <x:c r="D125" t="n">
        <x:v>7000</x:v>
      </x:c>
      <x:c r="E125" t="n">
        <x:v>60000</x:v>
      </x:c>
      <x:c r="G125" t="n">
        <x:v>20</x:v>
      </x:c>
      <x:c r="H125" t="inlineStr">
        <x:is>
          <x:t xml:space="preserve">Current Luna local-message range used as a rough plan proxy; actual consumption varies strongly by effort/context/tool use.</x:t>
        </x:is>
      </x:c>
      <x:c r="I125" t="inlineStr">
        <x:is>
          <x:t xml:space="preserve">low</x:t>
        </x:is>
      </x:c>
      <x:c r="J125" t="inlineStr">
        <x:is>
          <x:t xml:space="preserve">https://chatgpt.com/codex/pricing/</x:t>
        </x:is>
      </x:c>
    </x:row>
  </x:sheetData>
  <x:pageMargins left="0.7" right="0.7" top="0.75" bottom="0.75" header="0.3" footer="0.3"/>
</x:worksheet>
</file>

<file path=xl/worksheets/sheet27.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16" style="14" customWidth="1"/>
    <x:col min="9" max="9" width="16" style="14" customWidth="1"/>
    <x:col min="10" max="10" width="16" style="14" customWidth="1"/>
    <x:col min="11" max="11" width="16" style="14" customWidth="1"/>
    <x:col min="12" max="12" width="16" style="14" customWidth="1"/>
    <x:col min="13" max="13" width="16" style="14" customWidth="1"/>
    <x:col min="14" max="14" width="16" style="14" customWidth="1"/>
    <x:col min="15" max="15" width="16" style="14" customWidth="1"/>
    <x:col min="16" max="16" width="16" style="14" customWidth="1"/>
    <x:col min="17" max="17" width="16" style="14" customWidth="1"/>
    <x:col min="18" max="18" width="16" style="14" customWidth="1"/>
    <x:col min="19" max="19" width="16" style="14" customWidth="1"/>
    <x:col min="20" max="20" width="30" style="14" customWidth="1"/>
    <x:col min="21" max="21" width="30" style="14" customWidth="1"/>
    <x:col min="22" max="22" width="16" style="14" customWidth="1"/>
    <x:col min="23" max="23" width="16" style="14" customWidth="1"/>
    <x:col min="24" max="24" width="16" style="14" customWidth="1"/>
    <x:col min="25" max="25" width="16" style="14" customWidth="1"/>
    <x:col min="26" max="26" width="16" style="14" customWidth="1"/>
    <x:col min="27" max="27" width="16" style="14" customWidth="1"/>
    <x:col min="28" max="28" width="16" style="14" customWidth="1"/>
    <x:col min="29" max="29" width="70" style="14" customWidth="1"/>
    <x:col min="30" max="30" width="20" style="14" customWidth="1"/>
    <x:col min="31" max="31" width="20" style="14" customWidth="1"/>
    <x:col min="32" max="32" width="12" style="14" customWidth="1"/>
    <x:col min="33" max="33" width="18" style="14" customWidth="1"/>
    <x:col min="34" max="34" width="18" style="14" customWidth="1"/>
  </x:cols>
  <x:sheetData>
    <x:row r="1">
      <x:c r="A1" s="6" t="inlineStr">
        <x:is>
          <x:t xml:space="preserve">plan_id</x:t>
        </x:is>
      </x:c>
      <x:c r="B1" s="6" t="inlineStr">
        <x:is>
          <x:t xml:space="preserve">provider</x:t>
        </x:is>
      </x:c>
      <x:c r="C1" s="6" t="inlineStr">
        <x:is>
          <x:t xml:space="preserve">plan</x:t>
        </x:is>
      </x:c>
      <x:c r="D1" s="6" t="inlineStr">
        <x:is>
          <x:t xml:space="preserve">price_monthly</x:t>
        </x:is>
      </x:c>
      <x:c r="E1" s="6" t="inlineStr">
        <x:is>
          <x:t xml:space="preserve">family</x:t>
        </x:is>
      </x:c>
      <x:c r="F1" s="6" t="inlineStr">
        <x:is>
          <x:t xml:space="preserve">benchmark_effort</x:t>
        </x:is>
      </x:c>
      <x:c r="G1" s="6" t="inlineStr">
        <x:is>
          <x:t xml:space="preserve">matched_variant_key</x:t>
        </x:is>
      </x:c>
      <x:c r="H1" s="6" t="inlineStr">
        <x:is>
          <x:t xml:space="preserve">aa_score</x:t>
        </x:is>
      </x:c>
      <x:c r="I1" s="6" t="inlineStr">
        <x:is>
          <x:t xml:space="preserve">aa_speed_tps</x:t>
        </x:is>
      </x:c>
      <x:c r="J1" s="6" t="inlineStr">
        <x:is>
          <x:t xml:space="preserve">aa_cost_task</x:t>
        </x:is>
      </x:c>
      <x:c r="K1" s="6" t="inlineStr">
        <x:is>
          <x:t xml:space="preserve">aa_time_task_sec</x:t>
        </x:is>
      </x:c>
      <x:c r="L1" s="6" t="inlineStr">
        <x:is>
          <x:t xml:space="preserve">per_5h_low</x:t>
        </x:is>
      </x:c>
      <x:c r="M1" s="6" t="inlineStr">
        <x:is>
          <x:t xml:space="preserve">per_5h_high</x:t>
        </x:is>
      </x:c>
      <x:c r="N1" s="6" t="inlineStr">
        <x:is>
          <x:t xml:space="preserve">monthly_dollar_cap</x:t>
        </x:is>
      </x:c>
      <x:c r="O1" s="6" t="inlineStr">
        <x:is>
          <x:t xml:space="preserve">monthly_5h_windows_theoretical</x:t>
        </x:is>
      </x:c>
      <x:c r="P1" s="6" t="inlineStr">
        <x:is>
          <x:t xml:space="preserve">monthly_prompt_low</x:t>
        </x:is>
      </x:c>
      <x:c r="Q1" s="6" t="inlineStr">
        <x:is>
          <x:t xml:space="preserve">monthly_prompt_high</x:t>
        </x:is>
      </x:c>
      <x:c r="R1" s="6" t="inlineStr">
        <x:is>
          <x:t xml:space="preserve">defensible_api_spend_equiv_low</x:t>
        </x:is>
      </x:c>
      <x:c r="S1" s="6" t="inlineStr">
        <x:is>
          <x:t xml:space="preserve">defensible_api_spend_equiv_high</x:t>
        </x:is>
      </x:c>
      <x:c r="T1" s="6" t="inlineStr">
        <x:is>
          <x:t xml:space="preserve">spend_equiv_method</x:t>
        </x:is>
      </x:c>
      <x:c r="U1" s="6" t="inlineStr">
        <x:is>
          <x:t xml:space="preserve">confidence</x:t>
        </x:is>
      </x:c>
      <x:c r="V1" s="6" t="inlineStr">
        <x:is>
          <x:t xml:space="preserve">spend_equiv_per_plan_$</x:t>
        </x:is>
      </x:c>
      <x:c r="W1" s="6" t="inlineStr">
        <x:is>
          <x:t xml:space="preserve">tasks_at_high_estimate</x:t>
        </x:is>
      </x:c>
      <x:c r="X1" s="6" t="inlineStr">
        <x:is>
          <x:t xml:space="preserve">intel_value_units</x:t>
        </x:is>
      </x:c>
      <x:c r="Y1" s="6" t="inlineStr">
        <x:is>
          <x:t xml:space="preserve">speed_value_units</x:t>
        </x:is>
      </x:c>
      <x:c r="Z1" s="6" t="inlineStr">
        <x:is>
          <x:t xml:space="preserve">balanced_value</x:t>
        </x:is>
      </x:c>
      <x:c r="AA1" s="6" t="inlineStr">
        <x:is>
          <x:t xml:space="preserve">smart_value</x:t>
        </x:is>
      </x:c>
      <x:c r="AB1" s="6" t="inlineStr">
        <x:is>
          <x:t xml:space="preserve">speed_favored_value</x:t>
        </x:is>
      </x:c>
      <x:c r="AC1" s="6" t="inlineStr">
        <x:is>
          <x:t xml:space="preserve">source_url</x:t>
        </x:is>
      </x:c>
      <x:c r="AD1" s="6" t="inlineStr">
        <x:is>
          <x:t xml:space="preserve">raw_prompt_x_aa_task_cost_low</x:t>
        </x:is>
      </x:c>
      <x:c r="AE1" s="6" t="inlineStr">
        <x:is>
          <x:t xml:space="preserve">raw_prompt_x_aa_task_cost_high</x:t>
        </x:is>
      </x:c>
      <x:c r="AF1" s="6" t="inlineStr">
        <x:is>
          <x:t xml:space="preserve">rankings_row</x:t>
        </x:is>
      </x:c>
      <x:c r="AG1" s="6" t="inlineStr">
        <x:is>
          <x:t xml:space="preserve">speed_x_intel</x:t>
        </x:is>
      </x:c>
      <x:c r="AH1" s="6" t="inlineStr">
        <x:is>
          <x:t xml:space="preserve">intel_per_cost_task</x:t>
        </x:is>
      </x:c>
    </x:row>
    <x:row r="2">
      <x:c r="A2" s="12" t="inlineStr">
        <x:is>
          <x:t xml:space="preserve">opencode-go</x:t>
        </x:is>
      </x:c>
      <x:c r="B2" s="12" t="inlineStr">
        <x:is>
          <x:t xml:space="preserve">OpenCode</x:t>
        </x:is>
      </x:c>
      <x:c r="C2" s="12" t="inlineStr">
        <x:is>
          <x:t xml:space="preserve">Go</x:t>
        </x:is>
      </x:c>
      <x:c r="D2" s="70" t="n">
        <x:v>10</x:v>
      </x:c>
      <x:c r="E2" s="12" t="inlineStr">
        <x:is>
          <x:t xml:space="preserve">GPT-6 Luna</x:t>
        </x:is>
      </x:c>
      <x:c r="F2" s="12" t="inlineStr">
        <x:is>
          <x:t xml:space="preserve">medium</x:t>
        </x:is>
      </x:c>
      <x:c r="G2" s="12" t="inlineStr">
        <x:is>
          <x:t xml:space="preserve">openai|gpt-6-luna|medium|reasoning|fallback-na</x:t>
        </x:is>
      </x:c>
      <x:c r="H2" s="12" t="n">
        <x:f>IF(AF2="","",INDEX(Rankings!$I:$I,AF2))</x:f>
        <x:v>30</x:v>
      </x:c>
      <x:c r="I2" s="12" t="str">
        <x:f>IF(AF2="","",INDEX(Rankings!$L:$L,AF2))</x:f>
      </x:c>
      <x:c r="J2" s="12" t="n">
        <x:f>IF(AF2="","",INDEX(Rankings!$J:$J,AF2))</x:f>
        <x:v>0.02</x:v>
      </x:c>
      <x:c r="K2" s="12" t="e">
        <x:f>IF(AF2="","",INDEX(Rankings!$K:$K,AF2))</x:f>
        <x:v>#REF!</x:v>
      </x:c>
      <x:c r="L2" s="12" t="n"/>
      <x:c r="M2" s="12" t="n"/>
      <x:c r="N2" s="12" t="n">
        <x:v>15</x:v>
      </x:c>
      <x:c r="O2" s="12" t="n">
        <x:v>144</x:v>
      </x:c>
      <x:c r="P2" s="12" t="str">
        <x:f>IF(L2="","",L2*O2)</x:f>
      </x:c>
      <x:c r="Q2" s="12" t="str">
        <x:f>IF(M2="","",M2*O2)</x:f>
      </x:c>
      <x:c r="R2" s="70" t="n">
        <x:f>IF(N2="","",N2)</x:f>
        <x:v>15</x:v>
      </x:c>
      <x:c r="S2" s="70" t="n">
        <x:f>IF(N2="","",N2)</x:f>
        <x:v>15</x:v>
      </x:c>
      <x:c r="T2" s="12" t="inlineStr">
        <x:is>
          <x:t xml:space="preserve">published dollar cap / direct budget</x:t>
        </x:is>
      </x:c>
      <x:c r="U2" s="12" t="inlineStr">
        <x:is>
          <x:t xml:space="preserve">high</x:t>
        </x:is>
      </x:c>
      <x:c r="V2" s="71" t="n">
        <x:f>IF(OR(S2="",D2=0),"",S2/D2)</x:f>
        <x:v>1.5</x:v>
      </x:c>
      <x:c r="W2" s="12" t="n">
        <x:f>IF(OR(S2="",J2="",J2=0),"",S2/J2)</x:f>
        <x:v>750</x:v>
      </x:c>
      <x:c r="X2" s="12" t="n">
        <x:f>IF(OR(H2="",V2=""),"",H2*V2)</x:f>
        <x:v>45</x:v>
      </x:c>
      <x:c r="Y2" s="12" t="str">
        <x:f>IF(OR(I2="",V2=""),"",I2*V2)</x:f>
      </x:c>
      <x:c r="Z2" s="12" t="str">
        <x:f>IF(OR(X2="",Y2=""),"",SQRT((X2/_xlfn.MAXIFS($X:$X,$A:$A,A2))*(Y2/_xlfn.MAXIFS($Y:$Y,$A:$A,A2))))</x:f>
      </x:c>
      <x:c r="AA2" s="12" t="str">
        <x:f>IF(Z2="","",(X2/_xlfn.MAXIFS($X:$X,$A:$A,A2))^0.7*(Y2/_xlfn.MAXIFS($Y:$Y,$A:$A,A2))^0.3)</x:f>
      </x:c>
      <x:c r="AB2" s="12" t="str">
        <x:f>IF(Z2="","",(X2/_xlfn.MAXIFS($X:$X,$A:$A,A2))^0.3*(Y2/_xlfn.MAXIFS($Y:$Y,$A:$A,A2))^0.7)</x:f>
      </x:c>
      <x:c r="AC2" s="12" t="inlineStr">
        <x:is>
          <x:t xml:space="preserve">https://opencode.ai/docs/go</x:t>
        </x:is>
      </x:c>
      <x:c r="AD2" t="str">
        <x:f>IF(OR(P2="",J2=""),"",P2*J2)</x:f>
      </x:c>
      <x:c r="AE2" t="str">
        <x:f>IF(OR(Q2="",J2=""),"",Q2*J2)</x:f>
      </x:c>
      <x:c r="AF2" t="n">
        <x:v>120</x:v>
      </x:c>
      <x:c r="AG2" t="str">
        <x:f>IF(OR(H2="",I2=""),"",H2*I2)</x:f>
      </x:c>
      <x:c r="AH2" t="n">
        <x:f>IF(OR(H2="",J2="",J2=0),"",H2/J2)</x:f>
        <x:v>1500</x:v>
      </x:c>
    </x:row>
    <x:row r="3">
      <x:c r="A3" s="12" t="inlineStr">
        <x:is>
          <x:t xml:space="preserve">opencode-go-plus</x:t>
        </x:is>
      </x:c>
      <x:c r="B3" s="12" t="inlineStr">
        <x:is>
          <x:t xml:space="preserve">OpenCode</x:t>
        </x:is>
      </x:c>
      <x:c r="C3" s="12" t="inlineStr">
        <x:is>
          <x:t xml:space="preserve">Go Plus</x:t>
        </x:is>
      </x:c>
      <x:c r="D3" s="70" t="n">
        <x:v>40</x:v>
      </x:c>
      <x:c r="E3" s="12" t="inlineStr">
        <x:is>
          <x:t xml:space="preserve">GPT-6 Luna</x:t>
        </x:is>
      </x:c>
      <x:c r="F3" s="12" t="inlineStr">
        <x:is>
          <x:t xml:space="preserve">medium</x:t>
        </x:is>
      </x:c>
      <x:c r="G3" s="12" t="inlineStr">
        <x:is>
          <x:t xml:space="preserve">openai|gpt-6-luna|medium|reasoning|fallback-na</x:t>
        </x:is>
      </x:c>
      <x:c r="H3" s="12" t="n">
        <x:f>IF(AF3="","",INDEX(Rankings!$I:$I,AF3))</x:f>
        <x:v>30</x:v>
      </x:c>
      <x:c r="I3" s="12" t="str">
        <x:f>IF(AF3="","",INDEX(Rankings!$L:$L,AF3))</x:f>
      </x:c>
      <x:c r="J3" s="12" t="n">
        <x:f>IF(AF3="","",INDEX(Rankings!$J:$J,AF3))</x:f>
        <x:v>0.02</x:v>
      </x:c>
      <x:c r="K3" s="12" t="e">
        <x:f>IF(AF3="","",INDEX(Rankings!$K:$K,AF3))</x:f>
        <x:v>#REF!</x:v>
      </x:c>
      <x:c r="L3" s="12" t="n"/>
      <x:c r="M3" s="12" t="n"/>
      <x:c r="N3" s="12" t="n">
        <x:v>60</x:v>
      </x:c>
      <x:c r="O3" s="12" t="n">
        <x:v>144</x:v>
      </x:c>
      <x:c r="P3" s="12" t="str">
        <x:f>IF(L3="","",L3*O3)</x:f>
      </x:c>
      <x:c r="Q3" s="12" t="str">
        <x:f>IF(M3="","",M3*O3)</x:f>
      </x:c>
      <x:c r="R3" s="70" t="n">
        <x:f>IF(N3="","",N3)</x:f>
        <x:v>60</x:v>
      </x:c>
      <x:c r="S3" s="70" t="n">
        <x:f>IF(N3="","",N3)</x:f>
        <x:v>60</x:v>
      </x:c>
      <x:c r="T3" s="12" t="inlineStr">
        <x:is>
          <x:t xml:space="preserve">published dollar cap / direct budget</x:t>
        </x:is>
      </x:c>
      <x:c r="U3" s="12" t="inlineStr">
        <x:is>
          <x:t xml:space="preserve">high</x:t>
        </x:is>
      </x:c>
      <x:c r="V3" s="71" t="n">
        <x:f>IF(OR(S3="",D3=0),"",S3/D3)</x:f>
        <x:v>1.5</x:v>
      </x:c>
      <x:c r="W3" s="12" t="n">
        <x:f>IF(OR(S3="",J3="",J3=0),"",S3/J3)</x:f>
        <x:v>3000</x:v>
      </x:c>
      <x:c r="X3" s="12" t="n">
        <x:f>IF(OR(H3="",V3=""),"",H3*V3)</x:f>
        <x:v>45</x:v>
      </x:c>
      <x:c r="Y3" s="12" t="str">
        <x:f>IF(OR(I3="",V3=""),"",I3*V3)</x:f>
      </x:c>
      <x:c r="Z3" s="12" t="str">
        <x:f>IF(OR(X3="",Y3=""),"",SQRT((X3/_xlfn.MAXIFS($X:$X,$A:$A,A3))*(Y3/_xlfn.MAXIFS($Y:$Y,$A:$A,A3))))</x:f>
      </x:c>
      <x:c r="AA3" s="12" t="str">
        <x:f>IF(Z3="","",(X3/_xlfn.MAXIFS($X:$X,$A:$A,A3))^0.7*(Y3/_xlfn.MAXIFS($Y:$Y,$A:$A,A3))^0.3)</x:f>
      </x:c>
      <x:c r="AB3" s="12" t="str">
        <x:f>IF(Z3="","",(X3/_xlfn.MAXIFS($X:$X,$A:$A,A3))^0.3*(Y3/_xlfn.MAXIFS($Y:$Y,$A:$A,A3))^0.7)</x:f>
      </x:c>
      <x:c r="AC3" s="12" t="inlineStr">
        <x:is>
          <x:t xml:space="preserve">https://opencode.ai/docs/go</x:t>
        </x:is>
      </x:c>
      <x:c r="AD3" t="str">
        <x:f>IF(OR(P3="",J3=""),"",P3*J3)</x:f>
      </x:c>
      <x:c r="AE3" t="str">
        <x:f>IF(OR(Q3="",J3=""),"",Q3*J3)</x:f>
      </x:c>
      <x:c r="AF3" t="n">
        <x:v>120</x:v>
      </x:c>
      <x:c r="AG3" t="str">
        <x:f>IF(OR(H3="",I3=""),"",H3*I3)</x:f>
      </x:c>
      <x:c r="AH3" t="n">
        <x:f>IF(OR(H3="",J3="",J3=0),"",H3/J3)</x:f>
        <x:v>1500</x:v>
      </x:c>
    </x:row>
    <x:row r="4">
      <x:c r="A4" s="12" t="inlineStr">
        <x:is>
          <x:t xml:space="preserve">opencode-go</x:t>
        </x:is>
      </x:c>
      <x:c r="B4" s="12" t="inlineStr">
        <x:is>
          <x:t xml:space="preserve">OpenCode</x:t>
        </x:is>
      </x:c>
      <x:c r="C4" s="12" t="inlineStr">
        <x:is>
          <x:t xml:space="preserve">Go</x:t>
        </x:is>
      </x:c>
      <x:c r="D4" s="70" t="n">
        <x:v>10</x:v>
      </x:c>
      <x:c r="E4" s="12" t="inlineStr">
        <x:is>
          <x:t xml:space="preserve">DeepSeek V4.1 Flash</x:t>
        </x:is>
      </x:c>
      <x:c r="F4" s="12" t="inlineStr">
        <x:is>
          <x:t xml:space="preserve">max</x:t>
        </x:is>
      </x:c>
      <x:c r="G4" s="12" t="inlineStr">
        <x:is>
          <x:t xml:space="preserve">deepseek|deepseek-v4.1-flash|max|reasoning|fallback-na</x:t>
        </x:is>
      </x:c>
      <x:c r="H4" s="12" t="n">
        <x:f>IF(AF4="","",INDEX(Rankings!$I:$I,AF4))</x:f>
        <x:v>39</x:v>
      </x:c>
      <x:c r="I4" s="12" t="n">
        <x:f>IF(AF4="","",INDEX(Rankings!$L:$L,AF4))</x:f>
        <x:v>217</x:v>
      </x:c>
      <x:c r="J4" s="12" t="n">
        <x:f>IF(AF4="","",INDEX(Rankings!$J:$J,AF4))</x:f>
        <x:v>0.27</x:v>
      </x:c>
      <x:c r="K4" s="12" t="e">
        <x:f>IF(AF4="","",INDEX(Rankings!$K:$K,AF4))</x:f>
        <x:v>#REF!</x:v>
      </x:c>
      <x:c r="L4" s="12" t="n"/>
      <x:c r="M4" s="12" t="n"/>
      <x:c r="N4" s="12" t="n">
        <x:v>60</x:v>
      </x:c>
      <x:c r="O4" s="12" t="n">
        <x:v>144</x:v>
      </x:c>
      <x:c r="P4" s="12" t="str">
        <x:f>IF(L4="","",L4*O4)</x:f>
      </x:c>
      <x:c r="Q4" s="12" t="str">
        <x:f>IF(M4="","",M4*O4)</x:f>
      </x:c>
      <x:c r="R4" s="70" t="n">
        <x:f>IF(N4="","",N4)</x:f>
        <x:v>60</x:v>
      </x:c>
      <x:c r="S4" s="70" t="n">
        <x:f>IF(N4="","",N4)</x:f>
        <x:v>60</x:v>
      </x:c>
      <x:c r="T4" s="12" t="inlineStr">
        <x:is>
          <x:t xml:space="preserve">published dollar cap / direct budget</x:t>
        </x:is>
      </x:c>
      <x:c r="U4" s="12" t="inlineStr">
        <x:is>
          <x:t xml:space="preserve">high</x:t>
        </x:is>
      </x:c>
      <x:c r="V4" s="71" t="n">
        <x:f>IF(OR(S4="",D4=0),"",S4/D4)</x:f>
        <x:v>6</x:v>
      </x:c>
      <x:c r="W4" s="12" t="n">
        <x:f>IF(OR(S4="",J4="",J4=0),"",S4/J4)</x:f>
        <x:v>222.2222222222222</x:v>
      </x:c>
      <x:c r="X4" s="12" t="n">
        <x:f>IF(OR(H4="",V4=""),"",H4*V4)</x:f>
        <x:v>234</x:v>
      </x:c>
      <x:c r="Y4" s="12" t="n">
        <x:f>IF(OR(I4="",V4=""),"",I4*V4)</x:f>
        <x:v>1302</x:v>
      </x:c>
      <x:c r="Z4" s="12" t="n">
        <x:f>IF(OR(X4="",Y4=""),"",SQRT((X4/_xlfn.MAXIFS($X:$X,$A:$A,A4))*(Y4/_xlfn.MAXIFS($Y:$Y,$A:$A,A4))))</x:f>
        <x:v>0.9013878188659973</x:v>
      </x:c>
      <x:c r="AA4" s="12" t="n">
        <x:f>IF(Z4="","",(X4/_xlfn.MAXIFS($X:$X,$A:$A,A4))^0.7*(Y4/_xlfn.MAXIFS($Y:$Y,$A:$A,A4))^0.3)</x:f>
        <x:v>0.8647217022284341</x:v>
      </x:c>
      <x:c r="AB4" s="12" t="n">
        <x:f>IF(Z4="","",(X4/_xlfn.MAXIFS($X:$X,$A:$A,A4))^0.3*(Y4/_xlfn.MAXIFS($Y:$Y,$A:$A,A4))^0.7)</x:f>
        <x:v>0.9396086601112751</x:v>
      </x:c>
      <x:c r="AC4" s="12" t="inlineStr">
        <x:is>
          <x:t xml:space="preserve">https://opencode.ai/docs/go</x:t>
        </x:is>
      </x:c>
      <x:c r="AD4" t="str">
        <x:f>IF(OR(P4="",J4=""),"",P4*J4)</x:f>
      </x:c>
      <x:c r="AE4" t="str">
        <x:f>IF(OR(Q4="",J4=""),"",Q4*J4)</x:f>
      </x:c>
      <x:c r="AF4" t="n">
        <x:v>101</x:v>
      </x:c>
      <x:c r="AG4" t="n">
        <x:f>IF(OR(H4="",I4=""),"",H4*I4)</x:f>
        <x:v>8463</x:v>
      </x:c>
      <x:c r="AH4" t="n">
        <x:f>IF(OR(H4="",J4="",J4=0),"",H4/J4)</x:f>
        <x:v>144.44444444444443</x:v>
      </x:c>
    </x:row>
    <x:row r="5">
      <x:c r="A5" s="12" t="inlineStr">
        <x:is>
          <x:t xml:space="preserve">opencode-go-plus</x:t>
        </x:is>
      </x:c>
      <x:c r="B5" s="12" t="inlineStr">
        <x:is>
          <x:t xml:space="preserve">OpenCode</x:t>
        </x:is>
      </x:c>
      <x:c r="C5" s="12" t="inlineStr">
        <x:is>
          <x:t xml:space="preserve">Go Plus</x:t>
        </x:is>
      </x:c>
      <x:c r="D5" s="70" t="n">
        <x:v>40</x:v>
      </x:c>
      <x:c r="E5" s="12" t="inlineStr">
        <x:is>
          <x:t xml:space="preserve">DeepSeek V4.1 Flash</x:t>
        </x:is>
      </x:c>
      <x:c r="F5" s="12" t="inlineStr">
        <x:is>
          <x:t xml:space="preserve">max</x:t>
        </x:is>
      </x:c>
      <x:c r="G5" s="12" t="inlineStr">
        <x:is>
          <x:t xml:space="preserve">deepseek|deepseek-v4.1-flash|max|reasoning|fallback-na</x:t>
        </x:is>
      </x:c>
      <x:c r="H5" s="12" t="n">
        <x:f>IF(AF5="","",INDEX(Rankings!$I:$I,AF5))</x:f>
        <x:v>39</x:v>
      </x:c>
      <x:c r="I5" s="12" t="n">
        <x:f>IF(AF5="","",INDEX(Rankings!$L:$L,AF5))</x:f>
        <x:v>217</x:v>
      </x:c>
      <x:c r="J5" s="12" t="n">
        <x:f>IF(AF5="","",INDEX(Rankings!$J:$J,AF5))</x:f>
        <x:v>0.27</x:v>
      </x:c>
      <x:c r="K5" s="12" t="e">
        <x:f>IF(AF5="","",INDEX(Rankings!$K:$K,AF5))</x:f>
        <x:v>#REF!</x:v>
      </x:c>
      <x:c r="L5" s="12" t="n"/>
      <x:c r="M5" s="12" t="n"/>
      <x:c r="N5" s="12" t="n">
        <x:v>120</x:v>
      </x:c>
      <x:c r="O5" s="12" t="n">
        <x:v>144</x:v>
      </x:c>
      <x:c r="P5" s="12" t="str">
        <x:f>IF(L5="","",L5*O5)</x:f>
      </x:c>
      <x:c r="Q5" s="12" t="str">
        <x:f>IF(M5="","",M5*O5)</x:f>
      </x:c>
      <x:c r="R5" s="70" t="n">
        <x:f>IF(N5="","",N5)</x:f>
        <x:v>120</x:v>
      </x:c>
      <x:c r="S5" s="70" t="n">
        <x:f>IF(N5="","",N5)</x:f>
        <x:v>120</x:v>
      </x:c>
      <x:c r="T5" s="12" t="inlineStr">
        <x:is>
          <x:t xml:space="preserve">published dollar cap / direct budget</x:t>
        </x:is>
      </x:c>
      <x:c r="U5" s="12" t="inlineStr">
        <x:is>
          <x:t xml:space="preserve">high</x:t>
        </x:is>
      </x:c>
      <x:c r="V5" s="71" t="n">
        <x:f>IF(OR(S5="",D5=0),"",S5/D5)</x:f>
        <x:v>3</x:v>
      </x:c>
      <x:c r="W5" s="12" t="n">
        <x:f>IF(OR(S5="",J5="",J5=0),"",S5/J5)</x:f>
        <x:v>444.4444444444444</x:v>
      </x:c>
      <x:c r="X5" s="12" t="n">
        <x:f>IF(OR(H5="",V5=""),"",H5*V5)</x:f>
        <x:v>117</x:v>
      </x:c>
      <x:c r="Y5" s="12" t="n">
        <x:f>IF(OR(I5="",V5=""),"",I5*V5)</x:f>
        <x:v>651</x:v>
      </x:c>
      <x:c r="Z5" s="12" t="n">
        <x:f>IF(OR(X5="",Y5=""),"",SQRT((X5/_xlfn.MAXIFS($X:$X,$A:$A,A5))*(Y5/_xlfn.MAXIFS($Y:$Y,$A:$A,A5))))</x:f>
        <x:v>0.7174169644593007</x:v>
      </x:c>
      <x:c r="AA5" s="12" t="n">
        <x:f>IF(Z5="","",(X5/_xlfn.MAXIFS($X:$X,$A:$A,A5))^0.7*(Y5/_xlfn.MAXIFS($Y:$Y,$A:$A,A5))^0.3)</x:f>
        <x:v>0.6763205882942772</x:v>
      </x:c>
      <x:c r="AB5" s="12" t="n">
        <x:f>IF(Z5="","",(X5/_xlfn.MAXIFS($X:$X,$A:$A,A5))^0.3*(Y5/_xlfn.MAXIFS($Y:$Y,$A:$A,A5))^0.7)</x:f>
        <x:v>0.7610105470721666</x:v>
      </x:c>
      <x:c r="AC5" s="12" t="inlineStr">
        <x:is>
          <x:t xml:space="preserve">https://opencode.ai/docs/go</x:t>
        </x:is>
      </x:c>
      <x:c r="AD5" t="str">
        <x:f>IF(OR(P5="",J5=""),"",P5*J5)</x:f>
      </x:c>
      <x:c r="AE5" t="str">
        <x:f>IF(OR(Q5="",J5=""),"",Q5*J5)</x:f>
      </x:c>
      <x:c r="AF5" t="n">
        <x:v>101</x:v>
      </x:c>
      <x:c r="AG5" t="n">
        <x:f>IF(OR(H5="",I5=""),"",H5*I5)</x:f>
        <x:v>8463</x:v>
      </x:c>
      <x:c r="AH5" t="n">
        <x:f>IF(OR(H5="",J5="",J5=0),"",H5/J5)</x:f>
        <x:v>144.44444444444443</x:v>
      </x:c>
    </x:row>
    <x:row r="6">
      <x:c r="A6" s="12" t="inlineStr">
        <x:is>
          <x:t xml:space="preserve">opencode-go</x:t>
        </x:is>
      </x:c>
      <x:c r="B6" s="12" t="inlineStr">
        <x:is>
          <x:t xml:space="preserve">OpenCode</x:t>
        </x:is>
      </x:c>
      <x:c r="C6" s="12" t="inlineStr">
        <x:is>
          <x:t xml:space="preserve">Go</x:t>
        </x:is>
      </x:c>
      <x:c r="D6" s="70" t="n">
        <x:v>10</x:v>
      </x:c>
      <x:c r="E6" s="12" t="inlineStr">
        <x:is>
          <x:t xml:space="preserve">GLM-5.3 Flash</x:t>
        </x:is>
      </x:c>
      <x:c r="F6" s="12" t="inlineStr">
        <x:is>
          <x:t xml:space="preserve">reasoning</x:t>
        </x:is>
      </x:c>
      <x:c r="G6" s="12" t="inlineStr">
        <x:is>
          <x:t xml:space="preserve">z-ai|glm-5.3-flash|reasoning|reasoning|fallback-na</x:t>
        </x:is>
      </x:c>
      <x:c r="H6" s="12" t="n">
        <x:f>IF(AF6="","",INDEX(Rankings!$I:$I,AF6))</x:f>
        <x:v>42</x:v>
      </x:c>
      <x:c r="I6" s="12" t="n">
        <x:f>IF(AF6="","",INDEX(Rankings!$L:$L,AF6))</x:f>
        <x:v>61</x:v>
      </x:c>
      <x:c r="J6" s="12" t="n">
        <x:f>IF(AF6="","",INDEX(Rankings!$J:$J,AF6))</x:f>
        <x:v>0.25</x:v>
      </x:c>
      <x:c r="K6" s="12" t="e">
        <x:f>IF(AF6="","",INDEX(Rankings!$K:$K,AF6))</x:f>
        <x:v>#REF!</x:v>
      </x:c>
      <x:c r="L6" s="12" t="n"/>
      <x:c r="M6" s="12" t="n"/>
      <x:c r="N6" s="12" t="n">
        <x:v>60</x:v>
      </x:c>
      <x:c r="O6" s="12" t="n">
        <x:v>144</x:v>
      </x:c>
      <x:c r="P6" s="12" t="str">
        <x:f>IF(L6="","",L6*O6)</x:f>
      </x:c>
      <x:c r="Q6" s="12" t="str">
        <x:f>IF(M6="","",M6*O6)</x:f>
      </x:c>
      <x:c r="R6" s="70" t="n">
        <x:f>IF(N6="","",N6)</x:f>
        <x:v>60</x:v>
      </x:c>
      <x:c r="S6" s="70" t="n">
        <x:f>IF(N6="","",N6)</x:f>
        <x:v>60</x:v>
      </x:c>
      <x:c r="T6" s="12" t="inlineStr">
        <x:is>
          <x:t xml:space="preserve">published dollar cap / direct budget</x:t>
        </x:is>
      </x:c>
      <x:c r="U6" s="12" t="inlineStr">
        <x:is>
          <x:t xml:space="preserve">high</x:t>
        </x:is>
      </x:c>
      <x:c r="V6" s="71" t="n">
        <x:f>IF(OR(S6="",D6=0),"",S6/D6)</x:f>
        <x:v>6</x:v>
      </x:c>
      <x:c r="W6" s="12" t="n">
        <x:f>IF(OR(S6="",J6="",J6=0),"",S6/J6)</x:f>
        <x:v>240</x:v>
      </x:c>
      <x:c r="X6" s="12" t="n">
        <x:f>IF(OR(H6="",V6=""),"",H6*V6)</x:f>
        <x:v>252</x:v>
      </x:c>
      <x:c r="Y6" s="12" t="n">
        <x:f>IF(OR(I6="",V6=""),"",I6*V6)</x:f>
        <x:v>366</x:v>
      </x:c>
      <x:c r="Z6" s="12" t="n">
        <x:f>IF(OR(X6="",Y6=""),"",SQRT((X6/_xlfn.MAXIFS($X:$X,$A:$A,A6))*(Y6/_xlfn.MAXIFS($Y:$Y,$A:$A,A6))))</x:f>
        <x:v>0.49595135037167093</x:v>
      </x:c>
      <x:c r="AA6" s="12" t="n">
        <x:f>IF(Z6="","",(X6/_xlfn.MAXIFS($X:$X,$A:$A,A6))^0.7*(Y6/_xlfn.MAXIFS($Y:$Y,$A:$A,A6))^0.3)</x:f>
        <x:v>0.622395820268564</x:v>
      </x:c>
      <x:c r="AB6" s="12" t="n">
        <x:f>IF(Z6="","",(X6/_xlfn.MAXIFS($X:$X,$A:$A,A6))^0.3*(Y6/_xlfn.MAXIFS($Y:$Y,$A:$A,A6))^0.7)</x:f>
        <x:v>0.39519504136346667</x:v>
      </x:c>
      <x:c r="AC6" s="12" t="inlineStr">
        <x:is>
          <x:t xml:space="preserve">https://opencode.ai/docs/go</x:t>
        </x:is>
      </x:c>
      <x:c r="AD6" t="str">
        <x:f>IF(OR(P6="",J6=""),"",P6*J6)</x:f>
      </x:c>
      <x:c r="AE6" t="str">
        <x:f>IF(OR(Q6="",J6=""),"",Q6*J6)</x:f>
      </x:c>
      <x:c r="AF6" t="n">
        <x:v>104</x:v>
      </x:c>
      <x:c r="AG6" t="n">
        <x:f>IF(OR(H6="",I6=""),"",H6*I6)</x:f>
        <x:v>2562</x:v>
      </x:c>
      <x:c r="AH6" t="n">
        <x:f>IF(OR(H6="",J6="",J6=0),"",H6/J6)</x:f>
        <x:v>168</x:v>
      </x:c>
    </x:row>
    <x:row r="7">
      <x:c r="A7" s="12" t="inlineStr">
        <x:is>
          <x:t xml:space="preserve">opencode-go-plus</x:t>
        </x:is>
      </x:c>
      <x:c r="B7" s="12" t="inlineStr">
        <x:is>
          <x:t xml:space="preserve">OpenCode</x:t>
        </x:is>
      </x:c>
      <x:c r="C7" s="12" t="inlineStr">
        <x:is>
          <x:t xml:space="preserve">Go Plus</x:t>
        </x:is>
      </x:c>
      <x:c r="D7" s="70" t="n">
        <x:v>40</x:v>
      </x:c>
      <x:c r="E7" s="12" t="inlineStr">
        <x:is>
          <x:t xml:space="preserve">GLM-5.3 Flash</x:t>
        </x:is>
      </x:c>
      <x:c r="F7" s="12" t="inlineStr">
        <x:is>
          <x:t xml:space="preserve">reasoning</x:t>
        </x:is>
      </x:c>
      <x:c r="G7" s="12" t="inlineStr">
        <x:is>
          <x:t xml:space="preserve">z-ai|glm-5.3-flash|reasoning|reasoning|fallback-na</x:t>
        </x:is>
      </x:c>
      <x:c r="H7" s="12" t="n">
        <x:f>IF(AF7="","",INDEX(Rankings!$I:$I,AF7))</x:f>
        <x:v>42</x:v>
      </x:c>
      <x:c r="I7" s="12" t="n">
        <x:f>IF(AF7="","",INDEX(Rankings!$L:$L,AF7))</x:f>
        <x:v>61</x:v>
      </x:c>
      <x:c r="J7" s="12" t="n">
        <x:f>IF(AF7="","",INDEX(Rankings!$J:$J,AF7))</x:f>
        <x:v>0.25</x:v>
      </x:c>
      <x:c r="K7" s="12" t="e">
        <x:f>IF(AF7="","",INDEX(Rankings!$K:$K,AF7))</x:f>
        <x:v>#REF!</x:v>
      </x:c>
      <x:c r="L7" s="12" t="n"/>
      <x:c r="M7" s="12" t="n"/>
      <x:c r="N7" s="12" t="n">
        <x:v>180</x:v>
      </x:c>
      <x:c r="O7" s="12" t="n">
        <x:v>144</x:v>
      </x:c>
      <x:c r="P7" s="12" t="str">
        <x:f>IF(L7="","",L7*O7)</x:f>
      </x:c>
      <x:c r="Q7" s="12" t="str">
        <x:f>IF(M7="","",M7*O7)</x:f>
      </x:c>
      <x:c r="R7" s="70" t="n">
        <x:f>IF(N7="","",N7)</x:f>
        <x:v>180</x:v>
      </x:c>
      <x:c r="S7" s="70" t="n">
        <x:f>IF(N7="","",N7)</x:f>
        <x:v>180</x:v>
      </x:c>
      <x:c r="T7" s="12" t="inlineStr">
        <x:is>
          <x:t xml:space="preserve">published dollar cap / direct budget</x:t>
        </x:is>
      </x:c>
      <x:c r="U7" s="12" t="inlineStr">
        <x:is>
          <x:t xml:space="preserve">high</x:t>
        </x:is>
      </x:c>
      <x:c r="V7" s="71" t="n">
        <x:f>IF(OR(S7="",D7=0),"",S7/D7)</x:f>
        <x:v>4.5</x:v>
      </x:c>
      <x:c r="W7" s="12" t="n">
        <x:f>IF(OR(S7="",J7="",J7=0),"",S7/J7)</x:f>
        <x:v>720</x:v>
      </x:c>
      <x:c r="X7" s="12" t="n">
        <x:f>IF(OR(H7="",V7=""),"",H7*V7)</x:f>
        <x:v>189</x:v>
      </x:c>
      <x:c r="Y7" s="12" t="n">
        <x:f>IF(OR(I7="",V7=""),"",I7*V7)</x:f>
        <x:v>274.5</x:v>
      </x:c>
      <x:c r="Z7" s="12" t="n">
        <x:f>IF(OR(X7="",Y7=""),"",SQRT((X7/_xlfn.MAXIFS($X:$X,$A:$A,A7))*(Y7/_xlfn.MAXIFS($Y:$Y,$A:$A,A7))))</x:f>
        <x:v>0.59209349991676</x:v>
      </x:c>
      <x:c r="AA7" s="12" t="n">
        <x:f>IF(Z7="","",(X7/_xlfn.MAXIFS($X:$X,$A:$A,A7))^0.7*(Y7/_xlfn.MAXIFS($Y:$Y,$A:$A,A7))^0.3)</x:f>
        <x:v>0.730187133440421</x:v>
      </x:c>
      <x:c r="AB7" s="12" t="n">
        <x:f>IF(Z7="","",(X7/_xlfn.MAXIFS($X:$X,$A:$A,A7))^0.3*(Y7/_xlfn.MAXIFS($Y:$Y,$A:$A,A7))^0.7)</x:f>
        <x:v>0.4801162559409616</x:v>
      </x:c>
      <x:c r="AC7" s="12" t="inlineStr">
        <x:is>
          <x:t xml:space="preserve">https://opencode.ai/docs/go</x:t>
        </x:is>
      </x:c>
      <x:c r="AD7" t="str">
        <x:f>IF(OR(P7="",J7=""),"",P7*J7)</x:f>
      </x:c>
      <x:c r="AE7" t="str">
        <x:f>IF(OR(Q7="",J7=""),"",Q7*J7)</x:f>
      </x:c>
      <x:c r="AF7" t="n">
        <x:v>104</x:v>
      </x:c>
      <x:c r="AG7" t="n">
        <x:f>IF(OR(H7="",I7=""),"",H7*I7)</x:f>
        <x:v>2562</x:v>
      </x:c>
      <x:c r="AH7" t="n">
        <x:f>IF(OR(H7="",J7="",J7=0),"",H7/J7)</x:f>
        <x:v>168</x:v>
      </x:c>
    </x:row>
    <x:row r="8">
      <x:c r="A8" s="12" t="inlineStr">
        <x:is>
          <x:t xml:space="preserve">opencode-go</x:t>
        </x:is>
      </x:c>
      <x:c r="B8" s="12" t="inlineStr">
        <x:is>
          <x:t xml:space="preserve">OpenCode</x:t>
        </x:is>
      </x:c>
      <x:c r="C8" s="12" t="inlineStr">
        <x:is>
          <x:t xml:space="preserve">Go</x:t>
        </x:is>
      </x:c>
      <x:c r="D8" s="70" t="n">
        <x:v>10</x:v>
      </x:c>
      <x:c r="E8" s="12" t="inlineStr">
        <x:is>
          <x:t xml:space="preserve">MiMo-V2.6-Flash</x:t>
        </x:is>
      </x:c>
      <x:c r="F8" s="12" t="inlineStr">
        <x:is>
          <x:t xml:space="preserve">reasoning</x:t>
        </x:is>
      </x:c>
      <x:c r="G8" s="12" t="inlineStr">
        <x:is>
          <x:t xml:space="preserve">xiaomi|mimo-v2.6-flash|reasoning|reasoning|fallback-na</x:t>
        </x:is>
      </x:c>
      <x:c r="H8" s="12" t="n">
        <x:f>IF(AF8="","",INDEX(Rankings!$I:$I,AF8))</x:f>
        <x:v>38</x:v>
      </x:c>
      <x:c r="I8" s="12" t="n">
        <x:f>IF(AF8="","",INDEX(Rankings!$L:$L,AF8))</x:f>
        <x:v>49</x:v>
      </x:c>
      <x:c r="J8" s="12" t="n">
        <x:f>IF(AF8="","",INDEX(Rankings!$J:$J,AF8))</x:f>
        <x:v>0.06</x:v>
      </x:c>
      <x:c r="K8" s="12" t="e">
        <x:f>IF(AF8="","",INDEX(Rankings!$K:$K,AF8))</x:f>
        <x:v>#REF!</x:v>
      </x:c>
      <x:c r="L8" s="12" t="n"/>
      <x:c r="M8" s="12" t="n"/>
      <x:c r="N8" s="12" t="n">
        <x:v>60</x:v>
      </x:c>
      <x:c r="O8" s="12" t="n">
        <x:v>144</x:v>
      </x:c>
      <x:c r="P8" s="12" t="str">
        <x:f>IF(L8="","",L8*O8)</x:f>
      </x:c>
      <x:c r="Q8" s="12" t="str">
        <x:f>IF(M8="","",M8*O8)</x:f>
      </x:c>
      <x:c r="R8" s="70" t="n">
        <x:f>IF(N8="","",N8)</x:f>
        <x:v>60</x:v>
      </x:c>
      <x:c r="S8" s="70" t="n">
        <x:f>IF(N8="","",N8)</x:f>
        <x:v>60</x:v>
      </x:c>
      <x:c r="T8" s="12" t="inlineStr">
        <x:is>
          <x:t xml:space="preserve">published dollar cap / direct budget</x:t>
        </x:is>
      </x:c>
      <x:c r="U8" s="12" t="inlineStr">
        <x:is>
          <x:t xml:space="preserve">high</x:t>
        </x:is>
      </x:c>
      <x:c r="V8" s="71" t="n">
        <x:f>IF(OR(S8="",D8=0),"",S8/D8)</x:f>
        <x:v>6</x:v>
      </x:c>
      <x:c r="W8" s="12" t="n">
        <x:f>IF(OR(S8="",J8="",J8=0),"",S8/J8)</x:f>
        <x:v>1000</x:v>
      </x:c>
      <x:c r="X8" s="12" t="n">
        <x:f>IF(OR(H8="",V8=""),"",H8*V8)</x:f>
        <x:v>228</x:v>
      </x:c>
      <x:c r="Y8" s="12" t="n">
        <x:f>IF(OR(I8="",V8=""),"",I8*V8)</x:f>
        <x:v>294</x:v>
      </x:c>
      <x:c r="Z8" s="12" t="n">
        <x:f>IF(OR(X8="",Y8=""),"",SQRT((X8/_xlfn.MAXIFS($X:$X,$A:$A,A8))*(Y8/_xlfn.MAXIFS($Y:$Y,$A:$A,A8))))</x:f>
        <x:v>0.4228042583279112</x:v>
      </x:c>
      <x:c r="AA8" s="12" t="n">
        <x:f>IF(Z8="","",(X8/_xlfn.MAXIFS($X:$X,$A:$A,A8))^0.7*(Y8/_xlfn.MAXIFS($Y:$Y,$A:$A,A8))^0.3)</x:f>
        <x:v>0.543376128709056</x:v>
      </x:c>
      <x:c r="AB8" s="12" t="n">
        <x:f>IF(Z8="","",(X8/_xlfn.MAXIFS($X:$X,$A:$A,A8))^0.3*(Y8/_xlfn.MAXIFS($Y:$Y,$A:$A,A8))^0.7)</x:f>
        <x:v>0.3289865553809261</x:v>
      </x:c>
      <x:c r="AC8" s="12" t="inlineStr">
        <x:is>
          <x:t xml:space="preserve">https://opencode.ai/docs/go</x:t>
        </x:is>
      </x:c>
      <x:c r="AD8" t="str">
        <x:f>IF(OR(P8="",J8=""),"",P8*J8)</x:f>
      </x:c>
      <x:c r="AE8" t="str">
        <x:f>IF(OR(Q8="",J8=""),"",Q8*J8)</x:f>
      </x:c>
      <x:c r="AF8" t="n">
        <x:v>108</x:v>
      </x:c>
      <x:c r="AG8" t="n">
        <x:f>IF(OR(H8="",I8=""),"",H8*I8)</x:f>
        <x:v>1862</x:v>
      </x:c>
      <x:c r="AH8" t="n">
        <x:f>IF(OR(H8="",J8="",J8=0),"",H8/J8)</x:f>
        <x:v>633.3333333333334</x:v>
      </x:c>
    </x:row>
    <x:row r="9">
      <x:c r="A9" s="12" t="inlineStr">
        <x:is>
          <x:t xml:space="preserve">opencode-go-plus</x:t>
        </x:is>
      </x:c>
      <x:c r="B9" s="12" t="inlineStr">
        <x:is>
          <x:t xml:space="preserve">OpenCode</x:t>
        </x:is>
      </x:c>
      <x:c r="C9" s="12" t="inlineStr">
        <x:is>
          <x:t xml:space="preserve">Go Plus</x:t>
        </x:is>
      </x:c>
      <x:c r="D9" s="70" t="n">
        <x:v>40</x:v>
      </x:c>
      <x:c r="E9" s="12" t="inlineStr">
        <x:is>
          <x:t xml:space="preserve">MiMo-V2.6-Flash</x:t>
        </x:is>
      </x:c>
      <x:c r="F9" s="12" t="inlineStr">
        <x:is>
          <x:t xml:space="preserve">reasoning</x:t>
        </x:is>
      </x:c>
      <x:c r="G9" s="12" t="inlineStr">
        <x:is>
          <x:t xml:space="preserve">xiaomi|mimo-v2.6-flash|reasoning|reasoning|fallback-na</x:t>
        </x:is>
      </x:c>
      <x:c r="H9" s="12" t="n">
        <x:f>IF(AF9="","",INDEX(Rankings!$I:$I,AF9))</x:f>
        <x:v>38</x:v>
      </x:c>
      <x:c r="I9" s="12" t="n">
        <x:f>IF(AF9="","",INDEX(Rankings!$L:$L,AF9))</x:f>
        <x:v>49</x:v>
      </x:c>
      <x:c r="J9" s="12" t="n">
        <x:f>IF(AF9="","",INDEX(Rankings!$J:$J,AF9))</x:f>
        <x:v>0.06</x:v>
      </x:c>
      <x:c r="K9" s="12" t="e">
        <x:f>IF(AF9="","",INDEX(Rankings!$K:$K,AF9))</x:f>
        <x:v>#REF!</x:v>
      </x:c>
      <x:c r="L9" s="12" t="n"/>
      <x:c r="M9" s="12" t="n"/>
      <x:c r="N9" s="12" t="n">
        <x:v>120</x:v>
      </x:c>
      <x:c r="O9" s="12" t="n">
        <x:v>144</x:v>
      </x:c>
      <x:c r="P9" s="12" t="str">
        <x:f>IF(L9="","",L9*O9)</x:f>
      </x:c>
      <x:c r="Q9" s="12" t="str">
        <x:f>IF(M9="","",M9*O9)</x:f>
      </x:c>
      <x:c r="R9" s="70" t="n">
        <x:f>IF(N9="","",N9)</x:f>
        <x:v>120</x:v>
      </x:c>
      <x:c r="S9" s="70" t="n">
        <x:f>IF(N9="","",N9)</x:f>
        <x:v>120</x:v>
      </x:c>
      <x:c r="T9" s="12" t="inlineStr">
        <x:is>
          <x:t xml:space="preserve">published dollar cap / direct budget</x:t>
        </x:is>
      </x:c>
      <x:c r="U9" s="12" t="inlineStr">
        <x:is>
          <x:t xml:space="preserve">high</x:t>
        </x:is>
      </x:c>
      <x:c r="V9" s="71" t="n">
        <x:f>IF(OR(S9="",D9=0),"",S9/D9)</x:f>
        <x:v>3</x:v>
      </x:c>
      <x:c r="W9" s="12" t="n">
        <x:f>IF(OR(S9="",J9="",J9=0),"",S9/J9)</x:f>
        <x:v>2000</x:v>
      </x:c>
      <x:c r="X9" s="12" t="n">
        <x:f>IF(OR(H9="",V9=""),"",H9*V9)</x:f>
        <x:v>114</x:v>
      </x:c>
      <x:c r="Y9" s="12" t="n">
        <x:f>IF(OR(I9="",V9=""),"",I9*V9)</x:f>
        <x:v>147</x:v>
      </x:c>
      <x:c r="Z9" s="12" t="n">
        <x:f>IF(OR(X9="",Y9=""),"",SQRT((X9/_xlfn.MAXIFS($X:$X,$A:$A,A9))*(Y9/_xlfn.MAXIFS($Y:$Y,$A:$A,A9))))</x:f>
        <x:v>0.3365110346750419</x:v>
      </x:c>
      <x:c r="AA9" s="12" t="n">
        <x:f>IF(Z9="","",(X9/_xlfn.MAXIFS($X:$X,$A:$A,A9))^0.7*(Y9/_xlfn.MAXIFS($Y:$Y,$A:$A,A9))^0.3)</x:f>
        <x:v>0.42498813443275174</x:v>
      </x:c>
      <x:c r="AB9" s="12" t="n">
        <x:f>IF(Z9="","",(X9/_xlfn.MAXIFS($X:$X,$A:$A,A9))^0.3*(Y9/_xlfn.MAXIFS($Y:$Y,$A:$A,A9))^0.7)</x:f>
        <x:v>0.26645373666540756</x:v>
      </x:c>
      <x:c r="AC9" s="12" t="inlineStr">
        <x:is>
          <x:t xml:space="preserve">https://opencode.ai/docs/go</x:t>
        </x:is>
      </x:c>
      <x:c r="AD9" t="str">
        <x:f>IF(OR(P9="",J9=""),"",P9*J9)</x:f>
      </x:c>
      <x:c r="AE9" t="str">
        <x:f>IF(OR(Q9="",J9=""),"",Q9*J9)</x:f>
      </x:c>
      <x:c r="AF9" t="n">
        <x:v>108</x:v>
      </x:c>
      <x:c r="AG9" t="n">
        <x:f>IF(OR(H9="",I9=""),"",H9*I9)</x:f>
        <x:v>1862</x:v>
      </x:c>
      <x:c r="AH9" t="n">
        <x:f>IF(OR(H9="",J9="",J9=0),"",H9/J9)</x:f>
        <x:v>633.3333333333334</x:v>
      </x:c>
    </x:row>
    <x:row r="10">
      <x:c r="A10" s="12" t="inlineStr">
        <x:is>
          <x:t xml:space="preserve">opencode-go</x:t>
        </x:is>
      </x:c>
      <x:c r="B10" s="12" t="inlineStr">
        <x:is>
          <x:t xml:space="preserve">OpenCode</x:t>
        </x:is>
      </x:c>
      <x:c r="C10" s="12" t="inlineStr">
        <x:is>
          <x:t xml:space="preserve">Go</x:t>
        </x:is>
      </x:c>
      <x:c r="D10" s="70" t="n">
        <x:v>10</x:v>
      </x:c>
      <x:c r="E10" s="12" t="inlineStr">
        <x:is>
          <x:t xml:space="preserve">MiniMax-M3</x:t>
        </x:is>
      </x:c>
      <x:c r="F10" s="12" t="inlineStr">
        <x:is>
          <x:t xml:space="preserve">reasoning</x:t>
        </x:is>
      </x:c>
      <x:c r="G10" s="12" t="inlineStr">
        <x:is>
          <x:t xml:space="preserve">minimax|minimax-m3|reasoning|reasoning|fallback-na</x:t>
        </x:is>
      </x:c>
      <x:c r="H10" s="12" t="n">
        <x:f>IF(AF10="","",INDEX(Rankings!$I:$I,AF10))</x:f>
        <x:v>29</x:v>
      </x:c>
      <x:c r="I10" s="12" t="n">
        <x:f>IF(AF10="","",INDEX(Rankings!$L:$L,AF10))</x:f>
        <x:v>174</x:v>
      </x:c>
      <x:c r="J10" s="12" t="n">
        <x:f>IF(AF10="","",INDEX(Rankings!$J:$J,AF10))</x:f>
        <x:v>0.51</x:v>
      </x:c>
      <x:c r="K10" s="12" t="n">
        <x:f>IF(AF10="","",INDEX(Rankings!$K:$K,AF10))</x:f>
        <x:v>295.4</x:v>
      </x:c>
      <x:c r="L10" s="12" t="n"/>
      <x:c r="M10" s="12" t="n"/>
      <x:c r="N10" s="12" t="n">
        <x:v>60</x:v>
      </x:c>
      <x:c r="O10" s="12" t="n">
        <x:v>144</x:v>
      </x:c>
      <x:c r="P10" s="12" t="str">
        <x:f>IF(L10="","",L10*O10)</x:f>
      </x:c>
      <x:c r="Q10" s="12" t="str">
        <x:f>IF(M10="","",M10*O10)</x:f>
      </x:c>
      <x:c r="R10" s="70" t="n">
        <x:f>IF(N10="","",N10)</x:f>
        <x:v>60</x:v>
      </x:c>
      <x:c r="S10" s="70" t="n">
        <x:f>IF(N10="","",N10)</x:f>
        <x:v>60</x:v>
      </x:c>
      <x:c r="T10" s="12" t="inlineStr">
        <x:is>
          <x:t xml:space="preserve">published dollar cap / direct budget</x:t>
        </x:is>
      </x:c>
      <x:c r="U10" s="12" t="inlineStr">
        <x:is>
          <x:t xml:space="preserve">high</x:t>
        </x:is>
      </x:c>
      <x:c r="V10" s="71" t="n">
        <x:f>IF(OR(S10="",D10=0),"",S10/D10)</x:f>
        <x:v>6</x:v>
      </x:c>
      <x:c r="W10" s="12" t="n">
        <x:f>IF(OR(S10="",J10="",J10=0),"",S10/J10)</x:f>
        <x:v>117.6470588235294</x:v>
      </x:c>
      <x:c r="X10" s="12" t="n">
        <x:f>IF(OR(H10="",V10=""),"",H10*V10)</x:f>
        <x:v>174</x:v>
      </x:c>
      <x:c r="Y10" s="12" t="n">
        <x:f>IF(OR(I10="",V10=""),"",I10*V10)</x:f>
        <x:v>1044</x:v>
      </x:c>
      <x:c r="Z10" s="12" t="n">
        <x:f>IF(OR(X10="",Y10=""),"",SQRT((X10/_xlfn.MAXIFS($X:$X,$A:$A,A10))*(Y10/_xlfn.MAXIFS($Y:$Y,$A:$A,A10))))</x:f>
        <x:v>0.696022273069113</x:v>
      </x:c>
      <x:c r="AA10" s="12" t="n">
        <x:f>IF(Z10="","",(X10/_xlfn.MAXIFS($X:$X,$A:$A,A10))^0.7*(Y10/_xlfn.MAXIFS($Y:$Y,$A:$A,A10))^0.3)</x:f>
        <x:v>0.6577132434043087</x:v>
      </x:c>
      <x:c r="AB10" s="12" t="n">
        <x:f>IF(Z10="","",(X10/_xlfn.MAXIFS($X:$X,$A:$A,A10))^0.3*(Y10/_xlfn.MAXIFS($Y:$Y,$A:$A,A10))^0.7)</x:f>
        <x:v>0.7365626425595572</x:v>
      </x:c>
      <x:c r="AC10" s="12" t="inlineStr">
        <x:is>
          <x:t xml:space="preserve">https://opencode.ai/docs/go</x:t>
        </x:is>
      </x:c>
      <x:c r="AD10" t="str">
        <x:f>IF(OR(P10="",J10=""),"",P10*J10)</x:f>
      </x:c>
      <x:c r="AE10" t="str">
        <x:f>IF(OR(Q10="",J10=""),"",Q10*J10)</x:f>
      </x:c>
      <x:c r="AF10" t="n">
        <x:v>61</x:v>
      </x:c>
      <x:c r="AG10" t="n">
        <x:f>IF(OR(H10="",I10=""),"",H10*I10)</x:f>
        <x:v>5046</x:v>
      </x:c>
      <x:c r="AH10" t="n">
        <x:f>IF(OR(H10="",J10="",J10=0),"",H10/J10)</x:f>
        <x:v>56.86274509803921</x:v>
      </x:c>
    </x:row>
    <x:row r="11">
      <x:c r="A11" s="12" t="inlineStr">
        <x:is>
          <x:t xml:space="preserve">opencode-go-plus</x:t>
        </x:is>
      </x:c>
      <x:c r="B11" s="12" t="inlineStr">
        <x:is>
          <x:t xml:space="preserve">OpenCode</x:t>
        </x:is>
      </x:c>
      <x:c r="C11" s="12" t="inlineStr">
        <x:is>
          <x:t xml:space="preserve">Go Plus</x:t>
        </x:is>
      </x:c>
      <x:c r="D11" s="70" t="n">
        <x:v>40</x:v>
      </x:c>
      <x:c r="E11" s="12" t="inlineStr">
        <x:is>
          <x:t xml:space="preserve">MiniMax-M3</x:t>
        </x:is>
      </x:c>
      <x:c r="F11" s="12" t="inlineStr">
        <x:is>
          <x:t xml:space="preserve">reasoning</x:t>
        </x:is>
      </x:c>
      <x:c r="G11" s="12" t="inlineStr">
        <x:is>
          <x:t xml:space="preserve">minimax|minimax-m3|reasoning|reasoning|fallback-na</x:t>
        </x:is>
      </x:c>
      <x:c r="H11" s="12" t="n">
        <x:f>IF(AF11="","",INDEX(Rankings!$I:$I,AF11))</x:f>
        <x:v>29</x:v>
      </x:c>
      <x:c r="I11" s="12" t="n">
        <x:f>IF(AF11="","",INDEX(Rankings!$L:$L,AF11))</x:f>
        <x:v>174</x:v>
      </x:c>
      <x:c r="J11" s="12" t="n">
        <x:f>IF(AF11="","",INDEX(Rankings!$J:$J,AF11))</x:f>
        <x:v>0.51</x:v>
      </x:c>
      <x:c r="K11" s="12" t="n">
        <x:f>IF(AF11="","",INDEX(Rankings!$K:$K,AF11))</x:f>
        <x:v>295.4</x:v>
      </x:c>
      <x:c r="L11" s="12" t="n"/>
      <x:c r="M11" s="12" t="n"/>
      <x:c r="N11" s="12" t="n">
        <x:v>180</x:v>
      </x:c>
      <x:c r="O11" s="12" t="n">
        <x:v>144</x:v>
      </x:c>
      <x:c r="P11" s="12" t="str">
        <x:f>IF(L11="","",L11*O11)</x:f>
      </x:c>
      <x:c r="Q11" s="12" t="str">
        <x:f>IF(M11="","",M11*O11)</x:f>
      </x:c>
      <x:c r="R11" s="70" t="n">
        <x:f>IF(N11="","",N11)</x:f>
        <x:v>180</x:v>
      </x:c>
      <x:c r="S11" s="70" t="n">
        <x:f>IF(N11="","",N11)</x:f>
        <x:v>180</x:v>
      </x:c>
      <x:c r="T11" s="12" t="inlineStr">
        <x:is>
          <x:t xml:space="preserve">published dollar cap / direct budget</x:t>
        </x:is>
      </x:c>
      <x:c r="U11" s="12" t="inlineStr">
        <x:is>
          <x:t xml:space="preserve">high</x:t>
        </x:is>
      </x:c>
      <x:c r="V11" s="71" t="n">
        <x:f>IF(OR(S11="",D11=0),"",S11/D11)</x:f>
        <x:v>4.5</x:v>
      </x:c>
      <x:c r="W11" s="12" t="n">
        <x:f>IF(OR(S11="",J11="",J11=0),"",S11/J11)</x:f>
        <x:v>352.94117647058823</x:v>
      </x:c>
      <x:c r="X11" s="12" t="n">
        <x:f>IF(OR(H11="",V11=""),"",H11*V11)</x:f>
        <x:v>130.5</x:v>
      </x:c>
      <x:c r="Y11" s="12" t="n">
        <x:f>IF(OR(I11="",V11=""),"",I11*V11)</x:f>
        <x:v>783</x:v>
      </x:c>
      <x:c r="Z11" s="12" t="n">
        <x:f>IF(OR(X11="",Y11=""),"",SQRT((X11/_xlfn.MAXIFS($X:$X,$A:$A,A11))*(Y11/_xlfn.MAXIFS($Y:$Y,$A:$A,A11))))</x:f>
        <x:v>0.8309489698388166</x:v>
      </x:c>
      <x:c r="AA11" s="12" t="n">
        <x:f>IF(Z11="","",(X11/_xlfn.MAXIFS($X:$X,$A:$A,A11))^0.7*(Y11/_xlfn.MAXIFS($Y:$Y,$A:$A,A11))^0.3)</x:f>
        <x:v>0.7716211005722442</x:v>
      </x:c>
      <x:c r="AB11" s="12" t="n">
        <x:f>IF(Z11="","",(X11/_xlfn.MAXIFS($X:$X,$A:$A,A11))^0.3*(Y11/_xlfn.MAXIFS($Y:$Y,$A:$A,A11))^0.7)</x:f>
        <x:v>0.8948383992663295</x:v>
      </x:c>
      <x:c r="AC11" s="12" t="inlineStr">
        <x:is>
          <x:t xml:space="preserve">https://opencode.ai/docs/go</x:t>
        </x:is>
      </x:c>
      <x:c r="AD11" t="str">
        <x:f>IF(OR(P11="",J11=""),"",P11*J11)</x:f>
      </x:c>
      <x:c r="AE11" t="str">
        <x:f>IF(OR(Q11="",J11=""),"",Q11*J11)</x:f>
      </x:c>
      <x:c r="AF11" t="n">
        <x:v>61</x:v>
      </x:c>
      <x:c r="AG11" t="n">
        <x:f>IF(OR(H11="",I11=""),"",H11*I11)</x:f>
        <x:v>5046</x:v>
      </x:c>
      <x:c r="AH11" t="n">
        <x:f>IF(OR(H11="",J11="",J11=0),"",H11/J11)</x:f>
        <x:v>56.86274509803921</x:v>
      </x:c>
    </x:row>
    <x:row r="12">
      <x:c r="A12" s="12" t="inlineStr">
        <x:is>
          <x:t xml:space="preserve">opencode-go</x:t>
        </x:is>
      </x:c>
      <x:c r="B12" s="12" t="inlineStr">
        <x:is>
          <x:t xml:space="preserve">OpenCode</x:t>
        </x:is>
      </x:c>
      <x:c r="C12" s="12" t="inlineStr">
        <x:is>
          <x:t xml:space="preserve">Go</x:t>
        </x:is>
      </x:c>
      <x:c r="D12" s="70" t="n">
        <x:v>10</x:v>
      </x:c>
      <x:c r="E12" s="12" t="inlineStr">
        <x:is>
          <x:t xml:space="preserve">Muse Spark 1.3</x:t>
        </x:is>
      </x:c>
      <x:c r="F12" s="12" t="inlineStr">
        <x:is>
          <x:t xml:space="preserve">xhigh</x:t>
        </x:is>
      </x:c>
      <x:c r="G12" s="12" t="inlineStr">
        <x:is>
          <x:t xml:space="preserve">meta|muse-spark-1.3|xhigh|reasoning|fallback-na</x:t>
        </x:is>
      </x:c>
      <x:c r="H12" s="12" t="n">
        <x:f>IF(AF12="","",INDEX(Rankings!$I:$I,AF12))</x:f>
        <x:v>45</x:v>
      </x:c>
      <x:c r="I12" s="12" t="n">
        <x:f>IF(AF12="","",INDEX(Rankings!$L:$L,AF12))</x:f>
        <x:v>196</x:v>
      </x:c>
      <x:c r="J12" s="12" t="n">
        <x:f>IF(AF12="","",INDEX(Rankings!$J:$J,AF12))</x:f>
        <x:v>1.37</x:v>
      </x:c>
      <x:c r="K12" s="12" t="str">
        <x:f>IF(AF12="","",INDEX(Rankings!$K:$K,AF12))</x:f>
      </x:c>
      <x:c r="L12" s="12" t="n"/>
      <x:c r="M12" s="12" t="n"/>
      <x:c r="N12" s="12" t="n">
        <x:v>60</x:v>
      </x:c>
      <x:c r="O12" s="12" t="n">
        <x:v>144</x:v>
      </x:c>
      <x:c r="P12" s="12" t="str">
        <x:f>IF(L12="","",L12*O12)</x:f>
      </x:c>
      <x:c r="Q12" s="12" t="str">
        <x:f>IF(M12="","",M12*O12)</x:f>
      </x:c>
      <x:c r="R12" s="70" t="n">
        <x:f>IF(N12="","",N12)</x:f>
        <x:v>60</x:v>
      </x:c>
      <x:c r="S12" s="70" t="n">
        <x:f>IF(N12="","",N12)</x:f>
        <x:v>60</x:v>
      </x:c>
      <x:c r="T12" s="12" t="inlineStr">
        <x:is>
          <x:t xml:space="preserve">published dollar cap / direct budget</x:t>
        </x:is>
      </x:c>
      <x:c r="U12" s="12" t="inlineStr">
        <x:is>
          <x:t xml:space="preserve">high</x:t>
        </x:is>
      </x:c>
      <x:c r="V12" s="71" t="n">
        <x:f>IF(OR(S12="",D12=0),"",S12/D12)</x:f>
        <x:v>6</x:v>
      </x:c>
      <x:c r="W12" s="12" t="n">
        <x:f>IF(OR(S12="",J12="",J12=0),"",S12/J12)</x:f>
        <x:v>43.7956204379562</x:v>
      </x:c>
      <x:c r="X12" s="12" t="n">
        <x:f>IF(OR(H12="",V12=""),"",H12*V12)</x:f>
        <x:v>270</x:v>
      </x:c>
      <x:c r="Y12" s="12" t="n">
        <x:f>IF(OR(I12="",V12=""),"",I12*V12)</x:f>
        <x:v>1176</x:v>
      </x:c>
      <x:c r="Z12" s="12" t="n">
        <x:f>IF(OR(X12="",Y12=""),"",SQRT((X12/_xlfn.MAXIFS($X:$X,$A:$A,A12))*(Y12/_xlfn.MAXIFS($Y:$Y,$A:$A,A12))))</x:f>
        <x:v>0.9202033435868331</x:v>
      </x:c>
      <x:c r="AA12" s="12" t="n">
        <x:f>IF(Z12="","",(X12/_xlfn.MAXIFS($X:$X,$A:$A,A12))^0.7*(Y12/_xlfn.MAXIFS($Y:$Y,$A:$A,A12))^0.3)</x:f>
        <x:v>0.927083378432614</x:v>
      </x:c>
      <x:c r="AB12" s="12" t="n">
        <x:f>IF(Z12="","",(X12/_xlfn.MAXIFS($X:$X,$A:$A,A12))^0.3*(Y12/_xlfn.MAXIFS($Y:$Y,$A:$A,A12))^0.7)</x:f>
        <x:v>0.9133743665860964</x:v>
      </x:c>
      <x:c r="AC12" s="12" t="inlineStr">
        <x:is>
          <x:t xml:space="preserve">https://opencode.ai/docs/go</x:t>
        </x:is>
      </x:c>
      <x:c r="AD12" t="str">
        <x:f>IF(OR(P12="",J12=""),"",P12*J12)</x:f>
      </x:c>
      <x:c r="AE12" t="str">
        <x:f>IF(OR(Q12="",J12=""),"",Q12*J12)</x:f>
      </x:c>
      <x:c r="AF12" t="n">
        <x:v>62</x:v>
      </x:c>
      <x:c r="AG12" t="n">
        <x:f>IF(OR(H12="",I12=""),"",H12*I12)</x:f>
        <x:v>8820</x:v>
      </x:c>
      <x:c r="AH12" t="n">
        <x:f>IF(OR(H12="",J12="",J12=0),"",H12/J12)</x:f>
        <x:v>32.84671532846715</x:v>
      </x:c>
    </x:row>
    <x:row r="13">
      <x:c r="A13" s="12" t="inlineStr">
        <x:is>
          <x:t xml:space="preserve">opencode-go-plus</x:t>
        </x:is>
      </x:c>
      <x:c r="B13" s="12" t="inlineStr">
        <x:is>
          <x:t xml:space="preserve">OpenCode</x:t>
        </x:is>
      </x:c>
      <x:c r="C13" s="12" t="inlineStr">
        <x:is>
          <x:t xml:space="preserve">Go Plus</x:t>
        </x:is>
      </x:c>
      <x:c r="D13" s="70" t="n">
        <x:v>40</x:v>
      </x:c>
      <x:c r="E13" s="12" t="inlineStr">
        <x:is>
          <x:t xml:space="preserve">Muse Spark 1.3</x:t>
        </x:is>
      </x:c>
      <x:c r="F13" s="12" t="inlineStr">
        <x:is>
          <x:t xml:space="preserve">xhigh</x:t>
        </x:is>
      </x:c>
      <x:c r="G13" s="12" t="inlineStr">
        <x:is>
          <x:t xml:space="preserve">meta|muse-spark-1.3|xhigh|reasoning|fallback-na</x:t>
        </x:is>
      </x:c>
      <x:c r="H13" s="12" t="n">
        <x:f>IF(AF13="","",INDEX(Rankings!$I:$I,AF13))</x:f>
        <x:v>45</x:v>
      </x:c>
      <x:c r="I13" s="12" t="n">
        <x:f>IF(AF13="","",INDEX(Rankings!$L:$L,AF13))</x:f>
        <x:v>196</x:v>
      </x:c>
      <x:c r="J13" s="12" t="n">
        <x:f>IF(AF13="","",INDEX(Rankings!$J:$J,AF13))</x:f>
        <x:v>1.37</x:v>
      </x:c>
      <x:c r="K13" s="12" t="str">
        <x:f>IF(AF13="","",INDEX(Rankings!$K:$K,AF13))</x:f>
      </x:c>
      <x:c r="L13" s="12" t="n"/>
      <x:c r="M13" s="12" t="n"/>
      <x:c r="N13" s="12" t="n">
        <x:v>120</x:v>
      </x:c>
      <x:c r="O13" s="12" t="n">
        <x:v>144</x:v>
      </x:c>
      <x:c r="P13" s="12" t="str">
        <x:f>IF(L13="","",L13*O13)</x:f>
      </x:c>
      <x:c r="Q13" s="12" t="str">
        <x:f>IF(M13="","",M13*O13)</x:f>
      </x:c>
      <x:c r="R13" s="70" t="n">
        <x:f>IF(N13="","",N13)</x:f>
        <x:v>120</x:v>
      </x:c>
      <x:c r="S13" s="70" t="n">
        <x:f>IF(N13="","",N13)</x:f>
        <x:v>120</x:v>
      </x:c>
      <x:c r="T13" s="12" t="inlineStr">
        <x:is>
          <x:t xml:space="preserve">published dollar cap / direct budget</x:t>
        </x:is>
      </x:c>
      <x:c r="U13" s="12" t="inlineStr">
        <x:is>
          <x:t xml:space="preserve">high</x:t>
        </x:is>
      </x:c>
      <x:c r="V13" s="71" t="n">
        <x:f>IF(OR(S13="",D13=0),"",S13/D13)</x:f>
        <x:v>3</x:v>
      </x:c>
      <x:c r="W13" s="12" t="n">
        <x:f>IF(OR(S13="",J13="",J13=0),"",S13/J13)</x:f>
        <x:v>87.5912408759124</x:v>
      </x:c>
      <x:c r="X13" s="12" t="n">
        <x:f>IF(OR(H13="",V13=""),"",H13*V13)</x:f>
        <x:v>135</x:v>
      </x:c>
      <x:c r="Y13" s="12" t="n">
        <x:f>IF(OR(I13="",V13=""),"",I13*V13)</x:f>
        <x:v>588</x:v>
      </x:c>
      <x:c r="Z13" s="12" t="n">
        <x:f>IF(OR(X13="",Y13=""),"",SQRT((X13/_xlfn.MAXIFS($X:$X,$A:$A,A13))*(Y13/_xlfn.MAXIFS($Y:$Y,$A:$A,A13))))</x:f>
        <x:v>0.7323922906700685</x:v>
      </x:c>
      <x:c r="AA13" s="12" t="n">
        <x:f>IF(Z13="","",(X13/_xlfn.MAXIFS($X:$X,$A:$A,A13))^0.7*(Y13/_xlfn.MAXIFS($Y:$Y,$A:$A,A13))^0.3)</x:f>
        <x:v>0.7250952234500008</x:v>
      </x:c>
      <x:c r="AB13" s="12" t="n">
        <x:f>IF(Z13="","",(X13/_xlfn.MAXIFS($X:$X,$A:$A,A13))^0.3*(Y13/_xlfn.MAXIFS($Y:$Y,$A:$A,A13))^0.7)</x:f>
        <x:v>0.7397627926450377</x:v>
      </x:c>
      <x:c r="AC13" s="12" t="inlineStr">
        <x:is>
          <x:t xml:space="preserve">https://opencode.ai/docs/go</x:t>
        </x:is>
      </x:c>
      <x:c r="AD13" t="str">
        <x:f>IF(OR(P13="",J13=""),"",P13*J13)</x:f>
      </x:c>
      <x:c r="AE13" t="str">
        <x:f>IF(OR(Q13="",J13=""),"",Q13*J13)</x:f>
      </x:c>
      <x:c r="AF13" t="n">
        <x:v>62</x:v>
      </x:c>
      <x:c r="AG13" t="n">
        <x:f>IF(OR(H13="",I13=""),"",H13*I13)</x:f>
        <x:v>8820</x:v>
      </x:c>
      <x:c r="AH13" t="n">
        <x:f>IF(OR(H13="",J13="",J13=0),"",H13/J13)</x:f>
        <x:v>32.84671532846715</x:v>
      </x:c>
    </x:row>
    <x:row r="14">
      <x:c r="A14" s="12" t="inlineStr">
        <x:is>
          <x:t xml:space="preserve">opencode-go</x:t>
        </x:is>
      </x:c>
      <x:c r="B14" s="12" t="inlineStr">
        <x:is>
          <x:t xml:space="preserve">OpenCode</x:t>
        </x:is>
      </x:c>
      <x:c r="C14" s="12" t="inlineStr">
        <x:is>
          <x:t xml:space="preserve">Go</x:t>
        </x:is>
      </x:c>
      <x:c r="D14" s="70" t="n">
        <x:v>10</x:v>
      </x:c>
      <x:c r="E14" s="12" t="inlineStr">
        <x:is>
          <x:t xml:space="preserve">Kimi K3</x:t>
        </x:is>
      </x:c>
      <x:c r="F14" s="12" t="inlineStr">
        <x:is>
          <x:t xml:space="preserve">max</x:t>
        </x:is>
      </x:c>
      <x:c r="G14" s="12" t="inlineStr">
        <x:is>
          <x:t xml:space="preserve">kimi|kimi-k3|max|reasoning|fallback-na</x:t>
        </x:is>
      </x:c>
      <x:c r="H14" s="12" t="n">
        <x:f>IF(AF14="","",INDEX(Rankings!$I:$I,AF14))</x:f>
        <x:v>44</x:v>
      </x:c>
      <x:c r="I14" s="12" t="str">
        <x:f>IF(AF14="","",INDEX(Rankings!$L:$L,AF14))</x:f>
      </x:c>
      <x:c r="J14" s="12" t="n">
        <x:f>IF(AF14="","",INDEX(Rankings!$J:$J,AF14))</x:f>
        <x:v>2</x:v>
      </x:c>
      <x:c r="K14" s="12" t="str">
        <x:f>IF(AF14="","",INDEX(Rankings!$K:$K,AF14))</x:f>
      </x:c>
      <x:c r="L14" s="12" t="n"/>
      <x:c r="M14" s="12" t="n"/>
      <x:c r="N14" s="12" t="n">
        <x:v>15</x:v>
      </x:c>
      <x:c r="O14" s="12" t="n">
        <x:v>144</x:v>
      </x:c>
      <x:c r="P14" s="12" t="str">
        <x:f>IF(L14="","",L14*O14)</x:f>
      </x:c>
      <x:c r="Q14" s="12" t="str">
        <x:f>IF(M14="","",M14*O14)</x:f>
      </x:c>
      <x:c r="R14" s="70" t="n">
        <x:f>IF(N14="","",N14)</x:f>
        <x:v>15</x:v>
      </x:c>
      <x:c r="S14" s="70" t="n">
        <x:f>IF(N14="","",N14)</x:f>
        <x:v>15</x:v>
      </x:c>
      <x:c r="T14" s="12" t="inlineStr">
        <x:is>
          <x:t xml:space="preserve">published dollar cap / direct budget</x:t>
        </x:is>
      </x:c>
      <x:c r="U14" s="12" t="inlineStr">
        <x:is>
          <x:t xml:space="preserve">high</x:t>
        </x:is>
      </x:c>
      <x:c r="V14" s="71" t="n">
        <x:f>IF(OR(S14="",D14=0),"",S14/D14)</x:f>
        <x:v>1.5</x:v>
      </x:c>
      <x:c r="W14" s="12" t="n">
        <x:f>IF(OR(S14="",J14="",J14=0),"",S14/J14)</x:f>
        <x:v>7.5</x:v>
      </x:c>
      <x:c r="X14" s="12" t="n">
        <x:f>IF(OR(H14="",V14=""),"",H14*V14)</x:f>
        <x:v>66</x:v>
      </x:c>
      <x:c r="Y14" s="12" t="str">
        <x:f>IF(OR(I14="",V14=""),"",I14*V14)</x:f>
      </x:c>
      <x:c r="Z14" s="12" t="str">
        <x:f>IF(OR(X14="",Y14=""),"",SQRT((X14/_xlfn.MAXIFS($X:$X,$A:$A,A14))*(Y14/_xlfn.MAXIFS($Y:$Y,$A:$A,A14))))</x:f>
      </x:c>
      <x:c r="AA14" s="12" t="str">
        <x:f>IF(Z14="","",(X14/_xlfn.MAXIFS($X:$X,$A:$A,A14))^0.7*(Y14/_xlfn.MAXIFS($Y:$Y,$A:$A,A14))^0.3)</x:f>
      </x:c>
      <x:c r="AB14" s="12" t="str">
        <x:f>IF(Z14="","",(X14/_xlfn.MAXIFS($X:$X,$A:$A,A14))^0.3*(Y14/_xlfn.MAXIFS($Y:$Y,$A:$A,A14))^0.7)</x:f>
      </x:c>
      <x:c r="AC14" s="12" t="inlineStr">
        <x:is>
          <x:t xml:space="preserve">https://opencode.ai/docs/go</x:t>
        </x:is>
      </x:c>
      <x:c r="AD14" t="str">
        <x:f>IF(OR(P14="",J14=""),"",P14*J14)</x:f>
      </x:c>
      <x:c r="AE14" t="str">
        <x:f>IF(OR(Q14="",J14=""),"",Q14*J14)</x:f>
      </x:c>
      <x:c r="AF14" t="n">
        <x:v>74</x:v>
      </x:c>
      <x:c r="AG14" t="str">
        <x:f>IF(OR(H14="",I14=""),"",H14*I14)</x:f>
      </x:c>
      <x:c r="AH14" t="n">
        <x:f>IF(OR(H14="",J14="",J14=0),"",H14/J14)</x:f>
        <x:v>22</x:v>
      </x:c>
    </x:row>
    <x:row r="15">
      <x:c r="A15" s="12" t="inlineStr">
        <x:is>
          <x:t xml:space="preserve">opencode-go-plus</x:t>
        </x:is>
      </x:c>
      <x:c r="B15" s="12" t="inlineStr">
        <x:is>
          <x:t xml:space="preserve">OpenCode</x:t>
        </x:is>
      </x:c>
      <x:c r="C15" s="12" t="inlineStr">
        <x:is>
          <x:t xml:space="preserve">Go Plus</x:t>
        </x:is>
      </x:c>
      <x:c r="D15" s="70" t="n">
        <x:v>40</x:v>
      </x:c>
      <x:c r="E15" s="12" t="inlineStr">
        <x:is>
          <x:t xml:space="preserve">Kimi K3</x:t>
        </x:is>
      </x:c>
      <x:c r="F15" s="12" t="inlineStr">
        <x:is>
          <x:t xml:space="preserve">max</x:t>
        </x:is>
      </x:c>
      <x:c r="G15" s="12" t="inlineStr">
        <x:is>
          <x:t xml:space="preserve">kimi|kimi-k3|max|reasoning|fallback-na</x:t>
        </x:is>
      </x:c>
      <x:c r="H15" s="12" t="n">
        <x:f>IF(AF15="","",INDEX(Rankings!$I:$I,AF15))</x:f>
        <x:v>44</x:v>
      </x:c>
      <x:c r="I15" s="12" t="str">
        <x:f>IF(AF15="","",INDEX(Rankings!$L:$L,AF15))</x:f>
      </x:c>
      <x:c r="J15" s="12" t="n">
        <x:f>IF(AF15="","",INDEX(Rankings!$J:$J,AF15))</x:f>
        <x:v>2</x:v>
      </x:c>
      <x:c r="K15" s="12" t="str">
        <x:f>IF(AF15="","",INDEX(Rankings!$K:$K,AF15))</x:f>
      </x:c>
      <x:c r="L15" s="12" t="n"/>
      <x:c r="M15" s="12" t="n"/>
      <x:c r="N15" s="12" t="n">
        <x:v>60</x:v>
      </x:c>
      <x:c r="O15" s="12" t="n">
        <x:v>144</x:v>
      </x:c>
      <x:c r="P15" s="12" t="str">
        <x:f>IF(L15="","",L15*O15)</x:f>
      </x:c>
      <x:c r="Q15" s="12" t="str">
        <x:f>IF(M15="","",M15*O15)</x:f>
      </x:c>
      <x:c r="R15" s="70" t="n">
        <x:f>IF(N15="","",N15)</x:f>
        <x:v>60</x:v>
      </x:c>
      <x:c r="S15" s="70" t="n">
        <x:f>IF(N15="","",N15)</x:f>
        <x:v>60</x:v>
      </x:c>
      <x:c r="T15" s="12" t="inlineStr">
        <x:is>
          <x:t xml:space="preserve">published dollar cap / direct budget</x:t>
        </x:is>
      </x:c>
      <x:c r="U15" s="12" t="inlineStr">
        <x:is>
          <x:t xml:space="preserve">high</x:t>
        </x:is>
      </x:c>
      <x:c r="V15" s="71" t="n">
        <x:f>IF(OR(S15="",D15=0),"",S15/D15)</x:f>
        <x:v>1.5</x:v>
      </x:c>
      <x:c r="W15" s="12" t="n">
        <x:f>IF(OR(S15="",J15="",J15=0),"",S15/J15)</x:f>
        <x:v>30</x:v>
      </x:c>
      <x:c r="X15" s="12" t="n">
        <x:f>IF(OR(H15="",V15=""),"",H15*V15)</x:f>
        <x:v>66</x:v>
      </x:c>
      <x:c r="Y15" s="12" t="str">
        <x:f>IF(OR(I15="",V15=""),"",I15*V15)</x:f>
      </x:c>
      <x:c r="Z15" s="12" t="str">
        <x:f>IF(OR(X15="",Y15=""),"",SQRT((X15/_xlfn.MAXIFS($X:$X,$A:$A,A15))*(Y15/_xlfn.MAXIFS($Y:$Y,$A:$A,A15))))</x:f>
      </x:c>
      <x:c r="AA15" s="12" t="str">
        <x:f>IF(Z15="","",(X15/_xlfn.MAXIFS($X:$X,$A:$A,A15))^0.7*(Y15/_xlfn.MAXIFS($Y:$Y,$A:$A,A15))^0.3)</x:f>
      </x:c>
      <x:c r="AB15" s="12" t="str">
        <x:f>IF(Z15="","",(X15/_xlfn.MAXIFS($X:$X,$A:$A,A15))^0.3*(Y15/_xlfn.MAXIFS($Y:$Y,$A:$A,A15))^0.7)</x:f>
      </x:c>
      <x:c r="AC15" s="12" t="inlineStr">
        <x:is>
          <x:t xml:space="preserve">https://opencode.ai/docs/go</x:t>
        </x:is>
      </x:c>
      <x:c r="AD15" t="str">
        <x:f>IF(OR(P15="",J15=""),"",P15*J15)</x:f>
      </x:c>
      <x:c r="AE15" t="str">
        <x:f>IF(OR(Q15="",J15=""),"",Q15*J15)</x:f>
      </x:c>
      <x:c r="AF15" t="n">
        <x:v>74</x:v>
      </x:c>
      <x:c r="AG15" t="str">
        <x:f>IF(OR(H15="",I15=""),"",H15*I15)</x:f>
      </x:c>
      <x:c r="AH15" t="n">
        <x:f>IF(OR(H15="",J15="",J15=0),"",H15/J15)</x:f>
        <x:v>22</x:v>
      </x:c>
    </x:row>
    <x:row r="16">
      <x:c r="A16" s="12" t="inlineStr">
        <x:is>
          <x:t xml:space="preserve">chatgpt-plus</x:t>
        </x:is>
      </x:c>
      <x:c r="B16" s="12" t="inlineStr">
        <x:is>
          <x:t xml:space="preserve">OpenAI</x:t>
        </x:is>
      </x:c>
      <x:c r="C16" s="12" t="inlineStr">
        <x:is>
          <x:t xml:space="preserve">ChatGPT Plus</x:t>
        </x:is>
      </x:c>
      <x:c r="D16" s="70" t="n">
        <x:v>20</x:v>
      </x:c>
      <x:c r="E16" s="12" t="inlineStr">
        <x:is>
          <x:t xml:space="preserve">GPT-6 Astra</x:t>
        </x:is>
      </x:c>
      <x:c r="F16" s="12" t="inlineStr">
        <x:is>
          <x:t xml:space="preserve">medium</x:t>
        </x:is>
      </x:c>
      <x:c r="G16" s="12" t="inlineStr">
        <x:is>
          <x:t xml:space="preserve">openai|gpt-6-astra|medium|reasoning|fallback-na</x:t>
        </x:is>
      </x:c>
      <x:c r="H16" s="12" t="n">
        <x:f>IF(AF16="","",INDEX(Rankings!$I:$I,AF16))</x:f>
        <x:v>50</x:v>
      </x:c>
      <x:c r="I16" s="12" t="n">
        <x:f>IF(AF16="","",INDEX(Rankings!$L:$L,AF16))</x:f>
        <x:v>49.7</x:v>
      </x:c>
      <x:c r="J16" s="12" t="n">
        <x:f>IF(AF16="","",INDEX(Rankings!$J:$J,AF16))</x:f>
        <x:v>1.54</x:v>
      </x:c>
      <x:c r="K16" s="12" t="e">
        <x:f>IF(AF16="","",INDEX(Rankings!$K:$K,AF16))</x:f>
        <x:v>#REF!</x:v>
      </x:c>
      <x:c r="L16" s="12" t="n">
        <x:v>5</x:v>
      </x:c>
      <x:c r="M16" s="12" t="n">
        <x:v>45</x:v>
      </x:c>
      <x:c r="N16" s="12" t="n"/>
      <x:c r="O16" s="12" t="n">
        <x:v>144</x:v>
      </x:c>
      <x:c r="P16" s="12" t="n">
        <x:f>IF(L16="","",L16*O16)</x:f>
        <x:v>720</x:v>
      </x:c>
      <x:c r="Q16" s="12" t="n">
        <x:f>IF(M16="","",M16*O16)</x:f>
        <x:v>6480</x:v>
      </x:c>
      <x:c r="R16" s="70" t="str">
        <x:f>IF(N16="","",N16)</x:f>
      </x:c>
      <x:c r="S16" s="70" t="str">
        <x:f>IF(N16="","",N16)</x:f>
      </x:c>
      <x:c r="T16" s="12" t="inlineStr">
        <x:is>
          <x:t xml:space="preserve">not estimated; see raw prompt×AA-cost proxy</x:t>
        </x:is>
      </x:c>
      <x:c r="U16" s="12" t="inlineStr">
        <x:is>
          <x:t xml:space="preserve">medium</x:t>
        </x:is>
      </x:c>
      <x:c r="V16" s="71" t="str">
        <x:f>IF(OR(S16="",D16=0),"",S16/D16)</x:f>
      </x:c>
      <x:c r="W16" s="12" t="str">
        <x:f>IF(OR(S16="",J16="",J16=0),"",S16/J16)</x:f>
      </x:c>
      <x:c r="X16" s="12" t="str">
        <x:f>IF(OR(H16="",V16=""),"",H16*V16)</x:f>
      </x:c>
      <x:c r="Y16" s="12" t="str">
        <x:f>IF(OR(I16="",V16=""),"",I16*V16)</x:f>
      </x:c>
      <x:c r="Z16" s="12" t="str">
        <x:f>IF(OR(X16="",Y16=""),"",SQRT((X16/_xlfn.MAXIFS($X:$X,$A:$A,A16))*(Y16/_xlfn.MAXIFS($Y:$Y,$A:$A,A16))))</x:f>
      </x:c>
      <x:c r="AA16" s="12" t="str">
        <x:f>IF(Z16="","",(X16/_xlfn.MAXIFS($X:$X,$A:$A,A16))^0.7*(Y16/_xlfn.MAXIFS($Y:$Y,$A:$A,A16))^0.3)</x:f>
      </x:c>
      <x:c r="AB16" s="12" t="str">
        <x:f>IF(Z16="","",(X16/_xlfn.MAXIFS($X:$X,$A:$A,A16))^0.3*(Y16/_xlfn.MAXIFS($Y:$Y,$A:$A,A16))^0.7)</x:f>
      </x:c>
      <x:c r="AC16" s="12" t="inlineStr">
        <x:is>
          <x:t xml:space="preserve">https://help.openai.com/en/articles/20001516-managing-usage-with-gpt-6-astra-in-work-and-codex</x:t>
        </x:is>
      </x:c>
      <x:c r="AD16" t="n">
        <x:f>IF(OR(P16="",J16=""),"",P16*J16)</x:f>
        <x:v>1108.8</x:v>
      </x:c>
      <x:c r="AE16" t="n">
        <x:f>IF(OR(Q16="",J16=""),"",Q16*J16)</x:f>
        <x:v>9979.2</x:v>
      </x:c>
      <x:c r="AF16" t="n">
        <x:v>116</x:v>
      </x:c>
      <x:c r="AG16" t="n">
        <x:f>IF(OR(H16="",I16=""),"",H16*I16)</x:f>
        <x:v>2485</x:v>
      </x:c>
      <x:c r="AH16" t="n">
        <x:f>IF(OR(H16="",J16="",J16=0),"",H16/J16)</x:f>
        <x:v>32.467532467532465</x:v>
      </x:c>
    </x:row>
    <x:row r="17">
      <x:c r="A17" s="12" t="inlineStr">
        <x:is>
          <x:t xml:space="preserve">chatgpt-plus</x:t>
        </x:is>
      </x:c>
      <x:c r="B17" s="12" t="inlineStr">
        <x:is>
          <x:t xml:space="preserve">OpenAI</x:t>
        </x:is>
      </x:c>
      <x:c r="C17" s="12" t="inlineStr">
        <x:is>
          <x:t xml:space="preserve">ChatGPT Plus</x:t>
        </x:is>
      </x:c>
      <x:c r="D17" s="70" t="n">
        <x:v>20</x:v>
      </x:c>
      <x:c r="E17" s="12" t="inlineStr">
        <x:is>
          <x:t xml:space="preserve">GPT-5.6 Sol</x:t>
        </x:is>
      </x:c>
      <x:c r="F17" s="12" t="inlineStr">
        <x:is>
          <x:t xml:space="preserve">medium</x:t>
        </x:is>
      </x:c>
      <x:c r="G17" s="12" t="inlineStr">
        <x:is>
          <x:t xml:space="preserve">openai|gpt-5.6-sol|medium|reasoning|fallback-na</x:t>
        </x:is>
      </x:c>
      <x:c r="H17" s="12" t="n">
        <x:f>IF(AF17="","",INDEX(Rankings!$I:$I,AF17))</x:f>
        <x:v>39</x:v>
      </x:c>
      <x:c r="I17" s="12" t="n">
        <x:f>IF(AF17="","",INDEX(Rankings!$L:$L,AF17))</x:f>
        <x:v>82</x:v>
      </x:c>
      <x:c r="J17" s="12" t="n">
        <x:f>IF(AF17="","",INDEX(Rankings!$J:$J,AF17))</x:f>
        <x:v>0.5</x:v>
      </x:c>
      <x:c r="K17" s="12" t="str">
        <x:f>IF(AF17="","",INDEX(Rankings!$K:$K,AF17))</x:f>
      </x:c>
      <x:c r="L17" s="12" t="n">
        <x:v>10</x:v>
      </x:c>
      <x:c r="M17" s="12" t="n">
        <x:v>100</x:v>
      </x:c>
      <x:c r="N17" s="12" t="n"/>
      <x:c r="O17" s="12" t="n">
        <x:v>144</x:v>
      </x:c>
      <x:c r="P17" s="12" t="n">
        <x:f>IF(L17="","",L17*O17)</x:f>
        <x:v>1440</x:v>
      </x:c>
      <x:c r="Q17" s="12" t="n">
        <x:f>IF(M17="","",M17*O17)</x:f>
        <x:v>14400</x:v>
      </x:c>
      <x:c r="R17" s="70" t="str">
        <x:f>IF(N17="","",N17)</x:f>
      </x:c>
      <x:c r="S17" s="70" t="str">
        <x:f>IF(N17="","",N17)</x:f>
      </x:c>
      <x:c r="T17" s="12" t="inlineStr">
        <x:is>
          <x:t xml:space="preserve">not estimated; see raw prompt×AA-cost proxy</x:t>
        </x:is>
      </x:c>
      <x:c r="U17" s="12" t="inlineStr">
        <x:is>
          <x:t xml:space="preserve">medium</x:t>
        </x:is>
      </x:c>
      <x:c r="V17" s="71" t="str">
        <x:f>IF(OR(S17="",D17=0),"",S17/D17)</x:f>
      </x:c>
      <x:c r="W17" s="12" t="str">
        <x:f>IF(OR(S17="",J17="",J17=0),"",S17/J17)</x:f>
      </x:c>
      <x:c r="X17" s="12" t="str">
        <x:f>IF(OR(H17="",V17=""),"",H17*V17)</x:f>
      </x:c>
      <x:c r="Y17" s="12" t="str">
        <x:f>IF(OR(I17="",V17=""),"",I17*V17)</x:f>
      </x:c>
      <x:c r="Z17" s="12" t="str">
        <x:f>IF(OR(X17="",Y17=""),"",SQRT((X17/_xlfn.MAXIFS($X:$X,$A:$A,A17))*(Y17/_xlfn.MAXIFS($Y:$Y,$A:$A,A17))))</x:f>
      </x:c>
      <x:c r="AA17" s="12" t="str">
        <x:f>IF(Z17="","",(X17/_xlfn.MAXIFS($X:$X,$A:$A,A17))^0.7*(Y17/_xlfn.MAXIFS($Y:$Y,$A:$A,A17))^0.3)</x:f>
      </x:c>
      <x:c r="AB17" s="12" t="str">
        <x:f>IF(Z17="","",(X17/_xlfn.MAXIFS($X:$X,$A:$A,A17))^0.3*(Y17/_xlfn.MAXIFS($Y:$Y,$A:$A,A17))^0.7)</x:f>
      </x:c>
      <x:c r="AC17" s="12" t="inlineStr">
        <x:is>
          <x:t xml:space="preserve">https://help.openai.com/en/articles/20001516-managing-usage-with-gpt-6-astra-in-work-and-codex</x:t>
        </x:is>
      </x:c>
      <x:c r="AD17" t="n">
        <x:f>IF(OR(P17="",J17=""),"",P17*J17)</x:f>
        <x:v>720</x:v>
      </x:c>
      <x:c r="AE17" t="n">
        <x:f>IF(OR(Q17="",J17=""),"",Q17*J17)</x:f>
        <x:v>7200</x:v>
      </x:c>
      <x:c r="AF17" t="n">
        <x:v>29</x:v>
      </x:c>
      <x:c r="AG17" t="n">
        <x:f>IF(OR(H17="",I17=""),"",H17*I17)</x:f>
        <x:v>3198</x:v>
      </x:c>
      <x:c r="AH17" t="n">
        <x:f>IF(OR(H17="",J17="",J17=0),"",H17/J17)</x:f>
        <x:v>78</x:v>
      </x:c>
    </x:row>
    <x:row r="18">
      <x:c r="A18" s="12" t="inlineStr">
        <x:is>
          <x:t xml:space="preserve">chatgpt-plus</x:t>
        </x:is>
      </x:c>
      <x:c r="B18" s="12" t="inlineStr">
        <x:is>
          <x:t xml:space="preserve">OpenAI</x:t>
        </x:is>
      </x:c>
      <x:c r="C18" s="12" t="inlineStr">
        <x:is>
          <x:t xml:space="preserve">ChatGPT Plus</x:t>
        </x:is>
      </x:c>
      <x:c r="D18" s="70" t="n">
        <x:v>20</x:v>
      </x:c>
      <x:c r="E18" s="12" t="inlineStr">
        <x:is>
          <x:t xml:space="preserve">GPT-5.6 Luna</x:t>
        </x:is>
      </x:c>
      <x:c r="F18" s="12" t="inlineStr">
        <x:is>
          <x:t xml:space="preserve">medium</x:t>
        </x:is>
      </x:c>
      <x:c r="G18" s="12" t="inlineStr">
        <x:is>
          <x:t xml:space="preserve">openai|gpt-5.6-luna|medium|reasoning|fallback-na</x:t>
        </x:is>
      </x:c>
      <x:c r="H18" s="12" t="n">
        <x:f>IF(AF18="","",INDEX(Rankings!$I:$I,AF18))</x:f>
        <x:v>25</x:v>
      </x:c>
      <x:c r="I18" s="12" t="n">
        <x:f>IF(AF18="","",INDEX(Rankings!$L:$L,AF18))</x:f>
        <x:v>120</x:v>
      </x:c>
      <x:c r="J18" s="12" t="n">
        <x:f>IF(AF18="","",INDEX(Rankings!$J:$J,AF18))</x:f>
        <x:v>0.02</x:v>
      </x:c>
      <x:c r="K18" s="12" t="str">
        <x:f>IF(AF18="","",INDEX(Rankings!$K:$K,AF18))</x:f>
      </x:c>
      <x:c r="L18" s="12" t="n">
        <x:v>250</x:v>
      </x:c>
      <x:c r="M18" s="12" t="n">
        <x:v>2000</x:v>
      </x:c>
      <x:c r="N18" s="12" t="n"/>
      <x:c r="O18" s="12" t="n">
        <x:v>144</x:v>
      </x:c>
      <x:c r="P18" s="12" t="n">
        <x:f>IF(L18="","",L18*O18)</x:f>
        <x:v>36000</x:v>
      </x:c>
      <x:c r="Q18" s="12" t="n">
        <x:f>IF(M18="","",M18*O18)</x:f>
        <x:v>288000</x:v>
      </x:c>
      <x:c r="R18" s="70" t="str">
        <x:f>IF(N18="","",N18)</x:f>
      </x:c>
      <x:c r="S18" s="70" t="str">
        <x:f>IF(N18="","",N18)</x:f>
      </x:c>
      <x:c r="T18" s="12" t="inlineStr">
        <x:is>
          <x:t xml:space="preserve">not estimated; see raw prompt×AA-cost proxy</x:t>
        </x:is>
      </x:c>
      <x:c r="U18" s="12" t="inlineStr">
        <x:is>
          <x:t xml:space="preserve">medium</x:t>
        </x:is>
      </x:c>
      <x:c r="V18" s="71" t="str">
        <x:f>IF(OR(S18="",D18=0),"",S18/D18)</x:f>
      </x:c>
      <x:c r="W18" s="12" t="str">
        <x:f>IF(OR(S18="",J18="",J18=0),"",S18/J18)</x:f>
      </x:c>
      <x:c r="X18" s="12" t="str">
        <x:f>IF(OR(H18="",V18=""),"",H18*V18)</x:f>
      </x:c>
      <x:c r="Y18" s="12" t="str">
        <x:f>IF(OR(I18="",V18=""),"",I18*V18)</x:f>
      </x:c>
      <x:c r="Z18" s="12" t="str">
        <x:f>IF(OR(X18="",Y18=""),"",SQRT((X18/_xlfn.MAXIFS($X:$X,$A:$A,A18))*(Y18/_xlfn.MAXIFS($Y:$Y,$A:$A,A18))))</x:f>
      </x:c>
      <x:c r="AA18" s="12" t="str">
        <x:f>IF(Z18="","",(X18/_xlfn.MAXIFS($X:$X,$A:$A,A18))^0.7*(Y18/_xlfn.MAXIFS($Y:$Y,$A:$A,A18))^0.3)</x:f>
      </x:c>
      <x:c r="AB18" s="12" t="str">
        <x:f>IF(Z18="","",(X18/_xlfn.MAXIFS($X:$X,$A:$A,A18))^0.3*(Y18/_xlfn.MAXIFS($Y:$Y,$A:$A,A18))^0.7)</x:f>
      </x:c>
      <x:c r="AC18" s="12" t="inlineStr">
        <x:is>
          <x:t xml:space="preserve">https://help.openai.com/en/articles/20001516-managing-usage-with-gpt-6-astra-in-work-and-codex</x:t>
        </x:is>
      </x:c>
      <x:c r="AD18" t="n">
        <x:f>IF(OR(P18="",J18=""),"",P18*J18)</x:f>
        <x:v>720</x:v>
      </x:c>
      <x:c r="AE18" t="n">
        <x:f>IF(OR(Q18="",J18=""),"",Q18*J18)</x:f>
        <x:v>5760</x:v>
      </x:c>
      <x:c r="AF18" t="n">
        <x:v>23</x:v>
      </x:c>
      <x:c r="AG18" t="n">
        <x:f>IF(OR(H18="",I18=""),"",H18*I18)</x:f>
        <x:v>3000</x:v>
      </x:c>
      <x:c r="AH18" t="n">
        <x:f>IF(OR(H18="",J18="",J18=0),"",H18/J18)</x:f>
        <x:v>1250</x:v>
      </x:c>
    </x:row>
    <x:row r="19">
      <x:c r="A19" s="12" t="inlineStr">
        <x:is>
          <x:t xml:space="preserve">chatgpt-pro-5x</x:t>
        </x:is>
      </x:c>
      <x:c r="B19" s="12" t="inlineStr">
        <x:is>
          <x:t xml:space="preserve">OpenAI</x:t>
        </x:is>
      </x:c>
      <x:c r="C19" s="12" t="inlineStr">
        <x:is>
          <x:t xml:space="preserve">ChatGPT Pro $100</x:t>
        </x:is>
      </x:c>
      <x:c r="D19" s="70" t="n">
        <x:v>100</x:v>
      </x:c>
      <x:c r="E19" s="12" t="inlineStr">
        <x:is>
          <x:t xml:space="preserve">GPT-6 Astra</x:t>
        </x:is>
      </x:c>
      <x:c r="F19" s="12" t="inlineStr">
        <x:is>
          <x:t xml:space="preserve">medium</x:t>
        </x:is>
      </x:c>
      <x:c r="G19" s="12" t="inlineStr">
        <x:is>
          <x:t xml:space="preserve">openai|gpt-6-astra|medium|reasoning|fallback-na</x:t>
        </x:is>
      </x:c>
      <x:c r="H19" s="12" t="n">
        <x:f>IF(AF19="","",INDEX(Rankings!$I:$I,AF19))</x:f>
        <x:v>50</x:v>
      </x:c>
      <x:c r="I19" s="12" t="n">
        <x:f>IF(AF19="","",INDEX(Rankings!$L:$L,AF19))</x:f>
        <x:v>49.7</x:v>
      </x:c>
      <x:c r="J19" s="12" t="n">
        <x:f>IF(AF19="","",INDEX(Rankings!$J:$J,AF19))</x:f>
        <x:v>1.54</x:v>
      </x:c>
      <x:c r="K19" s="12" t="e">
        <x:f>IF(AF19="","",INDEX(Rankings!$K:$K,AF19))</x:f>
        <x:v>#REF!</x:v>
      </x:c>
      <x:c r="L19" s="12" t="n">
        <x:v>25</x:v>
      </x:c>
      <x:c r="M19" s="12" t="n">
        <x:v>225</x:v>
      </x:c>
      <x:c r="N19" s="12" t="n"/>
      <x:c r="O19" s="12" t="n">
        <x:v>144</x:v>
      </x:c>
      <x:c r="P19" s="12" t="n">
        <x:f>IF(L19="","",L19*O19)</x:f>
        <x:v>3600</x:v>
      </x:c>
      <x:c r="Q19" s="12" t="n">
        <x:f>IF(M19="","",M19*O19)</x:f>
        <x:v>32400</x:v>
      </x:c>
      <x:c r="R19" s="70" t="str">
        <x:f>IF(N19="","",N19)</x:f>
      </x:c>
      <x:c r="S19" s="70" t="str">
        <x:f>IF(N19="","",N19)</x:f>
      </x:c>
      <x:c r="T19" s="12" t="inlineStr">
        <x:is>
          <x:t xml:space="preserve">not estimated; see raw prompt×AA-cost proxy</x:t>
        </x:is>
      </x:c>
      <x:c r="U19" s="12" t="inlineStr">
        <x:is>
          <x:t xml:space="preserve">medium</x:t>
        </x:is>
      </x:c>
      <x:c r="V19" s="71" t="str">
        <x:f>IF(OR(S19="",D19=0),"",S19/D19)</x:f>
      </x:c>
      <x:c r="W19" s="12" t="str">
        <x:f>IF(OR(S19="",J19="",J19=0),"",S19/J19)</x:f>
      </x:c>
      <x:c r="X19" s="12" t="str">
        <x:f>IF(OR(H19="",V19=""),"",H19*V19)</x:f>
      </x:c>
      <x:c r="Y19" s="12" t="str">
        <x:f>IF(OR(I19="",V19=""),"",I19*V19)</x:f>
      </x:c>
      <x:c r="Z19" s="12" t="str">
        <x:f>IF(OR(X19="",Y19=""),"",SQRT((X19/_xlfn.MAXIFS($X:$X,$A:$A,A19))*(Y19/_xlfn.MAXIFS($Y:$Y,$A:$A,A19))))</x:f>
      </x:c>
      <x:c r="AA19" s="12" t="str">
        <x:f>IF(Z19="","",(X19/_xlfn.MAXIFS($X:$X,$A:$A,A19))^0.7*(Y19/_xlfn.MAXIFS($Y:$Y,$A:$A,A19))^0.3)</x:f>
      </x:c>
      <x:c r="AB19" s="12" t="str">
        <x:f>IF(Z19="","",(X19/_xlfn.MAXIFS($X:$X,$A:$A,A19))^0.3*(Y19/_xlfn.MAXIFS($Y:$Y,$A:$A,A19))^0.7)</x:f>
      </x:c>
      <x:c r="AC19" s="12" t="inlineStr">
        <x:is>
          <x:t xml:space="preserve">https://help.openai.com/en/articles/20001516-managing-usage-with-gpt-6-astra-in-work-and-codex</x:t>
        </x:is>
      </x:c>
      <x:c r="AD19" t="n">
        <x:f>IF(OR(P19="",J19=""),"",P19*J19)</x:f>
        <x:v>5544</x:v>
      </x:c>
      <x:c r="AE19" t="n">
        <x:f>IF(OR(Q19="",J19=""),"",Q19*J19)</x:f>
        <x:v>49896</x:v>
      </x:c>
      <x:c r="AF19" t="n">
        <x:v>116</x:v>
      </x:c>
      <x:c r="AG19" t="n">
        <x:f>IF(OR(H19="",I19=""),"",H19*I19)</x:f>
        <x:v>2485</x:v>
      </x:c>
      <x:c r="AH19" t="n">
        <x:f>IF(OR(H19="",J19="",J19=0),"",H19/J19)</x:f>
        <x:v>32.467532467532465</x:v>
      </x:c>
    </x:row>
    <x:row r="20">
      <x:c r="A20" s="12" t="inlineStr">
        <x:is>
          <x:t xml:space="preserve">chatgpt-pro-5x</x:t>
        </x:is>
      </x:c>
      <x:c r="B20" s="12" t="inlineStr">
        <x:is>
          <x:t xml:space="preserve">OpenAI</x:t>
        </x:is>
      </x:c>
      <x:c r="C20" s="12" t="inlineStr">
        <x:is>
          <x:t xml:space="preserve">ChatGPT Pro $100</x:t>
        </x:is>
      </x:c>
      <x:c r="D20" s="70" t="n">
        <x:v>100</x:v>
      </x:c>
      <x:c r="E20" s="12" t="inlineStr">
        <x:is>
          <x:t xml:space="preserve">GPT-5.6 Sol</x:t>
        </x:is>
      </x:c>
      <x:c r="F20" s="12" t="inlineStr">
        <x:is>
          <x:t xml:space="preserve">medium</x:t>
        </x:is>
      </x:c>
      <x:c r="G20" s="12" t="inlineStr">
        <x:is>
          <x:t xml:space="preserve">openai|gpt-5.6-sol|medium|reasoning|fallback-na</x:t>
        </x:is>
      </x:c>
      <x:c r="H20" s="12" t="n">
        <x:f>IF(AF20="","",INDEX(Rankings!$I:$I,AF20))</x:f>
        <x:v>39</x:v>
      </x:c>
      <x:c r="I20" s="12" t="n">
        <x:f>IF(AF20="","",INDEX(Rankings!$L:$L,AF20))</x:f>
        <x:v>82</x:v>
      </x:c>
      <x:c r="J20" s="12" t="n">
        <x:f>IF(AF20="","",INDEX(Rankings!$J:$J,AF20))</x:f>
        <x:v>0.5</x:v>
      </x:c>
      <x:c r="K20" s="12" t="str">
        <x:f>IF(AF20="","",INDEX(Rankings!$K:$K,AF20))</x:f>
      </x:c>
      <x:c r="L20" s="12" t="n">
        <x:v>50</x:v>
      </x:c>
      <x:c r="M20" s="12" t="n">
        <x:v>500</x:v>
      </x:c>
      <x:c r="N20" s="12" t="n"/>
      <x:c r="O20" s="12" t="n">
        <x:v>144</x:v>
      </x:c>
      <x:c r="P20" s="12" t="n">
        <x:f>IF(L20="","",L20*O20)</x:f>
        <x:v>7200</x:v>
      </x:c>
      <x:c r="Q20" s="12" t="n">
        <x:f>IF(M20="","",M20*O20)</x:f>
        <x:v>72000</x:v>
      </x:c>
      <x:c r="R20" s="70" t="str">
        <x:f>IF(N20="","",N20)</x:f>
      </x:c>
      <x:c r="S20" s="70" t="str">
        <x:f>IF(N20="","",N20)</x:f>
      </x:c>
      <x:c r="T20" s="12" t="inlineStr">
        <x:is>
          <x:t xml:space="preserve">not estimated; see raw prompt×AA-cost proxy</x:t>
        </x:is>
      </x:c>
      <x:c r="U20" s="12" t="inlineStr">
        <x:is>
          <x:t xml:space="preserve">medium</x:t>
        </x:is>
      </x:c>
      <x:c r="V20" s="71" t="str">
        <x:f>IF(OR(S20="",D20=0),"",S20/D20)</x:f>
      </x:c>
      <x:c r="W20" s="12" t="str">
        <x:f>IF(OR(S20="",J20="",J20=0),"",S20/J20)</x:f>
      </x:c>
      <x:c r="X20" s="12" t="str">
        <x:f>IF(OR(H20="",V20=""),"",H20*V20)</x:f>
      </x:c>
      <x:c r="Y20" s="12" t="str">
        <x:f>IF(OR(I20="",V20=""),"",I20*V20)</x:f>
      </x:c>
      <x:c r="Z20" s="12" t="str">
        <x:f>IF(OR(X20="",Y20=""),"",SQRT((X20/_xlfn.MAXIFS($X:$X,$A:$A,A20))*(Y20/_xlfn.MAXIFS($Y:$Y,$A:$A,A20))))</x:f>
      </x:c>
      <x:c r="AA20" s="12" t="str">
        <x:f>IF(Z20="","",(X20/_xlfn.MAXIFS($X:$X,$A:$A,A20))^0.7*(Y20/_xlfn.MAXIFS($Y:$Y,$A:$A,A20))^0.3)</x:f>
      </x:c>
      <x:c r="AB20" s="12" t="str">
        <x:f>IF(Z20="","",(X20/_xlfn.MAXIFS($X:$X,$A:$A,A20))^0.3*(Y20/_xlfn.MAXIFS($Y:$Y,$A:$A,A20))^0.7)</x:f>
      </x:c>
      <x:c r="AC20" s="12" t="inlineStr">
        <x:is>
          <x:t xml:space="preserve">https://help.openai.com/en/articles/20001516-managing-usage-with-gpt-6-astra-in-work-and-codex</x:t>
        </x:is>
      </x:c>
      <x:c r="AD20" t="n">
        <x:f>IF(OR(P20="",J20=""),"",P20*J20)</x:f>
        <x:v>3600</x:v>
      </x:c>
      <x:c r="AE20" t="n">
        <x:f>IF(OR(Q20="",J20=""),"",Q20*J20)</x:f>
        <x:v>36000</x:v>
      </x:c>
      <x:c r="AF20" t="n">
        <x:v>29</x:v>
      </x:c>
      <x:c r="AG20" t="n">
        <x:f>IF(OR(H20="",I20=""),"",H20*I20)</x:f>
        <x:v>3198</x:v>
      </x:c>
      <x:c r="AH20" t="n">
        <x:f>IF(OR(H20="",J20="",J20=0),"",H20/J20)</x:f>
        <x:v>78</x:v>
      </x:c>
    </x:row>
    <x:row r="21">
      <x:c r="A21" s="12" t="inlineStr">
        <x:is>
          <x:t xml:space="preserve">chatgpt-pro-5x</x:t>
        </x:is>
      </x:c>
      <x:c r="B21" s="12" t="inlineStr">
        <x:is>
          <x:t xml:space="preserve">OpenAI</x:t>
        </x:is>
      </x:c>
      <x:c r="C21" s="12" t="inlineStr">
        <x:is>
          <x:t xml:space="preserve">ChatGPT Pro $100</x:t>
        </x:is>
      </x:c>
      <x:c r="D21" s="70" t="n">
        <x:v>100</x:v>
      </x:c>
      <x:c r="E21" s="12" t="inlineStr">
        <x:is>
          <x:t xml:space="preserve">GPT-5.6 Luna</x:t>
        </x:is>
      </x:c>
      <x:c r="F21" s="12" t="inlineStr">
        <x:is>
          <x:t xml:space="preserve">medium</x:t>
        </x:is>
      </x:c>
      <x:c r="G21" s="12" t="inlineStr">
        <x:is>
          <x:t xml:space="preserve">openai|gpt-5.6-luna|medium|reasoning|fallback-na</x:t>
        </x:is>
      </x:c>
      <x:c r="H21" s="12" t="n">
        <x:f>IF(AF21="","",INDEX(Rankings!$I:$I,AF21))</x:f>
        <x:v>25</x:v>
      </x:c>
      <x:c r="I21" s="12" t="n">
        <x:f>IF(AF21="","",INDEX(Rankings!$L:$L,AF21))</x:f>
        <x:v>120</x:v>
      </x:c>
      <x:c r="J21" s="12" t="n">
        <x:f>IF(AF21="","",INDEX(Rankings!$J:$J,AF21))</x:f>
        <x:v>0.02</x:v>
      </x:c>
      <x:c r="K21" s="12" t="str">
        <x:f>IF(AF21="","",INDEX(Rankings!$K:$K,AF21))</x:f>
      </x:c>
      <x:c r="L21" s="12" t="n">
        <x:v>1250</x:v>
      </x:c>
      <x:c r="M21" s="12" t="n">
        <x:v>10000</x:v>
      </x:c>
      <x:c r="N21" s="12" t="n"/>
      <x:c r="O21" s="12" t="n">
        <x:v>144</x:v>
      </x:c>
      <x:c r="P21" s="12" t="n">
        <x:f>IF(L21="","",L21*O21)</x:f>
        <x:v>180000</x:v>
      </x:c>
      <x:c r="Q21" s="12" t="n">
        <x:f>IF(M21="","",M21*O21)</x:f>
        <x:v>1440000</x:v>
      </x:c>
      <x:c r="R21" s="70" t="str">
        <x:f>IF(N21="","",N21)</x:f>
      </x:c>
      <x:c r="S21" s="70" t="str">
        <x:f>IF(N21="","",N21)</x:f>
      </x:c>
      <x:c r="T21" s="12" t="inlineStr">
        <x:is>
          <x:t xml:space="preserve">not estimated; see raw prompt×AA-cost proxy</x:t>
        </x:is>
      </x:c>
      <x:c r="U21" s="12" t="inlineStr">
        <x:is>
          <x:t xml:space="preserve">medium</x:t>
        </x:is>
      </x:c>
      <x:c r="V21" s="71" t="str">
        <x:f>IF(OR(S21="",D21=0),"",S21/D21)</x:f>
      </x:c>
      <x:c r="W21" s="12" t="str">
        <x:f>IF(OR(S21="",J21="",J21=0),"",S21/J21)</x:f>
      </x:c>
      <x:c r="X21" s="12" t="str">
        <x:f>IF(OR(H21="",V21=""),"",H21*V21)</x:f>
      </x:c>
      <x:c r="Y21" s="12" t="str">
        <x:f>IF(OR(I21="",V21=""),"",I21*V21)</x:f>
      </x:c>
      <x:c r="Z21" s="12" t="str">
        <x:f>IF(OR(X21="",Y21=""),"",SQRT((X21/_xlfn.MAXIFS($X:$X,$A:$A,A21))*(Y21/_xlfn.MAXIFS($Y:$Y,$A:$A,A21))))</x:f>
      </x:c>
      <x:c r="AA21" s="12" t="str">
        <x:f>IF(Z21="","",(X21/_xlfn.MAXIFS($X:$X,$A:$A,A21))^0.7*(Y21/_xlfn.MAXIFS($Y:$Y,$A:$A,A21))^0.3)</x:f>
      </x:c>
      <x:c r="AB21" s="12" t="str">
        <x:f>IF(Z21="","",(X21/_xlfn.MAXIFS($X:$X,$A:$A,A21))^0.3*(Y21/_xlfn.MAXIFS($Y:$Y,$A:$A,A21))^0.7)</x:f>
      </x:c>
      <x:c r="AC21" s="12" t="inlineStr">
        <x:is>
          <x:t xml:space="preserve">https://help.openai.com/en/articles/20001516-managing-usage-with-gpt-6-astra-in-work-and-codex</x:t>
        </x:is>
      </x:c>
      <x:c r="AD21" t="n">
        <x:f>IF(OR(P21="",J21=""),"",P21*J21)</x:f>
        <x:v>3600</x:v>
      </x:c>
      <x:c r="AE21" t="n">
        <x:f>IF(OR(Q21="",J21=""),"",Q21*J21)</x:f>
        <x:v>28800</x:v>
      </x:c>
      <x:c r="AF21" t="n">
        <x:v>23</x:v>
      </x:c>
      <x:c r="AG21" t="n">
        <x:f>IF(OR(H21="",I21=""),"",H21*I21)</x:f>
        <x:v>3000</x:v>
      </x:c>
      <x:c r="AH21" t="n">
        <x:f>IF(OR(H21="",J21="",J21=0),"",H21/J21)</x:f>
        <x:v>1250</x:v>
      </x:c>
    </x:row>
    <x:row r="22">
      <x:c r="A22" s="12" t="inlineStr">
        <x:is>
          <x:t xml:space="preserve">chatgpt-pro-20x</x:t>
        </x:is>
      </x:c>
      <x:c r="B22" s="12" t="inlineStr">
        <x:is>
          <x:t xml:space="preserve">OpenAI</x:t>
        </x:is>
      </x:c>
      <x:c r="C22" s="12" t="inlineStr">
        <x:is>
          <x:t xml:space="preserve">ChatGPT Pro $200</x:t>
        </x:is>
      </x:c>
      <x:c r="D22" s="70" t="n">
        <x:v>200</x:v>
      </x:c>
      <x:c r="E22" s="12" t="inlineStr">
        <x:is>
          <x:t xml:space="preserve">GPT-6 Astra</x:t>
        </x:is>
      </x:c>
      <x:c r="F22" s="12" t="inlineStr">
        <x:is>
          <x:t xml:space="preserve">medium</x:t>
        </x:is>
      </x:c>
      <x:c r="G22" s="12" t="inlineStr">
        <x:is>
          <x:t xml:space="preserve">openai|gpt-6-astra|medium|reasoning|fallback-na</x:t>
        </x:is>
      </x:c>
      <x:c r="H22" s="12" t="n">
        <x:f>IF(AF22="","",INDEX(Rankings!$I:$I,AF22))</x:f>
        <x:v>50</x:v>
      </x:c>
      <x:c r="I22" s="12" t="n">
        <x:f>IF(AF22="","",INDEX(Rankings!$L:$L,AF22))</x:f>
        <x:v>49.7</x:v>
      </x:c>
      <x:c r="J22" s="12" t="n">
        <x:f>IF(AF22="","",INDEX(Rankings!$J:$J,AF22))</x:f>
        <x:v>1.54</x:v>
      </x:c>
      <x:c r="K22" s="12" t="e">
        <x:f>IF(AF22="","",INDEX(Rankings!$K:$K,AF22))</x:f>
        <x:v>#REF!</x:v>
      </x:c>
      <x:c r="L22" s="12" t="n">
        <x:v>100</x:v>
      </x:c>
      <x:c r="M22" s="12" t="n">
        <x:v>900</x:v>
      </x:c>
      <x:c r="N22" s="12" t="n"/>
      <x:c r="O22" s="12" t="n">
        <x:v>144</x:v>
      </x:c>
      <x:c r="P22" s="12" t="n">
        <x:f>IF(L22="","",L22*O22)</x:f>
        <x:v>14400</x:v>
      </x:c>
      <x:c r="Q22" s="12" t="n">
        <x:f>IF(M22="","",M22*O22)</x:f>
        <x:v>129600</x:v>
      </x:c>
      <x:c r="R22" s="70" t="str">
        <x:f>IF(N22="","",N22)</x:f>
      </x:c>
      <x:c r="S22" s="70" t="str">
        <x:f>IF(N22="","",N22)</x:f>
      </x:c>
      <x:c r="T22" s="12" t="inlineStr">
        <x:is>
          <x:t xml:space="preserve">not estimated; see raw prompt×AA-cost proxy</x:t>
        </x:is>
      </x:c>
      <x:c r="U22" s="12" t="inlineStr">
        <x:is>
          <x:t xml:space="preserve">medium</x:t>
        </x:is>
      </x:c>
      <x:c r="V22" s="71" t="str">
        <x:f>IF(OR(S22="",D22=0),"",S22/D22)</x:f>
      </x:c>
      <x:c r="W22" s="12" t="str">
        <x:f>IF(OR(S22="",J22="",J22=0),"",S22/J22)</x:f>
      </x:c>
      <x:c r="X22" s="12" t="str">
        <x:f>IF(OR(H22="",V22=""),"",H22*V22)</x:f>
      </x:c>
      <x:c r="Y22" s="12" t="str">
        <x:f>IF(OR(I22="",V22=""),"",I22*V22)</x:f>
      </x:c>
      <x:c r="Z22" s="12" t="str">
        <x:f>IF(OR(X22="",Y22=""),"",SQRT((X22/_xlfn.MAXIFS($X:$X,$A:$A,A22))*(Y22/_xlfn.MAXIFS($Y:$Y,$A:$A,A22))))</x:f>
      </x:c>
      <x:c r="AA22" s="12" t="str">
        <x:f>IF(Z22="","",(X22/_xlfn.MAXIFS($X:$X,$A:$A,A22))^0.7*(Y22/_xlfn.MAXIFS($Y:$Y,$A:$A,A22))^0.3)</x:f>
      </x:c>
      <x:c r="AB22" s="12" t="str">
        <x:f>IF(Z22="","",(X22/_xlfn.MAXIFS($X:$X,$A:$A,A22))^0.3*(Y22/_xlfn.MAXIFS($Y:$Y,$A:$A,A22))^0.7)</x:f>
      </x:c>
      <x:c r="AC22" s="12" t="inlineStr">
        <x:is>
          <x:t xml:space="preserve">https://help.openai.com/en/articles/20001516-managing-usage-with-gpt-6-astra-in-work-and-codex</x:t>
        </x:is>
      </x:c>
      <x:c r="AD22" t="n">
        <x:f>IF(OR(P22="",J22=""),"",P22*J22)</x:f>
        <x:v>22176</x:v>
      </x:c>
      <x:c r="AE22" t="n">
        <x:f>IF(OR(Q22="",J22=""),"",Q22*J22)</x:f>
        <x:v>199584</x:v>
      </x:c>
      <x:c r="AF22" t="n">
        <x:v>116</x:v>
      </x:c>
      <x:c r="AG22" t="n">
        <x:f>IF(OR(H22="",I22=""),"",H22*I22)</x:f>
        <x:v>2485</x:v>
      </x:c>
      <x:c r="AH22" t="n">
        <x:f>IF(OR(H22="",J22="",J22=0),"",H22/J22)</x:f>
        <x:v>32.467532467532465</x:v>
      </x:c>
    </x:row>
    <x:row r="23">
      <x:c r="A23" s="12" t="inlineStr">
        <x:is>
          <x:t xml:space="preserve">chatgpt-pro-20x</x:t>
        </x:is>
      </x:c>
      <x:c r="B23" s="12" t="inlineStr">
        <x:is>
          <x:t xml:space="preserve">OpenAI</x:t>
        </x:is>
      </x:c>
      <x:c r="C23" s="12" t="inlineStr">
        <x:is>
          <x:t xml:space="preserve">ChatGPT Pro $200</x:t>
        </x:is>
      </x:c>
      <x:c r="D23" s="70" t="n">
        <x:v>200</x:v>
      </x:c>
      <x:c r="E23" s="12" t="inlineStr">
        <x:is>
          <x:t xml:space="preserve">GPT-5.6 Sol</x:t>
        </x:is>
      </x:c>
      <x:c r="F23" s="12" t="inlineStr">
        <x:is>
          <x:t xml:space="preserve">medium</x:t>
        </x:is>
      </x:c>
      <x:c r="G23" s="12" t="inlineStr">
        <x:is>
          <x:t xml:space="preserve">openai|gpt-5.6-sol|medium|reasoning|fallback-na</x:t>
        </x:is>
      </x:c>
      <x:c r="H23" s="12" t="n">
        <x:f>IF(AF23="","",INDEX(Rankings!$I:$I,AF23))</x:f>
        <x:v>39</x:v>
      </x:c>
      <x:c r="I23" s="12" t="n">
        <x:f>IF(AF23="","",INDEX(Rankings!$L:$L,AF23))</x:f>
        <x:v>82</x:v>
      </x:c>
      <x:c r="J23" s="12" t="n">
        <x:f>IF(AF23="","",INDEX(Rankings!$J:$J,AF23))</x:f>
        <x:v>0.5</x:v>
      </x:c>
      <x:c r="K23" s="12" t="str">
        <x:f>IF(AF23="","",INDEX(Rankings!$K:$K,AF23))</x:f>
      </x:c>
      <x:c r="L23" s="12" t="n">
        <x:v>200</x:v>
      </x:c>
      <x:c r="M23" s="12" t="n">
        <x:v>2000</x:v>
      </x:c>
      <x:c r="N23" s="12" t="n"/>
      <x:c r="O23" s="12" t="n">
        <x:v>144</x:v>
      </x:c>
      <x:c r="P23" s="12" t="n">
        <x:f>IF(L23="","",L23*O23)</x:f>
        <x:v>28800</x:v>
      </x:c>
      <x:c r="Q23" s="12" t="n">
        <x:f>IF(M23="","",M23*O23)</x:f>
        <x:v>288000</x:v>
      </x:c>
      <x:c r="R23" s="70" t="str">
        <x:f>IF(N23="","",N23)</x:f>
      </x:c>
      <x:c r="S23" s="70" t="str">
        <x:f>IF(N23="","",N23)</x:f>
      </x:c>
      <x:c r="T23" s="12" t="inlineStr">
        <x:is>
          <x:t xml:space="preserve">not estimated; see raw prompt×AA-cost proxy</x:t>
        </x:is>
      </x:c>
      <x:c r="U23" s="12" t="inlineStr">
        <x:is>
          <x:t xml:space="preserve">medium</x:t>
        </x:is>
      </x:c>
      <x:c r="V23" s="71" t="str">
        <x:f>IF(OR(S23="",D23=0),"",S23/D23)</x:f>
      </x:c>
      <x:c r="W23" s="12" t="str">
        <x:f>IF(OR(S23="",J23="",J23=0),"",S23/J23)</x:f>
      </x:c>
      <x:c r="X23" s="12" t="str">
        <x:f>IF(OR(H23="",V23=""),"",H23*V23)</x:f>
      </x:c>
      <x:c r="Y23" s="12" t="str">
        <x:f>IF(OR(I23="",V23=""),"",I23*V23)</x:f>
      </x:c>
      <x:c r="Z23" s="12" t="str">
        <x:f>IF(OR(X23="",Y23=""),"",SQRT((X23/_xlfn.MAXIFS($X:$X,$A:$A,A23))*(Y23/_xlfn.MAXIFS($Y:$Y,$A:$A,A23))))</x:f>
      </x:c>
      <x:c r="AA23" s="12" t="str">
        <x:f>IF(Z23="","",(X23/_xlfn.MAXIFS($X:$X,$A:$A,A23))^0.7*(Y23/_xlfn.MAXIFS($Y:$Y,$A:$A,A23))^0.3)</x:f>
      </x:c>
      <x:c r="AB23" s="12" t="str">
        <x:f>IF(Z23="","",(X23/_xlfn.MAXIFS($X:$X,$A:$A,A23))^0.3*(Y23/_xlfn.MAXIFS($Y:$Y,$A:$A,A23))^0.7)</x:f>
      </x:c>
      <x:c r="AC23" s="12" t="inlineStr">
        <x:is>
          <x:t xml:space="preserve">https://help.openai.com/en/articles/20001516-managing-usage-with-gpt-6-astra-in-work-and-codex</x:t>
        </x:is>
      </x:c>
      <x:c r="AD23" t="n">
        <x:f>IF(OR(P23="",J23=""),"",P23*J23)</x:f>
        <x:v>14400</x:v>
      </x:c>
      <x:c r="AE23" t="n">
        <x:f>IF(OR(Q23="",J23=""),"",Q23*J23)</x:f>
        <x:v>144000</x:v>
      </x:c>
      <x:c r="AF23" t="n">
        <x:v>29</x:v>
      </x:c>
      <x:c r="AG23" t="n">
        <x:f>IF(OR(H23="",I23=""),"",H23*I23)</x:f>
        <x:v>3198</x:v>
      </x:c>
      <x:c r="AH23" t="n">
        <x:f>IF(OR(H23="",J23="",J23=0),"",H23/J23)</x:f>
        <x:v>78</x:v>
      </x:c>
    </x:row>
    <x:row r="24">
      <x:c r="A24" s="12" t="inlineStr">
        <x:is>
          <x:t xml:space="preserve">chatgpt-pro-20x</x:t>
        </x:is>
      </x:c>
      <x:c r="B24" s="12" t="inlineStr">
        <x:is>
          <x:t xml:space="preserve">OpenAI</x:t>
        </x:is>
      </x:c>
      <x:c r="C24" s="12" t="inlineStr">
        <x:is>
          <x:t xml:space="preserve">ChatGPT Pro $200</x:t>
        </x:is>
      </x:c>
      <x:c r="D24" s="70" t="n">
        <x:v>200</x:v>
      </x:c>
      <x:c r="E24" s="12" t="inlineStr">
        <x:is>
          <x:t xml:space="preserve">GPT-5.6 Luna</x:t>
        </x:is>
      </x:c>
      <x:c r="F24" s="12" t="inlineStr">
        <x:is>
          <x:t xml:space="preserve">medium</x:t>
        </x:is>
      </x:c>
      <x:c r="G24" s="12" t="inlineStr">
        <x:is>
          <x:t xml:space="preserve">openai|gpt-5.6-luna|medium|reasoning|fallback-na</x:t>
        </x:is>
      </x:c>
      <x:c r="H24" s="12" t="n">
        <x:f>IF(AF24="","",INDEX(Rankings!$I:$I,AF24))</x:f>
        <x:v>25</x:v>
      </x:c>
      <x:c r="I24" s="12" t="n">
        <x:f>IF(AF24="","",INDEX(Rankings!$L:$L,AF24))</x:f>
        <x:v>120</x:v>
      </x:c>
      <x:c r="J24" s="12" t="n">
        <x:f>IF(AF24="","",INDEX(Rankings!$J:$J,AF24))</x:f>
        <x:v>0.02</x:v>
      </x:c>
      <x:c r="K24" s="12" t="str">
        <x:f>IF(AF24="","",INDEX(Rankings!$K:$K,AF24))</x:f>
      </x:c>
      <x:c r="L24" s="12" t="n">
        <x:v>5000</x:v>
      </x:c>
      <x:c r="M24" s="12" t="n">
        <x:v>40000</x:v>
      </x:c>
      <x:c r="N24" s="12" t="n"/>
      <x:c r="O24" s="12" t="n">
        <x:v>144</x:v>
      </x:c>
      <x:c r="P24" s="12" t="n">
        <x:f>IF(L24="","",L24*O24)</x:f>
        <x:v>720000</x:v>
      </x:c>
      <x:c r="Q24" s="12" t="n">
        <x:f>IF(M24="","",M24*O24)</x:f>
        <x:v>5760000</x:v>
      </x:c>
      <x:c r="R24" s="70" t="str">
        <x:f>IF(N24="","",N24)</x:f>
      </x:c>
      <x:c r="S24" s="70" t="str">
        <x:f>IF(N24="","",N24)</x:f>
      </x:c>
      <x:c r="T24" s="12" t="inlineStr">
        <x:is>
          <x:t xml:space="preserve">not estimated; see raw prompt×AA-cost proxy</x:t>
        </x:is>
      </x:c>
      <x:c r="U24" s="12" t="inlineStr">
        <x:is>
          <x:t xml:space="preserve">medium</x:t>
        </x:is>
      </x:c>
      <x:c r="V24" s="71" t="str">
        <x:f>IF(OR(S24="",D24=0),"",S24/D24)</x:f>
      </x:c>
      <x:c r="W24" s="12" t="str">
        <x:f>IF(OR(S24="",J24="",J24=0),"",S24/J24)</x:f>
      </x:c>
      <x:c r="X24" s="12" t="str">
        <x:f>IF(OR(H24="",V24=""),"",H24*V24)</x:f>
      </x:c>
      <x:c r="Y24" s="12" t="str">
        <x:f>IF(OR(I24="",V24=""),"",I24*V24)</x:f>
      </x:c>
      <x:c r="Z24" s="12" t="str">
        <x:f>IF(OR(X24="",Y24=""),"",SQRT((X24/_xlfn.MAXIFS($X:$X,$A:$A,A24))*(Y24/_xlfn.MAXIFS($Y:$Y,$A:$A,A24))))</x:f>
      </x:c>
      <x:c r="AA24" s="12" t="str">
        <x:f>IF(Z24="","",(X24/_xlfn.MAXIFS($X:$X,$A:$A,A24))^0.7*(Y24/_xlfn.MAXIFS($Y:$Y,$A:$A,A24))^0.3)</x:f>
      </x:c>
      <x:c r="AB24" s="12" t="str">
        <x:f>IF(Z24="","",(X24/_xlfn.MAXIFS($X:$X,$A:$A,A24))^0.3*(Y24/_xlfn.MAXIFS($Y:$Y,$A:$A,A24))^0.7)</x:f>
      </x:c>
      <x:c r="AC24" s="12" t="inlineStr">
        <x:is>
          <x:t xml:space="preserve">https://help.openai.com/en/articles/20001516-managing-usage-with-gpt-6-astra-in-work-and-codex</x:t>
        </x:is>
      </x:c>
      <x:c r="AD24" t="n">
        <x:f>IF(OR(P24="",J24=""),"",P24*J24)</x:f>
        <x:v>14400</x:v>
      </x:c>
      <x:c r="AE24" t="n">
        <x:f>IF(OR(Q24="",J24=""),"",Q24*J24)</x:f>
        <x:v>115200</x:v>
      </x:c>
      <x:c r="AF24" t="n">
        <x:v>23</x:v>
      </x:c>
      <x:c r="AG24" t="n">
        <x:f>IF(OR(H24="",I24=""),"",H24*I24)</x:f>
        <x:v>3000</x:v>
      </x:c>
      <x:c r="AH24" t="n">
        <x:f>IF(OR(H24="",J24="",J24=0),"",H24/J24)</x:f>
        <x:v>1250</x:v>
      </x:c>
    </x:row>
    <x:row r="25">
      <x:c r="A25" s="12" t="inlineStr">
        <x:is>
          <x:t xml:space="preserve">claude-pro</x:t>
        </x:is>
      </x:c>
      <x:c r="B25" s="12" t="inlineStr">
        <x:is>
          <x:t xml:space="preserve">Anthropic</x:t>
        </x:is>
      </x:c>
      <x:c r="C25" s="12" t="inlineStr">
        <x:is>
          <x:t xml:space="preserve">Claude Pro</x:t>
        </x:is>
      </x:c>
      <x:c r="D25" s="70" t="n">
        <x:v>20</x:v>
      </x:c>
      <x:c r="E25" s="12" t="inlineStr">
        <x:is>
          <x:t xml:space="preserve">Claude Sonnet 5.5</x:t>
        </x:is>
      </x:c>
      <x:c r="F25" s="12" t="inlineStr">
        <x:is>
          <x:t xml:space="preserve">medium</x:t>
        </x:is>
      </x:c>
      <x:c r="G25" s="12" t="inlineStr">
        <x:is>
          <x:t xml:space="preserve">anthropic|claude-sonnet-5.5|medium|reasoning|fallback-true</x:t>
        </x:is>
      </x:c>
      <x:c r="H25" s="12" t="n">
        <x:f>IF(AF25="","",INDEX(Rankings!$I:$I,AF25))</x:f>
        <x:v>41</x:v>
      </x:c>
      <x:c r="I25" s="12" t="n">
        <x:f>IF(AF25="","",INDEX(Rankings!$L:$L,AF25))</x:f>
        <x:v>118.3</x:v>
      </x:c>
      <x:c r="J25" s="12" t="n">
        <x:f>IF(AF25="","",INDEX(Rankings!$J:$J,AF25))</x:f>
        <x:v>0.48</x:v>
      </x:c>
      <x:c r="K25" s="12" t="e">
        <x:f>IF(AF25="","",INDEX(Rankings!$K:$K,AF25))</x:f>
        <x:v>#REF!</x:v>
      </x:c>
      <x:c r="L25" s="12" t="n">
        <x:v>10</x:v>
      </x:c>
      <x:c r="M25" s="12" t="n">
        <x:v>40</x:v>
      </x:c>
      <x:c r="N25" s="12" t="n"/>
      <x:c r="O25" s="12" t="n">
        <x:v>144</x:v>
      </x:c>
      <x:c r="P25" s="12" t="n">
        <x:f>IF(L25="","",L25*O25)</x:f>
        <x:v>1440</x:v>
      </x:c>
      <x:c r="Q25" s="12" t="n">
        <x:f>IF(M25="","",M25*O25)</x:f>
        <x:v>5760</x:v>
      </x:c>
      <x:c r="R25" s="70" t="str">
        <x:f>IF(N25="","",N25)</x:f>
      </x:c>
      <x:c r="S25" s="70" t="str">
        <x:f>IF(N25="","",N25)</x:f>
      </x:c>
      <x:c r="T25" s="12" t="inlineStr">
        <x:is>
          <x:t xml:space="preserve">not estimated; see raw prompt×AA-cost proxy</x:t>
        </x:is>
      </x:c>
      <x:c r="U25" s="12" t="inlineStr">
        <x:is>
          <x:t xml:space="preserve">medium</x:t>
        </x:is>
      </x:c>
      <x:c r="V25" s="71" t="str">
        <x:f>IF(OR(S25="",D25=0),"",S25/D25)</x:f>
      </x:c>
      <x:c r="W25" s="12" t="str">
        <x:f>IF(OR(S25="",J25="",J25=0),"",S25/J25)</x:f>
      </x:c>
      <x:c r="X25" s="12" t="str">
        <x:f>IF(OR(H25="",V25=""),"",H25*V25)</x:f>
      </x:c>
      <x:c r="Y25" s="12" t="str">
        <x:f>IF(OR(I25="",V25=""),"",I25*V25)</x:f>
      </x:c>
      <x:c r="Z25" s="12" t="str">
        <x:f>IF(OR(X25="",Y25=""),"",SQRT((X25/_xlfn.MAXIFS($X:$X,$A:$A,A25))*(Y25/_xlfn.MAXIFS($Y:$Y,$A:$A,A25))))</x:f>
      </x:c>
      <x:c r="AA25" s="12" t="str">
        <x:f>IF(Z25="","",(X25/_xlfn.MAXIFS($X:$X,$A:$A,A25))^0.7*(Y25/_xlfn.MAXIFS($Y:$Y,$A:$A,A25))^0.3)</x:f>
      </x:c>
      <x:c r="AB25" s="12" t="str">
        <x:f>IF(Z25="","",(X25/_xlfn.MAXIFS($X:$X,$A:$A,A25))^0.3*(Y25/_xlfn.MAXIFS($Y:$Y,$A:$A,A25))^0.7)</x:f>
      </x:c>
      <x:c r="AC25" s="12" t="inlineStr">
        <x:is>
          <x:t xml:space="preserve">https://support.anthropic.com/en/articles/11145838-using-claude-code-with-your-pro-or-max-plan</x:t>
        </x:is>
      </x:c>
      <x:c r="AD25" t="n">
        <x:f>IF(OR(P25="",J25=""),"",P25*J25)</x:f>
        <x:v>691.1999999999999</x:v>
      </x:c>
      <x:c r="AE25" t="n">
        <x:f>IF(OR(Q25="",J25=""),"",Q25*J25)</x:f>
        <x:v>2764.7999999999997</x:v>
      </x:c>
      <x:c r="AF25" t="n">
        <x:v>130</x:v>
      </x:c>
      <x:c r="AG25" t="n">
        <x:f>IF(OR(H25="",I25=""),"",H25*I25)</x:f>
        <x:v>4850.3</x:v>
      </x:c>
      <x:c r="AH25" t="n">
        <x:f>IF(OR(H25="",J25="",J25=0),"",H25/J25)</x:f>
        <x:v>85.41666666666667</x:v>
      </x:c>
    </x:row>
    <x:row r="26">
      <x:c r="A26" s="12" t="inlineStr">
        <x:is>
          <x:t xml:space="preserve">claude-max-5x</x:t>
        </x:is>
      </x:c>
      <x:c r="B26" s="12" t="inlineStr">
        <x:is>
          <x:t xml:space="preserve">Anthropic</x:t>
        </x:is>
      </x:c>
      <x:c r="C26" s="12" t="inlineStr">
        <x:is>
          <x:t xml:space="preserve">Claude Max 5x</x:t>
        </x:is>
      </x:c>
      <x:c r="D26" s="70" t="n">
        <x:v>100</x:v>
      </x:c>
      <x:c r="E26" s="12" t="inlineStr">
        <x:is>
          <x:t xml:space="preserve">Claude Sonnet 5.5</x:t>
        </x:is>
      </x:c>
      <x:c r="F26" s="12" t="inlineStr">
        <x:is>
          <x:t xml:space="preserve">medium</x:t>
        </x:is>
      </x:c>
      <x:c r="G26" s="12" t="inlineStr">
        <x:is>
          <x:t xml:space="preserve">anthropic|claude-sonnet-5.5|medium|reasoning|fallback-true</x:t>
        </x:is>
      </x:c>
      <x:c r="H26" s="12" t="n">
        <x:f>IF(AF26="","",INDEX(Rankings!$I:$I,AF26))</x:f>
        <x:v>41</x:v>
      </x:c>
      <x:c r="I26" s="12" t="n">
        <x:f>IF(AF26="","",INDEX(Rankings!$L:$L,AF26))</x:f>
        <x:v>118.3</x:v>
      </x:c>
      <x:c r="J26" s="12" t="n">
        <x:f>IF(AF26="","",INDEX(Rankings!$J:$J,AF26))</x:f>
        <x:v>0.48</x:v>
      </x:c>
      <x:c r="K26" s="12" t="e">
        <x:f>IF(AF26="","",INDEX(Rankings!$K:$K,AF26))</x:f>
        <x:v>#REF!</x:v>
      </x:c>
      <x:c r="L26" s="12" t="n">
        <x:v>50</x:v>
      </x:c>
      <x:c r="M26" s="12" t="n">
        <x:v>200</x:v>
      </x:c>
      <x:c r="N26" s="12" t="n"/>
      <x:c r="O26" s="12" t="n">
        <x:v>144</x:v>
      </x:c>
      <x:c r="P26" s="12" t="n">
        <x:f>IF(L26="","",L26*O26)</x:f>
        <x:v>7200</x:v>
      </x:c>
      <x:c r="Q26" s="12" t="n">
        <x:f>IF(M26="","",M26*O26)</x:f>
        <x:v>28800</x:v>
      </x:c>
      <x:c r="R26" s="70" t="str">
        <x:f>IF(N26="","",N26)</x:f>
      </x:c>
      <x:c r="S26" s="70" t="str">
        <x:f>IF(N26="","",N26)</x:f>
      </x:c>
      <x:c r="T26" s="12" t="inlineStr">
        <x:is>
          <x:t xml:space="preserve">not estimated; see raw prompt×AA-cost proxy</x:t>
        </x:is>
      </x:c>
      <x:c r="U26" s="12" t="inlineStr">
        <x:is>
          <x:t xml:space="preserve">medium</x:t>
        </x:is>
      </x:c>
      <x:c r="V26" s="71" t="str">
        <x:f>IF(OR(S26="",D26=0),"",S26/D26)</x:f>
      </x:c>
      <x:c r="W26" s="12" t="str">
        <x:f>IF(OR(S26="",J26="",J26=0),"",S26/J26)</x:f>
      </x:c>
      <x:c r="X26" s="12" t="str">
        <x:f>IF(OR(H26="",V26=""),"",H26*V26)</x:f>
      </x:c>
      <x:c r="Y26" s="12" t="str">
        <x:f>IF(OR(I26="",V26=""),"",I26*V26)</x:f>
      </x:c>
      <x:c r="Z26" s="12" t="str">
        <x:f>IF(OR(X26="",Y26=""),"",SQRT((X26/_xlfn.MAXIFS($X:$X,$A:$A,A26))*(Y26/_xlfn.MAXIFS($Y:$Y,$A:$A,A26))))</x:f>
      </x:c>
      <x:c r="AA26" s="12" t="str">
        <x:f>IF(Z26="","",(X26/_xlfn.MAXIFS($X:$X,$A:$A,A26))^0.7*(Y26/_xlfn.MAXIFS($Y:$Y,$A:$A,A26))^0.3)</x:f>
      </x:c>
      <x:c r="AB26" s="12" t="str">
        <x:f>IF(Z26="","",(X26/_xlfn.MAXIFS($X:$X,$A:$A,A26))^0.3*(Y26/_xlfn.MAXIFS($Y:$Y,$A:$A,A26))^0.7)</x:f>
      </x:c>
      <x:c r="AC26" s="12" t="inlineStr">
        <x:is>
          <x:t xml:space="preserve">https://support.anthropic.com/en/articles/11145838-using-claude-code-with-your-pro-or-max-plan</x:t>
        </x:is>
      </x:c>
      <x:c r="AD26" t="n">
        <x:f>IF(OR(P26="",J26=""),"",P26*J26)</x:f>
        <x:v>3456</x:v>
      </x:c>
      <x:c r="AE26" t="n">
        <x:f>IF(OR(Q26="",J26=""),"",Q26*J26)</x:f>
        <x:v>13824</x:v>
      </x:c>
      <x:c r="AF26" t="n">
        <x:v>130</x:v>
      </x:c>
      <x:c r="AG26" t="n">
        <x:f>IF(OR(H26="",I26=""),"",H26*I26)</x:f>
        <x:v>4850.3</x:v>
      </x:c>
      <x:c r="AH26" t="n">
        <x:f>IF(OR(H26="",J26="",J26=0),"",H26/J26)</x:f>
        <x:v>85.41666666666667</x:v>
      </x:c>
    </x:row>
    <x:row r="27">
      <x:c r="A27" s="12" t="inlineStr">
        <x:is>
          <x:t xml:space="preserve">claude-max-5x</x:t>
        </x:is>
      </x:c>
      <x:c r="B27" s="12" t="inlineStr">
        <x:is>
          <x:t xml:space="preserve">Anthropic</x:t>
        </x:is>
      </x:c>
      <x:c r="C27" s="12" t="inlineStr">
        <x:is>
          <x:t xml:space="preserve">Claude Max 5x</x:t>
        </x:is>
      </x:c>
      <x:c r="D27" s="70" t="n">
        <x:v>100</x:v>
      </x:c>
      <x:c r="E27" s="12" t="inlineStr">
        <x:is>
          <x:t xml:space="preserve">Claude Opus 5.5</x:t>
        </x:is>
      </x:c>
      <x:c r="F27" s="12" t="inlineStr">
        <x:is>
          <x:t xml:space="preserve">medium</x:t>
        </x:is>
      </x:c>
      <x:c r="G27" s="12" t="inlineStr">
        <x:is>
          <x:t xml:space="preserve">anthropic|claude-opus-5.5|medium|reasoning|fallback-true</x:t>
        </x:is>
      </x:c>
      <x:c r="H27" s="12" t="n">
        <x:f>IF(AF27="","",INDEX(Rankings!$I:$I,AF27))</x:f>
        <x:v>51</x:v>
      </x:c>
      <x:c r="I27" s="12" t="n">
        <x:f>IF(AF27="","",INDEX(Rankings!$L:$L,AF27))</x:f>
        <x:v>88.4</x:v>
      </x:c>
      <x:c r="J27" s="12" t="n">
        <x:f>IF(AF27="","",INDEX(Rankings!$J:$J,AF27))</x:f>
        <x:v>1.34</x:v>
      </x:c>
      <x:c r="K27" s="12" t="e">
        <x:f>IF(AF27="","",INDEX(Rankings!$K:$K,AF27))</x:f>
        <x:v>#REF!</x:v>
      </x:c>
      <x:c r="L27" s="12" t="n">
        <x:v>10</x:v>
      </x:c>
      <x:c r="M27" s="12" t="n">
        <x:v>40</x:v>
      </x:c>
      <x:c r="N27" s="12" t="n"/>
      <x:c r="O27" s="12" t="n">
        <x:v>144</x:v>
      </x:c>
      <x:c r="P27" s="12" t="n">
        <x:f>IF(L27="","",L27*O27)</x:f>
        <x:v>1440</x:v>
      </x:c>
      <x:c r="Q27" s="12" t="n">
        <x:f>IF(M27="","",M27*O27)</x:f>
        <x:v>5760</x:v>
      </x:c>
      <x:c r="R27" s="70" t="str">
        <x:f>IF(N27="","",N27)</x:f>
      </x:c>
      <x:c r="S27" s="70" t="str">
        <x:f>IF(N27="","",N27)</x:f>
      </x:c>
      <x:c r="T27" s="12" t="inlineStr">
        <x:is>
          <x:t xml:space="preserve">not estimated; see raw prompt×AA-cost proxy</x:t>
        </x:is>
      </x:c>
      <x:c r="U27" s="12" t="inlineStr">
        <x:is>
          <x:t xml:space="preserve">low</x:t>
        </x:is>
      </x:c>
      <x:c r="V27" s="71" t="str">
        <x:f>IF(OR(S27="",D27=0),"",S27/D27)</x:f>
      </x:c>
      <x:c r="W27" s="12" t="str">
        <x:f>IF(OR(S27="",J27="",J27=0),"",S27/J27)</x:f>
      </x:c>
      <x:c r="X27" s="12" t="str">
        <x:f>IF(OR(H27="",V27=""),"",H27*V27)</x:f>
      </x:c>
      <x:c r="Y27" s="12" t="str">
        <x:f>IF(OR(I27="",V27=""),"",I27*V27)</x:f>
      </x:c>
      <x:c r="Z27" s="12" t="str">
        <x:f>IF(OR(X27="",Y27=""),"",SQRT((X27/_xlfn.MAXIFS($X:$X,$A:$A,A27))*(Y27/_xlfn.MAXIFS($Y:$Y,$A:$A,A27))))</x:f>
      </x:c>
      <x:c r="AA27" s="12" t="str">
        <x:f>IF(Z27="","",(X27/_xlfn.MAXIFS($X:$X,$A:$A,A27))^0.7*(Y27/_xlfn.MAXIFS($Y:$Y,$A:$A,A27))^0.3)</x:f>
      </x:c>
      <x:c r="AB27" s="12" t="str">
        <x:f>IF(Z27="","",(X27/_xlfn.MAXIFS($X:$X,$A:$A,A27))^0.3*(Y27/_xlfn.MAXIFS($Y:$Y,$A:$A,A27))^0.7)</x:f>
      </x:c>
      <x:c r="AC27" s="12" t="inlineStr">
        <x:is>
          <x:t xml:space="preserve">https://support.anthropic.com/en/articles/11145838-using-claude-code-with-your-pro-or-max-plan</x:t>
        </x:is>
      </x:c>
      <x:c r="AD27" t="n">
        <x:f>IF(OR(P27="",J27=""),"",P27*J27)</x:f>
        <x:v>1929.6000000000001</x:v>
      </x:c>
      <x:c r="AE27" t="n">
        <x:f>IF(OR(Q27="",J27=""),"",Q27*J27)</x:f>
        <x:v>7718.400000000001</x:v>
      </x:c>
      <x:c r="AF27" t="n">
        <x:v>126</x:v>
      </x:c>
      <x:c r="AG27" t="n">
        <x:f>IF(OR(H27="",I27=""),"",H27*I27)</x:f>
        <x:v>4508.400000000001</x:v>
      </x:c>
      <x:c r="AH27" t="n">
        <x:f>IF(OR(H27="",J27="",J27=0),"",H27/J27)</x:f>
        <x:v>38.059701492537314</x:v>
      </x:c>
    </x:row>
    <x:row r="28">
      <x:c r="A28" s="12" t="inlineStr">
        <x:is>
          <x:t xml:space="preserve">claude-max-20x</x:t>
        </x:is>
      </x:c>
      <x:c r="B28" s="12" t="inlineStr">
        <x:is>
          <x:t xml:space="preserve">Anthropic</x:t>
        </x:is>
      </x:c>
      <x:c r="C28" s="12" t="inlineStr">
        <x:is>
          <x:t xml:space="preserve">Claude Max 20x</x:t>
        </x:is>
      </x:c>
      <x:c r="D28" s="70" t="n">
        <x:v>200</x:v>
      </x:c>
      <x:c r="E28" s="12" t="inlineStr">
        <x:is>
          <x:t xml:space="preserve">Claude Sonnet 5.5</x:t>
        </x:is>
      </x:c>
      <x:c r="F28" s="12" t="inlineStr">
        <x:is>
          <x:t xml:space="preserve">medium</x:t>
        </x:is>
      </x:c>
      <x:c r="G28" s="12" t="inlineStr">
        <x:is>
          <x:t xml:space="preserve">anthropic|claude-sonnet-5.5|medium|reasoning|fallback-true</x:t>
        </x:is>
      </x:c>
      <x:c r="H28" s="12" t="n">
        <x:f>IF(AF28="","",INDEX(Rankings!$I:$I,AF28))</x:f>
        <x:v>41</x:v>
      </x:c>
      <x:c r="I28" s="12" t="n">
        <x:f>IF(AF28="","",INDEX(Rankings!$L:$L,AF28))</x:f>
        <x:v>118.3</x:v>
      </x:c>
      <x:c r="J28" s="12" t="n">
        <x:f>IF(AF28="","",INDEX(Rankings!$J:$J,AF28))</x:f>
        <x:v>0.48</x:v>
      </x:c>
      <x:c r="K28" s="12" t="e">
        <x:f>IF(AF28="","",INDEX(Rankings!$K:$K,AF28))</x:f>
        <x:v>#REF!</x:v>
      </x:c>
      <x:c r="L28" s="12" t="n">
        <x:v>200</x:v>
      </x:c>
      <x:c r="M28" s="12" t="n">
        <x:v>800</x:v>
      </x:c>
      <x:c r="N28" s="12" t="n"/>
      <x:c r="O28" s="12" t="n">
        <x:v>144</x:v>
      </x:c>
      <x:c r="P28" s="12" t="n">
        <x:f>IF(L28="","",L28*O28)</x:f>
        <x:v>28800</x:v>
      </x:c>
      <x:c r="Q28" s="12" t="n">
        <x:f>IF(M28="","",M28*O28)</x:f>
        <x:v>115200</x:v>
      </x:c>
      <x:c r="R28" s="70" t="str">
        <x:f>IF(N28="","",N28)</x:f>
      </x:c>
      <x:c r="S28" s="70" t="str">
        <x:f>IF(N28="","",N28)</x:f>
      </x:c>
      <x:c r="T28" s="12" t="inlineStr">
        <x:is>
          <x:t xml:space="preserve">not estimated; see raw prompt×AA-cost proxy</x:t>
        </x:is>
      </x:c>
      <x:c r="U28" s="12" t="inlineStr">
        <x:is>
          <x:t xml:space="preserve">medium</x:t>
        </x:is>
      </x:c>
      <x:c r="V28" s="71" t="str">
        <x:f>IF(OR(S28="",D28=0),"",S28/D28)</x:f>
      </x:c>
      <x:c r="W28" s="12" t="str">
        <x:f>IF(OR(S28="",J28="",J28=0),"",S28/J28)</x:f>
      </x:c>
      <x:c r="X28" s="12" t="str">
        <x:f>IF(OR(H28="",V28=""),"",H28*V28)</x:f>
      </x:c>
      <x:c r="Y28" s="12" t="str">
        <x:f>IF(OR(I28="",V28=""),"",I28*V28)</x:f>
      </x:c>
      <x:c r="Z28" s="12" t="str">
        <x:f>IF(OR(X28="",Y28=""),"",SQRT((X28/_xlfn.MAXIFS($X:$X,$A:$A,A28))*(Y28/_xlfn.MAXIFS($Y:$Y,$A:$A,A28))))</x:f>
      </x:c>
      <x:c r="AA28" s="12" t="str">
        <x:f>IF(Z28="","",(X28/_xlfn.MAXIFS($X:$X,$A:$A,A28))^0.7*(Y28/_xlfn.MAXIFS($Y:$Y,$A:$A,A28))^0.3)</x:f>
      </x:c>
      <x:c r="AB28" s="12" t="str">
        <x:f>IF(Z28="","",(X28/_xlfn.MAXIFS($X:$X,$A:$A,A28))^0.3*(Y28/_xlfn.MAXIFS($Y:$Y,$A:$A,A28))^0.7)</x:f>
      </x:c>
      <x:c r="AC28" s="12" t="inlineStr">
        <x:is>
          <x:t xml:space="preserve">https://support.anthropic.com/en/articles/11145838-using-claude-code-with-your-pro-or-max-plan</x:t>
        </x:is>
      </x:c>
      <x:c r="AD28" t="n">
        <x:f>IF(OR(P28="",J28=""),"",P28*J28)</x:f>
        <x:v>13824</x:v>
      </x:c>
      <x:c r="AE28" t="n">
        <x:f>IF(OR(Q28="",J28=""),"",Q28*J28)</x:f>
        <x:v>55296</x:v>
      </x:c>
      <x:c r="AF28" t="n">
        <x:v>130</x:v>
      </x:c>
      <x:c r="AG28" t="n">
        <x:f>IF(OR(H28="",I28=""),"",H28*I28)</x:f>
        <x:v>4850.3</x:v>
      </x:c>
      <x:c r="AH28" t="n">
        <x:f>IF(OR(H28="",J28="",J28=0),"",H28/J28)</x:f>
        <x:v>85.41666666666667</x:v>
      </x:c>
    </x:row>
    <x:row r="29">
      <x:c r="A29" s="12" t="inlineStr">
        <x:is>
          <x:t xml:space="preserve">claude-max-20x</x:t>
        </x:is>
      </x:c>
      <x:c r="B29" s="12" t="inlineStr">
        <x:is>
          <x:t xml:space="preserve">Anthropic</x:t>
        </x:is>
      </x:c>
      <x:c r="C29" s="12" t="inlineStr">
        <x:is>
          <x:t xml:space="preserve">Claude Max 20x</x:t>
        </x:is>
      </x:c>
      <x:c r="D29" s="70" t="n">
        <x:v>200</x:v>
      </x:c>
      <x:c r="E29" s="12" t="inlineStr">
        <x:is>
          <x:t xml:space="preserve">Claude Opus 5.5</x:t>
        </x:is>
      </x:c>
      <x:c r="F29" s="12" t="inlineStr">
        <x:is>
          <x:t xml:space="preserve">medium</x:t>
        </x:is>
      </x:c>
      <x:c r="G29" s="12" t="inlineStr">
        <x:is>
          <x:t xml:space="preserve">anthropic|claude-opus-5.5|medium|reasoning|fallback-true</x:t>
        </x:is>
      </x:c>
      <x:c r="H29" s="12" t="n">
        <x:f>IF(AF29="","",INDEX(Rankings!$I:$I,AF29))</x:f>
        <x:v>51</x:v>
      </x:c>
      <x:c r="I29" s="12" t="n">
        <x:f>IF(AF29="","",INDEX(Rankings!$L:$L,AF29))</x:f>
        <x:v>88.4</x:v>
      </x:c>
      <x:c r="J29" s="12" t="n">
        <x:f>IF(AF29="","",INDEX(Rankings!$J:$J,AF29))</x:f>
        <x:v>1.34</x:v>
      </x:c>
      <x:c r="K29" s="12" t="e">
        <x:f>IF(AF29="","",INDEX(Rankings!$K:$K,AF29))</x:f>
        <x:v>#REF!</x:v>
      </x:c>
      <x:c r="L29" s="12" t="n">
        <x:v>40</x:v>
      </x:c>
      <x:c r="M29" s="12" t="n">
        <x:v>160</x:v>
      </x:c>
      <x:c r="N29" s="12" t="n"/>
      <x:c r="O29" s="12" t="n">
        <x:v>144</x:v>
      </x:c>
      <x:c r="P29" s="12" t="n">
        <x:f>IF(L29="","",L29*O29)</x:f>
        <x:v>5760</x:v>
      </x:c>
      <x:c r="Q29" s="12" t="n">
        <x:f>IF(M29="","",M29*O29)</x:f>
        <x:v>23040</x:v>
      </x:c>
      <x:c r="R29" s="70" t="str">
        <x:f>IF(N29="","",N29)</x:f>
      </x:c>
      <x:c r="S29" s="70" t="str">
        <x:f>IF(N29="","",N29)</x:f>
      </x:c>
      <x:c r="T29" s="12" t="inlineStr">
        <x:is>
          <x:t xml:space="preserve">not estimated; see raw prompt×AA-cost proxy</x:t>
        </x:is>
      </x:c>
      <x:c r="U29" s="12" t="inlineStr">
        <x:is>
          <x:t xml:space="preserve">low</x:t>
        </x:is>
      </x:c>
      <x:c r="V29" s="71" t="str">
        <x:f>IF(OR(S29="",D29=0),"",S29/D29)</x:f>
      </x:c>
      <x:c r="W29" s="12" t="str">
        <x:f>IF(OR(S29="",J29="",J29=0),"",S29/J29)</x:f>
      </x:c>
      <x:c r="X29" s="12" t="str">
        <x:f>IF(OR(H29="",V29=""),"",H29*V29)</x:f>
      </x:c>
      <x:c r="Y29" s="12" t="str">
        <x:f>IF(OR(I29="",V29=""),"",I29*V29)</x:f>
      </x:c>
      <x:c r="Z29" s="12" t="str">
        <x:f>IF(OR(X29="",Y29=""),"",SQRT((X29/_xlfn.MAXIFS($X:$X,$A:$A,A29))*(Y29/_xlfn.MAXIFS($Y:$Y,$A:$A,A29))))</x:f>
      </x:c>
      <x:c r="AA29" s="12" t="str">
        <x:f>IF(Z29="","",(X29/_xlfn.MAXIFS($X:$X,$A:$A,A29))^0.7*(Y29/_xlfn.MAXIFS($Y:$Y,$A:$A,A29))^0.3)</x:f>
      </x:c>
      <x:c r="AB29" s="12" t="str">
        <x:f>IF(Z29="","",(X29/_xlfn.MAXIFS($X:$X,$A:$A,A29))^0.3*(Y29/_xlfn.MAXIFS($Y:$Y,$A:$A,A29))^0.7)</x:f>
      </x:c>
      <x:c r="AC29" s="12" t="inlineStr">
        <x:is>
          <x:t xml:space="preserve">https://support.anthropic.com/en/articles/11145838-using-claude-code-with-your-pro-or-max-plan</x:t>
        </x:is>
      </x:c>
      <x:c r="AD29" t="n">
        <x:f>IF(OR(P29="",J29=""),"",P29*J29)</x:f>
        <x:v>7718.400000000001</x:v>
      </x:c>
      <x:c r="AE29" t="n">
        <x:f>IF(OR(Q29="",J29=""),"",Q29*J29)</x:f>
        <x:v>30873.600000000002</x:v>
      </x:c>
      <x:c r="AF29" t="n">
        <x:v>126</x:v>
      </x:c>
      <x:c r="AG29" t="n">
        <x:f>IF(OR(H29="",I29=""),"",H29*I29)</x:f>
        <x:v>4508.400000000001</x:v>
      </x:c>
      <x:c r="AH29" t="n">
        <x:f>IF(OR(H29="",J29="",J29=0),"",H29/J29)</x:f>
        <x:v>38.059701492537314</x:v>
      </x:c>
    </x:row>
    <x:row r="30">
      <x:c r="A30" s="12" t="inlineStr">
        <x:is>
          <x:t xml:space="preserve">muse-everyday</x:t>
        </x:is>
      </x:c>
      <x:c r="B30" s="12" t="inlineStr">
        <x:is>
          <x:t xml:space="preserve">Meta</x:t>
        </x:is>
      </x:c>
      <x:c r="C30" s="12" t="inlineStr">
        <x:is>
          <x:t xml:space="preserve">Muse Code Everyday</x:t>
        </x:is>
      </x:c>
      <x:c r="D30" s="70" t="n">
        <x:v>5</x:v>
      </x:c>
      <x:c r="E30" s="12" t="inlineStr">
        <x:is>
          <x:t xml:space="preserve">Muse Spark 1.3</x:t>
        </x:is>
      </x:c>
      <x:c r="F30" s="12" t="inlineStr">
        <x:is>
          <x:t xml:space="preserve">xhigh</x:t>
        </x:is>
      </x:c>
      <x:c r="G30" s="12" t="inlineStr">
        <x:is>
          <x:t xml:space="preserve">meta|muse-spark-1.3|xhigh|reasoning|fallback-na</x:t>
        </x:is>
      </x:c>
      <x:c r="H30" s="12" t="n">
        <x:f>IF(AF30="","",INDEX(Rankings!$I:$I,AF30))</x:f>
        <x:v>45</x:v>
      </x:c>
      <x:c r="I30" s="12" t="n">
        <x:f>IF(AF30="","",INDEX(Rankings!$L:$L,AF30))</x:f>
        <x:v>196</x:v>
      </x:c>
      <x:c r="J30" s="12" t="n">
        <x:f>IF(AF30="","",INDEX(Rankings!$J:$J,AF30))</x:f>
        <x:v>1.37</x:v>
      </x:c>
      <x:c r="K30" s="12" t="str">
        <x:f>IF(AF30="","",INDEX(Rankings!$K:$K,AF30))</x:f>
      </x:c>
      <x:c r="L30" s="12" t="n">
        <x:v>10</x:v>
      </x:c>
      <x:c r="M30" s="12" t="n">
        <x:v>50</x:v>
      </x:c>
      <x:c r="N30" s="12" t="n"/>
      <x:c r="O30" s="12" t="n">
        <x:v>144</x:v>
      </x:c>
      <x:c r="P30" s="12" t="n">
        <x:f>IF(L30="","",L30*O30)</x:f>
        <x:v>1440</x:v>
      </x:c>
      <x:c r="Q30" s="12" t="n">
        <x:f>IF(M30="","",M30*O30)</x:f>
        <x:v>7200</x:v>
      </x:c>
      <x:c r="R30" s="70" t="str">
        <x:f>IF(N30="","",N30)</x:f>
      </x:c>
      <x:c r="S30" s="70" t="str">
        <x:f>IF(N30="","",N30)</x:f>
      </x:c>
      <x:c r="T30" s="12" t="inlineStr">
        <x:is>
          <x:t xml:space="preserve">not estimated; see raw prompt×AA-cost proxy</x:t>
        </x:is>
      </x:c>
      <x:c r="U30" s="12" t="inlineStr">
        <x:is>
          <x:t xml:space="preserve">low</x:t>
        </x:is>
      </x:c>
      <x:c r="V30" s="71" t="str">
        <x:f>IF(OR(S30="",D30=0),"",S30/D30)</x:f>
      </x:c>
      <x:c r="W30" s="12" t="str">
        <x:f>IF(OR(S30="",J30="",J30=0),"",S30/J30)</x:f>
      </x:c>
      <x:c r="X30" s="12" t="str">
        <x:f>IF(OR(H30="",V30=""),"",H30*V30)</x:f>
      </x:c>
      <x:c r="Y30" s="12" t="str">
        <x:f>IF(OR(I30="",V30=""),"",I30*V30)</x:f>
      </x:c>
      <x:c r="Z30" s="12" t="str">
        <x:f>IF(OR(X30="",Y30=""),"",SQRT((X30/_xlfn.MAXIFS($X:$X,$A:$A,A30))*(Y30/_xlfn.MAXIFS($Y:$Y,$A:$A,A30))))</x:f>
      </x:c>
      <x:c r="AA30" s="12" t="str">
        <x:f>IF(Z30="","",(X30/_xlfn.MAXIFS($X:$X,$A:$A,A30))^0.7*(Y30/_xlfn.MAXIFS($Y:$Y,$A:$A,A30))^0.3)</x:f>
      </x:c>
      <x:c r="AB30" s="12" t="str">
        <x:f>IF(Z30="","",(X30/_xlfn.MAXIFS($X:$X,$A:$A,A30))^0.3*(Y30/_xlfn.MAXIFS($Y:$Y,$A:$A,A30))^0.7)</x:f>
      </x:c>
      <x:c r="AC30" s="12" t="inlineStr">
        <x:is>
          <x:t xml:space="preserve">https://dev.meta.ai/help/subscriptions/what-is-a-muse-code-subscription</x:t>
        </x:is>
      </x:c>
      <x:c r="AD30" t="n">
        <x:f>IF(OR(P30="",J30=""),"",P30*J30)</x:f>
        <x:v>1972.8000000000002</x:v>
      </x:c>
      <x:c r="AE30" t="n">
        <x:f>IF(OR(Q30="",J30=""),"",Q30*J30)</x:f>
        <x:v>9864</x:v>
      </x:c>
      <x:c r="AF30" t="n">
        <x:v>62</x:v>
      </x:c>
      <x:c r="AG30" t="n">
        <x:f>IF(OR(H30="",I30=""),"",H30*I30)</x:f>
        <x:v>8820</x:v>
      </x:c>
      <x:c r="AH30" t="n">
        <x:f>IF(OR(H30="",J30="",J30=0),"",H30/J30)</x:f>
        <x:v>32.84671532846715</x:v>
      </x:c>
    </x:row>
    <x:row r="31">
      <x:c r="A31" s="12" t="inlineStr">
        <x:is>
          <x:t xml:space="preserve">muse-high</x:t>
        </x:is>
      </x:c>
      <x:c r="B31" s="12" t="inlineStr">
        <x:is>
          <x:t xml:space="preserve">Meta</x:t>
        </x:is>
      </x:c>
      <x:c r="C31" s="12" t="inlineStr">
        <x:is>
          <x:t xml:space="preserve">Muse Code High</x:t>
        </x:is>
      </x:c>
      <x:c r="D31" s="70" t="n">
        <x:v>15</x:v>
      </x:c>
      <x:c r="E31" s="12" t="inlineStr">
        <x:is>
          <x:t xml:space="preserve">Muse Spark 1.3</x:t>
        </x:is>
      </x:c>
      <x:c r="F31" s="12" t="inlineStr">
        <x:is>
          <x:t xml:space="preserve">xhigh</x:t>
        </x:is>
      </x:c>
      <x:c r="G31" s="12" t="inlineStr">
        <x:is>
          <x:t xml:space="preserve">meta|muse-spark-1.3|xhigh|reasoning|fallback-na</x:t>
        </x:is>
      </x:c>
      <x:c r="H31" s="12" t="n">
        <x:f>IF(AF31="","",INDEX(Rankings!$I:$I,AF31))</x:f>
        <x:v>45</x:v>
      </x:c>
      <x:c r="I31" s="12" t="n">
        <x:f>IF(AF31="","",INDEX(Rankings!$L:$L,AF31))</x:f>
        <x:v>196</x:v>
      </x:c>
      <x:c r="J31" s="12" t="n">
        <x:f>IF(AF31="","",INDEX(Rankings!$J:$J,AF31))</x:f>
        <x:v>1.37</x:v>
      </x:c>
      <x:c r="K31" s="12" t="str">
        <x:f>IF(AF31="","",INDEX(Rankings!$K:$K,AF31))</x:f>
      </x:c>
      <x:c r="L31" s="12" t="n">
        <x:v>50</x:v>
      </x:c>
      <x:c r="M31" s="12" t="n">
        <x:v>250</x:v>
      </x:c>
      <x:c r="N31" s="12" t="n"/>
      <x:c r="O31" s="12" t="n">
        <x:v>144</x:v>
      </x:c>
      <x:c r="P31" s="12" t="n">
        <x:f>IF(L31="","",L31*O31)</x:f>
        <x:v>7200</x:v>
      </x:c>
      <x:c r="Q31" s="12" t="n">
        <x:f>IF(M31="","",M31*O31)</x:f>
        <x:v>36000</x:v>
      </x:c>
      <x:c r="R31" s="70" t="str">
        <x:f>IF(N31="","",N31)</x:f>
      </x:c>
      <x:c r="S31" s="70" t="str">
        <x:f>IF(N31="","",N31)</x:f>
      </x:c>
      <x:c r="T31" s="12" t="inlineStr">
        <x:is>
          <x:t xml:space="preserve">not estimated; see raw prompt×AA-cost proxy</x:t>
        </x:is>
      </x:c>
      <x:c r="U31" s="12" t="inlineStr">
        <x:is>
          <x:t xml:space="preserve">low</x:t>
        </x:is>
      </x:c>
      <x:c r="V31" s="71" t="str">
        <x:f>IF(OR(S31="",D31=0),"",S31/D31)</x:f>
      </x:c>
      <x:c r="W31" s="12" t="str">
        <x:f>IF(OR(S31="",J31="",J31=0),"",S31/J31)</x:f>
      </x:c>
      <x:c r="X31" s="12" t="str">
        <x:f>IF(OR(H31="",V31=""),"",H31*V31)</x:f>
      </x:c>
      <x:c r="Y31" s="12" t="str">
        <x:f>IF(OR(I31="",V31=""),"",I31*V31)</x:f>
      </x:c>
      <x:c r="Z31" s="12" t="str">
        <x:f>IF(OR(X31="",Y31=""),"",SQRT((X31/_xlfn.MAXIFS($X:$X,$A:$A,A31))*(Y31/_xlfn.MAXIFS($Y:$Y,$A:$A,A31))))</x:f>
      </x:c>
      <x:c r="AA31" s="12" t="str">
        <x:f>IF(Z31="","",(X31/_xlfn.MAXIFS($X:$X,$A:$A,A31))^0.7*(Y31/_xlfn.MAXIFS($Y:$Y,$A:$A,A31))^0.3)</x:f>
      </x:c>
      <x:c r="AB31" s="12" t="str">
        <x:f>IF(Z31="","",(X31/_xlfn.MAXIFS($X:$X,$A:$A,A31))^0.3*(Y31/_xlfn.MAXIFS($Y:$Y,$A:$A,A31))^0.7)</x:f>
      </x:c>
      <x:c r="AC31" s="12" t="inlineStr">
        <x:is>
          <x:t xml:space="preserve">https://dev.meta.ai/help/subscriptions/what-is-a-muse-code-subscription</x:t>
        </x:is>
      </x:c>
      <x:c r="AD31" t="n">
        <x:f>IF(OR(P31="",J31=""),"",P31*J31)</x:f>
        <x:v>9864</x:v>
      </x:c>
      <x:c r="AE31" t="n">
        <x:f>IF(OR(Q31="",J31=""),"",Q31*J31)</x:f>
        <x:v>49320.00000000001</x:v>
      </x:c>
      <x:c r="AF31" t="n">
        <x:v>62</x:v>
      </x:c>
      <x:c r="AG31" t="n">
        <x:f>IF(OR(H31="",I31=""),"",H31*I31)</x:f>
        <x:v>8820</x:v>
      </x:c>
      <x:c r="AH31" t="n">
        <x:f>IF(OR(H31="",J31="",J31=0),"",H31/J31)</x:f>
        <x:v>32.84671532846715</x:v>
      </x:c>
    </x:row>
    <x:row r="32">
      <x:c r="A32" s="12" t="inlineStr">
        <x:is>
          <x:t xml:space="preserve">muse-power</x:t>
        </x:is>
      </x:c>
      <x:c r="B32" s="12" t="inlineStr">
        <x:is>
          <x:t xml:space="preserve">Meta</x:t>
        </x:is>
      </x:c>
      <x:c r="C32" s="12" t="inlineStr">
        <x:is>
          <x:t xml:space="preserve">Muse Code Power</x:t>
        </x:is>
      </x:c>
      <x:c r="D32" s="70" t="n">
        <x:v>50</x:v>
      </x:c>
      <x:c r="E32" s="12" t="inlineStr">
        <x:is>
          <x:t xml:space="preserve">Muse Spark 1.3</x:t>
        </x:is>
      </x:c>
      <x:c r="F32" s="12" t="inlineStr">
        <x:is>
          <x:t xml:space="preserve">xhigh</x:t>
        </x:is>
      </x:c>
      <x:c r="G32" s="12" t="inlineStr">
        <x:is>
          <x:t xml:space="preserve">meta|muse-spark-1.3|xhigh|reasoning|fallback-na</x:t>
        </x:is>
      </x:c>
      <x:c r="H32" s="12" t="n">
        <x:f>IF(AF32="","",INDEX(Rankings!$I:$I,AF32))</x:f>
        <x:v>45</x:v>
      </x:c>
      <x:c r="I32" s="12" t="n">
        <x:f>IF(AF32="","",INDEX(Rankings!$L:$L,AF32))</x:f>
        <x:v>196</x:v>
      </x:c>
      <x:c r="J32" s="12" t="n">
        <x:f>IF(AF32="","",INDEX(Rankings!$J:$J,AF32))</x:f>
        <x:v>1.37</x:v>
      </x:c>
      <x:c r="K32" s="12" t="str">
        <x:f>IF(AF32="","",INDEX(Rankings!$K:$K,AF32))</x:f>
      </x:c>
      <x:c r="L32" s="12" t="n">
        <x:v>200</x:v>
      </x:c>
      <x:c r="M32" s="12" t="n">
        <x:v>1000</x:v>
      </x:c>
      <x:c r="N32" s="12" t="n"/>
      <x:c r="O32" s="12" t="n">
        <x:v>144</x:v>
      </x:c>
      <x:c r="P32" s="12" t="n">
        <x:f>IF(L32="","",L32*O32)</x:f>
        <x:v>28800</x:v>
      </x:c>
      <x:c r="Q32" s="12" t="n">
        <x:f>IF(M32="","",M32*O32)</x:f>
        <x:v>144000</x:v>
      </x:c>
      <x:c r="R32" s="70" t="str">
        <x:f>IF(N32="","",N32)</x:f>
      </x:c>
      <x:c r="S32" s="70" t="str">
        <x:f>IF(N32="","",N32)</x:f>
      </x:c>
      <x:c r="T32" s="12" t="inlineStr">
        <x:is>
          <x:t xml:space="preserve">not estimated; see raw prompt×AA-cost proxy</x:t>
        </x:is>
      </x:c>
      <x:c r="U32" s="12" t="inlineStr">
        <x:is>
          <x:t xml:space="preserve">low</x:t>
        </x:is>
      </x:c>
      <x:c r="V32" s="71" t="str">
        <x:f>IF(OR(S32="",D32=0),"",S32/D32)</x:f>
      </x:c>
      <x:c r="W32" s="12" t="str">
        <x:f>IF(OR(S32="",J32="",J32=0),"",S32/J32)</x:f>
      </x:c>
      <x:c r="X32" s="12" t="str">
        <x:f>IF(OR(H32="",V32=""),"",H32*V32)</x:f>
      </x:c>
      <x:c r="Y32" s="12" t="str">
        <x:f>IF(OR(I32="",V32=""),"",I32*V32)</x:f>
      </x:c>
      <x:c r="Z32" s="12" t="str">
        <x:f>IF(OR(X32="",Y32=""),"",SQRT((X32/_xlfn.MAXIFS($X:$X,$A:$A,A32))*(Y32/_xlfn.MAXIFS($Y:$Y,$A:$A,A32))))</x:f>
      </x:c>
      <x:c r="AA32" s="12" t="str">
        <x:f>IF(Z32="","",(X32/_xlfn.MAXIFS($X:$X,$A:$A,A32))^0.7*(Y32/_xlfn.MAXIFS($Y:$Y,$A:$A,A32))^0.3)</x:f>
      </x:c>
      <x:c r="AB32" s="12" t="str">
        <x:f>IF(Z32="","",(X32/_xlfn.MAXIFS($X:$X,$A:$A,A32))^0.3*(Y32/_xlfn.MAXIFS($Y:$Y,$A:$A,A32))^0.7)</x:f>
      </x:c>
      <x:c r="AC32" s="12" t="inlineStr">
        <x:is>
          <x:t xml:space="preserve">https://dev.meta.ai/help/subscriptions/what-is-a-muse-code-subscription</x:t>
        </x:is>
      </x:c>
      <x:c r="AD32" t="n">
        <x:f>IF(OR(P32="",J32=""),"",P32*J32)</x:f>
        <x:v>39456</x:v>
      </x:c>
      <x:c r="AE32" t="n">
        <x:f>IF(OR(Q32="",J32=""),"",Q32*J32)</x:f>
        <x:v>197280.00000000003</x:v>
      </x:c>
      <x:c r="AF32" t="n">
        <x:v>62</x:v>
      </x:c>
      <x:c r="AG32" t="n">
        <x:f>IF(OR(H32="",I32=""),"",H32*I32)</x:f>
        <x:v>8820</x:v>
      </x:c>
      <x:c r="AH32" t="n">
        <x:f>IF(OR(H32="",J32="",J32=0),"",H32/J32)</x:f>
        <x:v>32.84671532846715</x:v>
      </x:c>
    </x:row>
    <x:row r="33">
      <x:c r="A33" s="12" t="inlineStr">
        <x:is>
          <x:t xml:space="preserve">google-ai-pro</x:t>
        </x:is>
      </x:c>
      <x:c r="B33" s="12" t="inlineStr">
        <x:is>
          <x:t xml:space="preserve">Google</x:t>
        </x:is>
      </x:c>
      <x:c r="C33" s="12" t="inlineStr">
        <x:is>
          <x:t xml:space="preserve">Google AI Pro</x:t>
        </x:is>
      </x:c>
      <x:c r="D33" s="70" t="n">
        <x:v>19.99</x:v>
      </x:c>
      <x:c r="E33" s="12" t="inlineStr">
        <x:is>
          <x:t xml:space="preserve">Gemini 3.8 Flash</x:t>
        </x:is>
      </x:c>
      <x:c r="F33" s="12" t="inlineStr">
        <x:is>
          <x:t xml:space="preserve">high</x:t>
        </x:is>
      </x:c>
      <x:c r="G33" s="12" t="inlineStr">
        <x:is>
          <x:t xml:space="preserve">google|gemini-3.8-flash|high|reasoning|fallback-na</x:t>
        </x:is>
      </x:c>
      <x:c r="H33" s="12" t="n">
        <x:f>IF(AF33="","",INDEX(Rankings!$I:$I,AF33))</x:f>
        <x:v>41</x:v>
      </x:c>
      <x:c r="I33" s="12" t="n">
        <x:f>IF(AF33="","",INDEX(Rankings!$L:$L,AF33))</x:f>
        <x:v>311</x:v>
      </x:c>
      <x:c r="J33" s="12" t="n">
        <x:f>IF(AF33="","",INDEX(Rankings!$J:$J,AF33))</x:f>
        <x:v>1.24</x:v>
      </x:c>
      <x:c r="K33" s="12" t="n">
        <x:f>IF(AF33="","",INDEX(Rankings!$K:$K,AF33))</x:f>
        <x:v>231.29</x:v>
      </x:c>
      <x:c r="L33" s="12" t="n"/>
      <x:c r="M33" s="12" t="n"/>
      <x:c r="N33" s="12" t="n"/>
      <x:c r="O33" s="12" t="n">
        <x:v>144</x:v>
      </x:c>
      <x:c r="P33" s="12" t="str">
        <x:f>IF(L33="","",L33*O33)</x:f>
      </x:c>
      <x:c r="Q33" s="12" t="str">
        <x:f>IF(M33="","",M33*O33)</x:f>
      </x:c>
      <x:c r="R33" s="70" t="str">
        <x:f>IF(N33="","",N33)</x:f>
      </x:c>
      <x:c r="S33" s="70" t="str">
        <x:f>IF(N33="","",N33)</x:f>
      </x:c>
      <x:c r="T33" s="12" t="inlineStr">
        <x:is>
          <x:t xml:space="preserve">not estimated; see raw prompt×AA-cost proxy</x:t>
        </x:is>
      </x:c>
      <x:c r="U33" s="12" t="inlineStr">
        <x:is>
          <x:t xml:space="preserve">low</x:t>
        </x:is>
      </x:c>
      <x:c r="V33" s="71" t="str">
        <x:f>IF(OR(S33="",D33=0),"",S33/D33)</x:f>
      </x:c>
      <x:c r="W33" s="12" t="str">
        <x:f>IF(OR(S33="",J33="",J33=0),"",S33/J33)</x:f>
      </x:c>
      <x:c r="X33" s="12" t="str">
        <x:f>IF(OR(H33="",V33=""),"",H33*V33)</x:f>
      </x:c>
      <x:c r="Y33" s="12" t="str">
        <x:f>IF(OR(I33="",V33=""),"",I33*V33)</x:f>
      </x:c>
      <x:c r="Z33" s="12" t="str">
        <x:f>IF(OR(X33="",Y33=""),"",SQRT((X33/_xlfn.MAXIFS($X:$X,$A:$A,A33))*(Y33/_xlfn.MAXIFS($Y:$Y,$A:$A,A33))))</x:f>
      </x:c>
      <x:c r="AA33" s="12" t="str">
        <x:f>IF(Z33="","",(X33/_xlfn.MAXIFS($X:$X,$A:$A,A33))^0.7*(Y33/_xlfn.MAXIFS($Y:$Y,$A:$A,A33))^0.3)</x:f>
      </x:c>
      <x:c r="AB33" s="12" t="str">
        <x:f>IF(Z33="","",(X33/_xlfn.MAXIFS($X:$X,$A:$A,A33))^0.3*(Y33/_xlfn.MAXIFS($Y:$Y,$A:$A,A33))^0.7)</x:f>
      </x:c>
      <x:c r="AC33" s="12" t="inlineStr">
        <x:is>
          <x:t xml:space="preserve">https://one.google.com/about/plans</x:t>
        </x:is>
      </x:c>
      <x:c r="AD33" t="str">
        <x:f>IF(OR(P33="",J33=""),"",P33*J33)</x:f>
      </x:c>
      <x:c r="AE33" t="str">
        <x:f>IF(OR(Q33="",J33=""),"",Q33*J33)</x:f>
      </x:c>
      <x:c r="AF33" t="n">
        <x:v>66</x:v>
      </x:c>
      <x:c r="AG33" t="n">
        <x:f>IF(OR(H33="",I33=""),"",H33*I33)</x:f>
        <x:v>12751</x:v>
      </x:c>
      <x:c r="AH33" t="n">
        <x:f>IF(OR(H33="",J33="",J33=0),"",H33/J33)</x:f>
        <x:v>33.064516129032256</x:v>
      </x:c>
    </x:row>
    <x:row r="34">
      <x:c r="A34" s="12" t="inlineStr">
        <x:is>
          <x:t xml:space="preserve">direct-api-20</x:t>
        </x:is>
      </x:c>
      <x:c r="B34" s="12" t="inlineStr">
        <x:is>
          <x:t xml:space="preserve">Direct API</x:t>
        </x:is>
      </x:c>
      <x:c r="C34" s="12" t="inlineStr">
        <x:is>
          <x:t xml:space="preserve">$20 API budget</x:t>
        </x:is>
      </x:c>
      <x:c r="D34" s="70" t="n">
        <x:v>20</x:v>
      </x:c>
      <x:c r="E34" s="12" t="inlineStr">
        <x:is>
          <x:t xml:space="preserve">GPT-6 Luna</x:t>
        </x:is>
      </x:c>
      <x:c r="F34" s="12" t="inlineStr">
        <x:is>
          <x:t xml:space="preserve">non-reasoning</x:t>
        </x:is>
      </x:c>
      <x:c r="G34" s="12" t="inlineStr">
        <x:is>
          <x:t xml:space="preserve">openai|gpt-6-luna|non-reasoning|nonreasoning|fallback-na</x:t>
        </x:is>
      </x:c>
      <x:c r="H34" s="12" t="n">
        <x:f>IF(AF34="","",INDEX(Rankings!$I:$I,AF34))</x:f>
        <x:v>18</x:v>
      </x:c>
      <x:c r="I34" s="12" t="n">
        <x:f>IF(AF34="","",INDEX(Rankings!$L:$L,AF34))</x:f>
        <x:v>113</x:v>
      </x:c>
      <x:c r="J34" s="12" t="n">
        <x:f>IF(AF34="","",INDEX(Rankings!$J:$J,AF34))</x:f>
        <x:v>0.01</x:v>
      </x:c>
      <x:c r="K34" s="12" t="e">
        <x:f>IF(AF34="","",INDEX(Rankings!$K:$K,AF34))</x:f>
        <x:v>#REF!</x:v>
      </x:c>
      <x:c r="L34" s="12" t="n"/>
      <x:c r="M34" s="12" t="n"/>
      <x:c r="N34" s="12" t="n">
        <x:v>20</x:v>
      </x:c>
      <x:c r="O34" s="12" t="n">
        <x:v>144</x:v>
      </x:c>
      <x:c r="P34" s="12" t="str">
        <x:f>IF(L34="","",L34*O34)</x:f>
      </x:c>
      <x:c r="Q34" s="12" t="str">
        <x:f>IF(M34="","",M34*O34)</x:f>
      </x:c>
      <x:c r="R34" s="70" t="n">
        <x:f>IF(N34="","",N34)</x:f>
        <x:v>20</x:v>
      </x:c>
      <x:c r="S34" s="70" t="n">
        <x:f>IF(N34="","",N34)</x:f>
        <x:v>20</x:v>
      </x:c>
      <x:c r="T34" s="12" t="inlineStr">
        <x:is>
          <x:t xml:space="preserve">published dollar cap / direct budget</x:t>
        </x:is>
      </x:c>
      <x:c r="U34" s="12" t="inlineStr">
        <x:is>
          <x:t xml:space="preserve">high</x:t>
        </x:is>
      </x:c>
      <x:c r="V34" s="71" t="n">
        <x:f>IF(OR(S34="",D34=0),"",S34/D34)</x:f>
        <x:v>1</x:v>
      </x:c>
      <x:c r="W34" s="12" t="n">
        <x:f>IF(OR(S34="",J34="",J34=0),"",S34/J34)</x:f>
        <x:v>2000</x:v>
      </x:c>
      <x:c r="X34" s="12" t="n">
        <x:f>IF(OR(H34="",V34=""),"",H34*V34)</x:f>
        <x:v>18</x:v>
      </x:c>
      <x:c r="Y34" s="12" t="n">
        <x:f>IF(OR(I34="",V34=""),"",I34*V34)</x:f>
        <x:v>113</x:v>
      </x:c>
      <x:c r="Z34" s="12" t="n">
        <x:f>IF(OR(X34="",Y34=""),"",SQRT((X34/_xlfn.MAXIFS($X:$X,$A:$A,A34))*(Y34/_xlfn.MAXIFS($Y:$Y,$A:$A,A34))))</x:f>
        <x:v>0.33580045711817624</x:v>
      </x:c>
      <x:c r="AA34" s="12" t="n">
        <x:f>IF(Z34="","",(X34/_xlfn.MAXIFS($X:$X,$A:$A,A34))^0.7*(Y34/_xlfn.MAXIFS($Y:$Y,$A:$A,A34))^0.3)</x:f>
        <x:v>0.3253767930724326</x:v>
      </x:c>
      <x:c r="AB34" s="12" t="n">
        <x:f>IF(Z34="","",(X34/_xlfn.MAXIFS($X:$X,$A:$A,A34))^0.3*(Y34/_xlfn.MAXIFS($Y:$Y,$A:$A,A34))^0.7)</x:f>
        <x:v>0.3465580502407683</x:v>
      </x:c>
      <x:c r="AC34" s="12" t="inlineStr">
        <x:is>
          <x:t xml:space="preserve">calculation baseline</x:t>
        </x:is>
      </x:c>
      <x:c r="AD34" t="str">
        <x:f>IF(OR(P34="",J34=""),"",P34*J34)</x:f>
      </x:c>
      <x:c r="AE34" t="str">
        <x:f>IF(OR(Q34="",J34=""),"",Q34*J34)</x:f>
      </x:c>
      <x:c r="AF34" t="n">
        <x:v>122</x:v>
      </x:c>
      <x:c r="AG34" t="n">
        <x:f>IF(OR(H34="",I34=""),"",H34*I34)</x:f>
        <x:v>2034</x:v>
      </x:c>
      <x:c r="AH34" t="n">
        <x:f>IF(OR(H34="",J34="",J34=0),"",H34/J34)</x:f>
        <x:v>1800</x:v>
      </x:c>
    </x:row>
    <x:row r="35">
      <x:c r="A35" s="12" t="inlineStr">
        <x:is>
          <x:t xml:space="preserve">direct-api-20</x:t>
        </x:is>
      </x:c>
      <x:c r="B35" s="12" t="inlineStr">
        <x:is>
          <x:t xml:space="preserve">Direct API</x:t>
        </x:is>
      </x:c>
      <x:c r="C35" s="12" t="inlineStr">
        <x:is>
          <x:t xml:space="preserve">$20 API budget</x:t>
        </x:is>
      </x:c>
      <x:c r="D35" s="70" t="n">
        <x:v>20</x:v>
      </x:c>
      <x:c r="E35" s="12" t="inlineStr">
        <x:is>
          <x:t xml:space="preserve">GPT-6 Luna</x:t>
        </x:is>
      </x:c>
      <x:c r="F35" s="12" t="inlineStr">
        <x:is>
          <x:t xml:space="preserve">low</x:t>
        </x:is>
      </x:c>
      <x:c r="G35" s="12" t="inlineStr">
        <x:is>
          <x:t xml:space="preserve">openai|gpt-6-luna|low|reasoning|fallback-na</x:t>
        </x:is>
      </x:c>
      <x:c r="H35" s="12" t="n">
        <x:f>IF(AF35="","",INDEX(Rankings!$I:$I,AF35))</x:f>
        <x:v>22</x:v>
      </x:c>
      <x:c r="I35" s="12" t="n">
        <x:f>IF(AF35="","",INDEX(Rankings!$L:$L,AF35))</x:f>
        <x:v>117.9</x:v>
      </x:c>
      <x:c r="J35" s="12" t="n">
        <x:f>IF(AF35="","",INDEX(Rankings!$J:$J,AF35))</x:f>
        <x:v>0.0045</x:v>
      </x:c>
      <x:c r="K35" s="12" t="e">
        <x:f>IF(AF35="","",INDEX(Rankings!$K:$K,AF35))</x:f>
        <x:v>#REF!</x:v>
      </x:c>
      <x:c r="L35" s="12" t="n"/>
      <x:c r="M35" s="12" t="n"/>
      <x:c r="N35" s="12" t="n">
        <x:v>20</x:v>
      </x:c>
      <x:c r="O35" s="12" t="n">
        <x:v>144</x:v>
      </x:c>
      <x:c r="P35" s="12" t="str">
        <x:f>IF(L35="","",L35*O35)</x:f>
      </x:c>
      <x:c r="Q35" s="12" t="str">
        <x:f>IF(M35="","",M35*O35)</x:f>
      </x:c>
      <x:c r="R35" s="70" t="n">
        <x:f>IF(N35="","",N35)</x:f>
        <x:v>20</x:v>
      </x:c>
      <x:c r="S35" s="70" t="n">
        <x:f>IF(N35="","",N35)</x:f>
        <x:v>20</x:v>
      </x:c>
      <x:c r="T35" s="12" t="inlineStr">
        <x:is>
          <x:t xml:space="preserve">published dollar cap / direct budget</x:t>
        </x:is>
      </x:c>
      <x:c r="U35" s="12" t="inlineStr">
        <x:is>
          <x:t xml:space="preserve">high</x:t>
        </x:is>
      </x:c>
      <x:c r="V35" s="71" t="n">
        <x:f>IF(OR(S35="",D35=0),"",S35/D35)</x:f>
        <x:v>1</x:v>
      </x:c>
      <x:c r="W35" s="12" t="n">
        <x:f>IF(OR(S35="",J35="",J35=0),"",S35/J35)</x:f>
        <x:v>4444.444444444444</x:v>
      </x:c>
      <x:c r="X35" s="12" t="n">
        <x:f>IF(OR(H35="",V35=""),"",H35*V35)</x:f>
        <x:v>22</x:v>
      </x:c>
      <x:c r="Y35" s="12" t="n">
        <x:f>IF(OR(I35="",V35=""),"",I35*V35)</x:f>
        <x:v>117.9</x:v>
      </x:c>
      <x:c r="Z35" s="12" t="n">
        <x:f>IF(OR(X35="",Y35=""),"",SQRT((X35/_xlfn.MAXIFS($X:$X,$A:$A,A35))*(Y35/_xlfn.MAXIFS($Y:$Y,$A:$A,A35))))</x:f>
        <x:v>0.37920499701269345</x:v>
      </x:c>
      <x:c r="AA35" s="12" t="n">
        <x:f>IF(Z35="","",(X35/_xlfn.MAXIFS($X:$X,$A:$A,A35))^0.7*(Y35/_xlfn.MAXIFS($Y:$Y,$A:$A,A35))^0.3)</x:f>
        <x:v>0.3792471326271405</x:v>
      </x:c>
      <x:c r="AB35" s="12" t="n">
        <x:f>IF(Z35="","",(X35/_xlfn.MAXIFS($X:$X,$A:$A,A35))^0.3*(Y35/_xlfn.MAXIFS($Y:$Y,$A:$A,A35))^0.7)</x:f>
        <x:v>0.379162866079653</x:v>
      </x:c>
      <x:c r="AC35" s="12" t="inlineStr">
        <x:is>
          <x:t xml:space="preserve">calculation baseline</x:t>
        </x:is>
      </x:c>
      <x:c r="AD35" t="str">
        <x:f>IF(OR(P35="",J35=""),"",P35*J35)</x:f>
      </x:c>
      <x:c r="AE35" t="str">
        <x:f>IF(OR(Q35="",J35=""),"",Q35*J35)</x:f>
      </x:c>
      <x:c r="AF35" t="n">
        <x:v>121</x:v>
      </x:c>
      <x:c r="AG35" t="n">
        <x:f>IF(OR(H35="",I35=""),"",H35*I35)</x:f>
        <x:v>2593.8</x:v>
      </x:c>
      <x:c r="AH35" t="n">
        <x:f>IF(OR(H35="",J35="",J35=0),"",H35/J35)</x:f>
        <x:v>4888.88888888889</x:v>
      </x:c>
    </x:row>
    <x:row r="36">
      <x:c r="A36" s="12" t="inlineStr">
        <x:is>
          <x:t xml:space="preserve">direct-api-20</x:t>
        </x:is>
      </x:c>
      <x:c r="B36" s="12" t="inlineStr">
        <x:is>
          <x:t xml:space="preserve">Direct API</x:t>
        </x:is>
      </x:c>
      <x:c r="C36" s="12" t="inlineStr">
        <x:is>
          <x:t xml:space="preserve">$20 API budget</x:t>
        </x:is>
      </x:c>
      <x:c r="D36" s="70" t="n">
        <x:v>20</x:v>
      </x:c>
      <x:c r="E36" s="12" t="inlineStr">
        <x:is>
          <x:t xml:space="preserve">GPT-6 Luna</x:t>
        </x:is>
      </x:c>
      <x:c r="F36" s="12" t="inlineStr">
        <x:is>
          <x:t xml:space="preserve">medium</x:t>
        </x:is>
      </x:c>
      <x:c r="G36" s="12" t="inlineStr">
        <x:is>
          <x:t xml:space="preserve">openai|gpt-6-luna|medium|reasoning|fallback-na</x:t>
        </x:is>
      </x:c>
      <x:c r="H36" s="12" t="n">
        <x:f>IF(AF36="","",INDEX(Rankings!$I:$I,AF36))</x:f>
        <x:v>30</x:v>
      </x:c>
      <x:c r="I36" s="12" t="str">
        <x:f>IF(AF36="","",INDEX(Rankings!$L:$L,AF36))</x:f>
      </x:c>
      <x:c r="J36" s="12" t="n">
        <x:f>IF(AF36="","",INDEX(Rankings!$J:$J,AF36))</x:f>
        <x:v>0.02</x:v>
      </x:c>
      <x:c r="K36" s="12" t="e">
        <x:f>IF(AF36="","",INDEX(Rankings!$K:$K,AF36))</x:f>
        <x:v>#REF!</x:v>
      </x:c>
      <x:c r="L36" s="12" t="n"/>
      <x:c r="M36" s="12" t="n"/>
      <x:c r="N36" s="12" t="n">
        <x:v>20</x:v>
      </x:c>
      <x:c r="O36" s="12" t="n">
        <x:v>144</x:v>
      </x:c>
      <x:c r="P36" s="12" t="str">
        <x:f>IF(L36="","",L36*O36)</x:f>
      </x:c>
      <x:c r="Q36" s="12" t="str">
        <x:f>IF(M36="","",M36*O36)</x:f>
      </x:c>
      <x:c r="R36" s="70" t="n">
        <x:f>IF(N36="","",N36)</x:f>
        <x:v>20</x:v>
      </x:c>
      <x:c r="S36" s="70" t="n">
        <x:f>IF(N36="","",N36)</x:f>
        <x:v>20</x:v>
      </x:c>
      <x:c r="T36" s="12" t="inlineStr">
        <x:is>
          <x:t xml:space="preserve">published dollar cap / direct budget</x:t>
        </x:is>
      </x:c>
      <x:c r="U36" s="12" t="inlineStr">
        <x:is>
          <x:t xml:space="preserve">high</x:t>
        </x:is>
      </x:c>
      <x:c r="V36" s="71" t="n">
        <x:f>IF(OR(S36="",D36=0),"",S36/D36)</x:f>
        <x:v>1</x:v>
      </x:c>
      <x:c r="W36" s="12" t="n">
        <x:f>IF(OR(S36="",J36="",J36=0),"",S36/J36)</x:f>
        <x:v>1000</x:v>
      </x:c>
      <x:c r="X36" s="12" t="n">
        <x:f>IF(OR(H36="",V36=""),"",H36*V36)</x:f>
        <x:v>30</x:v>
      </x:c>
      <x:c r="Y36" s="12" t="str">
        <x:f>IF(OR(I36="",V36=""),"",I36*V36)</x:f>
      </x:c>
      <x:c r="Z36" s="12" t="str">
        <x:f>IF(OR(X36="",Y36=""),"",SQRT((X36/_xlfn.MAXIFS($X:$X,$A:$A,A36))*(Y36/_xlfn.MAXIFS($Y:$Y,$A:$A,A36))))</x:f>
      </x:c>
      <x:c r="AA36" s="12" t="str">
        <x:f>IF(Z36="","",(X36/_xlfn.MAXIFS($X:$X,$A:$A,A36))^0.7*(Y36/_xlfn.MAXIFS($Y:$Y,$A:$A,A36))^0.3)</x:f>
      </x:c>
      <x:c r="AB36" s="12" t="str">
        <x:f>IF(Z36="","",(X36/_xlfn.MAXIFS($X:$X,$A:$A,A36))^0.3*(Y36/_xlfn.MAXIFS($Y:$Y,$A:$A,A36))^0.7)</x:f>
      </x:c>
      <x:c r="AC36" s="12" t="inlineStr">
        <x:is>
          <x:t xml:space="preserve">calculation baseline</x:t>
        </x:is>
      </x:c>
      <x:c r="AD36" t="str">
        <x:f>IF(OR(P36="",J36=""),"",P36*J36)</x:f>
      </x:c>
      <x:c r="AE36" t="str">
        <x:f>IF(OR(Q36="",J36=""),"",Q36*J36)</x:f>
      </x:c>
      <x:c r="AF36" t="n">
        <x:v>120</x:v>
      </x:c>
      <x:c r="AG36" t="str">
        <x:f>IF(OR(H36="",I36=""),"",H36*I36)</x:f>
      </x:c>
      <x:c r="AH36" t="n">
        <x:f>IF(OR(H36="",J36="",J36=0),"",H36/J36)</x:f>
        <x:v>1500</x:v>
      </x:c>
    </x:row>
    <x:row r="37">
      <x:c r="A37" s="12" t="inlineStr">
        <x:is>
          <x:t xml:space="preserve">direct-api-20</x:t>
        </x:is>
      </x:c>
      <x:c r="B37" s="12" t="inlineStr">
        <x:is>
          <x:t xml:space="preserve">Direct API</x:t>
        </x:is>
      </x:c>
      <x:c r="C37" s="12" t="inlineStr">
        <x:is>
          <x:t xml:space="preserve">$20 API budget</x:t>
        </x:is>
      </x:c>
      <x:c r="D37" s="70" t="n">
        <x:v>20</x:v>
      </x:c>
      <x:c r="E37" s="12" t="inlineStr">
        <x:is>
          <x:t xml:space="preserve">GPT-6 Luna</x:t>
        </x:is>
      </x:c>
      <x:c r="F37" s="12" t="inlineStr">
        <x:is>
          <x:t xml:space="preserve">high</x:t>
        </x:is>
      </x:c>
      <x:c r="G37" s="12" t="inlineStr">
        <x:is>
          <x:t xml:space="preserve">openai|gpt-6-luna|high|reasoning|fallback-na</x:t>
        </x:is>
      </x:c>
      <x:c r="H37" s="12" t="n">
        <x:f>IF(AF37="","",INDEX(Rankings!$I:$I,AF37))</x:f>
        <x:v>33</x:v>
      </x:c>
      <x:c r="I37" s="12" t="n">
        <x:f>IF(AF37="","",INDEX(Rankings!$L:$L,AF37))</x:f>
        <x:v>120.2</x:v>
      </x:c>
      <x:c r="J37" s="12" t="n">
        <x:f>IF(AF37="","",INDEX(Rankings!$J:$J,AF37))</x:f>
        <x:v>0.03</x:v>
      </x:c>
      <x:c r="K37" s="12" t="e">
        <x:f>IF(AF37="","",INDEX(Rankings!$K:$K,AF37))</x:f>
        <x:v>#REF!</x:v>
      </x:c>
      <x:c r="L37" s="12" t="n"/>
      <x:c r="M37" s="12" t="n"/>
      <x:c r="N37" s="12" t="n">
        <x:v>20</x:v>
      </x:c>
      <x:c r="O37" s="12" t="n">
        <x:v>144</x:v>
      </x:c>
      <x:c r="P37" s="12" t="str">
        <x:f>IF(L37="","",L37*O37)</x:f>
      </x:c>
      <x:c r="Q37" s="12" t="str">
        <x:f>IF(M37="","",M37*O37)</x:f>
      </x:c>
      <x:c r="R37" s="70" t="n">
        <x:f>IF(N37="","",N37)</x:f>
        <x:v>20</x:v>
      </x:c>
      <x:c r="S37" s="70" t="n">
        <x:f>IF(N37="","",N37)</x:f>
        <x:v>20</x:v>
      </x:c>
      <x:c r="T37" s="12" t="inlineStr">
        <x:is>
          <x:t xml:space="preserve">published dollar cap / direct budget</x:t>
        </x:is>
      </x:c>
      <x:c r="U37" s="12" t="inlineStr">
        <x:is>
          <x:t xml:space="preserve">high</x:t>
        </x:is>
      </x:c>
      <x:c r="V37" s="71" t="n">
        <x:f>IF(OR(S37="",D37=0),"",S37/D37)</x:f>
        <x:v>1</x:v>
      </x:c>
      <x:c r="W37" s="12" t="n">
        <x:f>IF(OR(S37="",J37="",J37=0),"",S37/J37)</x:f>
        <x:v>666.6666666666667</x:v>
      </x:c>
      <x:c r="X37" s="12" t="n">
        <x:f>IF(OR(H37="",V37=""),"",H37*V37)</x:f>
        <x:v>33</x:v>
      </x:c>
      <x:c r="Y37" s="12" t="n">
        <x:f>IF(OR(I37="",V37=""),"",I37*V37)</x:f>
        <x:v>120.2</x:v>
      </x:c>
      <x:c r="Z37" s="12" t="n">
        <x:f>IF(OR(X37="",Y37=""),"",SQRT((X37/_xlfn.MAXIFS($X:$X,$A:$A,A37))*(Y37/_xlfn.MAXIFS($Y:$Y,$A:$A,A37))))</x:f>
        <x:v>0.46893755256656333</x:v>
      </x:c>
      <x:c r="AA37" s="12" t="n">
        <x:f>IF(Z37="","",(X37/_xlfn.MAXIFS($X:$X,$A:$A,A37))^0.7*(Y37/_xlfn.MAXIFS($Y:$Y,$A:$A,A37))^0.3)</x:f>
        <x:v>0.506644562513647</x:v>
      </x:c>
      <x:c r="AB37" s="12" t="n">
        <x:f>IF(Z37="","",(X37/_xlfn.MAXIFS($X:$X,$A:$A,A37))^0.3*(Y37/_xlfn.MAXIFS($Y:$Y,$A:$A,A37))^0.7)</x:f>
        <x:v>0.4340368859701224</x:v>
      </x:c>
      <x:c r="AC37" s="12" t="inlineStr">
        <x:is>
          <x:t xml:space="preserve">calculation baseline</x:t>
        </x:is>
      </x:c>
      <x:c r="AD37" t="str">
        <x:f>IF(OR(P37="",J37=""),"",P37*J37)</x:f>
      </x:c>
      <x:c r="AE37" t="str">
        <x:f>IF(OR(Q37="",J37=""),"",Q37*J37)</x:f>
      </x:c>
      <x:c r="AF37" t="n">
        <x:v>119</x:v>
      </x:c>
      <x:c r="AG37" t="n">
        <x:f>IF(OR(H37="",I37=""),"",H37*I37)</x:f>
        <x:v>3966.6</x:v>
      </x:c>
      <x:c r="AH37" t="n">
        <x:f>IF(OR(H37="",J37="",J37=0),"",H37/J37)</x:f>
        <x:v>1100</x:v>
      </x:c>
    </x:row>
    <x:row r="38">
      <x:c r="A38" s="12" t="inlineStr">
        <x:is>
          <x:t xml:space="preserve">direct-api-20</x:t>
        </x:is>
      </x:c>
      <x:c r="B38" s="12" t="inlineStr">
        <x:is>
          <x:t xml:space="preserve">Direct API</x:t>
        </x:is>
      </x:c>
      <x:c r="C38" s="12" t="inlineStr">
        <x:is>
          <x:t xml:space="preserve">$20 API budget</x:t>
        </x:is>
      </x:c>
      <x:c r="D38" s="70" t="n">
        <x:v>20</x:v>
      </x:c>
      <x:c r="E38" s="12" t="inlineStr">
        <x:is>
          <x:t xml:space="preserve">GPT-6 Luna</x:t>
        </x:is>
      </x:c>
      <x:c r="F38" s="12" t="inlineStr">
        <x:is>
          <x:t xml:space="preserve">xhigh</x:t>
        </x:is>
      </x:c>
      <x:c r="G38" s="12" t="inlineStr">
        <x:is>
          <x:t xml:space="preserve">openai|gpt-6-luna|xhigh|reasoning|fallback-na</x:t>
        </x:is>
      </x:c>
      <x:c r="H38" s="12" t="n">
        <x:f>IF(AF38="","",INDEX(Rankings!$I:$I,AF38))</x:f>
        <x:v>35</x:v>
      </x:c>
      <x:c r="I38" s="12" t="n">
        <x:f>IF(AF38="","",INDEX(Rankings!$L:$L,AF38))</x:f>
        <x:v>114.7</x:v>
      </x:c>
      <x:c r="J38" s="12" t="n">
        <x:f>IF(AF38="","",INDEX(Rankings!$J:$J,AF38))</x:f>
        <x:v>0.04</x:v>
      </x:c>
      <x:c r="K38" s="12" t="e">
        <x:f>IF(AF38="","",INDEX(Rankings!$K:$K,AF38))</x:f>
        <x:v>#REF!</x:v>
      </x:c>
      <x:c r="L38" s="12" t="n"/>
      <x:c r="M38" s="12" t="n"/>
      <x:c r="N38" s="12" t="n">
        <x:v>20</x:v>
      </x:c>
      <x:c r="O38" s="12" t="n">
        <x:v>144</x:v>
      </x:c>
      <x:c r="P38" s="12" t="str">
        <x:f>IF(L38="","",L38*O38)</x:f>
      </x:c>
      <x:c r="Q38" s="12" t="str">
        <x:f>IF(M38="","",M38*O38)</x:f>
      </x:c>
      <x:c r="R38" s="70" t="n">
        <x:f>IF(N38="","",N38)</x:f>
        <x:v>20</x:v>
      </x:c>
      <x:c r="S38" s="70" t="n">
        <x:f>IF(N38="","",N38)</x:f>
        <x:v>20</x:v>
      </x:c>
      <x:c r="T38" s="12" t="inlineStr">
        <x:is>
          <x:t xml:space="preserve">published dollar cap / direct budget</x:t>
        </x:is>
      </x:c>
      <x:c r="U38" s="12" t="inlineStr">
        <x:is>
          <x:t xml:space="preserve">high</x:t>
        </x:is>
      </x:c>
      <x:c r="V38" s="71" t="n">
        <x:f>IF(OR(S38="",D38=0),"",S38/D38)</x:f>
        <x:v>1</x:v>
      </x:c>
      <x:c r="W38" s="12" t="n">
        <x:f>IF(OR(S38="",J38="",J38=0),"",S38/J38)</x:f>
        <x:v>500</x:v>
      </x:c>
      <x:c r="X38" s="12" t="n">
        <x:f>IF(OR(H38="",V38=""),"",H38*V38)</x:f>
        <x:v>35</x:v>
      </x:c>
      <x:c r="Y38" s="12" t="n">
        <x:f>IF(OR(I38="",V38=""),"",I38*V38)</x:f>
        <x:v>114.7</x:v>
      </x:c>
      <x:c r="Z38" s="12" t="n">
        <x:f>IF(OR(X38="",Y38=""),"",SQRT((X38/_xlfn.MAXIFS($X:$X,$A:$A,A38))*(Y38/_xlfn.MAXIFS($Y:$Y,$A:$A,A38))))</x:f>
        <x:v>0.4717604617303399</x:v>
      </x:c>
      <x:c r="AA38" s="12" t="n">
        <x:f>IF(Z38="","",(X38/_xlfn.MAXIFS($X:$X,$A:$A,A38))^0.7*(Y38/_xlfn.MAXIFS($Y:$Y,$A:$A,A38))^0.3)</x:f>
        <x:v>0.5205817562407428</x:v>
      </x:c>
      <x:c r="AB38" s="12" t="n">
        <x:f>IF(Z38="","",(X38/_xlfn.MAXIFS($X:$X,$A:$A,A38))^0.3*(Y38/_xlfn.MAXIFS($Y:$Y,$A:$A,A38))^0.7)</x:f>
        <x:v>0.4275177348879312</x:v>
      </x:c>
      <x:c r="AC38" s="12" t="inlineStr">
        <x:is>
          <x:t xml:space="preserve">calculation baseline</x:t>
        </x:is>
      </x:c>
      <x:c r="AD38" t="str">
        <x:f>IF(OR(P38="",J38=""),"",P38*J38)</x:f>
      </x:c>
      <x:c r="AE38" t="str">
        <x:f>IF(OR(Q38="",J38=""),"",Q38*J38)</x:f>
      </x:c>
      <x:c r="AF38" t="n">
        <x:v>118</x:v>
      </x:c>
      <x:c r="AG38" t="n">
        <x:f>IF(OR(H38="",I38=""),"",H38*I38)</x:f>
        <x:v>4014.5</x:v>
      </x:c>
      <x:c r="AH38" t="n">
        <x:f>IF(OR(H38="",J38="",J38=0),"",H38/J38)</x:f>
        <x:v>875</x:v>
      </x:c>
    </x:row>
    <x:row r="39">
      <x:c r="A39" s="12" t="inlineStr">
        <x:is>
          <x:t xml:space="preserve">direct-api-20</x:t>
        </x:is>
      </x:c>
      <x:c r="B39" s="12" t="inlineStr">
        <x:is>
          <x:t xml:space="preserve">Direct API</x:t>
        </x:is>
      </x:c>
      <x:c r="C39" s="12" t="inlineStr">
        <x:is>
          <x:t xml:space="preserve">$20 API budget</x:t>
        </x:is>
      </x:c>
      <x:c r="D39" s="70" t="n">
        <x:v>20</x:v>
      </x:c>
      <x:c r="E39" s="12" t="inlineStr">
        <x:is>
          <x:t xml:space="preserve">GPT-6 Luna</x:t>
        </x:is>
      </x:c>
      <x:c r="F39" s="12" t="inlineStr">
        <x:is>
          <x:t xml:space="preserve">max</x:t>
        </x:is>
      </x:c>
      <x:c r="G39" s="12" t="inlineStr">
        <x:is>
          <x:t xml:space="preserve">openai|gpt-6-luna|max|reasoning|fallback-na</x:t>
        </x:is>
      </x:c>
      <x:c r="H39" s="12" t="n">
        <x:f>IF(AF39="","",INDEX(Rankings!$I:$I,AF39))</x:f>
        <x:v>38</x:v>
      </x:c>
      <x:c r="I39" s="12" t="n">
        <x:f>IF(AF39="","",INDEX(Rankings!$L:$L,AF39))</x:f>
        <x:v>122.1</x:v>
      </x:c>
      <x:c r="J39" s="12" t="n">
        <x:f>IF(AF39="","",INDEX(Rankings!$J:$J,AF39))</x:f>
        <x:v>0.07</x:v>
      </x:c>
      <x:c r="K39" s="12" t="str">
        <x:f>IF(AF39="","",INDEX(Rankings!$K:$K,AF39))</x:f>
      </x:c>
      <x:c r="L39" s="12" t="n"/>
      <x:c r="M39" s="12" t="n"/>
      <x:c r="N39" s="12" t="n">
        <x:v>20</x:v>
      </x:c>
      <x:c r="O39" s="12" t="n">
        <x:v>144</x:v>
      </x:c>
      <x:c r="P39" s="12" t="str">
        <x:f>IF(L39="","",L39*O39)</x:f>
      </x:c>
      <x:c r="Q39" s="12" t="str">
        <x:f>IF(M39="","",M39*O39)</x:f>
      </x:c>
      <x:c r="R39" s="70" t="n">
        <x:f>IF(N39="","",N39)</x:f>
        <x:v>20</x:v>
      </x:c>
      <x:c r="S39" s="70" t="n">
        <x:f>IF(N39="","",N39)</x:f>
        <x:v>20</x:v>
      </x:c>
      <x:c r="T39" s="12" t="inlineStr">
        <x:is>
          <x:t xml:space="preserve">published dollar cap / direct budget</x:t>
        </x:is>
      </x:c>
      <x:c r="U39" s="12" t="inlineStr">
        <x:is>
          <x:t xml:space="preserve">high</x:t>
        </x:is>
      </x:c>
      <x:c r="V39" s="71" t="n">
        <x:f>IF(OR(S39="",D39=0),"",S39/D39)</x:f>
        <x:v>1</x:v>
      </x:c>
      <x:c r="W39" s="12" t="n">
        <x:f>IF(OR(S39="",J39="",J39=0),"",S39/J39)</x:f>
        <x:v>285.71428571428567</x:v>
      </x:c>
      <x:c r="X39" s="12" t="n">
        <x:f>IF(OR(H39="",V39=""),"",H39*V39)</x:f>
        <x:v>38</x:v>
      </x:c>
      <x:c r="Y39" s="12" t="n">
        <x:f>IF(OR(I39="",V39=""),"",I39*V39)</x:f>
        <x:v>122.1</x:v>
      </x:c>
      <x:c r="Z39" s="12" t="n">
        <x:f>IF(OR(X39="",Y39=""),"",SQRT((X39/_xlfn.MAXIFS($X:$X,$A:$A,A39))*(Y39/_xlfn.MAXIFS($Y:$Y,$A:$A,A39))))</x:f>
        <x:v>0.5071721985522928</x:v>
      </x:c>
      <x:c r="AA39" s="12" t="n">
        <x:f>IF(Z39="","",(X39/_xlfn.MAXIFS($X:$X,$A:$A,A39))^0.7*(Y39/_xlfn.MAXIFS($Y:$Y,$A:$A,A39))^0.3)</x:f>
        <x:v>0.5618695604377351</x:v>
      </x:c>
      <x:c r="AB39" s="12" t="n">
        <x:f>IF(Z39="","",(X39/_xlfn.MAXIFS($X:$X,$A:$A,A39))^0.3*(Y39/_xlfn.MAXIFS($Y:$Y,$A:$A,A39))^0.7)</x:f>
        <x:v>0.45779956256034127</x:v>
      </x:c>
      <x:c r="AC39" s="12" t="inlineStr">
        <x:is>
          <x:t xml:space="preserve">calculation baseline</x:t>
        </x:is>
      </x:c>
      <x:c r="AD39" t="str">
        <x:f>IF(OR(P39="",J39=""),"",P39*J39)</x:f>
      </x:c>
      <x:c r="AE39" t="str">
        <x:f>IF(OR(Q39="",J39=""),"",Q39*J39)</x:f>
      </x:c>
      <x:c r="AF39" t="n">
        <x:v>90</x:v>
      </x:c>
      <x:c r="AG39" t="n">
        <x:f>IF(OR(H39="",I39=""),"",H39*I39)</x:f>
        <x:v>4639.8</x:v>
      </x:c>
      <x:c r="AH39" t="n">
        <x:f>IF(OR(H39="",J39="",J39=0),"",H39/J39)</x:f>
        <x:v>542.8571428571428</x:v>
      </x:c>
    </x:row>
    <x:row r="40">
      <x:c r="A40" s="12" t="inlineStr">
        <x:is>
          <x:t xml:space="preserve">direct-api-20</x:t>
        </x:is>
      </x:c>
      <x:c r="B40" s="12" t="inlineStr">
        <x:is>
          <x:t xml:space="preserve">Direct API</x:t>
        </x:is>
      </x:c>
      <x:c r="C40" s="12" t="inlineStr">
        <x:is>
          <x:t xml:space="preserve">$20 API budget</x:t>
        </x:is>
      </x:c>
      <x:c r="D40" s="70" t="n">
        <x:v>20</x:v>
      </x:c>
      <x:c r="E40" s="12" t="inlineStr">
        <x:is>
          <x:t xml:space="preserve">GPT-6 Sol</x:t>
        </x:is>
      </x:c>
      <x:c r="F40" s="12" t="inlineStr">
        <x:is>
          <x:t xml:space="preserve">non-reasoning</x:t>
        </x:is>
      </x:c>
      <x:c r="G40" s="12" t="inlineStr">
        <x:is>
          <x:t xml:space="preserve">openai|gpt-6-sol|non-reasoning|nonreasoning|fallback-na</x:t>
        </x:is>
      </x:c>
      <x:c r="H40" s="12" t="n">
        <x:f>IF(AF40="","",INDEX(Rankings!$I:$I,AF40))</x:f>
        <x:v>28</x:v>
      </x:c>
      <x:c r="I40" s="12" t="n">
        <x:f>IF(AF40="","",INDEX(Rankings!$L:$L,AF40))</x:f>
        <x:v>79</x:v>
      </x:c>
      <x:c r="J40" s="12" t="n">
        <x:f>IF(AF40="","",INDEX(Rankings!$J:$J,AF40))</x:f>
        <x:v>0.33</x:v>
      </x:c>
      <x:c r="K40" s="12" t="n">
        <x:f>IF(AF40="","",INDEX(Rankings!$K:$K,AF40))</x:f>
        <x:v>61.89</x:v>
      </x:c>
      <x:c r="L40" s="12" t="n"/>
      <x:c r="M40" s="12" t="n"/>
      <x:c r="N40" s="12" t="n">
        <x:v>20</x:v>
      </x:c>
      <x:c r="O40" s="12" t="n">
        <x:v>144</x:v>
      </x:c>
      <x:c r="P40" s="12" t="str">
        <x:f>IF(L40="","",L40*O40)</x:f>
      </x:c>
      <x:c r="Q40" s="12" t="str">
        <x:f>IF(M40="","",M40*O40)</x:f>
      </x:c>
      <x:c r="R40" s="70" t="n">
        <x:f>IF(N40="","",N40)</x:f>
        <x:v>20</x:v>
      </x:c>
      <x:c r="S40" s="70" t="n">
        <x:f>IF(N40="","",N40)</x:f>
        <x:v>20</x:v>
      </x:c>
      <x:c r="T40" s="12" t="inlineStr">
        <x:is>
          <x:t xml:space="preserve">published dollar cap / direct budget</x:t>
        </x:is>
      </x:c>
      <x:c r="U40" s="12" t="inlineStr">
        <x:is>
          <x:t xml:space="preserve">high</x:t>
        </x:is>
      </x:c>
      <x:c r="V40" s="71" t="n">
        <x:f>IF(OR(S40="",D40=0),"",S40/D40)</x:f>
        <x:v>1</x:v>
      </x:c>
      <x:c r="W40" s="12" t="n">
        <x:f>IF(OR(S40="",J40="",J40=0),"",S40/J40)</x:f>
        <x:v>60.6060606060606</x:v>
      </x:c>
      <x:c r="X40" s="12" t="n">
        <x:f>IF(OR(H40="",V40=""),"",H40*V40)</x:f>
        <x:v>28</x:v>
      </x:c>
      <x:c r="Y40" s="12" t="n">
        <x:f>IF(OR(I40="",V40=""),"",I40*V40)</x:f>
        <x:v>79</x:v>
      </x:c>
      <x:c r="Z40" s="12" t="n">
        <x:f>IF(OR(X40="",Y40=""),"",SQRT((X40/_xlfn.MAXIFS($X:$X,$A:$A,A40))*(Y40/_xlfn.MAXIFS($Y:$Y,$A:$A,A40))))</x:f>
        <x:v>0.35018566979005744</x:v>
      </x:c>
      <x:c r="AA40" s="12" t="n">
        <x:f>IF(Z40="","",(X40/_xlfn.MAXIFS($X:$X,$A:$A,A40))^0.7*(Y40/_xlfn.MAXIFS($Y:$Y,$A:$A,A40))^0.3)</x:f>
        <x:v>0.3981722938808077</x:v>
      </x:c>
      <x:c r="AB40" s="12" t="n">
        <x:f>IF(Z40="","",(X40/_xlfn.MAXIFS($X:$X,$A:$A,A40))^0.3*(Y40/_xlfn.MAXIFS($Y:$Y,$A:$A,A40))^0.7)</x:f>
        <x:v>0.30798226097323655</x:v>
      </x:c>
      <x:c r="AC40" s="12" t="inlineStr">
        <x:is>
          <x:t xml:space="preserve">calculation baseline</x:t>
        </x:is>
      </x:c>
      <x:c r="AD40" t="str">
        <x:f>IF(OR(P40="",J40=""),"",P40*J40)</x:f>
      </x:c>
      <x:c r="AE40" t="str">
        <x:f>IF(OR(Q40="",J40=""),"",Q40*J40)</x:f>
      </x:c>
      <x:c r="AF40" t="n">
        <x:v>10</x:v>
      </x:c>
      <x:c r="AG40" t="n">
        <x:f>IF(OR(H40="",I40=""),"",H40*I40)</x:f>
        <x:v>2212</x:v>
      </x:c>
      <x:c r="AH40" t="n">
        <x:f>IF(OR(H40="",J40="",J40=0),"",H40/J40)</x:f>
        <x:v>84.84848484848484</x:v>
      </x:c>
    </x:row>
    <x:row r="41">
      <x:c r="A41" s="12" t="inlineStr">
        <x:is>
          <x:t xml:space="preserve">direct-api-20</x:t>
        </x:is>
      </x:c>
      <x:c r="B41" s="12" t="inlineStr">
        <x:is>
          <x:t xml:space="preserve">Direct API</x:t>
        </x:is>
      </x:c>
      <x:c r="C41" s="12" t="inlineStr">
        <x:is>
          <x:t xml:space="preserve">$20 API budget</x:t>
        </x:is>
      </x:c>
      <x:c r="D41" s="70" t="n">
        <x:v>20</x:v>
      </x:c>
      <x:c r="E41" s="12" t="inlineStr">
        <x:is>
          <x:t xml:space="preserve">GPT-6 Sol</x:t>
        </x:is>
      </x:c>
      <x:c r="F41" s="12" t="inlineStr">
        <x:is>
          <x:t xml:space="preserve">low</x:t>
        </x:is>
      </x:c>
      <x:c r="G41" s="12" t="inlineStr">
        <x:is>
          <x:t xml:space="preserve">openai|gpt-6-sol|low|reasoning|fallback-na</x:t>
        </x:is>
      </x:c>
      <x:c r="H41" s="12" t="n">
        <x:f>IF(AF41="","",INDEX(Rankings!$I:$I,AF41))</x:f>
        <x:v>34</x:v>
      </x:c>
      <x:c r="I41" s="12" t="n">
        <x:f>IF(AF41="","",INDEX(Rankings!$L:$L,AF41))</x:f>
        <x:v>82</x:v>
      </x:c>
      <x:c r="J41" s="12" t="n">
        <x:f>IF(AF41="","",INDEX(Rankings!$J:$J,AF41))</x:f>
        <x:v>0.13</x:v>
      </x:c>
      <x:c r="K41" s="12" t="n">
        <x:f>IF(AF41="","",INDEX(Rankings!$K:$K,AF41))</x:f>
        <x:v>41.07</x:v>
      </x:c>
      <x:c r="L41" s="12" t="n"/>
      <x:c r="M41" s="12" t="n"/>
      <x:c r="N41" s="12" t="n">
        <x:v>20</x:v>
      </x:c>
      <x:c r="O41" s="12" t="n">
        <x:v>144</x:v>
      </x:c>
      <x:c r="P41" s="12" t="str">
        <x:f>IF(L41="","",L41*O41)</x:f>
      </x:c>
      <x:c r="Q41" s="12" t="str">
        <x:f>IF(M41="","",M41*O41)</x:f>
      </x:c>
      <x:c r="R41" s="70" t="n">
        <x:f>IF(N41="","",N41)</x:f>
        <x:v>20</x:v>
      </x:c>
      <x:c r="S41" s="70" t="n">
        <x:f>IF(N41="","",N41)</x:f>
        <x:v>20</x:v>
      </x:c>
      <x:c r="T41" s="12" t="inlineStr">
        <x:is>
          <x:t xml:space="preserve">published dollar cap / direct budget</x:t>
        </x:is>
      </x:c>
      <x:c r="U41" s="12" t="inlineStr">
        <x:is>
          <x:t xml:space="preserve">high</x:t>
        </x:is>
      </x:c>
      <x:c r="V41" s="71" t="n">
        <x:f>IF(OR(S41="",D41=0),"",S41/D41)</x:f>
        <x:v>1</x:v>
      </x:c>
      <x:c r="W41" s="12" t="n">
        <x:f>IF(OR(S41="",J41="",J41=0),"",S41/J41)</x:f>
        <x:v>153.84615384615384</x:v>
      </x:c>
      <x:c r="X41" s="12" t="n">
        <x:f>IF(OR(H41="",V41=""),"",H41*V41)</x:f>
        <x:v>34</x:v>
      </x:c>
      <x:c r="Y41" s="12" t="n">
        <x:f>IF(OR(I41="",V41=""),"",I41*V41)</x:f>
        <x:v>82</x:v>
      </x:c>
      <x:c r="Z41" s="12" t="n">
        <x:f>IF(OR(X41="",Y41=""),"",SQRT((X41/_xlfn.MAXIFS($X:$X,$A:$A,A41))*(Y41/_xlfn.MAXIFS($Y:$Y,$A:$A,A41))))</x:f>
        <x:v>0.3931444900893218</x:v>
      </x:c>
      <x:c r="AA41" s="12" t="n">
        <x:f>IF(Z41="","",(X41/_xlfn.MAXIFS($X:$X,$A:$A,A41))^0.7*(Y41/_xlfn.MAXIFS($Y:$Y,$A:$A,A41))^0.3)</x:f>
        <x:v>0.46126625658226755</x:v>
      </x:c>
      <x:c r="AB41" s="12" t="n">
        <x:f>IF(Z41="","",(X41/_xlfn.MAXIFS($X:$X,$A:$A,A41))^0.3*(Y41/_xlfn.MAXIFS($Y:$Y,$A:$A,A41))^0.7)</x:f>
        <x:v>0.3350832363780904</x:v>
      </x:c>
      <x:c r="AC41" s="12" t="inlineStr">
        <x:is>
          <x:t xml:space="preserve">calculation baseline</x:t>
        </x:is>
      </x:c>
      <x:c r="AD41" t="str">
        <x:f>IF(OR(P41="",J41=""),"",P41*J41)</x:f>
      </x:c>
      <x:c r="AE41" t="str">
        <x:f>IF(OR(Q41="",J41=""),"",Q41*J41)</x:f>
      </x:c>
      <x:c r="AF41" t="n">
        <x:v>11</x:v>
      </x:c>
      <x:c r="AG41" t="n">
        <x:f>IF(OR(H41="",I41=""),"",H41*I41)</x:f>
        <x:v>2788</x:v>
      </x:c>
      <x:c r="AH41" t="n">
        <x:f>IF(OR(H41="",J41="",J41=0),"",H41/J41)</x:f>
        <x:v>261.53846153846155</x:v>
      </x:c>
    </x:row>
    <x:row r="42">
      <x:c r="A42" s="12" t="inlineStr">
        <x:is>
          <x:t xml:space="preserve">direct-api-20</x:t>
        </x:is>
      </x:c>
      <x:c r="B42" s="12" t="inlineStr">
        <x:is>
          <x:t xml:space="preserve">Direct API</x:t>
        </x:is>
      </x:c>
      <x:c r="C42" s="12" t="inlineStr">
        <x:is>
          <x:t xml:space="preserve">$20 API budget</x:t>
        </x:is>
      </x:c>
      <x:c r="D42" s="70" t="n">
        <x:v>20</x:v>
      </x:c>
      <x:c r="E42" s="12" t="inlineStr">
        <x:is>
          <x:t xml:space="preserve">GPT-6 Sol</x:t>
        </x:is>
      </x:c>
      <x:c r="F42" s="12" t="inlineStr">
        <x:is>
          <x:t xml:space="preserve">medium</x:t>
        </x:is>
      </x:c>
      <x:c r="G42" s="12" t="inlineStr">
        <x:is>
          <x:t xml:space="preserve">openai|gpt-6-sol|medium|reasoning|fallback-na</x:t>
        </x:is>
      </x:c>
      <x:c r="H42" s="12" t="n">
        <x:f>IF(AF42="","",INDEX(Rankings!$I:$I,AF42))</x:f>
        <x:v>40</x:v>
      </x:c>
      <x:c r="I42" s="12" t="str">
        <x:f>IF(AF42="","",INDEX(Rankings!$L:$L,AF42))</x:f>
      </x:c>
      <x:c r="J42" s="12" t="n">
        <x:f>IF(AF42="","",INDEX(Rankings!$J:$J,AF42))</x:f>
        <x:v>0.25</x:v>
      </x:c>
      <x:c r="K42" s="12" t="str">
        <x:f>IF(AF42="","",INDEX(Rankings!$K:$K,AF42))</x:f>
      </x:c>
      <x:c r="L42" s="12" t="n"/>
      <x:c r="M42" s="12" t="n"/>
      <x:c r="N42" s="12" t="n">
        <x:v>20</x:v>
      </x:c>
      <x:c r="O42" s="12" t="n">
        <x:v>144</x:v>
      </x:c>
      <x:c r="P42" s="12" t="str">
        <x:f>IF(L42="","",L42*O42)</x:f>
      </x:c>
      <x:c r="Q42" s="12" t="str">
        <x:f>IF(M42="","",M42*O42)</x:f>
      </x:c>
      <x:c r="R42" s="70" t="n">
        <x:f>IF(N42="","",N42)</x:f>
        <x:v>20</x:v>
      </x:c>
      <x:c r="S42" s="70" t="n">
        <x:f>IF(N42="","",N42)</x:f>
        <x:v>20</x:v>
      </x:c>
      <x:c r="T42" s="12" t="inlineStr">
        <x:is>
          <x:t xml:space="preserve">published dollar cap / direct budget</x:t>
        </x:is>
      </x:c>
      <x:c r="U42" s="12" t="inlineStr">
        <x:is>
          <x:t xml:space="preserve">high</x:t>
        </x:is>
      </x:c>
      <x:c r="V42" s="71" t="n">
        <x:f>IF(OR(S42="",D42=0),"",S42/D42)</x:f>
        <x:v>1</x:v>
      </x:c>
      <x:c r="W42" s="12" t="n">
        <x:f>IF(OR(S42="",J42="",J42=0),"",S42/J42)</x:f>
        <x:v>80</x:v>
      </x:c>
      <x:c r="X42" s="12" t="n">
        <x:f>IF(OR(H42="",V42=""),"",H42*V42)</x:f>
        <x:v>40</x:v>
      </x:c>
      <x:c r="Y42" s="12" t="str">
        <x:f>IF(OR(I42="",V42=""),"",I42*V42)</x:f>
      </x:c>
      <x:c r="Z42" s="12" t="str">
        <x:f>IF(OR(X42="",Y42=""),"",SQRT((X42/_xlfn.MAXIFS($X:$X,$A:$A,A42))*(Y42/_xlfn.MAXIFS($Y:$Y,$A:$A,A42))))</x:f>
      </x:c>
      <x:c r="AA42" s="12" t="str">
        <x:f>IF(Z42="","",(X42/_xlfn.MAXIFS($X:$X,$A:$A,A42))^0.7*(Y42/_xlfn.MAXIFS($Y:$Y,$A:$A,A42))^0.3)</x:f>
      </x:c>
      <x:c r="AB42" s="12" t="str">
        <x:f>IF(Z42="","",(X42/_xlfn.MAXIFS($X:$X,$A:$A,A42))^0.3*(Y42/_xlfn.MAXIFS($Y:$Y,$A:$A,A42))^0.7)</x:f>
      </x:c>
      <x:c r="AC42" s="12" t="inlineStr">
        <x:is>
          <x:t xml:space="preserve">calculation baseline</x:t>
        </x:is>
      </x:c>
      <x:c r="AD42" t="str">
        <x:f>IF(OR(P42="",J42=""),"",P42*J42)</x:f>
      </x:c>
      <x:c r="AE42" t="str">
        <x:f>IF(OR(Q42="",J42=""),"",Q42*J42)</x:f>
      </x:c>
      <x:c r="AF42" t="n">
        <x:v>12</x:v>
      </x:c>
      <x:c r="AG42" t="str">
        <x:f>IF(OR(H42="",I42=""),"",H42*I42)</x:f>
      </x:c>
      <x:c r="AH42" t="n">
        <x:f>IF(OR(H42="",J42="",J42=0),"",H42/J42)</x:f>
        <x:v>160</x:v>
      </x:c>
    </x:row>
    <x:row r="43">
      <x:c r="A43" s="12" t="inlineStr">
        <x:is>
          <x:t xml:space="preserve">direct-api-20</x:t>
        </x:is>
      </x:c>
      <x:c r="B43" s="12" t="inlineStr">
        <x:is>
          <x:t xml:space="preserve">Direct API</x:t>
        </x:is>
      </x:c>
      <x:c r="C43" s="12" t="inlineStr">
        <x:is>
          <x:t xml:space="preserve">$20 API budget</x:t>
        </x:is>
      </x:c>
      <x:c r="D43" s="70" t="n">
        <x:v>20</x:v>
      </x:c>
      <x:c r="E43" s="12" t="inlineStr">
        <x:is>
          <x:t xml:space="preserve">GPT-6 Sol</x:t>
        </x:is>
      </x:c>
      <x:c r="F43" s="12" t="inlineStr">
        <x:is>
          <x:t xml:space="preserve">high</x:t>
        </x:is>
      </x:c>
      <x:c r="G43" s="12" t="inlineStr">
        <x:is>
          <x:t xml:space="preserve">openai|gpt-6-sol|high|reasoning|fallback-na</x:t>
        </x:is>
      </x:c>
      <x:c r="H43" s="12" t="n">
        <x:f>IF(AF43="","",INDEX(Rankings!$I:$I,AF43))</x:f>
        <x:v>43</x:v>
      </x:c>
      <x:c r="I43" s="12" t="n">
        <x:f>IF(AF43="","",INDEX(Rankings!$L:$L,AF43))</x:f>
        <x:v>81</x:v>
      </x:c>
      <x:c r="J43" s="12" t="n">
        <x:f>IF(AF43="","",INDEX(Rankings!$J:$J,AF43))</x:f>
        <x:v>0.37</x:v>
      </x:c>
      <x:c r="K43" s="12" t="n">
        <x:f>IF(AF43="","",INDEX(Rankings!$K:$K,AF43))</x:f>
        <x:v>126.07</x:v>
      </x:c>
      <x:c r="L43" s="12" t="n"/>
      <x:c r="M43" s="12" t="n"/>
      <x:c r="N43" s="12" t="n">
        <x:v>20</x:v>
      </x:c>
      <x:c r="O43" s="12" t="n">
        <x:v>144</x:v>
      </x:c>
      <x:c r="P43" s="12" t="str">
        <x:f>IF(L43="","",L43*O43)</x:f>
      </x:c>
      <x:c r="Q43" s="12" t="str">
        <x:f>IF(M43="","",M43*O43)</x:f>
      </x:c>
      <x:c r="R43" s="70" t="n">
        <x:f>IF(N43="","",N43)</x:f>
        <x:v>20</x:v>
      </x:c>
      <x:c r="S43" s="70" t="n">
        <x:f>IF(N43="","",N43)</x:f>
        <x:v>20</x:v>
      </x:c>
      <x:c r="T43" s="12" t="inlineStr">
        <x:is>
          <x:t xml:space="preserve">published dollar cap / direct budget</x:t>
        </x:is>
      </x:c>
      <x:c r="U43" s="12" t="inlineStr">
        <x:is>
          <x:t xml:space="preserve">high</x:t>
        </x:is>
      </x:c>
      <x:c r="V43" s="71" t="n">
        <x:f>IF(OR(S43="",D43=0),"",S43/D43)</x:f>
        <x:v>1</x:v>
      </x:c>
      <x:c r="W43" s="12" t="n">
        <x:f>IF(OR(S43="",J43="",J43=0),"",S43/J43)</x:f>
        <x:v>54.054054054054056</x:v>
      </x:c>
      <x:c r="X43" s="12" t="n">
        <x:f>IF(OR(H43="",V43=""),"",H43*V43)</x:f>
        <x:v>43</x:v>
      </x:c>
      <x:c r="Y43" s="12" t="n">
        <x:f>IF(OR(I43="",V43=""),"",I43*V43)</x:f>
        <x:v>81</x:v>
      </x:c>
      <x:c r="Z43" s="12" t="n">
        <x:f>IF(OR(X43="",Y43=""),"",SQRT((X43/_xlfn.MAXIFS($X:$X,$A:$A,A43))*(Y43/_xlfn.MAXIFS($Y:$Y,$A:$A,A43))))</x:f>
        <x:v>0.43942275836843675</x:v>
      </x:c>
      <x:c r="AA43" s="12" t="n">
        <x:f>IF(Z43="","",(X43/_xlfn.MAXIFS($X:$X,$A:$A,A43))^0.7*(Y43/_xlfn.MAXIFS($Y:$Y,$A:$A,A43))^0.3)</x:f>
        <x:v>0.5416836315192374</x:v>
      </x:c>
      <x:c r="AB43" s="12" t="n">
        <x:f>IF(Z43="","",(X43/_xlfn.MAXIFS($X:$X,$A:$A,A43))^0.3*(Y43/_xlfn.MAXIFS($Y:$Y,$A:$A,A43))^0.7)</x:f>
        <x:v>0.35646703968249416</x:v>
      </x:c>
      <x:c r="AC43" s="12" t="inlineStr">
        <x:is>
          <x:t xml:space="preserve">calculation baseline</x:t>
        </x:is>
      </x:c>
      <x:c r="AD43" t="str">
        <x:f>IF(OR(P43="",J43=""),"",P43*J43)</x:f>
      </x:c>
      <x:c r="AE43" t="str">
        <x:f>IF(OR(Q43="",J43=""),"",Q43*J43)</x:f>
      </x:c>
      <x:c r="AF43" t="n">
        <x:v>13</x:v>
      </x:c>
      <x:c r="AG43" t="n">
        <x:f>IF(OR(H43="",I43=""),"",H43*I43)</x:f>
        <x:v>3483</x:v>
      </x:c>
      <x:c r="AH43" t="n">
        <x:f>IF(OR(H43="",J43="",J43=0),"",H43/J43)</x:f>
        <x:v>116.21621621621622</x:v>
      </x:c>
    </x:row>
    <x:row r="44">
      <x:c r="A44" s="12" t="inlineStr">
        <x:is>
          <x:t xml:space="preserve">direct-api-20</x:t>
        </x:is>
      </x:c>
      <x:c r="B44" s="12" t="inlineStr">
        <x:is>
          <x:t xml:space="preserve">Direct API</x:t>
        </x:is>
      </x:c>
      <x:c r="C44" s="12" t="inlineStr">
        <x:is>
          <x:t xml:space="preserve">$20 API budget</x:t>
        </x:is>
      </x:c>
      <x:c r="D44" s="70" t="n">
        <x:v>20</x:v>
      </x:c>
      <x:c r="E44" s="12" t="inlineStr">
        <x:is>
          <x:t xml:space="preserve">GPT-6 Sol</x:t>
        </x:is>
      </x:c>
      <x:c r="F44" s="12" t="inlineStr">
        <x:is>
          <x:t xml:space="preserve">xhigh</x:t>
        </x:is>
      </x:c>
      <x:c r="G44" s="12" t="inlineStr">
        <x:is>
          <x:t xml:space="preserve">openai|gpt-6-sol|xhigh|reasoning|fallback-na</x:t>
        </x:is>
      </x:c>
      <x:c r="H44" s="12" t="n">
        <x:f>IF(AF44="","",INDEX(Rankings!$I:$I,AF44))</x:f>
        <x:v>44</x:v>
      </x:c>
      <x:c r="I44" s="12" t="n">
        <x:f>IF(AF44="","",INDEX(Rankings!$L:$L,AF44))</x:f>
        <x:v>80</x:v>
      </x:c>
      <x:c r="J44" s="12" t="n">
        <x:f>IF(AF44="","",INDEX(Rankings!$J:$J,AF44))</x:f>
        <x:v>0.53</x:v>
      </x:c>
      <x:c r="K44" s="12" t="n">
        <x:f>IF(AF44="","",INDEX(Rankings!$K:$K,AF44))</x:f>
        <x:v>199.13</x:v>
      </x:c>
      <x:c r="L44" s="12" t="n"/>
      <x:c r="M44" s="12" t="n"/>
      <x:c r="N44" s="12" t="n">
        <x:v>20</x:v>
      </x:c>
      <x:c r="O44" s="12" t="n">
        <x:v>144</x:v>
      </x:c>
      <x:c r="P44" s="12" t="str">
        <x:f>IF(L44="","",L44*O44)</x:f>
      </x:c>
      <x:c r="Q44" s="12" t="str">
        <x:f>IF(M44="","",M44*O44)</x:f>
      </x:c>
      <x:c r="R44" s="70" t="n">
        <x:f>IF(N44="","",N44)</x:f>
        <x:v>20</x:v>
      </x:c>
      <x:c r="S44" s="70" t="n">
        <x:f>IF(N44="","",N44)</x:f>
        <x:v>20</x:v>
      </x:c>
      <x:c r="T44" s="12" t="inlineStr">
        <x:is>
          <x:t xml:space="preserve">published dollar cap / direct budget</x:t>
        </x:is>
      </x:c>
      <x:c r="U44" s="12" t="inlineStr">
        <x:is>
          <x:t xml:space="preserve">high</x:t>
        </x:is>
      </x:c>
      <x:c r="V44" s="71" t="n">
        <x:f>IF(OR(S44="",D44=0),"",S44/D44)</x:f>
        <x:v>1</x:v>
      </x:c>
      <x:c r="W44" s="12" t="n">
        <x:f>IF(OR(S44="",J44="",J44=0),"",S44/J44)</x:f>
        <x:v>37.73584905660377</x:v>
      </x:c>
      <x:c r="X44" s="12" t="n">
        <x:f>IF(OR(H44="",V44=""),"",H44*V44)</x:f>
        <x:v>44</x:v>
      </x:c>
      <x:c r="Y44" s="12" t="n">
        <x:f>IF(OR(I44="",V44=""),"",I44*V44)</x:f>
        <x:v>80</x:v>
      </x:c>
      <x:c r="Z44" s="12" t="n">
        <x:f>IF(OR(X44="",Y44=""),"",SQRT((X44/_xlfn.MAXIFS($X:$X,$A:$A,A44))*(Y44/_xlfn.MAXIFS($Y:$Y,$A:$A,A44))))</x:f>
        <x:v>0.44175059226150265</x:v>
      </x:c>
      <x:c r="AA44" s="12" t="n">
        <x:f>IF(Z44="","",(X44/_xlfn.MAXIFS($X:$X,$A:$A,A44))^0.7*(Y44/_xlfn.MAXIFS($Y:$Y,$A:$A,A44))^0.3)</x:f>
        <x:v>0.5484236279954148</x:v>
      </x:c>
      <x:c r="AB44" s="12" t="n">
        <x:f>IF(Z44="","",(X44/_xlfn.MAXIFS($X:$X,$A:$A,A44))^0.3*(Y44/_xlfn.MAXIFS($Y:$Y,$A:$A,A44))^0.7)</x:f>
        <x:v>0.35582636451436755</x:v>
      </x:c>
      <x:c r="AC44" s="12" t="inlineStr">
        <x:is>
          <x:t xml:space="preserve">calculation baseline</x:t>
        </x:is>
      </x:c>
      <x:c r="AD44" t="str">
        <x:f>IF(OR(P44="",J44=""),"",P44*J44)</x:f>
      </x:c>
      <x:c r="AE44" t="str">
        <x:f>IF(OR(Q44="",J44=""),"",Q44*J44)</x:f>
      </x:c>
      <x:c r="AF44" t="n">
        <x:v>14</x:v>
      </x:c>
      <x:c r="AG44" t="n">
        <x:f>IF(OR(H44="",I44=""),"",H44*I44)</x:f>
        <x:v>3520</x:v>
      </x:c>
      <x:c r="AH44" t="n">
        <x:f>IF(OR(H44="",J44="",J44=0),"",H44/J44)</x:f>
        <x:v>83.0188679245283</x:v>
      </x:c>
    </x:row>
    <x:row r="45">
      <x:c r="A45" s="12" t="inlineStr">
        <x:is>
          <x:t xml:space="preserve">direct-api-20</x:t>
        </x:is>
      </x:c>
      <x:c r="B45" s="12" t="inlineStr">
        <x:is>
          <x:t xml:space="preserve">Direct API</x:t>
        </x:is>
      </x:c>
      <x:c r="C45" s="12" t="inlineStr">
        <x:is>
          <x:t xml:space="preserve">$20 API budget</x:t>
        </x:is>
      </x:c>
      <x:c r="D45" s="70" t="n">
        <x:v>20</x:v>
      </x:c>
      <x:c r="E45" s="12" t="inlineStr">
        <x:is>
          <x:t xml:space="preserve">GPT-6 Sol</x:t>
        </x:is>
      </x:c>
      <x:c r="F45" s="12" t="inlineStr">
        <x:is>
          <x:t xml:space="preserve">max</x:t>
        </x:is>
      </x:c>
      <x:c r="G45" s="12" t="inlineStr">
        <x:is>
          <x:t xml:space="preserve">openai|gpt-6-sol|max|reasoning|fallback-na</x:t>
        </x:is>
      </x:c>
      <x:c r="H45" s="12" t="n">
        <x:f>IF(AF45="","",INDEX(Rankings!$I:$I,AF45))</x:f>
        <x:v>48</x:v>
      </x:c>
      <x:c r="I45" s="12" t="n">
        <x:f>IF(AF45="","",INDEX(Rankings!$L:$L,AF45))</x:f>
        <x:v>103</x:v>
      </x:c>
      <x:c r="J45" s="12" t="n">
        <x:f>IF(AF45="","",INDEX(Rankings!$J:$J,AF45))</x:f>
        <x:v>1.04</x:v>
      </x:c>
      <x:c r="K45" s="12" t="n">
        <x:f>IF(AF45="","",INDEX(Rankings!$K:$K,AF45))</x:f>
        <x:v>293.81</x:v>
      </x:c>
      <x:c r="L45" s="12" t="n"/>
      <x:c r="M45" s="12" t="n"/>
      <x:c r="N45" s="12" t="n">
        <x:v>20</x:v>
      </x:c>
      <x:c r="O45" s="12" t="n">
        <x:v>144</x:v>
      </x:c>
      <x:c r="P45" s="12" t="str">
        <x:f>IF(L45="","",L45*O45)</x:f>
      </x:c>
      <x:c r="Q45" s="12" t="str">
        <x:f>IF(M45="","",M45*O45)</x:f>
      </x:c>
      <x:c r="R45" s="70" t="n">
        <x:f>IF(N45="","",N45)</x:f>
        <x:v>20</x:v>
      </x:c>
      <x:c r="S45" s="70" t="n">
        <x:f>IF(N45="","",N45)</x:f>
        <x:v>20</x:v>
      </x:c>
      <x:c r="T45" s="12" t="inlineStr">
        <x:is>
          <x:t xml:space="preserve">published dollar cap / direct budget</x:t>
        </x:is>
      </x:c>
      <x:c r="U45" s="12" t="inlineStr">
        <x:is>
          <x:t xml:space="preserve">high</x:t>
        </x:is>
      </x:c>
      <x:c r="V45" s="71" t="n">
        <x:f>IF(OR(S45="",D45=0),"",S45/D45)</x:f>
        <x:v>1</x:v>
      </x:c>
      <x:c r="W45" s="12" t="n">
        <x:f>IF(OR(S45="",J45="",J45=0),"",S45/J45)</x:f>
        <x:v>19.23076923076923</x:v>
      </x:c>
      <x:c r="X45" s="12" t="n">
        <x:f>IF(OR(H45="",V45=""),"",H45*V45)</x:f>
        <x:v>48</x:v>
      </x:c>
      <x:c r="Y45" s="12" t="n">
        <x:f>IF(OR(I45="",V45=""),"",I45*V45)</x:f>
        <x:v>103</x:v>
      </x:c>
      <x:c r="Z45" s="12" t="n">
        <x:f>IF(OR(X45="",Y45=""),"",SQRT((X45/_xlfn.MAXIFS($X:$X,$A:$A,A45))*(Y45/_xlfn.MAXIFS($Y:$Y,$A:$A,A45))))</x:f>
        <x:v>0.5235341787960632</x:v>
      </x:c>
      <x:c r="AA45" s="12" t="n">
        <x:f>IF(Z45="","",(X45/_xlfn.MAXIFS($X:$X,$A:$A,A45))^0.7*(Y45/_xlfn.MAXIFS($Y:$Y,$A:$A,A45))^0.3)</x:f>
        <x:v>0.6287707369170544</x:v>
      </x:c>
      <x:c r="AB45" s="12" t="n">
        <x:f>IF(Z45="","",(X45/_xlfn.MAXIFS($X:$X,$A:$A,A45))^0.3*(Y45/_xlfn.MAXIFS($Y:$Y,$A:$A,A45))^0.7)</x:f>
        <x:v>0.4359109294932489</x:v>
      </x:c>
      <x:c r="AC45" s="12" t="inlineStr">
        <x:is>
          <x:t xml:space="preserve">calculation baseline</x:t>
        </x:is>
      </x:c>
      <x:c r="AD45" t="str">
        <x:f>IF(OR(P45="",J45=""),"",P45*J45)</x:f>
      </x:c>
      <x:c r="AE45" t="str">
        <x:f>IF(OR(Q45="",J45=""),"",Q45*J45)</x:f>
      </x:c>
      <x:c r="AF45" t="n">
        <x:v>98</x:v>
      </x:c>
      <x:c r="AG45" t="n">
        <x:f>IF(OR(H45="",I45=""),"",H45*I45)</x:f>
        <x:v>4944</x:v>
      </x:c>
      <x:c r="AH45" t="n">
        <x:f>IF(OR(H45="",J45="",J45=0),"",H45/J45)</x:f>
        <x:v>46.15384615384615</x:v>
      </x:c>
    </x:row>
    <x:row r="46">
      <x:c r="A46" s="12" t="inlineStr">
        <x:is>
          <x:t xml:space="preserve">direct-api-20</x:t>
        </x:is>
      </x:c>
      <x:c r="B46" s="12" t="inlineStr">
        <x:is>
          <x:t xml:space="preserve">Direct API</x:t>
        </x:is>
      </x:c>
      <x:c r="C46" s="12" t="inlineStr">
        <x:is>
          <x:t xml:space="preserve">$20 API budget</x:t>
        </x:is>
      </x:c>
      <x:c r="D46" s="70" t="n">
        <x:v>20</x:v>
      </x:c>
      <x:c r="E46" s="12" t="inlineStr">
        <x:is>
          <x:t xml:space="preserve">GPT-6 Astra</x:t>
        </x:is>
      </x:c>
      <x:c r="F46" s="12" t="inlineStr">
        <x:is>
          <x:t xml:space="preserve">low</x:t>
        </x:is>
      </x:c>
      <x:c r="G46" s="12" t="inlineStr">
        <x:is>
          <x:t xml:space="preserve">openai|gpt-6-astra|low|reasoning|fallback-na</x:t>
        </x:is>
      </x:c>
      <x:c r="H46" s="12" t="n">
        <x:f>IF(AF46="","",INDEX(Rankings!$I:$I,AF46))</x:f>
        <x:v>46</x:v>
      </x:c>
      <x:c r="I46" s="12" t="n">
        <x:f>IF(AF46="","",INDEX(Rankings!$L:$L,AF46))</x:f>
        <x:v>50.5</x:v>
      </x:c>
      <x:c r="J46" s="12" t="n">
        <x:f>IF(AF46="","",INDEX(Rankings!$J:$J,AF46))</x:f>
        <x:v>0.82</x:v>
      </x:c>
      <x:c r="K46" s="12" t="e">
        <x:f>IF(AF46="","",INDEX(Rankings!$K:$K,AF46))</x:f>
        <x:v>#REF!</x:v>
      </x:c>
      <x:c r="L46" s="12" t="n"/>
      <x:c r="M46" s="12" t="n"/>
      <x:c r="N46" s="12" t="n">
        <x:v>20</x:v>
      </x:c>
      <x:c r="O46" s="12" t="n">
        <x:v>144</x:v>
      </x:c>
      <x:c r="P46" s="12" t="str">
        <x:f>IF(L46="","",L46*O46)</x:f>
      </x:c>
      <x:c r="Q46" s="12" t="str">
        <x:f>IF(M46="","",M46*O46)</x:f>
      </x:c>
      <x:c r="R46" s="70" t="n">
        <x:f>IF(N46="","",N46)</x:f>
        <x:v>20</x:v>
      </x:c>
      <x:c r="S46" s="70" t="n">
        <x:f>IF(N46="","",N46)</x:f>
        <x:v>20</x:v>
      </x:c>
      <x:c r="T46" s="12" t="inlineStr">
        <x:is>
          <x:t xml:space="preserve">published dollar cap / direct budget</x:t>
        </x:is>
      </x:c>
      <x:c r="U46" s="12" t="inlineStr">
        <x:is>
          <x:t xml:space="preserve">high</x:t>
        </x:is>
      </x:c>
      <x:c r="V46" s="71" t="n">
        <x:f>IF(OR(S46="",D46=0),"",S46/D46)</x:f>
        <x:v>1</x:v>
      </x:c>
      <x:c r="W46" s="12" t="n">
        <x:f>IF(OR(S46="",J46="",J46=0),"",S46/J46)</x:f>
        <x:v>24.390243902439025</x:v>
      </x:c>
      <x:c r="X46" s="12" t="n">
        <x:f>IF(OR(H46="",V46=""),"",H46*V46)</x:f>
        <x:v>46</x:v>
      </x:c>
      <x:c r="Y46" s="12" t="n">
        <x:f>IF(OR(I46="",V46=""),"",I46*V46)</x:f>
        <x:v>50.5</x:v>
      </x:c>
      <x:c r="Z46" s="12" t="n">
        <x:f>IF(OR(X46="",Y46=""),"",SQRT((X46/_xlfn.MAXIFS($X:$X,$A:$A,A46))*(Y46/_xlfn.MAXIFS($Y:$Y,$A:$A,A46))))</x:f>
        <x:v>0.3588644296946965</x:v>
      </x:c>
      <x:c r="AA46" s="12" t="n">
        <x:f>IF(Z46="","",(X46/_xlfn.MAXIFS($X:$X,$A:$A,A46))^0.7*(Y46/_xlfn.MAXIFS($Y:$Y,$A:$A,A46))^0.3)</x:f>
        <x:v>0.49282210955071754</x:v>
      </x:c>
      <x:c r="AB46" s="12" t="n">
        <x:f>IF(Z46="","",(X46/_xlfn.MAXIFS($X:$X,$A:$A,A46))^0.3*(Y46/_xlfn.MAXIFS($Y:$Y,$A:$A,A46))^0.7)</x:f>
        <x:v>0.26131879313918316</x:v>
      </x:c>
      <x:c r="AC46" s="12" t="inlineStr">
        <x:is>
          <x:t xml:space="preserve">calculation baseline</x:t>
        </x:is>
      </x:c>
      <x:c r="AD46" t="str">
        <x:f>IF(OR(P46="",J46=""),"",P46*J46)</x:f>
      </x:c>
      <x:c r="AE46" t="str">
        <x:f>IF(OR(Q46="",J46=""),"",Q46*J46)</x:f>
      </x:c>
      <x:c r="AF46" t="n">
        <x:v>117</x:v>
      </x:c>
      <x:c r="AG46" t="n">
        <x:f>IF(OR(H46="",I46=""),"",H46*I46)</x:f>
        <x:v>2323</x:v>
      </x:c>
      <x:c r="AH46" t="n">
        <x:f>IF(OR(H46="",J46="",J46=0),"",H46/J46)</x:f>
        <x:v>56.09756097560976</x:v>
      </x:c>
    </x:row>
    <x:row r="47">
      <x:c r="A47" s="12" t="inlineStr">
        <x:is>
          <x:t xml:space="preserve">direct-api-20</x:t>
        </x:is>
      </x:c>
      <x:c r="B47" s="12" t="inlineStr">
        <x:is>
          <x:t xml:space="preserve">Direct API</x:t>
        </x:is>
      </x:c>
      <x:c r="C47" s="12" t="inlineStr">
        <x:is>
          <x:t xml:space="preserve">$20 API budget</x:t>
        </x:is>
      </x:c>
      <x:c r="D47" s="70" t="n">
        <x:v>20</x:v>
      </x:c>
      <x:c r="E47" s="12" t="inlineStr">
        <x:is>
          <x:t xml:space="preserve">GPT-6 Astra</x:t>
        </x:is>
      </x:c>
      <x:c r="F47" s="12" t="inlineStr">
        <x:is>
          <x:t xml:space="preserve">medium</x:t>
        </x:is>
      </x:c>
      <x:c r="G47" s="12" t="inlineStr">
        <x:is>
          <x:t xml:space="preserve">openai|gpt-6-astra|medium|reasoning|fallback-na</x:t>
        </x:is>
      </x:c>
      <x:c r="H47" s="12" t="n">
        <x:f>IF(AF47="","",INDEX(Rankings!$I:$I,AF47))</x:f>
        <x:v>50</x:v>
      </x:c>
      <x:c r="I47" s="12" t="n">
        <x:f>IF(AF47="","",INDEX(Rankings!$L:$L,AF47))</x:f>
        <x:v>49.7</x:v>
      </x:c>
      <x:c r="J47" s="12" t="n">
        <x:f>IF(AF47="","",INDEX(Rankings!$J:$J,AF47))</x:f>
        <x:v>1.54</x:v>
      </x:c>
      <x:c r="K47" s="12" t="e">
        <x:f>IF(AF47="","",INDEX(Rankings!$K:$K,AF47))</x:f>
        <x:v>#REF!</x:v>
      </x:c>
      <x:c r="L47" s="12" t="n"/>
      <x:c r="M47" s="12" t="n"/>
      <x:c r="N47" s="12" t="n">
        <x:v>20</x:v>
      </x:c>
      <x:c r="O47" s="12" t="n">
        <x:v>144</x:v>
      </x:c>
      <x:c r="P47" s="12" t="str">
        <x:f>IF(L47="","",L47*O47)</x:f>
      </x:c>
      <x:c r="Q47" s="12" t="str">
        <x:f>IF(M47="","",M47*O47)</x:f>
      </x:c>
      <x:c r="R47" s="70" t="n">
        <x:f>IF(N47="","",N47)</x:f>
        <x:v>20</x:v>
      </x:c>
      <x:c r="S47" s="70" t="n">
        <x:f>IF(N47="","",N47)</x:f>
        <x:v>20</x:v>
      </x:c>
      <x:c r="T47" s="12" t="inlineStr">
        <x:is>
          <x:t xml:space="preserve">published dollar cap / direct budget</x:t>
        </x:is>
      </x:c>
      <x:c r="U47" s="12" t="inlineStr">
        <x:is>
          <x:t xml:space="preserve">high</x:t>
        </x:is>
      </x:c>
      <x:c r="V47" s="71" t="n">
        <x:f>IF(OR(S47="",D47=0),"",S47/D47)</x:f>
        <x:v>1</x:v>
      </x:c>
      <x:c r="W47" s="12" t="n">
        <x:f>IF(OR(S47="",J47="",J47=0),"",S47/J47)</x:f>
        <x:v>12.987012987012987</x:v>
      </x:c>
      <x:c r="X47" s="12" t="n">
        <x:f>IF(OR(H47="",V47=""),"",H47*V47)</x:f>
        <x:v>50</x:v>
      </x:c>
      <x:c r="Y47" s="12" t="n">
        <x:f>IF(OR(I47="",V47=""),"",I47*V47)</x:f>
        <x:v>49.7</x:v>
      </x:c>
      <x:c r="Z47" s="12" t="n">
        <x:f>IF(OR(X47="",Y47=""),"",SQRT((X47/_xlfn.MAXIFS($X:$X,$A:$A,A47))*(Y47/_xlfn.MAXIFS($Y:$Y,$A:$A,A47))))</x:f>
        <x:v>0.37116669964681676</x:v>
      </x:c>
      <x:c r="AA47" s="12" t="n">
        <x:f>IF(Z47="","",(X47/_xlfn.MAXIFS($X:$X,$A:$A,A47))^0.7*(Y47/_xlfn.MAXIFS($Y:$Y,$A:$A,A47))^0.3)</x:f>
        <x:v>0.5199459592607292</x:v>
      </x:c>
      <x:c r="AB47" s="12" t="n">
        <x:f>IF(Z47="","",(X47/_xlfn.MAXIFS($X:$X,$A:$A,A47))^0.3*(Y47/_xlfn.MAXIFS($Y:$Y,$A:$A,A47))^0.7)</x:f>
        <x:v>0.26495968758481603</x:v>
      </x:c>
      <x:c r="AC47" s="12" t="inlineStr">
        <x:is>
          <x:t xml:space="preserve">calculation baseline</x:t>
        </x:is>
      </x:c>
      <x:c r="AD47" t="str">
        <x:f>IF(OR(P47="",J47=""),"",P47*J47)</x:f>
      </x:c>
      <x:c r="AE47" t="str">
        <x:f>IF(OR(Q47="",J47=""),"",Q47*J47)</x:f>
      </x:c>
      <x:c r="AF47" t="n">
        <x:v>116</x:v>
      </x:c>
      <x:c r="AG47" t="n">
        <x:f>IF(OR(H47="",I47=""),"",H47*I47)</x:f>
        <x:v>2485</x:v>
      </x:c>
      <x:c r="AH47" t="n">
        <x:f>IF(OR(H47="",J47="",J47=0),"",H47/J47)</x:f>
        <x:v>32.467532467532465</x:v>
      </x:c>
    </x:row>
    <x:row r="48">
      <x:c r="A48" s="12" t="inlineStr">
        <x:is>
          <x:t xml:space="preserve">direct-api-20</x:t>
        </x:is>
      </x:c>
      <x:c r="B48" s="12" t="inlineStr">
        <x:is>
          <x:t xml:space="preserve">Direct API</x:t>
        </x:is>
      </x:c>
      <x:c r="C48" s="12" t="inlineStr">
        <x:is>
          <x:t xml:space="preserve">$20 API budget</x:t>
        </x:is>
      </x:c>
      <x:c r="D48" s="70" t="n">
        <x:v>20</x:v>
      </x:c>
      <x:c r="E48" s="12" t="inlineStr">
        <x:is>
          <x:t xml:space="preserve">GPT-6 Astra</x:t>
        </x:is>
      </x:c>
      <x:c r="F48" s="12" t="inlineStr">
        <x:is>
          <x:t xml:space="preserve">high</x:t>
        </x:is>
      </x:c>
      <x:c r="G48" s="12" t="inlineStr">
        <x:is>
          <x:t xml:space="preserve">openai|gpt-6-astra|high|reasoning|fallback-na</x:t>
        </x:is>
      </x:c>
      <x:c r="H48" s="12" t="n">
        <x:f>IF(AF48="","",INDEX(Rankings!$I:$I,AF48))</x:f>
        <x:v>51</x:v>
      </x:c>
      <x:c r="I48" s="12" t="n">
        <x:f>IF(AF48="","",INDEX(Rankings!$L:$L,AF48))</x:f>
        <x:v>52.1</x:v>
      </x:c>
      <x:c r="J48" s="12" t="n">
        <x:f>IF(AF48="","",INDEX(Rankings!$J:$J,AF48))</x:f>
        <x:v>1.73</x:v>
      </x:c>
      <x:c r="K48" s="12" t="e">
        <x:f>IF(AF48="","",INDEX(Rankings!$K:$K,AF48))</x:f>
        <x:v>#REF!</x:v>
      </x:c>
      <x:c r="L48" s="12" t="n"/>
      <x:c r="M48" s="12" t="n"/>
      <x:c r="N48" s="12" t="n">
        <x:v>20</x:v>
      </x:c>
      <x:c r="O48" s="12" t="n">
        <x:v>144</x:v>
      </x:c>
      <x:c r="P48" s="12" t="str">
        <x:f>IF(L48="","",L48*O48)</x:f>
      </x:c>
      <x:c r="Q48" s="12" t="str">
        <x:f>IF(M48="","",M48*O48)</x:f>
      </x:c>
      <x:c r="R48" s="70" t="n">
        <x:f>IF(N48="","",N48)</x:f>
        <x:v>20</x:v>
      </x:c>
      <x:c r="S48" s="70" t="n">
        <x:f>IF(N48="","",N48)</x:f>
        <x:v>20</x:v>
      </x:c>
      <x:c r="T48" s="12" t="inlineStr">
        <x:is>
          <x:t xml:space="preserve">published dollar cap / direct budget</x:t>
        </x:is>
      </x:c>
      <x:c r="U48" s="12" t="inlineStr">
        <x:is>
          <x:t xml:space="preserve">high</x:t>
        </x:is>
      </x:c>
      <x:c r="V48" s="71" t="n">
        <x:f>IF(OR(S48="",D48=0),"",S48/D48)</x:f>
        <x:v>1</x:v>
      </x:c>
      <x:c r="W48" s="12" t="n">
        <x:f>IF(OR(S48="",J48="",J48=0),"",S48/J48)</x:f>
        <x:v>11.560693641618498</x:v>
      </x:c>
      <x:c r="X48" s="12" t="n">
        <x:f>IF(OR(H48="",V48=""),"",H48*V48)</x:f>
        <x:v>51</x:v>
      </x:c>
      <x:c r="Y48" s="12" t="n">
        <x:f>IF(OR(I48="",V48=""),"",I48*V48)</x:f>
        <x:v>52.1</x:v>
      </x:c>
      <x:c r="Z48" s="12" t="n">
        <x:f>IF(OR(X48="",Y48=""),"",SQRT((X48/_xlfn.MAXIFS($X:$X,$A:$A,A48))*(Y48/_xlfn.MAXIFS($Y:$Y,$A:$A,A48))))</x:f>
        <x:v>0.3838042313367804</x:v>
      </x:c>
      <x:c r="AA48" s="12" t="n">
        <x:f>IF(Z48="","",(X48/_xlfn.MAXIFS($X:$X,$A:$A,A48))^0.7*(Y48/_xlfn.MAXIFS($Y:$Y,$A:$A,A48))^0.3)</x:f>
        <x:v>0.5347154442443997</x:v>
      </x:c>
      <x:c r="AB48" s="12" t="n">
        <x:f>IF(Z48="","",(X48/_xlfn.MAXIFS($X:$X,$A:$A,A48))^0.3*(Y48/_xlfn.MAXIFS($Y:$Y,$A:$A,A48))^0.7)</x:f>
        <x:v>0.2754842591093902</x:v>
      </x:c>
      <x:c r="AC48" s="12" t="inlineStr">
        <x:is>
          <x:t xml:space="preserve">calculation baseline</x:t>
        </x:is>
      </x:c>
      <x:c r="AD48" t="str">
        <x:f>IF(OR(P48="",J48=""),"",P48*J48)</x:f>
      </x:c>
      <x:c r="AE48" t="str">
        <x:f>IF(OR(Q48="",J48=""),"",Q48*J48)</x:f>
      </x:c>
      <x:c r="AF48" t="n">
        <x:v>115</x:v>
      </x:c>
      <x:c r="AG48" t="n">
        <x:f>IF(OR(H48="",I48=""),"",H48*I48)</x:f>
        <x:v>2657.1</x:v>
      </x:c>
      <x:c r="AH48" t="n">
        <x:f>IF(OR(H48="",J48="",J48=0),"",H48/J48)</x:f>
        <x:v>29.479768786127167</x:v>
      </x:c>
    </x:row>
    <x:row r="49">
      <x:c r="A49" s="12" t="inlineStr">
        <x:is>
          <x:t xml:space="preserve">direct-api-20</x:t>
        </x:is>
      </x:c>
      <x:c r="B49" s="12" t="inlineStr">
        <x:is>
          <x:t xml:space="preserve">Direct API</x:t>
        </x:is>
      </x:c>
      <x:c r="C49" s="12" t="inlineStr">
        <x:is>
          <x:t xml:space="preserve">$20 API budget</x:t>
        </x:is>
      </x:c>
      <x:c r="D49" s="70" t="n">
        <x:v>20</x:v>
      </x:c>
      <x:c r="E49" s="12" t="inlineStr">
        <x:is>
          <x:t xml:space="preserve">GPT-6 Astra</x:t>
        </x:is>
      </x:c>
      <x:c r="F49" s="12" t="inlineStr">
        <x:is>
          <x:t xml:space="preserve">xhigh</x:t>
        </x:is>
      </x:c>
      <x:c r="G49" s="12" t="inlineStr">
        <x:is>
          <x:t xml:space="preserve">openai|gpt-6-astra|xhigh|reasoning|fallback-na</x:t>
        </x:is>
      </x:c>
      <x:c r="H49" s="12" t="n">
        <x:f>IF(AF49="","",INDEX(Rankings!$I:$I,AF49))</x:f>
        <x:v>52</x:v>
      </x:c>
      <x:c r="I49" s="12" t="n">
        <x:f>IF(AF49="","",INDEX(Rankings!$L:$L,AF49))</x:f>
        <x:v>52.5</x:v>
      </x:c>
      <x:c r="J49" s="12" t="n">
        <x:f>IF(AF49="","",INDEX(Rankings!$J:$J,AF49))</x:f>
        <x:v>2.31</x:v>
      </x:c>
      <x:c r="K49" s="12" t="e">
        <x:f>IF(AF49="","",INDEX(Rankings!$K:$K,AF49))</x:f>
        <x:v>#REF!</x:v>
      </x:c>
      <x:c r="L49" s="12" t="n"/>
      <x:c r="M49" s="12" t="n"/>
      <x:c r="N49" s="12" t="n">
        <x:v>20</x:v>
      </x:c>
      <x:c r="O49" s="12" t="n">
        <x:v>144</x:v>
      </x:c>
      <x:c r="P49" s="12" t="str">
        <x:f>IF(L49="","",L49*O49)</x:f>
      </x:c>
      <x:c r="Q49" s="12" t="str">
        <x:f>IF(M49="","",M49*O49)</x:f>
      </x:c>
      <x:c r="R49" s="70" t="n">
        <x:f>IF(N49="","",N49)</x:f>
        <x:v>20</x:v>
      </x:c>
      <x:c r="S49" s="70" t="n">
        <x:f>IF(N49="","",N49)</x:f>
        <x:v>20</x:v>
      </x:c>
      <x:c r="T49" s="12" t="inlineStr">
        <x:is>
          <x:t xml:space="preserve">published dollar cap / direct budget</x:t>
        </x:is>
      </x:c>
      <x:c r="U49" s="12" t="inlineStr">
        <x:is>
          <x:t xml:space="preserve">high</x:t>
        </x:is>
      </x:c>
      <x:c r="V49" s="71" t="n">
        <x:f>IF(OR(S49="",D49=0),"",S49/D49)</x:f>
        <x:v>1</x:v>
      </x:c>
      <x:c r="W49" s="12" t="n">
        <x:f>IF(OR(S49="",J49="",J49=0),"",S49/J49)</x:f>
        <x:v>8.658008658008658</x:v>
      </x:c>
      <x:c r="X49" s="12" t="n">
        <x:f>IF(OR(H49="",V49=""),"",H49*V49)</x:f>
        <x:v>52</x:v>
      </x:c>
      <x:c r="Y49" s="12" t="n">
        <x:f>IF(OR(I49="",V49=""),"",I49*V49)</x:f>
        <x:v>52.5</x:v>
      </x:c>
      <x:c r="Z49" s="12" t="n">
        <x:f>IF(OR(X49="",Y49=""),"",SQRT((X49/_xlfn.MAXIFS($X:$X,$A:$A,A49))*(Y49/_xlfn.MAXIFS($Y:$Y,$A:$A,A49))))</x:f>
        <x:v>0.3890336180897373</x:v>
      </x:c>
      <x:c r="AA49" s="12" t="n">
        <x:f>IF(Z49="","",(X49/_xlfn.MAXIFS($X:$X,$A:$A,A49))^0.7*(Y49/_xlfn.MAXIFS($Y:$Y,$A:$A,A49))^0.3)</x:f>
        <x:v>0.5432783761529635</x:v>
      </x:c>
      <x:c r="AB49" s="12" t="n">
        <x:f>IF(Z49="","",(X49/_xlfn.MAXIFS($X:$X,$A:$A,A49))^0.3*(Y49/_xlfn.MAXIFS($Y:$Y,$A:$A,A49))^0.7)</x:f>
        <x:v>0.27858122584540135</x:v>
      </x:c>
      <x:c r="AC49" s="12" t="inlineStr">
        <x:is>
          <x:t xml:space="preserve">calculation baseline</x:t>
        </x:is>
      </x:c>
      <x:c r="AD49" t="str">
        <x:f>IF(OR(P49="",J49=""),"",P49*J49)</x:f>
      </x:c>
      <x:c r="AE49" t="str">
        <x:f>IF(OR(Q49="",J49=""),"",Q49*J49)</x:f>
      </x:c>
      <x:c r="AF49" t="n">
        <x:v>114</x:v>
      </x:c>
      <x:c r="AG49" t="n">
        <x:f>IF(OR(H49="",I49=""),"",H49*I49)</x:f>
        <x:v>2730</x:v>
      </x:c>
      <x:c r="AH49" t="n">
        <x:f>IF(OR(H49="",J49="",J49=0),"",H49/J49)</x:f>
        <x:v>22.51082251082251</x:v>
      </x:c>
    </x:row>
    <x:row r="50">
      <x:c r="A50" s="12" t="inlineStr">
        <x:is>
          <x:t xml:space="preserve">direct-api-20</x:t>
        </x:is>
      </x:c>
      <x:c r="B50" s="12" t="inlineStr">
        <x:is>
          <x:t xml:space="preserve">Direct API</x:t>
        </x:is>
      </x:c>
      <x:c r="C50" s="12" t="inlineStr">
        <x:is>
          <x:t xml:space="preserve">$20 API budget</x:t>
        </x:is>
      </x:c>
      <x:c r="D50" s="70" t="n">
        <x:v>20</x:v>
      </x:c>
      <x:c r="E50" s="12" t="inlineStr">
        <x:is>
          <x:t xml:space="preserve">GPT-6 Astra</x:t>
        </x:is>
      </x:c>
      <x:c r="F50" s="12" t="inlineStr">
        <x:is>
          <x:t xml:space="preserve">max</x:t>
        </x:is>
      </x:c>
      <x:c r="G50" s="12" t="inlineStr">
        <x:is>
          <x:t xml:space="preserve">openai|gpt-6-astra|max|reasoning|fallback-na</x:t>
        </x:is>
      </x:c>
      <x:c r="H50" s="12" t="n">
        <x:f>IF(AF50="","",INDEX(Rankings!$I:$I,AF50))</x:f>
        <x:v>53</x:v>
      </x:c>
      <x:c r="I50" s="12" t="n">
        <x:f>IF(AF50="","",INDEX(Rankings!$L:$L,AF50))</x:f>
        <x:v>53.7</x:v>
      </x:c>
      <x:c r="J50" s="12" t="n">
        <x:f>IF(AF50="","",INDEX(Rankings!$J:$J,AF50))</x:f>
        <x:v>3.26</x:v>
      </x:c>
      <x:c r="K50" s="12" t="str">
        <x:f>IF(AF50="","",INDEX(Rankings!$K:$K,AF50))</x:f>
      </x:c>
      <x:c r="L50" s="12" t="n"/>
      <x:c r="M50" s="12" t="n"/>
      <x:c r="N50" s="12" t="n">
        <x:v>20</x:v>
      </x:c>
      <x:c r="O50" s="12" t="n">
        <x:v>144</x:v>
      </x:c>
      <x:c r="P50" s="12" t="str">
        <x:f>IF(L50="","",L50*O50)</x:f>
      </x:c>
      <x:c r="Q50" s="12" t="str">
        <x:f>IF(M50="","",M50*O50)</x:f>
      </x:c>
      <x:c r="R50" s="70" t="n">
        <x:f>IF(N50="","",N50)</x:f>
        <x:v>20</x:v>
      </x:c>
      <x:c r="S50" s="70" t="n">
        <x:f>IF(N50="","",N50)</x:f>
        <x:v>20</x:v>
      </x:c>
      <x:c r="T50" s="12" t="inlineStr">
        <x:is>
          <x:t xml:space="preserve">published dollar cap / direct budget</x:t>
        </x:is>
      </x:c>
      <x:c r="U50" s="12" t="inlineStr">
        <x:is>
          <x:t xml:space="preserve">high</x:t>
        </x:is>
      </x:c>
      <x:c r="V50" s="71" t="n">
        <x:f>IF(OR(S50="",D50=0),"",S50/D50)</x:f>
        <x:v>1</x:v>
      </x:c>
      <x:c r="W50" s="12" t="n">
        <x:f>IF(OR(S50="",J50="",J50=0),"",S50/J50)</x:f>
        <x:v>6.134969325153374</x:v>
      </x:c>
      <x:c r="X50" s="12" t="n">
        <x:f>IF(OR(H50="",V50=""),"",H50*V50)</x:f>
        <x:v>53</x:v>
      </x:c>
      <x:c r="Y50" s="12" t="n">
        <x:f>IF(OR(I50="",V50=""),"",I50*V50)</x:f>
        <x:v>53.7</x:v>
      </x:c>
      <x:c r="Z50" s="12" t="n">
        <x:f>IF(OR(X50="",Y50=""),"",SQRT((X50/_xlfn.MAXIFS($X:$X,$A:$A,A50))*(Y50/_xlfn.MAXIFS($Y:$Y,$A:$A,A50))))</x:f>
        <x:v>0.39721979812575103</x:v>
      </x:c>
      <x:c r="AA50" s="12" t="n">
        <x:f>IF(Z50="","",(X50/_xlfn.MAXIFS($X:$X,$A:$A,A50))^0.7*(Y50/_xlfn.MAXIFS($Y:$Y,$A:$A,A50))^0.3)</x:f>
        <x:v>0.5543163418147465</x:v>
      </x:c>
      <x:c r="AB50" s="12" t="n">
        <x:f>IF(Z50="","",(X50/_xlfn.MAXIFS($X:$X,$A:$A,A50))^0.3*(Y50/_xlfn.MAXIFS($Y:$Y,$A:$A,A50))^0.7)</x:f>
        <x:v>0.2846453480092312</x:v>
      </x:c>
      <x:c r="AC50" s="12" t="inlineStr">
        <x:is>
          <x:t xml:space="preserve">calculation baseline</x:t>
        </x:is>
      </x:c>
      <x:c r="AD50" t="str">
        <x:f>IF(OR(P50="",J50=""),"",P50*J50)</x:f>
      </x:c>
      <x:c r="AE50" t="str">
        <x:f>IF(OR(Q50="",J50=""),"",Q50*J50)</x:f>
      </x:c>
      <x:c r="AF50" t="n">
        <x:v>91</x:v>
      </x:c>
      <x:c r="AG50" t="n">
        <x:f>IF(OR(H50="",I50=""),"",H50*I50)</x:f>
        <x:v>2846.1000000000004</x:v>
      </x:c>
      <x:c r="AH50" t="n">
        <x:f>IF(OR(H50="",J50="",J50=0),"",H50/J50)</x:f>
        <x:v>16.257668711656443</x:v>
      </x:c>
    </x:row>
    <x:row r="51">
      <x:c r="A51" s="12" t="inlineStr">
        <x:is>
          <x:t xml:space="preserve">direct-api-20</x:t>
        </x:is>
      </x:c>
      <x:c r="B51" s="12" t="inlineStr">
        <x:is>
          <x:t xml:space="preserve">Direct API</x:t>
        </x:is>
      </x:c>
      <x:c r="C51" s="12" t="inlineStr">
        <x:is>
          <x:t xml:space="preserve">$20 API budget</x:t>
        </x:is>
      </x:c>
      <x:c r="D51" s="70" t="n">
        <x:v>20</x:v>
      </x:c>
      <x:c r="E51" s="12" t="inlineStr">
        <x:is>
          <x:t xml:space="preserve">GPT-5.6 Luna</x:t>
        </x:is>
      </x:c>
      <x:c r="F51" s="12" t="inlineStr">
        <x:is>
          <x:t xml:space="preserve">non-reasoning</x:t>
        </x:is>
      </x:c>
      <x:c r="G51" s="12" t="inlineStr">
        <x:is>
          <x:t xml:space="preserve">openai|gpt-5.6-luna|non-reasoning|nonreasoning|fallback-na</x:t>
        </x:is>
      </x:c>
      <x:c r="H51" s="12" t="n">
        <x:f>IF(AF51="","",INDEX(Rankings!$I:$I,AF51))</x:f>
        <x:v>16</x:v>
      </x:c>
      <x:c r="I51" s="12" t="n">
        <x:f>IF(AF51="","",INDEX(Rankings!$L:$L,AF51))</x:f>
        <x:v>122</x:v>
      </x:c>
      <x:c r="J51" s="12" t="n">
        <x:f>IF(AF51="","",INDEX(Rankings!$J:$J,AF51))</x:f>
        <x:v>0.01</x:v>
      </x:c>
      <x:c r="K51" s="12" t="str">
        <x:f>IF(AF51="","",INDEX(Rankings!$K:$K,AF51))</x:f>
      </x:c>
      <x:c r="L51" s="12" t="n"/>
      <x:c r="M51" s="12" t="n"/>
      <x:c r="N51" s="12" t="n">
        <x:v>20</x:v>
      </x:c>
      <x:c r="O51" s="12" t="n">
        <x:v>144</x:v>
      </x:c>
      <x:c r="P51" s="12" t="str">
        <x:f>IF(L51="","",L51*O51)</x:f>
      </x:c>
      <x:c r="Q51" s="12" t="str">
        <x:f>IF(M51="","",M51*O51)</x:f>
      </x:c>
      <x:c r="R51" s="70" t="n">
        <x:f>IF(N51="","",N51)</x:f>
        <x:v>20</x:v>
      </x:c>
      <x:c r="S51" s="70" t="n">
        <x:f>IF(N51="","",N51)</x:f>
        <x:v>20</x:v>
      </x:c>
      <x:c r="T51" s="12" t="inlineStr">
        <x:is>
          <x:t xml:space="preserve">published dollar cap / direct budget</x:t>
        </x:is>
      </x:c>
      <x:c r="U51" s="12" t="inlineStr">
        <x:is>
          <x:t xml:space="preserve">high</x:t>
        </x:is>
      </x:c>
      <x:c r="V51" s="71" t="n">
        <x:f>IF(OR(S51="",D51=0),"",S51/D51)</x:f>
        <x:v>1</x:v>
      </x:c>
      <x:c r="W51" s="12" t="n">
        <x:f>IF(OR(S51="",J51="",J51=0),"",S51/J51)</x:f>
        <x:v>2000</x:v>
      </x:c>
      <x:c r="X51" s="12" t="n">
        <x:f>IF(OR(H51="",V51=""),"",H51*V51)</x:f>
        <x:v>16</x:v>
      </x:c>
      <x:c r="Y51" s="12" t="n">
        <x:f>IF(OR(I51="",V51=""),"",I51*V51)</x:f>
        <x:v>122</x:v>
      </x:c>
      <x:c r="Z51" s="12" t="n">
        <x:f>IF(OR(X51="",Y51=""),"",SQRT((X51/_xlfn.MAXIFS($X:$X,$A:$A,A51))*(Y51/_xlfn.MAXIFS($Y:$Y,$A:$A,A51))))</x:f>
        <x:v>0.32896198635828444</x:v>
      </x:c>
      <x:c r="AA51" s="12" t="n">
        <x:f>IF(Z51="","",(X51/_xlfn.MAXIFS($X:$X,$A:$A,A51))^0.7*(Y51/_xlfn.MAXIFS($Y:$Y,$A:$A,A51))^0.3)</x:f>
        <x:v>0.3065944047531239</x:v>
      </x:c>
      <x:c r="AB51" s="12" t="n">
        <x:f>IF(Z51="","",(X51/_xlfn.MAXIFS($X:$X,$A:$A,A51))^0.3*(Y51/_xlfn.MAXIFS($Y:$Y,$A:$A,A51))^0.7)</x:f>
        <x:v>0.35296139391691067</x:v>
      </x:c>
      <x:c r="AC51" s="12" t="inlineStr">
        <x:is>
          <x:t xml:space="preserve">calculation baseline</x:t>
        </x:is>
      </x:c>
      <x:c r="AD51" t="str">
        <x:f>IF(OR(P51="",J51=""),"",P51*J51)</x:f>
      </x:c>
      <x:c r="AE51" t="str">
        <x:f>IF(OR(Q51="",J51=""),"",Q51*J51)</x:f>
      </x:c>
      <x:c r="AF51" t="n">
        <x:v>21</x:v>
      </x:c>
      <x:c r="AG51" t="n">
        <x:f>IF(OR(H51="",I51=""),"",H51*I51)</x:f>
        <x:v>1952</x:v>
      </x:c>
      <x:c r="AH51" t="n">
        <x:f>IF(OR(H51="",J51="",J51=0),"",H51/J51)</x:f>
        <x:v>1600</x:v>
      </x:c>
    </x:row>
    <x:row r="52">
      <x:c r="A52" s="12" t="inlineStr">
        <x:is>
          <x:t xml:space="preserve">direct-api-20</x:t>
        </x:is>
      </x:c>
      <x:c r="B52" s="12" t="inlineStr">
        <x:is>
          <x:t xml:space="preserve">Direct API</x:t>
        </x:is>
      </x:c>
      <x:c r="C52" s="12" t="inlineStr">
        <x:is>
          <x:t xml:space="preserve">$20 API budget</x:t>
        </x:is>
      </x:c>
      <x:c r="D52" s="70" t="n">
        <x:v>20</x:v>
      </x:c>
      <x:c r="E52" s="12" t="inlineStr">
        <x:is>
          <x:t xml:space="preserve">GPT-5.6 Luna</x:t>
        </x:is>
      </x:c>
      <x:c r="F52" s="12" t="inlineStr">
        <x:is>
          <x:t xml:space="preserve">low</x:t>
        </x:is>
      </x:c>
      <x:c r="G52" s="12" t="inlineStr">
        <x:is>
          <x:t xml:space="preserve">openai|gpt-5.6-luna|low|reasoning|fallback-na</x:t>
        </x:is>
      </x:c>
      <x:c r="H52" s="12" t="n">
        <x:f>IF(AF52="","",INDEX(Rankings!$I:$I,AF52))</x:f>
        <x:v>21</x:v>
      </x:c>
      <x:c r="I52" s="12" t="n">
        <x:f>IF(AF52="","",INDEX(Rankings!$L:$L,AF52))</x:f>
        <x:v>117</x:v>
      </x:c>
      <x:c r="J52" s="12" t="n">
        <x:f>IF(AF52="","",INDEX(Rankings!$J:$J,AF52))</x:f>
        <x:v>0.01</x:v>
      </x:c>
      <x:c r="K52" s="12" t="str">
        <x:f>IF(AF52="","",INDEX(Rankings!$K:$K,AF52))</x:f>
      </x:c>
      <x:c r="L52" s="12" t="n"/>
      <x:c r="M52" s="12" t="n"/>
      <x:c r="N52" s="12" t="n">
        <x:v>20</x:v>
      </x:c>
      <x:c r="O52" s="12" t="n">
        <x:v>144</x:v>
      </x:c>
      <x:c r="P52" s="12" t="str">
        <x:f>IF(L52="","",L52*O52)</x:f>
      </x:c>
      <x:c r="Q52" s="12" t="str">
        <x:f>IF(M52="","",M52*O52)</x:f>
      </x:c>
      <x:c r="R52" s="70" t="n">
        <x:f>IF(N52="","",N52)</x:f>
        <x:v>20</x:v>
      </x:c>
      <x:c r="S52" s="70" t="n">
        <x:f>IF(N52="","",N52)</x:f>
        <x:v>20</x:v>
      </x:c>
      <x:c r="T52" s="12" t="inlineStr">
        <x:is>
          <x:t xml:space="preserve">published dollar cap / direct budget</x:t>
        </x:is>
      </x:c>
      <x:c r="U52" s="12" t="inlineStr">
        <x:is>
          <x:t xml:space="preserve">high</x:t>
        </x:is>
      </x:c>
      <x:c r="V52" s="71" t="n">
        <x:f>IF(OR(S52="",D52=0),"",S52/D52)</x:f>
        <x:v>1</x:v>
      </x:c>
      <x:c r="W52" s="12" t="n">
        <x:f>IF(OR(S52="",J52="",J52=0),"",S52/J52)</x:f>
        <x:v>2000</x:v>
      </x:c>
      <x:c r="X52" s="12" t="n">
        <x:f>IF(OR(H52="",V52=""),"",H52*V52)</x:f>
        <x:v>21</x:v>
      </x:c>
      <x:c r="Y52" s="12" t="n">
        <x:f>IF(OR(I52="",V52=""),"",I52*V52)</x:f>
        <x:v>117</x:v>
      </x:c>
      <x:c r="Z52" s="12" t="n">
        <x:f>IF(OR(X52="",Y52=""),"",SQRT((X52/_xlfn.MAXIFS($X:$X,$A:$A,A52))*(Y52/_xlfn.MAXIFS($Y:$Y,$A:$A,A52))))</x:f>
        <x:v>0.36906969586189603</x:v>
      </x:c>
      <x:c r="AA52" s="12" t="n">
        <x:f>IF(Z52="","",(X52/_xlfn.MAXIFS($X:$X,$A:$A,A52))^0.7*(Y52/_xlfn.MAXIFS($Y:$Y,$A:$A,A52))^0.3)</x:f>
        <x:v>0.3662533052235058</x:v>
      </x:c>
      <x:c r="AB52" s="12" t="n">
        <x:f>IF(Z52="","",(X52/_xlfn.MAXIFS($X:$X,$A:$A,A52))^0.3*(Y52/_xlfn.MAXIFS($Y:$Y,$A:$A,A52))^0.7)</x:f>
        <x:v>0.37190774379624747</x:v>
      </x:c>
      <x:c r="AC52" s="12" t="inlineStr">
        <x:is>
          <x:t xml:space="preserve">calculation baseline</x:t>
        </x:is>
      </x:c>
      <x:c r="AD52" t="str">
        <x:f>IF(OR(P52="",J52=""),"",P52*J52)</x:f>
      </x:c>
      <x:c r="AE52" t="str">
        <x:f>IF(OR(Q52="",J52=""),"",Q52*J52)</x:f>
      </x:c>
      <x:c r="AF52" t="n">
        <x:v>22</x:v>
      </x:c>
      <x:c r="AG52" t="n">
        <x:f>IF(OR(H52="",I52=""),"",H52*I52)</x:f>
        <x:v>2457</x:v>
      </x:c>
      <x:c r="AH52" t="n">
        <x:f>IF(OR(H52="",J52="",J52=0),"",H52/J52)</x:f>
        <x:v>2100</x:v>
      </x:c>
    </x:row>
    <x:row r="53">
      <x:c r="A53" s="12" t="inlineStr">
        <x:is>
          <x:t xml:space="preserve">direct-api-20</x:t>
        </x:is>
      </x:c>
      <x:c r="B53" s="12" t="inlineStr">
        <x:is>
          <x:t xml:space="preserve">Direct API</x:t>
        </x:is>
      </x:c>
      <x:c r="C53" s="12" t="inlineStr">
        <x:is>
          <x:t xml:space="preserve">$20 API budget</x:t>
        </x:is>
      </x:c>
      <x:c r="D53" s="70" t="n">
        <x:v>20</x:v>
      </x:c>
      <x:c r="E53" s="12" t="inlineStr">
        <x:is>
          <x:t xml:space="preserve">GPT-5.6 Luna</x:t>
        </x:is>
      </x:c>
      <x:c r="F53" s="12" t="inlineStr">
        <x:is>
          <x:t xml:space="preserve">medium</x:t>
        </x:is>
      </x:c>
      <x:c r="G53" s="12" t="inlineStr">
        <x:is>
          <x:t xml:space="preserve">openai|gpt-5.6-luna|medium|reasoning|fallback-na</x:t>
        </x:is>
      </x:c>
      <x:c r="H53" s="12" t="n">
        <x:f>IF(AF53="","",INDEX(Rankings!$I:$I,AF53))</x:f>
        <x:v>25</x:v>
      </x:c>
      <x:c r="I53" s="12" t="n">
        <x:f>IF(AF53="","",INDEX(Rankings!$L:$L,AF53))</x:f>
        <x:v>120</x:v>
      </x:c>
      <x:c r="J53" s="12" t="n">
        <x:f>IF(AF53="","",INDEX(Rankings!$J:$J,AF53))</x:f>
        <x:v>0.02</x:v>
      </x:c>
      <x:c r="K53" s="12" t="str">
        <x:f>IF(AF53="","",INDEX(Rankings!$K:$K,AF53))</x:f>
      </x:c>
      <x:c r="L53" s="12" t="n"/>
      <x:c r="M53" s="12" t="n"/>
      <x:c r="N53" s="12" t="n">
        <x:v>20</x:v>
      </x:c>
      <x:c r="O53" s="12" t="n">
        <x:v>144</x:v>
      </x:c>
      <x:c r="P53" s="12" t="str">
        <x:f>IF(L53="","",L53*O53)</x:f>
      </x:c>
      <x:c r="Q53" s="12" t="str">
        <x:f>IF(M53="","",M53*O53)</x:f>
      </x:c>
      <x:c r="R53" s="70" t="n">
        <x:f>IF(N53="","",N53)</x:f>
        <x:v>20</x:v>
      </x:c>
      <x:c r="S53" s="70" t="n">
        <x:f>IF(N53="","",N53)</x:f>
        <x:v>20</x:v>
      </x:c>
      <x:c r="T53" s="12" t="inlineStr">
        <x:is>
          <x:t xml:space="preserve">published dollar cap / direct budget</x:t>
        </x:is>
      </x:c>
      <x:c r="U53" s="12" t="inlineStr">
        <x:is>
          <x:t xml:space="preserve">high</x:t>
        </x:is>
      </x:c>
      <x:c r="V53" s="71" t="n">
        <x:f>IF(OR(S53="",D53=0),"",S53/D53)</x:f>
        <x:v>1</x:v>
      </x:c>
      <x:c r="W53" s="12" t="n">
        <x:f>IF(OR(S53="",J53="",J53=0),"",S53/J53)</x:f>
        <x:v>1000</x:v>
      </x:c>
      <x:c r="X53" s="12" t="n">
        <x:f>IF(OR(H53="",V53=""),"",H53*V53)</x:f>
        <x:v>25</x:v>
      </x:c>
      <x:c r="Y53" s="12" t="n">
        <x:f>IF(OR(I53="",V53=""),"",I53*V53)</x:f>
        <x:v>120</x:v>
      </x:c>
      <x:c r="Z53" s="12" t="n">
        <x:f>IF(OR(X53="",Y53=""),"",SQRT((X53/_xlfn.MAXIFS($X:$X,$A:$A,A53))*(Y53/_xlfn.MAXIFS($Y:$Y,$A:$A,A53))))</x:f>
        <x:v>0.40781804281853734</x:v>
      </x:c>
      <x:c r="AA53" s="12" t="n">
        <x:f>IF(Z53="","",(X53/_xlfn.MAXIFS($X:$X,$A:$A,A53))^0.7*(Y53/_xlfn.MAXIFS($Y:$Y,$A:$A,A53))^0.3)</x:f>
        <x:v>0.416950661973375</x:v>
      </x:c>
      <x:c r="AB53" s="12" t="n">
        <x:f>IF(Z53="","",(X53/_xlfn.MAXIFS($X:$X,$A:$A,A53))^0.3*(Y53/_xlfn.MAXIFS($Y:$Y,$A:$A,A53))^0.7)</x:f>
        <x:v>0.3988854586803911</x:v>
      </x:c>
      <x:c r="AC53" s="12" t="inlineStr">
        <x:is>
          <x:t xml:space="preserve">calculation baseline</x:t>
        </x:is>
      </x:c>
      <x:c r="AD53" t="str">
        <x:f>IF(OR(P53="",J53=""),"",P53*J53)</x:f>
      </x:c>
      <x:c r="AE53" t="str">
        <x:f>IF(OR(Q53="",J53=""),"",Q53*J53)</x:f>
      </x:c>
      <x:c r="AF53" t="n">
        <x:v>23</x:v>
      </x:c>
      <x:c r="AG53" t="n">
        <x:f>IF(OR(H53="",I53=""),"",H53*I53)</x:f>
        <x:v>3000</x:v>
      </x:c>
      <x:c r="AH53" t="n">
        <x:f>IF(OR(H53="",J53="",J53=0),"",H53/J53)</x:f>
        <x:v>1250</x:v>
      </x:c>
    </x:row>
    <x:row r="54">
      <x:c r="A54" s="12" t="inlineStr">
        <x:is>
          <x:t xml:space="preserve">direct-api-20</x:t>
        </x:is>
      </x:c>
      <x:c r="B54" s="12" t="inlineStr">
        <x:is>
          <x:t xml:space="preserve">Direct API</x:t>
        </x:is>
      </x:c>
      <x:c r="C54" s="12" t="inlineStr">
        <x:is>
          <x:t xml:space="preserve">$20 API budget</x:t>
        </x:is>
      </x:c>
      <x:c r="D54" s="70" t="n">
        <x:v>20</x:v>
      </x:c>
      <x:c r="E54" s="12" t="inlineStr">
        <x:is>
          <x:t xml:space="preserve">GPT-5.6 Luna</x:t>
        </x:is>
      </x:c>
      <x:c r="F54" s="12" t="inlineStr">
        <x:is>
          <x:t xml:space="preserve">high</x:t>
        </x:is>
      </x:c>
      <x:c r="G54" s="12" t="inlineStr">
        <x:is>
          <x:t xml:space="preserve">openai|gpt-5.6-luna|high|reasoning|fallback-na</x:t>
        </x:is>
      </x:c>
      <x:c r="H54" s="12" t="n">
        <x:f>IF(AF54="","",INDEX(Rankings!$I:$I,AF54))</x:f>
        <x:v>32</x:v>
      </x:c>
      <x:c r="I54" s="12" t="n">
        <x:f>IF(AF54="","",INDEX(Rankings!$L:$L,AF54))</x:f>
        <x:v>117</x:v>
      </x:c>
      <x:c r="J54" s="12" t="n">
        <x:f>IF(AF54="","",INDEX(Rankings!$J:$J,AF54))</x:f>
        <x:v>0.04</x:v>
      </x:c>
      <x:c r="K54" s="12" t="str">
        <x:f>IF(AF54="","",INDEX(Rankings!$K:$K,AF54))</x:f>
      </x:c>
      <x:c r="L54" s="12" t="n"/>
      <x:c r="M54" s="12" t="n"/>
      <x:c r="N54" s="12" t="n">
        <x:v>20</x:v>
      </x:c>
      <x:c r="O54" s="12" t="n">
        <x:v>144</x:v>
      </x:c>
      <x:c r="P54" s="12" t="str">
        <x:f>IF(L54="","",L54*O54)</x:f>
      </x:c>
      <x:c r="Q54" s="12" t="str">
        <x:f>IF(M54="","",M54*O54)</x:f>
      </x:c>
      <x:c r="R54" s="70" t="n">
        <x:f>IF(N54="","",N54)</x:f>
        <x:v>20</x:v>
      </x:c>
      <x:c r="S54" s="70" t="n">
        <x:f>IF(N54="","",N54)</x:f>
        <x:v>20</x:v>
      </x:c>
      <x:c r="T54" s="12" t="inlineStr">
        <x:is>
          <x:t xml:space="preserve">published dollar cap / direct budget</x:t>
        </x:is>
      </x:c>
      <x:c r="U54" s="12" t="inlineStr">
        <x:is>
          <x:t xml:space="preserve">high</x:t>
        </x:is>
      </x:c>
      <x:c r="V54" s="71" t="n">
        <x:f>IF(OR(S54="",D54=0),"",S54/D54)</x:f>
        <x:v>1</x:v>
      </x:c>
      <x:c r="W54" s="12" t="n">
        <x:f>IF(OR(S54="",J54="",J54=0),"",S54/J54)</x:f>
        <x:v>500</x:v>
      </x:c>
      <x:c r="X54" s="12" t="n">
        <x:f>IF(OR(H54="",V54=""),"",H54*V54)</x:f>
        <x:v>32</x:v>
      </x:c>
      <x:c r="Y54" s="12" t="n">
        <x:f>IF(OR(I54="",V54=""),"",I54*V54)</x:f>
        <x:v>117</x:v>
      </x:c>
      <x:c r="Z54" s="12" t="n">
        <x:f>IF(OR(X54="",Y54=""),"",SQRT((X54/_xlfn.MAXIFS($X:$X,$A:$A,A54))*(Y54/_xlfn.MAXIFS($Y:$Y,$A:$A,A54))))</x:f>
        <x:v>0.4555895235278477</x:v>
      </x:c>
      <x:c r="AA54" s="12" t="n">
        <x:f>IF(Z54="","",(X54/_xlfn.MAXIFS($X:$X,$A:$A,A54))^0.7*(Y54/_xlfn.MAXIFS($Y:$Y,$A:$A,A54))^0.3)</x:f>
        <x:v>0.4918504025234377</x:v>
      </x:c>
      <x:c r="AB54" s="12" t="n">
        <x:f>IF(Z54="","",(X54/_xlfn.MAXIFS($X:$X,$A:$A,A54))^0.3*(Y54/_xlfn.MAXIFS($Y:$Y,$A:$A,A54))^0.7)</x:f>
        <x:v>0.4220019194524102</x:v>
      </x:c>
      <x:c r="AC54" s="12" t="inlineStr">
        <x:is>
          <x:t xml:space="preserve">calculation baseline</x:t>
        </x:is>
      </x:c>
      <x:c r="AD54" t="str">
        <x:f>IF(OR(P54="",J54=""),"",P54*J54)</x:f>
      </x:c>
      <x:c r="AE54" t="str">
        <x:f>IF(OR(Q54="",J54=""),"",Q54*J54)</x:f>
      </x:c>
      <x:c r="AF54" t="n">
        <x:v>24</x:v>
      </x:c>
      <x:c r="AG54" t="n">
        <x:f>IF(OR(H54="",I54=""),"",H54*I54)</x:f>
        <x:v>3744</x:v>
      </x:c>
      <x:c r="AH54" t="n">
        <x:f>IF(OR(H54="",J54="",J54=0),"",H54/J54)</x:f>
        <x:v>800</x:v>
      </x:c>
    </x:row>
    <x:row r="55">
      <x:c r="A55" s="12" t="inlineStr">
        <x:is>
          <x:t xml:space="preserve">direct-api-20</x:t>
        </x:is>
      </x:c>
      <x:c r="B55" s="12" t="inlineStr">
        <x:is>
          <x:t xml:space="preserve">Direct API</x:t>
        </x:is>
      </x:c>
      <x:c r="C55" s="12" t="inlineStr">
        <x:is>
          <x:t xml:space="preserve">$20 API budget</x:t>
        </x:is>
      </x:c>
      <x:c r="D55" s="70" t="n">
        <x:v>20</x:v>
      </x:c>
      <x:c r="E55" s="12" t="inlineStr">
        <x:is>
          <x:t xml:space="preserve">GPT-5.6 Luna</x:t>
        </x:is>
      </x:c>
      <x:c r="F55" s="12" t="inlineStr">
        <x:is>
          <x:t xml:space="preserve">xhigh</x:t>
        </x:is>
      </x:c>
      <x:c r="G55" s="12" t="inlineStr">
        <x:is>
          <x:t xml:space="preserve">openai|gpt-5.6-luna|xhigh|reasoning|fallback-na</x:t>
        </x:is>
      </x:c>
      <x:c r="H55" s="12" t="n">
        <x:f>IF(AF55="","",INDEX(Rankings!$I:$I,AF55))</x:f>
        <x:v>35</x:v>
      </x:c>
      <x:c r="I55" s="12" t="n">
        <x:f>IF(AF55="","",INDEX(Rankings!$L:$L,AF55))</x:f>
        <x:v>124</x:v>
      </x:c>
      <x:c r="J55" s="12" t="n">
        <x:f>IF(AF55="","",INDEX(Rankings!$J:$J,AF55))</x:f>
        <x:v>0.09</x:v>
      </x:c>
      <x:c r="K55" s="12" t="str">
        <x:f>IF(AF55="","",INDEX(Rankings!$K:$K,AF55))</x:f>
      </x:c>
      <x:c r="L55" s="12" t="n"/>
      <x:c r="M55" s="12" t="n"/>
      <x:c r="N55" s="12" t="n">
        <x:v>20</x:v>
      </x:c>
      <x:c r="O55" s="12" t="n">
        <x:v>144</x:v>
      </x:c>
      <x:c r="P55" s="12" t="str">
        <x:f>IF(L55="","",L55*O55)</x:f>
      </x:c>
      <x:c r="Q55" s="12" t="str">
        <x:f>IF(M55="","",M55*O55)</x:f>
      </x:c>
      <x:c r="R55" s="70" t="n">
        <x:f>IF(N55="","",N55)</x:f>
        <x:v>20</x:v>
      </x:c>
      <x:c r="S55" s="70" t="n">
        <x:f>IF(N55="","",N55)</x:f>
        <x:v>20</x:v>
      </x:c>
      <x:c r="T55" s="12" t="inlineStr">
        <x:is>
          <x:t xml:space="preserve">published dollar cap / direct budget</x:t>
        </x:is>
      </x:c>
      <x:c r="U55" s="12" t="inlineStr">
        <x:is>
          <x:t xml:space="preserve">high</x:t>
        </x:is>
      </x:c>
      <x:c r="V55" s="71" t="n">
        <x:f>IF(OR(S55="",D55=0),"",S55/D55)</x:f>
        <x:v>1</x:v>
      </x:c>
      <x:c r="W55" s="12" t="n">
        <x:f>IF(OR(S55="",J55="",J55=0),"",S55/J55)</x:f>
        <x:v>222.22222222222223</x:v>
      </x:c>
      <x:c r="X55" s="12" t="n">
        <x:f>IF(OR(H55="",V55=""),"",H55*V55)</x:f>
        <x:v>35</x:v>
      </x:c>
      <x:c r="Y55" s="12" t="n">
        <x:f>IF(OR(I55="",V55=""),"",I55*V55)</x:f>
        <x:v>124</x:v>
      </x:c>
      <x:c r="Z55" s="12" t="n">
        <x:f>IF(OR(X55="",Y55=""),"",SQRT((X55/_xlfn.MAXIFS($X:$X,$A:$A,A55))*(Y55/_xlfn.MAXIFS($Y:$Y,$A:$A,A55))))</x:f>
        <x:v>0.49051317116186455</x:v>
      </x:c>
      <x:c r="AA55" s="12" t="n">
        <x:f>IF(Z55="","",(X55/_xlfn.MAXIFS($X:$X,$A:$A,A55))^0.7*(Y55/_xlfn.MAXIFS($Y:$Y,$A:$A,A55))^0.3)</x:f>
        <x:v>0.5329008640273013</x:v>
      </x:c>
      <x:c r="AB55" s="12" t="n">
        <x:f>IF(Z55="","",(X55/_xlfn.MAXIFS($X:$X,$A:$A,A55))^0.3*(Y55/_xlfn.MAXIFS($Y:$Y,$A:$A,A55))^0.7)</x:f>
        <x:v>0.451497055690535</x:v>
      </x:c>
      <x:c r="AC55" s="12" t="inlineStr">
        <x:is>
          <x:t xml:space="preserve">calculation baseline</x:t>
        </x:is>
      </x:c>
      <x:c r="AD55" t="str">
        <x:f>IF(OR(P55="",J55=""),"",P55*J55)</x:f>
      </x:c>
      <x:c r="AE55" t="str">
        <x:f>IF(OR(Q55="",J55=""),"",Q55*J55)</x:f>
      </x:c>
      <x:c r="AF55" t="n">
        <x:v>25</x:v>
      </x:c>
      <x:c r="AG55" t="n">
        <x:f>IF(OR(H55="",I55=""),"",H55*I55)</x:f>
        <x:v>4340</x:v>
      </x:c>
      <x:c r="AH55" t="n">
        <x:f>IF(OR(H55="",J55="",J55=0),"",H55/J55)</x:f>
        <x:v>388.8888888888889</x:v>
      </x:c>
    </x:row>
    <x:row r="56">
      <x:c r="A56" s="12" t="inlineStr">
        <x:is>
          <x:t xml:space="preserve">direct-api-20</x:t>
        </x:is>
      </x:c>
      <x:c r="B56" s="12" t="inlineStr">
        <x:is>
          <x:t xml:space="preserve">Direct API</x:t>
        </x:is>
      </x:c>
      <x:c r="C56" s="12" t="inlineStr">
        <x:is>
          <x:t xml:space="preserve">$20 API budget</x:t>
        </x:is>
      </x:c>
      <x:c r="D56" s="70" t="n">
        <x:v>20</x:v>
      </x:c>
      <x:c r="E56" s="12" t="inlineStr">
        <x:is>
          <x:t xml:space="preserve">GPT-5.6 Luna</x:t>
        </x:is>
      </x:c>
      <x:c r="F56" s="12" t="inlineStr">
        <x:is>
          <x:t xml:space="preserve">max</x:t>
        </x:is>
      </x:c>
      <x:c r="G56" s="12" t="inlineStr">
        <x:is>
          <x:t xml:space="preserve">openai|gpt-5.6-luna|max|reasoning|fallback-na</x:t>
        </x:is>
      </x:c>
      <x:c r="H56" s="12" t="n">
        <x:f>IF(AF56="","",INDEX(Rankings!$I:$I,AF56))</x:f>
        <x:v>37</x:v>
      </x:c>
      <x:c r="I56" s="12" t="n">
        <x:f>IF(AF56="","",INDEX(Rankings!$L:$L,AF56))</x:f>
        <x:v>121</x:v>
      </x:c>
      <x:c r="J56" s="12" t="n">
        <x:f>IF(AF56="","",INDEX(Rankings!$J:$J,AF56))</x:f>
        <x:v>0.18</x:v>
      </x:c>
      <x:c r="K56" s="12" t="str">
        <x:f>IF(AF56="","",INDEX(Rankings!$K:$K,AF56))</x:f>
      </x:c>
      <x:c r="L56" s="12" t="n"/>
      <x:c r="M56" s="12" t="n"/>
      <x:c r="N56" s="12" t="n">
        <x:v>20</x:v>
      </x:c>
      <x:c r="O56" s="12" t="n">
        <x:v>144</x:v>
      </x:c>
      <x:c r="P56" s="12" t="str">
        <x:f>IF(L56="","",L56*O56)</x:f>
      </x:c>
      <x:c r="Q56" s="12" t="str">
        <x:f>IF(M56="","",M56*O56)</x:f>
      </x:c>
      <x:c r="R56" s="70" t="n">
        <x:f>IF(N56="","",N56)</x:f>
        <x:v>20</x:v>
      </x:c>
      <x:c r="S56" s="70" t="n">
        <x:f>IF(N56="","",N56)</x:f>
        <x:v>20</x:v>
      </x:c>
      <x:c r="T56" s="12" t="inlineStr">
        <x:is>
          <x:t xml:space="preserve">published dollar cap / direct budget</x:t>
        </x:is>
      </x:c>
      <x:c r="U56" s="12" t="inlineStr">
        <x:is>
          <x:t xml:space="preserve">high</x:t>
        </x:is>
      </x:c>
      <x:c r="V56" s="71" t="n">
        <x:f>IF(OR(S56="",D56=0),"",S56/D56)</x:f>
        <x:v>1</x:v>
      </x:c>
      <x:c r="W56" s="12" t="n">
        <x:f>IF(OR(S56="",J56="",J56=0),"",S56/J56)</x:f>
        <x:v>111.11111111111111</x:v>
      </x:c>
      <x:c r="X56" s="12" t="n">
        <x:f>IF(OR(H56="",V56=""),"",H56*V56)</x:f>
        <x:v>37</x:v>
      </x:c>
      <x:c r="Y56" s="12" t="n">
        <x:f>IF(OR(I56="",V56=""),"",I56*V56)</x:f>
        <x:v>121</x:v>
      </x:c>
      <x:c r="Z56" s="12" t="n">
        <x:f>IF(OR(X56="",Y56=""),"",SQRT((X56/_xlfn.MAXIFS($X:$X,$A:$A,A56))*(Y56/_xlfn.MAXIFS($Y:$Y,$A:$A,A56))))</x:f>
        <x:v>0.4981949900820056</x:v>
      </x:c>
      <x:c r="AA56" s="12" t="n">
        <x:f>IF(Z56="","",(X56/_xlfn.MAXIFS($X:$X,$A:$A,A56))^0.7*(Y56/_xlfn.MAXIFS($Y:$Y,$A:$A,A56))^0.3)</x:f>
        <x:v>0.549982797506164</x:v>
      </x:c>
      <x:c r="AB56" s="12" t="n">
        <x:f>IF(Z56="","",(X56/_xlfn.MAXIFS($X:$X,$A:$A,A56))^0.3*(Y56/_xlfn.MAXIFS($Y:$Y,$A:$A,A56))^0.7)</x:f>
        <x:v>0.45128365699479533</x:v>
      </x:c>
      <x:c r="AC56" s="12" t="inlineStr">
        <x:is>
          <x:t xml:space="preserve">calculation baseline</x:t>
        </x:is>
      </x:c>
      <x:c r="AD56" t="str">
        <x:f>IF(OR(P56="",J56=""),"",P56*J56)</x:f>
      </x:c>
      <x:c r="AE56" t="str">
        <x:f>IF(OR(Q56="",J56=""),"",Q56*J56)</x:f>
      </x:c>
      <x:c r="AF56" t="n">
        <x:v>26</x:v>
      </x:c>
      <x:c r="AG56" t="n">
        <x:f>IF(OR(H56="",I56=""),"",H56*I56)</x:f>
        <x:v>4477</x:v>
      </x:c>
      <x:c r="AH56" t="n">
        <x:f>IF(OR(H56="",J56="",J56=0),"",H56/J56)</x:f>
        <x:v>205.55555555555557</x:v>
      </x:c>
    </x:row>
    <x:row r="57">
      <x:c r="A57" s="12" t="inlineStr">
        <x:is>
          <x:t xml:space="preserve">direct-api-20</x:t>
        </x:is>
      </x:c>
      <x:c r="B57" s="12" t="inlineStr">
        <x:is>
          <x:t xml:space="preserve">Direct API</x:t>
        </x:is>
      </x:c>
      <x:c r="C57" s="12" t="inlineStr">
        <x:is>
          <x:t xml:space="preserve">$20 API budget</x:t>
        </x:is>
      </x:c>
      <x:c r="D57" s="70" t="n">
        <x:v>20</x:v>
      </x:c>
      <x:c r="E57" s="12" t="inlineStr">
        <x:is>
          <x:t xml:space="preserve">GPT-5.6 Sol</x:t>
        </x:is>
      </x:c>
      <x:c r="F57" s="12" t="inlineStr">
        <x:is>
          <x:t xml:space="preserve">low</x:t>
        </x:is>
      </x:c>
      <x:c r="G57" s="12" t="inlineStr">
        <x:is>
          <x:t xml:space="preserve">openai|gpt-5.6-sol|low|reasoning|fallback-na</x:t>
        </x:is>
      </x:c>
      <x:c r="H57" s="12" t="n">
        <x:f>IF(AF57="","",INDEX(Rankings!$I:$I,AF57))</x:f>
        <x:v>33</x:v>
      </x:c>
      <x:c r="I57" s="12" t="n">
        <x:f>IF(AF57="","",INDEX(Rankings!$L:$L,AF57))</x:f>
        <x:v>80</x:v>
      </x:c>
      <x:c r="J57" s="12" t="n">
        <x:f>IF(AF57="","",INDEX(Rankings!$J:$J,AF57))</x:f>
        <x:v>0.26</x:v>
      </x:c>
      <x:c r="K57" s="12" t="str">
        <x:f>IF(AF57="","",INDEX(Rankings!$K:$K,AF57))</x:f>
      </x:c>
      <x:c r="L57" s="12" t="n"/>
      <x:c r="M57" s="12" t="n"/>
      <x:c r="N57" s="12" t="n">
        <x:v>20</x:v>
      </x:c>
      <x:c r="O57" s="12" t="n">
        <x:v>144</x:v>
      </x:c>
      <x:c r="P57" s="12" t="str">
        <x:f>IF(L57="","",L57*O57)</x:f>
      </x:c>
      <x:c r="Q57" s="12" t="str">
        <x:f>IF(M57="","",M57*O57)</x:f>
      </x:c>
      <x:c r="R57" s="70" t="n">
        <x:f>IF(N57="","",N57)</x:f>
        <x:v>20</x:v>
      </x:c>
      <x:c r="S57" s="70" t="n">
        <x:f>IF(N57="","",N57)</x:f>
        <x:v>20</x:v>
      </x:c>
      <x:c r="T57" s="12" t="inlineStr">
        <x:is>
          <x:t xml:space="preserve">published dollar cap / direct budget</x:t>
        </x:is>
      </x:c>
      <x:c r="U57" s="12" t="inlineStr">
        <x:is>
          <x:t xml:space="preserve">high</x:t>
        </x:is>
      </x:c>
      <x:c r="V57" s="71" t="n">
        <x:f>IF(OR(S57="",D57=0),"",S57/D57)</x:f>
        <x:v>1</x:v>
      </x:c>
      <x:c r="W57" s="12" t="n">
        <x:f>IF(OR(S57="",J57="",J57=0),"",S57/J57)</x:f>
        <x:v>76.92307692307692</x:v>
      </x:c>
      <x:c r="X57" s="12" t="n">
        <x:f>IF(OR(H57="",V57=""),"",H57*V57)</x:f>
        <x:v>33</x:v>
      </x:c>
      <x:c r="Y57" s="12" t="n">
        <x:f>IF(OR(I57="",V57=""),"",I57*V57)</x:f>
        <x:v>80</x:v>
      </x:c>
      <x:c r="Z57" s="12" t="n">
        <x:f>IF(OR(X57="",Y57=""),"",SQRT((X57/_xlfn.MAXIFS($X:$X,$A:$A,A57))*(Y57/_xlfn.MAXIFS($Y:$Y,$A:$A,A57))))</x:f>
        <x:v>0.3825672350352828</x:v>
      </x:c>
      <x:c r="AA57" s="12" t="n">
        <x:f>IF(Z57="","",(X57/_xlfn.MAXIFS($X:$X,$A:$A,A57))^0.7*(Y57/_xlfn.MAXIFS($Y:$Y,$A:$A,A57))^0.3)</x:f>
        <x:v>0.44839322480635974</x:v>
      </x:c>
      <x:c r="AB57" s="12" t="n">
        <x:f>IF(Z57="","",(X57/_xlfn.MAXIFS($X:$X,$A:$A,A57))^0.3*(Y57/_xlfn.MAXIFS($Y:$Y,$A:$A,A57))^0.7)</x:f>
        <x:v>0.32640477425979486</x:v>
      </x:c>
      <x:c r="AC57" s="12" t="inlineStr">
        <x:is>
          <x:t xml:space="preserve">calculation baseline</x:t>
        </x:is>
      </x:c>
      <x:c r="AD57" t="str">
        <x:f>IF(OR(P57="",J57=""),"",P57*J57)</x:f>
      </x:c>
      <x:c r="AE57" t="str">
        <x:f>IF(OR(Q57="",J57=""),"",Q57*J57)</x:f>
      </x:c>
      <x:c r="AF57" t="n">
        <x:v>28</x:v>
      </x:c>
      <x:c r="AG57" t="n">
        <x:f>IF(OR(H57="",I57=""),"",H57*I57)</x:f>
        <x:v>2640</x:v>
      </x:c>
      <x:c r="AH57" t="n">
        <x:f>IF(OR(H57="",J57="",J57=0),"",H57/J57)</x:f>
        <x:v>126.92307692307692</x:v>
      </x:c>
    </x:row>
    <x:row r="58">
      <x:c r="A58" s="12" t="inlineStr">
        <x:is>
          <x:t xml:space="preserve">direct-api-20</x:t>
        </x:is>
      </x:c>
      <x:c r="B58" s="12" t="inlineStr">
        <x:is>
          <x:t xml:space="preserve">Direct API</x:t>
        </x:is>
      </x:c>
      <x:c r="C58" s="12" t="inlineStr">
        <x:is>
          <x:t xml:space="preserve">$20 API budget</x:t>
        </x:is>
      </x:c>
      <x:c r="D58" s="70" t="n">
        <x:v>20</x:v>
      </x:c>
      <x:c r="E58" s="12" t="inlineStr">
        <x:is>
          <x:t xml:space="preserve">GPT-5.6 Sol</x:t>
        </x:is>
      </x:c>
      <x:c r="F58" s="12" t="inlineStr">
        <x:is>
          <x:t xml:space="preserve">medium</x:t>
        </x:is>
      </x:c>
      <x:c r="G58" s="12" t="inlineStr">
        <x:is>
          <x:t xml:space="preserve">openai|gpt-5.6-sol|medium|reasoning|fallback-na</x:t>
        </x:is>
      </x:c>
      <x:c r="H58" s="12" t="n">
        <x:f>IF(AF58="","",INDEX(Rankings!$I:$I,AF58))</x:f>
        <x:v>39</x:v>
      </x:c>
      <x:c r="I58" s="12" t="n">
        <x:f>IF(AF58="","",INDEX(Rankings!$L:$L,AF58))</x:f>
        <x:v>82</x:v>
      </x:c>
      <x:c r="J58" s="12" t="n">
        <x:f>IF(AF58="","",INDEX(Rankings!$J:$J,AF58))</x:f>
        <x:v>0.5</x:v>
      </x:c>
      <x:c r="K58" s="12" t="str">
        <x:f>IF(AF58="","",INDEX(Rankings!$K:$K,AF58))</x:f>
      </x:c>
      <x:c r="L58" s="12" t="n"/>
      <x:c r="M58" s="12" t="n"/>
      <x:c r="N58" s="12" t="n">
        <x:v>20</x:v>
      </x:c>
      <x:c r="O58" s="12" t="n">
        <x:v>144</x:v>
      </x:c>
      <x:c r="P58" s="12" t="str">
        <x:f>IF(L58="","",L58*O58)</x:f>
      </x:c>
      <x:c r="Q58" s="12" t="str">
        <x:f>IF(M58="","",M58*O58)</x:f>
      </x:c>
      <x:c r="R58" s="70" t="n">
        <x:f>IF(N58="","",N58)</x:f>
        <x:v>20</x:v>
      </x:c>
      <x:c r="S58" s="70" t="n">
        <x:f>IF(N58="","",N58)</x:f>
        <x:v>20</x:v>
      </x:c>
      <x:c r="T58" s="12" t="inlineStr">
        <x:is>
          <x:t xml:space="preserve">published dollar cap / direct budget</x:t>
        </x:is>
      </x:c>
      <x:c r="U58" s="12" t="inlineStr">
        <x:is>
          <x:t xml:space="preserve">high</x:t>
        </x:is>
      </x:c>
      <x:c r="V58" s="71" t="n">
        <x:f>IF(OR(S58="",D58=0),"",S58/D58)</x:f>
        <x:v>1</x:v>
      </x:c>
      <x:c r="W58" s="12" t="n">
        <x:f>IF(OR(S58="",J58="",J58=0),"",S58/J58)</x:f>
        <x:v>40</x:v>
      </x:c>
      <x:c r="X58" s="12" t="n">
        <x:f>IF(OR(H58="",V58=""),"",H58*V58)</x:f>
        <x:v>39</x:v>
      </x:c>
      <x:c r="Y58" s="12" t="n">
        <x:f>IF(OR(I58="",V58=""),"",I58*V58)</x:f>
        <x:v>82</x:v>
      </x:c>
      <x:c r="Z58" s="12" t="n">
        <x:f>IF(OR(X58="",Y58=""),"",SQRT((X58/_xlfn.MAXIFS($X:$X,$A:$A,A58))*(Y58/_xlfn.MAXIFS($Y:$Y,$A:$A,A58))))</x:f>
        <x:v>0.4210610202186056</x:v>
      </x:c>
      <x:c r="AA58" s="12" t="n">
        <x:f>IF(Z58="","",(X58/_xlfn.MAXIFS($X:$X,$A:$A,A58))^0.7*(Y58/_xlfn.MAXIFS($Y:$Y,$A:$A,A58))^0.3)</x:f>
        <x:v>0.5077637215987633</x:v>
      </x:c>
      <x:c r="AB58" s="12" t="n">
        <x:f>IF(Z58="","",(X58/_xlfn.MAXIFS($X:$X,$A:$A,A58))^0.3*(Y58/_xlfn.MAXIFS($Y:$Y,$A:$A,A58))^0.7)</x:f>
        <x:v>0.3491631544477099</x:v>
      </x:c>
      <x:c r="AC58" s="12" t="inlineStr">
        <x:is>
          <x:t xml:space="preserve">calculation baseline</x:t>
        </x:is>
      </x:c>
      <x:c r="AD58" t="str">
        <x:f>IF(OR(P58="",J58=""),"",P58*J58)</x:f>
      </x:c>
      <x:c r="AE58" t="str">
        <x:f>IF(OR(Q58="",J58=""),"",Q58*J58)</x:f>
      </x:c>
      <x:c r="AF58" t="n">
        <x:v>29</x:v>
      </x:c>
      <x:c r="AG58" t="n">
        <x:f>IF(OR(H58="",I58=""),"",H58*I58)</x:f>
        <x:v>3198</x:v>
      </x:c>
      <x:c r="AH58" t="n">
        <x:f>IF(OR(H58="",J58="",J58=0),"",H58/J58)</x:f>
        <x:v>78</x:v>
      </x:c>
    </x:row>
    <x:row r="59">
      <x:c r="A59" s="12" t="inlineStr">
        <x:is>
          <x:t xml:space="preserve">direct-api-20</x:t>
        </x:is>
      </x:c>
      <x:c r="B59" s="12" t="inlineStr">
        <x:is>
          <x:t xml:space="preserve">Direct API</x:t>
        </x:is>
      </x:c>
      <x:c r="C59" s="12" t="inlineStr">
        <x:is>
          <x:t xml:space="preserve">$20 API budget</x:t>
        </x:is>
      </x:c>
      <x:c r="D59" s="70" t="n">
        <x:v>20</x:v>
      </x:c>
      <x:c r="E59" s="12" t="inlineStr">
        <x:is>
          <x:t xml:space="preserve">GPT-5.6 Sol</x:t>
        </x:is>
      </x:c>
      <x:c r="F59" s="12" t="inlineStr">
        <x:is>
          <x:t xml:space="preserve">high</x:t>
        </x:is>
      </x:c>
      <x:c r="G59" s="12" t="inlineStr">
        <x:is>
          <x:t xml:space="preserve">openai|gpt-5.6-sol|high|reasoning|fallback-na</x:t>
        </x:is>
      </x:c>
      <x:c r="H59" s="12" t="n">
        <x:f>IF(AF59="","",INDEX(Rankings!$I:$I,AF59))</x:f>
        <x:v>42</x:v>
      </x:c>
      <x:c r="I59" s="12" t="n">
        <x:f>IF(AF59="","",INDEX(Rankings!$L:$L,AF59))</x:f>
        <x:v>81</x:v>
      </x:c>
      <x:c r="J59" s="12" t="n">
        <x:f>IF(AF59="","",INDEX(Rankings!$J:$J,AF59))</x:f>
        <x:v>0.81</x:v>
      </x:c>
      <x:c r="K59" s="12" t="str">
        <x:f>IF(AF59="","",INDEX(Rankings!$K:$K,AF59))</x:f>
      </x:c>
      <x:c r="L59" s="12" t="n"/>
      <x:c r="M59" s="12" t="n"/>
      <x:c r="N59" s="12" t="n">
        <x:v>20</x:v>
      </x:c>
      <x:c r="O59" s="12" t="n">
        <x:v>144</x:v>
      </x:c>
      <x:c r="P59" s="12" t="str">
        <x:f>IF(L59="","",L59*O59)</x:f>
      </x:c>
      <x:c r="Q59" s="12" t="str">
        <x:f>IF(M59="","",M59*O59)</x:f>
      </x:c>
      <x:c r="R59" s="70" t="n">
        <x:f>IF(N59="","",N59)</x:f>
        <x:v>20</x:v>
      </x:c>
      <x:c r="S59" s="70" t="n">
        <x:f>IF(N59="","",N59)</x:f>
        <x:v>20</x:v>
      </x:c>
      <x:c r="T59" s="12" t="inlineStr">
        <x:is>
          <x:t xml:space="preserve">published dollar cap / direct budget</x:t>
        </x:is>
      </x:c>
      <x:c r="U59" s="12" t="inlineStr">
        <x:is>
          <x:t xml:space="preserve">high</x:t>
        </x:is>
      </x:c>
      <x:c r="V59" s="71" t="n">
        <x:f>IF(OR(S59="",D59=0),"",S59/D59)</x:f>
        <x:v>1</x:v>
      </x:c>
      <x:c r="W59" s="12" t="n">
        <x:f>IF(OR(S59="",J59="",J59=0),"",S59/J59)</x:f>
        <x:v>24.691358024691358</x:v>
      </x:c>
      <x:c r="X59" s="12" t="n">
        <x:f>IF(OR(H59="",V59=""),"",H59*V59)</x:f>
        <x:v>42</x:v>
      </x:c>
      <x:c r="Y59" s="12" t="n">
        <x:f>IF(OR(I59="",V59=""),"",I59*V59)</x:f>
        <x:v>81</x:v>
      </x:c>
      <x:c r="Z59" s="12" t="n">
        <x:f>IF(OR(X59="",Y59=""),"",SQRT((X59/_xlfn.MAXIFS($X:$X,$A:$A,A59))*(Y59/_xlfn.MAXIFS($Y:$Y,$A:$A,A59))))</x:f>
        <x:v>0.4342831340943604</x:v>
      </x:c>
      <x:c r="AA59" s="12" t="n">
        <x:f>IF(Z59="","",(X59/_xlfn.MAXIFS($X:$X,$A:$A,A59))^0.7*(Y59/_xlfn.MAXIFS($Y:$Y,$A:$A,A59))^0.3)</x:f>
        <x:v>0.5328344508534089</x:v>
      </x:c>
      <x:c r="AB59" s="12" t="n">
        <x:f>IF(Z59="","",(X59/_xlfn.MAXIFS($X:$X,$A:$A,A59))^0.3*(Y59/_xlfn.MAXIFS($Y:$Y,$A:$A,A59))^0.7)</x:f>
        <x:v>0.3539595464534024</x:v>
      </x:c>
      <x:c r="AC59" s="12" t="inlineStr">
        <x:is>
          <x:t xml:space="preserve">calculation baseline</x:t>
        </x:is>
      </x:c>
      <x:c r="AD59" t="str">
        <x:f>IF(OR(P59="",J59=""),"",P59*J59)</x:f>
      </x:c>
      <x:c r="AE59" t="str">
        <x:f>IF(OR(Q59="",J59=""),"",Q59*J59)</x:f>
      </x:c>
      <x:c r="AF59" t="n">
        <x:v>30</x:v>
      </x:c>
      <x:c r="AG59" t="n">
        <x:f>IF(OR(H59="",I59=""),"",H59*I59)</x:f>
        <x:v>3402</x:v>
      </x:c>
      <x:c r="AH59" t="n">
        <x:f>IF(OR(H59="",J59="",J59=0),"",H59/J59)</x:f>
        <x:v>51.85185185185185</x:v>
      </x:c>
    </x:row>
    <x:row r="60">
      <x:c r="A60" s="12" t="inlineStr">
        <x:is>
          <x:t xml:space="preserve">direct-api-20</x:t>
        </x:is>
      </x:c>
      <x:c r="B60" s="12" t="inlineStr">
        <x:is>
          <x:t xml:space="preserve">Direct API</x:t>
        </x:is>
      </x:c>
      <x:c r="C60" s="12" t="inlineStr">
        <x:is>
          <x:t xml:space="preserve">$20 API budget</x:t>
        </x:is>
      </x:c>
      <x:c r="D60" s="70" t="n">
        <x:v>20</x:v>
      </x:c>
      <x:c r="E60" s="12" t="inlineStr">
        <x:is>
          <x:t xml:space="preserve">GPT-5.6 Sol</x:t>
        </x:is>
      </x:c>
      <x:c r="F60" s="12" t="inlineStr">
        <x:is>
          <x:t xml:space="preserve">xhigh</x:t>
        </x:is>
      </x:c>
      <x:c r="G60" s="12" t="inlineStr">
        <x:is>
          <x:t xml:space="preserve">openai|gpt-5.6-sol|xhigh|reasoning|fallback-na</x:t>
        </x:is>
      </x:c>
      <x:c r="H60" s="12" t="n">
        <x:f>IF(AF60="","",INDEX(Rankings!$I:$I,AF60))</x:f>
        <x:v>44</x:v>
      </x:c>
      <x:c r="I60" s="12" t="n">
        <x:f>IF(AF60="","",INDEX(Rankings!$L:$L,AF60))</x:f>
        <x:v>83</x:v>
      </x:c>
      <x:c r="J60" s="12" t="n">
        <x:f>IF(AF60="","",INDEX(Rankings!$J:$J,AF60))</x:f>
        <x:v>1.18</x:v>
      </x:c>
      <x:c r="K60" s="12" t="str">
        <x:f>IF(AF60="","",INDEX(Rankings!$K:$K,AF60))</x:f>
      </x:c>
      <x:c r="L60" s="12" t="n"/>
      <x:c r="M60" s="12" t="n"/>
      <x:c r="N60" s="12" t="n">
        <x:v>20</x:v>
      </x:c>
      <x:c r="O60" s="12" t="n">
        <x:v>144</x:v>
      </x:c>
      <x:c r="P60" s="12" t="str">
        <x:f>IF(L60="","",L60*O60)</x:f>
      </x:c>
      <x:c r="Q60" s="12" t="str">
        <x:f>IF(M60="","",M60*O60)</x:f>
      </x:c>
      <x:c r="R60" s="70" t="n">
        <x:f>IF(N60="","",N60)</x:f>
        <x:v>20</x:v>
      </x:c>
      <x:c r="S60" s="70" t="n">
        <x:f>IF(N60="","",N60)</x:f>
        <x:v>20</x:v>
      </x:c>
      <x:c r="T60" s="12" t="inlineStr">
        <x:is>
          <x:t xml:space="preserve">published dollar cap / direct budget</x:t>
        </x:is>
      </x:c>
      <x:c r="U60" s="12" t="inlineStr">
        <x:is>
          <x:t xml:space="preserve">high</x:t>
        </x:is>
      </x:c>
      <x:c r="V60" s="71" t="n">
        <x:f>IF(OR(S60="",D60=0),"",S60/D60)</x:f>
        <x:v>1</x:v>
      </x:c>
      <x:c r="W60" s="12" t="n">
        <x:f>IF(OR(S60="",J60="",J60=0),"",S60/J60)</x:f>
        <x:v>16.949152542372882</x:v>
      </x:c>
      <x:c r="X60" s="12" t="n">
        <x:f>IF(OR(H60="",V60=""),"",H60*V60)</x:f>
        <x:v>44</x:v>
      </x:c>
      <x:c r="Y60" s="12" t="n">
        <x:f>IF(OR(I60="",V60=""),"",I60*V60)</x:f>
        <x:v>83</x:v>
      </x:c>
      <x:c r="Z60" s="12" t="n">
        <x:f>IF(OR(X60="",Y60=""),"",SQRT((X60/_xlfn.MAXIFS($X:$X,$A:$A,A60))*(Y60/_xlfn.MAXIFS($Y:$Y,$A:$A,A60))))</x:f>
        <x:v>0.44995718710730187</x:v>
      </x:c>
      <x:c r="AA60" s="12" t="n">
        <x:f>IF(Z60="","",(X60/_xlfn.MAXIFS($X:$X,$A:$A,A60))^0.7*(Y60/_xlfn.MAXIFS($Y:$Y,$A:$A,A60))^0.3)</x:f>
        <x:v>0.55451409403715</x:v>
      </x:c>
      <x:c r="AB60" s="12" t="n">
        <x:f>IF(Z60="","",(X60/_xlfn.MAXIFS($X:$X,$A:$A,A60))^0.3*(Y60/_xlfn.MAXIFS($Y:$Y,$A:$A,A60))^0.7)</x:f>
        <x:v>0.3651151024052266</x:v>
      </x:c>
      <x:c r="AC60" s="12" t="inlineStr">
        <x:is>
          <x:t xml:space="preserve">calculation baseline</x:t>
        </x:is>
      </x:c>
      <x:c r="AD60" t="str">
        <x:f>IF(OR(P60="",J60=""),"",P60*J60)</x:f>
      </x:c>
      <x:c r="AE60" t="str">
        <x:f>IF(OR(Q60="",J60=""),"",Q60*J60)</x:f>
      </x:c>
      <x:c r="AF60" t="n">
        <x:v>31</x:v>
      </x:c>
      <x:c r="AG60" t="n">
        <x:f>IF(OR(H60="",I60=""),"",H60*I60)</x:f>
        <x:v>3652</x:v>
      </x:c>
      <x:c r="AH60" t="n">
        <x:f>IF(OR(H60="",J60="",J60=0),"",H60/J60)</x:f>
        <x:v>37.28813559322034</x:v>
      </x:c>
    </x:row>
    <x:row r="61">
      <x:c r="A61" s="12" t="inlineStr">
        <x:is>
          <x:t xml:space="preserve">direct-api-20</x:t>
        </x:is>
      </x:c>
      <x:c r="B61" s="12" t="inlineStr">
        <x:is>
          <x:t xml:space="preserve">Direct API</x:t>
        </x:is>
      </x:c>
      <x:c r="C61" s="12" t="inlineStr">
        <x:is>
          <x:t xml:space="preserve">$20 API budget</x:t>
        </x:is>
      </x:c>
      <x:c r="D61" s="70" t="n">
        <x:v>20</x:v>
      </x:c>
      <x:c r="E61" s="12" t="inlineStr">
        <x:is>
          <x:t xml:space="preserve">GPT-5.6 Sol</x:t>
        </x:is>
      </x:c>
      <x:c r="F61" s="12" t="inlineStr">
        <x:is>
          <x:t xml:space="preserve">max</x:t>
        </x:is>
      </x:c>
      <x:c r="G61" s="12" t="inlineStr">
        <x:is>
          <x:t xml:space="preserve">openai|gpt-5.6-sol|max|reasoning|fallback-na</x:t>
        </x:is>
      </x:c>
      <x:c r="H61" s="12" t="n">
        <x:f>IF(AF61="","",INDEX(Rankings!$I:$I,AF61))</x:f>
        <x:v>47</x:v>
      </x:c>
      <x:c r="I61" s="12" t="n">
        <x:f>IF(AF61="","",INDEX(Rankings!$L:$L,AF61))</x:f>
        <x:v>90</x:v>
      </x:c>
      <x:c r="J61" s="12" t="n">
        <x:f>IF(AF61="","",INDEX(Rankings!$J:$J,AF61))</x:f>
        <x:v>1.99</x:v>
      </x:c>
      <x:c r="K61" s="12" t="str">
        <x:f>IF(AF61="","",INDEX(Rankings!$K:$K,AF61))</x:f>
      </x:c>
      <x:c r="L61" s="12" t="n"/>
      <x:c r="M61" s="12" t="n"/>
      <x:c r="N61" s="12" t="n">
        <x:v>20</x:v>
      </x:c>
      <x:c r="O61" s="12" t="n">
        <x:v>144</x:v>
      </x:c>
      <x:c r="P61" s="12" t="str">
        <x:f>IF(L61="","",L61*O61)</x:f>
      </x:c>
      <x:c r="Q61" s="12" t="str">
        <x:f>IF(M61="","",M61*O61)</x:f>
      </x:c>
      <x:c r="R61" s="70" t="n">
        <x:f>IF(N61="","",N61)</x:f>
        <x:v>20</x:v>
      </x:c>
      <x:c r="S61" s="70" t="n">
        <x:f>IF(N61="","",N61)</x:f>
        <x:v>20</x:v>
      </x:c>
      <x:c r="T61" s="12" t="inlineStr">
        <x:is>
          <x:t xml:space="preserve">published dollar cap / direct budget</x:t>
        </x:is>
      </x:c>
      <x:c r="U61" s="12" t="inlineStr">
        <x:is>
          <x:t xml:space="preserve">high</x:t>
        </x:is>
      </x:c>
      <x:c r="V61" s="71" t="n">
        <x:f>IF(OR(S61="",D61=0),"",S61/D61)</x:f>
        <x:v>1</x:v>
      </x:c>
      <x:c r="W61" s="12" t="n">
        <x:f>IF(OR(S61="",J61="",J61=0),"",S61/J61)</x:f>
        <x:v>10.050251256281408</x:v>
      </x:c>
      <x:c r="X61" s="12" t="n">
        <x:f>IF(OR(H61="",V61=""),"",H61*V61)</x:f>
        <x:v>47</x:v>
      </x:c>
      <x:c r="Y61" s="12" t="n">
        <x:f>IF(OR(I61="",V61=""),"",I61*V61)</x:f>
        <x:v>90</x:v>
      </x:c>
      <x:c r="Z61" s="12" t="n">
        <x:f>IF(OR(X61="",Y61=""),"",SQRT((X61/_xlfn.MAXIFS($X:$X,$A:$A,A61))*(Y61/_xlfn.MAXIFS($Y:$Y,$A:$A,A61))))</x:f>
        <x:v>0.484257094969359</x:v>
      </x:c>
      <x:c r="AA61" s="12" t="n">
        <x:f>IF(Z61="","",(X61/_xlfn.MAXIFS($X:$X,$A:$A,A61))^0.7*(Y61/_xlfn.MAXIFS($Y:$Y,$A:$A,A61))^0.3)</x:f>
        <x:v>0.5949953082628345</x:v>
      </x:c>
      <x:c r="AB61" s="12" t="n">
        <x:f>IF(Z61="","",(X61/_xlfn.MAXIFS($X:$X,$A:$A,A61))^0.3*(Y61/_xlfn.MAXIFS($Y:$Y,$A:$A,A61))^0.7)</x:f>
        <x:v>0.39412904735808785</x:v>
      </x:c>
      <x:c r="AC61" s="12" t="inlineStr">
        <x:is>
          <x:t xml:space="preserve">calculation baseline</x:t>
        </x:is>
      </x:c>
      <x:c r="AD61" t="str">
        <x:f>IF(OR(P61="",J61=""),"",P61*J61)</x:f>
      </x:c>
      <x:c r="AE61" t="str">
        <x:f>IF(OR(Q61="",J61=""),"",Q61*J61)</x:f>
      </x:c>
      <x:c r="AF61" t="n">
        <x:v>32</x:v>
      </x:c>
      <x:c r="AG61" t="n">
        <x:f>IF(OR(H61="",I61=""),"",H61*I61)</x:f>
        <x:v>4230</x:v>
      </x:c>
      <x:c r="AH61" t="n">
        <x:f>IF(OR(H61="",J61="",J61=0),"",H61/J61)</x:f>
        <x:v>23.618090452261306</x:v>
      </x:c>
    </x:row>
    <x:row r="62">
      <x:c r="A62" s="12" t="inlineStr">
        <x:is>
          <x:t xml:space="preserve">direct-api-20</x:t>
        </x:is>
      </x:c>
      <x:c r="B62" s="12" t="inlineStr">
        <x:is>
          <x:t xml:space="preserve">Direct API</x:t>
        </x:is>
      </x:c>
      <x:c r="C62" s="12" t="inlineStr">
        <x:is>
          <x:t xml:space="preserve">$20 API budget</x:t>
        </x:is>
      </x:c>
      <x:c r="D62" s="70" t="n">
        <x:v>20</x:v>
      </x:c>
      <x:c r="E62" s="12" t="inlineStr">
        <x:is>
          <x:t xml:space="preserve">Claude Sonnet 5.5</x:t>
        </x:is>
      </x:c>
      <x:c r="F62" s="12" t="inlineStr">
        <x:is>
          <x:t xml:space="preserve">low</x:t>
        </x:is>
      </x:c>
      <x:c r="G62" s="12" t="inlineStr">
        <x:is>
          <x:t xml:space="preserve">anthropic|claude-sonnet-5.5|low|reasoning|fallback-true</x:t>
        </x:is>
      </x:c>
      <x:c r="H62" s="12" t="n">
        <x:f>IF(AF62="","",INDEX(Rankings!$I:$I,AF62))</x:f>
        <x:v>36</x:v>
      </x:c>
      <x:c r="I62" s="12" t="n">
        <x:f>IF(AF62="","",INDEX(Rankings!$L:$L,AF62))</x:f>
        <x:v>112.3</x:v>
      </x:c>
      <x:c r="J62" s="12" t="n">
        <x:f>IF(AF62="","",INDEX(Rankings!$J:$J,AF62))</x:f>
        <x:v>0.35</x:v>
      </x:c>
      <x:c r="K62" s="12" t="e">
        <x:f>IF(AF62="","",INDEX(Rankings!$K:$K,AF62))</x:f>
        <x:v>#REF!</x:v>
      </x:c>
      <x:c r="L62" s="12" t="n"/>
      <x:c r="M62" s="12" t="n"/>
      <x:c r="N62" s="12" t="n">
        <x:v>20</x:v>
      </x:c>
      <x:c r="O62" s="12" t="n">
        <x:v>144</x:v>
      </x:c>
      <x:c r="P62" s="12" t="str">
        <x:f>IF(L62="","",L62*O62)</x:f>
      </x:c>
      <x:c r="Q62" s="12" t="str">
        <x:f>IF(M62="","",M62*O62)</x:f>
      </x:c>
      <x:c r="R62" s="70" t="n">
        <x:f>IF(N62="","",N62)</x:f>
        <x:v>20</x:v>
      </x:c>
      <x:c r="S62" s="70" t="n">
        <x:f>IF(N62="","",N62)</x:f>
        <x:v>20</x:v>
      </x:c>
      <x:c r="T62" s="12" t="inlineStr">
        <x:is>
          <x:t xml:space="preserve">published dollar cap / direct budget</x:t>
        </x:is>
      </x:c>
      <x:c r="U62" s="12" t="inlineStr">
        <x:is>
          <x:t xml:space="preserve">high</x:t>
        </x:is>
      </x:c>
      <x:c r="V62" s="71" t="n">
        <x:f>IF(OR(S62="",D62=0),"",S62/D62)</x:f>
        <x:v>1</x:v>
      </x:c>
      <x:c r="W62" s="12" t="n">
        <x:f>IF(OR(S62="",J62="",J62=0),"",S62/J62)</x:f>
        <x:v>57.142857142857146</x:v>
      </x:c>
      <x:c r="X62" s="12" t="n">
        <x:f>IF(OR(H62="",V62=""),"",H62*V62)</x:f>
        <x:v>36</x:v>
      </x:c>
      <x:c r="Y62" s="12" t="n">
        <x:f>IF(OR(I62="",V62=""),"",I62*V62)</x:f>
        <x:v>112.3</x:v>
      </x:c>
      <x:c r="Z62" s="12" t="n">
        <x:f>IF(OR(X62="",Y62=""),"",SQRT((X62/_xlfn.MAXIFS($X:$X,$A:$A,A62))*(Y62/_xlfn.MAXIFS($Y:$Y,$A:$A,A62))))</x:f>
        <x:v>0.47342036640890955</x:v>
      </x:c>
      <x:c r="AA62" s="12" t="n">
        <x:f>IF(Z62="","",(X62/_xlfn.MAXIFS($X:$X,$A:$A,A62))^0.7*(Y62/_xlfn.MAXIFS($Y:$Y,$A:$A,A62))^0.3)</x:f>
        <x:v>0.5275917128119911</x:v>
      </x:c>
      <x:c r="AB62" s="12" t="n">
        <x:f>IF(Z62="","",(X62/_xlfn.MAXIFS($X:$X,$A:$A,A62))^0.3*(Y62/_xlfn.MAXIFS($Y:$Y,$A:$A,A62))^0.7)</x:f>
        <x:v>0.42481115204820236</x:v>
      </x:c>
      <x:c r="AC62" s="12" t="inlineStr">
        <x:is>
          <x:t xml:space="preserve">calculation baseline</x:t>
        </x:is>
      </x:c>
      <x:c r="AD62" t="str">
        <x:f>IF(OR(P62="",J62=""),"",P62*J62)</x:f>
      </x:c>
      <x:c r="AE62" t="str">
        <x:f>IF(OR(Q62="",J62=""),"",Q62*J62)</x:f>
      </x:c>
      <x:c r="AF62" t="n">
        <x:v>131</x:v>
      </x:c>
      <x:c r="AG62" t="n">
        <x:f>IF(OR(H62="",I62=""),"",H62*I62)</x:f>
        <x:v>4042.7999999999997</x:v>
      </x:c>
      <x:c r="AH62" t="n">
        <x:f>IF(OR(H62="",J62="",J62=0),"",H62/J62)</x:f>
        <x:v>102.85714285714286</x:v>
      </x:c>
    </x:row>
    <x:row r="63">
      <x:c r="A63" s="12" t="inlineStr">
        <x:is>
          <x:t xml:space="preserve">direct-api-20</x:t>
        </x:is>
      </x:c>
      <x:c r="B63" s="12" t="inlineStr">
        <x:is>
          <x:t xml:space="preserve">Direct API</x:t>
        </x:is>
      </x:c>
      <x:c r="C63" s="12" t="inlineStr">
        <x:is>
          <x:t xml:space="preserve">$20 API budget</x:t>
        </x:is>
      </x:c>
      <x:c r="D63" s="70" t="n">
        <x:v>20</x:v>
      </x:c>
      <x:c r="E63" s="12" t="inlineStr">
        <x:is>
          <x:t xml:space="preserve">Claude Sonnet 5.5</x:t>
        </x:is>
      </x:c>
      <x:c r="F63" s="12" t="inlineStr">
        <x:is>
          <x:t xml:space="preserve">medium</x:t>
        </x:is>
      </x:c>
      <x:c r="G63" s="12" t="inlineStr">
        <x:is>
          <x:t xml:space="preserve">anthropic|claude-sonnet-5.5|medium|reasoning|fallback-true</x:t>
        </x:is>
      </x:c>
      <x:c r="H63" s="12" t="n">
        <x:f>IF(AF63="","",INDEX(Rankings!$I:$I,AF63))</x:f>
        <x:v>41</x:v>
      </x:c>
      <x:c r="I63" s="12" t="n">
        <x:f>IF(AF63="","",INDEX(Rankings!$L:$L,AF63))</x:f>
        <x:v>118.3</x:v>
      </x:c>
      <x:c r="J63" s="12" t="n">
        <x:f>IF(AF63="","",INDEX(Rankings!$J:$J,AF63))</x:f>
        <x:v>0.48</x:v>
      </x:c>
      <x:c r="K63" s="12" t="e">
        <x:f>IF(AF63="","",INDEX(Rankings!$K:$K,AF63))</x:f>
        <x:v>#REF!</x:v>
      </x:c>
      <x:c r="L63" s="12" t="n"/>
      <x:c r="M63" s="12" t="n"/>
      <x:c r="N63" s="12" t="n">
        <x:v>20</x:v>
      </x:c>
      <x:c r="O63" s="12" t="n">
        <x:v>144</x:v>
      </x:c>
      <x:c r="P63" s="12" t="str">
        <x:f>IF(L63="","",L63*O63)</x:f>
      </x:c>
      <x:c r="Q63" s="12" t="str">
        <x:f>IF(M63="","",M63*O63)</x:f>
      </x:c>
      <x:c r="R63" s="70" t="n">
        <x:f>IF(N63="","",N63)</x:f>
        <x:v>20</x:v>
      </x:c>
      <x:c r="S63" s="70" t="n">
        <x:f>IF(N63="","",N63)</x:f>
        <x:v>20</x:v>
      </x:c>
      <x:c r="T63" s="12" t="inlineStr">
        <x:is>
          <x:t xml:space="preserve">published dollar cap / direct budget</x:t>
        </x:is>
      </x:c>
      <x:c r="U63" s="12" t="inlineStr">
        <x:is>
          <x:t xml:space="preserve">high</x:t>
        </x:is>
      </x:c>
      <x:c r="V63" s="71" t="n">
        <x:f>IF(OR(S63="",D63=0),"",S63/D63)</x:f>
        <x:v>1</x:v>
      </x:c>
      <x:c r="W63" s="12" t="n">
        <x:f>IF(OR(S63="",J63="",J63=0),"",S63/J63)</x:f>
        <x:v>41.66666666666667</x:v>
      </x:c>
      <x:c r="X63" s="12" t="n">
        <x:f>IF(OR(H63="",V63=""),"",H63*V63)</x:f>
        <x:v>41</x:v>
      </x:c>
      <x:c r="Y63" s="12" t="n">
        <x:f>IF(OR(I63="",V63=""),"",I63*V63)</x:f>
        <x:v>118.3</x:v>
      </x:c>
      <x:c r="Z63" s="12" t="n">
        <x:f>IF(OR(X63="",Y63=""),"",SQRT((X63/_xlfn.MAXIFS($X:$X,$A:$A,A63))*(Y63/_xlfn.MAXIFS($Y:$Y,$A:$A,A63))))</x:f>
        <x:v>0.5185493681098181</x:v>
      </x:c>
      <x:c r="AA63" s="12" t="n">
        <x:f>IF(Z63="","",(X63/_xlfn.MAXIFS($X:$X,$A:$A,A63))^0.7*(Y63/_xlfn.MAXIFS($Y:$Y,$A:$A,A63))^0.3)</x:f>
        <x:v>0.5869706836663695</x:v>
      </x:c>
      <x:c r="AB63" s="12" t="n">
        <x:f>IF(Z63="","",(X63/_xlfn.MAXIFS($X:$X,$A:$A,A63))^0.3*(Y63/_xlfn.MAXIFS($Y:$Y,$A:$A,A63))^0.7)</x:f>
        <x:v>0.4581037088385986</x:v>
      </x:c>
      <x:c r="AC63" s="12" t="inlineStr">
        <x:is>
          <x:t xml:space="preserve">calculation baseline</x:t>
        </x:is>
      </x:c>
      <x:c r="AD63" t="str">
        <x:f>IF(OR(P63="",J63=""),"",P63*J63)</x:f>
      </x:c>
      <x:c r="AE63" t="str">
        <x:f>IF(OR(Q63="",J63=""),"",Q63*J63)</x:f>
      </x:c>
      <x:c r="AF63" t="n">
        <x:v>130</x:v>
      </x:c>
      <x:c r="AG63" t="n">
        <x:f>IF(OR(H63="",I63=""),"",H63*I63)</x:f>
        <x:v>4850.3</x:v>
      </x:c>
      <x:c r="AH63" t="n">
        <x:f>IF(OR(H63="",J63="",J63=0),"",H63/J63)</x:f>
        <x:v>85.41666666666667</x:v>
      </x:c>
    </x:row>
    <x:row r="64">
      <x:c r="A64" s="12" t="inlineStr">
        <x:is>
          <x:t xml:space="preserve">direct-api-20</x:t>
        </x:is>
      </x:c>
      <x:c r="B64" s="12" t="inlineStr">
        <x:is>
          <x:t xml:space="preserve">Direct API</x:t>
        </x:is>
      </x:c>
      <x:c r="C64" s="12" t="inlineStr">
        <x:is>
          <x:t xml:space="preserve">$20 API budget</x:t>
        </x:is>
      </x:c>
      <x:c r="D64" s="70" t="n">
        <x:v>20</x:v>
      </x:c>
      <x:c r="E64" s="12" t="inlineStr">
        <x:is>
          <x:t xml:space="preserve">Claude Sonnet 5.5</x:t>
        </x:is>
      </x:c>
      <x:c r="F64" s="12" t="inlineStr">
        <x:is>
          <x:t xml:space="preserve">high</x:t>
        </x:is>
      </x:c>
      <x:c r="G64" s="12" t="inlineStr">
        <x:is>
          <x:t xml:space="preserve">anthropic|claude-sonnet-5.5|high|reasoning|fallback-true</x:t>
        </x:is>
      </x:c>
      <x:c r="H64" s="12" t="n">
        <x:f>IF(AF64="","",INDEX(Rankings!$I:$I,AF64))</x:f>
        <x:v>47</x:v>
      </x:c>
      <x:c r="I64" s="12" t="n">
        <x:f>IF(AF64="","",INDEX(Rankings!$L:$L,AF64))</x:f>
        <x:v>112.9</x:v>
      </x:c>
      <x:c r="J64" s="12" t="n">
        <x:f>IF(AF64="","",INDEX(Rankings!$J:$J,AF64))</x:f>
        <x:v>0.88</x:v>
      </x:c>
      <x:c r="K64" s="12" t="e">
        <x:f>IF(AF64="","",INDEX(Rankings!$K:$K,AF64))</x:f>
        <x:v>#REF!</x:v>
      </x:c>
      <x:c r="L64" s="12" t="n"/>
      <x:c r="M64" s="12" t="n"/>
      <x:c r="N64" s="12" t="n">
        <x:v>20</x:v>
      </x:c>
      <x:c r="O64" s="12" t="n">
        <x:v>144</x:v>
      </x:c>
      <x:c r="P64" s="12" t="str">
        <x:f>IF(L64="","",L64*O64)</x:f>
      </x:c>
      <x:c r="Q64" s="12" t="str">
        <x:f>IF(M64="","",M64*O64)</x:f>
      </x:c>
      <x:c r="R64" s="70" t="n">
        <x:f>IF(N64="","",N64)</x:f>
        <x:v>20</x:v>
      </x:c>
      <x:c r="S64" s="70" t="n">
        <x:f>IF(N64="","",N64)</x:f>
        <x:v>20</x:v>
      </x:c>
      <x:c r="T64" s="12" t="inlineStr">
        <x:is>
          <x:t xml:space="preserve">published dollar cap / direct budget</x:t>
        </x:is>
      </x:c>
      <x:c r="U64" s="12" t="inlineStr">
        <x:is>
          <x:t xml:space="preserve">high</x:t>
        </x:is>
      </x:c>
      <x:c r="V64" s="71" t="n">
        <x:f>IF(OR(S64="",D64=0),"",S64/D64)</x:f>
        <x:v>1</x:v>
      </x:c>
      <x:c r="W64" s="12" t="n">
        <x:f>IF(OR(S64="",J64="",J64=0),"",S64/J64)</x:f>
        <x:v>22.727272727272727</x:v>
      </x:c>
      <x:c r="X64" s="12" t="n">
        <x:f>IF(OR(H64="",V64=""),"",H64*V64)</x:f>
        <x:v>47</x:v>
      </x:c>
      <x:c r="Y64" s="12" t="n">
        <x:f>IF(OR(I64="",V64=""),"",I64*V64)</x:f>
        <x:v>112.9</x:v>
      </x:c>
      <x:c r="Z64" s="12" t="n">
        <x:f>IF(OR(X64="",Y64=""),"",SQRT((X64/_xlfn.MAXIFS($X:$X,$A:$A,A64))*(Y64/_xlfn.MAXIFS($Y:$Y,$A:$A,A64))))</x:f>
        <x:v>0.5423775545562701</x:v>
      </x:c>
      <x:c r="AA64" s="12" t="n">
        <x:f>IF(Z64="","",(X64/_xlfn.MAXIFS($X:$X,$A:$A,A64))^0.7*(Y64/_xlfn.MAXIFS($Y:$Y,$A:$A,A64))^0.3)</x:f>
        <x:v>0.6368673298501563</x:v>
      </x:c>
      <x:c r="AB64" s="12" t="n">
        <x:f>IF(Z64="","",(X64/_xlfn.MAXIFS($X:$X,$A:$A,A64))^0.3*(Y64/_xlfn.MAXIFS($Y:$Y,$A:$A,A64))^0.7)</x:f>
        <x:v>0.4619068963007627</x:v>
      </x:c>
      <x:c r="AC64" s="12" t="inlineStr">
        <x:is>
          <x:t xml:space="preserve">calculation baseline</x:t>
        </x:is>
      </x:c>
      <x:c r="AD64" t="str">
        <x:f>IF(OR(P64="",J64=""),"",P64*J64)</x:f>
      </x:c>
      <x:c r="AE64" t="str">
        <x:f>IF(OR(Q64="",J64=""),"",Q64*J64)</x:f>
      </x:c>
      <x:c r="AF64" t="n">
        <x:v>129</x:v>
      </x:c>
      <x:c r="AG64" t="n">
        <x:f>IF(OR(H64="",I64=""),"",H64*I64)</x:f>
        <x:v>5306.3</x:v>
      </x:c>
      <x:c r="AH64" t="n">
        <x:f>IF(OR(H64="",J64="",J64=0),"",H64/J64)</x:f>
        <x:v>53.40909090909091</x:v>
      </x:c>
    </x:row>
    <x:row r="65">
      <x:c r="A65" s="12" t="inlineStr">
        <x:is>
          <x:t xml:space="preserve">direct-api-20</x:t>
        </x:is>
      </x:c>
      <x:c r="B65" s="12" t="inlineStr">
        <x:is>
          <x:t xml:space="preserve">Direct API</x:t>
        </x:is>
      </x:c>
      <x:c r="C65" s="12" t="inlineStr">
        <x:is>
          <x:t xml:space="preserve">$20 API budget</x:t>
        </x:is>
      </x:c>
      <x:c r="D65" s="70" t="n">
        <x:v>20</x:v>
      </x:c>
      <x:c r="E65" s="12" t="inlineStr">
        <x:is>
          <x:t xml:space="preserve">Claude Sonnet 5.5</x:t>
        </x:is>
      </x:c>
      <x:c r="F65" s="12" t="inlineStr">
        <x:is>
          <x:t xml:space="preserve">xhigh</x:t>
        </x:is>
      </x:c>
      <x:c r="G65" s="12" t="inlineStr">
        <x:is>
          <x:t xml:space="preserve">anthropic|claude-sonnet-5.5|xhigh|reasoning|fallback-true</x:t>
        </x:is>
      </x:c>
      <x:c r="H65" s="12" t="n">
        <x:f>IF(AF65="","",INDEX(Rankings!$I:$I,AF65))</x:f>
        <x:v>52</x:v>
      </x:c>
      <x:c r="I65" s="12" t="n">
        <x:f>IF(AF65="","",INDEX(Rankings!$L:$L,AF65))</x:f>
        <x:v>114.3</x:v>
      </x:c>
      <x:c r="J65" s="12" t="n">
        <x:f>IF(AF65="","",INDEX(Rankings!$J:$J,AF65))</x:f>
        <x:v>2.01</x:v>
      </x:c>
      <x:c r="K65" s="12" t="e">
        <x:f>IF(AF65="","",INDEX(Rankings!$K:$K,AF65))</x:f>
        <x:v>#REF!</x:v>
      </x:c>
      <x:c r="L65" s="12" t="n"/>
      <x:c r="M65" s="12" t="n"/>
      <x:c r="N65" s="12" t="n">
        <x:v>20</x:v>
      </x:c>
      <x:c r="O65" s="12" t="n">
        <x:v>144</x:v>
      </x:c>
      <x:c r="P65" s="12" t="str">
        <x:f>IF(L65="","",L65*O65)</x:f>
      </x:c>
      <x:c r="Q65" s="12" t="str">
        <x:f>IF(M65="","",M65*O65)</x:f>
      </x:c>
      <x:c r="R65" s="70" t="n">
        <x:f>IF(N65="","",N65)</x:f>
        <x:v>20</x:v>
      </x:c>
      <x:c r="S65" s="70" t="n">
        <x:f>IF(N65="","",N65)</x:f>
        <x:v>20</x:v>
      </x:c>
      <x:c r="T65" s="12" t="inlineStr">
        <x:is>
          <x:t xml:space="preserve">published dollar cap / direct budget</x:t>
        </x:is>
      </x:c>
      <x:c r="U65" s="12" t="inlineStr">
        <x:is>
          <x:t xml:space="preserve">high</x:t>
        </x:is>
      </x:c>
      <x:c r="V65" s="71" t="n">
        <x:f>IF(OR(S65="",D65=0),"",S65/D65)</x:f>
        <x:v>1</x:v>
      </x:c>
      <x:c r="W65" s="12" t="n">
        <x:f>IF(OR(S65="",J65="",J65=0),"",S65/J65)</x:f>
        <x:v>9.950248756218906</x:v>
      </x:c>
      <x:c r="X65" s="12" t="n">
        <x:f>IF(OR(H65="",V65=""),"",H65*V65)</x:f>
        <x:v>52</x:v>
      </x:c>
      <x:c r="Y65" s="12" t="n">
        <x:f>IF(OR(I65="",V65=""),"",I65*V65)</x:f>
        <x:v>114.3</x:v>
      </x:c>
      <x:c r="Z65" s="12" t="n">
        <x:f>IF(OR(X65="",Y65=""),"",SQRT((X65/_xlfn.MAXIFS($X:$X,$A:$A,A65))*(Y65/_xlfn.MAXIFS($Y:$Y,$A:$A,A65))))</x:f>
        <x:v>0.5740247204110428</x:v>
      </x:c>
      <x:c r="AA65" s="12" t="n">
        <x:f>IF(Z65="","",(X65/_xlfn.MAXIFS($X:$X,$A:$A,A65))^0.7*(Y65/_xlfn.MAXIFS($Y:$Y,$A:$A,A65))^0.3)</x:f>
        <x:v>0.686101703242796</x:v>
      </x:c>
      <x:c r="AB65" s="12" t="n">
        <x:f>IF(Z65="","",(X65/_xlfn.MAXIFS($X:$X,$A:$A,A65))^0.3*(Y65/_xlfn.MAXIFS($Y:$Y,$A:$A,A65))^0.7)</x:f>
        <x:v>0.4802558834726749</x:v>
      </x:c>
      <x:c r="AC65" s="12" t="inlineStr">
        <x:is>
          <x:t xml:space="preserve">calculation baseline</x:t>
        </x:is>
      </x:c>
      <x:c r="AD65" t="str">
        <x:f>IF(OR(P65="",J65=""),"",P65*J65)</x:f>
      </x:c>
      <x:c r="AE65" t="str">
        <x:f>IF(OR(Q65="",J65=""),"",Q65*J65)</x:f>
      </x:c>
      <x:c r="AF65" t="n">
        <x:v>128</x:v>
      </x:c>
      <x:c r="AG65" t="n">
        <x:f>IF(OR(H65="",I65=""),"",H65*I65)</x:f>
        <x:v>5943.599999999999</x:v>
      </x:c>
      <x:c r="AH65" t="n">
        <x:f>IF(OR(H65="",J65="",J65=0),"",H65/J65)</x:f>
        <x:v>25.870646766169155</x:v>
      </x:c>
    </x:row>
    <x:row r="66">
      <x:c r="A66" s="12" t="inlineStr">
        <x:is>
          <x:t xml:space="preserve">direct-api-20</x:t>
        </x:is>
      </x:c>
      <x:c r="B66" s="12" t="inlineStr">
        <x:is>
          <x:t xml:space="preserve">Direct API</x:t>
        </x:is>
      </x:c>
      <x:c r="C66" s="12" t="inlineStr">
        <x:is>
          <x:t xml:space="preserve">$20 API budget</x:t>
        </x:is>
      </x:c>
      <x:c r="D66" s="70" t="n">
        <x:v>20</x:v>
      </x:c>
      <x:c r="E66" s="12" t="inlineStr">
        <x:is>
          <x:t xml:space="preserve">Claude Sonnet 5.5</x:t>
        </x:is>
      </x:c>
      <x:c r="F66" s="12" t="inlineStr">
        <x:is>
          <x:t xml:space="preserve">max</x:t>
        </x:is>
      </x:c>
      <x:c r="G66" s="12" t="inlineStr">
        <x:is>
          <x:t xml:space="preserve">anthropic|claude-sonnet-5.5|max|reasoning|fallback-true</x:t>
        </x:is>
      </x:c>
      <x:c r="H66" s="12" t="n">
        <x:f>IF(AF66="","",INDEX(Rankings!$I:$I,AF66))</x:f>
        <x:v>56</x:v>
      </x:c>
      <x:c r="I66" s="12" t="n">
        <x:f>IF(AF66="","",INDEX(Rankings!$L:$L,AF66))</x:f>
        <x:v>137.7</x:v>
      </x:c>
      <x:c r="J66" s="12" t="n">
        <x:f>IF(AF66="","",INDEX(Rankings!$J:$J,AF66))</x:f>
        <x:v>5.46</x:v>
      </x:c>
      <x:c r="K66" s="12" t="str">
        <x:f>IF(AF66="","",INDEX(Rankings!$K:$K,AF66))</x:f>
      </x:c>
      <x:c r="L66" s="12" t="n"/>
      <x:c r="M66" s="12" t="n"/>
      <x:c r="N66" s="12" t="n">
        <x:v>20</x:v>
      </x:c>
      <x:c r="O66" s="12" t="n">
        <x:v>144</x:v>
      </x:c>
      <x:c r="P66" s="12" t="str">
        <x:f>IF(L66="","",L66*O66)</x:f>
      </x:c>
      <x:c r="Q66" s="12" t="str">
        <x:f>IF(M66="","",M66*O66)</x:f>
      </x:c>
      <x:c r="R66" s="70" t="n">
        <x:f>IF(N66="","",N66)</x:f>
        <x:v>20</x:v>
      </x:c>
      <x:c r="S66" s="70" t="n">
        <x:f>IF(N66="","",N66)</x:f>
        <x:v>20</x:v>
      </x:c>
      <x:c r="T66" s="12" t="inlineStr">
        <x:is>
          <x:t xml:space="preserve">published dollar cap / direct budget</x:t>
        </x:is>
      </x:c>
      <x:c r="U66" s="12" t="inlineStr">
        <x:is>
          <x:t xml:space="preserve">high</x:t>
        </x:is>
      </x:c>
      <x:c r="V66" s="71" t="n">
        <x:f>IF(OR(S66="",D66=0),"",S66/D66)</x:f>
        <x:v>1</x:v>
      </x:c>
      <x:c r="W66" s="12" t="n">
        <x:f>IF(OR(S66="",J66="",J66=0),"",S66/J66)</x:f>
        <x:v>3.663003663003663</x:v>
      </x:c>
      <x:c r="X66" s="12" t="n">
        <x:f>IF(OR(H66="",V66=""),"",H66*V66)</x:f>
        <x:v>56</x:v>
      </x:c>
      <x:c r="Y66" s="12" t="n">
        <x:f>IF(OR(I66="",V66=""),"",I66*V66)</x:f>
        <x:v>137.7</x:v>
      </x:c>
      <x:c r="Z66" s="12" t="n">
        <x:f>IF(OR(X66="",Y66=""),"",SQRT((X66/_xlfn.MAXIFS($X:$X,$A:$A,A66))*(Y66/_xlfn.MAXIFS($Y:$Y,$A:$A,A66))))</x:f>
        <x:v>0.6538329337580505</x:v>
      </x:c>
      <x:c r="AA66" s="12" t="n">
        <x:f>IF(Z66="","",(X66/_xlfn.MAXIFS($X:$X,$A:$A,A66))^0.7*(Y66/_xlfn.MAXIFS($Y:$Y,$A:$A,A66))^0.3)</x:f>
        <x:v>0.7641596269805319</x:v>
      </x:c>
      <x:c r="AB66" s="12" t="n">
        <x:f>IF(Z66="","",(X66/_xlfn.MAXIFS($X:$X,$A:$A,A66))^0.3*(Y66/_xlfn.MAXIFS($Y:$Y,$A:$A,A66))^0.7)</x:f>
        <x:v>0.5594348224805529</x:v>
      </x:c>
      <x:c r="AC66" s="12" t="inlineStr">
        <x:is>
          <x:t xml:space="preserve">calculation baseline</x:t>
        </x:is>
      </x:c>
      <x:c r="AD66" t="str">
        <x:f>IF(OR(P66="",J66=""),"",P66*J66)</x:f>
      </x:c>
      <x:c r="AE66" t="str">
        <x:f>IF(OR(Q66="",J66=""),"",Q66*J66)</x:f>
      </x:c>
      <x:c r="AF66" t="n">
        <x:v>97</x:v>
      </x:c>
      <x:c r="AG66" t="n">
        <x:f>IF(OR(H66="",I66=""),"",H66*I66)</x:f>
        <x:v>7711.199999999999</x:v>
      </x:c>
      <x:c r="AH66" t="n">
        <x:f>IF(OR(H66="",J66="",J66=0),"",H66/J66)</x:f>
        <x:v>10.256410256410257</x:v>
      </x:c>
    </x:row>
    <x:row r="67">
      <x:c r="A67" s="12" t="inlineStr">
        <x:is>
          <x:t xml:space="preserve">direct-api-20</x:t>
        </x:is>
      </x:c>
      <x:c r="B67" s="12" t="inlineStr">
        <x:is>
          <x:t xml:space="preserve">Direct API</x:t>
        </x:is>
      </x:c>
      <x:c r="C67" s="12" t="inlineStr">
        <x:is>
          <x:t xml:space="preserve">$20 API budget</x:t>
        </x:is>
      </x:c>
      <x:c r="D67" s="70" t="n">
        <x:v>20</x:v>
      </x:c>
      <x:c r="E67" s="12" t="inlineStr">
        <x:is>
          <x:t xml:space="preserve">Claude Opus 5.5</x:t>
        </x:is>
      </x:c>
      <x:c r="F67" s="12" t="inlineStr">
        <x:is>
          <x:t xml:space="preserve">low</x:t>
        </x:is>
      </x:c>
      <x:c r="G67" s="12" t="inlineStr">
        <x:is>
          <x:t xml:space="preserve">anthropic|claude-opus-5.5|low|reasoning|fallback-true</x:t>
        </x:is>
      </x:c>
      <x:c r="H67" s="12" t="n">
        <x:f>IF(AF67="","",INDEX(Rankings!$I:$I,AF67))</x:f>
        <x:v>42</x:v>
      </x:c>
      <x:c r="I67" s="12" t="n">
        <x:f>IF(AF67="","",INDEX(Rankings!$L:$L,AF67))</x:f>
        <x:v>88.7</x:v>
      </x:c>
      <x:c r="J67" s="12" t="n">
        <x:f>IF(AF67="","",INDEX(Rankings!$J:$J,AF67))</x:f>
        <x:v>0.55</x:v>
      </x:c>
      <x:c r="K67" s="12" t="e">
        <x:f>IF(AF67="","",INDEX(Rankings!$K:$K,AF67))</x:f>
        <x:v>#REF!</x:v>
      </x:c>
      <x:c r="L67" s="12" t="n"/>
      <x:c r="M67" s="12" t="n"/>
      <x:c r="N67" s="12" t="n">
        <x:v>20</x:v>
      </x:c>
      <x:c r="O67" s="12" t="n">
        <x:v>144</x:v>
      </x:c>
      <x:c r="P67" s="12" t="str">
        <x:f>IF(L67="","",L67*O67)</x:f>
      </x:c>
      <x:c r="Q67" s="12" t="str">
        <x:f>IF(M67="","",M67*O67)</x:f>
      </x:c>
      <x:c r="R67" s="70" t="n">
        <x:f>IF(N67="","",N67)</x:f>
        <x:v>20</x:v>
      </x:c>
      <x:c r="S67" s="70" t="n">
        <x:f>IF(N67="","",N67)</x:f>
        <x:v>20</x:v>
      </x:c>
      <x:c r="T67" s="12" t="inlineStr">
        <x:is>
          <x:t xml:space="preserve">published dollar cap / direct budget</x:t>
        </x:is>
      </x:c>
      <x:c r="U67" s="12" t="inlineStr">
        <x:is>
          <x:t xml:space="preserve">high</x:t>
        </x:is>
      </x:c>
      <x:c r="V67" s="71" t="n">
        <x:f>IF(OR(S67="",D67=0),"",S67/D67)</x:f>
        <x:v>1</x:v>
      </x:c>
      <x:c r="W67" s="12" t="n">
        <x:f>IF(OR(S67="",J67="",J67=0),"",S67/J67)</x:f>
        <x:v>36.36363636363636</x:v>
      </x:c>
      <x:c r="X67" s="12" t="n">
        <x:f>IF(OR(H67="",V67=""),"",H67*V67)</x:f>
        <x:v>42</x:v>
      </x:c>
      <x:c r="Y67" s="12" t="n">
        <x:f>IF(OR(I67="",V67=""),"",I67*V67)</x:f>
        <x:v>88.7</x:v>
      </x:c>
      <x:c r="Z67" s="12" t="n">
        <x:f>IF(OR(X67="",Y67=""),"",SQRT((X67/_xlfn.MAXIFS($X:$X,$A:$A,A67))*(Y67/_xlfn.MAXIFS($Y:$Y,$A:$A,A67))))</x:f>
        <x:v>0.45445644180804784</x:v>
      </x:c>
      <x:c r="AA67" s="12" t="n">
        <x:f>IF(Z67="","",(X67/_xlfn.MAXIFS($X:$X,$A:$A,A67))^0.7*(Y67/_xlfn.MAXIFS($Y:$Y,$A:$A,A67))^0.3)</x:f>
        <x:v>0.5475501181706786</x:v>
      </x:c>
      <x:c r="AB67" s="12" t="n">
        <x:f>IF(Z67="","",(X67/_xlfn.MAXIFS($X:$X,$A:$A,A67))^0.3*(Y67/_xlfn.MAXIFS($Y:$Y,$A:$A,A67))^0.7)</x:f>
        <x:v>0.3771904171819634</x:v>
      </x:c>
      <x:c r="AC67" s="12" t="inlineStr">
        <x:is>
          <x:t xml:space="preserve">calculation baseline</x:t>
        </x:is>
      </x:c>
      <x:c r="AD67" t="str">
        <x:f>IF(OR(P67="",J67=""),"",P67*J67)</x:f>
      </x:c>
      <x:c r="AE67" t="str">
        <x:f>IF(OR(Q67="",J67=""),"",Q67*J67)</x:f>
      </x:c>
      <x:c r="AF67" t="n">
        <x:v>127</x:v>
      </x:c>
      <x:c r="AG67" t="n">
        <x:f>IF(OR(H67="",I67=""),"",H67*I67)</x:f>
        <x:v>3725.4</x:v>
      </x:c>
      <x:c r="AH67" t="n">
        <x:f>IF(OR(H67="",J67="",J67=0),"",H67/J67)</x:f>
        <x:v>76.36363636363636</x:v>
      </x:c>
    </x:row>
    <x:row r="68">
      <x:c r="A68" s="12" t="inlineStr">
        <x:is>
          <x:t xml:space="preserve">direct-api-20</x:t>
        </x:is>
      </x:c>
      <x:c r="B68" s="12" t="inlineStr">
        <x:is>
          <x:t xml:space="preserve">Direct API</x:t>
        </x:is>
      </x:c>
      <x:c r="C68" s="12" t="inlineStr">
        <x:is>
          <x:t xml:space="preserve">$20 API budget</x:t>
        </x:is>
      </x:c>
      <x:c r="D68" s="70" t="n">
        <x:v>20</x:v>
      </x:c>
      <x:c r="E68" s="12" t="inlineStr">
        <x:is>
          <x:t xml:space="preserve">Claude Opus 5.5</x:t>
        </x:is>
      </x:c>
      <x:c r="F68" s="12" t="inlineStr">
        <x:is>
          <x:t xml:space="preserve">medium</x:t>
        </x:is>
      </x:c>
      <x:c r="G68" s="12" t="inlineStr">
        <x:is>
          <x:t xml:space="preserve">anthropic|claude-opus-5.5|medium|reasoning|fallback-true</x:t>
        </x:is>
      </x:c>
      <x:c r="H68" s="12" t="n">
        <x:f>IF(AF68="","",INDEX(Rankings!$I:$I,AF68))</x:f>
        <x:v>51</x:v>
      </x:c>
      <x:c r="I68" s="12" t="n">
        <x:f>IF(AF68="","",INDEX(Rankings!$L:$L,AF68))</x:f>
        <x:v>88.4</x:v>
      </x:c>
      <x:c r="J68" s="12" t="n">
        <x:f>IF(AF68="","",INDEX(Rankings!$J:$J,AF68))</x:f>
        <x:v>1.34</x:v>
      </x:c>
      <x:c r="K68" s="12" t="e">
        <x:f>IF(AF68="","",INDEX(Rankings!$K:$K,AF68))</x:f>
        <x:v>#REF!</x:v>
      </x:c>
      <x:c r="L68" s="12" t="n"/>
      <x:c r="M68" s="12" t="n"/>
      <x:c r="N68" s="12" t="n">
        <x:v>20</x:v>
      </x:c>
      <x:c r="O68" s="12" t="n">
        <x:v>144</x:v>
      </x:c>
      <x:c r="P68" s="12" t="str">
        <x:f>IF(L68="","",L68*O68)</x:f>
      </x:c>
      <x:c r="Q68" s="12" t="str">
        <x:f>IF(M68="","",M68*O68)</x:f>
      </x:c>
      <x:c r="R68" s="70" t="n">
        <x:f>IF(N68="","",N68)</x:f>
        <x:v>20</x:v>
      </x:c>
      <x:c r="S68" s="70" t="n">
        <x:f>IF(N68="","",N68)</x:f>
        <x:v>20</x:v>
      </x:c>
      <x:c r="T68" s="12" t="inlineStr">
        <x:is>
          <x:t xml:space="preserve">published dollar cap / direct budget</x:t>
        </x:is>
      </x:c>
      <x:c r="U68" s="12" t="inlineStr">
        <x:is>
          <x:t xml:space="preserve">high</x:t>
        </x:is>
      </x:c>
      <x:c r="V68" s="71" t="n">
        <x:f>IF(OR(S68="",D68=0),"",S68/D68)</x:f>
        <x:v>1</x:v>
      </x:c>
      <x:c r="W68" s="12" t="n">
        <x:f>IF(OR(S68="",J68="",J68=0),"",S68/J68)</x:f>
        <x:v>14.925373134328357</x:v>
      </x:c>
      <x:c r="X68" s="12" t="n">
        <x:f>IF(OR(H68="",V68=""),"",H68*V68)</x:f>
        <x:v>51</x:v>
      </x:c>
      <x:c r="Y68" s="12" t="n">
        <x:f>IF(OR(I68="",V68=""),"",I68*V68)</x:f>
        <x:v>88.4</x:v>
      </x:c>
      <x:c r="Z68" s="12" t="n">
        <x:f>IF(OR(X68="",Y68=""),"",SQRT((X68/_xlfn.MAXIFS($X:$X,$A:$A,A68))*(Y68/_xlfn.MAXIFS($Y:$Y,$A:$A,A68))))</x:f>
        <x:v>0.4999390139101458</x:v>
      </x:c>
      <x:c r="AA68" s="12" t="n">
        <x:f>IF(Z68="","",(X68/_xlfn.MAXIFS($X:$X,$A:$A,A68))^0.7*(Y68/_xlfn.MAXIFS($Y:$Y,$A:$A,A68))^0.3)</x:f>
        <x:v>0.6266240952558627</x:v>
      </x:c>
      <x:c r="AB68" s="12" t="n">
        <x:f>IF(Z68="","",(X68/_xlfn.MAXIFS($X:$X,$A:$A,A68))^0.3*(Y68/_xlfn.MAXIFS($Y:$Y,$A:$A,A68))^0.7)</x:f>
        <x:v>0.39886595412101744</x:v>
      </x:c>
      <x:c r="AC68" s="12" t="inlineStr">
        <x:is>
          <x:t xml:space="preserve">calculation baseline</x:t>
        </x:is>
      </x:c>
      <x:c r="AD68" t="str">
        <x:f>IF(OR(P68="",J68=""),"",P68*J68)</x:f>
      </x:c>
      <x:c r="AE68" t="str">
        <x:f>IF(OR(Q68="",J68=""),"",Q68*J68)</x:f>
      </x:c>
      <x:c r="AF68" t="n">
        <x:v>126</x:v>
      </x:c>
      <x:c r="AG68" t="n">
        <x:f>IF(OR(H68="",I68=""),"",H68*I68)</x:f>
        <x:v>4508.400000000001</x:v>
      </x:c>
      <x:c r="AH68" t="n">
        <x:f>IF(OR(H68="",J68="",J68=0),"",H68/J68)</x:f>
        <x:v>38.059701492537314</x:v>
      </x:c>
    </x:row>
    <x:row r="69">
      <x:c r="A69" s="12" t="inlineStr">
        <x:is>
          <x:t xml:space="preserve">direct-api-20</x:t>
        </x:is>
      </x:c>
      <x:c r="B69" s="12" t="inlineStr">
        <x:is>
          <x:t xml:space="preserve">Direct API</x:t>
        </x:is>
      </x:c>
      <x:c r="C69" s="12" t="inlineStr">
        <x:is>
          <x:t xml:space="preserve">$20 API budget</x:t>
        </x:is>
      </x:c>
      <x:c r="D69" s="70" t="n">
        <x:v>20</x:v>
      </x:c>
      <x:c r="E69" s="12" t="inlineStr">
        <x:is>
          <x:t xml:space="preserve">Claude Opus 5.5</x:t>
        </x:is>
      </x:c>
      <x:c r="F69" s="12" t="inlineStr">
        <x:is>
          <x:t xml:space="preserve">high</x:t>
        </x:is>
      </x:c>
      <x:c r="G69" s="12" t="inlineStr">
        <x:is>
          <x:t xml:space="preserve">anthropic|claude-opus-5.5|high|reasoning|fallback-true</x:t>
        </x:is>
      </x:c>
      <x:c r="H69" s="12" t="n">
        <x:f>IF(AF69="","",INDEX(Rankings!$I:$I,AF69))</x:f>
        <x:v>54</x:v>
      </x:c>
      <x:c r="I69" s="12" t="n">
        <x:f>IF(AF69="","",INDEX(Rankings!$L:$L,AF69))</x:f>
        <x:v>86.8</x:v>
      </x:c>
      <x:c r="J69" s="12" t="n">
        <x:f>IF(AF69="","",INDEX(Rankings!$J:$J,AF69))</x:f>
        <x:v>1.82</x:v>
      </x:c>
      <x:c r="K69" s="12" t="e">
        <x:f>IF(AF69="","",INDEX(Rankings!$K:$K,AF69))</x:f>
        <x:v>#REF!</x:v>
      </x:c>
      <x:c r="L69" s="12" t="n"/>
      <x:c r="M69" s="12" t="n"/>
      <x:c r="N69" s="12" t="n">
        <x:v>20</x:v>
      </x:c>
      <x:c r="O69" s="12" t="n">
        <x:v>144</x:v>
      </x:c>
      <x:c r="P69" s="12" t="str">
        <x:f>IF(L69="","",L69*O69)</x:f>
      </x:c>
      <x:c r="Q69" s="12" t="str">
        <x:f>IF(M69="","",M69*O69)</x:f>
      </x:c>
      <x:c r="R69" s="70" t="n">
        <x:f>IF(N69="","",N69)</x:f>
        <x:v>20</x:v>
      </x:c>
      <x:c r="S69" s="70" t="n">
        <x:f>IF(N69="","",N69)</x:f>
        <x:v>20</x:v>
      </x:c>
      <x:c r="T69" s="12" t="inlineStr">
        <x:is>
          <x:t xml:space="preserve">published dollar cap / direct budget</x:t>
        </x:is>
      </x:c>
      <x:c r="U69" s="12" t="inlineStr">
        <x:is>
          <x:t xml:space="preserve">high</x:t>
        </x:is>
      </x:c>
      <x:c r="V69" s="71" t="n">
        <x:f>IF(OR(S69="",D69=0),"",S69/D69)</x:f>
        <x:v>1</x:v>
      </x:c>
      <x:c r="W69" s="12" t="n">
        <x:f>IF(OR(S69="",J69="",J69=0),"",S69/J69)</x:f>
        <x:v>10.989010989010989</x:v>
      </x:c>
      <x:c r="X69" s="12" t="n">
        <x:f>IF(OR(H69="",V69=""),"",H69*V69)</x:f>
        <x:v>54</x:v>
      </x:c>
      <x:c r="Y69" s="12" t="n">
        <x:f>IF(OR(I69="",V69=""),"",I69*V69)</x:f>
        <x:v>86.8</x:v>
      </x:c>
      <x:c r="Z69" s="12" t="n">
        <x:f>IF(OR(X69="",Y69=""),"",SQRT((X69/_xlfn.MAXIFS($X:$X,$A:$A,A69))*(Y69/_xlfn.MAXIFS($Y:$Y,$A:$A,A69))))</x:f>
        <x:v>0.5097562405404471</x:v>
      </x:c>
      <x:c r="AA69" s="12" t="n">
        <x:f>IF(Z69="","",(X69/_xlfn.MAXIFS($X:$X,$A:$A,A69))^0.7*(Y69/_xlfn.MAXIFS($Y:$Y,$A:$A,A69))^0.3)</x:f>
        <x:v>0.6486401646100128</x:v>
      </x:c>
      <x:c r="AB69" s="12" t="n">
        <x:f>IF(Z69="","",(X69/_xlfn.MAXIFS($X:$X,$A:$A,A69))^0.3*(Y69/_xlfn.MAXIFS($Y:$Y,$A:$A,A69))^0.7)</x:f>
        <x:v>0.4006095196497162</x:v>
      </x:c>
      <x:c r="AC69" s="12" t="inlineStr">
        <x:is>
          <x:t xml:space="preserve">calculation baseline</x:t>
        </x:is>
      </x:c>
      <x:c r="AD69" t="str">
        <x:f>IF(OR(P69="",J69=""),"",P69*J69)</x:f>
      </x:c>
      <x:c r="AE69" t="str">
        <x:f>IF(OR(Q69="",J69=""),"",Q69*J69)</x:f>
      </x:c>
      <x:c r="AF69" t="n">
        <x:v>125</x:v>
      </x:c>
      <x:c r="AG69" t="n">
        <x:f>IF(OR(H69="",I69=""),"",H69*I69)</x:f>
        <x:v>4687.2</x:v>
      </x:c>
      <x:c r="AH69" t="n">
        <x:f>IF(OR(H69="",J69="",J69=0),"",H69/J69)</x:f>
        <x:v>29.670329670329668</x:v>
      </x:c>
    </x:row>
    <x:row r="70">
      <x:c r="A70" s="12" t="inlineStr">
        <x:is>
          <x:t xml:space="preserve">direct-api-20</x:t>
        </x:is>
      </x:c>
      <x:c r="B70" s="12" t="inlineStr">
        <x:is>
          <x:t xml:space="preserve">Direct API</x:t>
        </x:is>
      </x:c>
      <x:c r="C70" s="12" t="inlineStr">
        <x:is>
          <x:t xml:space="preserve">$20 API budget</x:t>
        </x:is>
      </x:c>
      <x:c r="D70" s="70" t="n">
        <x:v>20</x:v>
      </x:c>
      <x:c r="E70" s="12" t="inlineStr">
        <x:is>
          <x:t xml:space="preserve">Claude Opus 5.5</x:t>
        </x:is>
      </x:c>
      <x:c r="F70" s="12" t="inlineStr">
        <x:is>
          <x:t xml:space="preserve">xhigh</x:t>
        </x:is>
      </x:c>
      <x:c r="G70" s="12" t="inlineStr">
        <x:is>
          <x:t xml:space="preserve">anthropic|claude-opus-5.5|xhigh|reasoning|fallback-true</x:t>
        </x:is>
      </x:c>
      <x:c r="H70" s="12" t="n">
        <x:f>IF(AF70="","",INDEX(Rankings!$I:$I,AF70))</x:f>
        <x:v>56</x:v>
      </x:c>
      <x:c r="I70" s="12" t="n">
        <x:f>IF(AF70="","",INDEX(Rankings!$L:$L,AF70))</x:f>
        <x:v>85.5</x:v>
      </x:c>
      <x:c r="J70" s="12" t="n">
        <x:f>IF(AF70="","",INDEX(Rankings!$J:$J,AF70))</x:f>
        <x:v>3.46</x:v>
      </x:c>
      <x:c r="K70" s="12" t="e">
        <x:f>IF(AF70="","",INDEX(Rankings!$K:$K,AF70))</x:f>
        <x:v>#REF!</x:v>
      </x:c>
      <x:c r="L70" s="12" t="n"/>
      <x:c r="M70" s="12" t="n"/>
      <x:c r="N70" s="12" t="n">
        <x:v>20</x:v>
      </x:c>
      <x:c r="O70" s="12" t="n">
        <x:v>144</x:v>
      </x:c>
      <x:c r="P70" s="12" t="str">
        <x:f>IF(L70="","",L70*O70)</x:f>
      </x:c>
      <x:c r="Q70" s="12" t="str">
        <x:f>IF(M70="","",M70*O70)</x:f>
      </x:c>
      <x:c r="R70" s="70" t="n">
        <x:f>IF(N70="","",N70)</x:f>
        <x:v>20</x:v>
      </x:c>
      <x:c r="S70" s="70" t="n">
        <x:f>IF(N70="","",N70)</x:f>
        <x:v>20</x:v>
      </x:c>
      <x:c r="T70" s="12" t="inlineStr">
        <x:is>
          <x:t xml:space="preserve">published dollar cap / direct budget</x:t>
        </x:is>
      </x:c>
      <x:c r="U70" s="12" t="inlineStr">
        <x:is>
          <x:t xml:space="preserve">high</x:t>
        </x:is>
      </x:c>
      <x:c r="V70" s="71" t="n">
        <x:f>IF(OR(S70="",D70=0),"",S70/D70)</x:f>
        <x:v>1</x:v>
      </x:c>
      <x:c r="W70" s="12" t="n">
        <x:f>IF(OR(S70="",J70="",J70=0),"",S70/J70)</x:f>
        <x:v>5.780346820809249</x:v>
      </x:c>
      <x:c r="X70" s="12" t="n">
        <x:f>IF(OR(H70="",V70=""),"",H70*V70)</x:f>
        <x:v>56</x:v>
      </x:c>
      <x:c r="Y70" s="12" t="n">
        <x:f>IF(OR(I70="",V70=""),"",I70*V70)</x:f>
        <x:v>85.5</x:v>
      </x:c>
      <x:c r="Z70" s="12" t="n">
        <x:f>IF(OR(X70="",Y70=""),"",SQRT((X70/_xlfn.MAXIFS($X:$X,$A:$A,A70))*(Y70/_xlfn.MAXIFS($Y:$Y,$A:$A,A70))))</x:f>
        <x:v>0.5152083340292104</x:v>
      </x:c>
      <x:c r="AA70" s="12" t="n">
        <x:f>IF(Z70="","",(X70/_xlfn.MAXIFS($X:$X,$A:$A,A70))^0.7*(Y70/_xlfn.MAXIFS($Y:$Y,$A:$A,A70))^0.3)</x:f>
        <x:v>0.6623594565133156</x:v>
      </x:c>
      <x:c r="AB70" s="12" t="n">
        <x:f>IF(Z70="","",(X70/_xlfn.MAXIFS($X:$X,$A:$A,A70))^0.3*(Y70/_xlfn.MAXIFS($Y:$Y,$A:$A,A70))^0.7)</x:f>
        <x:v>0.4007486038629816</x:v>
      </x:c>
      <x:c r="AC70" s="12" t="inlineStr">
        <x:is>
          <x:t xml:space="preserve">calculation baseline</x:t>
        </x:is>
      </x:c>
      <x:c r="AD70" t="str">
        <x:f>IF(OR(P70="",J70=""),"",P70*J70)</x:f>
      </x:c>
      <x:c r="AE70" t="str">
        <x:f>IF(OR(Q70="",J70=""),"",Q70*J70)</x:f>
      </x:c>
      <x:c r="AF70" t="n">
        <x:v>124</x:v>
      </x:c>
      <x:c r="AG70" t="n">
        <x:f>IF(OR(H70="",I70=""),"",H70*I70)</x:f>
        <x:v>4788</x:v>
      </x:c>
      <x:c r="AH70" t="n">
        <x:f>IF(OR(H70="",J70="",J70=0),"",H70/J70)</x:f>
        <x:v>16.184971098265898</x:v>
      </x:c>
    </x:row>
    <x:row r="71">
      <x:c r="A71" s="12" t="inlineStr">
        <x:is>
          <x:t xml:space="preserve">direct-api-20</x:t>
        </x:is>
      </x:c>
      <x:c r="B71" s="12" t="inlineStr">
        <x:is>
          <x:t xml:space="preserve">Direct API</x:t>
        </x:is>
      </x:c>
      <x:c r="C71" s="12" t="inlineStr">
        <x:is>
          <x:t xml:space="preserve">$20 API budget</x:t>
        </x:is>
      </x:c>
      <x:c r="D71" s="70" t="n">
        <x:v>20</x:v>
      </x:c>
      <x:c r="E71" s="12" t="inlineStr">
        <x:is>
          <x:t xml:space="preserve">Claude Opus 5.5</x:t>
        </x:is>
      </x:c>
      <x:c r="F71" s="12" t="inlineStr">
        <x:is>
          <x:t xml:space="preserve">max</x:t>
        </x:is>
      </x:c>
      <x:c r="G71" s="12" t="inlineStr">
        <x:is>
          <x:t xml:space="preserve">anthropic|claude-opus-5.5|max|reasoning|fallback-true</x:t>
        </x:is>
      </x:c>
      <x:c r="H71" s="12" t="n">
        <x:f>IF(AF71="","",INDEX(Rankings!$I:$I,AF71))</x:f>
        <x:v>58</x:v>
      </x:c>
      <x:c r="I71" s="12" t="n">
        <x:f>IF(AF71="","",INDEX(Rankings!$L:$L,AF71))</x:f>
        <x:v>96.8</x:v>
      </x:c>
      <x:c r="J71" s="12" t="n">
        <x:f>IF(AF71="","",INDEX(Rankings!$J:$J,AF71))</x:f>
        <x:v>5.98</x:v>
      </x:c>
      <x:c r="K71" s="12" t="e">
        <x:f>IF(AF71="","",INDEX(Rankings!$K:$K,AF71))</x:f>
        <x:v>#REF!</x:v>
      </x:c>
      <x:c r="L71" s="12" t="n"/>
      <x:c r="M71" s="12" t="n"/>
      <x:c r="N71" s="12" t="n">
        <x:v>20</x:v>
      </x:c>
      <x:c r="O71" s="12" t="n">
        <x:v>144</x:v>
      </x:c>
      <x:c r="P71" s="12" t="str">
        <x:f>IF(L71="","",L71*O71)</x:f>
      </x:c>
      <x:c r="Q71" s="12" t="str">
        <x:f>IF(M71="","",M71*O71)</x:f>
      </x:c>
      <x:c r="R71" s="70" t="n">
        <x:f>IF(N71="","",N71)</x:f>
        <x:v>20</x:v>
      </x:c>
      <x:c r="S71" s="70" t="n">
        <x:f>IF(N71="","",N71)</x:f>
        <x:v>20</x:v>
      </x:c>
      <x:c r="T71" s="12" t="inlineStr">
        <x:is>
          <x:t xml:space="preserve">published dollar cap / direct budget</x:t>
        </x:is>
      </x:c>
      <x:c r="U71" s="12" t="inlineStr">
        <x:is>
          <x:t xml:space="preserve">high</x:t>
        </x:is>
      </x:c>
      <x:c r="V71" s="71" t="n">
        <x:f>IF(OR(S71="",D71=0),"",S71/D71)</x:f>
        <x:v>1</x:v>
      </x:c>
      <x:c r="W71" s="12" t="n">
        <x:f>IF(OR(S71="",J71="",J71=0),"",S71/J71)</x:f>
        <x:v>3.34448160535117</x:v>
      </x:c>
      <x:c r="X71" s="12" t="n">
        <x:f>IF(OR(H71="",V71=""),"",H71*V71)</x:f>
        <x:v>58</x:v>
      </x:c>
      <x:c r="Y71" s="12" t="n">
        <x:f>IF(OR(I71="",V71=""),"",I71*V71)</x:f>
        <x:v>96.8</x:v>
      </x:c>
      <x:c r="Z71" s="12" t="n">
        <x:f>IF(OR(X71="",Y71=""),"",SQRT((X71/_xlfn.MAXIFS($X:$X,$A:$A,A71))*(Y71/_xlfn.MAXIFS($Y:$Y,$A:$A,A71))))</x:f>
        <x:v>0.5579014422750711</x:v>
      </x:c>
      <x:c r="AA71" s="12" t="n">
        <x:f>IF(Z71="","",(X71/_xlfn.MAXIFS($X:$X,$A:$A,A71))^0.7*(Y71/_xlfn.MAXIFS($Y:$Y,$A:$A,A71))^0.3)</x:f>
        <x:v>0.704586780211657</x:v>
      </x:c>
      <x:c r="AB71" s="12" t="n">
        <x:f>IF(Z71="","",(X71/_xlfn.MAXIFS($X:$X,$A:$A,A71))^0.3*(Y71/_xlfn.MAXIFS($Y:$Y,$A:$A,A71))^0.7)</x:f>
        <x:v>0.4417539869242284</x:v>
      </x:c>
      <x:c r="AC71" s="12" t="inlineStr">
        <x:is>
          <x:t xml:space="preserve">calculation baseline</x:t>
        </x:is>
      </x:c>
      <x:c r="AD71" t="str">
        <x:f>IF(OR(P71="",J71=""),"",P71*J71)</x:f>
      </x:c>
      <x:c r="AE71" t="str">
        <x:f>IF(OR(Q71="",J71=""),"",Q71*J71)</x:f>
      </x:c>
      <x:c r="AF71" t="n">
        <x:v>123</x:v>
      </x:c>
      <x:c r="AG71" t="n">
        <x:f>IF(OR(H71="",I71=""),"",H71*I71)</x:f>
        <x:v>5614.4</x:v>
      </x:c>
      <x:c r="AH71" t="n">
        <x:f>IF(OR(H71="",J71="",J71=0),"",H71/J71)</x:f>
        <x:v>9.698996655518394</x:v>
      </x:c>
    </x:row>
    <x:row r="72">
      <x:c r="A72" s="12" t="inlineStr">
        <x:is>
          <x:t xml:space="preserve">direct-api-20</x:t>
        </x:is>
      </x:c>
      <x:c r="B72" s="12" t="inlineStr">
        <x:is>
          <x:t xml:space="preserve">Direct API</x:t>
        </x:is>
      </x:c>
      <x:c r="C72" s="12" t="inlineStr">
        <x:is>
          <x:t xml:space="preserve">$20 API budget</x:t>
        </x:is>
      </x:c>
      <x:c r="D72" s="70" t="n">
        <x:v>20</x:v>
      </x:c>
      <x:c r="E72" s="12" t="inlineStr">
        <x:is>
          <x:t xml:space="preserve">Claude Opus 5</x:t>
        </x:is>
      </x:c>
      <x:c r="F72" s="12" t="inlineStr">
        <x:is>
          <x:t xml:space="preserve">low</x:t>
        </x:is>
      </x:c>
      <x:c r="G72" s="12" t="inlineStr">
        <x:is>
          <x:t xml:space="preserve">anthropic|claude-opus-5|low|reasoning|fallback-na</x:t>
        </x:is>
      </x:c>
      <x:c r="H72" s="12" t="n">
        <x:f>IF(AF72="","",INDEX(Rankings!$I:$I,AF72))</x:f>
        <x:v>40</x:v>
      </x:c>
      <x:c r="I72" s="12" t="n">
        <x:f>IF(AF72="","",INDEX(Rankings!$L:$L,AF72))</x:f>
        <x:v>47</x:v>
      </x:c>
      <x:c r="J72" s="12" t="n">
        <x:f>IF(AF72="","",INDEX(Rankings!$J:$J,AF72))</x:f>
        <x:v>1.1</x:v>
      </x:c>
      <x:c r="K72" s="12" t="str">
        <x:f>IF(AF72="","",INDEX(Rankings!$K:$K,AF72))</x:f>
      </x:c>
      <x:c r="L72" s="12" t="n"/>
      <x:c r="M72" s="12" t="n"/>
      <x:c r="N72" s="12" t="n">
        <x:v>20</x:v>
      </x:c>
      <x:c r="O72" s="12" t="n">
        <x:v>144</x:v>
      </x:c>
      <x:c r="P72" s="12" t="str">
        <x:f>IF(L72="","",L72*O72)</x:f>
      </x:c>
      <x:c r="Q72" s="12" t="str">
        <x:f>IF(M72="","",M72*O72)</x:f>
      </x:c>
      <x:c r="R72" s="70" t="n">
        <x:f>IF(N72="","",N72)</x:f>
        <x:v>20</x:v>
      </x:c>
      <x:c r="S72" s="70" t="n">
        <x:f>IF(N72="","",N72)</x:f>
        <x:v>20</x:v>
      </x:c>
      <x:c r="T72" s="12" t="inlineStr">
        <x:is>
          <x:t xml:space="preserve">published dollar cap / direct budget</x:t>
        </x:is>
      </x:c>
      <x:c r="U72" s="12" t="inlineStr">
        <x:is>
          <x:t xml:space="preserve">high</x:t>
        </x:is>
      </x:c>
      <x:c r="V72" s="71" t="n">
        <x:f>IF(OR(S72="",D72=0),"",S72/D72)</x:f>
        <x:v>1</x:v>
      </x:c>
      <x:c r="W72" s="12" t="n">
        <x:f>IF(OR(S72="",J72="",J72=0),"",S72/J72)</x:f>
        <x:v>18.18181818181818</x:v>
      </x:c>
      <x:c r="X72" s="12" t="n">
        <x:f>IF(OR(H72="",V72=""),"",H72*V72)</x:f>
        <x:v>40</x:v>
      </x:c>
      <x:c r="Y72" s="12" t="n">
        <x:f>IF(OR(I72="",V72=""),"",I72*V72)</x:f>
        <x:v>47</x:v>
      </x:c>
      <x:c r="Z72" s="12" t="n">
        <x:f>IF(OR(X72="",Y72=""),"",SQRT((X72/_xlfn.MAXIFS($X:$X,$A:$A,A72))*(Y72/_xlfn.MAXIFS($Y:$Y,$A:$A,A72))))</x:f>
        <x:v>0.322838063312906</x:v>
      </x:c>
      <x:c r="AA72" s="12" t="n">
        <x:f>IF(Z72="","",(X72/_xlfn.MAXIFS($X:$X,$A:$A,A72))^0.7*(Y72/_xlfn.MAXIFS($Y:$Y,$A:$A,A72))^0.3)</x:f>
        <x:v>0.4373646105649137</x:v>
      </x:c>
      <x:c r="AB72" s="12" t="n">
        <x:f>IF(Z72="","",(X72/_xlfn.MAXIFS($X:$X,$A:$A,A72))^0.3*(Y72/_xlfn.MAXIFS($Y:$Y,$A:$A,A72))^0.7)</x:f>
        <x:v>0.23830097956258603</x:v>
      </x:c>
      <x:c r="AC72" s="12" t="inlineStr">
        <x:is>
          <x:t xml:space="preserve">calculation baseline</x:t>
        </x:is>
      </x:c>
      <x:c r="AD72" t="str">
        <x:f>IF(OR(P72="",J72=""),"",P72*J72)</x:f>
      </x:c>
      <x:c r="AE72" t="str">
        <x:f>IF(OR(Q72="",J72=""),"",Q72*J72)</x:f>
      </x:c>
      <x:c r="AF72" t="n">
        <x:v>43</x:v>
      </x:c>
      <x:c r="AG72" t="n">
        <x:f>IF(OR(H72="",I72=""),"",H72*I72)</x:f>
        <x:v>1880</x:v>
      </x:c>
      <x:c r="AH72" t="n">
        <x:f>IF(OR(H72="",J72="",J72=0),"",H72/J72)</x:f>
        <x:v>36.36363636363636</x:v>
      </x:c>
    </x:row>
    <x:row r="73">
      <x:c r="A73" s="12" t="inlineStr">
        <x:is>
          <x:t xml:space="preserve">direct-api-20</x:t>
        </x:is>
      </x:c>
      <x:c r="B73" s="12" t="inlineStr">
        <x:is>
          <x:t xml:space="preserve">Direct API</x:t>
        </x:is>
      </x:c>
      <x:c r="C73" s="12" t="inlineStr">
        <x:is>
          <x:t xml:space="preserve">$20 API budget</x:t>
        </x:is>
      </x:c>
      <x:c r="D73" s="70" t="n">
        <x:v>20</x:v>
      </x:c>
      <x:c r="E73" s="12" t="inlineStr">
        <x:is>
          <x:t xml:space="preserve">Claude Opus 5</x:t>
        </x:is>
      </x:c>
      <x:c r="F73" s="12" t="inlineStr">
        <x:is>
          <x:t xml:space="preserve">medium</x:t>
        </x:is>
      </x:c>
      <x:c r="G73" s="12" t="inlineStr">
        <x:is>
          <x:t xml:space="preserve">anthropic|claude-opus-5|medium|reasoning|fallback-na</x:t>
        </x:is>
      </x:c>
      <x:c r="H73" s="12" t="n">
        <x:f>IF(AF73="","",INDEX(Rankings!$I:$I,AF73))</x:f>
        <x:v>45</x:v>
      </x:c>
      <x:c r="I73" s="12" t="n">
        <x:f>IF(AF73="","",INDEX(Rankings!$L:$L,AF73))</x:f>
        <x:v>48</x:v>
      </x:c>
      <x:c r="J73" s="12" t="n">
        <x:f>IF(AF73="","",INDEX(Rankings!$J:$J,AF73))</x:f>
        <x:v>2.19</x:v>
      </x:c>
      <x:c r="K73" s="12" t="str">
        <x:f>IF(AF73="","",INDEX(Rankings!$K:$K,AF73))</x:f>
      </x:c>
      <x:c r="L73" s="12" t="n"/>
      <x:c r="M73" s="12" t="n"/>
      <x:c r="N73" s="12" t="n">
        <x:v>20</x:v>
      </x:c>
      <x:c r="O73" s="12" t="n">
        <x:v>144</x:v>
      </x:c>
      <x:c r="P73" s="12" t="str">
        <x:f>IF(L73="","",L73*O73)</x:f>
      </x:c>
      <x:c r="Q73" s="12" t="str">
        <x:f>IF(M73="","",M73*O73)</x:f>
      </x:c>
      <x:c r="R73" s="70" t="n">
        <x:f>IF(N73="","",N73)</x:f>
        <x:v>20</x:v>
      </x:c>
      <x:c r="S73" s="70" t="n">
        <x:f>IF(N73="","",N73)</x:f>
        <x:v>20</x:v>
      </x:c>
      <x:c r="T73" s="12" t="inlineStr">
        <x:is>
          <x:t xml:space="preserve">published dollar cap / direct budget</x:t>
        </x:is>
      </x:c>
      <x:c r="U73" s="12" t="inlineStr">
        <x:is>
          <x:t xml:space="preserve">high</x:t>
        </x:is>
      </x:c>
      <x:c r="V73" s="71" t="n">
        <x:f>IF(OR(S73="",D73=0),"",S73/D73)</x:f>
        <x:v>1</x:v>
      </x:c>
      <x:c r="W73" s="12" t="n">
        <x:f>IF(OR(S73="",J73="",J73=0),"",S73/J73)</x:f>
        <x:v>9.132420091324201</x:v>
      </x:c>
      <x:c r="X73" s="12" t="n">
        <x:f>IF(OR(H73="",V73=""),"",H73*V73)</x:f>
        <x:v>45</x:v>
      </x:c>
      <x:c r="Y73" s="12" t="n">
        <x:f>IF(OR(I73="",V73=""),"",I73*V73)</x:f>
        <x:v>48</x:v>
      </x:c>
      <x:c r="Z73" s="12" t="n">
        <x:f>IF(OR(X73="",Y73=""),"",SQRT((X73/_xlfn.MAXIFS($X:$X,$A:$A,A73))*(Y73/_xlfn.MAXIFS($Y:$Y,$A:$A,A73))))</x:f>
        <x:v>0.34604508428065633</x:v>
      </x:c>
      <x:c r="AA73" s="12" t="n">
        <x:f>IF(Z73="","",(X73/_xlfn.MAXIFS($X:$X,$A:$A,A73))^0.7*(Y73/_xlfn.MAXIFS($Y:$Y,$A:$A,A73))^0.3)</x:f>
        <x:v>0.47796205383481527</x:v>
      </x:c>
      <x:c r="AB73" s="12" t="n">
        <x:f>IF(Z73="","",(X73/_xlfn.MAXIFS($X:$X,$A:$A,A73))^0.3*(Y73/_xlfn.MAXIFS($Y:$Y,$A:$A,A73))^0.7)</x:f>
        <x:v>0.25053704450812203</x:v>
      </x:c>
      <x:c r="AC73" s="12" t="inlineStr">
        <x:is>
          <x:t xml:space="preserve">calculation baseline</x:t>
        </x:is>
      </x:c>
      <x:c r="AD73" t="str">
        <x:f>IF(OR(P73="",J73=""),"",P73*J73)</x:f>
      </x:c>
      <x:c r="AE73" t="str">
        <x:f>IF(OR(Q73="",J73=""),"",Q73*J73)</x:f>
      </x:c>
      <x:c r="AF73" t="n">
        <x:v>44</x:v>
      </x:c>
      <x:c r="AG73" t="n">
        <x:f>IF(OR(H73="",I73=""),"",H73*I73)</x:f>
        <x:v>2160</x:v>
      </x:c>
      <x:c r="AH73" t="n">
        <x:f>IF(OR(H73="",J73="",J73=0),"",H73/J73)</x:f>
        <x:v>20.547945205479454</x:v>
      </x:c>
    </x:row>
    <x:row r="74">
      <x:c r="A74" s="12" t="inlineStr">
        <x:is>
          <x:t xml:space="preserve">direct-api-20</x:t>
        </x:is>
      </x:c>
      <x:c r="B74" s="12" t="inlineStr">
        <x:is>
          <x:t xml:space="preserve">Direct API</x:t>
        </x:is>
      </x:c>
      <x:c r="C74" s="12" t="inlineStr">
        <x:is>
          <x:t xml:space="preserve">$20 API budget</x:t>
        </x:is>
      </x:c>
      <x:c r="D74" s="70" t="n">
        <x:v>20</x:v>
      </x:c>
      <x:c r="E74" s="12" t="inlineStr">
        <x:is>
          <x:t xml:space="preserve">Claude Opus 5</x:t>
        </x:is>
      </x:c>
      <x:c r="F74" s="12" t="inlineStr">
        <x:is>
          <x:t xml:space="preserve">high</x:t>
        </x:is>
      </x:c>
      <x:c r="G74" s="12" t="inlineStr">
        <x:is>
          <x:t xml:space="preserve">anthropic|claude-opus-5|high|reasoning|fallback-na</x:t>
        </x:is>
      </x:c>
      <x:c r="H74" s="12" t="n">
        <x:f>IF(AF74="","",INDEX(Rankings!$I:$I,AF74))</x:f>
        <x:v>48</x:v>
      </x:c>
      <x:c r="I74" s="12" t="n">
        <x:f>IF(AF74="","",INDEX(Rankings!$L:$L,AF74))</x:f>
        <x:v>50</x:v>
      </x:c>
      <x:c r="J74" s="12" t="n">
        <x:f>IF(AF74="","",INDEX(Rankings!$J:$J,AF74))</x:f>
        <x:v>3.61</x:v>
      </x:c>
      <x:c r="K74" s="12" t="str">
        <x:f>IF(AF74="","",INDEX(Rankings!$K:$K,AF74))</x:f>
      </x:c>
      <x:c r="L74" s="12" t="n"/>
      <x:c r="M74" s="12" t="n"/>
      <x:c r="N74" s="12" t="n">
        <x:v>20</x:v>
      </x:c>
      <x:c r="O74" s="12" t="n">
        <x:v>144</x:v>
      </x:c>
      <x:c r="P74" s="12" t="str">
        <x:f>IF(L74="","",L74*O74)</x:f>
      </x:c>
      <x:c r="Q74" s="12" t="str">
        <x:f>IF(M74="","",M74*O74)</x:f>
      </x:c>
      <x:c r="R74" s="70" t="n">
        <x:f>IF(N74="","",N74)</x:f>
        <x:v>20</x:v>
      </x:c>
      <x:c r="S74" s="70" t="n">
        <x:f>IF(N74="","",N74)</x:f>
        <x:v>20</x:v>
      </x:c>
      <x:c r="T74" s="12" t="inlineStr">
        <x:is>
          <x:t xml:space="preserve">published dollar cap / direct budget</x:t>
        </x:is>
      </x:c>
      <x:c r="U74" s="12" t="inlineStr">
        <x:is>
          <x:t xml:space="preserve">high</x:t>
        </x:is>
      </x:c>
      <x:c r="V74" s="71" t="n">
        <x:f>IF(OR(S74="",D74=0),"",S74/D74)</x:f>
        <x:v>1</x:v>
      </x:c>
      <x:c r="W74" s="12" t="n">
        <x:f>IF(OR(S74="",J74="",J74=0),"",S74/J74)</x:f>
        <x:v>5.54016620498615</x:v>
      </x:c>
      <x:c r="X74" s="12" t="n">
        <x:f>IF(OR(H74="",V74=""),"",H74*V74)</x:f>
        <x:v>48</x:v>
      </x:c>
      <x:c r="Y74" s="12" t="n">
        <x:f>IF(OR(I74="",V74=""),"",I74*V74)</x:f>
        <x:v>50</x:v>
      </x:c>
      <x:c r="Z74" s="12" t="n">
        <x:f>IF(OR(X74="",Y74=""),"",SQRT((X74/_xlfn.MAXIFS($X:$X,$A:$A,A74))*(Y74/_xlfn.MAXIFS($Y:$Y,$A:$A,A74))))</x:f>
        <x:v>0.3647635464772678</x:v>
      </x:c>
      <x:c r="AA74" s="12" t="n">
        <x:f>IF(Z74="","",(X74/_xlfn.MAXIFS($X:$X,$A:$A,A74))^0.7*(Y74/_xlfn.MAXIFS($Y:$Y,$A:$A,A74))^0.3)</x:f>
        <x:v>0.5062116726504011</x:v>
      </x:c>
      <x:c r="AB74" s="12" t="n">
        <x:f>IF(Z74="","",(X74/_xlfn.MAXIFS($X:$X,$A:$A,A74))^0.3*(Y74/_xlfn.MAXIFS($Y:$Y,$A:$A,A74))^0.7)</x:f>
        <x:v>0.26283954327256764</x:v>
      </x:c>
      <x:c r="AC74" s="12" t="inlineStr">
        <x:is>
          <x:t xml:space="preserve">calculation baseline</x:t>
        </x:is>
      </x:c>
      <x:c r="AD74" t="str">
        <x:f>IF(OR(P74="",J74=""),"",P74*J74)</x:f>
      </x:c>
      <x:c r="AE74" t="str">
        <x:f>IF(OR(Q74="",J74=""),"",Q74*J74)</x:f>
      </x:c>
      <x:c r="AF74" t="n">
        <x:v>45</x:v>
      </x:c>
      <x:c r="AG74" t="n">
        <x:f>IF(OR(H74="",I74=""),"",H74*I74)</x:f>
        <x:v>2400</x:v>
      </x:c>
      <x:c r="AH74" t="n">
        <x:f>IF(OR(H74="",J74="",J74=0),"",H74/J74)</x:f>
        <x:v>13.29639889196676</x:v>
      </x:c>
    </x:row>
    <x:row r="75">
      <x:c r="A75" s="12" t="inlineStr">
        <x:is>
          <x:t xml:space="preserve">direct-api-20</x:t>
        </x:is>
      </x:c>
      <x:c r="B75" s="12" t="inlineStr">
        <x:is>
          <x:t xml:space="preserve">Direct API</x:t>
        </x:is>
      </x:c>
      <x:c r="C75" s="12" t="inlineStr">
        <x:is>
          <x:t xml:space="preserve">$20 API budget</x:t>
        </x:is>
      </x:c>
      <x:c r="D75" s="70" t="n">
        <x:v>20</x:v>
      </x:c>
      <x:c r="E75" s="12" t="inlineStr">
        <x:is>
          <x:t xml:space="preserve">Claude Opus 5</x:t>
        </x:is>
      </x:c>
      <x:c r="F75" s="12" t="inlineStr">
        <x:is>
          <x:t xml:space="preserve">xhigh</x:t>
        </x:is>
      </x:c>
      <x:c r="G75" s="12" t="inlineStr">
        <x:is>
          <x:t xml:space="preserve">anthropic|claude-opus-5|xhigh|reasoning|fallback-na</x:t>
        </x:is>
      </x:c>
      <x:c r="H75" s="12" t="n">
        <x:f>IF(AF75="","",INDEX(Rankings!$I:$I,AF75))</x:f>
        <x:v>50</x:v>
      </x:c>
      <x:c r="I75" s="12" t="n">
        <x:f>IF(AF75="","",INDEX(Rankings!$L:$L,AF75))</x:f>
        <x:v>49</x:v>
      </x:c>
      <x:c r="J75" s="12" t="n">
        <x:f>IF(AF75="","",INDEX(Rankings!$J:$J,AF75))</x:f>
        <x:v>4.88</x:v>
      </x:c>
      <x:c r="K75" s="12" t="str">
        <x:f>IF(AF75="","",INDEX(Rankings!$K:$K,AF75))</x:f>
      </x:c>
      <x:c r="L75" s="12" t="n"/>
      <x:c r="M75" s="12" t="n"/>
      <x:c r="N75" s="12" t="n">
        <x:v>20</x:v>
      </x:c>
      <x:c r="O75" s="12" t="n">
        <x:v>144</x:v>
      </x:c>
      <x:c r="P75" s="12" t="str">
        <x:f>IF(L75="","",L75*O75)</x:f>
      </x:c>
      <x:c r="Q75" s="12" t="str">
        <x:f>IF(M75="","",M75*O75)</x:f>
      </x:c>
      <x:c r="R75" s="70" t="n">
        <x:f>IF(N75="","",N75)</x:f>
        <x:v>20</x:v>
      </x:c>
      <x:c r="S75" s="70" t="n">
        <x:f>IF(N75="","",N75)</x:f>
        <x:v>20</x:v>
      </x:c>
      <x:c r="T75" s="12" t="inlineStr">
        <x:is>
          <x:t xml:space="preserve">published dollar cap / direct budget</x:t>
        </x:is>
      </x:c>
      <x:c r="U75" s="12" t="inlineStr">
        <x:is>
          <x:t xml:space="preserve">high</x:t>
        </x:is>
      </x:c>
      <x:c r="V75" s="71" t="n">
        <x:f>IF(OR(S75="",D75=0),"",S75/D75)</x:f>
        <x:v>1</x:v>
      </x:c>
      <x:c r="W75" s="12" t="n">
        <x:f>IF(OR(S75="",J75="",J75=0),"",S75/J75)</x:f>
        <x:v>4.098360655737705</x:v>
      </x:c>
      <x:c r="X75" s="12" t="n">
        <x:f>IF(OR(H75="",V75=""),"",H75*V75)</x:f>
        <x:v>50</x:v>
      </x:c>
      <x:c r="Y75" s="12" t="n">
        <x:f>IF(OR(I75="",V75=""),"",I75*V75)</x:f>
        <x:v>49</x:v>
      </x:c>
      <x:c r="Z75" s="12" t="n">
        <x:f>IF(OR(X75="",Y75=""),"",SQRT((X75/_xlfn.MAXIFS($X:$X,$A:$A,A75))*(Y75/_xlfn.MAXIFS($Y:$Y,$A:$A,A75))))</x:f>
        <x:v>0.368543580561123</x:v>
      </x:c>
      <x:c r="AA75" s="12" t="n">
        <x:f>IF(Z75="","",(X75/_xlfn.MAXIFS($X:$X,$A:$A,A75))^0.7*(Y75/_xlfn.MAXIFS($Y:$Y,$A:$A,A75))^0.3)</x:f>
        <x:v>0.5177380871771167</x:v>
      </x:c>
      <x:c r="AB75" s="12" t="n">
        <x:f>IF(Z75="","",(X75/_xlfn.MAXIFS($X:$X,$A:$A,A75))^0.3*(Y75/_xlfn.MAXIFS($Y:$Y,$A:$A,A75))^0.7)</x:f>
        <x:v>0.26234185611758526</x:v>
      </x:c>
      <x:c r="AC75" s="12" t="inlineStr">
        <x:is>
          <x:t xml:space="preserve">calculation baseline</x:t>
        </x:is>
      </x:c>
      <x:c r="AD75" t="str">
        <x:f>IF(OR(P75="",J75=""),"",P75*J75)</x:f>
      </x:c>
      <x:c r="AE75" t="str">
        <x:f>IF(OR(Q75="",J75=""),"",Q75*J75)</x:f>
      </x:c>
      <x:c r="AF75" t="n">
        <x:v>46</x:v>
      </x:c>
      <x:c r="AG75" t="n">
        <x:f>IF(OR(H75="",I75=""),"",H75*I75)</x:f>
        <x:v>2450</x:v>
      </x:c>
      <x:c r="AH75" t="n">
        <x:f>IF(OR(H75="",J75="",J75=0),"",H75/J75)</x:f>
        <x:v>10.245901639344263</x:v>
      </x:c>
    </x:row>
    <x:row r="76">
      <x:c r="A76" s="12" t="inlineStr">
        <x:is>
          <x:t xml:space="preserve">direct-api-20</x:t>
        </x:is>
      </x:c>
      <x:c r="B76" s="12" t="inlineStr">
        <x:is>
          <x:t xml:space="preserve">Direct API</x:t>
        </x:is>
      </x:c>
      <x:c r="C76" s="12" t="inlineStr">
        <x:is>
          <x:t xml:space="preserve">$20 API budget</x:t>
        </x:is>
      </x:c>
      <x:c r="D76" s="70" t="n">
        <x:v>20</x:v>
      </x:c>
      <x:c r="E76" s="12" t="inlineStr">
        <x:is>
          <x:t xml:space="preserve">Claude Opus 5</x:t>
        </x:is>
      </x:c>
      <x:c r="F76" s="12" t="inlineStr">
        <x:is>
          <x:t xml:space="preserve">max</x:t>
        </x:is>
      </x:c>
      <x:c r="G76" s="12" t="inlineStr">
        <x:is>
          <x:t xml:space="preserve">anthropic|claude-opus-5|max|reasoning|fallback-na</x:t>
        </x:is>
      </x:c>
      <x:c r="H76" s="12" t="n">
        <x:f>IF(AF76="","",INDEX(Rankings!$I:$I,AF76))</x:f>
        <x:v>51</x:v>
      </x:c>
      <x:c r="I76" s="12" t="n">
        <x:f>IF(AF76="","",INDEX(Rankings!$L:$L,AF76))</x:f>
        <x:v>51</x:v>
      </x:c>
      <x:c r="J76" s="12" t="n">
        <x:f>IF(AF76="","",INDEX(Rankings!$J:$J,AF76))</x:f>
        <x:v>5.86</x:v>
      </x:c>
      <x:c r="K76" s="12" t="str">
        <x:f>IF(AF76="","",INDEX(Rankings!$K:$K,AF76))</x:f>
      </x:c>
      <x:c r="L76" s="12" t="n"/>
      <x:c r="M76" s="12" t="n"/>
      <x:c r="N76" s="12" t="n">
        <x:v>20</x:v>
      </x:c>
      <x:c r="O76" s="12" t="n">
        <x:v>144</x:v>
      </x:c>
      <x:c r="P76" s="12" t="str">
        <x:f>IF(L76="","",L76*O76)</x:f>
      </x:c>
      <x:c r="Q76" s="12" t="str">
        <x:f>IF(M76="","",M76*O76)</x:f>
      </x:c>
      <x:c r="R76" s="70" t="n">
        <x:f>IF(N76="","",N76)</x:f>
        <x:v>20</x:v>
      </x:c>
      <x:c r="S76" s="70" t="n">
        <x:f>IF(N76="","",N76)</x:f>
        <x:v>20</x:v>
      </x:c>
      <x:c r="T76" s="12" t="inlineStr">
        <x:is>
          <x:t xml:space="preserve">published dollar cap / direct budget</x:t>
        </x:is>
      </x:c>
      <x:c r="U76" s="12" t="inlineStr">
        <x:is>
          <x:t xml:space="preserve">high</x:t>
        </x:is>
      </x:c>
      <x:c r="V76" s="71" t="n">
        <x:f>IF(OR(S76="",D76=0),"",S76/D76)</x:f>
        <x:v>1</x:v>
      </x:c>
      <x:c r="W76" s="12" t="n">
        <x:f>IF(OR(S76="",J76="",J76=0),"",S76/J76)</x:f>
        <x:v>3.41296928327645</x:v>
      </x:c>
      <x:c r="X76" s="12" t="n">
        <x:f>IF(OR(H76="",V76=""),"",H76*V76)</x:f>
        <x:v>51</x:v>
      </x:c>
      <x:c r="Y76" s="12" t="n">
        <x:f>IF(OR(I76="",V76=""),"",I76*V76)</x:f>
        <x:v>51</x:v>
      </x:c>
      <x:c r="Z76" s="12" t="n">
        <x:f>IF(OR(X76="",Y76=""),"",SQRT((X76/_xlfn.MAXIFS($X:$X,$A:$A,A76))*(Y76/_xlfn.MAXIFS($Y:$Y,$A:$A,A76))))</x:f>
        <x:v>0.37973094039584504</x:v>
      </x:c>
      <x:c r="AA76" s="12" t="n">
        <x:f>IF(Z76="","",(X76/_xlfn.MAXIFS($X:$X,$A:$A,A76))^0.7*(Y76/_xlfn.MAXIFS($Y:$Y,$A:$A,A76))^0.3)</x:f>
        <x:v>0.5313032394593029</x:v>
      </x:c>
      <x:c r="AB76" s="12" t="n">
        <x:f>IF(Z76="","",(X76/_xlfn.MAXIFS($X:$X,$A:$A,A76))^0.3*(Y76/_xlfn.MAXIFS($Y:$Y,$A:$A,A76))^0.7)</x:f>
        <x:v>0.27139978901814704</x:v>
      </x:c>
      <x:c r="AC76" s="12" t="inlineStr">
        <x:is>
          <x:t xml:space="preserve">calculation baseline</x:t>
        </x:is>
      </x:c>
      <x:c r="AD76" t="str">
        <x:f>IF(OR(P76="",J76=""),"",P76*J76)</x:f>
      </x:c>
      <x:c r="AE76" t="str">
        <x:f>IF(OR(Q76="",J76=""),"",Q76*J76)</x:f>
      </x:c>
      <x:c r="AF76" t="n">
        <x:v>47</x:v>
      </x:c>
      <x:c r="AG76" t="n">
        <x:f>IF(OR(H76="",I76=""),"",H76*I76)</x:f>
        <x:v>2601</x:v>
      </x:c>
      <x:c r="AH76" t="n">
        <x:f>IF(OR(H76="",J76="",J76=0),"",H76/J76)</x:f>
        <x:v>8.703071672354948</x:v>
      </x:c>
    </x:row>
    <x:row r="77">
      <x:c r="A77" s="12" t="inlineStr">
        <x:is>
          <x:t xml:space="preserve">direct-api-20</x:t>
        </x:is>
      </x:c>
      <x:c r="B77" s="12" t="inlineStr">
        <x:is>
          <x:t xml:space="preserve">Direct API</x:t>
        </x:is>
      </x:c>
      <x:c r="C77" s="12" t="inlineStr">
        <x:is>
          <x:t xml:space="preserve">$20 API budget</x:t>
        </x:is>
      </x:c>
      <x:c r="D77" s="70" t="n">
        <x:v>20</x:v>
      </x:c>
      <x:c r="E77" s="12" t="inlineStr">
        <x:is>
          <x:t xml:space="preserve">Claude Sonnet 5</x:t>
        </x:is>
      </x:c>
      <x:c r="F77" s="12" t="inlineStr">
        <x:is>
          <x:t xml:space="preserve">low</x:t>
        </x:is>
      </x:c>
      <x:c r="G77" s="12" t="inlineStr">
        <x:is>
          <x:t xml:space="preserve">anthropic|claude-sonnet-5|low|reasoning|fallback-na</x:t>
        </x:is>
      </x:c>
      <x:c r="H77" s="12" t="n">
        <x:f>IF(AF77="","",INDEX(Rankings!$I:$I,AF77))</x:f>
        <x:v>25</x:v>
      </x:c>
      <x:c r="I77" s="12" t="n">
        <x:f>IF(AF77="","",INDEX(Rankings!$L:$L,AF77))</x:f>
        <x:v>56</x:v>
      </x:c>
      <x:c r="J77" s="12" t="n">
        <x:f>IF(AF77="","",INDEX(Rankings!$J:$J,AF77))</x:f>
        <x:v>0.51</x:v>
      </x:c>
      <x:c r="K77" s="12" t="str">
        <x:f>IF(AF77="","",INDEX(Rankings!$K:$K,AF77))</x:f>
      </x:c>
      <x:c r="L77" s="12" t="n"/>
      <x:c r="M77" s="12" t="n"/>
      <x:c r="N77" s="12" t="n">
        <x:v>20</x:v>
      </x:c>
      <x:c r="O77" s="12" t="n">
        <x:v>144</x:v>
      </x:c>
      <x:c r="P77" s="12" t="str">
        <x:f>IF(L77="","",L77*O77)</x:f>
      </x:c>
      <x:c r="Q77" s="12" t="str">
        <x:f>IF(M77="","",M77*O77)</x:f>
      </x:c>
      <x:c r="R77" s="70" t="n">
        <x:f>IF(N77="","",N77)</x:f>
        <x:v>20</x:v>
      </x:c>
      <x:c r="S77" s="70" t="n">
        <x:f>IF(N77="","",N77)</x:f>
        <x:v>20</x:v>
      </x:c>
      <x:c r="T77" s="12" t="inlineStr">
        <x:is>
          <x:t xml:space="preserve">published dollar cap / direct budget</x:t>
        </x:is>
      </x:c>
      <x:c r="U77" s="12" t="inlineStr">
        <x:is>
          <x:t xml:space="preserve">high</x:t>
        </x:is>
      </x:c>
      <x:c r="V77" s="71" t="n">
        <x:f>IF(OR(S77="",D77=0),"",S77/D77)</x:f>
        <x:v>1</x:v>
      </x:c>
      <x:c r="W77" s="12" t="n">
        <x:f>IF(OR(S77="",J77="",J77=0),"",S77/J77)</x:f>
        <x:v>39.21568627450981</x:v>
      </x:c>
      <x:c r="X77" s="12" t="n">
        <x:f>IF(OR(H77="",V77=""),"",H77*V77)</x:f>
        <x:v>25</x:v>
      </x:c>
      <x:c r="Y77" s="12" t="n">
        <x:f>IF(OR(I77="",V77=""),"",I77*V77)</x:f>
        <x:v>56</x:v>
      </x:c>
      <x:c r="Z77" s="12" t="n">
        <x:f>IF(OR(X77="",Y77=""),"",SQRT((X77/_xlfn.MAXIFS($X:$X,$A:$A,A77))*(Y77/_xlfn.MAXIFS($Y:$Y,$A:$A,A77))))</x:f>
        <x:v>0.27859276041543707</x:v>
      </x:c>
      <x:c r="AA77" s="12" t="n">
        <x:f>IF(Z77="","",(X77/_xlfn.MAXIFS($X:$X,$A:$A,A77))^0.7*(Y77/_xlfn.MAXIFS($Y:$Y,$A:$A,A77))^0.3)</x:f>
        <x:v>0.3317314919720831</x:v>
      </x:c>
      <x:c r="AB77" s="12" t="n">
        <x:f>IF(Z77="","",(X77/_xlfn.MAXIFS($X:$X,$A:$A,A77))^0.3*(Y77/_xlfn.MAXIFS($Y:$Y,$A:$A,A77))^0.7)</x:f>
        <x:v>0.23396610823558686</x:v>
      </x:c>
      <x:c r="AC77" s="12" t="inlineStr">
        <x:is>
          <x:t xml:space="preserve">calculation baseline</x:t>
        </x:is>
      </x:c>
      <x:c r="AD77" t="str">
        <x:f>IF(OR(P77="",J77=""),"",P77*J77)</x:f>
      </x:c>
      <x:c r="AE77" t="str">
        <x:f>IF(OR(Q77="",J77=""),"",Q77*J77)</x:f>
      </x:c>
      <x:c r="AF77" t="n">
        <x:v>49</x:v>
      </x:c>
      <x:c r="AG77" t="n">
        <x:f>IF(OR(H77="",I77=""),"",H77*I77)</x:f>
        <x:v>1400</x:v>
      </x:c>
      <x:c r="AH77" t="n">
        <x:f>IF(OR(H77="",J77="",J77=0),"",H77/J77)</x:f>
        <x:v>49.01960784313725</x:v>
      </x:c>
    </x:row>
    <x:row r="78">
      <x:c r="A78" s="12" t="inlineStr">
        <x:is>
          <x:t xml:space="preserve">direct-api-20</x:t>
        </x:is>
      </x:c>
      <x:c r="B78" s="12" t="inlineStr">
        <x:is>
          <x:t xml:space="preserve">Direct API</x:t>
        </x:is>
      </x:c>
      <x:c r="C78" s="12" t="inlineStr">
        <x:is>
          <x:t xml:space="preserve">$20 API budget</x:t>
        </x:is>
      </x:c>
      <x:c r="D78" s="70" t="n">
        <x:v>20</x:v>
      </x:c>
      <x:c r="E78" s="12" t="inlineStr">
        <x:is>
          <x:t xml:space="preserve">Claude Sonnet 5</x:t>
        </x:is>
      </x:c>
      <x:c r="F78" s="12" t="inlineStr">
        <x:is>
          <x:t xml:space="preserve">medium</x:t>
        </x:is>
      </x:c>
      <x:c r="G78" s="12" t="inlineStr">
        <x:is>
          <x:t xml:space="preserve">anthropic|claude-sonnet-5|medium|reasoning|fallback-na</x:t>
        </x:is>
      </x:c>
      <x:c r="H78" s="12" t="n">
        <x:f>IF(AF78="","",INDEX(Rankings!$I:$I,AF78))</x:f>
        <x:v>28</x:v>
      </x:c>
      <x:c r="I78" s="12" t="n">
        <x:f>IF(AF78="","",INDEX(Rankings!$L:$L,AF78))</x:f>
        <x:v>57</x:v>
      </x:c>
      <x:c r="J78" s="12" t="n">
        <x:f>IF(AF78="","",INDEX(Rankings!$J:$J,AF78))</x:f>
        <x:v>1</x:v>
      </x:c>
      <x:c r="K78" s="12" t="str">
        <x:f>IF(AF78="","",INDEX(Rankings!$K:$K,AF78))</x:f>
      </x:c>
      <x:c r="L78" s="12" t="n"/>
      <x:c r="M78" s="12" t="n"/>
      <x:c r="N78" s="12" t="n">
        <x:v>20</x:v>
      </x:c>
      <x:c r="O78" s="12" t="n">
        <x:v>144</x:v>
      </x:c>
      <x:c r="P78" s="12" t="str">
        <x:f>IF(L78="","",L78*O78)</x:f>
      </x:c>
      <x:c r="Q78" s="12" t="str">
        <x:f>IF(M78="","",M78*O78)</x:f>
      </x:c>
      <x:c r="R78" s="70" t="n">
        <x:f>IF(N78="","",N78)</x:f>
        <x:v>20</x:v>
      </x:c>
      <x:c r="S78" s="70" t="n">
        <x:f>IF(N78="","",N78)</x:f>
        <x:v>20</x:v>
      </x:c>
      <x:c r="T78" s="12" t="inlineStr">
        <x:is>
          <x:t xml:space="preserve">published dollar cap / direct budget</x:t>
        </x:is>
      </x:c>
      <x:c r="U78" s="12" t="inlineStr">
        <x:is>
          <x:t xml:space="preserve">high</x:t>
        </x:is>
      </x:c>
      <x:c r="V78" s="71" t="n">
        <x:f>IF(OR(S78="",D78=0),"",S78/D78)</x:f>
        <x:v>1</x:v>
      </x:c>
      <x:c r="W78" s="12" t="n">
        <x:f>IF(OR(S78="",J78="",J78=0),"",S78/J78)</x:f>
        <x:v>20</x:v>
      </x:c>
      <x:c r="X78" s="12" t="n">
        <x:f>IF(OR(H78="",V78=""),"",H78*V78)</x:f>
        <x:v>28</x:v>
      </x:c>
      <x:c r="Y78" s="12" t="n">
        <x:f>IF(OR(I78="",V78=""),"",I78*V78)</x:f>
        <x:v>57</x:v>
      </x:c>
      <x:c r="Z78" s="12" t="n">
        <x:f>IF(OR(X78="",Y78=""),"",SQRT((X78/_xlfn.MAXIFS($X:$X,$A:$A,A78))*(Y78/_xlfn.MAXIFS($Y:$Y,$A:$A,A78))))</x:f>
        <x:v>0.29745567034050324</x:v>
      </x:c>
      <x:c r="AA78" s="12" t="n">
        <x:f>IF(Z78="","",(X78/_xlfn.MAXIFS($X:$X,$A:$A,A78))^0.7*(Y78/_xlfn.MAXIFS($Y:$Y,$A:$A,A78))^0.3)</x:f>
        <x:v>0.3610317250219769</x:v>
      </x:c>
      <x:c r="AB78" s="12" t="n">
        <x:f>IF(Z78="","",(X78/_xlfn.MAXIFS($X:$X,$A:$A,A78))^0.3*(Y78/_xlfn.MAXIFS($Y:$Y,$A:$A,A78))^0.7)</x:f>
        <x:v>0.24507507148390403</x:v>
      </x:c>
      <x:c r="AC78" s="12" t="inlineStr">
        <x:is>
          <x:t xml:space="preserve">calculation baseline</x:t>
        </x:is>
      </x:c>
      <x:c r="AD78" t="str">
        <x:f>IF(OR(P78="",J78=""),"",P78*J78)</x:f>
      </x:c>
      <x:c r="AE78" t="str">
        <x:f>IF(OR(Q78="",J78=""),"",Q78*J78)</x:f>
      </x:c>
      <x:c r="AF78" t="n">
        <x:v>50</x:v>
      </x:c>
      <x:c r="AG78" t="n">
        <x:f>IF(OR(H78="",I78=""),"",H78*I78)</x:f>
        <x:v>1596</x:v>
      </x:c>
      <x:c r="AH78" t="n">
        <x:f>IF(OR(H78="",J78="",J78=0),"",H78/J78)</x:f>
        <x:v>28</x:v>
      </x:c>
    </x:row>
    <x:row r="79">
      <x:c r="A79" s="12" t="inlineStr">
        <x:is>
          <x:t xml:space="preserve">direct-api-20</x:t>
        </x:is>
      </x:c>
      <x:c r="B79" s="12" t="inlineStr">
        <x:is>
          <x:t xml:space="preserve">Direct API</x:t>
        </x:is>
      </x:c>
      <x:c r="C79" s="12" t="inlineStr">
        <x:is>
          <x:t xml:space="preserve">$20 API budget</x:t>
        </x:is>
      </x:c>
      <x:c r="D79" s="70" t="n">
        <x:v>20</x:v>
      </x:c>
      <x:c r="E79" s="12" t="inlineStr">
        <x:is>
          <x:t xml:space="preserve">Claude Sonnet 5</x:t>
        </x:is>
      </x:c>
      <x:c r="F79" s="12" t="inlineStr">
        <x:is>
          <x:t xml:space="preserve">high</x:t>
        </x:is>
      </x:c>
      <x:c r="G79" s="12" t="inlineStr">
        <x:is>
          <x:t xml:space="preserve">anthropic|claude-sonnet-5|high|reasoning|fallback-na</x:t>
        </x:is>
      </x:c>
      <x:c r="H79" s="12" t="n">
        <x:f>IF(AF79="","",INDEX(Rankings!$I:$I,AF79))</x:f>
        <x:v>32</x:v>
      </x:c>
      <x:c r="I79" s="12" t="n">
        <x:f>IF(AF79="","",INDEX(Rankings!$L:$L,AF79))</x:f>
        <x:v>60</x:v>
      </x:c>
      <x:c r="J79" s="12" t="n">
        <x:f>IF(AF79="","",INDEX(Rankings!$J:$J,AF79))</x:f>
        <x:v>1.79</x:v>
      </x:c>
      <x:c r="K79" s="12" t="str">
        <x:f>IF(AF79="","",INDEX(Rankings!$K:$K,AF79))</x:f>
      </x:c>
      <x:c r="L79" s="12" t="n"/>
      <x:c r="M79" s="12" t="n"/>
      <x:c r="N79" s="12" t="n">
        <x:v>20</x:v>
      </x:c>
      <x:c r="O79" s="12" t="n">
        <x:v>144</x:v>
      </x:c>
      <x:c r="P79" s="12" t="str">
        <x:f>IF(L79="","",L79*O79)</x:f>
      </x:c>
      <x:c r="Q79" s="12" t="str">
        <x:f>IF(M79="","",M79*O79)</x:f>
      </x:c>
      <x:c r="R79" s="70" t="n">
        <x:f>IF(N79="","",N79)</x:f>
        <x:v>20</x:v>
      </x:c>
      <x:c r="S79" s="70" t="n">
        <x:f>IF(N79="","",N79)</x:f>
        <x:v>20</x:v>
      </x:c>
      <x:c r="T79" s="12" t="inlineStr">
        <x:is>
          <x:t xml:space="preserve">published dollar cap / direct budget</x:t>
        </x:is>
      </x:c>
      <x:c r="U79" s="12" t="inlineStr">
        <x:is>
          <x:t xml:space="preserve">high</x:t>
        </x:is>
      </x:c>
      <x:c r="V79" s="71" t="n">
        <x:f>IF(OR(S79="",D79=0),"",S79/D79)</x:f>
        <x:v>1</x:v>
      </x:c>
      <x:c r="W79" s="12" t="n">
        <x:f>IF(OR(S79="",J79="",J79=0),"",S79/J79)</x:f>
        <x:v>11.1731843575419</x:v>
      </x:c>
      <x:c r="X79" s="12" t="n">
        <x:f>IF(OR(H79="",V79=""),"",H79*V79)</x:f>
        <x:v>32</x:v>
      </x:c>
      <x:c r="Y79" s="12" t="n">
        <x:f>IF(OR(I79="",V79=""),"",I79*V79)</x:f>
        <x:v>60</x:v>
      </x:c>
      <x:c r="Z79" s="12" t="n">
        <x:f>IF(OR(X79="",Y79=""),"",SQRT((X79/_xlfn.MAXIFS($X:$X,$A:$A,A79))*(Y79/_xlfn.MAXIFS($Y:$Y,$A:$A,A79))))</x:f>
        <x:v>0.32625443425482986</x:v>
      </x:c>
      <x:c r="AA79" s="12" t="n">
        <x:f>IF(Z79="","",(X79/_xlfn.MAXIFS($X:$X,$A:$A,A79))^0.7*(Y79/_xlfn.MAXIFS($Y:$Y,$A:$A,A79))^0.3)</x:f>
        <x:v>0.4025526108778529</x:v>
      </x:c>
      <x:c r="AB79" s="12" t="n">
        <x:f>IF(Z79="","",(X79/_xlfn.MAXIFS($X:$X,$A:$A,A79))^0.3*(Y79/_xlfn.MAXIFS($Y:$Y,$A:$A,A79))^0.7)</x:f>
        <x:v>0.26441750219634513</x:v>
      </x:c>
      <x:c r="AC79" s="12" t="inlineStr">
        <x:is>
          <x:t xml:space="preserve">calculation baseline</x:t>
        </x:is>
      </x:c>
      <x:c r="AD79" t="str">
        <x:f>IF(OR(P79="",J79=""),"",P79*J79)</x:f>
      </x:c>
      <x:c r="AE79" t="str">
        <x:f>IF(OR(Q79="",J79=""),"",Q79*J79)</x:f>
      </x:c>
      <x:c r="AF79" t="n">
        <x:v>51</x:v>
      </x:c>
      <x:c r="AG79" t="n">
        <x:f>IF(OR(H79="",I79=""),"",H79*I79)</x:f>
        <x:v>1920</x:v>
      </x:c>
      <x:c r="AH79" t="n">
        <x:f>IF(OR(H79="",J79="",J79=0),"",H79/J79)</x:f>
        <x:v>17.877094972067038</x:v>
      </x:c>
    </x:row>
    <x:row r="80">
      <x:c r="A80" s="12" t="inlineStr">
        <x:is>
          <x:t xml:space="preserve">direct-api-20</x:t>
        </x:is>
      </x:c>
      <x:c r="B80" s="12" t="inlineStr">
        <x:is>
          <x:t xml:space="preserve">Direct API</x:t>
        </x:is>
      </x:c>
      <x:c r="C80" s="12" t="inlineStr">
        <x:is>
          <x:t xml:space="preserve">$20 API budget</x:t>
        </x:is>
      </x:c>
      <x:c r="D80" s="70" t="n">
        <x:v>20</x:v>
      </x:c>
      <x:c r="E80" s="12" t="inlineStr">
        <x:is>
          <x:t xml:space="preserve">Claude Sonnet 5</x:t>
        </x:is>
      </x:c>
      <x:c r="F80" s="12" t="inlineStr">
        <x:is>
          <x:t xml:space="preserve">max</x:t>
        </x:is>
      </x:c>
      <x:c r="G80" s="12" t="inlineStr">
        <x:is>
          <x:t xml:space="preserve">anthropic|claude-sonnet-5|max|reasoning|fallback-na</x:t>
        </x:is>
      </x:c>
      <x:c r="H80" s="12" t="n">
        <x:f>IF(AF80="","",INDEX(Rankings!$I:$I,AF80))</x:f>
        <x:v>38</x:v>
      </x:c>
      <x:c r="I80" s="12" t="n">
        <x:f>IF(AF80="","",INDEX(Rankings!$L:$L,AF80))</x:f>
        <x:v>83.9</x:v>
      </x:c>
      <x:c r="J80" s="12" t="n">
        <x:f>IF(AF80="","",INDEX(Rankings!$J:$J,AF80))</x:f>
        <x:v>5.09</x:v>
      </x:c>
      <x:c r="K80" s="12" t="str">
        <x:f>IF(AF80="","",INDEX(Rankings!$K:$K,AF80))</x:f>
      </x:c>
      <x:c r="L80" s="12" t="n"/>
      <x:c r="M80" s="12" t="n"/>
      <x:c r="N80" s="12" t="n">
        <x:v>20</x:v>
      </x:c>
      <x:c r="O80" s="12" t="n">
        <x:v>144</x:v>
      </x:c>
      <x:c r="P80" s="12" t="str">
        <x:f>IF(L80="","",L80*O80)</x:f>
      </x:c>
      <x:c r="Q80" s="12" t="str">
        <x:f>IF(M80="","",M80*O80)</x:f>
      </x:c>
      <x:c r="R80" s="70" t="n">
        <x:f>IF(N80="","",N80)</x:f>
        <x:v>20</x:v>
      </x:c>
      <x:c r="S80" s="70" t="n">
        <x:f>IF(N80="","",N80)</x:f>
        <x:v>20</x:v>
      </x:c>
      <x:c r="T80" s="12" t="inlineStr">
        <x:is>
          <x:t xml:space="preserve">published dollar cap / direct budget</x:t>
        </x:is>
      </x:c>
      <x:c r="U80" s="12" t="inlineStr">
        <x:is>
          <x:t xml:space="preserve">high</x:t>
        </x:is>
      </x:c>
      <x:c r="V80" s="71" t="n">
        <x:f>IF(OR(S80="",D80=0),"",S80/D80)</x:f>
        <x:v>1</x:v>
      </x:c>
      <x:c r="W80" s="12" t="n">
        <x:f>IF(OR(S80="",J80="",J80=0),"",S80/J80)</x:f>
        <x:v>3.9292730844793713</x:v>
      </x:c>
      <x:c r="X80" s="12" t="n">
        <x:f>IF(OR(H80="",V80=""),"",H80*V80)</x:f>
        <x:v>38</x:v>
      </x:c>
      <x:c r="Y80" s="12" t="n">
        <x:f>IF(OR(I80="",V80=""),"",I80*V80)</x:f>
        <x:v>83.9</x:v>
      </x:c>
      <x:c r="Z80" s="12" t="n">
        <x:f>IF(OR(X80="",Y80=""),"",SQRT((X80/_xlfn.MAXIFS($X:$X,$A:$A,A80))*(Y80/_xlfn.MAXIFS($Y:$Y,$A:$A,A80))))</x:f>
        <x:v>0.4204153722979712</x:v>
      </x:c>
      <x:c r="AA80" s="12" t="n">
        <x:f>IF(Z80="","",(X80/_xlfn.MAXIFS($X:$X,$A:$A,A80))^0.7*(Y80/_xlfn.MAXIFS($Y:$Y,$A:$A,A80))^0.3)</x:f>
        <x:v>0.5020528001770472</x:v>
      </x:c>
      <x:c r="AB80" s="12" t="n">
        <x:f>IF(Z80="","",(X80/_xlfn.MAXIFS($X:$X,$A:$A,A80))^0.3*(Y80/_xlfn.MAXIFS($Y:$Y,$A:$A,A80))^0.7)</x:f>
        <x:v>0.35205278250038996</x:v>
      </x:c>
      <x:c r="AC80" s="12" t="inlineStr">
        <x:is>
          <x:t xml:space="preserve">calculation baseline</x:t>
        </x:is>
      </x:c>
      <x:c r="AD80" t="str">
        <x:f>IF(OR(P80="",J80=""),"",P80*J80)</x:f>
      </x:c>
      <x:c r="AE80" t="str">
        <x:f>IF(OR(Q80="",J80=""),"",Q80*J80)</x:f>
      </x:c>
      <x:c r="AF80" t="n">
        <x:v>53</x:v>
      </x:c>
      <x:c r="AG80" t="n">
        <x:f>IF(OR(H80="",I80=""),"",H80*I80)</x:f>
        <x:v>3188.2000000000003</x:v>
      </x:c>
      <x:c r="AH80" t="n">
        <x:f>IF(OR(H80="",J80="",J80=0),"",H80/J80)</x:f>
        <x:v>7.465618860510806</x:v>
      </x:c>
    </x:row>
    <x:row r="81">
      <x:c r="A81" s="12" t="inlineStr">
        <x:is>
          <x:t xml:space="preserve">direct-api-20</x:t>
        </x:is>
      </x:c>
      <x:c r="B81" s="12" t="inlineStr">
        <x:is>
          <x:t xml:space="preserve">Direct API</x:t>
        </x:is>
      </x:c>
      <x:c r="C81" s="12" t="inlineStr">
        <x:is>
          <x:t xml:space="preserve">$20 API budget</x:t>
        </x:is>
      </x:c>
      <x:c r="D81" s="70" t="n">
        <x:v>20</x:v>
      </x:c>
      <x:c r="E81" s="12" t="inlineStr">
        <x:is>
          <x:t xml:space="preserve">Claude 4.5 Haiku</x:t>
        </x:is>
      </x:c>
      <x:c r="F81" s="12" t="inlineStr">
        <x:is>
          <x:t xml:space="preserve">reasoning</x:t>
        </x:is>
      </x:c>
      <x:c r="G81" s="12" t="inlineStr">
        <x:is>
          <x:t xml:space="preserve">anthropic|claude-4.5-haiku|reasoning|reasoning|fallback-na</x:t>
        </x:is>
      </x:c>
      <x:c r="H81" s="12" t="n">
        <x:f>IF(AF81="","",INDEX(Rankings!$I:$I,AF81))</x:f>
        <x:v>17</x:v>
      </x:c>
      <x:c r="I81" s="12" t="n">
        <x:f>IF(AF81="","",INDEX(Rankings!$L:$L,AF81))</x:f>
        <x:v>80.3</x:v>
      </x:c>
      <x:c r="J81" s="12" t="n">
        <x:f>IF(AF81="","",INDEX(Rankings!$J:$J,AF81))</x:f>
        <x:v>0.28</x:v>
      </x:c>
      <x:c r="K81" s="12" t="str">
        <x:f>IF(AF81="","",INDEX(Rankings!$K:$K,AF81))</x:f>
      </x:c>
      <x:c r="L81" s="12" t="n"/>
      <x:c r="M81" s="12" t="n"/>
      <x:c r="N81" s="12" t="n">
        <x:v>20</x:v>
      </x:c>
      <x:c r="O81" s="12" t="n">
        <x:v>144</x:v>
      </x:c>
      <x:c r="P81" s="12" t="str">
        <x:f>IF(L81="","",L81*O81)</x:f>
      </x:c>
      <x:c r="Q81" s="12" t="str">
        <x:f>IF(M81="","",M81*O81)</x:f>
      </x:c>
      <x:c r="R81" s="70" t="n">
        <x:f>IF(N81="","",N81)</x:f>
        <x:v>20</x:v>
      </x:c>
      <x:c r="S81" s="70" t="n">
        <x:f>IF(N81="","",N81)</x:f>
        <x:v>20</x:v>
      </x:c>
      <x:c r="T81" s="12" t="inlineStr">
        <x:is>
          <x:t xml:space="preserve">published dollar cap / direct budget</x:t>
        </x:is>
      </x:c>
      <x:c r="U81" s="12" t="inlineStr">
        <x:is>
          <x:t xml:space="preserve">high</x:t>
        </x:is>
      </x:c>
      <x:c r="V81" s="71" t="n">
        <x:f>IF(OR(S81="",D81=0),"",S81/D81)</x:f>
        <x:v>1</x:v>
      </x:c>
      <x:c r="W81" s="12" t="n">
        <x:f>IF(OR(S81="",J81="",J81=0),"",S81/J81)</x:f>
        <x:v>71.42857142857142</x:v>
      </x:c>
      <x:c r="X81" s="12" t="n">
        <x:f>IF(OR(H81="",V81=""),"",H81*V81)</x:f>
        <x:v>17</x:v>
      </x:c>
      <x:c r="Y81" s="12" t="n">
        <x:f>IF(OR(I81="",V81=""),"",I81*V81)</x:f>
        <x:v>80.3</x:v>
      </x:c>
      <x:c r="Z81" s="12" t="n">
        <x:f>IF(OR(X81="",Y81=""),"",SQRT((X81/_xlfn.MAXIFS($X:$X,$A:$A,A81))*(Y81/_xlfn.MAXIFS($Y:$Y,$A:$A,A81))))</x:f>
        <x:v>0.2750983857710984</x:v>
      </x:c>
      <x:c r="AA81" s="12" t="n">
        <x:f>IF(Z81="","",(X81/_xlfn.MAXIFS($X:$X,$A:$A,A81))^0.7*(Y81/_xlfn.MAXIFS($Y:$Y,$A:$A,A81))^0.3)</x:f>
        <x:v>0.2821637355813853</x:v>
      </x:c>
      <x:c r="AB81" s="12" t="n">
        <x:f>IF(Z81="","",(X81/_xlfn.MAXIFS($X:$X,$A:$A,A81))^0.3*(Y81/_xlfn.MAXIFS($Y:$Y,$A:$A,A81))^0.7)</x:f>
        <x:v>0.26820995156564237</x:v>
      </x:c>
      <x:c r="AC81" s="12" t="inlineStr">
        <x:is>
          <x:t xml:space="preserve">calculation baseline</x:t>
        </x:is>
      </x:c>
      <x:c r="AD81" t="str">
        <x:f>IF(OR(P81="",J81=""),"",P81*J81)</x:f>
      </x:c>
      <x:c r="AE81" t="str">
        <x:f>IF(OR(Q81="",J81=""),"",Q81*J81)</x:f>
      </x:c>
      <x:c r="AF81" t="n">
        <x:v>55</x:v>
      </x:c>
      <x:c r="AG81" t="n">
        <x:f>IF(OR(H81="",I81=""),"",H81*I81)</x:f>
        <x:v>1365.1</x:v>
      </x:c>
      <x:c r="AH81" t="n">
        <x:f>IF(OR(H81="",J81="",J81=0),"",H81/J81)</x:f>
        <x:v>60.71428571428571</x:v>
      </x:c>
    </x:row>
    <x:row r="82">
      <x:c r="A82" s="12" t="inlineStr">
        <x:is>
          <x:t xml:space="preserve">direct-api-20</x:t>
        </x:is>
      </x:c>
      <x:c r="B82" s="12" t="inlineStr">
        <x:is>
          <x:t xml:space="preserve">Direct API</x:t>
        </x:is>
      </x:c>
      <x:c r="C82" s="12" t="inlineStr">
        <x:is>
          <x:t xml:space="preserve">$20 API budget</x:t>
        </x:is>
      </x:c>
      <x:c r="D82" s="70" t="n">
        <x:v>20</x:v>
      </x:c>
      <x:c r="E82" s="12" t="inlineStr">
        <x:is>
          <x:t xml:space="preserve">GLM-5.3 Flash</x:t>
        </x:is>
      </x:c>
      <x:c r="F82" s="12" t="inlineStr">
        <x:is>
          <x:t xml:space="preserve">reasoning</x:t>
        </x:is>
      </x:c>
      <x:c r="G82" s="12" t="inlineStr">
        <x:is>
          <x:t xml:space="preserve">z-ai|glm-5.3-flash|reasoning|reasoning|fallback-na</x:t>
        </x:is>
      </x:c>
      <x:c r="H82" s="12" t="n">
        <x:f>IF(AF82="","",INDEX(Rankings!$I:$I,AF82))</x:f>
        <x:v>42</x:v>
      </x:c>
      <x:c r="I82" s="12" t="n">
        <x:f>IF(AF82="","",INDEX(Rankings!$L:$L,AF82))</x:f>
        <x:v>61</x:v>
      </x:c>
      <x:c r="J82" s="12" t="n">
        <x:f>IF(AF82="","",INDEX(Rankings!$J:$J,AF82))</x:f>
        <x:v>0.25</x:v>
      </x:c>
      <x:c r="K82" s="12" t="e">
        <x:f>IF(AF82="","",INDEX(Rankings!$K:$K,AF82))</x:f>
        <x:v>#REF!</x:v>
      </x:c>
      <x:c r="L82" s="12" t="n"/>
      <x:c r="M82" s="12" t="n"/>
      <x:c r="N82" s="12" t="n">
        <x:v>20</x:v>
      </x:c>
      <x:c r="O82" s="12" t="n">
        <x:v>144</x:v>
      </x:c>
      <x:c r="P82" s="12" t="str">
        <x:f>IF(L82="","",L82*O82)</x:f>
      </x:c>
      <x:c r="Q82" s="12" t="str">
        <x:f>IF(M82="","",M82*O82)</x:f>
      </x:c>
      <x:c r="R82" s="70" t="n">
        <x:f>IF(N82="","",N82)</x:f>
        <x:v>20</x:v>
      </x:c>
      <x:c r="S82" s="70" t="n">
        <x:f>IF(N82="","",N82)</x:f>
        <x:v>20</x:v>
      </x:c>
      <x:c r="T82" s="12" t="inlineStr">
        <x:is>
          <x:t xml:space="preserve">published dollar cap / direct budget</x:t>
        </x:is>
      </x:c>
      <x:c r="U82" s="12" t="inlineStr">
        <x:is>
          <x:t xml:space="preserve">high</x:t>
        </x:is>
      </x:c>
      <x:c r="V82" s="71" t="n">
        <x:f>IF(OR(S82="",D82=0),"",S82/D82)</x:f>
        <x:v>1</x:v>
      </x:c>
      <x:c r="W82" s="12" t="n">
        <x:f>IF(OR(S82="",J82="",J82=0),"",S82/J82)</x:f>
        <x:v>80</x:v>
      </x:c>
      <x:c r="X82" s="12" t="n">
        <x:f>IF(OR(H82="",V82=""),"",H82*V82)</x:f>
        <x:v>42</x:v>
      </x:c>
      <x:c r="Y82" s="12" t="n">
        <x:f>IF(OR(I82="",V82=""),"",I82*V82)</x:f>
        <x:v>61</x:v>
      </x:c>
      <x:c r="Z82" s="12" t="n">
        <x:f>IF(OR(X82="",Y82=""),"",SQRT((X82/_xlfn.MAXIFS($X:$X,$A:$A,A82))*(Y82/_xlfn.MAXIFS($Y:$Y,$A:$A,A82))))</x:f>
        <x:v>0.3768733008124672</x:v>
      </x:c>
      <x:c r="AA82" s="12" t="n">
        <x:f>IF(Z82="","",(X82/_xlfn.MAXIFS($X:$X,$A:$A,A82))^0.7*(Y82/_xlfn.MAXIFS($Y:$Y,$A:$A,A82))^0.3)</x:f>
        <x:v>0.4893794647114013</x:v>
      </x:c>
      <x:c r="AB82" s="12" t="n">
        <x:f>IF(Z82="","",(X82/_xlfn.MAXIFS($X:$X,$A:$A,A82))^0.3*(Y82/_xlfn.MAXIFS($Y:$Y,$A:$A,A82))^0.7)</x:f>
        <x:v>0.29023180396227893</x:v>
      </x:c>
      <x:c r="AC82" s="12" t="inlineStr">
        <x:is>
          <x:t xml:space="preserve">calculation baseline</x:t>
        </x:is>
      </x:c>
      <x:c r="AD82" t="str">
        <x:f>IF(OR(P82="",J82=""),"",P82*J82)</x:f>
      </x:c>
      <x:c r="AE82" t="str">
        <x:f>IF(OR(Q82="",J82=""),"",Q82*J82)</x:f>
      </x:c>
      <x:c r="AF82" t="n">
        <x:v>104</x:v>
      </x:c>
      <x:c r="AG82" t="n">
        <x:f>IF(OR(H82="",I82=""),"",H82*I82)</x:f>
        <x:v>2562</x:v>
      </x:c>
      <x:c r="AH82" t="n">
        <x:f>IF(OR(H82="",J82="",J82=0),"",H82/J82)</x:f>
        <x:v>168</x:v>
      </x:c>
    </x:row>
    <x:row r="83">
      <x:c r="A83" s="12" t="inlineStr">
        <x:is>
          <x:t xml:space="preserve">direct-api-20</x:t>
        </x:is>
      </x:c>
      <x:c r="B83" s="12" t="inlineStr">
        <x:is>
          <x:t xml:space="preserve">Direct API</x:t>
        </x:is>
      </x:c>
      <x:c r="C83" s="12" t="inlineStr">
        <x:is>
          <x:t xml:space="preserve">$20 API budget</x:t>
        </x:is>
      </x:c>
      <x:c r="D83" s="70" t="n">
        <x:v>20</x:v>
      </x:c>
      <x:c r="E83" s="12" t="inlineStr">
        <x:is>
          <x:t xml:space="preserve">Qwen3.8-Flash-Next</x:t>
        </x:is>
      </x:c>
      <x:c r="F83" s="12" t="inlineStr">
        <x:is>
          <x:t xml:space="preserve">reasoning</x:t>
        </x:is>
      </x:c>
      <x:c r="G83" s="12" t="inlineStr">
        <x:is>
          <x:t xml:space="preserve">alibaba|qwen3.8-flash-next|reasoning|reasoning|fallback-na</x:t>
        </x:is>
      </x:c>
      <x:c r="H83" s="12" t="n">
        <x:f>IF(AF83="","",INDEX(Rankings!$I:$I,AF83))</x:f>
        <x:v>40</x:v>
      </x:c>
      <x:c r="I83" s="12" t="n">
        <x:f>IF(AF83="","",INDEX(Rankings!$L:$L,AF83))</x:f>
        <x:v>57</x:v>
      </x:c>
      <x:c r="J83" s="12" t="n">
        <x:f>IF(AF83="","",INDEX(Rankings!$J:$J,AF83))</x:f>
        <x:v>0.37</x:v>
      </x:c>
      <x:c r="K83" s="12" t="n">
        <x:f>IF(AF83="","",INDEX(Rankings!$K:$K,AF83))</x:f>
        <x:v>1662.06</x:v>
      </x:c>
      <x:c r="L83" s="12" t="n"/>
      <x:c r="M83" s="12" t="n"/>
      <x:c r="N83" s="12" t="n">
        <x:v>20</x:v>
      </x:c>
      <x:c r="O83" s="12" t="n">
        <x:v>144</x:v>
      </x:c>
      <x:c r="P83" s="12" t="str">
        <x:f>IF(L83="","",L83*O83)</x:f>
      </x:c>
      <x:c r="Q83" s="12" t="str">
        <x:f>IF(M83="","",M83*O83)</x:f>
      </x:c>
      <x:c r="R83" s="70" t="n">
        <x:f>IF(N83="","",N83)</x:f>
        <x:v>20</x:v>
      </x:c>
      <x:c r="S83" s="70" t="n">
        <x:f>IF(N83="","",N83)</x:f>
        <x:v>20</x:v>
      </x:c>
      <x:c r="T83" s="12" t="inlineStr">
        <x:is>
          <x:t xml:space="preserve">published dollar cap / direct budget</x:t>
        </x:is>
      </x:c>
      <x:c r="U83" s="12" t="inlineStr">
        <x:is>
          <x:t xml:space="preserve">high</x:t>
        </x:is>
      </x:c>
      <x:c r="V83" s="71" t="n">
        <x:f>IF(OR(S83="",D83=0),"",S83/D83)</x:f>
        <x:v>1</x:v>
      </x:c>
      <x:c r="W83" s="12" t="n">
        <x:f>IF(OR(S83="",J83="",J83=0),"",S83/J83)</x:f>
        <x:v>54.054054054054056</x:v>
      </x:c>
      <x:c r="X83" s="12" t="n">
        <x:f>IF(OR(H83="",V83=""),"",H83*V83)</x:f>
        <x:v>40</x:v>
      </x:c>
      <x:c r="Y83" s="12" t="n">
        <x:f>IF(OR(I83="",V83=""),"",I83*V83)</x:f>
        <x:v>57</x:v>
      </x:c>
      <x:c r="Z83" s="12" t="n">
        <x:f>IF(OR(X83="",Y83=""),"",SQRT((X83/_xlfn.MAXIFS($X:$X,$A:$A,A83))*(Y83/_xlfn.MAXIFS($Y:$Y,$A:$A,A83))))</x:f>
        <x:v>0.3555275271997096</x:v>
      </x:c>
      <x:c r="AA83" s="12" t="n">
        <x:f>IF(Z83="","",(X83/_xlfn.MAXIFS($X:$X,$A:$A,A83))^0.7*(Y83/_xlfn.MAXIFS($Y:$Y,$A:$A,A83))^0.3)</x:f>
        <x:v>0.4634220973747979</x:v>
      </x:c>
      <x:c r="AB83" s="12" t="n">
        <x:f>IF(Z83="","",(X83/_xlfn.MAXIFS($X:$X,$A:$A,A83))^0.3*(Y83/_xlfn.MAXIFS($Y:$Y,$A:$A,A83))^0.7)</x:f>
        <x:v>0.2727531192680977</x:v>
      </x:c>
      <x:c r="AC83" s="12" t="inlineStr">
        <x:is>
          <x:t xml:space="preserve">calculation baseline</x:t>
        </x:is>
      </x:c>
      <x:c r="AD83" t="str">
        <x:f>IF(OR(P83="",J83=""),"",P83*J83)</x:f>
      </x:c>
      <x:c r="AE83" t="str">
        <x:f>IF(OR(Q83="",J83=""),"",Q83*J83)</x:f>
      </x:c>
      <x:c r="AF83" t="n">
        <x:v>59</x:v>
      </x:c>
      <x:c r="AG83" t="n">
        <x:f>IF(OR(H83="",I83=""),"",H83*I83)</x:f>
        <x:v>2280</x:v>
      </x:c>
      <x:c r="AH83" t="n">
        <x:f>IF(OR(H83="",J83="",J83=0),"",H83/J83)</x:f>
        <x:v>108.10810810810811</x:v>
      </x:c>
    </x:row>
    <x:row r="84">
      <x:c r="A84" s="12" t="inlineStr">
        <x:is>
          <x:t xml:space="preserve">direct-api-20</x:t>
        </x:is>
      </x:c>
      <x:c r="B84" s="12" t="inlineStr">
        <x:is>
          <x:t xml:space="preserve">Direct API</x:t>
        </x:is>
      </x:c>
      <x:c r="C84" s="12" t="inlineStr">
        <x:is>
          <x:t xml:space="preserve">$20 API budget</x:t>
        </x:is>
      </x:c>
      <x:c r="D84" s="70" t="n">
        <x:v>20</x:v>
      </x:c>
      <x:c r="E84" s="12" t="inlineStr">
        <x:is>
          <x:t xml:space="preserve">MiMo-V2.6-Flash</x:t>
        </x:is>
      </x:c>
      <x:c r="F84" s="12" t="inlineStr">
        <x:is>
          <x:t xml:space="preserve">reasoning</x:t>
        </x:is>
      </x:c>
      <x:c r="G84" s="12" t="inlineStr">
        <x:is>
          <x:t xml:space="preserve">xiaomi|mimo-v2.6-flash|reasoning|reasoning|fallback-na</x:t>
        </x:is>
      </x:c>
      <x:c r="H84" s="12" t="n">
        <x:f>IF(AF84="","",INDEX(Rankings!$I:$I,AF84))</x:f>
        <x:v>38</x:v>
      </x:c>
      <x:c r="I84" s="12" t="n">
        <x:f>IF(AF84="","",INDEX(Rankings!$L:$L,AF84))</x:f>
        <x:v>49</x:v>
      </x:c>
      <x:c r="J84" s="12" t="n">
        <x:f>IF(AF84="","",INDEX(Rankings!$J:$J,AF84))</x:f>
        <x:v>0.06</x:v>
      </x:c>
      <x:c r="K84" s="12" t="e">
        <x:f>IF(AF84="","",INDEX(Rankings!$K:$K,AF84))</x:f>
        <x:v>#REF!</x:v>
      </x:c>
      <x:c r="L84" s="12" t="n"/>
      <x:c r="M84" s="12" t="n"/>
      <x:c r="N84" s="12" t="n">
        <x:v>20</x:v>
      </x:c>
      <x:c r="O84" s="12" t="n">
        <x:v>144</x:v>
      </x:c>
      <x:c r="P84" s="12" t="str">
        <x:f>IF(L84="","",L84*O84)</x:f>
      </x:c>
      <x:c r="Q84" s="12" t="str">
        <x:f>IF(M84="","",M84*O84)</x:f>
      </x:c>
      <x:c r="R84" s="70" t="n">
        <x:f>IF(N84="","",N84)</x:f>
        <x:v>20</x:v>
      </x:c>
      <x:c r="S84" s="70" t="n">
        <x:f>IF(N84="","",N84)</x:f>
        <x:v>20</x:v>
      </x:c>
      <x:c r="T84" s="12" t="inlineStr">
        <x:is>
          <x:t xml:space="preserve">published dollar cap / direct budget</x:t>
        </x:is>
      </x:c>
      <x:c r="U84" s="12" t="inlineStr">
        <x:is>
          <x:t xml:space="preserve">high</x:t>
        </x:is>
      </x:c>
      <x:c r="V84" s="71" t="n">
        <x:f>IF(OR(S84="",D84=0),"",S84/D84)</x:f>
        <x:v>1</x:v>
      </x:c>
      <x:c r="W84" s="12" t="n">
        <x:f>IF(OR(S84="",J84="",J84=0),"",S84/J84)</x:f>
        <x:v>333.33333333333337</x:v>
      </x:c>
      <x:c r="X84" s="12" t="n">
        <x:f>IF(OR(H84="",V84=""),"",H84*V84)</x:f>
        <x:v>38</x:v>
      </x:c>
      <x:c r="Y84" s="12" t="n">
        <x:f>IF(OR(I84="",V84=""),"",I84*V84)</x:f>
        <x:v>49</x:v>
      </x:c>
      <x:c r="Z84" s="12" t="n">
        <x:f>IF(OR(X84="",Y84=""),"",SQRT((X84/_xlfn.MAXIFS($X:$X,$A:$A,A84))*(Y84/_xlfn.MAXIFS($Y:$Y,$A:$A,A84))))</x:f>
        <x:v>0.32128884479131525</x:v>
      </x:c>
      <x:c r="AA84" s="12" t="n">
        <x:f>IF(Z84="","",(X84/_xlfn.MAXIFS($X:$X,$A:$A,A84))^0.7*(Y84/_xlfn.MAXIFS($Y:$Y,$A:$A,A84))^0.3)</x:f>
        <x:v>0.42724759766196374</x:v>
      </x:c>
      <x:c r="AB84" s="12" t="n">
        <x:f>IF(Z84="","",(X84/_xlfn.MAXIFS($X:$X,$A:$A,A84))^0.3*(Y84/_xlfn.MAXIFS($Y:$Y,$A:$A,A84))^0.7)</x:f>
        <x:v>0.2416081971021641</x:v>
      </x:c>
      <x:c r="AC84" s="12" t="inlineStr">
        <x:is>
          <x:t xml:space="preserve">calculation baseline</x:t>
        </x:is>
      </x:c>
      <x:c r="AD84" t="str">
        <x:f>IF(OR(P84="",J84=""),"",P84*J84)</x:f>
      </x:c>
      <x:c r="AE84" t="str">
        <x:f>IF(OR(Q84="",J84=""),"",Q84*J84)</x:f>
      </x:c>
      <x:c r="AF84" t="n">
        <x:v>108</x:v>
      </x:c>
      <x:c r="AG84" t="n">
        <x:f>IF(OR(H84="",I84=""),"",H84*I84)</x:f>
        <x:v>1862</x:v>
      </x:c>
      <x:c r="AH84" t="n">
        <x:f>IF(OR(H84="",J84="",J84=0),"",H84/J84)</x:f>
        <x:v>633.3333333333334</x:v>
      </x:c>
    </x:row>
    <x:row r="85">
      <x:c r="A85" s="12" t="inlineStr">
        <x:is>
          <x:t xml:space="preserve">direct-api-20</x:t>
        </x:is>
      </x:c>
      <x:c r="B85" s="12" t="inlineStr">
        <x:is>
          <x:t xml:space="preserve">Direct API</x:t>
        </x:is>
      </x:c>
      <x:c r="C85" s="12" t="inlineStr">
        <x:is>
          <x:t xml:space="preserve">$20 API budget</x:t>
        </x:is>
      </x:c>
      <x:c r="D85" s="70" t="n">
        <x:v>20</x:v>
      </x:c>
      <x:c r="E85" s="12" t="inlineStr">
        <x:is>
          <x:t xml:space="preserve">MiniMax-M3</x:t>
        </x:is>
      </x:c>
      <x:c r="F85" s="12" t="inlineStr">
        <x:is>
          <x:t xml:space="preserve">reasoning</x:t>
        </x:is>
      </x:c>
      <x:c r="G85" s="12" t="inlineStr">
        <x:is>
          <x:t xml:space="preserve">minimax|minimax-m3|reasoning|reasoning|fallback-na</x:t>
        </x:is>
      </x:c>
      <x:c r="H85" s="12" t="n">
        <x:f>IF(AF85="","",INDEX(Rankings!$I:$I,AF85))</x:f>
        <x:v>29</x:v>
      </x:c>
      <x:c r="I85" s="12" t="n">
        <x:f>IF(AF85="","",INDEX(Rankings!$L:$L,AF85))</x:f>
        <x:v>174</x:v>
      </x:c>
      <x:c r="J85" s="12" t="n">
        <x:f>IF(AF85="","",INDEX(Rankings!$J:$J,AF85))</x:f>
        <x:v>0.51</x:v>
      </x:c>
      <x:c r="K85" s="12" t="n">
        <x:f>IF(AF85="","",INDEX(Rankings!$K:$K,AF85))</x:f>
        <x:v>295.4</x:v>
      </x:c>
      <x:c r="L85" s="12" t="n"/>
      <x:c r="M85" s="12" t="n"/>
      <x:c r="N85" s="12" t="n">
        <x:v>20</x:v>
      </x:c>
      <x:c r="O85" s="12" t="n">
        <x:v>144</x:v>
      </x:c>
      <x:c r="P85" s="12" t="str">
        <x:f>IF(L85="","",L85*O85)</x:f>
      </x:c>
      <x:c r="Q85" s="12" t="str">
        <x:f>IF(M85="","",M85*O85)</x:f>
      </x:c>
      <x:c r="R85" s="70" t="n">
        <x:f>IF(N85="","",N85)</x:f>
        <x:v>20</x:v>
      </x:c>
      <x:c r="S85" s="70" t="n">
        <x:f>IF(N85="","",N85)</x:f>
        <x:v>20</x:v>
      </x:c>
      <x:c r="T85" s="12" t="inlineStr">
        <x:is>
          <x:t xml:space="preserve">published dollar cap / direct budget</x:t>
        </x:is>
      </x:c>
      <x:c r="U85" s="12" t="inlineStr">
        <x:is>
          <x:t xml:space="preserve">high</x:t>
        </x:is>
      </x:c>
      <x:c r="V85" s="71" t="n">
        <x:f>IF(OR(S85="",D85=0),"",S85/D85)</x:f>
        <x:v>1</x:v>
      </x:c>
      <x:c r="W85" s="12" t="n">
        <x:f>IF(OR(S85="",J85="",J85=0),"",S85/J85)</x:f>
        <x:v>39.21568627450981</x:v>
      </x:c>
      <x:c r="X85" s="12" t="n">
        <x:f>IF(OR(H85="",V85=""),"",H85*V85)</x:f>
        <x:v>29</x:v>
      </x:c>
      <x:c r="Y85" s="12" t="n">
        <x:f>IF(OR(I85="",V85=""),"",I85*V85)</x:f>
        <x:v>174</x:v>
      </x:c>
      <x:c r="Z85" s="12" t="n">
        <x:f>IF(OR(X85="",Y85=""),"",SQRT((X85/_xlfn.MAXIFS($X:$X,$A:$A,A85))*(Y85/_xlfn.MAXIFS($Y:$Y,$A:$A,A85))))</x:f>
        <x:v>0.5289071423920383</x:v>
      </x:c>
      <x:c r="AA85" s="12" t="n">
        <x:f>IF(Z85="","",(X85/_xlfn.MAXIFS($X:$X,$A:$A,A85))^0.7*(Y85/_xlfn.MAXIFS($Y:$Y,$A:$A,A85))^0.3)</x:f>
        <x:v>0.5171489661545488</x:v>
      </x:c>
      <x:c r="AB85" s="12" t="n">
        <x:f>IF(Z85="","",(X85/_xlfn.MAXIFS($X:$X,$A:$A,A85))^0.3*(Y85/_xlfn.MAXIFS($Y:$Y,$A:$A,A85))^0.7)</x:f>
        <x:v>0.5409326588302827</x:v>
      </x:c>
      <x:c r="AC85" s="12" t="inlineStr">
        <x:is>
          <x:t xml:space="preserve">calculation baseline</x:t>
        </x:is>
      </x:c>
      <x:c r="AD85" t="str">
        <x:f>IF(OR(P85="",J85=""),"",P85*J85)</x:f>
      </x:c>
      <x:c r="AE85" t="str">
        <x:f>IF(OR(Q85="",J85=""),"",Q85*J85)</x:f>
      </x:c>
      <x:c r="AF85" t="n">
        <x:v>61</x:v>
      </x:c>
      <x:c r="AG85" t="n">
        <x:f>IF(OR(H85="",I85=""),"",H85*I85)</x:f>
        <x:v>5046</x:v>
      </x:c>
      <x:c r="AH85" t="n">
        <x:f>IF(OR(H85="",J85="",J85=0),"",H85/J85)</x:f>
        <x:v>56.86274509803921</x:v>
      </x:c>
    </x:row>
    <x:row r="86">
      <x:c r="A86" s="12" t="inlineStr">
        <x:is>
          <x:t xml:space="preserve">direct-api-20</x:t>
        </x:is>
      </x:c>
      <x:c r="B86" s="12" t="inlineStr">
        <x:is>
          <x:t xml:space="preserve">Direct API</x:t>
        </x:is>
      </x:c>
      <x:c r="C86" s="12" t="inlineStr">
        <x:is>
          <x:t xml:space="preserve">$20 API budget</x:t>
        </x:is>
      </x:c>
      <x:c r="D86" s="70" t="n">
        <x:v>20</x:v>
      </x:c>
      <x:c r="E86" s="12" t="inlineStr">
        <x:is>
          <x:t xml:space="preserve">Muse Spark 1.3</x:t>
        </x:is>
      </x:c>
      <x:c r="F86" s="12" t="inlineStr">
        <x:is>
          <x:t xml:space="preserve">xhigh</x:t>
        </x:is>
      </x:c>
      <x:c r="G86" s="12" t="inlineStr">
        <x:is>
          <x:t xml:space="preserve">meta|muse-spark-1.3|xhigh|reasoning|fallback-na</x:t>
        </x:is>
      </x:c>
      <x:c r="H86" s="12" t="n">
        <x:f>IF(AF86="","",INDEX(Rankings!$I:$I,AF86))</x:f>
        <x:v>45</x:v>
      </x:c>
      <x:c r="I86" s="12" t="n">
        <x:f>IF(AF86="","",INDEX(Rankings!$L:$L,AF86))</x:f>
        <x:v>196</x:v>
      </x:c>
      <x:c r="J86" s="12" t="n">
        <x:f>IF(AF86="","",INDEX(Rankings!$J:$J,AF86))</x:f>
        <x:v>1.37</x:v>
      </x:c>
      <x:c r="K86" s="12" t="str">
        <x:f>IF(AF86="","",INDEX(Rankings!$K:$K,AF86))</x:f>
      </x:c>
      <x:c r="L86" s="12" t="n"/>
      <x:c r="M86" s="12" t="n"/>
      <x:c r="N86" s="12" t="n">
        <x:v>20</x:v>
      </x:c>
      <x:c r="O86" s="12" t="n">
        <x:v>144</x:v>
      </x:c>
      <x:c r="P86" s="12" t="str">
        <x:f>IF(L86="","",L86*O86)</x:f>
      </x:c>
      <x:c r="Q86" s="12" t="str">
        <x:f>IF(M86="","",M86*O86)</x:f>
      </x:c>
      <x:c r="R86" s="70" t="n">
        <x:f>IF(N86="","",N86)</x:f>
        <x:v>20</x:v>
      </x:c>
      <x:c r="S86" s="70" t="n">
        <x:f>IF(N86="","",N86)</x:f>
        <x:v>20</x:v>
      </x:c>
      <x:c r="T86" s="12" t="inlineStr">
        <x:is>
          <x:t xml:space="preserve">published dollar cap / direct budget</x:t>
        </x:is>
      </x:c>
      <x:c r="U86" s="12" t="inlineStr">
        <x:is>
          <x:t xml:space="preserve">high</x:t>
        </x:is>
      </x:c>
      <x:c r="V86" s="71" t="n">
        <x:f>IF(OR(S86="",D86=0),"",S86/D86)</x:f>
        <x:v>1</x:v>
      </x:c>
      <x:c r="W86" s="12" t="n">
        <x:f>IF(OR(S86="",J86="",J86=0),"",S86/J86)</x:f>
        <x:v>14.5985401459854</x:v>
      </x:c>
      <x:c r="X86" s="12" t="n">
        <x:f>IF(OR(H86="",V86=""),"",H86*V86)</x:f>
        <x:v>45</x:v>
      </x:c>
      <x:c r="Y86" s="12" t="n">
        <x:f>IF(OR(I86="",V86=""),"",I86*V86)</x:f>
        <x:v>196</x:v>
      </x:c>
      <x:c r="Z86" s="12" t="n">
        <x:f>IF(OR(X86="",Y86=""),"",SQRT((X86/_xlfn.MAXIFS($X:$X,$A:$A,A86))*(Y86/_xlfn.MAXIFS($Y:$Y,$A:$A,A86))))</x:f>
        <x:v>0.6992622789641427</x:v>
      </x:c>
      <x:c r="AA86" s="12" t="n">
        <x:f>IF(Z86="","",(X86/_xlfn.MAXIFS($X:$X,$A:$A,A86))^0.7*(Y86/_xlfn.MAXIFS($Y:$Y,$A:$A,A86))^0.3)</x:f>
        <x:v>0.7289502157717259</x:v>
      </x:c>
      <x:c r="AB86" s="12" t="n">
        <x:f>IF(Z86="","",(X86/_xlfn.MAXIFS($X:$X,$A:$A,A86))^0.3*(Y86/_xlfn.MAXIFS($Y:$Y,$A:$A,A86))^0.7)</x:f>
        <x:v>0.6707834420001724</x:v>
      </x:c>
      <x:c r="AC86" s="12" t="inlineStr">
        <x:is>
          <x:t xml:space="preserve">calculation baseline</x:t>
        </x:is>
      </x:c>
      <x:c r="AD86" t="str">
        <x:f>IF(OR(P86="",J86=""),"",P86*J86)</x:f>
      </x:c>
      <x:c r="AE86" t="str">
        <x:f>IF(OR(Q86="",J86=""),"",Q86*J86)</x:f>
      </x:c>
      <x:c r="AF86" t="n">
        <x:v>62</x:v>
      </x:c>
      <x:c r="AG86" t="n">
        <x:f>IF(OR(H86="",I86=""),"",H86*I86)</x:f>
        <x:v>8820</x:v>
      </x:c>
      <x:c r="AH86" t="n">
        <x:f>IF(OR(H86="",J86="",J86=0),"",H86/J86)</x:f>
        <x:v>32.84671532846715</x:v>
      </x:c>
    </x:row>
    <x:row r="87">
      <x:c r="A87" s="12" t="inlineStr">
        <x:is>
          <x:t xml:space="preserve">direct-api-20</x:t>
        </x:is>
      </x:c>
      <x:c r="B87" s="12" t="inlineStr">
        <x:is>
          <x:t xml:space="preserve">Direct API</x:t>
        </x:is>
      </x:c>
      <x:c r="C87" s="12" t="inlineStr">
        <x:is>
          <x:t xml:space="preserve">$20 API budget</x:t>
        </x:is>
      </x:c>
      <x:c r="D87" s="70" t="n">
        <x:v>20</x:v>
      </x:c>
      <x:c r="E87" s="12" t="inlineStr">
        <x:is>
          <x:t xml:space="preserve">Muse Spark 1.3</x:t>
        </x:is>
      </x:c>
      <x:c r="F87" s="12" t="inlineStr">
        <x:is>
          <x:t xml:space="preserve">max</x:t>
        </x:is>
      </x:c>
      <x:c r="G87" s="12" t="inlineStr">
        <x:is>
          <x:t xml:space="preserve">meta|muse-spark-1.3|max|reasoning|fallback-na</x:t>
        </x:is>
      </x:c>
      <x:c r="H87" s="12" t="n">
        <x:f>IF(AF87="","",INDEX(Rankings!$I:$I,AF87))</x:f>
        <x:v>48</x:v>
      </x:c>
      <x:c r="I87" s="12" t="n">
        <x:f>IF(AF87="","",INDEX(Rankings!$L:$L,AF87))</x:f>
        <x:v>210</x:v>
      </x:c>
      <x:c r="J87" s="12" t="n">
        <x:f>IF(AF87="","",INDEX(Rankings!$J:$J,AF87))</x:f>
        <x:v>1.6</x:v>
      </x:c>
      <x:c r="K87" s="12" t="n">
        <x:f>IF(AF87="","",INDEX(Rankings!$K:$K,AF87))</x:f>
        <x:v>312.77</x:v>
      </x:c>
      <x:c r="L87" s="12" t="n"/>
      <x:c r="M87" s="12" t="n"/>
      <x:c r="N87" s="12" t="n">
        <x:v>20</x:v>
      </x:c>
      <x:c r="O87" s="12" t="n">
        <x:v>144</x:v>
      </x:c>
      <x:c r="P87" s="12" t="str">
        <x:f>IF(L87="","",L87*O87)</x:f>
      </x:c>
      <x:c r="Q87" s="12" t="str">
        <x:f>IF(M87="","",M87*O87)</x:f>
      </x:c>
      <x:c r="R87" s="70" t="n">
        <x:f>IF(N87="","",N87)</x:f>
        <x:v>20</x:v>
      </x:c>
      <x:c r="S87" s="70" t="n">
        <x:f>IF(N87="","",N87)</x:f>
        <x:v>20</x:v>
      </x:c>
      <x:c r="T87" s="12" t="inlineStr">
        <x:is>
          <x:t xml:space="preserve">published dollar cap / direct budget</x:t>
        </x:is>
      </x:c>
      <x:c r="U87" s="12" t="inlineStr">
        <x:is>
          <x:t xml:space="preserve">high</x:t>
        </x:is>
      </x:c>
      <x:c r="V87" s="71" t="n">
        <x:f>IF(OR(S87="",D87=0),"",S87/D87)</x:f>
        <x:v>1</x:v>
      </x:c>
      <x:c r="W87" s="12" t="n">
        <x:f>IF(OR(S87="",J87="",J87=0),"",S87/J87)</x:f>
        <x:v>12.5</x:v>
      </x:c>
      <x:c r="X87" s="12" t="n">
        <x:f>IF(OR(H87="",V87=""),"",H87*V87)</x:f>
        <x:v>48</x:v>
      </x:c>
      <x:c r="Y87" s="12" t="n">
        <x:f>IF(OR(I87="",V87=""),"",I87*V87)</x:f>
        <x:v>210</x:v>
      </x:c>
      <x:c r="Z87" s="12" t="n">
        <x:f>IF(OR(X87="",Y87=""),"",SQRT((X87/_xlfn.MAXIFS($X:$X,$A:$A,A87))*(Y87/_xlfn.MAXIFS($Y:$Y,$A:$A,A87))))</x:f>
        <x:v>0.7475428203938759</x:v>
      </x:c>
      <x:c r="AA87" s="12" t="n">
        <x:f>IF(Z87="","",(X87/_xlfn.MAXIFS($X:$X,$A:$A,A87))^0.7*(Y87/_xlfn.MAXIFS($Y:$Y,$A:$A,A87))^0.3)</x:f>
        <x:v>0.7785866312571252</x:v>
      </x:c>
      <x:c r="AB87" s="12" t="n">
        <x:f>IF(Z87="","",(X87/_xlfn.MAXIFS($X:$X,$A:$A,A87))^0.3*(Y87/_xlfn.MAXIFS($Y:$Y,$A:$A,A87))^0.7)</x:f>
        <x:v>0.7177367885448346</x:v>
      </x:c>
      <x:c r="AC87" s="12" t="inlineStr">
        <x:is>
          <x:t xml:space="preserve">calculation baseline</x:t>
        </x:is>
      </x:c>
      <x:c r="AD87" t="str">
        <x:f>IF(OR(P87="",J87=""),"",P87*J87)</x:f>
      </x:c>
      <x:c r="AE87" t="str">
        <x:f>IF(OR(Q87="",J87=""),"",Q87*J87)</x:f>
      </x:c>
      <x:c r="AF87" t="n">
        <x:v>63</x:v>
      </x:c>
      <x:c r="AG87" t="n">
        <x:f>IF(OR(H87="",I87=""),"",H87*I87)</x:f>
        <x:v>10080</x:v>
      </x:c>
      <x:c r="AH87" t="n">
        <x:f>IF(OR(H87="",J87="",J87=0),"",H87/J87)</x:f>
        <x:v>30</x:v>
      </x:c>
    </x:row>
    <x:row r="88">
      <x:c r="A88" s="12" t="inlineStr">
        <x:is>
          <x:t xml:space="preserve">direct-api-20</x:t>
        </x:is>
      </x:c>
      <x:c r="B88" s="12" t="inlineStr">
        <x:is>
          <x:t xml:space="preserve">Direct API</x:t>
        </x:is>
      </x:c>
      <x:c r="C88" s="12" t="inlineStr">
        <x:is>
          <x:t xml:space="preserve">$20 API budget</x:t>
        </x:is>
      </x:c>
      <x:c r="D88" s="70" t="n">
        <x:v>20</x:v>
      </x:c>
      <x:c r="E88" s="12" t="inlineStr">
        <x:is>
          <x:t xml:space="preserve">Gemini 3.8 Flash</x:t>
        </x:is>
      </x:c>
      <x:c r="F88" s="12" t="inlineStr">
        <x:is>
          <x:t xml:space="preserve">medium</x:t>
        </x:is>
      </x:c>
      <x:c r="G88" s="12" t="inlineStr">
        <x:is>
          <x:t xml:space="preserve">google|gemini-3.8-flash|medium|reasoning|fallback-na</x:t>
        </x:is>
      </x:c>
      <x:c r="H88" s="12" t="n">
        <x:f>IF(AF88="","",INDEX(Rankings!$I:$I,AF88))</x:f>
        <x:v>40</x:v>
      </x:c>
      <x:c r="I88" s="12" t="str">
        <x:f>IF(AF88="","",INDEX(Rankings!$L:$L,AF88))</x:f>
      </x:c>
      <x:c r="J88" s="12" t="n">
        <x:f>IF(AF88="","",INDEX(Rankings!$J:$J,AF88))</x:f>
        <x:v>0.93</x:v>
      </x:c>
      <x:c r="K88" s="12" t="str">
        <x:f>IF(AF88="","",INDEX(Rankings!$K:$K,AF88))</x:f>
      </x:c>
      <x:c r="L88" s="12" t="n"/>
      <x:c r="M88" s="12" t="n"/>
      <x:c r="N88" s="12" t="n">
        <x:v>20</x:v>
      </x:c>
      <x:c r="O88" s="12" t="n">
        <x:v>144</x:v>
      </x:c>
      <x:c r="P88" s="12" t="str">
        <x:f>IF(L88="","",L88*O88)</x:f>
      </x:c>
      <x:c r="Q88" s="12" t="str">
        <x:f>IF(M88="","",M88*O88)</x:f>
      </x:c>
      <x:c r="R88" s="70" t="n">
        <x:f>IF(N88="","",N88)</x:f>
        <x:v>20</x:v>
      </x:c>
      <x:c r="S88" s="70" t="n">
        <x:f>IF(N88="","",N88)</x:f>
        <x:v>20</x:v>
      </x:c>
      <x:c r="T88" s="12" t="inlineStr">
        <x:is>
          <x:t xml:space="preserve">published dollar cap / direct budget</x:t>
        </x:is>
      </x:c>
      <x:c r="U88" s="12" t="inlineStr">
        <x:is>
          <x:t xml:space="preserve">high</x:t>
        </x:is>
      </x:c>
      <x:c r="V88" s="71" t="n">
        <x:f>IF(OR(S88="",D88=0),"",S88/D88)</x:f>
        <x:v>1</x:v>
      </x:c>
      <x:c r="W88" s="12" t="n">
        <x:f>IF(OR(S88="",J88="",J88=0),"",S88/J88)</x:f>
        <x:v>21.50537634408602</x:v>
      </x:c>
      <x:c r="X88" s="12" t="n">
        <x:f>IF(OR(H88="",V88=""),"",H88*V88)</x:f>
        <x:v>40</x:v>
      </x:c>
      <x:c r="Y88" s="12" t="str">
        <x:f>IF(OR(I88="",V88=""),"",I88*V88)</x:f>
      </x:c>
      <x:c r="Z88" s="12" t="str">
        <x:f>IF(OR(X88="",Y88=""),"",SQRT((X88/_xlfn.MAXIFS($X:$X,$A:$A,A88))*(Y88/_xlfn.MAXIFS($Y:$Y,$A:$A,A88))))</x:f>
      </x:c>
      <x:c r="AA88" s="12" t="str">
        <x:f>IF(Z88="","",(X88/_xlfn.MAXIFS($X:$X,$A:$A,A88))^0.7*(Y88/_xlfn.MAXIFS($Y:$Y,$A:$A,A88))^0.3)</x:f>
      </x:c>
      <x:c r="AB88" s="12" t="str">
        <x:f>IF(Z88="","",(X88/_xlfn.MAXIFS($X:$X,$A:$A,A88))^0.3*(Y88/_xlfn.MAXIFS($Y:$Y,$A:$A,A88))^0.7)</x:f>
      </x:c>
      <x:c r="AC88" s="12" t="inlineStr">
        <x:is>
          <x:t xml:space="preserve">calculation baseline</x:t>
        </x:is>
      </x:c>
      <x:c r="AD88" t="str">
        <x:f>IF(OR(P88="",J88=""),"",P88*J88)</x:f>
      </x:c>
      <x:c r="AE88" t="str">
        <x:f>IF(OR(Q88="",J88=""),"",Q88*J88)</x:f>
      </x:c>
      <x:c r="AF88" t="n">
        <x:v>65</x:v>
      </x:c>
      <x:c r="AG88" t="str">
        <x:f>IF(OR(H88="",I88=""),"",H88*I88)</x:f>
      </x:c>
      <x:c r="AH88" t="n">
        <x:f>IF(OR(H88="",J88="",J88=0),"",H88/J88)</x:f>
        <x:v>43.01075268817204</x:v>
      </x:c>
    </x:row>
    <x:row r="89">
      <x:c r="A89" s="12" t="inlineStr">
        <x:is>
          <x:t xml:space="preserve">direct-api-20</x:t>
        </x:is>
      </x:c>
      <x:c r="B89" s="12" t="inlineStr">
        <x:is>
          <x:t xml:space="preserve">Direct API</x:t>
        </x:is>
      </x:c>
      <x:c r="C89" s="12" t="inlineStr">
        <x:is>
          <x:t xml:space="preserve">$20 API budget</x:t>
        </x:is>
      </x:c>
      <x:c r="D89" s="70" t="n">
        <x:v>20</x:v>
      </x:c>
      <x:c r="E89" s="12" t="inlineStr">
        <x:is>
          <x:t xml:space="preserve">Gemini 3.8 Flash</x:t>
        </x:is>
      </x:c>
      <x:c r="F89" s="12" t="inlineStr">
        <x:is>
          <x:t xml:space="preserve">high</x:t>
        </x:is>
      </x:c>
      <x:c r="G89" s="12" t="inlineStr">
        <x:is>
          <x:t xml:space="preserve">google|gemini-3.8-flash|high|reasoning|fallback-na</x:t>
        </x:is>
      </x:c>
      <x:c r="H89" s="12" t="n">
        <x:f>IF(AF89="","",INDEX(Rankings!$I:$I,AF89))</x:f>
        <x:v>41</x:v>
      </x:c>
      <x:c r="I89" s="12" t="n">
        <x:f>IF(AF89="","",INDEX(Rankings!$L:$L,AF89))</x:f>
        <x:v>311</x:v>
      </x:c>
      <x:c r="J89" s="12" t="n">
        <x:f>IF(AF89="","",INDEX(Rankings!$J:$J,AF89))</x:f>
        <x:v>1.24</x:v>
      </x:c>
      <x:c r="K89" s="12" t="n">
        <x:f>IF(AF89="","",INDEX(Rankings!$K:$K,AF89))</x:f>
        <x:v>231.29</x:v>
      </x:c>
      <x:c r="L89" s="12" t="n"/>
      <x:c r="M89" s="12" t="n"/>
      <x:c r="N89" s="12" t="n">
        <x:v>20</x:v>
      </x:c>
      <x:c r="O89" s="12" t="n">
        <x:v>144</x:v>
      </x:c>
      <x:c r="P89" s="12" t="str">
        <x:f>IF(L89="","",L89*O89)</x:f>
      </x:c>
      <x:c r="Q89" s="12" t="str">
        <x:f>IF(M89="","",M89*O89)</x:f>
      </x:c>
      <x:c r="R89" s="70" t="n">
        <x:f>IF(N89="","",N89)</x:f>
        <x:v>20</x:v>
      </x:c>
      <x:c r="S89" s="70" t="n">
        <x:f>IF(N89="","",N89)</x:f>
        <x:v>20</x:v>
      </x:c>
      <x:c r="T89" s="12" t="inlineStr">
        <x:is>
          <x:t xml:space="preserve">published dollar cap / direct budget</x:t>
        </x:is>
      </x:c>
      <x:c r="U89" s="12" t="inlineStr">
        <x:is>
          <x:t xml:space="preserve">high</x:t>
        </x:is>
      </x:c>
      <x:c r="V89" s="71" t="n">
        <x:f>IF(OR(S89="",D89=0),"",S89/D89)</x:f>
        <x:v>1</x:v>
      </x:c>
      <x:c r="W89" s="12" t="n">
        <x:f>IF(OR(S89="",J89="",J89=0),"",S89/J89)</x:f>
        <x:v>16.129032258064516</x:v>
      </x:c>
      <x:c r="X89" s="12" t="n">
        <x:f>IF(OR(H89="",V89=""),"",H89*V89)</x:f>
        <x:v>41</x:v>
      </x:c>
      <x:c r="Y89" s="12" t="n">
        <x:f>IF(OR(I89="",V89=""),"",I89*V89)</x:f>
        <x:v>311</x:v>
      </x:c>
      <x:c r="Z89" s="12" t="n">
        <x:f>IF(OR(X89="",Y89=""),"",SQRT((X89/_xlfn.MAXIFS($X:$X,$A:$A,A89))*(Y89/_xlfn.MAXIFS($Y:$Y,$A:$A,A89))))</x:f>
        <x:v>0.8407714027749386</x:v>
      </x:c>
      <x:c r="AA89" s="12" t="n">
        <x:f>IF(Z89="","",(X89/_xlfn.MAXIFS($X:$X,$A:$A,A89))^0.7*(Y89/_xlfn.MAXIFS($Y:$Y,$A:$A,A89))^0.3)</x:f>
        <x:v>0.7844208056783583</x:v>
      </x:c>
      <x:c r="AB89" s="12" t="n">
        <x:f>IF(Z89="","",(X89/_xlfn.MAXIFS($X:$X,$A:$A,A89))^0.3*(Y89/_xlfn.MAXIFS($Y:$Y,$A:$A,A89))^0.7)</x:f>
        <x:v>0.9011700691860433</x:v>
      </x:c>
      <x:c r="AC89" s="12" t="inlineStr">
        <x:is>
          <x:t xml:space="preserve">calculation baseline</x:t>
        </x:is>
      </x:c>
      <x:c r="AD89" t="str">
        <x:f>IF(OR(P89="",J89=""),"",P89*J89)</x:f>
      </x:c>
      <x:c r="AE89" t="str">
        <x:f>IF(OR(Q89="",J89=""),"",Q89*J89)</x:f>
      </x:c>
      <x:c r="AF89" t="n">
        <x:v>66</x:v>
      </x:c>
      <x:c r="AG89" t="n">
        <x:f>IF(OR(H89="",I89=""),"",H89*I89)</x:f>
        <x:v>12751</x:v>
      </x:c>
      <x:c r="AH89" t="n">
        <x:f>IF(OR(H89="",J89="",J89=0),"",H89/J89)</x:f>
        <x:v>33.064516129032256</x:v>
      </x:c>
    </x:row>
    <x:row r="90">
      <x:c r="A90" s="12" t="inlineStr">
        <x:is>
          <x:t xml:space="preserve">direct-api-20</x:t>
        </x:is>
      </x:c>
      <x:c r="B90" s="12" t="inlineStr">
        <x:is>
          <x:t xml:space="preserve">Direct API</x:t>
        </x:is>
      </x:c>
      <x:c r="C90" s="12" t="inlineStr">
        <x:is>
          <x:t xml:space="preserve">$20 API budget</x:t>
        </x:is>
      </x:c>
      <x:c r="D90" s="70" t="n">
        <x:v>20</x:v>
      </x:c>
      <x:c r="E90" s="12" t="inlineStr">
        <x:is>
          <x:t xml:space="preserve">DeepSeek V4.1 Flash</x:t>
        </x:is>
      </x:c>
      <x:c r="F90" s="12" t="inlineStr">
        <x:is>
          <x:t xml:space="preserve">non-reasoning</x:t>
        </x:is>
      </x:c>
      <x:c r="G90" s="12" t="inlineStr">
        <x:is>
          <x:t xml:space="preserve">deepseek|deepseek-v4.1-flash|non-reasoning|nonreasoning|fallback-na</x:t>
        </x:is>
      </x:c>
      <x:c r="H90" s="12" t="n">
        <x:f>IF(AF90="","",INDEX(Rankings!$I:$I,AF90))</x:f>
        <x:v>25</x:v>
      </x:c>
      <x:c r="I90" s="12" t="n">
        <x:f>IF(AF90="","",INDEX(Rankings!$L:$L,AF90))</x:f>
        <x:v>211</x:v>
      </x:c>
      <x:c r="J90" s="12" t="n">
        <x:f>IF(AF90="","",INDEX(Rankings!$J:$J,AF90))</x:f>
        <x:v>0.15</x:v>
      </x:c>
      <x:c r="K90" s="12" t="e">
        <x:f>IF(AF90="","",INDEX(Rankings!$K:$K,AF90))</x:f>
        <x:v>#REF!</x:v>
      </x:c>
      <x:c r="L90" s="12" t="n"/>
      <x:c r="M90" s="12" t="n"/>
      <x:c r="N90" s="12" t="n">
        <x:v>20</x:v>
      </x:c>
      <x:c r="O90" s="12" t="n">
        <x:v>144</x:v>
      </x:c>
      <x:c r="P90" s="12" t="str">
        <x:f>IF(L90="","",L90*O90)</x:f>
      </x:c>
      <x:c r="Q90" s="12" t="str">
        <x:f>IF(M90="","",M90*O90)</x:f>
      </x:c>
      <x:c r="R90" s="70" t="n">
        <x:f>IF(N90="","",N90)</x:f>
        <x:v>20</x:v>
      </x:c>
      <x:c r="S90" s="70" t="n">
        <x:f>IF(N90="","",N90)</x:f>
        <x:v>20</x:v>
      </x:c>
      <x:c r="T90" s="12" t="inlineStr">
        <x:is>
          <x:t xml:space="preserve">published dollar cap / direct budget</x:t>
        </x:is>
      </x:c>
      <x:c r="U90" s="12" t="inlineStr">
        <x:is>
          <x:t xml:space="preserve">high</x:t>
        </x:is>
      </x:c>
      <x:c r="V90" s="71" t="n">
        <x:f>IF(OR(S90="",D90=0),"",S90/D90)</x:f>
        <x:v>1</x:v>
      </x:c>
      <x:c r="W90" s="12" t="n">
        <x:f>IF(OR(S90="",J90="",J90=0),"",S90/J90)</x:f>
        <x:v>133.33333333333334</x:v>
      </x:c>
      <x:c r="X90" s="12" t="n">
        <x:f>IF(OR(H90="",V90=""),"",H90*V90)</x:f>
        <x:v>25</x:v>
      </x:c>
      <x:c r="Y90" s="12" t="n">
        <x:f>IF(OR(I90="",V90=""),"",I90*V90)</x:f>
        <x:v>211</x:v>
      </x:c>
      <x:c r="Z90" s="12" t="n">
        <x:f>IF(OR(X90="",Y90=""),"",SQRT((X90/_xlfn.MAXIFS($X:$X,$A:$A,A90))*(Y90/_xlfn.MAXIFS($Y:$Y,$A:$A,A90))))</x:f>
        <x:v>0.5407755412846152</x:v>
      </x:c>
      <x:c r="AA90" s="12" t="n">
        <x:f>IF(Z90="","",(X90/_xlfn.MAXIFS($X:$X,$A:$A,A90))^0.7*(Y90/_xlfn.MAXIFS($Y:$Y,$A:$A,A90))^0.3)</x:f>
        <x:v>0.49387271171691827</x:v>
      </x:c>
      <x:c r="AB90" s="12" t="n">
        <x:f>IF(Z90="","",(X90/_xlfn.MAXIFS($X:$X,$A:$A,A90))^0.3*(Y90/_xlfn.MAXIFS($Y:$Y,$A:$A,A90))^0.7)</x:f>
        <x:v>0.5921327077072658</x:v>
      </x:c>
      <x:c r="AC90" s="12" t="inlineStr">
        <x:is>
          <x:t xml:space="preserve">calculation baseline</x:t>
        </x:is>
      </x:c>
      <x:c r="AD90" t="str">
        <x:f>IF(OR(P90="",J90=""),"",P90*J90)</x:f>
      </x:c>
      <x:c r="AE90" t="str">
        <x:f>IF(OR(Q90="",J90=""),"",Q90*J90)</x:f>
      </x:c>
      <x:c r="AF90" t="n">
        <x:v>100</x:v>
      </x:c>
      <x:c r="AG90" t="n">
        <x:f>IF(OR(H90="",I90=""),"",H90*I90)</x:f>
        <x:v>5275</x:v>
      </x:c>
      <x:c r="AH90" t="n">
        <x:f>IF(OR(H90="",J90="",J90=0),"",H90/J90)</x:f>
        <x:v>166.66666666666669</x:v>
      </x:c>
    </x:row>
    <x:row r="91">
      <x:c r="A91" s="12" t="inlineStr">
        <x:is>
          <x:t xml:space="preserve">direct-api-20</x:t>
        </x:is>
      </x:c>
      <x:c r="B91" s="12" t="inlineStr">
        <x:is>
          <x:t xml:space="preserve">Direct API</x:t>
        </x:is>
      </x:c>
      <x:c r="C91" s="12" t="inlineStr">
        <x:is>
          <x:t xml:space="preserve">$20 API budget</x:t>
        </x:is>
      </x:c>
      <x:c r="D91" s="70" t="n">
        <x:v>20</x:v>
      </x:c>
      <x:c r="E91" s="12" t="inlineStr">
        <x:is>
          <x:t xml:space="preserve">DeepSeek V4.1 Flash</x:t>
        </x:is>
      </x:c>
      <x:c r="F91" s="12" t="inlineStr">
        <x:is>
          <x:t xml:space="preserve">max</x:t>
        </x:is>
      </x:c>
      <x:c r="G91" s="12" t="inlineStr">
        <x:is>
          <x:t xml:space="preserve">deepseek|deepseek-v4.1-flash|max|reasoning|fallback-na</x:t>
        </x:is>
      </x:c>
      <x:c r="H91" s="12" t="n">
        <x:f>IF(AF91="","",INDEX(Rankings!$I:$I,AF91))</x:f>
        <x:v>39</x:v>
      </x:c>
      <x:c r="I91" s="12" t="n">
        <x:f>IF(AF91="","",INDEX(Rankings!$L:$L,AF91))</x:f>
        <x:v>217</x:v>
      </x:c>
      <x:c r="J91" s="12" t="n">
        <x:f>IF(AF91="","",INDEX(Rankings!$J:$J,AF91))</x:f>
        <x:v>0.27</x:v>
      </x:c>
      <x:c r="K91" s="12" t="e">
        <x:f>IF(AF91="","",INDEX(Rankings!$K:$K,AF91))</x:f>
        <x:v>#REF!</x:v>
      </x:c>
      <x:c r="L91" s="12" t="n"/>
      <x:c r="M91" s="12" t="n"/>
      <x:c r="N91" s="12" t="n">
        <x:v>20</x:v>
      </x:c>
      <x:c r="O91" s="12" t="n">
        <x:v>144</x:v>
      </x:c>
      <x:c r="P91" s="12" t="str">
        <x:f>IF(L91="","",L91*O91)</x:f>
      </x:c>
      <x:c r="Q91" s="12" t="str">
        <x:f>IF(M91="","",M91*O91)</x:f>
      </x:c>
      <x:c r="R91" s="70" t="n">
        <x:f>IF(N91="","",N91)</x:f>
        <x:v>20</x:v>
      </x:c>
      <x:c r="S91" s="70" t="n">
        <x:f>IF(N91="","",N91)</x:f>
        <x:v>20</x:v>
      </x:c>
      <x:c r="T91" s="12" t="inlineStr">
        <x:is>
          <x:t xml:space="preserve">published dollar cap / direct budget</x:t>
        </x:is>
      </x:c>
      <x:c r="U91" s="12" t="inlineStr">
        <x:is>
          <x:t xml:space="preserve">high</x:t>
        </x:is>
      </x:c>
      <x:c r="V91" s="71" t="n">
        <x:f>IF(OR(S91="",D91=0),"",S91/D91)</x:f>
        <x:v>1</x:v>
      </x:c>
      <x:c r="W91" s="12" t="n">
        <x:f>IF(OR(S91="",J91="",J91=0),"",S91/J91)</x:f>
        <x:v>74.07407407407408</x:v>
      </x:c>
      <x:c r="X91" s="12" t="n">
        <x:f>IF(OR(H91="",V91=""),"",H91*V91)</x:f>
        <x:v>39</x:v>
      </x:c>
      <x:c r="Y91" s="12" t="n">
        <x:f>IF(OR(I91="",V91=""),"",I91*V91)</x:f>
        <x:v>217</x:v>
      </x:c>
      <x:c r="Z91" s="12" t="n">
        <x:f>IF(OR(X91="",Y91=""),"",SQRT((X91/_xlfn.MAXIFS($X:$X,$A:$A,A91))*(Y91/_xlfn.MAXIFS($Y:$Y,$A:$A,A91))))</x:f>
        <x:v>0.6849643666734598</x:v>
      </x:c>
      <x:c r="AA91" s="12" t="n">
        <x:f>IF(Z91="","",(X91/_xlfn.MAXIFS($X:$X,$A:$A,A91))^0.7*(Y91/_xlfn.MAXIFS($Y:$Y,$A:$A,A91))^0.3)</x:f>
        <x:v>0.6799162686829769</x:v>
      </x:c>
      <x:c r="AB91" s="12" t="n">
        <x:f>IF(Z91="","",(X91/_xlfn.MAXIFS($X:$X,$A:$A,A91))^0.3*(Y91/_xlfn.MAXIFS($Y:$Y,$A:$A,A91))^0.7)</x:f>
        <x:v>0.6900499447103766</x:v>
      </x:c>
      <x:c r="AC91" s="12" t="inlineStr">
        <x:is>
          <x:t xml:space="preserve">calculation baseline</x:t>
        </x:is>
      </x:c>
      <x:c r="AD91" t="str">
        <x:f>IF(OR(P91="",J91=""),"",P91*J91)</x:f>
      </x:c>
      <x:c r="AE91" t="str">
        <x:f>IF(OR(Q91="",J91=""),"",Q91*J91)</x:f>
      </x:c>
      <x:c r="AF91" t="n">
        <x:v>101</x:v>
      </x:c>
      <x:c r="AG91" t="n">
        <x:f>IF(OR(H91="",I91=""),"",H91*I91)</x:f>
        <x:v>8463</x:v>
      </x:c>
      <x:c r="AH91" t="n">
        <x:f>IF(OR(H91="",J91="",J91=0),"",H91/J91)</x:f>
        <x:v>144.44444444444443</x:v>
      </x:c>
    </x:row>
    <x:row r="92">
      <x:c r="A92" s="12" t="inlineStr">
        <x:is>
          <x:t xml:space="preserve">direct-api-20</x:t>
        </x:is>
      </x:c>
      <x:c r="B92" s="12" t="inlineStr">
        <x:is>
          <x:t xml:space="preserve">Direct API</x:t>
        </x:is>
      </x:c>
      <x:c r="C92" s="12" t="inlineStr">
        <x:is>
          <x:t xml:space="preserve">$20 API budget</x:t>
        </x:is>
      </x:c>
      <x:c r="D92" s="70" t="n">
        <x:v>20</x:v>
      </x:c>
      <x:c r="E92" s="12" t="inlineStr">
        <x:is>
          <x:t xml:space="preserve">GLM-5.3</x:t>
        </x:is>
      </x:c>
      <x:c r="F92" s="12" t="inlineStr">
        <x:is>
          <x:t xml:space="preserve">low</x:t>
        </x:is>
      </x:c>
      <x:c r="G92" s="12" t="inlineStr">
        <x:is>
          <x:t xml:space="preserve">z-ai|glm-5.3|low|reasoning|fallback-na</x:t>
        </x:is>
      </x:c>
      <x:c r="H92" s="12" t="n">
        <x:f>IF(AF92="","",INDEX(Rankings!$I:$I,AF92))</x:f>
        <x:v>34</x:v>
      </x:c>
      <x:c r="I92" s="12" t="n">
        <x:f>IF(AF92="","",INDEX(Rankings!$L:$L,AF92))</x:f>
        <x:v>75</x:v>
      </x:c>
      <x:c r="J92" s="12" t="n">
        <x:f>IF(AF92="","",INDEX(Rankings!$J:$J,AF92))</x:f>
        <x:v>0.85</x:v>
      </x:c>
      <x:c r="K92" s="12" t="e">
        <x:f>IF(AF92="","",INDEX(Rankings!$K:$K,AF92))</x:f>
        <x:v>#REF!</x:v>
      </x:c>
      <x:c r="L92" s="12" t="n"/>
      <x:c r="M92" s="12" t="n"/>
      <x:c r="N92" s="12" t="n">
        <x:v>20</x:v>
      </x:c>
      <x:c r="O92" s="12" t="n">
        <x:v>144</x:v>
      </x:c>
      <x:c r="P92" s="12" t="str">
        <x:f>IF(L92="","",L92*O92)</x:f>
      </x:c>
      <x:c r="Q92" s="12" t="str">
        <x:f>IF(M92="","",M92*O92)</x:f>
      </x:c>
      <x:c r="R92" s="70" t="n">
        <x:f>IF(N92="","",N92)</x:f>
        <x:v>20</x:v>
      </x:c>
      <x:c r="S92" s="70" t="n">
        <x:f>IF(N92="","",N92)</x:f>
        <x:v>20</x:v>
      </x:c>
      <x:c r="T92" s="12" t="inlineStr">
        <x:is>
          <x:t xml:space="preserve">published dollar cap / direct budget</x:t>
        </x:is>
      </x:c>
      <x:c r="U92" s="12" t="inlineStr">
        <x:is>
          <x:t xml:space="preserve">high</x:t>
        </x:is>
      </x:c>
      <x:c r="V92" s="71" t="n">
        <x:f>IF(OR(S92="",D92=0),"",S92/D92)</x:f>
        <x:v>1</x:v>
      </x:c>
      <x:c r="W92" s="12" t="n">
        <x:f>IF(OR(S92="",J92="",J92=0),"",S92/J92)</x:f>
        <x:v>23.529411764705884</x:v>
      </x:c>
      <x:c r="X92" s="12" t="n">
        <x:f>IF(OR(H92="",V92=""),"",H92*V92)</x:f>
        <x:v>34</x:v>
      </x:c>
      <x:c r="Y92" s="12" t="n">
        <x:f>IF(OR(I92="",V92=""),"",I92*V92)</x:f>
        <x:v>75</x:v>
      </x:c>
      <x:c r="Z92" s="12" t="n">
        <x:f>IF(OR(X92="",Y92=""),"",SQRT((X92/_xlfn.MAXIFS($X:$X,$A:$A,A92))*(Y92/_xlfn.MAXIFS($Y:$Y,$A:$A,A92))))</x:f>
        <x:v>0.37598965762516795</x:v>
      </x:c>
      <x:c r="AA92" s="12" t="n">
        <x:f>IF(Z92="","",(X92/_xlfn.MAXIFS($X:$X,$A:$A,A92))^0.7*(Y92/_xlfn.MAXIFS($Y:$Y,$A:$A,A92))^0.3)</x:f>
        <x:v>0.44908226949775426</x:v>
      </x:c>
      <x:c r="AB92" s="12" t="n">
        <x:f>IF(Z92="","",(X92/_xlfn.MAXIFS($X:$X,$A:$A,A92))^0.3*(Y92/_xlfn.MAXIFS($Y:$Y,$A:$A,A92))^0.7)</x:f>
        <x:v>0.31479359628068776</x:v>
      </x:c>
      <x:c r="AC92" s="12" t="inlineStr">
        <x:is>
          <x:t xml:space="preserve">calculation baseline</x:t>
        </x:is>
      </x:c>
      <x:c r="AD92" t="str">
        <x:f>IF(OR(P92="",J92=""),"",P92*J92)</x:f>
      </x:c>
      <x:c r="AE92" t="str">
        <x:f>IF(OR(Q92="",J92=""),"",Q92*J92)</x:f>
      </x:c>
      <x:c r="AF92" t="n">
        <x:v>105</x:v>
      </x:c>
      <x:c r="AG92" t="n">
        <x:f>IF(OR(H92="",I92=""),"",H92*I92)</x:f>
        <x:v>2550</x:v>
      </x:c>
      <x:c r="AH92" t="n">
        <x:f>IF(OR(H92="",J92="",J92=0),"",H92/J92)</x:f>
        <x:v>40</x:v>
      </x:c>
    </x:row>
    <x:row r="93">
      <x:c r="A93" s="12" t="inlineStr">
        <x:is>
          <x:t xml:space="preserve">direct-api-20</x:t>
        </x:is>
      </x:c>
      <x:c r="B93" s="12" t="inlineStr">
        <x:is>
          <x:t xml:space="preserve">Direct API</x:t>
        </x:is>
      </x:c>
      <x:c r="C93" s="12" t="inlineStr">
        <x:is>
          <x:t xml:space="preserve">$20 API budget</x:t>
        </x:is>
      </x:c>
      <x:c r="D93" s="70" t="n">
        <x:v>20</x:v>
      </x:c>
      <x:c r="E93" s="12" t="inlineStr">
        <x:is>
          <x:t xml:space="preserve">GLM-5.3</x:t>
        </x:is>
      </x:c>
      <x:c r="F93" s="12" t="inlineStr">
        <x:is>
          <x:t xml:space="preserve">max</x:t>
        </x:is>
      </x:c>
      <x:c r="G93" s="12" t="inlineStr">
        <x:is>
          <x:t xml:space="preserve">z-ai|glm-5.3|max|reasoning|fallback-na</x:t>
        </x:is>
      </x:c>
      <x:c r="H93" s="12" t="n">
        <x:f>IF(AF93="","",INDEX(Rankings!$I:$I,AF93))</x:f>
        <x:v>45</x:v>
      </x:c>
      <x:c r="I93" s="12" t="n">
        <x:f>IF(AF93="","",INDEX(Rankings!$L:$L,AF93))</x:f>
        <x:v>68</x:v>
      </x:c>
      <x:c r="J93" s="12" t="n">
        <x:f>IF(AF93="","",INDEX(Rankings!$J:$J,AF93))</x:f>
        <x:v>2.01</x:v>
      </x:c>
      <x:c r="K93" s="12" t="e">
        <x:f>IF(AF93="","",INDEX(Rankings!$K:$K,AF93))</x:f>
        <x:v>#REF!</x:v>
      </x:c>
      <x:c r="L93" s="12" t="n"/>
      <x:c r="M93" s="12" t="n"/>
      <x:c r="N93" s="12" t="n">
        <x:v>20</x:v>
      </x:c>
      <x:c r="O93" s="12" t="n">
        <x:v>144</x:v>
      </x:c>
      <x:c r="P93" s="12" t="str">
        <x:f>IF(L93="","",L93*O93)</x:f>
      </x:c>
      <x:c r="Q93" s="12" t="str">
        <x:f>IF(M93="","",M93*O93)</x:f>
      </x:c>
      <x:c r="R93" s="70" t="n">
        <x:f>IF(N93="","",N93)</x:f>
        <x:v>20</x:v>
      </x:c>
      <x:c r="S93" s="70" t="n">
        <x:f>IF(N93="","",N93)</x:f>
        <x:v>20</x:v>
      </x:c>
      <x:c r="T93" s="12" t="inlineStr">
        <x:is>
          <x:t xml:space="preserve">published dollar cap / direct budget</x:t>
        </x:is>
      </x:c>
      <x:c r="U93" s="12" t="inlineStr">
        <x:is>
          <x:t xml:space="preserve">high</x:t>
        </x:is>
      </x:c>
      <x:c r="V93" s="71" t="n">
        <x:f>IF(OR(S93="",D93=0),"",S93/D93)</x:f>
        <x:v>1</x:v>
      </x:c>
      <x:c r="W93" s="12" t="n">
        <x:f>IF(OR(S93="",J93="",J93=0),"",S93/J93)</x:f>
        <x:v>9.950248756218906</x:v>
      </x:c>
      <x:c r="X93" s="12" t="n">
        <x:f>IF(OR(H93="",V93=""),"",H93*V93)</x:f>
        <x:v>45</x:v>
      </x:c>
      <x:c r="Y93" s="12" t="n">
        <x:f>IF(OR(I93="",V93=""),"",I93*V93)</x:f>
        <x:v>68</x:v>
      </x:c>
      <x:c r="Z93" s="12" t="n">
        <x:f>IF(OR(X93="",Y93=""),"",SQRT((X93/_xlfn.MAXIFS($X:$X,$A:$A,A93))*(Y93/_xlfn.MAXIFS($Y:$Y,$A:$A,A93))))</x:f>
        <x:v>0.41187603373989756</x:v>
      </x:c>
      <x:c r="AA93" s="12" t="n">
        <x:f>IF(Z93="","",(X93/_xlfn.MAXIFS($X:$X,$A:$A,A93))^0.7*(Y93/_xlfn.MAXIFS($Y:$Y,$A:$A,A93))^0.3)</x:f>
        <x:v>0.5306079116415379</x:v>
      </x:c>
      <x:c r="AB93" s="12" t="n">
        <x:f>IF(Z93="","",(X93/_xlfn.MAXIFS($X:$X,$A:$A,A93))^0.3*(Y93/_xlfn.MAXIFS($Y:$Y,$A:$A,A93))^0.7)</x:f>
        <x:v>0.31971228367946763</x:v>
      </x:c>
      <x:c r="AC93" s="12" t="inlineStr">
        <x:is>
          <x:t xml:space="preserve">calculation baseline</x:t>
        </x:is>
      </x:c>
      <x:c r="AD93" t="str">
        <x:f>IF(OR(P93="",J93=""),"",P93*J93)</x:f>
      </x:c>
      <x:c r="AE93" t="str">
        <x:f>IF(OR(Q93="",J93=""),"",Q93*J93)</x:f>
      </x:c>
      <x:c r="AF93" t="n">
        <x:v>106</x:v>
      </x:c>
      <x:c r="AG93" t="n">
        <x:f>IF(OR(H93="",I93=""),"",H93*I93)</x:f>
        <x:v>3060</x:v>
      </x:c>
      <x:c r="AH93" t="n">
        <x:f>IF(OR(H93="",J93="",J93=0),"",H93/J93)</x:f>
        <x:v>22.38805970149254</x:v>
      </x:c>
    </x:row>
    <x:row r="94">
      <x:c r="A94" s="12" t="inlineStr">
        <x:is>
          <x:t xml:space="preserve">direct-api-20</x:t>
        </x:is>
      </x:c>
      <x:c r="B94" s="12" t="inlineStr">
        <x:is>
          <x:t xml:space="preserve">Direct API</x:t>
        </x:is>
      </x:c>
      <x:c r="C94" s="12" t="inlineStr">
        <x:is>
          <x:t xml:space="preserve">$20 API budget</x:t>
        </x:is>
      </x:c>
      <x:c r="D94" s="70" t="n">
        <x:v>20</x:v>
      </x:c>
      <x:c r="E94" s="12" t="inlineStr">
        <x:is>
          <x:t xml:space="preserve">Kimi K3</x:t>
        </x:is>
      </x:c>
      <x:c r="F94" s="12" t="inlineStr">
        <x:is>
          <x:t xml:space="preserve">max</x:t>
        </x:is>
      </x:c>
      <x:c r="G94" s="12" t="inlineStr">
        <x:is>
          <x:t xml:space="preserve">kimi|kimi-k3|max|reasoning|fallback-na</x:t>
        </x:is>
      </x:c>
      <x:c r="H94" s="12" t="n">
        <x:f>IF(AF94="","",INDEX(Rankings!$I:$I,AF94))</x:f>
        <x:v>44</x:v>
      </x:c>
      <x:c r="I94" s="12" t="str">
        <x:f>IF(AF94="","",INDEX(Rankings!$L:$L,AF94))</x:f>
      </x:c>
      <x:c r="J94" s="12" t="n">
        <x:f>IF(AF94="","",INDEX(Rankings!$J:$J,AF94))</x:f>
        <x:v>2</x:v>
      </x:c>
      <x:c r="K94" s="12" t="str">
        <x:f>IF(AF94="","",INDEX(Rankings!$K:$K,AF94))</x:f>
      </x:c>
      <x:c r="L94" s="12" t="n"/>
      <x:c r="M94" s="12" t="n"/>
      <x:c r="N94" s="12" t="n">
        <x:v>20</x:v>
      </x:c>
      <x:c r="O94" s="12" t="n">
        <x:v>144</x:v>
      </x:c>
      <x:c r="P94" s="12" t="str">
        <x:f>IF(L94="","",L94*O94)</x:f>
      </x:c>
      <x:c r="Q94" s="12" t="str">
        <x:f>IF(M94="","",M94*O94)</x:f>
      </x:c>
      <x:c r="R94" s="70" t="n">
        <x:f>IF(N94="","",N94)</x:f>
        <x:v>20</x:v>
      </x:c>
      <x:c r="S94" s="70" t="n">
        <x:f>IF(N94="","",N94)</x:f>
        <x:v>20</x:v>
      </x:c>
      <x:c r="T94" s="12" t="inlineStr">
        <x:is>
          <x:t xml:space="preserve">published dollar cap / direct budget</x:t>
        </x:is>
      </x:c>
      <x:c r="U94" s="12" t="inlineStr">
        <x:is>
          <x:t xml:space="preserve">high</x:t>
        </x:is>
      </x:c>
      <x:c r="V94" s="71" t="n">
        <x:f>IF(OR(S94="",D94=0),"",S94/D94)</x:f>
        <x:v>1</x:v>
      </x:c>
      <x:c r="W94" s="12" t="n">
        <x:f>IF(OR(S94="",J94="",J94=0),"",S94/J94)</x:f>
        <x:v>10</x:v>
      </x:c>
      <x:c r="X94" s="12" t="n">
        <x:f>IF(OR(H94="",V94=""),"",H94*V94)</x:f>
        <x:v>44</x:v>
      </x:c>
      <x:c r="Y94" s="12" t="str">
        <x:f>IF(OR(I94="",V94=""),"",I94*V94)</x:f>
      </x:c>
      <x:c r="Z94" s="12" t="str">
        <x:f>IF(OR(X94="",Y94=""),"",SQRT((X94/_xlfn.MAXIFS($X:$X,$A:$A,A94))*(Y94/_xlfn.MAXIFS($Y:$Y,$A:$A,A94))))</x:f>
      </x:c>
      <x:c r="AA94" s="12" t="str">
        <x:f>IF(Z94="","",(X94/_xlfn.MAXIFS($X:$X,$A:$A,A94))^0.7*(Y94/_xlfn.MAXIFS($Y:$Y,$A:$A,A94))^0.3)</x:f>
      </x:c>
      <x:c r="AB94" s="12" t="str">
        <x:f>IF(Z94="","",(X94/_xlfn.MAXIFS($X:$X,$A:$A,A94))^0.3*(Y94/_xlfn.MAXIFS($Y:$Y,$A:$A,A94))^0.7)</x:f>
      </x:c>
      <x:c r="AC94" s="12" t="inlineStr">
        <x:is>
          <x:t xml:space="preserve">calculation baseline</x:t>
        </x:is>
      </x:c>
      <x:c r="AD94" t="str">
        <x:f>IF(OR(P94="",J94=""),"",P94*J94)</x:f>
      </x:c>
      <x:c r="AE94" t="str">
        <x:f>IF(OR(Q94="",J94=""),"",Q94*J94)</x:f>
      </x:c>
      <x:c r="AF94" t="n">
        <x:v>74</x:v>
      </x:c>
      <x:c r="AG94" t="str">
        <x:f>IF(OR(H94="",I94=""),"",H94*I94)</x:f>
      </x:c>
      <x:c r="AH94" t="n">
        <x:f>IF(OR(H94="",J94="",J94=0),"",H94/J94)</x:f>
        <x:v>22</x:v>
      </x:c>
    </x:row>
    <x:row r="95">
      <x:c r="A95" s="12" t="inlineStr">
        <x:is>
          <x:t xml:space="preserve">opencode-go</x:t>
        </x:is>
      </x:c>
      <x:c r="B95" s="12" t="inlineStr">
        <x:is>
          <x:t xml:space="preserve">OpenCode</x:t>
        </x:is>
      </x:c>
      <x:c r="C95" s="12" t="inlineStr">
        <x:is>
          <x:t xml:space="preserve">Go</x:t>
        </x:is>
      </x:c>
      <x:c r="D95" s="70" t="n">
        <x:v>10</x:v>
      </x:c>
      <x:c r="E95" s="12" t="inlineStr">
        <x:is>
          <x:t xml:space="preserve">GPT-6 Luna</x:t>
        </x:is>
      </x:c>
      <x:c r="F95" s="12" t="inlineStr">
        <x:is>
          <x:t xml:space="preserve">non-reasoning</x:t>
        </x:is>
      </x:c>
      <x:c r="G95" s="12" t="inlineStr">
        <x:is>
          <x:t xml:space="preserve">openai|gpt-6-luna|non-reasoning|nonreasoning|fallback-na</x:t>
        </x:is>
      </x:c>
      <x:c r="H95" s="12" t="n">
        <x:f>IF(AF95="","",INDEX(Rankings!$I:$I,AF95))</x:f>
        <x:v>18</x:v>
      </x:c>
      <x:c r="I95" s="12" t="n">
        <x:f>IF(AF95="","",INDEX(Rankings!$L:$L,AF95))</x:f>
        <x:v>113</x:v>
      </x:c>
      <x:c r="J95" s="12" t="n">
        <x:f>IF(AF95="","",INDEX(Rankings!$J:$J,AF95))</x:f>
        <x:v>0.01</x:v>
      </x:c>
      <x:c r="K95" s="12" t="e">
        <x:f>IF(AF95="","",INDEX(Rankings!$K:$K,AF95))</x:f>
        <x:v>#REF!</x:v>
      </x:c>
      <x:c r="L95" s="12" t="n"/>
      <x:c r="M95" s="12" t="n"/>
      <x:c r="N95" s="12" t="n">
        <x:v>15</x:v>
      </x:c>
      <x:c r="O95" s="12" t="n">
        <x:v>144</x:v>
      </x:c>
      <x:c r="P95" s="12" t="str">
        <x:f>IF(L95="","",L95*O95)</x:f>
      </x:c>
      <x:c r="Q95" s="12" t="str">
        <x:f>IF(M95="","",M95*O95)</x:f>
      </x:c>
      <x:c r="R95" s="70" t="n">
        <x:f>IF(N95="","",N95)</x:f>
        <x:v>15</x:v>
      </x:c>
      <x:c r="S95" s="70" t="n">
        <x:f>IF(N95="","",N95)</x:f>
        <x:v>15</x:v>
      </x:c>
      <x:c r="T95" s="12" t="inlineStr">
        <x:is>
          <x:t xml:space="preserve">published dollar cap / direct budget</x:t>
        </x:is>
      </x:c>
      <x:c r="U95" s="12" t="inlineStr">
        <x:is>
          <x:t xml:space="preserve">high</x:t>
        </x:is>
      </x:c>
      <x:c r="V95" s="71" t="n">
        <x:f>IF(OR(S95="",D95=0),"",S95/D95)</x:f>
        <x:v>1.5</x:v>
      </x:c>
      <x:c r="W95" s="12" t="n">
        <x:f>IF(OR(S95="",J95="",J95=0),"",S95/J95)</x:f>
        <x:v>1500</x:v>
      </x:c>
      <x:c r="X95" s="12" t="n">
        <x:f>IF(OR(H95="",V95=""),"",H95*V95)</x:f>
        <x:v>27</x:v>
      </x:c>
      <x:c r="Y95" s="12" t="n">
        <x:f>IF(OR(I95="",V95=""),"",I95*V95)</x:f>
        <x:v>169.5</x:v>
      </x:c>
      <x:c r="Z95" s="12" t="n">
        <x:f>IF(OR(X95="",Y95=""),"",SQRT((X95/_xlfn.MAXIFS($X:$X,$A:$A,A95))*(Y95/_xlfn.MAXIFS($Y:$Y,$A:$A,A95))))</x:f>
        <x:v>0.1104752511017322</x:v>
      </x:c>
      <x:c r="AA95" s="12" t="n">
        <x:f>IF(Z95="","",(X95/_xlfn.MAXIFS($X:$X,$A:$A,A95))^0.7*(Y95/_xlfn.MAXIFS($Y:$Y,$A:$A,A95))^0.3)</x:f>
        <x:v>0.10345405284838544</x:v>
      </x:c>
      <x:c r="AB95" s="12" t="n">
        <x:f>IF(Z95="","",(X95/_xlfn.MAXIFS($X:$X,$A:$A,A95))^0.3*(Y95/_xlfn.MAXIFS($Y:$Y,$A:$A,A95))^0.7)</x:f>
        <x:v>0.1179729625854021</x:v>
      </x:c>
      <x:c r="AC95" s="12" t="inlineStr">
        <x:is>
          <x:t xml:space="preserve">https://opencode.ai/docs/go</x:t>
        </x:is>
      </x:c>
      <x:c r="AD95" t="str">
        <x:f>IF(OR(P95="",J95=""),"",P95*J95)</x:f>
      </x:c>
      <x:c r="AE95" t="str">
        <x:f>IF(OR(Q95="",J95=""),"",Q95*J95)</x:f>
      </x:c>
      <x:c r="AF95" t="n">
        <x:v>122</x:v>
      </x:c>
      <x:c r="AG95" t="n">
        <x:f>IF(OR(H95="",I95=""),"",H95*I95)</x:f>
        <x:v>2034</x:v>
      </x:c>
      <x:c r="AH95" t="n">
        <x:f>IF(OR(H95="",J95="",J95=0),"",H95/J95)</x:f>
        <x:v>1800</x:v>
      </x:c>
    </x:row>
    <x:row r="96">
      <x:c r="A96" s="12" t="inlineStr">
        <x:is>
          <x:t xml:space="preserve">opencode-go</x:t>
        </x:is>
      </x:c>
      <x:c r="B96" s="12" t="inlineStr">
        <x:is>
          <x:t xml:space="preserve">OpenCode</x:t>
        </x:is>
      </x:c>
      <x:c r="C96" s="12" t="inlineStr">
        <x:is>
          <x:t xml:space="preserve">Go</x:t>
        </x:is>
      </x:c>
      <x:c r="D96" s="70" t="n">
        <x:v>10</x:v>
      </x:c>
      <x:c r="E96" s="12" t="inlineStr">
        <x:is>
          <x:t xml:space="preserve">GPT-6 Luna</x:t>
        </x:is>
      </x:c>
      <x:c r="F96" s="12" t="inlineStr">
        <x:is>
          <x:t xml:space="preserve">low</x:t>
        </x:is>
      </x:c>
      <x:c r="G96" s="12" t="inlineStr">
        <x:is>
          <x:t xml:space="preserve">openai|gpt-6-luna|low|reasoning|fallback-na</x:t>
        </x:is>
      </x:c>
      <x:c r="H96" s="12" t="n">
        <x:f>IF(AF96="","",INDEX(Rankings!$I:$I,AF96))</x:f>
        <x:v>22</x:v>
      </x:c>
      <x:c r="I96" s="12" t="n">
        <x:f>IF(AF96="","",INDEX(Rankings!$L:$L,AF96))</x:f>
        <x:v>117.9</x:v>
      </x:c>
      <x:c r="J96" s="12" t="n">
        <x:f>IF(AF96="","",INDEX(Rankings!$J:$J,AF96))</x:f>
        <x:v>0.0045</x:v>
      </x:c>
      <x:c r="K96" s="12" t="e">
        <x:f>IF(AF96="","",INDEX(Rankings!$K:$K,AF96))</x:f>
        <x:v>#REF!</x:v>
      </x:c>
      <x:c r="L96" s="12" t="n"/>
      <x:c r="M96" s="12" t="n"/>
      <x:c r="N96" s="12" t="n">
        <x:v>15</x:v>
      </x:c>
      <x:c r="O96" s="12" t="n">
        <x:v>144</x:v>
      </x:c>
      <x:c r="P96" s="12" t="str">
        <x:f>IF(L96="","",L96*O96)</x:f>
      </x:c>
      <x:c r="Q96" s="12" t="str">
        <x:f>IF(M96="","",M96*O96)</x:f>
      </x:c>
      <x:c r="R96" s="70" t="n">
        <x:f>IF(N96="","",N96)</x:f>
        <x:v>15</x:v>
      </x:c>
      <x:c r="S96" s="70" t="n">
        <x:f>IF(N96="","",N96)</x:f>
        <x:v>15</x:v>
      </x:c>
      <x:c r="T96" s="12" t="inlineStr">
        <x:is>
          <x:t xml:space="preserve">published dollar cap / direct budget</x:t>
        </x:is>
      </x:c>
      <x:c r="U96" s="12" t="inlineStr">
        <x:is>
          <x:t xml:space="preserve">high</x:t>
        </x:is>
      </x:c>
      <x:c r="V96" s="71" t="n">
        <x:f>IF(OR(S96="",D96=0),"",S96/D96)</x:f>
        <x:v>1.5</x:v>
      </x:c>
      <x:c r="W96" s="12" t="n">
        <x:f>IF(OR(S96="",J96="",J96=0),"",S96/J96)</x:f>
        <x:v>3333.3333333333335</x:v>
      </x:c>
      <x:c r="X96" s="12" t="n">
        <x:f>IF(OR(H96="",V96=""),"",H96*V96)</x:f>
        <x:v>33</x:v>
      </x:c>
      <x:c r="Y96" s="12" t="n">
        <x:f>IF(OR(I96="",V96=""),"",I96*V96)</x:f>
        <x:v>176.85000000000002</x:v>
      </x:c>
      <x:c r="Z96" s="12" t="n">
        <x:f>IF(OR(X96="",Y96=""),"",SQRT((X96/_xlfn.MAXIFS($X:$X,$A:$A,A96))*(Y96/_xlfn.MAXIFS($Y:$Y,$A:$A,A96))))</x:f>
        <x:v>0.12475494412226439</x:v>
      </x:c>
      <x:c r="AA96" s="12" t="n">
        <x:f>IF(Z96="","",(X96/_xlfn.MAXIFS($X:$X,$A:$A,A96))^0.7*(Y96/_xlfn.MAXIFS($Y:$Y,$A:$A,A96))^0.3)</x:f>
        <x:v>0.12058221033813173</x:v>
      </x:c>
      <x:c r="AB96" s="12" t="n">
        <x:f>IF(Z96="","",(X96/_xlfn.MAXIFS($X:$X,$A:$A,A96))^0.3*(Y96/_xlfn.MAXIFS($Y:$Y,$A:$A,A96))^0.7)</x:f>
        <x:v>0.1290720748882107</x:v>
      </x:c>
      <x:c r="AC96" s="12" t="inlineStr">
        <x:is>
          <x:t xml:space="preserve">https://opencode.ai/docs/go</x:t>
        </x:is>
      </x:c>
      <x:c r="AD96" t="str">
        <x:f>IF(OR(P96="",J96=""),"",P96*J96)</x:f>
      </x:c>
      <x:c r="AE96" t="str">
        <x:f>IF(OR(Q96="",J96=""),"",Q96*J96)</x:f>
      </x:c>
      <x:c r="AF96" t="n">
        <x:v>121</x:v>
      </x:c>
      <x:c r="AG96" t="n">
        <x:f>IF(OR(H96="",I96=""),"",H96*I96)</x:f>
        <x:v>2593.8</x:v>
      </x:c>
      <x:c r="AH96" t="n">
        <x:f>IF(OR(H96="",J96="",J96=0),"",H96/J96)</x:f>
        <x:v>4888.88888888889</x:v>
      </x:c>
    </x:row>
    <x:row r="97">
      <x:c r="A97" s="12" t="inlineStr">
        <x:is>
          <x:t xml:space="preserve">opencode-go</x:t>
        </x:is>
      </x:c>
      <x:c r="B97" s="12" t="inlineStr">
        <x:is>
          <x:t xml:space="preserve">OpenCode</x:t>
        </x:is>
      </x:c>
      <x:c r="C97" s="12" t="inlineStr">
        <x:is>
          <x:t xml:space="preserve">Go</x:t>
        </x:is>
      </x:c>
      <x:c r="D97" s="70" t="n">
        <x:v>10</x:v>
      </x:c>
      <x:c r="E97" s="12" t="inlineStr">
        <x:is>
          <x:t xml:space="preserve">GPT-6 Luna</x:t>
        </x:is>
      </x:c>
      <x:c r="F97" s="12" t="inlineStr">
        <x:is>
          <x:t xml:space="preserve">high</x:t>
        </x:is>
      </x:c>
      <x:c r="G97" s="12" t="inlineStr">
        <x:is>
          <x:t xml:space="preserve">openai|gpt-6-luna|high|reasoning|fallback-na</x:t>
        </x:is>
      </x:c>
      <x:c r="H97" s="12" t="n">
        <x:f>IF(AF97="","",INDEX(Rankings!$I:$I,AF97))</x:f>
        <x:v>33</x:v>
      </x:c>
      <x:c r="I97" s="12" t="n">
        <x:f>IF(AF97="","",INDEX(Rankings!$L:$L,AF97))</x:f>
        <x:v>120.2</x:v>
      </x:c>
      <x:c r="J97" s="12" t="n">
        <x:f>IF(AF97="","",INDEX(Rankings!$J:$J,AF97))</x:f>
        <x:v>0.03</x:v>
      </x:c>
      <x:c r="K97" s="12" t="e">
        <x:f>IF(AF97="","",INDEX(Rankings!$K:$K,AF97))</x:f>
        <x:v>#REF!</x:v>
      </x:c>
      <x:c r="L97" s="12" t="n"/>
      <x:c r="M97" s="12" t="n"/>
      <x:c r="N97" s="12" t="n">
        <x:v>15</x:v>
      </x:c>
      <x:c r="O97" s="12" t="n">
        <x:v>144</x:v>
      </x:c>
      <x:c r="P97" s="12" t="str">
        <x:f>IF(L97="","",L97*O97)</x:f>
      </x:c>
      <x:c r="Q97" s="12" t="str">
        <x:f>IF(M97="","",M97*O97)</x:f>
      </x:c>
      <x:c r="R97" s="70" t="n">
        <x:f>IF(N97="","",N97)</x:f>
        <x:v>15</x:v>
      </x:c>
      <x:c r="S97" s="70" t="n">
        <x:f>IF(N97="","",N97)</x:f>
        <x:v>15</x:v>
      </x:c>
      <x:c r="T97" s="12" t="inlineStr">
        <x:is>
          <x:t xml:space="preserve">published dollar cap / direct budget</x:t>
        </x:is>
      </x:c>
      <x:c r="U97" s="12" t="inlineStr">
        <x:is>
          <x:t xml:space="preserve">high</x:t>
        </x:is>
      </x:c>
      <x:c r="V97" s="71" t="n">
        <x:f>IF(OR(S97="",D97=0),"",S97/D97)</x:f>
        <x:v>1.5</x:v>
      </x:c>
      <x:c r="W97" s="12" t="n">
        <x:f>IF(OR(S97="",J97="",J97=0),"",S97/J97)</x:f>
        <x:v>500</x:v>
      </x:c>
      <x:c r="X97" s="12" t="n">
        <x:f>IF(OR(H97="",V97=""),"",H97*V97)</x:f>
        <x:v>49.5</x:v>
      </x:c>
      <x:c r="Y97" s="12" t="n">
        <x:f>IF(OR(I97="",V97=""),"",I97*V97)</x:f>
        <x:v>180.3</x:v>
      </x:c>
      <x:c r="Z97" s="12" t="n">
        <x:f>IF(OR(X97="",Y97=""),"",SQRT((X97/_xlfn.MAXIFS($X:$X,$A:$A,A97))*(Y97/_xlfn.MAXIFS($Y:$Y,$A:$A,A97))))</x:f>
        <x:v>0.15427612670756743</x:v>
      </x:c>
      <x:c r="AA97" s="12" t="n">
        <x:f>IF(Z97="","",(X97/_xlfn.MAXIFS($X:$X,$A:$A,A97))^0.7*(Y97/_xlfn.MAXIFS($Y:$Y,$A:$A,A97))^0.3)</x:f>
        <x:v>0.1610884195234105</x:v>
      </x:c>
      <x:c r="AB97" s="12" t="n">
        <x:f>IF(Z97="","",(X97/_xlfn.MAXIFS($X:$X,$A:$A,A97))^0.3*(Y97/_xlfn.MAXIFS($Y:$Y,$A:$A,A97))^0.7)</x:f>
        <x:v>0.14775191998472906</x:v>
      </x:c>
      <x:c r="AC97" s="12" t="inlineStr">
        <x:is>
          <x:t xml:space="preserve">https://opencode.ai/docs/go</x:t>
        </x:is>
      </x:c>
      <x:c r="AD97" t="str">
        <x:f>IF(OR(P97="",J97=""),"",P97*J97)</x:f>
      </x:c>
      <x:c r="AE97" t="str">
        <x:f>IF(OR(Q97="",J97=""),"",Q97*J97)</x:f>
      </x:c>
      <x:c r="AF97" t="n">
        <x:v>119</x:v>
      </x:c>
      <x:c r="AG97" t="n">
        <x:f>IF(OR(H97="",I97=""),"",H97*I97)</x:f>
        <x:v>3966.6</x:v>
      </x:c>
      <x:c r="AH97" t="n">
        <x:f>IF(OR(H97="",J97="",J97=0),"",H97/J97)</x:f>
        <x:v>1100</x:v>
      </x:c>
    </x:row>
    <x:row r="98">
      <x:c r="A98" s="12" t="inlineStr">
        <x:is>
          <x:t xml:space="preserve">opencode-go</x:t>
        </x:is>
      </x:c>
      <x:c r="B98" s="12" t="inlineStr">
        <x:is>
          <x:t xml:space="preserve">OpenCode</x:t>
        </x:is>
      </x:c>
      <x:c r="C98" s="12" t="inlineStr">
        <x:is>
          <x:t xml:space="preserve">Go</x:t>
        </x:is>
      </x:c>
      <x:c r="D98" s="70" t="n">
        <x:v>10</x:v>
      </x:c>
      <x:c r="E98" s="12" t="inlineStr">
        <x:is>
          <x:t xml:space="preserve">GPT-6 Luna</x:t>
        </x:is>
      </x:c>
      <x:c r="F98" s="12" t="inlineStr">
        <x:is>
          <x:t xml:space="preserve">xhigh</x:t>
        </x:is>
      </x:c>
      <x:c r="G98" s="12" t="inlineStr">
        <x:is>
          <x:t xml:space="preserve">openai|gpt-6-luna|xhigh|reasoning|fallback-na</x:t>
        </x:is>
      </x:c>
      <x:c r="H98" s="12" t="n">
        <x:f>IF(AF98="","",INDEX(Rankings!$I:$I,AF98))</x:f>
        <x:v>35</x:v>
      </x:c>
      <x:c r="I98" s="12" t="n">
        <x:f>IF(AF98="","",INDEX(Rankings!$L:$L,AF98))</x:f>
        <x:v>114.7</x:v>
      </x:c>
      <x:c r="J98" s="12" t="n">
        <x:f>IF(AF98="","",INDEX(Rankings!$J:$J,AF98))</x:f>
        <x:v>0.04</x:v>
      </x:c>
      <x:c r="K98" s="12" t="e">
        <x:f>IF(AF98="","",INDEX(Rankings!$K:$K,AF98))</x:f>
        <x:v>#REF!</x:v>
      </x:c>
      <x:c r="L98" s="12" t="n"/>
      <x:c r="M98" s="12" t="n"/>
      <x:c r="N98" s="12" t="n">
        <x:v>15</x:v>
      </x:c>
      <x:c r="O98" s="12" t="n">
        <x:v>144</x:v>
      </x:c>
      <x:c r="P98" s="12" t="str">
        <x:f>IF(L98="","",L98*O98)</x:f>
      </x:c>
      <x:c r="Q98" s="12" t="str">
        <x:f>IF(M98="","",M98*O98)</x:f>
      </x:c>
      <x:c r="R98" s="70" t="n">
        <x:f>IF(N98="","",N98)</x:f>
        <x:v>15</x:v>
      </x:c>
      <x:c r="S98" s="70" t="n">
        <x:f>IF(N98="","",N98)</x:f>
        <x:v>15</x:v>
      </x:c>
      <x:c r="T98" s="12" t="inlineStr">
        <x:is>
          <x:t xml:space="preserve">published dollar cap / direct budget</x:t>
        </x:is>
      </x:c>
      <x:c r="U98" s="12" t="inlineStr">
        <x:is>
          <x:t xml:space="preserve">high</x:t>
        </x:is>
      </x:c>
      <x:c r="V98" s="71" t="n">
        <x:f>IF(OR(S98="",D98=0),"",S98/D98)</x:f>
        <x:v>1.5</x:v>
      </x:c>
      <x:c r="W98" s="12" t="n">
        <x:f>IF(OR(S98="",J98="",J98=0),"",S98/J98)</x:f>
        <x:v>375</x:v>
      </x:c>
      <x:c r="X98" s="12" t="n">
        <x:f>IF(OR(H98="",V98=""),"",H98*V98)</x:f>
        <x:v>52.5</x:v>
      </x:c>
      <x:c r="Y98" s="12" t="n">
        <x:f>IF(OR(I98="",V98=""),"",I98*V98)</x:f>
        <x:v>172.05</x:v>
      </x:c>
      <x:c r="Z98" s="12" t="n">
        <x:f>IF(OR(X98="",Y98=""),"",SQRT((X98/_xlfn.MAXIFS($X:$X,$A:$A,A98))*(Y98/_xlfn.MAXIFS($Y:$Y,$A:$A,A98))))</x:f>
        <x:v>0.15520483776824312</x:v>
      </x:c>
      <x:c r="AA98" s="12" t="n">
        <x:f>IF(Z98="","",(X98/_xlfn.MAXIFS($X:$X,$A:$A,A98))^0.7*(Y98/_xlfn.MAXIFS($Y:$Y,$A:$A,A98))^0.3)</x:f>
        <x:v>0.16551977174981278</x:v>
      </x:c>
      <x:c r="AB98" s="12" t="n">
        <x:f>IF(Z98="","",(X98/_xlfn.MAXIFS($X:$X,$A:$A,A98))^0.3*(Y98/_xlfn.MAXIFS($Y:$Y,$A:$A,A98))^0.7)</x:f>
        <x:v>0.14553271438216517</x:v>
      </x:c>
      <x:c r="AC98" s="12" t="inlineStr">
        <x:is>
          <x:t xml:space="preserve">https://opencode.ai/docs/go</x:t>
        </x:is>
      </x:c>
      <x:c r="AD98" t="str">
        <x:f>IF(OR(P98="",J98=""),"",P98*J98)</x:f>
      </x:c>
      <x:c r="AE98" t="str">
        <x:f>IF(OR(Q98="",J98=""),"",Q98*J98)</x:f>
      </x:c>
      <x:c r="AF98" t="n">
        <x:v>118</x:v>
      </x:c>
      <x:c r="AG98" t="n">
        <x:f>IF(OR(H98="",I98=""),"",H98*I98)</x:f>
        <x:v>4014.5</x:v>
      </x:c>
      <x:c r="AH98" t="n">
        <x:f>IF(OR(H98="",J98="",J98=0),"",H98/J98)</x:f>
        <x:v>875</x:v>
      </x:c>
    </x:row>
    <x:row r="99">
      <x:c r="A99" s="12" t="inlineStr">
        <x:is>
          <x:t xml:space="preserve">opencode-go</x:t>
        </x:is>
      </x:c>
      <x:c r="B99" s="12" t="inlineStr">
        <x:is>
          <x:t xml:space="preserve">OpenCode</x:t>
        </x:is>
      </x:c>
      <x:c r="C99" s="12" t="inlineStr">
        <x:is>
          <x:t xml:space="preserve">Go</x:t>
        </x:is>
      </x:c>
      <x:c r="D99" s="70" t="n">
        <x:v>10</x:v>
      </x:c>
      <x:c r="E99" s="12" t="inlineStr">
        <x:is>
          <x:t xml:space="preserve">GPT-6 Luna</x:t>
        </x:is>
      </x:c>
      <x:c r="F99" s="12" t="inlineStr">
        <x:is>
          <x:t xml:space="preserve">max</x:t>
        </x:is>
      </x:c>
      <x:c r="G99" s="12" t="inlineStr">
        <x:is>
          <x:t xml:space="preserve">openai|gpt-6-luna|max|reasoning|fallback-na</x:t>
        </x:is>
      </x:c>
      <x:c r="H99" s="12" t="n">
        <x:f>IF(AF99="","",INDEX(Rankings!$I:$I,AF99))</x:f>
        <x:v>38</x:v>
      </x:c>
      <x:c r="I99" s="12" t="n">
        <x:f>IF(AF99="","",INDEX(Rankings!$L:$L,AF99))</x:f>
        <x:v>122.1</x:v>
      </x:c>
      <x:c r="J99" s="12" t="n">
        <x:f>IF(AF99="","",INDEX(Rankings!$J:$J,AF99))</x:f>
        <x:v>0.07</x:v>
      </x:c>
      <x:c r="K99" s="12" t="str">
        <x:f>IF(AF99="","",INDEX(Rankings!$K:$K,AF99))</x:f>
      </x:c>
      <x:c r="L99" s="12" t="n"/>
      <x:c r="M99" s="12" t="n"/>
      <x:c r="N99" s="12" t="n">
        <x:v>15</x:v>
      </x:c>
      <x:c r="O99" s="12" t="n">
        <x:v>144</x:v>
      </x:c>
      <x:c r="P99" s="12" t="str">
        <x:f>IF(L99="","",L99*O99)</x:f>
      </x:c>
      <x:c r="Q99" s="12" t="str">
        <x:f>IF(M99="","",M99*O99)</x:f>
      </x:c>
      <x:c r="R99" s="70" t="n">
        <x:f>IF(N99="","",N99)</x:f>
        <x:v>15</x:v>
      </x:c>
      <x:c r="S99" s="70" t="n">
        <x:f>IF(N99="","",N99)</x:f>
        <x:v>15</x:v>
      </x:c>
      <x:c r="T99" s="12" t="inlineStr">
        <x:is>
          <x:t xml:space="preserve">published dollar cap / direct budget</x:t>
        </x:is>
      </x:c>
      <x:c r="U99" s="12" t="inlineStr">
        <x:is>
          <x:t xml:space="preserve">high</x:t>
        </x:is>
      </x:c>
      <x:c r="V99" s="71" t="n">
        <x:f>IF(OR(S99="",D99=0),"",S99/D99)</x:f>
        <x:v>1.5</x:v>
      </x:c>
      <x:c r="W99" s="12" t="n">
        <x:f>IF(OR(S99="",J99="",J99=0),"",S99/J99)</x:f>
        <x:v>214.28571428571428</x:v>
      </x:c>
      <x:c r="X99" s="12" t="n">
        <x:f>IF(OR(H99="",V99=""),"",H99*V99)</x:f>
        <x:v>57</x:v>
      </x:c>
      <x:c r="Y99" s="12" t="n">
        <x:f>IF(OR(I99="",V99=""),"",I99*V99)</x:f>
        <x:v>183.14999999999998</x:v>
      </x:c>
      <x:c r="Z99" s="12" t="n">
        <x:f>IF(OR(X99="",Y99=""),"",SQRT((X99/_xlfn.MAXIFS($X:$X,$A:$A,A99))*(Y99/_xlfn.MAXIFS($Y:$Y,$A:$A,A99))))</x:f>
        <x:v>0.16685497234794958</x:v>
      </x:c>
      <x:c r="AA99" s="12" t="n">
        <x:f>IF(Z99="","",(X99/_xlfn.MAXIFS($X:$X,$A:$A,A99))^0.7*(Y99/_xlfn.MAXIFS($Y:$Y,$A:$A,A99))^0.3)</x:f>
        <x:v>0.17864729272958518</x:v>
      </x:c>
      <x:c r="AB99" s="12" t="n">
        <x:f>IF(Z99="","",(X99/_xlfn.MAXIFS($X:$X,$A:$A,A99))^0.3*(Y99/_xlfn.MAXIFS($Y:$Y,$A:$A,A99))^0.7)</x:f>
        <x:v>0.1558410506638729</x:v>
      </x:c>
      <x:c r="AC99" s="12" t="inlineStr">
        <x:is>
          <x:t xml:space="preserve">https://opencode.ai/docs/go</x:t>
        </x:is>
      </x:c>
      <x:c r="AD99" t="str">
        <x:f>IF(OR(P99="",J99=""),"",P99*J99)</x:f>
      </x:c>
      <x:c r="AE99" t="str">
        <x:f>IF(OR(Q99="",J99=""),"",Q99*J99)</x:f>
      </x:c>
      <x:c r="AF99" t="n">
        <x:v>90</x:v>
      </x:c>
      <x:c r="AG99" t="n">
        <x:f>IF(OR(H99="",I99=""),"",H99*I99)</x:f>
        <x:v>4639.8</x:v>
      </x:c>
      <x:c r="AH99" t="n">
        <x:f>IF(OR(H99="",J99="",J99=0),"",H99/J99)</x:f>
        <x:v>542.8571428571428</x:v>
      </x:c>
    </x:row>
    <x:row r="100">
      <x:c r="A100" s="12" t="inlineStr">
        <x:is>
          <x:t xml:space="preserve">opencode-go</x:t>
        </x:is>
      </x:c>
      <x:c r="B100" s="12" t="inlineStr">
        <x:is>
          <x:t xml:space="preserve">OpenCode</x:t>
        </x:is>
      </x:c>
      <x:c r="C100" s="12" t="inlineStr">
        <x:is>
          <x:t xml:space="preserve">Go</x:t>
        </x:is>
      </x:c>
      <x:c r="D100" s="70" t="n">
        <x:v>10</x:v>
      </x:c>
      <x:c r="E100" s="12" t="inlineStr">
        <x:is>
          <x:t xml:space="preserve">DeepSeek V4.1 Flash</x:t>
        </x:is>
      </x:c>
      <x:c r="F100" s="12" t="inlineStr">
        <x:is>
          <x:t xml:space="preserve">non-reasoning</x:t>
        </x:is>
      </x:c>
      <x:c r="G100" s="12" t="inlineStr">
        <x:is>
          <x:t xml:space="preserve">deepseek|deepseek-v4.1-flash|non-reasoning|nonreasoning|fallback-na</x:t>
        </x:is>
      </x:c>
      <x:c r="H100" s="12" t="n">
        <x:f>IF(AF100="","",INDEX(Rankings!$I:$I,AF100))</x:f>
        <x:v>25</x:v>
      </x:c>
      <x:c r="I100" s="12" t="n">
        <x:f>IF(AF100="","",INDEX(Rankings!$L:$L,AF100))</x:f>
        <x:v>211</x:v>
      </x:c>
      <x:c r="J100" s="12" t="n">
        <x:f>IF(AF100="","",INDEX(Rankings!$J:$J,AF100))</x:f>
        <x:v>0.15</x:v>
      </x:c>
      <x:c r="K100" s="12" t="e">
        <x:f>IF(AF100="","",INDEX(Rankings!$K:$K,AF100))</x:f>
        <x:v>#REF!</x:v>
      </x:c>
      <x:c r="L100" s="12" t="n"/>
      <x:c r="M100" s="12" t="n"/>
      <x:c r="N100" s="12" t="n">
        <x:v>60</x:v>
      </x:c>
      <x:c r="O100" s="12" t="n">
        <x:v>144</x:v>
      </x:c>
      <x:c r="P100" s="12" t="str">
        <x:f>IF(L100="","",L100*O100)</x:f>
      </x:c>
      <x:c r="Q100" s="12" t="str">
        <x:f>IF(M100="","",M100*O100)</x:f>
      </x:c>
      <x:c r="R100" s="70" t="n">
        <x:f>IF(N100="","",N100)</x:f>
        <x:v>60</x:v>
      </x:c>
      <x:c r="S100" s="70" t="n">
        <x:f>IF(N100="","",N100)</x:f>
        <x:v>60</x:v>
      </x:c>
      <x:c r="T100" s="12" t="inlineStr">
        <x:is>
          <x:t xml:space="preserve">published dollar cap / direct budget</x:t>
        </x:is>
      </x:c>
      <x:c r="U100" s="12" t="inlineStr">
        <x:is>
          <x:t xml:space="preserve">high</x:t>
        </x:is>
      </x:c>
      <x:c r="V100" s="71" t="n">
        <x:f>IF(OR(S100="",D100=0),"",S100/D100)</x:f>
        <x:v>6</x:v>
      </x:c>
      <x:c r="W100" s="12" t="n">
        <x:f>IF(OR(S100="",J100="",J100=0),"",S100/J100)</x:f>
        <x:v>400</x:v>
      </x:c>
      <x:c r="X100" s="12" t="n">
        <x:f>IF(OR(H100="",V100=""),"",H100*V100)</x:f>
        <x:v>150</x:v>
      </x:c>
      <x:c r="Y100" s="12" t="n">
        <x:f>IF(OR(I100="",V100=""),"",I100*V100)</x:f>
        <x:v>1266</x:v>
      </x:c>
      <x:c r="Z100" s="12" t="n">
        <x:f>IF(OR(X100="",Y100=""),"",SQRT((X100/_xlfn.MAXIFS($X:$X,$A:$A,A100))*(Y100/_xlfn.MAXIFS($Y:$Y,$A:$A,A100))))</x:f>
        <x:v>0.7116406478513908</x:v>
      </x:c>
      <x:c r="AA100" s="12" t="n">
        <x:f>IF(Z100="","",(X100/_xlfn.MAXIFS($X:$X,$A:$A,A100))^0.7*(Y100/_xlfn.MAXIFS($Y:$Y,$A:$A,A100))^0.3)</x:f>
        <x:v>0.6281103595112706</x:v>
      </x:c>
      <x:c r="AB100" s="12" t="n">
        <x:f>IF(Z100="","",(X100/_xlfn.MAXIFS($X:$X,$A:$A,A100))^0.3*(Y100/_xlfn.MAXIFS($Y:$Y,$A:$A,A100))^0.7)</x:f>
        <x:v>0.8062793488526436</x:v>
      </x:c>
      <x:c r="AC100" s="12" t="inlineStr">
        <x:is>
          <x:t xml:space="preserve">https://opencode.ai/docs/go</x:t>
        </x:is>
      </x:c>
      <x:c r="AD100" t="str">
        <x:f>IF(OR(P100="",J100=""),"",P100*J100)</x:f>
      </x:c>
      <x:c r="AE100" t="str">
        <x:f>IF(OR(Q100="",J100=""),"",Q100*J100)</x:f>
      </x:c>
      <x:c r="AF100" t="n">
        <x:v>100</x:v>
      </x:c>
      <x:c r="AG100" t="n">
        <x:f>IF(OR(H100="",I100=""),"",H100*I100)</x:f>
        <x:v>5275</x:v>
      </x:c>
      <x:c r="AH100" t="n">
        <x:f>IF(OR(H100="",J100="",J100=0),"",H100/J100)</x:f>
        <x:v>166.66666666666669</x:v>
      </x:c>
    </x:row>
    <x:row r="101">
      <x:c r="A101" s="12" t="inlineStr">
        <x:is>
          <x:t xml:space="preserve">opencode-go</x:t>
        </x:is>
      </x:c>
      <x:c r="B101" s="12" t="inlineStr">
        <x:is>
          <x:t xml:space="preserve">OpenCode</x:t>
        </x:is>
      </x:c>
      <x:c r="C101" s="12" t="inlineStr">
        <x:is>
          <x:t xml:space="preserve">Go</x:t>
        </x:is>
      </x:c>
      <x:c r="D101" s="70" t="n">
        <x:v>10</x:v>
      </x:c>
      <x:c r="E101" s="12" t="inlineStr">
        <x:is>
          <x:t xml:space="preserve">Muse Spark 1.3</x:t>
        </x:is>
      </x:c>
      <x:c r="F101" s="12" t="inlineStr">
        <x:is>
          <x:t xml:space="preserve">max</x:t>
        </x:is>
      </x:c>
      <x:c r="G101" s="12" t="inlineStr">
        <x:is>
          <x:t xml:space="preserve">meta|muse-spark-1.3|max|reasoning|fallback-na</x:t>
        </x:is>
      </x:c>
      <x:c r="H101" s="12" t="n">
        <x:f>IF(AF101="","",INDEX(Rankings!$I:$I,AF101))</x:f>
        <x:v>48</x:v>
      </x:c>
      <x:c r="I101" s="12" t="n">
        <x:f>IF(AF101="","",INDEX(Rankings!$L:$L,AF101))</x:f>
        <x:v>210</x:v>
      </x:c>
      <x:c r="J101" s="12" t="n">
        <x:f>IF(AF101="","",INDEX(Rankings!$J:$J,AF101))</x:f>
        <x:v>1.6</x:v>
      </x:c>
      <x:c r="K101" s="12" t="n">
        <x:f>IF(AF101="","",INDEX(Rankings!$K:$K,AF101))</x:f>
        <x:v>312.77</x:v>
      </x:c>
      <x:c r="L101" s="12" t="n"/>
      <x:c r="M101" s="12" t="n"/>
      <x:c r="N101" s="12" t="n">
        <x:v>60</x:v>
      </x:c>
      <x:c r="O101" s="12" t="n">
        <x:v>144</x:v>
      </x:c>
      <x:c r="P101" s="12" t="str">
        <x:f>IF(L101="","",L101*O101)</x:f>
      </x:c>
      <x:c r="Q101" s="12" t="str">
        <x:f>IF(M101="","",M101*O101)</x:f>
      </x:c>
      <x:c r="R101" s="70" t="n">
        <x:f>IF(N101="","",N101)</x:f>
        <x:v>60</x:v>
      </x:c>
      <x:c r="S101" s="70" t="n">
        <x:f>IF(N101="","",N101)</x:f>
        <x:v>60</x:v>
      </x:c>
      <x:c r="T101" s="12" t="inlineStr">
        <x:is>
          <x:t xml:space="preserve">published dollar cap / direct budget</x:t>
        </x:is>
      </x:c>
      <x:c r="U101" s="12" t="inlineStr">
        <x:is>
          <x:t xml:space="preserve">high</x:t>
        </x:is>
      </x:c>
      <x:c r="V101" s="71" t="n">
        <x:f>IF(OR(S101="",D101=0),"",S101/D101)</x:f>
        <x:v>6</x:v>
      </x:c>
      <x:c r="W101" s="12" t="n">
        <x:f>IF(OR(S101="",J101="",J101=0),"",S101/J101)</x:f>
        <x:v>37.5</x:v>
      </x:c>
      <x:c r="X101" s="12" t="n">
        <x:f>IF(OR(H101="",V101=""),"",H101*V101)</x:f>
        <x:v>288</x:v>
      </x:c>
      <x:c r="Y101" s="12" t="n">
        <x:f>IF(OR(I101="",V101=""),"",I101*V101)</x:f>
        <x:v>1260</x:v>
      </x:c>
      <x:c r="Z101" s="12" t="n">
        <x:f>IF(OR(X101="",Y101=""),"",SQRT((X101/_xlfn.MAXIFS($X:$X,$A:$A,A101))*(Y101/_xlfn.MAXIFS($Y:$Y,$A:$A,A101))))</x:f>
        <x:v>0.9837387536759294</x:v>
      </x:c>
      <x:c r="AA101" s="12" t="n">
        <x:f>IF(Z101="","",(X101/_xlfn.MAXIFS($X:$X,$A:$A,A101))^0.7*(Y101/_xlfn.MAXIFS($Y:$Y,$A:$A,A101))^0.3)</x:f>
        <x:v>0.9902112776579012</x:v>
      </x:c>
      <x:c r="AB101" s="12" t="n">
        <x:f>IF(Z101="","",(X101/_xlfn.MAXIFS($X:$X,$A:$A,A101))^0.3*(Y101/_xlfn.MAXIFS($Y:$Y,$A:$A,A101))^0.7)</x:f>
        <x:v>0.9773085373990328</x:v>
      </x:c>
      <x:c r="AC101" s="12" t="inlineStr">
        <x:is>
          <x:t xml:space="preserve">https://opencode.ai/docs/go</x:t>
        </x:is>
      </x:c>
      <x:c r="AD101" t="str">
        <x:f>IF(OR(P101="",J101=""),"",P101*J101)</x:f>
      </x:c>
      <x:c r="AE101" t="str">
        <x:f>IF(OR(Q101="",J101=""),"",Q101*J101)</x:f>
      </x:c>
      <x:c r="AF101" t="n">
        <x:v>63</x:v>
      </x:c>
      <x:c r="AG101" t="n">
        <x:f>IF(OR(H101="",I101=""),"",H101*I101)</x:f>
        <x:v>10080</x:v>
      </x:c>
      <x:c r="AH101" t="n">
        <x:f>IF(OR(H101="",J101="",J101=0),"",H101/J101)</x:f>
        <x:v>30</x:v>
      </x:c>
    </x:row>
    <x:row r="102">
      <x:c r="A102" s="12" t="inlineStr">
        <x:is>
          <x:t xml:space="preserve">opencode-go-plus</x:t>
        </x:is>
      </x:c>
      <x:c r="B102" s="12" t="inlineStr">
        <x:is>
          <x:t xml:space="preserve">OpenCode</x:t>
        </x:is>
      </x:c>
      <x:c r="C102" s="12" t="inlineStr">
        <x:is>
          <x:t xml:space="preserve">Go Plus</x:t>
        </x:is>
      </x:c>
      <x:c r="D102" s="70" t="n">
        <x:v>40</x:v>
      </x:c>
      <x:c r="E102" s="12" t="inlineStr">
        <x:is>
          <x:t xml:space="preserve">GPT-6 Luna</x:t>
        </x:is>
      </x:c>
      <x:c r="F102" s="12" t="inlineStr">
        <x:is>
          <x:t xml:space="preserve">non-reasoning</x:t>
        </x:is>
      </x:c>
      <x:c r="G102" s="12" t="inlineStr">
        <x:is>
          <x:t xml:space="preserve">openai|gpt-6-luna|non-reasoning|nonreasoning|fallback-na</x:t>
        </x:is>
      </x:c>
      <x:c r="H102" s="12" t="n">
        <x:f>IF(AF102="","",INDEX(Rankings!$I:$I,AF102))</x:f>
        <x:v>18</x:v>
      </x:c>
      <x:c r="I102" s="12" t="n">
        <x:f>IF(AF102="","",INDEX(Rankings!$L:$L,AF102))</x:f>
        <x:v>113</x:v>
      </x:c>
      <x:c r="J102" s="12" t="n">
        <x:f>IF(AF102="","",INDEX(Rankings!$J:$J,AF102))</x:f>
        <x:v>0.01</x:v>
      </x:c>
      <x:c r="K102" s="12" t="e">
        <x:f>IF(AF102="","",INDEX(Rankings!$K:$K,AF102))</x:f>
        <x:v>#REF!</x:v>
      </x:c>
      <x:c r="L102" s="12" t="n"/>
      <x:c r="M102" s="12" t="n"/>
      <x:c r="N102" s="12" t="n">
        <x:v>60</x:v>
      </x:c>
      <x:c r="O102" s="12" t="n">
        <x:v>144</x:v>
      </x:c>
      <x:c r="P102" s="12" t="str">
        <x:f>IF(L102="","",L102*O102)</x:f>
      </x:c>
      <x:c r="Q102" s="12" t="str">
        <x:f>IF(M102="","",M102*O102)</x:f>
      </x:c>
      <x:c r="R102" s="70" t="n">
        <x:f>IF(N102="","",N102)</x:f>
        <x:v>60</x:v>
      </x:c>
      <x:c r="S102" s="70" t="n">
        <x:f>IF(N102="","",N102)</x:f>
        <x:v>60</x:v>
      </x:c>
      <x:c r="T102" s="12" t="inlineStr">
        <x:is>
          <x:t xml:space="preserve">published dollar cap / direct budget</x:t>
        </x:is>
      </x:c>
      <x:c r="U102" s="12" t="inlineStr">
        <x:is>
          <x:t xml:space="preserve">high</x:t>
        </x:is>
      </x:c>
      <x:c r="V102" s="71" t="n">
        <x:f>IF(OR(S102="",D102=0),"",S102/D102)</x:f>
        <x:v>1.5</x:v>
      </x:c>
      <x:c r="W102" s="12" t="n">
        <x:f>IF(OR(S102="",J102="",J102=0),"",S102/J102)</x:f>
        <x:v>6000</x:v>
      </x:c>
      <x:c r="X102" s="12" t="n">
        <x:f>IF(OR(H102="",V102=""),"",H102*V102)</x:f>
        <x:v>27</x:v>
      </x:c>
      <x:c r="Y102" s="12" t="n">
        <x:f>IF(OR(I102="",V102=""),"",I102*V102)</x:f>
        <x:v>169.5</x:v>
      </x:c>
      <x:c r="Z102" s="12" t="n">
        <x:f>IF(OR(X102="",Y102=""),"",SQRT((X102/_xlfn.MAXIFS($X:$X,$A:$A,A102))*(Y102/_xlfn.MAXIFS($Y:$Y,$A:$A,A102))))</x:f>
        <x:v>0.17585509285668804</x:v>
      </x:c>
      <x:c r="AA102" s="12" t="n">
        <x:f>IF(Z102="","",(X102/_xlfn.MAXIFS($X:$X,$A:$A,A102))^0.7*(Y102/_xlfn.MAXIFS($Y:$Y,$A:$A,A102))^0.3)</x:f>
        <x:v>0.1618280325416506</x:v>
      </x:c>
      <x:c r="AB102" s="12" t="n">
        <x:f>IF(Z102="","",(X102/_xlfn.MAXIFS($X:$X,$A:$A,A102))^0.3*(Y102/_xlfn.MAXIFS($Y:$Y,$A:$A,A102))^0.7)</x:f>
        <x:v>0.19109800198352553</x:v>
      </x:c>
      <x:c r="AC102" s="12" t="inlineStr">
        <x:is>
          <x:t xml:space="preserve">https://opencode.ai/docs/go</x:t>
        </x:is>
      </x:c>
      <x:c r="AD102" t="str">
        <x:f>IF(OR(P102="",J102=""),"",P102*J102)</x:f>
      </x:c>
      <x:c r="AE102" t="str">
        <x:f>IF(OR(Q102="",J102=""),"",Q102*J102)</x:f>
      </x:c>
      <x:c r="AF102" t="n">
        <x:v>122</x:v>
      </x:c>
      <x:c r="AG102" t="n">
        <x:f>IF(OR(H102="",I102=""),"",H102*I102)</x:f>
        <x:v>2034</x:v>
      </x:c>
      <x:c r="AH102" t="n">
        <x:f>IF(OR(H102="",J102="",J102=0),"",H102/J102)</x:f>
        <x:v>1800</x:v>
      </x:c>
    </x:row>
    <x:row r="103">
      <x:c r="A103" s="12" t="inlineStr">
        <x:is>
          <x:t xml:space="preserve">opencode-go-plus</x:t>
        </x:is>
      </x:c>
      <x:c r="B103" s="12" t="inlineStr">
        <x:is>
          <x:t xml:space="preserve">OpenCode</x:t>
        </x:is>
      </x:c>
      <x:c r="C103" s="12" t="inlineStr">
        <x:is>
          <x:t xml:space="preserve">Go Plus</x:t>
        </x:is>
      </x:c>
      <x:c r="D103" s="70" t="n">
        <x:v>40</x:v>
      </x:c>
      <x:c r="E103" s="12" t="inlineStr">
        <x:is>
          <x:t xml:space="preserve">GPT-6 Luna</x:t>
        </x:is>
      </x:c>
      <x:c r="F103" s="12" t="inlineStr">
        <x:is>
          <x:t xml:space="preserve">low</x:t>
        </x:is>
      </x:c>
      <x:c r="G103" s="12" t="inlineStr">
        <x:is>
          <x:t xml:space="preserve">openai|gpt-6-luna|low|reasoning|fallback-na</x:t>
        </x:is>
      </x:c>
      <x:c r="H103" s="12" t="n">
        <x:f>IF(AF103="","",INDEX(Rankings!$I:$I,AF103))</x:f>
        <x:v>22</x:v>
      </x:c>
      <x:c r="I103" s="12" t="n">
        <x:f>IF(AF103="","",INDEX(Rankings!$L:$L,AF103))</x:f>
        <x:v>117.9</x:v>
      </x:c>
      <x:c r="J103" s="12" t="n">
        <x:f>IF(AF103="","",INDEX(Rankings!$J:$J,AF103))</x:f>
        <x:v>0.0045</x:v>
      </x:c>
      <x:c r="K103" s="12" t="e">
        <x:f>IF(AF103="","",INDEX(Rankings!$K:$K,AF103))</x:f>
        <x:v>#REF!</x:v>
      </x:c>
      <x:c r="L103" s="12" t="n"/>
      <x:c r="M103" s="12" t="n"/>
      <x:c r="N103" s="12" t="n">
        <x:v>60</x:v>
      </x:c>
      <x:c r="O103" s="12" t="n">
        <x:v>144</x:v>
      </x:c>
      <x:c r="P103" s="12" t="str">
        <x:f>IF(L103="","",L103*O103)</x:f>
      </x:c>
      <x:c r="Q103" s="12" t="str">
        <x:f>IF(M103="","",M103*O103)</x:f>
      </x:c>
      <x:c r="R103" s="70" t="n">
        <x:f>IF(N103="","",N103)</x:f>
        <x:v>60</x:v>
      </x:c>
      <x:c r="S103" s="70" t="n">
        <x:f>IF(N103="","",N103)</x:f>
        <x:v>60</x:v>
      </x:c>
      <x:c r="T103" s="12" t="inlineStr">
        <x:is>
          <x:t xml:space="preserve">published dollar cap / direct budget</x:t>
        </x:is>
      </x:c>
      <x:c r="U103" s="12" t="inlineStr">
        <x:is>
          <x:t xml:space="preserve">high</x:t>
        </x:is>
      </x:c>
      <x:c r="V103" s="71" t="n">
        <x:f>IF(OR(S103="",D103=0),"",S103/D103)</x:f>
        <x:v>1.5</x:v>
      </x:c>
      <x:c r="W103" s="12" t="n">
        <x:f>IF(OR(S103="",J103="",J103=0),"",S103/J103)</x:f>
        <x:v>13333.333333333334</x:v>
      </x:c>
      <x:c r="X103" s="12" t="n">
        <x:f>IF(OR(H103="",V103=""),"",H103*V103)</x:f>
        <x:v>33</x:v>
      </x:c>
      <x:c r="Y103" s="12" t="n">
        <x:f>IF(OR(I103="",V103=""),"",I103*V103)</x:f>
        <x:v>176.85000000000002</x:v>
      </x:c>
      <x:c r="Z103" s="12" t="n">
        <x:f>IF(OR(X103="",Y103=""),"",SQRT((X103/_xlfn.MAXIFS($X:$X,$A:$A,A103))*(Y103/_xlfn.MAXIFS($Y:$Y,$A:$A,A103))))</x:f>
        <x:v>0.19858558422962244</x:v>
      </x:c>
      <x:c r="AA103" s="12" t="n">
        <x:f>IF(Z103="","",(X103/_xlfn.MAXIFS($X:$X,$A:$A,A103))^0.7*(Y103/_xlfn.MAXIFS($Y:$Y,$A:$A,A103))^0.3)</x:f>
        <x:v>0.18862075792372288</x:v>
      </x:c>
      <x:c r="AB103" s="12" t="n">
        <x:f>IF(Z103="","",(X103/_xlfn.MAXIFS($X:$X,$A:$A,A103))^0.3*(Y103/_xlfn.MAXIFS($Y:$Y,$A:$A,A103))^0.7)</x:f>
        <x:v>0.20907685186891395</x:v>
      </x:c>
      <x:c r="AC103" s="12" t="inlineStr">
        <x:is>
          <x:t xml:space="preserve">https://opencode.ai/docs/go</x:t>
        </x:is>
      </x:c>
      <x:c r="AD103" t="str">
        <x:f>IF(OR(P103="",J103=""),"",P103*J103)</x:f>
      </x:c>
      <x:c r="AE103" t="str">
        <x:f>IF(OR(Q103="",J103=""),"",Q103*J103)</x:f>
      </x:c>
      <x:c r="AF103" t="n">
        <x:v>121</x:v>
      </x:c>
      <x:c r="AG103" t="n">
        <x:f>IF(OR(H103="",I103=""),"",H103*I103)</x:f>
        <x:v>2593.8</x:v>
      </x:c>
      <x:c r="AH103" t="n">
        <x:f>IF(OR(H103="",J103="",J103=0),"",H103/J103)</x:f>
        <x:v>4888.88888888889</x:v>
      </x:c>
    </x:row>
    <x:row r="104">
      <x:c r="A104" s="12" t="inlineStr">
        <x:is>
          <x:t xml:space="preserve">opencode-go-plus</x:t>
        </x:is>
      </x:c>
      <x:c r="B104" s="12" t="inlineStr">
        <x:is>
          <x:t xml:space="preserve">OpenCode</x:t>
        </x:is>
      </x:c>
      <x:c r="C104" s="12" t="inlineStr">
        <x:is>
          <x:t xml:space="preserve">Go Plus</x:t>
        </x:is>
      </x:c>
      <x:c r="D104" s="70" t="n">
        <x:v>40</x:v>
      </x:c>
      <x:c r="E104" s="12" t="inlineStr">
        <x:is>
          <x:t xml:space="preserve">GPT-6 Luna</x:t>
        </x:is>
      </x:c>
      <x:c r="F104" s="12" t="inlineStr">
        <x:is>
          <x:t xml:space="preserve">high</x:t>
        </x:is>
      </x:c>
      <x:c r="G104" s="12" t="inlineStr">
        <x:is>
          <x:t xml:space="preserve">openai|gpt-6-luna|high|reasoning|fallback-na</x:t>
        </x:is>
      </x:c>
      <x:c r="H104" s="12" t="n">
        <x:f>IF(AF104="","",INDEX(Rankings!$I:$I,AF104))</x:f>
        <x:v>33</x:v>
      </x:c>
      <x:c r="I104" s="12" t="n">
        <x:f>IF(AF104="","",INDEX(Rankings!$L:$L,AF104))</x:f>
        <x:v>120.2</x:v>
      </x:c>
      <x:c r="J104" s="12" t="n">
        <x:f>IF(AF104="","",INDEX(Rankings!$J:$J,AF104))</x:f>
        <x:v>0.03</x:v>
      </x:c>
      <x:c r="K104" s="12" t="e">
        <x:f>IF(AF104="","",INDEX(Rankings!$K:$K,AF104))</x:f>
        <x:v>#REF!</x:v>
      </x:c>
      <x:c r="L104" s="12" t="n"/>
      <x:c r="M104" s="12" t="n"/>
      <x:c r="N104" s="12" t="n">
        <x:v>60</x:v>
      </x:c>
      <x:c r="O104" s="12" t="n">
        <x:v>144</x:v>
      </x:c>
      <x:c r="P104" s="12" t="str">
        <x:f>IF(L104="","",L104*O104)</x:f>
      </x:c>
      <x:c r="Q104" s="12" t="str">
        <x:f>IF(M104="","",M104*O104)</x:f>
      </x:c>
      <x:c r="R104" s="70" t="n">
        <x:f>IF(N104="","",N104)</x:f>
        <x:v>60</x:v>
      </x:c>
      <x:c r="S104" s="70" t="n">
        <x:f>IF(N104="","",N104)</x:f>
        <x:v>60</x:v>
      </x:c>
      <x:c r="T104" s="12" t="inlineStr">
        <x:is>
          <x:t xml:space="preserve">published dollar cap / direct budget</x:t>
        </x:is>
      </x:c>
      <x:c r="U104" s="12" t="inlineStr">
        <x:is>
          <x:t xml:space="preserve">high</x:t>
        </x:is>
      </x:c>
      <x:c r="V104" s="71" t="n">
        <x:f>IF(OR(S104="",D104=0),"",S104/D104)</x:f>
        <x:v>1.5</x:v>
      </x:c>
      <x:c r="W104" s="12" t="n">
        <x:f>IF(OR(S104="",J104="",J104=0),"",S104/J104)</x:f>
        <x:v>2000</x:v>
      </x:c>
      <x:c r="X104" s="12" t="n">
        <x:f>IF(OR(H104="",V104=""),"",H104*V104)</x:f>
        <x:v>49.5</x:v>
      </x:c>
      <x:c r="Y104" s="12" t="n">
        <x:f>IF(OR(I104="",V104=""),"",I104*V104)</x:f>
        <x:v>180.3</x:v>
      </x:c>
      <x:c r="Z104" s="12" t="n">
        <x:f>IF(OR(X104="",Y104=""),"",SQRT((X104/_xlfn.MAXIFS($X:$X,$A:$A,A104))*(Y104/_xlfn.MAXIFS($Y:$Y,$A:$A,A104))))</x:f>
        <x:v>0.24557755983506474</x:v>
      </x:c>
      <x:c r="AA104" s="12" t="n">
        <x:f>IF(Z104="","",(X104/_xlfn.MAXIFS($X:$X,$A:$A,A104))^0.7*(Y104/_xlfn.MAXIFS($Y:$Y,$A:$A,A104))^0.3)</x:f>
        <x:v>0.2519826075342043</x:v>
      </x:c>
      <x:c r="AB104" s="12" t="n">
        <x:f>IF(Z104="","",(X104/_xlfn.MAXIFS($X:$X,$A:$A,A104))^0.3*(Y104/_xlfn.MAXIFS($Y:$Y,$A:$A,A104))^0.7)</x:f>
        <x:v>0.23933531954723705</x:v>
      </x:c>
      <x:c r="AC104" s="12" t="inlineStr">
        <x:is>
          <x:t xml:space="preserve">https://opencode.ai/docs/go</x:t>
        </x:is>
      </x:c>
      <x:c r="AD104" t="str">
        <x:f>IF(OR(P104="",J104=""),"",P104*J104)</x:f>
      </x:c>
      <x:c r="AE104" t="str">
        <x:f>IF(OR(Q104="",J104=""),"",Q104*J104)</x:f>
      </x:c>
      <x:c r="AF104" t="n">
        <x:v>119</x:v>
      </x:c>
      <x:c r="AG104" t="n">
        <x:f>IF(OR(H104="",I104=""),"",H104*I104)</x:f>
        <x:v>3966.6</x:v>
      </x:c>
      <x:c r="AH104" t="n">
        <x:f>IF(OR(H104="",J104="",J104=0),"",H104/J104)</x:f>
        <x:v>1100</x:v>
      </x:c>
    </x:row>
    <x:row r="105">
      <x:c r="A105" s="12" t="inlineStr">
        <x:is>
          <x:t xml:space="preserve">opencode-go-plus</x:t>
        </x:is>
      </x:c>
      <x:c r="B105" s="12" t="inlineStr">
        <x:is>
          <x:t xml:space="preserve">OpenCode</x:t>
        </x:is>
      </x:c>
      <x:c r="C105" s="12" t="inlineStr">
        <x:is>
          <x:t xml:space="preserve">Go Plus</x:t>
        </x:is>
      </x:c>
      <x:c r="D105" s="70" t="n">
        <x:v>40</x:v>
      </x:c>
      <x:c r="E105" s="12" t="inlineStr">
        <x:is>
          <x:t xml:space="preserve">GPT-6 Luna</x:t>
        </x:is>
      </x:c>
      <x:c r="F105" s="12" t="inlineStr">
        <x:is>
          <x:t xml:space="preserve">xhigh</x:t>
        </x:is>
      </x:c>
      <x:c r="G105" s="12" t="inlineStr">
        <x:is>
          <x:t xml:space="preserve">openai|gpt-6-luna|xhigh|reasoning|fallback-na</x:t>
        </x:is>
      </x:c>
      <x:c r="H105" s="12" t="n">
        <x:f>IF(AF105="","",INDEX(Rankings!$I:$I,AF105))</x:f>
        <x:v>35</x:v>
      </x:c>
      <x:c r="I105" s="12" t="n">
        <x:f>IF(AF105="","",INDEX(Rankings!$L:$L,AF105))</x:f>
        <x:v>114.7</x:v>
      </x:c>
      <x:c r="J105" s="12" t="n">
        <x:f>IF(AF105="","",INDEX(Rankings!$J:$J,AF105))</x:f>
        <x:v>0.04</x:v>
      </x:c>
      <x:c r="K105" s="12" t="e">
        <x:f>IF(AF105="","",INDEX(Rankings!$K:$K,AF105))</x:f>
        <x:v>#REF!</x:v>
      </x:c>
      <x:c r="L105" s="12" t="n"/>
      <x:c r="M105" s="12" t="n"/>
      <x:c r="N105" s="12" t="n">
        <x:v>60</x:v>
      </x:c>
      <x:c r="O105" s="12" t="n">
        <x:v>144</x:v>
      </x:c>
      <x:c r="P105" s="12" t="str">
        <x:f>IF(L105="","",L105*O105)</x:f>
      </x:c>
      <x:c r="Q105" s="12" t="str">
        <x:f>IF(M105="","",M105*O105)</x:f>
      </x:c>
      <x:c r="R105" s="70" t="n">
        <x:f>IF(N105="","",N105)</x:f>
        <x:v>60</x:v>
      </x:c>
      <x:c r="S105" s="70" t="n">
        <x:f>IF(N105="","",N105)</x:f>
        <x:v>60</x:v>
      </x:c>
      <x:c r="T105" s="12" t="inlineStr">
        <x:is>
          <x:t xml:space="preserve">published dollar cap / direct budget</x:t>
        </x:is>
      </x:c>
      <x:c r="U105" s="12" t="inlineStr">
        <x:is>
          <x:t xml:space="preserve">high</x:t>
        </x:is>
      </x:c>
      <x:c r="V105" s="71" t="n">
        <x:f>IF(OR(S105="",D105=0),"",S105/D105)</x:f>
        <x:v>1.5</x:v>
      </x:c>
      <x:c r="W105" s="12" t="n">
        <x:f>IF(OR(S105="",J105="",J105=0),"",S105/J105)</x:f>
        <x:v>1500</x:v>
      </x:c>
      <x:c r="X105" s="12" t="n">
        <x:f>IF(OR(H105="",V105=""),"",H105*V105)</x:f>
        <x:v>52.5</x:v>
      </x:c>
      <x:c r="Y105" s="12" t="n">
        <x:f>IF(OR(I105="",V105=""),"",I105*V105)</x:f>
        <x:v>172.05</x:v>
      </x:c>
      <x:c r="Z105" s="12" t="n">
        <x:f>IF(OR(X105="",Y105=""),"",SQRT((X105/_xlfn.MAXIFS($X:$X,$A:$A,A105))*(Y105/_xlfn.MAXIFS($Y:$Y,$A:$A,A105))))</x:f>
        <x:v>0.24705588704576067</x:v>
      </x:c>
      <x:c r="AA105" s="12" t="n">
        <x:f>IF(Z105="","",(X105/_xlfn.MAXIFS($X:$X,$A:$A,A105))^0.7*(Y105/_xlfn.MAXIFS($Y:$Y,$A:$A,A105))^0.3)</x:f>
        <x:v>0.25891435155537573</x:v>
      </x:c>
      <x:c r="AB105" s="12" t="n">
        <x:f>IF(Z105="","",(X105/_xlfn.MAXIFS($X:$X,$A:$A,A105))^0.3*(Y105/_xlfn.MAXIFS($Y:$Y,$A:$A,A105))^0.7)</x:f>
        <x:v>0.23574054878496514</x:v>
      </x:c>
      <x:c r="AC105" s="12" t="inlineStr">
        <x:is>
          <x:t xml:space="preserve">https://opencode.ai/docs/go</x:t>
        </x:is>
      </x:c>
      <x:c r="AD105" t="str">
        <x:f>IF(OR(P105="",J105=""),"",P105*J105)</x:f>
      </x:c>
      <x:c r="AE105" t="str">
        <x:f>IF(OR(Q105="",J105=""),"",Q105*J105)</x:f>
      </x:c>
      <x:c r="AF105" t="n">
        <x:v>118</x:v>
      </x:c>
      <x:c r="AG105" t="n">
        <x:f>IF(OR(H105="",I105=""),"",H105*I105)</x:f>
        <x:v>4014.5</x:v>
      </x:c>
      <x:c r="AH105" t="n">
        <x:f>IF(OR(H105="",J105="",J105=0),"",H105/J105)</x:f>
        <x:v>875</x:v>
      </x:c>
    </x:row>
    <x:row r="106">
      <x:c r="A106" s="12" t="inlineStr">
        <x:is>
          <x:t xml:space="preserve">opencode-go-plus</x:t>
        </x:is>
      </x:c>
      <x:c r="B106" s="12" t="inlineStr">
        <x:is>
          <x:t xml:space="preserve">OpenCode</x:t>
        </x:is>
      </x:c>
      <x:c r="C106" s="12" t="inlineStr">
        <x:is>
          <x:t xml:space="preserve">Go Plus</x:t>
        </x:is>
      </x:c>
      <x:c r="D106" s="70" t="n">
        <x:v>40</x:v>
      </x:c>
      <x:c r="E106" s="12" t="inlineStr">
        <x:is>
          <x:t xml:space="preserve">GPT-6 Luna</x:t>
        </x:is>
      </x:c>
      <x:c r="F106" s="12" t="inlineStr">
        <x:is>
          <x:t xml:space="preserve">max</x:t>
        </x:is>
      </x:c>
      <x:c r="G106" s="12" t="inlineStr">
        <x:is>
          <x:t xml:space="preserve">openai|gpt-6-luna|max|reasoning|fallback-na</x:t>
        </x:is>
      </x:c>
      <x:c r="H106" s="12" t="n">
        <x:f>IF(AF106="","",INDEX(Rankings!$I:$I,AF106))</x:f>
        <x:v>38</x:v>
      </x:c>
      <x:c r="I106" s="12" t="n">
        <x:f>IF(AF106="","",INDEX(Rankings!$L:$L,AF106))</x:f>
        <x:v>122.1</x:v>
      </x:c>
      <x:c r="J106" s="12" t="n">
        <x:f>IF(AF106="","",INDEX(Rankings!$J:$J,AF106))</x:f>
        <x:v>0.07</x:v>
      </x:c>
      <x:c r="K106" s="12" t="str">
        <x:f>IF(AF106="","",INDEX(Rankings!$K:$K,AF106))</x:f>
      </x:c>
      <x:c r="L106" s="12" t="n"/>
      <x:c r="M106" s="12" t="n"/>
      <x:c r="N106" s="12" t="n">
        <x:v>60</x:v>
      </x:c>
      <x:c r="O106" s="12" t="n">
        <x:v>144</x:v>
      </x:c>
      <x:c r="P106" s="12" t="str">
        <x:f>IF(L106="","",L106*O106)</x:f>
      </x:c>
      <x:c r="Q106" s="12" t="str">
        <x:f>IF(M106="","",M106*O106)</x:f>
      </x:c>
      <x:c r="R106" s="70" t="n">
        <x:f>IF(N106="","",N106)</x:f>
        <x:v>60</x:v>
      </x:c>
      <x:c r="S106" s="70" t="n">
        <x:f>IF(N106="","",N106)</x:f>
        <x:v>60</x:v>
      </x:c>
      <x:c r="T106" s="12" t="inlineStr">
        <x:is>
          <x:t xml:space="preserve">published dollar cap / direct budget</x:t>
        </x:is>
      </x:c>
      <x:c r="U106" s="12" t="inlineStr">
        <x:is>
          <x:t xml:space="preserve">high</x:t>
        </x:is>
      </x:c>
      <x:c r="V106" s="71" t="n">
        <x:f>IF(OR(S106="",D106=0),"",S106/D106)</x:f>
        <x:v>1.5</x:v>
      </x:c>
      <x:c r="W106" s="12" t="n">
        <x:f>IF(OR(S106="",J106="",J106=0),"",S106/J106)</x:f>
        <x:v>857.1428571428571</x:v>
      </x:c>
      <x:c r="X106" s="12" t="n">
        <x:f>IF(OR(H106="",V106=""),"",H106*V106)</x:f>
        <x:v>57</x:v>
      </x:c>
      <x:c r="Y106" s="12" t="n">
        <x:f>IF(OR(I106="",V106=""),"",I106*V106)</x:f>
        <x:v>183.14999999999998</x:v>
      </x:c>
      <x:c r="Z106" s="12" t="n">
        <x:f>IF(OR(X106="",Y106=""),"",SQRT((X106/_xlfn.MAXIFS($X:$X,$A:$A,A106))*(Y106/_xlfn.MAXIFS($Y:$Y,$A:$A,A106))))</x:f>
        <x:v>0.26560063329323097</x:v>
      </x:c>
      <x:c r="AA106" s="12" t="n">
        <x:f>IF(Z106="","",(X106/_xlfn.MAXIFS($X:$X,$A:$A,A106))^0.7*(Y106/_xlfn.MAXIFS($Y:$Y,$A:$A,A106))^0.3)</x:f>
        <x:v>0.2794490801021556</x:v>
      </x:c>
      <x:c r="AB106" s="12" t="n">
        <x:f>IF(Z106="","",(X106/_xlfn.MAXIFS($X:$X,$A:$A,A106))^0.3*(Y106/_xlfn.MAXIFS($Y:$Y,$A:$A,A106))^0.7)</x:f>
        <x:v>0.2524384634938765</x:v>
      </x:c>
      <x:c r="AC106" s="12" t="inlineStr">
        <x:is>
          <x:t xml:space="preserve">https://opencode.ai/docs/go</x:t>
        </x:is>
      </x:c>
      <x:c r="AD106" t="str">
        <x:f>IF(OR(P106="",J106=""),"",P106*J106)</x:f>
      </x:c>
      <x:c r="AE106" t="str">
        <x:f>IF(OR(Q106="",J106=""),"",Q106*J106)</x:f>
      </x:c>
      <x:c r="AF106" t="n">
        <x:v>90</x:v>
      </x:c>
      <x:c r="AG106" t="n">
        <x:f>IF(OR(H106="",I106=""),"",H106*I106)</x:f>
        <x:v>4639.8</x:v>
      </x:c>
      <x:c r="AH106" t="n">
        <x:f>IF(OR(H106="",J106="",J106=0),"",H106/J106)</x:f>
        <x:v>542.8571428571428</x:v>
      </x:c>
    </x:row>
    <x:row r="107">
      <x:c r="A107" s="12" t="inlineStr">
        <x:is>
          <x:t xml:space="preserve">opencode-go-plus</x:t>
        </x:is>
      </x:c>
      <x:c r="B107" s="12" t="inlineStr">
        <x:is>
          <x:t xml:space="preserve">OpenCode</x:t>
        </x:is>
      </x:c>
      <x:c r="C107" s="12" t="inlineStr">
        <x:is>
          <x:t xml:space="preserve">Go Plus</x:t>
        </x:is>
      </x:c>
      <x:c r="D107" s="70" t="n">
        <x:v>40</x:v>
      </x:c>
      <x:c r="E107" s="12" t="inlineStr">
        <x:is>
          <x:t xml:space="preserve">DeepSeek V4.1 Flash</x:t>
        </x:is>
      </x:c>
      <x:c r="F107" s="12" t="inlineStr">
        <x:is>
          <x:t xml:space="preserve">non-reasoning</x:t>
        </x:is>
      </x:c>
      <x:c r="G107" s="12" t="inlineStr">
        <x:is>
          <x:t xml:space="preserve">deepseek|deepseek-v4.1-flash|non-reasoning|nonreasoning|fallback-na</x:t>
        </x:is>
      </x:c>
      <x:c r="H107" s="12" t="n">
        <x:f>IF(AF107="","",INDEX(Rankings!$I:$I,AF107))</x:f>
        <x:v>25</x:v>
      </x:c>
      <x:c r="I107" s="12" t="n">
        <x:f>IF(AF107="","",INDEX(Rankings!$L:$L,AF107))</x:f>
        <x:v>211</x:v>
      </x:c>
      <x:c r="J107" s="12" t="n">
        <x:f>IF(AF107="","",INDEX(Rankings!$J:$J,AF107))</x:f>
        <x:v>0.15</x:v>
      </x:c>
      <x:c r="K107" s="12" t="e">
        <x:f>IF(AF107="","",INDEX(Rankings!$K:$K,AF107))</x:f>
        <x:v>#REF!</x:v>
      </x:c>
      <x:c r="L107" s="12" t="n"/>
      <x:c r="M107" s="12" t="n"/>
      <x:c r="N107" s="12" t="n">
        <x:v>120</x:v>
      </x:c>
      <x:c r="O107" s="12" t="n">
        <x:v>144</x:v>
      </x:c>
      <x:c r="P107" s="12" t="str">
        <x:f>IF(L107="","",L107*O107)</x:f>
      </x:c>
      <x:c r="Q107" s="12" t="str">
        <x:f>IF(M107="","",M107*O107)</x:f>
      </x:c>
      <x:c r="R107" s="70" t="n">
        <x:f>IF(N107="","",N107)</x:f>
        <x:v>120</x:v>
      </x:c>
      <x:c r="S107" s="70" t="n">
        <x:f>IF(N107="","",N107)</x:f>
        <x:v>120</x:v>
      </x:c>
      <x:c r="T107" s="12" t="inlineStr">
        <x:is>
          <x:t xml:space="preserve">published dollar cap / direct budget</x:t>
        </x:is>
      </x:c>
      <x:c r="U107" s="12" t="inlineStr">
        <x:is>
          <x:t xml:space="preserve">high</x:t>
        </x:is>
      </x:c>
      <x:c r="V107" s="71" t="n">
        <x:f>IF(OR(S107="",D107=0),"",S107/D107)</x:f>
        <x:v>3</x:v>
      </x:c>
      <x:c r="W107" s="12" t="n">
        <x:f>IF(OR(S107="",J107="",J107=0),"",S107/J107)</x:f>
        <x:v>800</x:v>
      </x:c>
      <x:c r="X107" s="12" t="n">
        <x:f>IF(OR(H107="",V107=""),"",H107*V107)</x:f>
        <x:v>75</x:v>
      </x:c>
      <x:c r="Y107" s="12" t="n">
        <x:f>IF(OR(I107="",V107=""),"",I107*V107)</x:f>
        <x:v>633</x:v>
      </x:c>
      <x:c r="Z107" s="12" t="n">
        <x:f>IF(OR(X107="",Y107=""),"",SQRT((X107/_xlfn.MAXIFS($X:$X,$A:$A,A107))*(Y107/_xlfn.MAXIFS($Y:$Y,$A:$A,A107))))</x:f>
        <x:v>0.566396685956651</x:v>
      </x:c>
      <x:c r="AA107" s="12" t="n">
        <x:f>IF(Z107="","",(X107/_xlfn.MAXIFS($X:$X,$A:$A,A107))^0.7*(Y107/_xlfn.MAXIFS($Y:$Y,$A:$A,A107))^0.3)</x:f>
        <x:v>0.4912609071376951</x:v>
      </x:c>
      <x:c r="AB107" s="12" t="n">
        <x:f>IF(Z107="","",(X107/_xlfn.MAXIFS($X:$X,$A:$A,A107))^0.3*(Y107/_xlfn.MAXIFS($Y:$Y,$A:$A,A107))^0.7)</x:f>
        <x:v>0.6530240880183835</x:v>
      </x:c>
      <x:c r="AC107" s="12" t="inlineStr">
        <x:is>
          <x:t xml:space="preserve">https://opencode.ai/docs/go</x:t>
        </x:is>
      </x:c>
      <x:c r="AD107" t="str">
        <x:f>IF(OR(P107="",J107=""),"",P107*J107)</x:f>
      </x:c>
      <x:c r="AE107" t="str">
        <x:f>IF(OR(Q107="",J107=""),"",Q107*J107)</x:f>
      </x:c>
      <x:c r="AF107" t="n">
        <x:v>100</x:v>
      </x:c>
      <x:c r="AG107" t="n">
        <x:f>IF(OR(H107="",I107=""),"",H107*I107)</x:f>
        <x:v>5275</x:v>
      </x:c>
      <x:c r="AH107" t="n">
        <x:f>IF(OR(H107="",J107="",J107=0),"",H107/J107)</x:f>
        <x:v>166.66666666666669</x:v>
      </x:c>
    </x:row>
    <x:row r="108">
      <x:c r="A108" s="12" t="inlineStr">
        <x:is>
          <x:t xml:space="preserve">opencode-go-plus</x:t>
        </x:is>
      </x:c>
      <x:c r="B108" s="12" t="inlineStr">
        <x:is>
          <x:t xml:space="preserve">OpenCode</x:t>
        </x:is>
      </x:c>
      <x:c r="C108" s="12" t="inlineStr">
        <x:is>
          <x:t xml:space="preserve">Go Plus</x:t>
        </x:is>
      </x:c>
      <x:c r="D108" s="70" t="n">
        <x:v>40</x:v>
      </x:c>
      <x:c r="E108" s="12" t="inlineStr">
        <x:is>
          <x:t xml:space="preserve">Muse Spark 1.3</x:t>
        </x:is>
      </x:c>
      <x:c r="F108" s="12" t="inlineStr">
        <x:is>
          <x:t xml:space="preserve">max</x:t>
        </x:is>
      </x:c>
      <x:c r="G108" s="12" t="inlineStr">
        <x:is>
          <x:t xml:space="preserve">meta|muse-spark-1.3|max|reasoning|fallback-na</x:t>
        </x:is>
      </x:c>
      <x:c r="H108" s="12" t="n">
        <x:f>IF(AF108="","",INDEX(Rankings!$I:$I,AF108))</x:f>
        <x:v>48</x:v>
      </x:c>
      <x:c r="I108" s="12" t="n">
        <x:f>IF(AF108="","",INDEX(Rankings!$L:$L,AF108))</x:f>
        <x:v>210</x:v>
      </x:c>
      <x:c r="J108" s="12" t="n">
        <x:f>IF(AF108="","",INDEX(Rankings!$J:$J,AF108))</x:f>
        <x:v>1.6</x:v>
      </x:c>
      <x:c r="K108" s="12" t="n">
        <x:f>IF(AF108="","",INDEX(Rankings!$K:$K,AF108))</x:f>
        <x:v>312.77</x:v>
      </x:c>
      <x:c r="L108" s="12" t="n"/>
      <x:c r="M108" s="12" t="n"/>
      <x:c r="N108" s="12" t="n">
        <x:v>120</x:v>
      </x:c>
      <x:c r="O108" s="12" t="n">
        <x:v>144</x:v>
      </x:c>
      <x:c r="P108" s="12" t="str">
        <x:f>IF(L108="","",L108*O108)</x:f>
      </x:c>
      <x:c r="Q108" s="12" t="str">
        <x:f>IF(M108="","",M108*O108)</x:f>
      </x:c>
      <x:c r="R108" s="70" t="n">
        <x:f>IF(N108="","",N108)</x:f>
        <x:v>120</x:v>
      </x:c>
      <x:c r="S108" s="70" t="n">
        <x:f>IF(N108="","",N108)</x:f>
        <x:v>120</x:v>
      </x:c>
      <x:c r="T108" s="12" t="inlineStr">
        <x:is>
          <x:t xml:space="preserve">published dollar cap / direct budget</x:t>
        </x:is>
      </x:c>
      <x:c r="U108" s="12" t="inlineStr">
        <x:is>
          <x:t xml:space="preserve">high</x:t>
        </x:is>
      </x:c>
      <x:c r="V108" s="71" t="n">
        <x:f>IF(OR(S108="",D108=0),"",S108/D108)</x:f>
        <x:v>3</x:v>
      </x:c>
      <x:c r="W108" s="12" t="n">
        <x:f>IF(OR(S108="",J108="",J108=0),"",S108/J108)</x:f>
        <x:v>75</x:v>
      </x:c>
      <x:c r="X108" s="12" t="n">
        <x:f>IF(OR(H108="",V108=""),"",H108*V108)</x:f>
        <x:v>144</x:v>
      </x:c>
      <x:c r="Y108" s="12" t="n">
        <x:f>IF(OR(I108="",V108=""),"",I108*V108)</x:f>
        <x:v>630</x:v>
      </x:c>
      <x:c r="Z108" s="12" t="n">
        <x:f>IF(OR(X108="",Y108=""),"",SQRT((X108/_xlfn.MAXIFS($X:$X,$A:$A,A108))*(Y108/_xlfn.MAXIFS($Y:$Y,$A:$A,A108))))</x:f>
        <x:v>0.7829602926862713</x:v>
      </x:c>
      <x:c r="AA108" s="12" t="n">
        <x:f>IF(Z108="","",(X108/_xlfn.MAXIFS($X:$X,$A:$A,A108))^0.7*(Y108/_xlfn.MAXIFS($Y:$Y,$A:$A,A108))^0.3)</x:f>
        <x:v>0.7744691408985875</x:v>
      </x:c>
      <x:c r="AB108" s="12" t="n">
        <x:f>IF(Z108="","",(X108/_xlfn.MAXIFS($X:$X,$A:$A,A108))^0.3*(Y108/_xlfn.MAXIFS($Y:$Y,$A:$A,A108))^0.7)</x:f>
        <x:v>0.7915445400601754</x:v>
      </x:c>
      <x:c r="AC108" s="12" t="inlineStr">
        <x:is>
          <x:t xml:space="preserve">https://opencode.ai/docs/go</x:t>
        </x:is>
      </x:c>
      <x:c r="AD108" t="str">
        <x:f>IF(OR(P108="",J108=""),"",P108*J108)</x:f>
      </x:c>
      <x:c r="AE108" t="str">
        <x:f>IF(OR(Q108="",J108=""),"",Q108*J108)</x:f>
      </x:c>
      <x:c r="AF108" t="n">
        <x:v>63</x:v>
      </x:c>
      <x:c r="AG108" t="n">
        <x:f>IF(OR(H108="",I108=""),"",H108*I108)</x:f>
        <x:v>10080</x:v>
      </x:c>
      <x:c r="AH108" t="n">
        <x:f>IF(OR(H108="",J108="",J108=0),"",H108/J108)</x:f>
        <x:v>30</x:v>
      </x:c>
    </x:row>
    <x:row r="109">
      <x:c r="A109" s="12" t="inlineStr">
        <x:is>
          <x:t xml:space="preserve">opencode-go</x:t>
        </x:is>
      </x:c>
      <x:c r="B109" s="12" t="inlineStr">
        <x:is>
          <x:t xml:space="preserve">OpenCode</x:t>
        </x:is>
      </x:c>
      <x:c r="C109" s="12" t="inlineStr">
        <x:is>
          <x:t xml:space="preserve">Go</x:t>
        </x:is>
      </x:c>
      <x:c r="D109" s="70" t="n">
        <x:v>10</x:v>
      </x:c>
      <x:c r="E109" s="12" t="inlineStr">
        <x:is>
          <x:t xml:space="preserve">Qwen3.8-Flash-Next</x:t>
        </x:is>
      </x:c>
      <x:c r="F109" s="12" t="inlineStr">
        <x:is>
          <x:t xml:space="preserve">reasoning</x:t>
        </x:is>
      </x:c>
      <x:c r="G109" s="12" t="inlineStr">
        <x:is>
          <x:t xml:space="preserve">alibaba|qwen3.8-flash-next|reasoning|reasoning|fallback-na</x:t>
        </x:is>
      </x:c>
      <x:c r="H109" s="12" t="n">
        <x:f>IF(AF109="","",INDEX(Rankings!$I:$I,AF109))</x:f>
        <x:v>40</x:v>
      </x:c>
      <x:c r="I109" s="12" t="n">
        <x:f>IF(AF109="","",INDEX(Rankings!$L:$L,AF109))</x:f>
        <x:v>57</x:v>
      </x:c>
      <x:c r="J109" s="12" t="n">
        <x:f>IF(AF109="","",INDEX(Rankings!$J:$J,AF109))</x:f>
        <x:v>0.37</x:v>
      </x:c>
      <x:c r="K109" s="12" t="n">
        <x:f>IF(AF109="","",INDEX(Rankings!$K:$K,AF109))</x:f>
        <x:v>1662.06</x:v>
      </x:c>
      <x:c r="L109" s="12" t="n"/>
      <x:c r="M109" s="12" t="n"/>
      <x:c r="N109" s="12" t="n">
        <x:v>30</x:v>
      </x:c>
      <x:c r="O109" s="12" t="n">
        <x:v>144</x:v>
      </x:c>
      <x:c r="P109" s="12" t="str">
        <x:f>IF(L109="","",L109*O109)</x:f>
      </x:c>
      <x:c r="Q109" s="12" t="str">
        <x:f>IF(M109="","",M109*O109)</x:f>
      </x:c>
      <x:c r="R109" s="70" t="n">
        <x:f>IF(N109="","",N109)</x:f>
        <x:v>30</x:v>
      </x:c>
      <x:c r="S109" s="70" t="n">
        <x:f>IF(N109="","",N109)</x:f>
        <x:v>30</x:v>
      </x:c>
      <x:c r="T109" s="12" t="inlineStr">
        <x:is>
          <x:t xml:space="preserve">published dollar cap / direct budget</x:t>
        </x:is>
      </x:c>
      <x:c r="U109" s="12" t="inlineStr">
        <x:is>
          <x:t xml:space="preserve">medium</x:t>
        </x:is>
      </x:c>
      <x:c r="V109" s="71" t="n">
        <x:f>IF(OR(S109="",D109=0),"",S109/D109)</x:f>
        <x:v>3</x:v>
      </x:c>
      <x:c r="W109" s="12" t="n">
        <x:f>IF(OR(S109="",J109="",J109=0),"",S109/J109)</x:f>
        <x:v>81.08108108108108</x:v>
      </x:c>
      <x:c r="X109" s="12" t="n">
        <x:f>IF(OR(H109="",V109=""),"",H109*V109)</x:f>
        <x:v>120</x:v>
      </x:c>
      <x:c r="Y109" s="12" t="n">
        <x:f>IF(OR(I109="",V109=""),"",I109*V109)</x:f>
        <x:v>171</x:v>
      </x:c>
      <x:c r="Z109" s="12" t="n">
        <x:f>IF(OR(X109="",Y109=""),"",SQRT((X109/_xlfn.MAXIFS($X:$X,$A:$A,A109))*(Y109/_xlfn.MAXIFS($Y:$Y,$A:$A,A109))))</x:f>
        <x:v>0.23393055017279693</x:v>
      </x:c>
      <x:c r="AA109" s="12" t="n">
        <x:f>IF(Z109="","",(X109/_xlfn.MAXIFS($X:$X,$A:$A,A109))^0.7*(Y109/_xlfn.MAXIFS($Y:$Y,$A:$A,A109))^0.3)</x:f>
        <x:v>0.29469154023070915</x:v>
      </x:c>
      <x:c r="AB109" s="12" t="n">
        <x:f>IF(Z109="","",(X109/_xlfn.MAXIFS($X:$X,$A:$A,A109))^0.3*(Y109/_xlfn.MAXIFS($Y:$Y,$A:$A,A109))^0.7)</x:f>
        <x:v>0.18569756790882203</x:v>
      </x:c>
      <x:c r="AC109" s="12" t="inlineStr">
        <x:is>
          <x:t xml:space="preserve">https://opencode.ai/docs/go</x:t>
        </x:is>
      </x:c>
      <x:c r="AD109" t="str">
        <x:f>IF(OR(P109="",J109=""),"",P109*J109)</x:f>
      </x:c>
      <x:c r="AE109" t="str">
        <x:f>IF(OR(Q109="",J109=""),"",Q109*J109)</x:f>
      </x:c>
      <x:c r="AF109" t="n">
        <x:v>59</x:v>
      </x:c>
      <x:c r="AG109" t="n">
        <x:f>IF(OR(H109="",I109=""),"",H109*I109)</x:f>
        <x:v>2280</x:v>
      </x:c>
      <x:c r="AH109" t="n">
        <x:f>IF(OR(H109="",J109="",J109=0),"",H109/J109)</x:f>
        <x:v>108.10810810810811</x:v>
      </x:c>
    </x:row>
    <x:row r="110">
      <x:c r="A110" s="12" t="inlineStr">
        <x:is>
          <x:t xml:space="preserve">opencode-go-plus</x:t>
        </x:is>
      </x:c>
      <x:c r="B110" s="12" t="inlineStr">
        <x:is>
          <x:t xml:space="preserve">OpenCode</x:t>
        </x:is>
      </x:c>
      <x:c r="C110" s="12" t="inlineStr">
        <x:is>
          <x:t xml:space="preserve">Go Plus</x:t>
        </x:is>
      </x:c>
      <x:c r="D110" s="70" t="n">
        <x:v>40</x:v>
      </x:c>
      <x:c r="E110" s="12" t="inlineStr">
        <x:is>
          <x:t xml:space="preserve">Qwen3.8-Flash-Next</x:t>
        </x:is>
      </x:c>
      <x:c r="F110" s="12" t="inlineStr">
        <x:is>
          <x:t xml:space="preserve">reasoning</x:t>
        </x:is>
      </x:c>
      <x:c r="G110" s="12" t="inlineStr">
        <x:is>
          <x:t xml:space="preserve">alibaba|qwen3.8-flash-next|reasoning|reasoning|fallback-na</x:t>
        </x:is>
      </x:c>
      <x:c r="H110" s="12" t="n">
        <x:f>IF(AF110="","",INDEX(Rankings!$I:$I,AF110))</x:f>
        <x:v>40</x:v>
      </x:c>
      <x:c r="I110" s="12" t="n">
        <x:f>IF(AF110="","",INDEX(Rankings!$L:$L,AF110))</x:f>
        <x:v>57</x:v>
      </x:c>
      <x:c r="J110" s="12" t="n">
        <x:f>IF(AF110="","",INDEX(Rankings!$J:$J,AF110))</x:f>
        <x:v>0.37</x:v>
      </x:c>
      <x:c r="K110" s="12" t="n">
        <x:f>IF(AF110="","",INDEX(Rankings!$K:$K,AF110))</x:f>
        <x:v>1662.06</x:v>
      </x:c>
      <x:c r="L110" s="12" t="n"/>
      <x:c r="M110" s="12" t="n"/>
      <x:c r="N110" s="12" t="n">
        <x:v>90</x:v>
      </x:c>
      <x:c r="O110" s="12" t="n">
        <x:v>144</x:v>
      </x:c>
      <x:c r="P110" s="12" t="str">
        <x:f>IF(L110="","",L110*O110)</x:f>
      </x:c>
      <x:c r="Q110" s="12" t="str">
        <x:f>IF(M110="","",M110*O110)</x:f>
      </x:c>
      <x:c r="R110" s="70" t="n">
        <x:f>IF(N110="","",N110)</x:f>
        <x:v>90</x:v>
      </x:c>
      <x:c r="S110" s="70" t="n">
        <x:f>IF(N110="","",N110)</x:f>
        <x:v>90</x:v>
      </x:c>
      <x:c r="T110" s="12" t="inlineStr">
        <x:is>
          <x:t xml:space="preserve">published dollar cap / direct budget</x:t>
        </x:is>
      </x:c>
      <x:c r="U110" s="12" t="inlineStr">
        <x:is>
          <x:t xml:space="preserve">medium</x:t>
        </x:is>
      </x:c>
      <x:c r="V110" s="71" t="n">
        <x:f>IF(OR(S110="",D110=0),"",S110/D110)</x:f>
        <x:v>2.25</x:v>
      </x:c>
      <x:c r="W110" s="12" t="n">
        <x:f>IF(OR(S110="",J110="",J110=0),"",S110/J110)</x:f>
        <x:v>243.24324324324326</x:v>
      </x:c>
      <x:c r="X110" s="12" t="n">
        <x:f>IF(OR(H110="",V110=""),"",H110*V110)</x:f>
        <x:v>90</x:v>
      </x:c>
      <x:c r="Y110" s="12" t="n">
        <x:f>IF(OR(I110="",V110=""),"",I110*V110)</x:f>
        <x:v>128.25</x:v>
      </x:c>
      <x:c r="Z110" s="12" t="n">
        <x:f>IF(OR(X110="",Y110=""),"",SQRT((X110/_xlfn.MAXIFS($X:$X,$A:$A,A110))*(Y110/_xlfn.MAXIFS($Y:$Y,$A:$A,A110))))</x:f>
        <x:v>0.27927892138102794</x:v>
      </x:c>
      <x:c r="AA110" s="12" t="n">
        <x:f>IF(Z110="","",(X110/_xlfn.MAXIFS($X:$X,$A:$A,A110))^0.7*(Y110/_xlfn.MAXIFS($Y:$Y,$A:$A,A110))^0.3)</x:f>
        <x:v>0.3457284962443254</x:v>
      </x:c>
      <x:c r="AB110" s="12" t="n">
        <x:f>IF(Z110="","",(X110/_xlfn.MAXIFS($X:$X,$A:$A,A110))^0.3*(Y110/_xlfn.MAXIFS($Y:$Y,$A:$A,A110))^0.7)</x:f>
        <x:v>0.22560106203288013</x:v>
      </x:c>
      <x:c r="AC110" s="12" t="inlineStr">
        <x:is>
          <x:t xml:space="preserve">https://opencode.ai/docs/go</x:t>
        </x:is>
      </x:c>
      <x:c r="AD110" t="str">
        <x:f>IF(OR(P110="",J110=""),"",P110*J110)</x:f>
      </x:c>
      <x:c r="AE110" t="str">
        <x:f>IF(OR(Q110="",J110=""),"",Q110*J110)</x:f>
      </x:c>
      <x:c r="AF110" t="n">
        <x:v>59</x:v>
      </x:c>
      <x:c r="AG110" t="n">
        <x:f>IF(OR(H110="",I110=""),"",H110*I110)</x:f>
        <x:v>2280</x:v>
      </x:c>
      <x:c r="AH110" t="n">
        <x:f>IF(OR(H110="",J110="",J110=0),"",H110/J110)</x:f>
        <x:v>108.10810810810811</x:v>
      </x:c>
    </x:row>
    <x:row r="111">
      <x:c r="A111" s="12" t="inlineStr">
        <x:is>
          <x:t xml:space="preserve">chatgpt-plus</x:t>
        </x:is>
      </x:c>
      <x:c r="B111" s="12" t="inlineStr">
        <x:is>
          <x:t xml:space="preserve">OpenAI</x:t>
        </x:is>
      </x:c>
      <x:c r="C111" s="12" t="inlineStr">
        <x:is>
          <x:t xml:space="preserve">ChatGPT Plus</x:t>
        </x:is>
      </x:c>
      <x:c r="D111" s="70" t="n">
        <x:v>20</x:v>
      </x:c>
      <x:c r="E111" s="12" t="inlineStr">
        <x:is>
          <x:t xml:space="preserve">GPT-6 Luna</x:t>
        </x:is>
      </x:c>
      <x:c r="F111" s="12" t="inlineStr">
        <x:is>
          <x:t xml:space="preserve">low</x:t>
        </x:is>
      </x:c>
      <x:c r="G111" s="12" t="inlineStr">
        <x:is>
          <x:t xml:space="preserve">openai|gpt-6-luna|low|reasoning|fallback-na</x:t>
        </x:is>
      </x:c>
      <x:c r="H111" s="12" t="n">
        <x:f>IF(AF111="","",INDEX(Rankings!$I:$I,AF111))</x:f>
        <x:v>22</x:v>
      </x:c>
      <x:c r="I111" s="12" t="n">
        <x:f>IF(AF111="","",INDEX(Rankings!$L:$L,AF111))</x:f>
        <x:v>117.9</x:v>
      </x:c>
      <x:c r="J111" s="12" t="n">
        <x:f>IF(AF111="","",INDEX(Rankings!$J:$J,AF111))</x:f>
        <x:v>0.0045</x:v>
      </x:c>
      <x:c r="K111" s="12" t="e">
        <x:f>IF(AF111="","",INDEX(Rankings!$K:$K,AF111))</x:f>
        <x:v>#REF!</x:v>
      </x:c>
      <x:c r="L111" s="12" t="n">
        <x:v>350</x:v>
      </x:c>
      <x:c r="M111" s="12" t="n">
        <x:v>3000</x:v>
      </x:c>
      <x:c r="N111" s="12" t="n"/>
      <x:c r="O111" s="12" t="n">
        <x:v>144</x:v>
      </x:c>
      <x:c r="P111" s="12" t="n">
        <x:f>IF(L111="","",L111*O111)</x:f>
        <x:v>50400</x:v>
      </x:c>
      <x:c r="Q111" s="12" t="n">
        <x:f>IF(M111="","",M111*O111)</x:f>
        <x:v>432000</x:v>
      </x:c>
      <x:c r="R111" s="70" t="str">
        <x:f>IF(N111="","",N111)</x:f>
      </x:c>
      <x:c r="S111" s="70" t="str">
        <x:f>IF(N111="","",N111)</x:f>
      </x:c>
      <x:c r="T111" s="12" t="inlineStr">
        <x:is>
          <x:t xml:space="preserve">not estimated; see raw prompt×AA-cost proxy</x:t>
        </x:is>
      </x:c>
      <x:c r="U111" s="12" t="inlineStr">
        <x:is>
          <x:t xml:space="preserve">low</x:t>
        </x:is>
      </x:c>
      <x:c r="V111" s="71" t="str">
        <x:f>IF(OR(S111="",D111=0),"",S111/D111)</x:f>
      </x:c>
      <x:c r="W111" s="12" t="str">
        <x:f>IF(OR(S111="",J111="",J111=0),"",S111/J111)</x:f>
      </x:c>
      <x:c r="X111" s="12" t="str">
        <x:f>IF(OR(H111="",V111=""),"",H111*V111)</x:f>
      </x:c>
      <x:c r="Y111" s="12" t="str">
        <x:f>IF(OR(I111="",V111=""),"",I111*V111)</x:f>
      </x:c>
      <x:c r="Z111" s="12" t="str">
        <x:f>IF(OR(X111="",Y111=""),"",SQRT((X111/_xlfn.MAXIFS($X:$X,$A:$A,A111))*(Y111/_xlfn.MAXIFS($Y:$Y,$A:$A,A111))))</x:f>
      </x:c>
      <x:c r="AA111" s="12" t="str">
        <x:f>IF(Z111="","",(X111/_xlfn.MAXIFS($X:$X,$A:$A,A111))^0.7*(Y111/_xlfn.MAXIFS($Y:$Y,$A:$A,A111))^0.3)</x:f>
      </x:c>
      <x:c r="AB111" s="12" t="str">
        <x:f>IF(Z111="","",(X111/_xlfn.MAXIFS($X:$X,$A:$A,A111))^0.3*(Y111/_xlfn.MAXIFS($Y:$Y,$A:$A,A111))^0.7)</x:f>
      </x:c>
      <x:c r="AC111" s="12" t="inlineStr">
        <x:is>
          <x:t xml:space="preserve">https://chatgpt.com/codex/pricing/</x:t>
        </x:is>
      </x:c>
      <x:c r="AD111" t="n">
        <x:f>IF(OR(P111="",J111=""),"",P111*J111)</x:f>
        <x:v>226.79999999999998</x:v>
      </x:c>
      <x:c r="AE111" t="n">
        <x:f>IF(OR(Q111="",J111=""),"",Q111*J111)</x:f>
        <x:v>1943.9999999999998</x:v>
      </x:c>
      <x:c r="AF111" t="n">
        <x:v>121</x:v>
      </x:c>
      <x:c r="AG111" t="n">
        <x:f>IF(OR(H111="",I111=""),"",H111*I111)</x:f>
        <x:v>2593.8</x:v>
      </x:c>
      <x:c r="AH111" t="n">
        <x:f>IF(OR(H111="",J111="",J111=0),"",H111/J111)</x:f>
        <x:v>4888.88888888889</x:v>
      </x:c>
    </x:row>
    <x:row r="112">
      <x:c r="A112" s="12" t="inlineStr">
        <x:is>
          <x:t xml:space="preserve">chatgpt-plus</x:t>
        </x:is>
      </x:c>
      <x:c r="B112" s="12" t="inlineStr">
        <x:is>
          <x:t xml:space="preserve">OpenAI</x:t>
        </x:is>
      </x:c>
      <x:c r="C112" s="12" t="inlineStr">
        <x:is>
          <x:t xml:space="preserve">ChatGPT Plus</x:t>
        </x:is>
      </x:c>
      <x:c r="D112" s="70" t="n">
        <x:v>20</x:v>
      </x:c>
      <x:c r="E112" s="12" t="inlineStr">
        <x:is>
          <x:t xml:space="preserve">GPT-6 Luna</x:t>
        </x:is>
      </x:c>
      <x:c r="F112" s="12" t="inlineStr">
        <x:is>
          <x:t xml:space="preserve">medium</x:t>
        </x:is>
      </x:c>
      <x:c r="G112" s="12" t="inlineStr">
        <x:is>
          <x:t xml:space="preserve">openai|gpt-6-luna|medium|reasoning|fallback-na</x:t>
        </x:is>
      </x:c>
      <x:c r="H112" s="12" t="n">
        <x:f>IF(AF112="","",INDEX(Rankings!$I:$I,AF112))</x:f>
        <x:v>30</x:v>
      </x:c>
      <x:c r="I112" s="12" t="str">
        <x:f>IF(AF112="","",INDEX(Rankings!$L:$L,AF112))</x:f>
      </x:c>
      <x:c r="J112" s="12" t="n">
        <x:f>IF(AF112="","",INDEX(Rankings!$J:$J,AF112))</x:f>
        <x:v>0.02</x:v>
      </x:c>
      <x:c r="K112" s="12" t="e">
        <x:f>IF(AF112="","",INDEX(Rankings!$K:$K,AF112))</x:f>
        <x:v>#REF!</x:v>
      </x:c>
      <x:c r="L112" s="12" t="n">
        <x:v>350</x:v>
      </x:c>
      <x:c r="M112" s="12" t="n">
        <x:v>3000</x:v>
      </x:c>
      <x:c r="N112" s="12" t="n"/>
      <x:c r="O112" s="12" t="n">
        <x:v>144</x:v>
      </x:c>
      <x:c r="P112" s="12" t="n">
        <x:f>IF(L112="","",L112*O112)</x:f>
        <x:v>50400</x:v>
      </x:c>
      <x:c r="Q112" s="12" t="n">
        <x:f>IF(M112="","",M112*O112)</x:f>
        <x:v>432000</x:v>
      </x:c>
      <x:c r="R112" s="70" t="str">
        <x:f>IF(N112="","",N112)</x:f>
      </x:c>
      <x:c r="S112" s="70" t="str">
        <x:f>IF(N112="","",N112)</x:f>
      </x:c>
      <x:c r="T112" s="12" t="inlineStr">
        <x:is>
          <x:t xml:space="preserve">not estimated; see raw prompt×AA-cost proxy</x:t>
        </x:is>
      </x:c>
      <x:c r="U112" s="12" t="inlineStr">
        <x:is>
          <x:t xml:space="preserve">low</x:t>
        </x:is>
      </x:c>
      <x:c r="V112" s="71" t="str">
        <x:f>IF(OR(S112="",D112=0),"",S112/D112)</x:f>
      </x:c>
      <x:c r="W112" s="12" t="str">
        <x:f>IF(OR(S112="",J112="",J112=0),"",S112/J112)</x:f>
      </x:c>
      <x:c r="X112" s="12" t="str">
        <x:f>IF(OR(H112="",V112=""),"",H112*V112)</x:f>
      </x:c>
      <x:c r="Y112" s="12" t="str">
        <x:f>IF(OR(I112="",V112=""),"",I112*V112)</x:f>
      </x:c>
      <x:c r="Z112" s="12" t="str">
        <x:f>IF(OR(X112="",Y112=""),"",SQRT((X112/_xlfn.MAXIFS($X:$X,$A:$A,A112))*(Y112/_xlfn.MAXIFS($Y:$Y,$A:$A,A112))))</x:f>
      </x:c>
      <x:c r="AA112" s="12" t="str">
        <x:f>IF(Z112="","",(X112/_xlfn.MAXIFS($X:$X,$A:$A,A112))^0.7*(Y112/_xlfn.MAXIFS($Y:$Y,$A:$A,A112))^0.3)</x:f>
      </x:c>
      <x:c r="AB112" s="12" t="str">
        <x:f>IF(Z112="","",(X112/_xlfn.MAXIFS($X:$X,$A:$A,A112))^0.3*(Y112/_xlfn.MAXIFS($Y:$Y,$A:$A,A112))^0.7)</x:f>
      </x:c>
      <x:c r="AC112" s="12" t="inlineStr">
        <x:is>
          <x:t xml:space="preserve">https://chatgpt.com/codex/pricing/</x:t>
        </x:is>
      </x:c>
      <x:c r="AD112" t="n">
        <x:f>IF(OR(P112="",J112=""),"",P112*J112)</x:f>
        <x:v>1008</x:v>
      </x:c>
      <x:c r="AE112" t="n">
        <x:f>IF(OR(Q112="",J112=""),"",Q112*J112)</x:f>
        <x:v>8640</x:v>
      </x:c>
      <x:c r="AF112" t="n">
        <x:v>120</x:v>
      </x:c>
      <x:c r="AG112" t="str">
        <x:f>IF(OR(H112="",I112=""),"",H112*I112)</x:f>
      </x:c>
      <x:c r="AH112" t="n">
        <x:f>IF(OR(H112="",J112="",J112=0),"",H112/J112)</x:f>
        <x:v>1500</x:v>
      </x:c>
    </x:row>
    <x:row r="113">
      <x:c r="A113" s="12" t="inlineStr">
        <x:is>
          <x:t xml:space="preserve">chatgpt-plus</x:t>
        </x:is>
      </x:c>
      <x:c r="B113" s="12" t="inlineStr">
        <x:is>
          <x:t xml:space="preserve">OpenAI</x:t>
        </x:is>
      </x:c>
      <x:c r="C113" s="12" t="inlineStr">
        <x:is>
          <x:t xml:space="preserve">ChatGPT Plus</x:t>
        </x:is>
      </x:c>
      <x:c r="D113" s="70" t="n">
        <x:v>20</x:v>
      </x:c>
      <x:c r="E113" s="12" t="inlineStr">
        <x:is>
          <x:t xml:space="preserve">GPT-6 Luna</x:t>
        </x:is>
      </x:c>
      <x:c r="F113" s="12" t="inlineStr">
        <x:is>
          <x:t xml:space="preserve">high</x:t>
        </x:is>
      </x:c>
      <x:c r="G113" s="12" t="inlineStr">
        <x:is>
          <x:t xml:space="preserve">openai|gpt-6-luna|high|reasoning|fallback-na</x:t>
        </x:is>
      </x:c>
      <x:c r="H113" s="12" t="n">
        <x:f>IF(AF113="","",INDEX(Rankings!$I:$I,AF113))</x:f>
        <x:v>33</x:v>
      </x:c>
      <x:c r="I113" s="12" t="n">
        <x:f>IF(AF113="","",INDEX(Rankings!$L:$L,AF113))</x:f>
        <x:v>120.2</x:v>
      </x:c>
      <x:c r="J113" s="12" t="n">
        <x:f>IF(AF113="","",INDEX(Rankings!$J:$J,AF113))</x:f>
        <x:v>0.03</x:v>
      </x:c>
      <x:c r="K113" s="12" t="e">
        <x:f>IF(AF113="","",INDEX(Rankings!$K:$K,AF113))</x:f>
        <x:v>#REF!</x:v>
      </x:c>
      <x:c r="L113" s="12" t="n">
        <x:v>350</x:v>
      </x:c>
      <x:c r="M113" s="12" t="n">
        <x:v>3000</x:v>
      </x:c>
      <x:c r="N113" s="12" t="n"/>
      <x:c r="O113" s="12" t="n">
        <x:v>144</x:v>
      </x:c>
      <x:c r="P113" s="12" t="n">
        <x:f>IF(L113="","",L113*O113)</x:f>
        <x:v>50400</x:v>
      </x:c>
      <x:c r="Q113" s="12" t="n">
        <x:f>IF(M113="","",M113*O113)</x:f>
        <x:v>432000</x:v>
      </x:c>
      <x:c r="R113" s="70" t="str">
        <x:f>IF(N113="","",N113)</x:f>
      </x:c>
      <x:c r="S113" s="70" t="str">
        <x:f>IF(N113="","",N113)</x:f>
      </x:c>
      <x:c r="T113" s="12" t="inlineStr">
        <x:is>
          <x:t xml:space="preserve">not estimated; see raw prompt×AA-cost proxy</x:t>
        </x:is>
      </x:c>
      <x:c r="U113" s="12" t="inlineStr">
        <x:is>
          <x:t xml:space="preserve">low</x:t>
        </x:is>
      </x:c>
      <x:c r="V113" s="71" t="str">
        <x:f>IF(OR(S113="",D113=0),"",S113/D113)</x:f>
      </x:c>
      <x:c r="W113" s="12" t="str">
        <x:f>IF(OR(S113="",J113="",J113=0),"",S113/J113)</x:f>
      </x:c>
      <x:c r="X113" s="12" t="str">
        <x:f>IF(OR(H113="",V113=""),"",H113*V113)</x:f>
      </x:c>
      <x:c r="Y113" s="12" t="str">
        <x:f>IF(OR(I113="",V113=""),"",I113*V113)</x:f>
      </x:c>
      <x:c r="Z113" s="12" t="str">
        <x:f>IF(OR(X113="",Y113=""),"",SQRT((X113/_xlfn.MAXIFS($X:$X,$A:$A,A113))*(Y113/_xlfn.MAXIFS($Y:$Y,$A:$A,A113))))</x:f>
      </x:c>
      <x:c r="AA113" s="12" t="str">
        <x:f>IF(Z113="","",(X113/_xlfn.MAXIFS($X:$X,$A:$A,A113))^0.7*(Y113/_xlfn.MAXIFS($Y:$Y,$A:$A,A113))^0.3)</x:f>
      </x:c>
      <x:c r="AB113" s="12" t="str">
        <x:f>IF(Z113="","",(X113/_xlfn.MAXIFS($X:$X,$A:$A,A113))^0.3*(Y113/_xlfn.MAXIFS($Y:$Y,$A:$A,A113))^0.7)</x:f>
      </x:c>
      <x:c r="AC113" s="12" t="inlineStr">
        <x:is>
          <x:t xml:space="preserve">https://chatgpt.com/codex/pricing/</x:t>
        </x:is>
      </x:c>
      <x:c r="AD113" t="n">
        <x:f>IF(OR(P113="",J113=""),"",P113*J113)</x:f>
        <x:v>1512</x:v>
      </x:c>
      <x:c r="AE113" t="n">
        <x:f>IF(OR(Q113="",J113=""),"",Q113*J113)</x:f>
        <x:v>12960</x:v>
      </x:c>
      <x:c r="AF113" t="n">
        <x:v>119</x:v>
      </x:c>
      <x:c r="AG113" t="n">
        <x:f>IF(OR(H113="",I113=""),"",H113*I113)</x:f>
        <x:v>3966.6</x:v>
      </x:c>
      <x:c r="AH113" t="n">
        <x:f>IF(OR(H113="",J113="",J113=0),"",H113/J113)</x:f>
        <x:v>1100</x:v>
      </x:c>
    </x:row>
    <x:row r="114">
      <x:c r="A114" s="12" t="inlineStr">
        <x:is>
          <x:t xml:space="preserve">chatgpt-plus</x:t>
        </x:is>
      </x:c>
      <x:c r="B114" s="12" t="inlineStr">
        <x:is>
          <x:t xml:space="preserve">OpenAI</x:t>
        </x:is>
      </x:c>
      <x:c r="C114" s="12" t="inlineStr">
        <x:is>
          <x:t xml:space="preserve">ChatGPT Plus</x:t>
        </x:is>
      </x:c>
      <x:c r="D114" s="70" t="n">
        <x:v>20</x:v>
      </x:c>
      <x:c r="E114" s="12" t="inlineStr">
        <x:is>
          <x:t xml:space="preserve">GPT-6 Luna</x:t>
        </x:is>
      </x:c>
      <x:c r="F114" s="12" t="inlineStr">
        <x:is>
          <x:t xml:space="preserve">xhigh</x:t>
        </x:is>
      </x:c>
      <x:c r="G114" s="12" t="inlineStr">
        <x:is>
          <x:t xml:space="preserve">openai|gpt-6-luna|xhigh|reasoning|fallback-na</x:t>
        </x:is>
      </x:c>
      <x:c r="H114" s="12" t="n">
        <x:f>IF(AF114="","",INDEX(Rankings!$I:$I,AF114))</x:f>
        <x:v>35</x:v>
      </x:c>
      <x:c r="I114" s="12" t="n">
        <x:f>IF(AF114="","",INDEX(Rankings!$L:$L,AF114))</x:f>
        <x:v>114.7</x:v>
      </x:c>
      <x:c r="J114" s="12" t="n">
        <x:f>IF(AF114="","",INDEX(Rankings!$J:$J,AF114))</x:f>
        <x:v>0.04</x:v>
      </x:c>
      <x:c r="K114" s="12" t="e">
        <x:f>IF(AF114="","",INDEX(Rankings!$K:$K,AF114))</x:f>
        <x:v>#REF!</x:v>
      </x:c>
      <x:c r="L114" s="12" t="n">
        <x:v>350</x:v>
      </x:c>
      <x:c r="M114" s="12" t="n">
        <x:v>3000</x:v>
      </x:c>
      <x:c r="N114" s="12" t="n"/>
      <x:c r="O114" s="12" t="n">
        <x:v>144</x:v>
      </x:c>
      <x:c r="P114" s="12" t="n">
        <x:f>IF(L114="","",L114*O114)</x:f>
        <x:v>50400</x:v>
      </x:c>
      <x:c r="Q114" s="12" t="n">
        <x:f>IF(M114="","",M114*O114)</x:f>
        <x:v>432000</x:v>
      </x:c>
      <x:c r="R114" s="70" t="str">
        <x:f>IF(N114="","",N114)</x:f>
      </x:c>
      <x:c r="S114" s="70" t="str">
        <x:f>IF(N114="","",N114)</x:f>
      </x:c>
      <x:c r="T114" s="12" t="inlineStr">
        <x:is>
          <x:t xml:space="preserve">not estimated; see raw prompt×AA-cost proxy</x:t>
        </x:is>
      </x:c>
      <x:c r="U114" s="12" t="inlineStr">
        <x:is>
          <x:t xml:space="preserve">low</x:t>
        </x:is>
      </x:c>
      <x:c r="V114" s="71" t="str">
        <x:f>IF(OR(S114="",D114=0),"",S114/D114)</x:f>
      </x:c>
      <x:c r="W114" s="12" t="str">
        <x:f>IF(OR(S114="",J114="",J114=0),"",S114/J114)</x:f>
      </x:c>
      <x:c r="X114" s="12" t="str">
        <x:f>IF(OR(H114="",V114=""),"",H114*V114)</x:f>
      </x:c>
      <x:c r="Y114" s="12" t="str">
        <x:f>IF(OR(I114="",V114=""),"",I114*V114)</x:f>
      </x:c>
      <x:c r="Z114" s="12" t="str">
        <x:f>IF(OR(X114="",Y114=""),"",SQRT((X114/_xlfn.MAXIFS($X:$X,$A:$A,A114))*(Y114/_xlfn.MAXIFS($Y:$Y,$A:$A,A114))))</x:f>
      </x:c>
      <x:c r="AA114" s="12" t="str">
        <x:f>IF(Z114="","",(X114/_xlfn.MAXIFS($X:$X,$A:$A,A114))^0.7*(Y114/_xlfn.MAXIFS($Y:$Y,$A:$A,A114))^0.3)</x:f>
      </x:c>
      <x:c r="AB114" s="12" t="str">
        <x:f>IF(Z114="","",(X114/_xlfn.MAXIFS($X:$X,$A:$A,A114))^0.3*(Y114/_xlfn.MAXIFS($Y:$Y,$A:$A,A114))^0.7)</x:f>
      </x:c>
      <x:c r="AC114" s="12" t="inlineStr">
        <x:is>
          <x:t xml:space="preserve">https://chatgpt.com/codex/pricing/</x:t>
        </x:is>
      </x:c>
      <x:c r="AD114" t="n">
        <x:f>IF(OR(P114="",J114=""),"",P114*J114)</x:f>
        <x:v>2016</x:v>
      </x:c>
      <x:c r="AE114" t="n">
        <x:f>IF(OR(Q114="",J114=""),"",Q114*J114)</x:f>
        <x:v>17280</x:v>
      </x:c>
      <x:c r="AF114" t="n">
        <x:v>118</x:v>
      </x:c>
      <x:c r="AG114" t="n">
        <x:f>IF(OR(H114="",I114=""),"",H114*I114)</x:f>
        <x:v>4014.5</x:v>
      </x:c>
      <x:c r="AH114" t="n">
        <x:f>IF(OR(H114="",J114="",J114=0),"",H114/J114)</x:f>
        <x:v>875</x:v>
      </x:c>
    </x:row>
    <x:row r="115">
      <x:c r="A115" s="12" t="inlineStr">
        <x:is>
          <x:t xml:space="preserve">chatgpt-plus</x:t>
        </x:is>
      </x:c>
      <x:c r="B115" s="12" t="inlineStr">
        <x:is>
          <x:t xml:space="preserve">OpenAI</x:t>
        </x:is>
      </x:c>
      <x:c r="C115" s="12" t="inlineStr">
        <x:is>
          <x:t xml:space="preserve">ChatGPT Plus</x:t>
        </x:is>
      </x:c>
      <x:c r="D115" s="70" t="n">
        <x:v>20</x:v>
      </x:c>
      <x:c r="E115" s="12" t="inlineStr">
        <x:is>
          <x:t xml:space="preserve">GPT-6 Luna</x:t>
        </x:is>
      </x:c>
      <x:c r="F115" s="12" t="inlineStr">
        <x:is>
          <x:t xml:space="preserve">max</x:t>
        </x:is>
      </x:c>
      <x:c r="G115" s="12" t="inlineStr">
        <x:is>
          <x:t xml:space="preserve">openai|gpt-6-luna|max|reasoning|fallback-na</x:t>
        </x:is>
      </x:c>
      <x:c r="H115" s="12" t="n">
        <x:f>IF(AF115="","",INDEX(Rankings!$I:$I,AF115))</x:f>
        <x:v>38</x:v>
      </x:c>
      <x:c r="I115" s="12" t="n">
        <x:f>IF(AF115="","",INDEX(Rankings!$L:$L,AF115))</x:f>
        <x:v>122.1</x:v>
      </x:c>
      <x:c r="J115" s="12" t="n">
        <x:f>IF(AF115="","",INDEX(Rankings!$J:$J,AF115))</x:f>
        <x:v>0.07</x:v>
      </x:c>
      <x:c r="K115" s="12" t="str">
        <x:f>IF(AF115="","",INDEX(Rankings!$K:$K,AF115))</x:f>
      </x:c>
      <x:c r="L115" s="12" t="n">
        <x:v>350</x:v>
      </x:c>
      <x:c r="M115" s="12" t="n">
        <x:v>3000</x:v>
      </x:c>
      <x:c r="N115" s="12" t="n"/>
      <x:c r="O115" s="12" t="n">
        <x:v>144</x:v>
      </x:c>
      <x:c r="P115" s="12" t="n">
        <x:f>IF(L115="","",L115*O115)</x:f>
        <x:v>50400</x:v>
      </x:c>
      <x:c r="Q115" s="12" t="n">
        <x:f>IF(M115="","",M115*O115)</x:f>
        <x:v>432000</x:v>
      </x:c>
      <x:c r="R115" s="70" t="str">
        <x:f>IF(N115="","",N115)</x:f>
      </x:c>
      <x:c r="S115" s="70" t="str">
        <x:f>IF(N115="","",N115)</x:f>
      </x:c>
      <x:c r="T115" s="12" t="inlineStr">
        <x:is>
          <x:t xml:space="preserve">not estimated; see raw prompt×AA-cost proxy</x:t>
        </x:is>
      </x:c>
      <x:c r="U115" s="12" t="inlineStr">
        <x:is>
          <x:t xml:space="preserve">low</x:t>
        </x:is>
      </x:c>
      <x:c r="V115" s="71" t="str">
        <x:f>IF(OR(S115="",D115=0),"",S115/D115)</x:f>
      </x:c>
      <x:c r="W115" s="12" t="str">
        <x:f>IF(OR(S115="",J115="",J115=0),"",S115/J115)</x:f>
      </x:c>
      <x:c r="X115" s="12" t="str">
        <x:f>IF(OR(H115="",V115=""),"",H115*V115)</x:f>
      </x:c>
      <x:c r="Y115" s="12" t="str">
        <x:f>IF(OR(I115="",V115=""),"",I115*V115)</x:f>
      </x:c>
      <x:c r="Z115" s="12" t="str">
        <x:f>IF(OR(X115="",Y115=""),"",SQRT((X115/_xlfn.MAXIFS($X:$X,$A:$A,A115))*(Y115/_xlfn.MAXIFS($Y:$Y,$A:$A,A115))))</x:f>
      </x:c>
      <x:c r="AA115" s="12" t="str">
        <x:f>IF(Z115="","",(X115/_xlfn.MAXIFS($X:$X,$A:$A,A115))^0.7*(Y115/_xlfn.MAXIFS($Y:$Y,$A:$A,A115))^0.3)</x:f>
      </x:c>
      <x:c r="AB115" s="12" t="str">
        <x:f>IF(Z115="","",(X115/_xlfn.MAXIFS($X:$X,$A:$A,A115))^0.3*(Y115/_xlfn.MAXIFS($Y:$Y,$A:$A,A115))^0.7)</x:f>
      </x:c>
      <x:c r="AC115" s="12" t="inlineStr">
        <x:is>
          <x:t xml:space="preserve">https://chatgpt.com/codex/pricing/</x:t>
        </x:is>
      </x:c>
      <x:c r="AD115" t="n">
        <x:f>IF(OR(P115="",J115=""),"",P115*J115)</x:f>
        <x:v>3528.0000000000005</x:v>
      </x:c>
      <x:c r="AE115" t="n">
        <x:f>IF(OR(Q115="",J115=""),"",Q115*J115)</x:f>
        <x:v>30240.000000000004</x:v>
      </x:c>
      <x:c r="AF115" t="n">
        <x:v>90</x:v>
      </x:c>
      <x:c r="AG115" t="n">
        <x:f>IF(OR(H115="",I115=""),"",H115*I115)</x:f>
        <x:v>4639.8</x:v>
      </x:c>
      <x:c r="AH115" t="n">
        <x:f>IF(OR(H115="",J115="",J115=0),"",H115/J115)</x:f>
        <x:v>542.8571428571428</x:v>
      </x:c>
    </x:row>
    <x:row r="116">
      <x:c r="A116" s="12" t="inlineStr">
        <x:is>
          <x:t xml:space="preserve">chatgpt-pro-5x</x:t>
        </x:is>
      </x:c>
      <x:c r="B116" s="12" t="inlineStr">
        <x:is>
          <x:t xml:space="preserve">OpenAI</x:t>
        </x:is>
      </x:c>
      <x:c r="C116" s="12" t="inlineStr">
        <x:is>
          <x:t xml:space="preserve">ChatGPT Pro $100</x:t>
        </x:is>
      </x:c>
      <x:c r="D116" s="70" t="n">
        <x:v>100</x:v>
      </x:c>
      <x:c r="E116" s="12" t="inlineStr">
        <x:is>
          <x:t xml:space="preserve">GPT-6 Luna</x:t>
        </x:is>
      </x:c>
      <x:c r="F116" s="12" t="inlineStr">
        <x:is>
          <x:t xml:space="preserve">low</x:t>
        </x:is>
      </x:c>
      <x:c r="G116" s="12" t="inlineStr">
        <x:is>
          <x:t xml:space="preserve">openai|gpt-6-luna|low|reasoning|fallback-na</x:t>
        </x:is>
      </x:c>
      <x:c r="H116" s="12" t="n">
        <x:f>IF(AF116="","",INDEX(Rankings!$I:$I,AF116))</x:f>
        <x:v>22</x:v>
      </x:c>
      <x:c r="I116" s="12" t="n">
        <x:f>IF(AF116="","",INDEX(Rankings!$L:$L,AF116))</x:f>
        <x:v>117.9</x:v>
      </x:c>
      <x:c r="J116" s="12" t="n">
        <x:f>IF(AF116="","",INDEX(Rankings!$J:$J,AF116))</x:f>
        <x:v>0.0045</x:v>
      </x:c>
      <x:c r="K116" s="12" t="e">
        <x:f>IF(AF116="","",INDEX(Rankings!$K:$K,AF116))</x:f>
        <x:v>#REF!</x:v>
      </x:c>
      <x:c r="L116" s="12" t="n">
        <x:v>1750</x:v>
      </x:c>
      <x:c r="M116" s="12" t="n">
        <x:v>15000</x:v>
      </x:c>
      <x:c r="N116" s="12" t="n"/>
      <x:c r="O116" s="12" t="n">
        <x:v>144</x:v>
      </x:c>
      <x:c r="P116" s="12" t="n">
        <x:f>IF(L116="","",L116*O116)</x:f>
        <x:v>252000</x:v>
      </x:c>
      <x:c r="Q116" s="12" t="n">
        <x:f>IF(M116="","",M116*O116)</x:f>
        <x:v>2160000</x:v>
      </x:c>
      <x:c r="R116" s="70" t="str">
        <x:f>IF(N116="","",N116)</x:f>
      </x:c>
      <x:c r="S116" s="70" t="str">
        <x:f>IF(N116="","",N116)</x:f>
      </x:c>
      <x:c r="T116" s="12" t="inlineStr">
        <x:is>
          <x:t xml:space="preserve">not estimated; see raw prompt×AA-cost proxy</x:t>
        </x:is>
      </x:c>
      <x:c r="U116" s="12" t="inlineStr">
        <x:is>
          <x:t xml:space="preserve">low</x:t>
        </x:is>
      </x:c>
      <x:c r="V116" s="71" t="str">
        <x:f>IF(OR(S116="",D116=0),"",S116/D116)</x:f>
      </x:c>
      <x:c r="W116" s="12" t="str">
        <x:f>IF(OR(S116="",J116="",J116=0),"",S116/J116)</x:f>
      </x:c>
      <x:c r="X116" s="12" t="str">
        <x:f>IF(OR(H116="",V116=""),"",H116*V116)</x:f>
      </x:c>
      <x:c r="Y116" s="12" t="str">
        <x:f>IF(OR(I116="",V116=""),"",I116*V116)</x:f>
      </x:c>
      <x:c r="Z116" s="12" t="str">
        <x:f>IF(OR(X116="",Y116=""),"",SQRT((X116/_xlfn.MAXIFS($X:$X,$A:$A,A116))*(Y116/_xlfn.MAXIFS($Y:$Y,$A:$A,A116))))</x:f>
      </x:c>
      <x:c r="AA116" s="12" t="str">
        <x:f>IF(Z116="","",(X116/_xlfn.MAXIFS($X:$X,$A:$A,A116))^0.7*(Y116/_xlfn.MAXIFS($Y:$Y,$A:$A,A116))^0.3)</x:f>
      </x:c>
      <x:c r="AB116" s="12" t="str">
        <x:f>IF(Z116="","",(X116/_xlfn.MAXIFS($X:$X,$A:$A,A116))^0.3*(Y116/_xlfn.MAXIFS($Y:$Y,$A:$A,A116))^0.7)</x:f>
      </x:c>
      <x:c r="AC116" s="12" t="inlineStr">
        <x:is>
          <x:t xml:space="preserve">https://chatgpt.com/codex/pricing/</x:t>
        </x:is>
      </x:c>
      <x:c r="AD116" t="n">
        <x:f>IF(OR(P116="",J116=""),"",P116*J116)</x:f>
        <x:v>1134</x:v>
      </x:c>
      <x:c r="AE116" t="n">
        <x:f>IF(OR(Q116="",J116=""),"",Q116*J116)</x:f>
        <x:v>9720</x:v>
      </x:c>
      <x:c r="AF116" t="n">
        <x:v>121</x:v>
      </x:c>
      <x:c r="AG116" t="n">
        <x:f>IF(OR(H116="",I116=""),"",H116*I116)</x:f>
        <x:v>2593.8</x:v>
      </x:c>
      <x:c r="AH116" t="n">
        <x:f>IF(OR(H116="",J116="",J116=0),"",H116/J116)</x:f>
        <x:v>4888.88888888889</x:v>
      </x:c>
    </x:row>
    <x:row r="117">
      <x:c r="A117" s="12" t="inlineStr">
        <x:is>
          <x:t xml:space="preserve">chatgpt-pro-5x</x:t>
        </x:is>
      </x:c>
      <x:c r="B117" s="12" t="inlineStr">
        <x:is>
          <x:t xml:space="preserve">OpenAI</x:t>
        </x:is>
      </x:c>
      <x:c r="C117" s="12" t="inlineStr">
        <x:is>
          <x:t xml:space="preserve">ChatGPT Pro $100</x:t>
        </x:is>
      </x:c>
      <x:c r="D117" s="70" t="n">
        <x:v>100</x:v>
      </x:c>
      <x:c r="E117" s="12" t="inlineStr">
        <x:is>
          <x:t xml:space="preserve">GPT-6 Luna</x:t>
        </x:is>
      </x:c>
      <x:c r="F117" s="12" t="inlineStr">
        <x:is>
          <x:t xml:space="preserve">medium</x:t>
        </x:is>
      </x:c>
      <x:c r="G117" s="12" t="inlineStr">
        <x:is>
          <x:t xml:space="preserve">openai|gpt-6-luna|medium|reasoning|fallback-na</x:t>
        </x:is>
      </x:c>
      <x:c r="H117" s="12" t="n">
        <x:f>IF(AF117="","",INDEX(Rankings!$I:$I,AF117))</x:f>
        <x:v>30</x:v>
      </x:c>
      <x:c r="I117" s="12" t="str">
        <x:f>IF(AF117="","",INDEX(Rankings!$L:$L,AF117))</x:f>
      </x:c>
      <x:c r="J117" s="12" t="n">
        <x:f>IF(AF117="","",INDEX(Rankings!$J:$J,AF117))</x:f>
        <x:v>0.02</x:v>
      </x:c>
      <x:c r="K117" s="12" t="e">
        <x:f>IF(AF117="","",INDEX(Rankings!$K:$K,AF117))</x:f>
        <x:v>#REF!</x:v>
      </x:c>
      <x:c r="L117" s="12" t="n">
        <x:v>1750</x:v>
      </x:c>
      <x:c r="M117" s="12" t="n">
        <x:v>15000</x:v>
      </x:c>
      <x:c r="N117" s="12" t="n"/>
      <x:c r="O117" s="12" t="n">
        <x:v>144</x:v>
      </x:c>
      <x:c r="P117" s="12" t="n">
        <x:f>IF(L117="","",L117*O117)</x:f>
        <x:v>252000</x:v>
      </x:c>
      <x:c r="Q117" s="12" t="n">
        <x:f>IF(M117="","",M117*O117)</x:f>
        <x:v>2160000</x:v>
      </x:c>
      <x:c r="R117" s="70" t="str">
        <x:f>IF(N117="","",N117)</x:f>
      </x:c>
      <x:c r="S117" s="70" t="str">
        <x:f>IF(N117="","",N117)</x:f>
      </x:c>
      <x:c r="T117" s="12" t="inlineStr">
        <x:is>
          <x:t xml:space="preserve">not estimated; see raw prompt×AA-cost proxy</x:t>
        </x:is>
      </x:c>
      <x:c r="U117" s="12" t="inlineStr">
        <x:is>
          <x:t xml:space="preserve">low</x:t>
        </x:is>
      </x:c>
      <x:c r="V117" s="71" t="str">
        <x:f>IF(OR(S117="",D117=0),"",S117/D117)</x:f>
      </x:c>
      <x:c r="W117" s="12" t="str">
        <x:f>IF(OR(S117="",J117="",J117=0),"",S117/J117)</x:f>
      </x:c>
      <x:c r="X117" s="12" t="str">
        <x:f>IF(OR(H117="",V117=""),"",H117*V117)</x:f>
      </x:c>
      <x:c r="Y117" s="12" t="str">
        <x:f>IF(OR(I117="",V117=""),"",I117*V117)</x:f>
      </x:c>
      <x:c r="Z117" s="12" t="str">
        <x:f>IF(OR(X117="",Y117=""),"",SQRT((X117/_xlfn.MAXIFS($X:$X,$A:$A,A117))*(Y117/_xlfn.MAXIFS($Y:$Y,$A:$A,A117))))</x:f>
      </x:c>
      <x:c r="AA117" s="12" t="str">
        <x:f>IF(Z117="","",(X117/_xlfn.MAXIFS($X:$X,$A:$A,A117))^0.7*(Y117/_xlfn.MAXIFS($Y:$Y,$A:$A,A117))^0.3)</x:f>
      </x:c>
      <x:c r="AB117" s="12" t="str">
        <x:f>IF(Z117="","",(X117/_xlfn.MAXIFS($X:$X,$A:$A,A117))^0.3*(Y117/_xlfn.MAXIFS($Y:$Y,$A:$A,A117))^0.7)</x:f>
      </x:c>
      <x:c r="AC117" s="12" t="inlineStr">
        <x:is>
          <x:t xml:space="preserve">https://chatgpt.com/codex/pricing/</x:t>
        </x:is>
      </x:c>
      <x:c r="AD117" t="n">
        <x:f>IF(OR(P117="",J117=""),"",P117*J117)</x:f>
        <x:v>5040</x:v>
      </x:c>
      <x:c r="AE117" t="n">
        <x:f>IF(OR(Q117="",J117=""),"",Q117*J117)</x:f>
        <x:v>43200</x:v>
      </x:c>
      <x:c r="AF117" t="n">
        <x:v>120</x:v>
      </x:c>
      <x:c r="AG117" t="str">
        <x:f>IF(OR(H117="",I117=""),"",H117*I117)</x:f>
      </x:c>
      <x:c r="AH117" t="n">
        <x:f>IF(OR(H117="",J117="",J117=0),"",H117/J117)</x:f>
        <x:v>1500</x:v>
      </x:c>
    </x:row>
    <x:row r="118">
      <x:c r="A118" s="12" t="inlineStr">
        <x:is>
          <x:t xml:space="preserve">chatgpt-pro-5x</x:t>
        </x:is>
      </x:c>
      <x:c r="B118" s="12" t="inlineStr">
        <x:is>
          <x:t xml:space="preserve">OpenAI</x:t>
        </x:is>
      </x:c>
      <x:c r="C118" s="12" t="inlineStr">
        <x:is>
          <x:t xml:space="preserve">ChatGPT Pro $100</x:t>
        </x:is>
      </x:c>
      <x:c r="D118" s="70" t="n">
        <x:v>100</x:v>
      </x:c>
      <x:c r="E118" s="12" t="inlineStr">
        <x:is>
          <x:t xml:space="preserve">GPT-6 Luna</x:t>
        </x:is>
      </x:c>
      <x:c r="F118" s="12" t="inlineStr">
        <x:is>
          <x:t xml:space="preserve">high</x:t>
        </x:is>
      </x:c>
      <x:c r="G118" s="12" t="inlineStr">
        <x:is>
          <x:t xml:space="preserve">openai|gpt-6-luna|high|reasoning|fallback-na</x:t>
        </x:is>
      </x:c>
      <x:c r="H118" s="12" t="n">
        <x:f>IF(AF118="","",INDEX(Rankings!$I:$I,AF118))</x:f>
        <x:v>33</x:v>
      </x:c>
      <x:c r="I118" s="12" t="n">
        <x:f>IF(AF118="","",INDEX(Rankings!$L:$L,AF118))</x:f>
        <x:v>120.2</x:v>
      </x:c>
      <x:c r="J118" s="12" t="n">
        <x:f>IF(AF118="","",INDEX(Rankings!$J:$J,AF118))</x:f>
        <x:v>0.03</x:v>
      </x:c>
      <x:c r="K118" s="12" t="e">
        <x:f>IF(AF118="","",INDEX(Rankings!$K:$K,AF118))</x:f>
        <x:v>#REF!</x:v>
      </x:c>
      <x:c r="L118" s="12" t="n">
        <x:v>1750</x:v>
      </x:c>
      <x:c r="M118" s="12" t="n">
        <x:v>15000</x:v>
      </x:c>
      <x:c r="N118" s="12" t="n"/>
      <x:c r="O118" s="12" t="n">
        <x:v>144</x:v>
      </x:c>
      <x:c r="P118" s="12" t="n">
        <x:f>IF(L118="","",L118*O118)</x:f>
        <x:v>252000</x:v>
      </x:c>
      <x:c r="Q118" s="12" t="n">
        <x:f>IF(M118="","",M118*O118)</x:f>
        <x:v>2160000</x:v>
      </x:c>
      <x:c r="R118" s="70" t="str">
        <x:f>IF(N118="","",N118)</x:f>
      </x:c>
      <x:c r="S118" s="70" t="str">
        <x:f>IF(N118="","",N118)</x:f>
      </x:c>
      <x:c r="T118" s="12" t="inlineStr">
        <x:is>
          <x:t xml:space="preserve">not estimated; see raw prompt×AA-cost proxy</x:t>
        </x:is>
      </x:c>
      <x:c r="U118" s="12" t="inlineStr">
        <x:is>
          <x:t xml:space="preserve">low</x:t>
        </x:is>
      </x:c>
      <x:c r="V118" s="71" t="str">
        <x:f>IF(OR(S118="",D118=0),"",S118/D118)</x:f>
      </x:c>
      <x:c r="W118" s="12" t="str">
        <x:f>IF(OR(S118="",J118="",J118=0),"",S118/J118)</x:f>
      </x:c>
      <x:c r="X118" s="12" t="str">
        <x:f>IF(OR(H118="",V118=""),"",H118*V118)</x:f>
      </x:c>
      <x:c r="Y118" s="12" t="str">
        <x:f>IF(OR(I118="",V118=""),"",I118*V118)</x:f>
      </x:c>
      <x:c r="Z118" s="12" t="str">
        <x:f>IF(OR(X118="",Y118=""),"",SQRT((X118/_xlfn.MAXIFS($X:$X,$A:$A,A118))*(Y118/_xlfn.MAXIFS($Y:$Y,$A:$A,A118))))</x:f>
      </x:c>
      <x:c r="AA118" s="12" t="str">
        <x:f>IF(Z118="","",(X118/_xlfn.MAXIFS($X:$X,$A:$A,A118))^0.7*(Y118/_xlfn.MAXIFS($Y:$Y,$A:$A,A118))^0.3)</x:f>
      </x:c>
      <x:c r="AB118" s="12" t="str">
        <x:f>IF(Z118="","",(X118/_xlfn.MAXIFS($X:$X,$A:$A,A118))^0.3*(Y118/_xlfn.MAXIFS($Y:$Y,$A:$A,A118))^0.7)</x:f>
      </x:c>
      <x:c r="AC118" s="12" t="inlineStr">
        <x:is>
          <x:t xml:space="preserve">https://chatgpt.com/codex/pricing/</x:t>
        </x:is>
      </x:c>
      <x:c r="AD118" t="n">
        <x:f>IF(OR(P118="",J118=""),"",P118*J118)</x:f>
        <x:v>7560</x:v>
      </x:c>
      <x:c r="AE118" t="n">
        <x:f>IF(OR(Q118="",J118=""),"",Q118*J118)</x:f>
        <x:v>64800</x:v>
      </x:c>
      <x:c r="AF118" t="n">
        <x:v>119</x:v>
      </x:c>
      <x:c r="AG118" t="n">
        <x:f>IF(OR(H118="",I118=""),"",H118*I118)</x:f>
        <x:v>3966.6</x:v>
      </x:c>
      <x:c r="AH118" t="n">
        <x:f>IF(OR(H118="",J118="",J118=0),"",H118/J118)</x:f>
        <x:v>1100</x:v>
      </x:c>
    </x:row>
    <x:row r="119">
      <x:c r="A119" s="12" t="inlineStr">
        <x:is>
          <x:t xml:space="preserve">chatgpt-pro-5x</x:t>
        </x:is>
      </x:c>
      <x:c r="B119" s="12" t="inlineStr">
        <x:is>
          <x:t xml:space="preserve">OpenAI</x:t>
        </x:is>
      </x:c>
      <x:c r="C119" s="12" t="inlineStr">
        <x:is>
          <x:t xml:space="preserve">ChatGPT Pro $100</x:t>
        </x:is>
      </x:c>
      <x:c r="D119" s="70" t="n">
        <x:v>100</x:v>
      </x:c>
      <x:c r="E119" s="12" t="inlineStr">
        <x:is>
          <x:t xml:space="preserve">GPT-6 Luna</x:t>
        </x:is>
      </x:c>
      <x:c r="F119" s="12" t="inlineStr">
        <x:is>
          <x:t xml:space="preserve">xhigh</x:t>
        </x:is>
      </x:c>
      <x:c r="G119" s="12" t="inlineStr">
        <x:is>
          <x:t xml:space="preserve">openai|gpt-6-luna|xhigh|reasoning|fallback-na</x:t>
        </x:is>
      </x:c>
      <x:c r="H119" s="12" t="n">
        <x:f>IF(AF119="","",INDEX(Rankings!$I:$I,AF119))</x:f>
        <x:v>35</x:v>
      </x:c>
      <x:c r="I119" s="12" t="n">
        <x:f>IF(AF119="","",INDEX(Rankings!$L:$L,AF119))</x:f>
        <x:v>114.7</x:v>
      </x:c>
      <x:c r="J119" s="12" t="n">
        <x:f>IF(AF119="","",INDEX(Rankings!$J:$J,AF119))</x:f>
        <x:v>0.04</x:v>
      </x:c>
      <x:c r="K119" s="12" t="e">
        <x:f>IF(AF119="","",INDEX(Rankings!$K:$K,AF119))</x:f>
        <x:v>#REF!</x:v>
      </x:c>
      <x:c r="L119" s="12" t="n">
        <x:v>1750</x:v>
      </x:c>
      <x:c r="M119" s="12" t="n">
        <x:v>15000</x:v>
      </x:c>
      <x:c r="N119" s="12" t="n"/>
      <x:c r="O119" s="12" t="n">
        <x:v>144</x:v>
      </x:c>
      <x:c r="P119" s="12" t="n">
        <x:f>IF(L119="","",L119*O119)</x:f>
        <x:v>252000</x:v>
      </x:c>
      <x:c r="Q119" s="12" t="n">
        <x:f>IF(M119="","",M119*O119)</x:f>
        <x:v>2160000</x:v>
      </x:c>
      <x:c r="R119" s="70" t="str">
        <x:f>IF(N119="","",N119)</x:f>
      </x:c>
      <x:c r="S119" s="70" t="str">
        <x:f>IF(N119="","",N119)</x:f>
      </x:c>
      <x:c r="T119" s="12" t="inlineStr">
        <x:is>
          <x:t xml:space="preserve">not estimated; see raw prompt×AA-cost proxy</x:t>
        </x:is>
      </x:c>
      <x:c r="U119" s="12" t="inlineStr">
        <x:is>
          <x:t xml:space="preserve">low</x:t>
        </x:is>
      </x:c>
      <x:c r="V119" s="71" t="str">
        <x:f>IF(OR(S119="",D119=0),"",S119/D119)</x:f>
      </x:c>
      <x:c r="W119" s="12" t="str">
        <x:f>IF(OR(S119="",J119="",J119=0),"",S119/J119)</x:f>
      </x:c>
      <x:c r="X119" s="12" t="str">
        <x:f>IF(OR(H119="",V119=""),"",H119*V119)</x:f>
      </x:c>
      <x:c r="Y119" s="12" t="str">
        <x:f>IF(OR(I119="",V119=""),"",I119*V119)</x:f>
      </x:c>
      <x:c r="Z119" s="12" t="str">
        <x:f>IF(OR(X119="",Y119=""),"",SQRT((X119/_xlfn.MAXIFS($X:$X,$A:$A,A119))*(Y119/_xlfn.MAXIFS($Y:$Y,$A:$A,A119))))</x:f>
      </x:c>
      <x:c r="AA119" s="12" t="str">
        <x:f>IF(Z119="","",(X119/_xlfn.MAXIFS($X:$X,$A:$A,A119))^0.7*(Y119/_xlfn.MAXIFS($Y:$Y,$A:$A,A119))^0.3)</x:f>
      </x:c>
      <x:c r="AB119" s="12" t="str">
        <x:f>IF(Z119="","",(X119/_xlfn.MAXIFS($X:$X,$A:$A,A119))^0.3*(Y119/_xlfn.MAXIFS($Y:$Y,$A:$A,A119))^0.7)</x:f>
      </x:c>
      <x:c r="AC119" s="12" t="inlineStr">
        <x:is>
          <x:t xml:space="preserve">https://chatgpt.com/codex/pricing/</x:t>
        </x:is>
      </x:c>
      <x:c r="AD119" t="n">
        <x:f>IF(OR(P119="",J119=""),"",P119*J119)</x:f>
        <x:v>10080</x:v>
      </x:c>
      <x:c r="AE119" t="n">
        <x:f>IF(OR(Q119="",J119=""),"",Q119*J119)</x:f>
        <x:v>86400</x:v>
      </x:c>
      <x:c r="AF119" t="n">
        <x:v>118</x:v>
      </x:c>
      <x:c r="AG119" t="n">
        <x:f>IF(OR(H119="",I119=""),"",H119*I119)</x:f>
        <x:v>4014.5</x:v>
      </x:c>
      <x:c r="AH119" t="n">
        <x:f>IF(OR(H119="",J119="",J119=0),"",H119/J119)</x:f>
        <x:v>875</x:v>
      </x:c>
    </x:row>
    <x:row r="120">
      <x:c r="A120" s="12" t="inlineStr">
        <x:is>
          <x:t xml:space="preserve">chatgpt-pro-5x</x:t>
        </x:is>
      </x:c>
      <x:c r="B120" s="12" t="inlineStr">
        <x:is>
          <x:t xml:space="preserve">OpenAI</x:t>
        </x:is>
      </x:c>
      <x:c r="C120" s="12" t="inlineStr">
        <x:is>
          <x:t xml:space="preserve">ChatGPT Pro $100</x:t>
        </x:is>
      </x:c>
      <x:c r="D120" s="70" t="n">
        <x:v>100</x:v>
      </x:c>
      <x:c r="E120" s="12" t="inlineStr">
        <x:is>
          <x:t xml:space="preserve">GPT-6 Luna</x:t>
        </x:is>
      </x:c>
      <x:c r="F120" s="12" t="inlineStr">
        <x:is>
          <x:t xml:space="preserve">max</x:t>
        </x:is>
      </x:c>
      <x:c r="G120" s="12" t="inlineStr">
        <x:is>
          <x:t xml:space="preserve">openai|gpt-6-luna|max|reasoning|fallback-na</x:t>
        </x:is>
      </x:c>
      <x:c r="H120" s="12" t="n">
        <x:f>IF(AF120="","",INDEX(Rankings!$I:$I,AF120))</x:f>
        <x:v>38</x:v>
      </x:c>
      <x:c r="I120" s="12" t="n">
        <x:f>IF(AF120="","",INDEX(Rankings!$L:$L,AF120))</x:f>
        <x:v>122.1</x:v>
      </x:c>
      <x:c r="J120" s="12" t="n">
        <x:f>IF(AF120="","",INDEX(Rankings!$J:$J,AF120))</x:f>
        <x:v>0.07</x:v>
      </x:c>
      <x:c r="K120" s="12" t="str">
        <x:f>IF(AF120="","",INDEX(Rankings!$K:$K,AF120))</x:f>
      </x:c>
      <x:c r="L120" s="12" t="n">
        <x:v>1750</x:v>
      </x:c>
      <x:c r="M120" s="12" t="n">
        <x:v>15000</x:v>
      </x:c>
      <x:c r="N120" s="12" t="n"/>
      <x:c r="O120" s="12" t="n">
        <x:v>144</x:v>
      </x:c>
      <x:c r="P120" s="12" t="n">
        <x:f>IF(L120="","",L120*O120)</x:f>
        <x:v>252000</x:v>
      </x:c>
      <x:c r="Q120" s="12" t="n">
        <x:f>IF(M120="","",M120*O120)</x:f>
        <x:v>2160000</x:v>
      </x:c>
      <x:c r="R120" s="70" t="str">
        <x:f>IF(N120="","",N120)</x:f>
      </x:c>
      <x:c r="S120" s="70" t="str">
        <x:f>IF(N120="","",N120)</x:f>
      </x:c>
      <x:c r="T120" s="12" t="inlineStr">
        <x:is>
          <x:t xml:space="preserve">not estimated; see raw prompt×AA-cost proxy</x:t>
        </x:is>
      </x:c>
      <x:c r="U120" s="12" t="inlineStr">
        <x:is>
          <x:t xml:space="preserve">low</x:t>
        </x:is>
      </x:c>
      <x:c r="V120" s="71" t="str">
        <x:f>IF(OR(S120="",D120=0),"",S120/D120)</x:f>
      </x:c>
      <x:c r="W120" s="12" t="str">
        <x:f>IF(OR(S120="",J120="",J120=0),"",S120/J120)</x:f>
      </x:c>
      <x:c r="X120" s="12" t="str">
        <x:f>IF(OR(H120="",V120=""),"",H120*V120)</x:f>
      </x:c>
      <x:c r="Y120" s="12" t="str">
        <x:f>IF(OR(I120="",V120=""),"",I120*V120)</x:f>
      </x:c>
      <x:c r="Z120" s="12" t="str">
        <x:f>IF(OR(X120="",Y120=""),"",SQRT((X120/_xlfn.MAXIFS($X:$X,$A:$A,A120))*(Y120/_xlfn.MAXIFS($Y:$Y,$A:$A,A120))))</x:f>
      </x:c>
      <x:c r="AA120" s="12" t="str">
        <x:f>IF(Z120="","",(X120/_xlfn.MAXIFS($X:$X,$A:$A,A120))^0.7*(Y120/_xlfn.MAXIFS($Y:$Y,$A:$A,A120))^0.3)</x:f>
      </x:c>
      <x:c r="AB120" s="12" t="str">
        <x:f>IF(Z120="","",(X120/_xlfn.MAXIFS($X:$X,$A:$A,A120))^0.3*(Y120/_xlfn.MAXIFS($Y:$Y,$A:$A,A120))^0.7)</x:f>
      </x:c>
      <x:c r="AC120" s="12" t="inlineStr">
        <x:is>
          <x:t xml:space="preserve">https://chatgpt.com/codex/pricing/</x:t>
        </x:is>
      </x:c>
      <x:c r="AD120" t="n">
        <x:f>IF(OR(P120="",J120=""),"",P120*J120)</x:f>
        <x:v>17640</x:v>
      </x:c>
      <x:c r="AE120" t="n">
        <x:f>IF(OR(Q120="",J120=""),"",Q120*J120)</x:f>
        <x:v>151200</x:v>
      </x:c>
      <x:c r="AF120" t="n">
        <x:v>90</x:v>
      </x:c>
      <x:c r="AG120" t="n">
        <x:f>IF(OR(H120="",I120=""),"",H120*I120)</x:f>
        <x:v>4639.8</x:v>
      </x:c>
      <x:c r="AH120" t="n">
        <x:f>IF(OR(H120="",J120="",J120=0),"",H120/J120)</x:f>
        <x:v>542.8571428571428</x:v>
      </x:c>
    </x:row>
    <x:row r="121">
      <x:c r="A121" s="12" t="inlineStr">
        <x:is>
          <x:t xml:space="preserve">chatgpt-pro-20x</x:t>
        </x:is>
      </x:c>
      <x:c r="B121" s="12" t="inlineStr">
        <x:is>
          <x:t xml:space="preserve">OpenAI</x:t>
        </x:is>
      </x:c>
      <x:c r="C121" s="12" t="inlineStr">
        <x:is>
          <x:t xml:space="preserve">ChatGPT Pro $200</x:t>
        </x:is>
      </x:c>
      <x:c r="D121" s="70" t="n">
        <x:v>200</x:v>
      </x:c>
      <x:c r="E121" s="12" t="inlineStr">
        <x:is>
          <x:t xml:space="preserve">GPT-6 Luna</x:t>
        </x:is>
      </x:c>
      <x:c r="F121" s="12" t="inlineStr">
        <x:is>
          <x:t xml:space="preserve">low</x:t>
        </x:is>
      </x:c>
      <x:c r="G121" s="12" t="inlineStr">
        <x:is>
          <x:t xml:space="preserve">openai|gpt-6-luna|low|reasoning|fallback-na</x:t>
        </x:is>
      </x:c>
      <x:c r="H121" s="12" t="n">
        <x:f>IF(AF121="","",INDEX(Rankings!$I:$I,AF121))</x:f>
        <x:v>22</x:v>
      </x:c>
      <x:c r="I121" s="12" t="n">
        <x:f>IF(AF121="","",INDEX(Rankings!$L:$L,AF121))</x:f>
        <x:v>117.9</x:v>
      </x:c>
      <x:c r="J121" s="12" t="n">
        <x:f>IF(AF121="","",INDEX(Rankings!$J:$J,AF121))</x:f>
        <x:v>0.0045</x:v>
      </x:c>
      <x:c r="K121" s="12" t="e">
        <x:f>IF(AF121="","",INDEX(Rankings!$K:$K,AF121))</x:f>
        <x:v>#REF!</x:v>
      </x:c>
      <x:c r="L121" s="12" t="n">
        <x:v>7000</x:v>
      </x:c>
      <x:c r="M121" s="12" t="n">
        <x:v>60000</x:v>
      </x:c>
      <x:c r="N121" s="12" t="n"/>
      <x:c r="O121" s="12" t="n">
        <x:v>144</x:v>
      </x:c>
      <x:c r="P121" s="12" t="n">
        <x:f>IF(L121="","",L121*O121)</x:f>
        <x:v>1008000</x:v>
      </x:c>
      <x:c r="Q121" s="12" t="n">
        <x:f>IF(M121="","",M121*O121)</x:f>
        <x:v>8640000</x:v>
      </x:c>
      <x:c r="R121" s="70" t="str">
        <x:f>IF(N121="","",N121)</x:f>
      </x:c>
      <x:c r="S121" s="70" t="str">
        <x:f>IF(N121="","",N121)</x:f>
      </x:c>
      <x:c r="T121" s="12" t="inlineStr">
        <x:is>
          <x:t xml:space="preserve">not estimated; see raw prompt×AA-cost proxy</x:t>
        </x:is>
      </x:c>
      <x:c r="U121" s="12" t="inlineStr">
        <x:is>
          <x:t xml:space="preserve">low</x:t>
        </x:is>
      </x:c>
      <x:c r="V121" s="71" t="str">
        <x:f>IF(OR(S121="",D121=0),"",S121/D121)</x:f>
      </x:c>
      <x:c r="W121" s="12" t="str">
        <x:f>IF(OR(S121="",J121="",J121=0),"",S121/J121)</x:f>
      </x:c>
      <x:c r="X121" s="12" t="str">
        <x:f>IF(OR(H121="",V121=""),"",H121*V121)</x:f>
      </x:c>
      <x:c r="Y121" s="12" t="str">
        <x:f>IF(OR(I121="",V121=""),"",I121*V121)</x:f>
      </x:c>
      <x:c r="Z121" s="12" t="str">
        <x:f>IF(OR(X121="",Y121=""),"",SQRT((X121/_xlfn.MAXIFS($X:$X,$A:$A,A121))*(Y121/_xlfn.MAXIFS($Y:$Y,$A:$A,A121))))</x:f>
      </x:c>
      <x:c r="AA121" s="12" t="str">
        <x:f>IF(Z121="","",(X121/_xlfn.MAXIFS($X:$X,$A:$A,A121))^0.7*(Y121/_xlfn.MAXIFS($Y:$Y,$A:$A,A121))^0.3)</x:f>
      </x:c>
      <x:c r="AB121" s="12" t="str">
        <x:f>IF(Z121="","",(X121/_xlfn.MAXIFS($X:$X,$A:$A,A121))^0.3*(Y121/_xlfn.MAXIFS($Y:$Y,$A:$A,A121))^0.7)</x:f>
      </x:c>
      <x:c r="AC121" s="12" t="inlineStr">
        <x:is>
          <x:t xml:space="preserve">https://chatgpt.com/codex/pricing/</x:t>
        </x:is>
      </x:c>
      <x:c r="AD121" t="n">
        <x:f>IF(OR(P121="",J121=""),"",P121*J121)</x:f>
        <x:v>4536</x:v>
      </x:c>
      <x:c r="AE121" t="n">
        <x:f>IF(OR(Q121="",J121=""),"",Q121*J121)</x:f>
        <x:v>38880</x:v>
      </x:c>
      <x:c r="AF121" t="n">
        <x:v>121</x:v>
      </x:c>
      <x:c r="AG121" t="n">
        <x:f>IF(OR(H121="",I121=""),"",H121*I121)</x:f>
        <x:v>2593.8</x:v>
      </x:c>
      <x:c r="AH121" t="n">
        <x:f>IF(OR(H121="",J121="",J121=0),"",H121/J121)</x:f>
        <x:v>4888.88888888889</x:v>
      </x:c>
    </x:row>
    <x:row r="122">
      <x:c r="A122" s="12" t="inlineStr">
        <x:is>
          <x:t xml:space="preserve">chatgpt-pro-20x</x:t>
        </x:is>
      </x:c>
      <x:c r="B122" s="12" t="inlineStr">
        <x:is>
          <x:t xml:space="preserve">OpenAI</x:t>
        </x:is>
      </x:c>
      <x:c r="C122" s="12" t="inlineStr">
        <x:is>
          <x:t xml:space="preserve">ChatGPT Pro $200</x:t>
        </x:is>
      </x:c>
      <x:c r="D122" s="70" t="n">
        <x:v>200</x:v>
      </x:c>
      <x:c r="E122" s="12" t="inlineStr">
        <x:is>
          <x:t xml:space="preserve">GPT-6 Luna</x:t>
        </x:is>
      </x:c>
      <x:c r="F122" s="12" t="inlineStr">
        <x:is>
          <x:t xml:space="preserve">medium</x:t>
        </x:is>
      </x:c>
      <x:c r="G122" s="12" t="inlineStr">
        <x:is>
          <x:t xml:space="preserve">openai|gpt-6-luna|medium|reasoning|fallback-na</x:t>
        </x:is>
      </x:c>
      <x:c r="H122" s="12" t="n">
        <x:f>IF(AF122="","",INDEX(Rankings!$I:$I,AF122))</x:f>
        <x:v>30</x:v>
      </x:c>
      <x:c r="I122" s="12" t="str">
        <x:f>IF(AF122="","",INDEX(Rankings!$L:$L,AF122))</x:f>
      </x:c>
      <x:c r="J122" s="12" t="n">
        <x:f>IF(AF122="","",INDEX(Rankings!$J:$J,AF122))</x:f>
        <x:v>0.02</x:v>
      </x:c>
      <x:c r="K122" s="12" t="e">
        <x:f>IF(AF122="","",INDEX(Rankings!$K:$K,AF122))</x:f>
        <x:v>#REF!</x:v>
      </x:c>
      <x:c r="L122" s="12" t="n">
        <x:v>7000</x:v>
      </x:c>
      <x:c r="M122" s="12" t="n">
        <x:v>60000</x:v>
      </x:c>
      <x:c r="N122" s="12" t="n"/>
      <x:c r="O122" s="12" t="n">
        <x:v>144</x:v>
      </x:c>
      <x:c r="P122" s="12" t="n">
        <x:f>IF(L122="","",L122*O122)</x:f>
        <x:v>1008000</x:v>
      </x:c>
      <x:c r="Q122" s="12" t="n">
        <x:f>IF(M122="","",M122*O122)</x:f>
        <x:v>8640000</x:v>
      </x:c>
      <x:c r="R122" s="70" t="str">
        <x:f>IF(N122="","",N122)</x:f>
      </x:c>
      <x:c r="S122" s="70" t="str">
        <x:f>IF(N122="","",N122)</x:f>
      </x:c>
      <x:c r="T122" s="12" t="inlineStr">
        <x:is>
          <x:t xml:space="preserve">not estimated; see raw prompt×AA-cost proxy</x:t>
        </x:is>
      </x:c>
      <x:c r="U122" s="12" t="inlineStr">
        <x:is>
          <x:t xml:space="preserve">low</x:t>
        </x:is>
      </x:c>
      <x:c r="V122" s="71" t="str">
        <x:f>IF(OR(S122="",D122=0),"",S122/D122)</x:f>
      </x:c>
      <x:c r="W122" s="12" t="str">
        <x:f>IF(OR(S122="",J122="",J122=0),"",S122/J122)</x:f>
      </x:c>
      <x:c r="X122" s="12" t="str">
        <x:f>IF(OR(H122="",V122=""),"",H122*V122)</x:f>
      </x:c>
      <x:c r="Y122" s="12" t="str">
        <x:f>IF(OR(I122="",V122=""),"",I122*V122)</x:f>
      </x:c>
      <x:c r="Z122" s="12" t="str">
        <x:f>IF(OR(X122="",Y122=""),"",SQRT((X122/_xlfn.MAXIFS($X:$X,$A:$A,A122))*(Y122/_xlfn.MAXIFS($Y:$Y,$A:$A,A122))))</x:f>
      </x:c>
      <x:c r="AA122" s="12" t="str">
        <x:f>IF(Z122="","",(X122/_xlfn.MAXIFS($X:$X,$A:$A,A122))^0.7*(Y122/_xlfn.MAXIFS($Y:$Y,$A:$A,A122))^0.3)</x:f>
      </x:c>
      <x:c r="AB122" s="12" t="str">
        <x:f>IF(Z122="","",(X122/_xlfn.MAXIFS($X:$X,$A:$A,A122))^0.3*(Y122/_xlfn.MAXIFS($Y:$Y,$A:$A,A122))^0.7)</x:f>
      </x:c>
      <x:c r="AC122" s="12" t="inlineStr">
        <x:is>
          <x:t xml:space="preserve">https://chatgpt.com/codex/pricing/</x:t>
        </x:is>
      </x:c>
      <x:c r="AD122" t="n">
        <x:f>IF(OR(P122="",J122=""),"",P122*J122)</x:f>
        <x:v>20160</x:v>
      </x:c>
      <x:c r="AE122" t="n">
        <x:f>IF(OR(Q122="",J122=""),"",Q122*J122)</x:f>
        <x:v>172800</x:v>
      </x:c>
      <x:c r="AF122" t="n">
        <x:v>120</x:v>
      </x:c>
      <x:c r="AG122" t="str">
        <x:f>IF(OR(H122="",I122=""),"",H122*I122)</x:f>
      </x:c>
      <x:c r="AH122" t="n">
        <x:f>IF(OR(H122="",J122="",J122=0),"",H122/J122)</x:f>
        <x:v>1500</x:v>
      </x:c>
    </x:row>
    <x:row r="123">
      <x:c r="A123" s="12" t="inlineStr">
        <x:is>
          <x:t xml:space="preserve">chatgpt-pro-20x</x:t>
        </x:is>
      </x:c>
      <x:c r="B123" s="12" t="inlineStr">
        <x:is>
          <x:t xml:space="preserve">OpenAI</x:t>
        </x:is>
      </x:c>
      <x:c r="C123" s="12" t="inlineStr">
        <x:is>
          <x:t xml:space="preserve">ChatGPT Pro $200</x:t>
        </x:is>
      </x:c>
      <x:c r="D123" s="70" t="n">
        <x:v>200</x:v>
      </x:c>
      <x:c r="E123" s="12" t="inlineStr">
        <x:is>
          <x:t xml:space="preserve">GPT-6 Luna</x:t>
        </x:is>
      </x:c>
      <x:c r="F123" s="12" t="inlineStr">
        <x:is>
          <x:t xml:space="preserve">high</x:t>
        </x:is>
      </x:c>
      <x:c r="G123" s="12" t="inlineStr">
        <x:is>
          <x:t xml:space="preserve">openai|gpt-6-luna|high|reasoning|fallback-na</x:t>
        </x:is>
      </x:c>
      <x:c r="H123" s="12" t="n">
        <x:f>IF(AF123="","",INDEX(Rankings!$I:$I,AF123))</x:f>
        <x:v>33</x:v>
      </x:c>
      <x:c r="I123" s="12" t="n">
        <x:f>IF(AF123="","",INDEX(Rankings!$L:$L,AF123))</x:f>
        <x:v>120.2</x:v>
      </x:c>
      <x:c r="J123" s="12" t="n">
        <x:f>IF(AF123="","",INDEX(Rankings!$J:$J,AF123))</x:f>
        <x:v>0.03</x:v>
      </x:c>
      <x:c r="K123" s="12" t="e">
        <x:f>IF(AF123="","",INDEX(Rankings!$K:$K,AF123))</x:f>
        <x:v>#REF!</x:v>
      </x:c>
      <x:c r="L123" s="12" t="n">
        <x:v>7000</x:v>
      </x:c>
      <x:c r="M123" s="12" t="n">
        <x:v>60000</x:v>
      </x:c>
      <x:c r="N123" s="12" t="n"/>
      <x:c r="O123" s="12" t="n">
        <x:v>144</x:v>
      </x:c>
      <x:c r="P123" s="12" t="n">
        <x:f>IF(L123="","",L123*O123)</x:f>
        <x:v>1008000</x:v>
      </x:c>
      <x:c r="Q123" s="12" t="n">
        <x:f>IF(M123="","",M123*O123)</x:f>
        <x:v>8640000</x:v>
      </x:c>
      <x:c r="R123" s="70" t="str">
        <x:f>IF(N123="","",N123)</x:f>
      </x:c>
      <x:c r="S123" s="70" t="str">
        <x:f>IF(N123="","",N123)</x:f>
      </x:c>
      <x:c r="T123" s="12" t="inlineStr">
        <x:is>
          <x:t xml:space="preserve">not estimated; see raw prompt×AA-cost proxy</x:t>
        </x:is>
      </x:c>
      <x:c r="U123" s="12" t="inlineStr">
        <x:is>
          <x:t xml:space="preserve">low</x:t>
        </x:is>
      </x:c>
      <x:c r="V123" s="71" t="str">
        <x:f>IF(OR(S123="",D123=0),"",S123/D123)</x:f>
      </x:c>
      <x:c r="W123" s="12" t="str">
        <x:f>IF(OR(S123="",J123="",J123=0),"",S123/J123)</x:f>
      </x:c>
      <x:c r="X123" s="12" t="str">
        <x:f>IF(OR(H123="",V123=""),"",H123*V123)</x:f>
      </x:c>
      <x:c r="Y123" s="12" t="str">
        <x:f>IF(OR(I123="",V123=""),"",I123*V123)</x:f>
      </x:c>
      <x:c r="Z123" s="12" t="str">
        <x:f>IF(OR(X123="",Y123=""),"",SQRT((X123/_xlfn.MAXIFS($X:$X,$A:$A,A123))*(Y123/_xlfn.MAXIFS($Y:$Y,$A:$A,A123))))</x:f>
      </x:c>
      <x:c r="AA123" s="12" t="str">
        <x:f>IF(Z123="","",(X123/_xlfn.MAXIFS($X:$X,$A:$A,A123))^0.7*(Y123/_xlfn.MAXIFS($Y:$Y,$A:$A,A123))^0.3)</x:f>
      </x:c>
      <x:c r="AB123" s="12" t="str">
        <x:f>IF(Z123="","",(X123/_xlfn.MAXIFS($X:$X,$A:$A,A123))^0.3*(Y123/_xlfn.MAXIFS($Y:$Y,$A:$A,A123))^0.7)</x:f>
      </x:c>
      <x:c r="AC123" s="12" t="inlineStr">
        <x:is>
          <x:t xml:space="preserve">https://chatgpt.com/codex/pricing/</x:t>
        </x:is>
      </x:c>
      <x:c r="AD123" t="n">
        <x:f>IF(OR(P123="",J123=""),"",P123*J123)</x:f>
        <x:v>30240</x:v>
      </x:c>
      <x:c r="AE123" t="n">
        <x:f>IF(OR(Q123="",J123=""),"",Q123*J123)</x:f>
        <x:v>259200</x:v>
      </x:c>
      <x:c r="AF123" t="n">
        <x:v>119</x:v>
      </x:c>
      <x:c r="AG123" t="n">
        <x:f>IF(OR(H123="",I123=""),"",H123*I123)</x:f>
        <x:v>3966.6</x:v>
      </x:c>
      <x:c r="AH123" t="n">
        <x:f>IF(OR(H123="",J123="",J123=0),"",H123/J123)</x:f>
        <x:v>1100</x:v>
      </x:c>
    </x:row>
    <x:row r="124">
      <x:c r="A124" s="12" t="inlineStr">
        <x:is>
          <x:t xml:space="preserve">chatgpt-pro-20x</x:t>
        </x:is>
      </x:c>
      <x:c r="B124" s="12" t="inlineStr">
        <x:is>
          <x:t xml:space="preserve">OpenAI</x:t>
        </x:is>
      </x:c>
      <x:c r="C124" s="12" t="inlineStr">
        <x:is>
          <x:t xml:space="preserve">ChatGPT Pro $200</x:t>
        </x:is>
      </x:c>
      <x:c r="D124" s="70" t="n">
        <x:v>200</x:v>
      </x:c>
      <x:c r="E124" s="12" t="inlineStr">
        <x:is>
          <x:t xml:space="preserve">GPT-6 Luna</x:t>
        </x:is>
      </x:c>
      <x:c r="F124" s="12" t="inlineStr">
        <x:is>
          <x:t xml:space="preserve">xhigh</x:t>
        </x:is>
      </x:c>
      <x:c r="G124" s="12" t="inlineStr">
        <x:is>
          <x:t xml:space="preserve">openai|gpt-6-luna|xhigh|reasoning|fallback-na</x:t>
        </x:is>
      </x:c>
      <x:c r="H124" s="12" t="n">
        <x:f>IF(AF124="","",INDEX(Rankings!$I:$I,AF124))</x:f>
        <x:v>35</x:v>
      </x:c>
      <x:c r="I124" s="12" t="n">
        <x:f>IF(AF124="","",INDEX(Rankings!$L:$L,AF124))</x:f>
        <x:v>114.7</x:v>
      </x:c>
      <x:c r="J124" s="12" t="n">
        <x:f>IF(AF124="","",INDEX(Rankings!$J:$J,AF124))</x:f>
        <x:v>0.04</x:v>
      </x:c>
      <x:c r="K124" s="12" t="e">
        <x:f>IF(AF124="","",INDEX(Rankings!$K:$K,AF124))</x:f>
        <x:v>#REF!</x:v>
      </x:c>
      <x:c r="L124" s="12" t="n">
        <x:v>7000</x:v>
      </x:c>
      <x:c r="M124" s="12" t="n">
        <x:v>60000</x:v>
      </x:c>
      <x:c r="N124" s="12" t="n"/>
      <x:c r="O124" s="12" t="n">
        <x:v>144</x:v>
      </x:c>
      <x:c r="P124" s="12" t="n">
        <x:f>IF(L124="","",L124*O124)</x:f>
        <x:v>1008000</x:v>
      </x:c>
      <x:c r="Q124" s="12" t="n">
        <x:f>IF(M124="","",M124*O124)</x:f>
        <x:v>8640000</x:v>
      </x:c>
      <x:c r="R124" s="70" t="str">
        <x:f>IF(N124="","",N124)</x:f>
      </x:c>
      <x:c r="S124" s="70" t="str">
        <x:f>IF(N124="","",N124)</x:f>
      </x:c>
      <x:c r="T124" s="12" t="inlineStr">
        <x:is>
          <x:t xml:space="preserve">not estimated; see raw prompt×AA-cost proxy</x:t>
        </x:is>
      </x:c>
      <x:c r="U124" s="12" t="inlineStr">
        <x:is>
          <x:t xml:space="preserve">low</x:t>
        </x:is>
      </x:c>
      <x:c r="V124" s="71" t="str">
        <x:f>IF(OR(S124="",D124=0),"",S124/D124)</x:f>
      </x:c>
      <x:c r="W124" s="12" t="str">
        <x:f>IF(OR(S124="",J124="",J124=0),"",S124/J124)</x:f>
      </x:c>
      <x:c r="X124" s="12" t="str">
        <x:f>IF(OR(H124="",V124=""),"",H124*V124)</x:f>
      </x:c>
      <x:c r="Y124" s="12" t="str">
        <x:f>IF(OR(I124="",V124=""),"",I124*V124)</x:f>
      </x:c>
      <x:c r="Z124" s="12" t="str">
        <x:f>IF(OR(X124="",Y124=""),"",SQRT((X124/_xlfn.MAXIFS($X:$X,$A:$A,A124))*(Y124/_xlfn.MAXIFS($Y:$Y,$A:$A,A124))))</x:f>
      </x:c>
      <x:c r="AA124" s="12" t="str">
        <x:f>IF(Z124="","",(X124/_xlfn.MAXIFS($X:$X,$A:$A,A124))^0.7*(Y124/_xlfn.MAXIFS($Y:$Y,$A:$A,A124))^0.3)</x:f>
      </x:c>
      <x:c r="AB124" s="12" t="str">
        <x:f>IF(Z124="","",(X124/_xlfn.MAXIFS($X:$X,$A:$A,A124))^0.3*(Y124/_xlfn.MAXIFS($Y:$Y,$A:$A,A124))^0.7)</x:f>
      </x:c>
      <x:c r="AC124" s="12" t="inlineStr">
        <x:is>
          <x:t xml:space="preserve">https://chatgpt.com/codex/pricing/</x:t>
        </x:is>
      </x:c>
      <x:c r="AD124" t="n">
        <x:f>IF(OR(P124="",J124=""),"",P124*J124)</x:f>
        <x:v>40320</x:v>
      </x:c>
      <x:c r="AE124" t="n">
        <x:f>IF(OR(Q124="",J124=""),"",Q124*J124)</x:f>
        <x:v>345600</x:v>
      </x:c>
      <x:c r="AF124" t="n">
        <x:v>118</x:v>
      </x:c>
      <x:c r="AG124" t="n">
        <x:f>IF(OR(H124="",I124=""),"",H124*I124)</x:f>
        <x:v>4014.5</x:v>
      </x:c>
      <x:c r="AH124" t="n">
        <x:f>IF(OR(H124="",J124="",J124=0),"",H124/J124)</x:f>
        <x:v>875</x:v>
      </x:c>
    </x:row>
    <x:row r="125">
      <x:c r="A125" s="12" t="inlineStr">
        <x:is>
          <x:t xml:space="preserve">chatgpt-pro-20x</x:t>
        </x:is>
      </x:c>
      <x:c r="B125" s="12" t="inlineStr">
        <x:is>
          <x:t xml:space="preserve">OpenAI</x:t>
        </x:is>
      </x:c>
      <x:c r="C125" s="12" t="inlineStr">
        <x:is>
          <x:t xml:space="preserve">ChatGPT Pro $200</x:t>
        </x:is>
      </x:c>
      <x:c r="D125" s="70" t="n">
        <x:v>200</x:v>
      </x:c>
      <x:c r="E125" s="12" t="inlineStr">
        <x:is>
          <x:t xml:space="preserve">GPT-6 Luna</x:t>
        </x:is>
      </x:c>
      <x:c r="F125" s="12" t="inlineStr">
        <x:is>
          <x:t xml:space="preserve">max</x:t>
        </x:is>
      </x:c>
      <x:c r="G125" s="12" t="inlineStr">
        <x:is>
          <x:t xml:space="preserve">openai|gpt-6-luna|max|reasoning|fallback-na</x:t>
        </x:is>
      </x:c>
      <x:c r="H125" s="12" t="n">
        <x:f>IF(AF125="","",INDEX(Rankings!$I:$I,AF125))</x:f>
        <x:v>38</x:v>
      </x:c>
      <x:c r="I125" s="12" t="n">
        <x:f>IF(AF125="","",INDEX(Rankings!$L:$L,AF125))</x:f>
        <x:v>122.1</x:v>
      </x:c>
      <x:c r="J125" s="12" t="n">
        <x:f>IF(AF125="","",INDEX(Rankings!$J:$J,AF125))</x:f>
        <x:v>0.07</x:v>
      </x:c>
      <x:c r="K125" s="12" t="str">
        <x:f>IF(AF125="","",INDEX(Rankings!$K:$K,AF125))</x:f>
      </x:c>
      <x:c r="L125" s="12" t="n">
        <x:v>7000</x:v>
      </x:c>
      <x:c r="M125" s="12" t="n">
        <x:v>60000</x:v>
      </x:c>
      <x:c r="N125" s="12" t="n"/>
      <x:c r="O125" s="12" t="n">
        <x:v>144</x:v>
      </x:c>
      <x:c r="P125" s="12" t="n">
        <x:f>IF(L125="","",L125*O125)</x:f>
        <x:v>1008000</x:v>
      </x:c>
      <x:c r="Q125" s="12" t="n">
        <x:f>IF(M125="","",M125*O125)</x:f>
        <x:v>8640000</x:v>
      </x:c>
      <x:c r="R125" s="70" t="str">
        <x:f>IF(N125="","",N125)</x:f>
      </x:c>
      <x:c r="S125" s="70" t="str">
        <x:f>IF(N125="","",N125)</x:f>
      </x:c>
      <x:c r="T125" s="12" t="inlineStr">
        <x:is>
          <x:t xml:space="preserve">not estimated; see raw prompt×AA-cost proxy</x:t>
        </x:is>
      </x:c>
      <x:c r="U125" s="12" t="inlineStr">
        <x:is>
          <x:t xml:space="preserve">low</x:t>
        </x:is>
      </x:c>
      <x:c r="V125" s="71" t="str">
        <x:f>IF(OR(S125="",D125=0),"",S125/D125)</x:f>
      </x:c>
      <x:c r="W125" s="12" t="str">
        <x:f>IF(OR(S125="",J125="",J125=0),"",S125/J125)</x:f>
      </x:c>
      <x:c r="X125" s="12" t="str">
        <x:f>IF(OR(H125="",V125=""),"",H125*V125)</x:f>
      </x:c>
      <x:c r="Y125" s="12" t="str">
        <x:f>IF(OR(I125="",V125=""),"",I125*V125)</x:f>
      </x:c>
      <x:c r="Z125" s="12" t="str">
        <x:f>IF(OR(X125="",Y125=""),"",SQRT((X125/_xlfn.MAXIFS($X:$X,$A:$A,A125))*(Y125/_xlfn.MAXIFS($Y:$Y,$A:$A,A125))))</x:f>
      </x:c>
      <x:c r="AA125" s="12" t="str">
        <x:f>IF(Z125="","",(X125/_xlfn.MAXIFS($X:$X,$A:$A,A125))^0.7*(Y125/_xlfn.MAXIFS($Y:$Y,$A:$A,A125))^0.3)</x:f>
      </x:c>
      <x:c r="AB125" s="12" t="str">
        <x:f>IF(Z125="","",(X125/_xlfn.MAXIFS($X:$X,$A:$A,A125))^0.3*(Y125/_xlfn.MAXIFS($Y:$Y,$A:$A,A125))^0.7)</x:f>
      </x:c>
      <x:c r="AC125" s="12" t="inlineStr">
        <x:is>
          <x:t xml:space="preserve">https://chatgpt.com/codex/pricing/</x:t>
        </x:is>
      </x:c>
      <x:c r="AD125" t="n">
        <x:f>IF(OR(P125="",J125=""),"",P125*J125)</x:f>
        <x:v>70560</x:v>
      </x:c>
      <x:c r="AE125" t="n">
        <x:f>IF(OR(Q125="",J125=""),"",Q125*J125)</x:f>
        <x:v>604800</x:v>
      </x:c>
      <x:c r="AF125" t="n">
        <x:v>90</x:v>
      </x:c>
      <x:c r="AG125" t="n">
        <x:f>IF(OR(H125="",I125=""),"",H125*I125)</x:f>
        <x:v>4639.8</x:v>
      </x:c>
      <x:c r="AH125" t="n">
        <x:f>IF(OR(H125="",J125="",J125=0),"",H125/J125)</x:f>
        <x:v>542.8571428571428</x:v>
      </x:c>
    </x:row>
  </x:sheetData>
  <x:pageMargins left="0.7" right="0.7" top="0.75" bottom="0.75" header="0.3" footer="0.3"/>
</x:worksheet>
</file>

<file path=xl/worksheets/sheet28.xml><?xml version="1.0" encoding="utf-8"?>
<x:worksheet xmlns:x="http://schemas.openxmlformats.org/spreadsheetml/2006/main">
  <x:sheetFormatPr baseColWidth="8" defaultRowHeight="15"/>
  <x:cols>
    <x:col min="1" max="1" width="24" style="14" customWidth="1"/>
    <x:col min="2" max="2" width="24" style="14" customWidth="1"/>
    <x:col min="3" max="3" width="24" style="14" customWidth="1"/>
    <x:col min="4" max="4" width="24" style="14" customWidth="1"/>
    <x:col min="5" max="5" width="24" style="14" customWidth="1"/>
    <x:col min="6" max="6" width="24" style="14" customWidth="1"/>
    <x:col min="7" max="7" width="24" style="14" customWidth="1"/>
    <x:col min="8" max="8" width="24" style="14" customWidth="1"/>
    <x:col min="9" max="9" width="72" style="14" customWidth="1"/>
  </x:cols>
  <x:sheetData>
    <x:row r="1">
      <x:c r="A1" s="6" t="inlineStr">
        <x:is>
          <x:t xml:space="preserve">snapshot_timestamp</x:t>
        </x:is>
      </x:c>
      <x:c r="B1" s="6" t="inlineStr">
        <x:is>
          <x:t xml:space="preserve">profile</x:t>
        </x:is>
      </x:c>
      <x:c r="C1" s="6" t="inlineStr">
        <x:is>
          <x:t xml:space="preserve">target</x:t>
        </x:is>
      </x:c>
      <x:c r="D1" s="6" t="inlineStr">
        <x:is>
          <x:t xml:space="preserve">intel_weight</x:t>
        </x:is>
      </x:c>
      <x:c r="E1" s="6" t="inlineStr">
        <x:is>
          <x:t xml:space="preserve">speed_weight</x:t>
        </x:is>
      </x:c>
      <x:c r="F1" s="6" t="inlineStr">
        <x:is>
          <x:t xml:space="preserve">status_filter</x:t>
        </x:is>
      </x:c>
      <x:c r="G1" s="6" t="inlineStr">
        <x:is>
          <x:t xml:space="preserve">availability_filter</x:t>
        </x:is>
      </x:c>
      <x:c r="H1" s="6" t="inlineStr">
        <x:is>
          <x:t xml:space="preserve">benchmark_version</x:t>
        </x:is>
      </x:c>
      <x:c r="I1" s="6" t="inlineStr">
        <x:is>
          <x:t xml:space="preserve">notes</x:t>
        </x:is>
      </x:c>
    </x:row>
    <x:row r="2">
      <x:c r="A2" t="inlineStr">
        <x:is>
          <x:t xml:space="preserve">2026-09-29 10:58 America/Chicago</x:t>
        </x:is>
      </x:c>
      <x:c r="B2" t="inlineStr">
        <x:is>
          <x:t xml:space="preserve">Default</x:t>
        </x:is>
      </x:c>
      <x:c r="C2" t="n">
        <x:v>40</x:v>
      </x:c>
      <x:c r="D2" t="n">
        <x:v>0.5</x:v>
      </x:c>
      <x:c r="E2" t="n">
        <x:v>0.5</x:v>
      </x:c>
      <x:c r="F2" t="inlineStr">
        <x:is>
          <x:t xml:space="preserve">Contender+Close</x:t>
        </x:is>
      </x:c>
      <x:c r="G2" t="inlineStr">
        <x:is>
          <x:t xml:space="preserve">Current</x:t>
        </x:is>
      </x:c>
      <x:c r="H2" t="inlineStr">
        <x:is>
          <x:t xml:space="preserve">AA|v4.3.2</x:t>
        </x:is>
      </x:c>
      <x:c r="I2" t="inlineStr">
        <x:is>
          <x:t xml:space="preserve">Initial advanced workbook defaults; append future saved/rebuild states.</x:t>
        </x:is>
      </x:c>
    </x:row>
  </x:sheetData>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4" style="14" customWidth="1"/>
    <x:col min="2" max="2" width="34" style="14" customWidth="1"/>
    <x:col min="3" max="3" width="90" style="14" customWidth="1"/>
    <x:col min="4" max="4" width="16" style="14" customWidth="1"/>
  </x:cols>
  <x:sheetData>
    <x:row r="1">
      <x:c r="A1" s="6" t="inlineStr">
        <x:is>
          <x:t xml:space="preserve">Source</x:t>
        </x:is>
      </x:c>
      <x:c r="B1" s="6" t="inlineStr">
        <x:is>
          <x:t xml:space="preserve">Use</x:t>
        </x:is>
      </x:c>
      <x:c r="C1" s="6" t="inlineStr">
        <x:is>
          <x:t xml:space="preserve">URL</x:t>
        </x:is>
      </x:c>
      <x:c r="D1" s="6" t="inlineStr">
        <x:is>
          <x:t xml:space="preserve">Snapshot</x:t>
        </x:is>
      </x:c>
    </x:row>
    <x:row r="2">
      <x:c r="A2" t="inlineStr">
        <x:is>
          <x:t xml:space="preserve">Artificial Analysis</x:t>
        </x:is>
      </x:c>
      <x:c r="B2" t="inlineStr">
        <x:is>
          <x:t xml:space="preserve">benchmark methodology/versioning</x:t>
        </x:is>
      </x:c>
      <x:c r="C2" t="inlineStr">
        <x:is>
          <x:t xml:space="preserve">https://artificialanalysis.ai/evaluations/artificial-analysis-intelligence-index</x:t>
        </x:is>
      </x:c>
      <x:c r="D2" t="inlineStr">
        <x:is>
          <x:t xml:space="preserve">2026-09-29</x:t>
        </x:is>
      </x:c>
    </x:row>
    <x:row r="3">
      <x:c r="A3" t="inlineStr">
        <x:is>
          <x:t xml:space="preserve">AA Data API docs</x:t>
        </x:is>
      </x:c>
      <x:c r="B3" t="inlineStr">
        <x:is>
          <x:t xml:space="preserve">field/version semantics</x:t>
        </x:is>
      </x:c>
      <x:c r="C3" t="inlineStr">
        <x:is>
          <x:t xml:space="preserve">https://artificialanalysis.ai/data-api/docs</x:t>
        </x:is>
      </x:c>
      <x:c r="D3" t="inlineStr">
        <x:is>
          <x:t xml:space="preserve">2026-09-29</x:t>
        </x:is>
      </x:c>
    </x:row>
    <x:row r="4">
      <x:c r="A4" t="inlineStr">
        <x:is>
          <x:t xml:space="preserve">OpenCode Go / Go Plus</x:t>
        </x:is>
      </x:c>
      <x:c r="B4" t="inlineStr">
        <x:is>
          <x:t xml:space="preserve">plans, model roster, token prices, per-model caps</x:t>
        </x:is>
      </x:c>
      <x:c r="C4" t="inlineStr">
        <x:is>
          <x:t xml:space="preserve">https://opencode.ai/docs/go</x:t>
        </x:is>
      </x:c>
      <x:c r="D4" t="inlineStr">
        <x:is>
          <x:t xml:space="preserve">2026-09-29</x:t>
        </x:is>
      </x:c>
    </x:row>
    <x:row r="5">
      <x:c r="A5" t="inlineStr">
        <x:is>
          <x:t xml:space="preserve">OpenAI Work/Codex</x:t>
        </x:is>
      </x:c>
      <x:c r="B5" t="inlineStr">
        <x:is>
          <x:t xml:space="preserve">message-range usage proxies</x:t>
        </x:is>
      </x:c>
      <x:c r="C5" t="inlineStr">
        <x:is>
          <x:t xml:space="preserve">https://help.openai.com/en/articles/20001516-managing-usage-with-gpt-6-astra-in-work-and-codex</x:t>
        </x:is>
      </x:c>
      <x:c r="D5" t="inlineStr">
        <x:is>
          <x:t xml:space="preserve">2026-09-29</x:t>
        </x:is>
      </x:c>
    </x:row>
    <x:row r="6">
      <x:c r="A6" t="inlineStr">
        <x:is>
          <x:t xml:space="preserve">Anthropic Claude Code</x:t>
        </x:is>
      </x:c>
      <x:c r="B6" t="inlineStr">
        <x:is>
          <x:t xml:space="preserve">prompt ranges / plan behavior</x:t>
        </x:is>
      </x:c>
      <x:c r="C6" t="inlineStr">
        <x:is>
          <x:t xml:space="preserve">https://support.anthropic.com/en/articles/11145838-using-claude-code-with-your-pro-or-max-plan</x:t>
        </x:is>
      </x:c>
      <x:c r="D6" t="inlineStr">
        <x:is>
          <x:t xml:space="preserve">2026-09-29</x:t>
        </x:is>
      </x:c>
    </x:row>
    <x:row r="7">
      <x:c r="A7" t="inlineStr">
        <x:is>
          <x:t xml:space="preserve">Meta Muse Code</x:t>
        </x:is>
      </x:c>
      <x:c r="B7" t="inlineStr">
        <x:is>
          <x:t xml:space="preserve">plan prices and prompt multipliers</x:t>
        </x:is>
      </x:c>
      <x:c r="C7" t="inlineStr">
        <x:is>
          <x:t xml:space="preserve">https://dev.meta.ai/help/subscriptions/what-is-a-muse-code-subscription</x:t>
        </x:is>
      </x:c>
      <x:c r="D7" t="inlineStr">
        <x:is>
          <x:t xml:space="preserve">2026-09-29</x:t>
        </x:is>
      </x:c>
    </x:row>
    <x:row r="8">
      <x:c r="A8" t="inlineStr">
        <x:is>
          <x:t xml:space="preserve">Google AI plans</x:t>
        </x:is>
      </x:c>
      <x:c r="B8" t="inlineStr">
        <x:is>
          <x:t xml:space="preserve">plan pricing / relative limits</x:t>
        </x:is>
      </x:c>
      <x:c r="C8" t="inlineStr">
        <x:is>
          <x:t xml:space="preserve">https://one.google.com/about/plans</x:t>
        </x:is>
      </x:c>
      <x:c r="D8" t="inlineStr">
        <x:is>
          <x:t xml:space="preserve">2026-09-29</x:t>
        </x:is>
      </x:c>
    </x:row>
    <x:row r="9">
      <x:c r="A9" t="inlineStr">
        <x:is>
          <x:t xml:space="preserve">Google Gemini 4 Argon announcement</x:t>
        </x:is>
      </x:c>
      <x:c r="B9" t="inlineStr">
        <x:is>
          <x:t xml:space="preserve">release, availability, context/output limit, pricing, vendor benchmark claims</x:t>
        </x:is>
      </x:c>
      <x:c r="C9" t="inlineStr">
        <x:is>
          <x:t xml:space="preserve">https://blog.google/innovation-and-ai/models-and-research/gemini-models/gemini-4-argon/</x:t>
        </x:is>
      </x:c>
      <x:c r="D9" t="inlineStr">
        <x:is>
          <x:t xml:space="preserve">2026-10-04</x:t>
        </x:is>
      </x:c>
    </x:row>
    <x:row r="10">
      <x:c r="A10" t="inlineStr">
        <x:is>
          <x:t xml:space="preserve">Artificial Analysis — Gemini 4 Argon</x:t>
        </x:is>
      </x:c>
      <x:c r="B10" t="inlineStr">
        <x:is>
          <x:t xml:space="preserve">independent AA v4.3.2 score, cost/task, pricing snapshot, speed unavailable</x:t>
        </x:is>
      </x:c>
      <x:c r="C10" t="inlineStr">
        <x:is>
          <x:t xml:space="preserve">https://artificialanalysis.ai/models/gemini-4-argon/</x:t>
        </x:is>
      </x:c>
      <x:c r="D10" t="inlineStr">
        <x:is>
          <x:t xml:space="preserve">2026-10-04</x:t>
        </x:is>
      </x:c>
    </x:row>
    <x:row r="11">
      <x:c r="A11" t="inlineStr">
        <x:is>
          <x:t xml:space="preserve">OpenAI GPT-6.1 Sol release/update</x:t>
        </x:is>
      </x:c>
      <x:c r="B11" t="inlineStr">
        <x:is>
          <x:t xml:space="preserve">Release date, latest model name, capability/availability context</x:t>
        </x:is>
      </x:c>
      <x:c r="C11" t="inlineStr">
        <x:is>
          <x:t xml:space="preserve">https://openai.com/index/gpt-6-astra/</x:t>
        </x:is>
      </x:c>
      <x:c r="D11" t="inlineStr">
        <x:is>
          <x:t xml:space="preserve">2026-10-11</x:t>
        </x:is>
      </x:c>
    </x:row>
    <x:row r="12">
      <x:c r="A12" t="inlineStr">
        <x:is>
          <x:t xml:space="preserve">OpenAI API changelog</x:t>
        </x:is>
      </x:c>
      <x:c r="B12" t="inlineStr">
        <x:is>
          <x:t xml:space="preserve">Public model identifier verification</x:t>
        </x:is>
      </x:c>
      <x:c r="C12" t="inlineStr">
        <x:is>
          <x:t xml:space="preserve">https://developers.openai.com/api/docs/changelog/</x:t>
        </x:is>
      </x:c>
      <x:c r="D12" t="inlineStr">
        <x:is>
          <x:t xml:space="preserve">2026-10-11</x:t>
        </x:is>
      </x:c>
    </x:row>
    <x:row r="13">
      <x:c r="A13" t="inlineStr">
        <x:is>
          <x:t xml:space="preserve">Artificial Analysis — GPT-6.1 Sol effort pages</x:t>
        </x:is>
      </x:c>
      <x:c r="B13" t="inlineStr">
        <x:is>
          <x:t xml:space="preserve">AA v4.3.2 score, effort, task cost, speed, TTFT, output tokens, pricing/context</x:t>
        </x:is>
      </x:c>
      <x:c r="C13" t="inlineStr">
        <x:is>
          <x:t xml:space="preserve">https://artificialanalysis.ai/models/gpt-6-1-sol</x:t>
        </x:is>
      </x:c>
      <x:c r="D13" t="inlineStr">
        <x:is>
          <x:t xml:space="preserve">2026-10-11</x:t>
        </x:is>
      </x:c>
    </x:row>
    <x:row r="14">
      <x:c r="A14" t="inlineStr">
        <x:is>
          <x:t xml:space="preserve">Anthropic Claude Haiku 5.5 launch</x:t>
        </x:is>
      </x:c>
      <x:c r="B14" t="inlineStr">
        <x:is>
          <x:t xml:space="preserve">Release date, availability and model description</x:t>
        </x:is>
      </x:c>
      <x:c r="C14" t="inlineStr">
        <x:is>
          <x:t xml:space="preserve">https://www.anthropic.com/claude-haiku-5-5</x:t>
        </x:is>
      </x:c>
      <x:c r="D14" t="inlineStr">
        <x:is>
          <x:t xml:space="preserve">2026-10-11</x:t>
        </x:is>
      </x:c>
    </x:row>
    <x:row r="15">
      <x:c r="A15" t="inlineStr">
        <x:is>
          <x:t xml:space="preserve">Artificial Analysis — Claude Haiku 5.5 effort pages</x:t>
        </x:is>
      </x:c>
      <x:c r="B15" t="inlineStr">
        <x:is>
          <x:t xml:space="preserve">AA v4.3.2 score, effort, task cost, speed, TTFT, output tokens, pricing/context</x:t>
        </x:is>
      </x:c>
      <x:c r="C15" t="inlineStr">
        <x:is>
          <x:t xml:space="preserve">https://artificialanalysis.ai/models/claude-haiku-5-5</x:t>
        </x:is>
      </x:c>
      <x:c r="D15" t="inlineStr">
        <x:is>
          <x:t xml:space="preserve">2026-10-11</x:t>
        </x:is>
      </x:c>
    </x:row>
    <x:row r="16">
      <x:c r="A16" t="inlineStr">
        <x:is>
          <x:t xml:space="preserve">Mistral Large 4 public preview</x:t>
        </x:is>
      </x:c>
      <x:c r="B16" t="inlineStr">
        <x:is>
          <x:t xml:space="preserve">Release/access status and weight-release plan</x:t>
        </x:is>
      </x:c>
      <x:c r="C16" t="inlineStr">
        <x:is>
          <x:t xml:space="preserve">https://mistral.ai/news/mistral-large-4/</x:t>
        </x:is>
      </x:c>
      <x:c r="D16" t="inlineStr">
        <x:is>
          <x:t xml:space="preserve">2026-10-11</x:t>
        </x:is>
      </x:c>
    </x:row>
    <x:row r="17">
      <x:c r="A17" t="inlineStr">
        <x:is>
          <x:t xml:space="preserve">Artificial Analysis — Mistral Large 4 Preview</x:t>
        </x:is>
      </x:c>
      <x:c r="B17" t="inlineStr">
        <x:is>
          <x:t xml:space="preserve">AA v4.3.2 score, task cost, price, output tokens, modalities/context; speed unavailable</x:t>
        </x:is>
      </x:c>
      <x:c r="C17" t="inlineStr">
        <x:is>
          <x:t xml:space="preserve">https://artificialanalysis.ai/models/mistral-large-4/</x:t>
        </x:is>
      </x:c>
      <x:c r="D17" t="inlineStr">
        <x:is>
          <x:t xml:space="preserve">2026-10-11</x:t>
        </x:is>
      </x:c>
    </x:row>
    <x:row r="18">
      <x:c r="A18" t="inlineStr">
        <x:is>
          <x:t xml:space="preserve">xAI Grok 4.7 announcement</x:t>
        </x:is>
      </x:c>
      <x:c r="B18" t="inlineStr">
        <x:is>
          <x:t xml:space="preserve">Release date, API availability and vendor-reported benchmarks/prices</x:t>
        </x:is>
      </x:c>
      <x:c r="C18" t="inlineStr">
        <x:is>
          <x:t xml:space="preserve">https://x.ai/news/grok-4-7</x:t>
        </x:is>
      </x:c>
      <x:c r="D18" t="inlineStr">
        <x:is>
          <x:t xml:space="preserve">2026-10-11</x:t>
        </x:is>
      </x:c>
    </x:row>
    <x:row r="19">
      <x:c r="A19" t="inlineStr">
        <x:is>
          <x:t xml:space="preserve">Artificial Analysis — Grok 4.7</x:t>
        </x:is>
      </x:c>
      <x:c r="B19" t="inlineStr">
        <x:is>
          <x:t xml:space="preserve">Independent AA v4.3.2 score, speed, task cost, tokens, pricing/context</x:t>
        </x:is>
      </x:c>
      <x:c r="C19" t="inlineStr">
        <x:is>
          <x:t xml:space="preserve">https://artificialanalysis.ai/models/grok-4-7</x:t>
        </x:is>
      </x:c>
      <x:c r="D19" t="inlineStr">
        <x:is>
          <x:t xml:space="preserve">2026-10-11</x:t>
        </x:is>
      </x:c>
    </x:row>
    <x:row r="20">
      <x:c r="A20" t="inlineStr">
        <x:is>
          <x:t xml:space="preserve">Upstage Solar Mini 4 announcement</x:t>
        </x:is>
      </x:c>
      <x:c r="B20" t="inlineStr">
        <x:is>
          <x:t xml:space="preserve">Official release/access, context, output limit and pricing</x:t>
        </x:is>
      </x:c>
      <x:c r="C20" t="inlineStr">
        <x:is>
          <x:t xml:space="preserve">https://www.upstage.ai/blog/en/solar-mini-4</x:t>
        </x:is>
      </x:c>
      <x:c r="D20" t="inlineStr">
        <x:is>
          <x:t xml:space="preserve">2026-10-11</x:t>
        </x:is>
      </x:c>
    </x:row>
    <x:row r="21">
      <x:c r="A21" t="inlineStr">
        <x:is>
          <x:t xml:space="preserve">Artificial Analysis — Solar Mini 4</x:t>
        </x:is>
      </x:c>
      <x:c r="B21" t="inlineStr">
        <x:is>
          <x:t xml:space="preserve">Independent AA v4.3.2 score, speed, TTFT, cost/task, output tokens; context value conflict</x:t>
        </x:is>
      </x:c>
      <x:c r="C21" t="inlineStr">
        <x:is>
          <x:t xml:space="preserve">https://artificialanalysis.ai/models/solar-mini4</x:t>
        </x:is>
      </x:c>
      <x:c r="D21" t="inlineStr">
        <x:is>
          <x:t xml:space="preserve">2026-10-11</x:t>
        </x:is>
      </x:c>
    </x:row>
    <x:row r="22">
      <x:c r="A22" t="inlineStr">
        <x:is>
          <x:t xml:space="preserve">Xiaomi MiMo-V2.6 series release</x:t>
        </x:is>
      </x:c>
      <x:c r="B22" t="inlineStr">
        <x:is>
          <x:t xml:space="preserve">Official release date and Pro/Flash family identity</x:t>
        </x:is>
      </x:c>
      <x:c r="C22" t="inlineStr">
        <x:is>
          <x:t xml:space="preserve">https://mimo.xiaomi.com/mimo-v2-6</x:t>
        </x:is>
      </x:c>
      <x:c r="D22" t="inlineStr">
        <x:is>
          <x:t xml:space="preserve">2026-10-11</x:t>
        </x:is>
      </x:c>
    </x:row>
    <x:row r="23">
      <x:c r="A23" t="inlineStr">
        <x:is>
          <x:t xml:space="preserve">Google Gemini model lifecycle</x:t>
        </x:is>
      </x:c>
      <x:c r="B23" t="inlineStr">
        <x:is>
          <x:t xml:space="preserve">Gemini 3.8 Flash Cyber date and restricted access</x:t>
        </x:is>
      </x:c>
      <x:c r="C23" t="inlineStr">
        <x:is>
          <x:t xml:space="preserve">https://docs.cloud.google.com/gemini-enterprise-agent-platform/models/model-versions</x:t>
        </x:is>
      </x:c>
      <x:c r="D23" t="inlineStr">
        <x:is>
          <x:t xml:space="preserve">2026-10-11</x:t>
        </x:is>
      </x:c>
    </x:row>
    <x:row r="24">
      <x:c r="A24" t="inlineStr">
        <x:is>
          <x:t xml:space="preserve">Google Gemini 3.8 Live announcement</x:t>
        </x:is>
      </x:c>
      <x:c r="B24" t="inlineStr">
        <x:is>
          <x:t xml:space="preserve">Audio/realtime release and modalities</x:t>
        </x:is>
      </x:c>
      <x:c r="C24" t="inlineStr">
        <x:is>
          <x:t xml:space="preserve">https://blog.google/innovation-and-ai/technology/developers-tools/build-real-time-voice-applications-gemini-audio/</x:t>
        </x:is>
      </x:c>
      <x:c r="D24" t="inlineStr">
        <x:is>
          <x:t xml:space="preserve">2026-10-11</x:t>
        </x:is>
      </x:c>
    </x:row>
    <x:row r="25">
      <x:c r="A25" t="inlineStr">
        <x:is>
          <x:t xml:space="preserve">Google Gemini 3.8 Audio model card</x:t>
        </x:is>
      </x:c>
      <x:c r="B25" t="inlineStr">
        <x:is>
          <x:t xml:space="preserve">Audio, video and text modality details</x:t>
        </x:is>
      </x:c>
      <x:c r="C25" t="inlineStr">
        <x:is>
          <x:t xml:space="preserve">https://deepmind.google/models/model-cards/gemini-3-8-audio/</x:t>
        </x:is>
      </x:c>
      <x:c r="D25" t="inlineStr">
        <x:is>
          <x:t xml:space="preserve">2026-10-11</x:t>
        </x:is>
      </x:c>
    </x:row>
    <x:row r="26">
      <x:c r="A26" t="inlineStr">
        <x:is>
          <x:t xml:space="preserve">Google Gemini TTS announcement</x:t>
        </x:is>
      </x:c>
      <x:c r="B26" t="inlineStr">
        <x:is>
          <x:t xml:space="preserve">Flash TTS and Flash-Lite TTS release information</x:t>
        </x:is>
      </x:c>
      <x:c r="C26" t="inlineStr">
        <x:is>
          <x:t xml:space="preserve">https://blog.google/innovation-and-ai/models-and-research/gemini-models/gemini-3-8-text-to-speech/</x:t>
        </x:is>
      </x:c>
      <x:c r="D26" t="inlineStr">
        <x:is>
          <x:t xml:space="preserve">2026-10-11</x:t>
        </x:is>
      </x:c>
    </x:row>
    <x:row r="27">
      <x:c r="A27" t="inlineStr">
        <x:is>
          <x:t xml:space="preserve">Reflection Beam launch announcement</x:t>
        </x:is>
      </x:c>
      <x:c r="B27" t="inlineStr">
        <x:is>
          <x:t xml:space="preserve">Announcement, early access, planned weights; not independent benchmark</x:t>
        </x:is>
      </x:c>
      <x:c r="C27" t="inlineStr">
        <x:is>
          <x:t xml:space="preserve">https://www.reflection.ai/blog/introducing-beam</x:t>
        </x:is>
      </x:c>
      <x:c r="D27" t="inlineStr">
        <x:is>
          <x:t xml:space="preserve">2026-10-11</x:t>
        </x:is>
      </x:c>
    </x:row>
    <x:row r="28">
      <x:c r="A28" t="inlineStr">
        <x:is>
          <x:t xml:space="preserve">Anthropic Sonnet 5.5 update</x:t>
        </x:is>
      </x:c>
      <x:c r="B28" t="inlineStr">
        <x:is>
          <x:t xml:space="preserve">Structured-output evaluation caveat for prior AA results</x:t>
        </x:is>
      </x:c>
      <x:c r="C28" t="inlineStr">
        <x:is>
          <x:t xml:space="preserve">https://www.anthropic.com/claude-sonnet-5-5</x:t>
        </x:is>
      </x:c>
      <x:c r="D28" t="inlineStr">
        <x:is>
          <x:t xml:space="preserve">2026-10-11</x:t>
        </x:is>
      </x:c>
    </x:row>
    <x:row r="29">
      <x:c r="A29" t="inlineStr">
        <x:is>
          <x:t xml:space="preserve">Google Gemini 4 Argon announcement</x:t>
        </x:is>
      </x:c>
      <x:c r="B29" t="inlineStr">
        <x:is>
          <x:t xml:space="preserve">Release, limited rollout, pricing/context/output-limit claims</x:t>
        </x:is>
      </x:c>
      <x:c r="C29" t="inlineStr">
        <x:is>
          <x:t xml:space="preserve">https://blog.google/innovation-and-ai/models-and-research/gemini-models/gemini-4-argon/</x:t>
        </x:is>
      </x:c>
      <x:c r="D29" t="inlineStr">
        <x:is>
          <x:t xml:space="preserve">2026-10-11</x:t>
        </x:is>
      </x:c>
    </x:row>
    <x:row r="30">
      <x:c r="A30" t="inlineStr">
        <x:is>
          <x:t xml:space="preserve">Artificial Analysis — Gemini 4 Argon</x:t>
        </x:is>
      </x:c>
      <x:c r="B30" t="inlineStr">
        <x:is>
          <x:t xml:space="preserve">Current independent AA score/cost/token snapshot; speed/latency unavailable</x:t>
        </x:is>
      </x:c>
      <x:c r="C30" t="inlineStr">
        <x:is>
          <x:t xml:space="preserve">https://artificialanalysis.ai/models/gemini-3-8-flash-cyber</x:t>
        </x:is>
      </x:c>
      <x:c r="D30" t="inlineStr">
        <x:is>
          <x:t xml:space="preserve">2026-10-11</x:t>
        </x:is>
      </x:c>
    </x:row>
    <x:row r="31">
      <x:c r="A31" t="inlineStr">
        <x:is>
          <x:t xml:space="preserve">Artificial Analysis release review — Beam/Solar candidates</x:t>
        </x:is>
      </x:c>
      <x:c r="B31" t="inlineStr">
        <x:is>
          <x:t xml:space="preserve">Secondary candidate discovery only; never imported as vendor-independent benchmark without a direct model page</x:t>
        </x:is>
      </x:c>
      <x:c r="C31" t="inlineStr">
        <x:is>
          <x:t xml:space="preserve">https://artificialanalysis.ai/articles/korean-ai-lab-upstage-releases-solar-mini-4</x:t>
        </x:is>
      </x:c>
      <x:c r="D31" t="inlineStr">
        <x:is>
          <x:t xml:space="preserve">2026-10-11</x:t>
        </x:is>
      </x:c>
    </x:row>
    <x:row r="32">
      <x:c r="A32" t="inlineStr">
        <x:is>
          <x:t xml:space="preserve">GPT-6 Luna max snapshot</x:t>
        </x:is>
      </x:c>
      <x:c r="B32" t="inlineStr">
        <x:is>
          <x:t xml:space="preserve">Artificial Analysis; snapshot date is not execution date</x:t>
        </x:is>
      </x:c>
      <x:c r="C32" t="inlineStr">
        <x:is>
          <x:t xml:space="preserve">https://artificialanalysis.ai/models/gpt-6-luna</x:t>
        </x:is>
      </x:c>
      <x:c r="D32" t="inlineStr">
        <x:is>
          <x:t xml:space="preserve">2026-10-16T08:38:50.115517Z</x:t>
        </x:is>
      </x:c>
    </x:row>
    <x:row r="33">
      <x:c r="A33" t="inlineStr">
        <x:is>
          <x:t xml:space="preserve">GPT-6 Astra max snapshot</x:t>
        </x:is>
      </x:c>
      <x:c r="B33" t="inlineStr">
        <x:is>
          <x:t xml:space="preserve">Artificial Analysis; snapshot date is not execution date</x:t>
        </x:is>
      </x:c>
      <x:c r="C33" t="inlineStr">
        <x:is>
          <x:t xml:space="preserve">https://artificialanalysis.ai/models/gpt-6-astra</x:t>
        </x:is>
      </x:c>
      <x:c r="D33" t="inlineStr">
        <x:is>
          <x:t xml:space="preserve">2026-10-16T08:38:50.115517Z</x:t>
        </x:is>
      </x:c>
    </x:row>
    <x:row r="34">
      <x:c r="A34" t="inlineStr">
        <x:is>
          <x:t xml:space="preserve">GPT-6.1 Sol max snapshot</x:t>
        </x:is>
      </x:c>
      <x:c r="B34" t="inlineStr">
        <x:is>
          <x:t xml:space="preserve">Artificial Analysis; snapshot date is not execution date</x:t>
        </x:is>
      </x:c>
      <x:c r="C34" t="inlineStr">
        <x:is>
          <x:t xml:space="preserve">https://artificialanalysis.ai/models/gpt-6-1-sol</x:t>
        </x:is>
      </x:c>
      <x:c r="D34" t="inlineStr">
        <x:is>
          <x:t xml:space="preserve">2026-10-16T08:38:50.115517Z</x:t>
        </x:is>
      </x:c>
    </x:row>
    <x:row r="35">
      <x:c r="A35" t="inlineStr">
        <x:is>
          <x:t xml:space="preserve">Gemini 4 Argon high snapshot</x:t>
        </x:is>
      </x:c>
      <x:c r="B35" t="inlineStr">
        <x:is>
          <x:t xml:space="preserve">Artificial Analysis; snapshot date is not execution date</x:t>
        </x:is>
      </x:c>
      <x:c r="C35" t="inlineStr">
        <x:is>
          <x:t xml:space="preserve">https://artificialanalysis.ai/models/gemini-4-argon</x:t>
        </x:is>
      </x:c>
      <x:c r="D35" t="inlineStr">
        <x:is>
          <x:t xml:space="preserve">2026-10-16T08:38:50.115517Z</x:t>
        </x:is>
      </x:c>
    </x:row>
    <x:row r="36">
      <x:c r="A36" t="inlineStr">
        <x:is>
          <x:t xml:space="preserve">Claude Haiku 5.5 max snapshot</x:t>
        </x:is>
      </x:c>
      <x:c r="B36" t="inlineStr">
        <x:is>
          <x:t xml:space="preserve">Artificial Analysis; snapshot date is not execution date</x:t>
        </x:is>
      </x:c>
      <x:c r="C36" t="inlineStr">
        <x:is>
          <x:t xml:space="preserve">https://artificialanalysis.ai/models/claude-haiku-5-5</x:t>
        </x:is>
      </x:c>
      <x:c r="D36" t="inlineStr">
        <x:is>
          <x:t xml:space="preserve">2026-10-16T08:38:50.115517Z</x:t>
        </x:is>
      </x:c>
    </x:row>
    <x:row r="37">
      <x:c r="A37" t="inlineStr">
        <x:is>
          <x:t xml:space="preserve">Mistral Large 4 Preview reasoning snapshot</x:t>
        </x:is>
      </x:c>
      <x:c r="B37" t="inlineStr">
        <x:is>
          <x:t xml:space="preserve">Artificial Analysis; snapshot date is not execution date</x:t>
        </x:is>
      </x:c>
      <x:c r="C37" t="inlineStr">
        <x:is>
          <x:t xml:space="preserve">https://artificialanalysis.ai/models/mistral-large-4</x:t>
        </x:is>
      </x:c>
      <x:c r="D37" t="inlineStr">
        <x:is>
          <x:t xml:space="preserve">2026-10-16T08:38:50.115517Z</x:t>
        </x:is>
      </x:c>
    </x:row>
    <x:row r="38">
      <x:c r="A38" t="inlineStr">
        <x:is>
          <x:t xml:space="preserve">Grok 4.7 xhigh snapshot</x:t>
        </x:is>
      </x:c>
      <x:c r="B38" t="inlineStr">
        <x:is>
          <x:t xml:space="preserve">Artificial Analysis; snapshot date is not execution date</x:t>
        </x:is>
      </x:c>
      <x:c r="C38" t="inlineStr">
        <x:is>
          <x:t xml:space="preserve">https://artificialanalysis.ai/models/grok-4-7</x:t>
        </x:is>
      </x:c>
      <x:c r="D38" t="inlineStr">
        <x:is>
          <x:t xml:space="preserve">2026-10-16T08:38:50.115517Z</x:t>
        </x:is>
      </x:c>
    </x:row>
    <x:row r="39">
      <x:c r="A39" t="inlineStr">
        <x:is>
          <x:t xml:space="preserve">Claude Sonnet 5.5 max snapshot</x:t>
        </x:is>
      </x:c>
      <x:c r="B39" t="inlineStr">
        <x:is>
          <x:t xml:space="preserve">Artificial Analysis; snapshot date is not execution date</x:t>
        </x:is>
      </x:c>
      <x:c r="C39" t="inlineStr">
        <x:is>
          <x:t xml:space="preserve">https://artificialanalysis.ai/models/claude-sonnet-5-5</x:t>
        </x:is>
      </x:c>
      <x:c r="D39" t="inlineStr">
        <x:is>
          <x:t xml:space="preserve">2026-10-16T08:38:50.115517Z</x:t>
        </x:is>
      </x:c>
    </x:row>
    <x:row r="40">
      <x:c r="A40" t="inlineStr">
        <x:is>
          <x:t xml:space="preserve">GPT-6 Sol max snapshot</x:t>
        </x:is>
      </x:c>
      <x:c r="B40" t="inlineStr">
        <x:is>
          <x:t xml:space="preserve">Artificial Analysis; snapshot date is not execution date</x:t>
        </x:is>
      </x:c>
      <x:c r="C40" t="inlineStr">
        <x:is>
          <x:t xml:space="preserve">https://artificialanalysis.ai/models/comparisons/gpt-6-sol-low-vs-gpt-6-sol</x:t>
        </x:is>
      </x:c>
      <x:c r="D40" t="inlineStr">
        <x:is>
          <x:t xml:space="preserve">2026-10-16T08:38:50.115517Z</x:t>
        </x:is>
      </x:c>
    </x:row>
    <x:row r="41">
      <x:c r="A41" t="inlineStr">
        <x:is>
          <x:t xml:space="preserve">Muse Wonder Full max snapshot</x:t>
        </x:is>
      </x:c>
      <x:c r="B41" t="inlineStr">
        <x:is>
          <x:t xml:space="preserve">Artificial Analysis; snapshot date is not execution date</x:t>
        </x:is>
      </x:c>
      <x:c r="C41" t="inlineStr">
        <x:is>
          <x:t xml:space="preserve">https://artificialanalysis.ai/models/muse-wonder-full</x:t>
        </x:is>
      </x:c>
      <x:c r="D41" t="inlineStr">
        <x:is>
          <x:t xml:space="preserve">2026-10-16T08:38:50.115517Z</x:t>
        </x:is>
      </x:c>
    </x:row>
    <x:row r="42" s="14" customFormat="1">
      <x:c r="A42" t="inlineStr">
        <x:is>
          <x:t xml:space="preserve">Muse release identity</x:t>
        </x:is>
      </x:c>
      <x:c r="B42" t="inlineStr">
        <x:is>
          <x:t xml:space="preserve">Meta official announcement</x:t>
        </x:is>
      </x:c>
      <x:c r="C42" t="inlineStr">
        <x:is>
          <x:t xml:space="preserve">https://dev.meta.ai/resources/blog/build-with-muse-wonder</x:t>
        </x:is>
      </x:c>
      <x:c r="D42" t="inlineStr">
        <x:is>
          <x:t xml:space="preserve">2026-10-16T08:38:50.115517Z</x:t>
        </x:is>
      </x:c>
    </x:row>
    <x:row r="43" s="14" customFormat="1">
      <x:c r="A43" t="inlineStr">
        <x:is>
          <x:t xml:space="preserve">DeepSeek V4.1 Flash · non-reasoning snapshot</x:t>
        </x:is>
      </x:c>
      <x:c r="B43" t="inlineStr">
        <x:is>
          <x:t xml:space="preserve">AA direct model and first-party provider pages; original source date retained</x:t>
        </x:is>
      </x:c>
      <x:c r="C43" t="inlineStr">
        <x:is>
          <x:t xml:space="preserve">https://artificialanalysis.ai/models/deepseek-v4-1-flash-non-reasoning ; https://artificialanalysis.ai/models/deepseek-v4-1-flash-non-reasoning/providers</x:t>
        </x:is>
      </x:c>
      <x:c r="D43" t="inlineStr">
        <x:is>
          <x:t xml:space="preserve">2026-10-12</x:t>
        </x:is>
      </x:c>
    </x:row>
    <x:row r="44" s="14" customFormat="1">
      <x:c r="A44" t="inlineStr">
        <x:is>
          <x:t xml:space="preserve">DeepSeek V4.1 Flash · max snapshot</x:t>
        </x:is>
      </x:c>
      <x:c r="B44" t="inlineStr">
        <x:is>
          <x:t xml:space="preserve">AA direct model and first-party provider pages; original source date retained</x:t>
        </x:is>
      </x:c>
      <x:c r="C44" t="inlineStr">
        <x:is>
          <x:t xml:space="preserve">https://artificialanalysis.ai/models/deepseek-v4-1-flash ; https://artificialanalysis.ai/models/deepseek-v4-1-flash/providers</x:t>
        </x:is>
      </x:c>
      <x:c r="D44" t="inlineStr">
        <x:is>
          <x:t xml:space="preserve">2026-10-12</x:t>
        </x:is>
      </x:c>
    </x:row>
    <x:row r="45" s="14" customFormat="1">
      <x:c r="A45" t="inlineStr">
        <x:is>
          <x:t xml:space="preserve">DeepSeek V4 Pro 0813 · non-reasoning snapshot</x:t>
        </x:is>
      </x:c>
      <x:c r="B45" t="inlineStr">
        <x:is>
          <x:t xml:space="preserve">AA direct model and first-party provider pages; original source date retained</x:t>
        </x:is>
      </x:c>
      <x:c r="C45" t="inlineStr">
        <x:is>
          <x:t xml:space="preserve">https://artificialanalysis.ai/models/deepseek-v4-pro-non-reasoning ; https://artificialanalysis.ai/models/deepseek-v4-pro-non-reasoning/providers</x:t>
        </x:is>
      </x:c>
      <x:c r="D45" t="inlineStr">
        <x:is>
          <x:t xml:space="preserve">2026-10-12</x:t>
        </x:is>
      </x:c>
    </x:row>
    <x:row r="46" s="14" customFormat="1">
      <x:c r="A46" t="inlineStr">
        <x:is>
          <x:t xml:space="preserve">DeepSeek V4 Pro 0813 · max snapshot</x:t>
        </x:is>
      </x:c>
      <x:c r="B46" t="inlineStr">
        <x:is>
          <x:t xml:space="preserve">AA direct model and first-party provider pages; original source date retained</x:t>
        </x:is>
      </x:c>
      <x:c r="C46" t="inlineStr">
        <x:is>
          <x:t xml:space="preserve">https://artificialanalysis.ai/models/deepseek-v4-pro ; https://artificialanalysis.ai/models/deepseek-v4-pro/providers</x:t>
        </x:is>
      </x:c>
      <x:c r="D46" t="inlineStr">
        <x:is>
          <x:t xml:space="preserve">2026-10-12</x:t>
        </x:is>
      </x:c>
    </x:row>
    <x:row r="47" s="14" customFormat="1">
      <x:c r="A47" t="inlineStr">
        <x:is>
          <x:t xml:space="preserve">GLM-5.3-Flash · reasoning snapshot</x:t>
        </x:is>
      </x:c>
      <x:c r="B47" t="inlineStr">
        <x:is>
          <x:t xml:space="preserve">AA direct model and first-party provider pages; original source date retained</x:t>
        </x:is>
      </x:c>
      <x:c r="C47" t="inlineStr">
        <x:is>
          <x:t xml:space="preserve">https://artificialanalysis.ai/models/glm-5-3-flash ; https://artificialanalysis.ai/models/glm-5-3-flash/providers</x:t>
        </x:is>
      </x:c>
      <x:c r="D47" t="inlineStr">
        <x:is>
          <x:t xml:space="preserve">2026-10-12</x:t>
        </x:is>
      </x:c>
    </x:row>
    <x:row r="48" s="14" customFormat="1">
      <x:c r="A48" t="inlineStr">
        <x:is>
          <x:t xml:space="preserve">GLM-5.3 · low snapshot</x:t>
        </x:is>
      </x:c>
      <x:c r="B48" t="inlineStr">
        <x:is>
          <x:t xml:space="preserve">AA direct model and first-party provider pages; original source date retained</x:t>
        </x:is>
      </x:c>
      <x:c r="C48" t="inlineStr">
        <x:is>
          <x:t xml:space="preserve">https://artificialanalysis.ai/models/glm-5-3-low ; https://artificialanalysis.ai/models/glm-5-3-low/providers</x:t>
        </x:is>
      </x:c>
      <x:c r="D48" t="inlineStr">
        <x:is>
          <x:t xml:space="preserve">2026-10-12</x:t>
        </x:is>
      </x:c>
    </x:row>
    <x:row r="49" s="14" customFormat="1">
      <x:c r="A49" t="inlineStr">
        <x:is>
          <x:t xml:space="preserve">GLM-5.3 · max snapshot</x:t>
        </x:is>
      </x:c>
      <x:c r="B49" t="inlineStr">
        <x:is>
          <x:t xml:space="preserve">AA direct model and first-party provider pages; original source date retained</x:t>
        </x:is>
      </x:c>
      <x:c r="C49" t="inlineStr">
        <x:is>
          <x:t xml:space="preserve">https://artificialanalysis.ai/models/glm-5-3 ; https://artificialanalysis.ai/models/glm-5-3/providers</x:t>
        </x:is>
      </x:c>
      <x:c r="D49" t="inlineStr">
        <x:is>
          <x:t xml:space="preserve">2026-10-12</x:t>
        </x:is>
      </x:c>
    </x:row>
    <x:row r="50" s="14" customFormat="1">
      <x:c r="A50" t="inlineStr">
        <x:is>
          <x:t xml:space="preserve">MiMo-V2.6-Pro · reasoning snapshot</x:t>
        </x:is>
      </x:c>
      <x:c r="B50" t="inlineStr">
        <x:is>
          <x:t xml:space="preserve">AA direct model and first-party provider pages; original source date retained</x:t>
        </x:is>
      </x:c>
      <x:c r="C50" t="inlineStr">
        <x:is>
          <x:t xml:space="preserve">https://artificialanalysis.ai/models/mimo-v2-6-pro ; https://artificialanalysis.ai/models/mimo-v2-6-pro/providers</x:t>
        </x:is>
      </x:c>
      <x:c r="D50" t="inlineStr">
        <x:is>
          <x:t xml:space="preserve">2026-10-12</x:t>
        </x:is>
      </x:c>
    </x:row>
    <x:row r="51" s="14" customFormat="1">
      <x:c r="A51" t="inlineStr">
        <x:is>
          <x:t xml:space="preserve">MiMo-V2.6-Flash · reasoning snapshot</x:t>
        </x:is>
      </x:c>
      <x:c r="B51" t="inlineStr">
        <x:is>
          <x:t xml:space="preserve">AA direct model and first-party provider pages; original source date retained</x:t>
        </x:is>
      </x:c>
      <x:c r="C51" t="inlineStr">
        <x:is>
          <x:t xml:space="preserve">https://artificialanalysis.ai/models/mimo-v2-6-flash ; https://artificialanalysis.ai/models/mimo-v2-6-flash/providers</x:t>
        </x:is>
      </x:c>
      <x:c r="D51" t="inlineStr">
        <x:is>
          <x:t xml:space="preserve">2026-10-12</x:t>
        </x:is>
      </x:c>
    </x:row>
    <x:row r="52" s="14" customFormat="1">
      <x:c r="A52" t="inlineStr">
        <x:is>
          <x:t xml:space="preserve">Muse Wonder (Max) snapshot</x:t>
        </x:is>
      </x:c>
      <x:c r="B52" t="inlineStr">
        <x:is>
          <x:t xml:space="preserve">AA direct model and first-party provider pages; original source date retained</x:t>
        </x:is>
      </x:c>
      <x:c r="C52" t="inlineStr">
        <x:is>
          <x:t xml:space="preserve">https://artificialanalysis.ai/models/muse-wonder ; https://artificialanalysis.ai/models/muse-wonder/providers</x:t>
        </x:is>
      </x:c>
      <x:c r="D52" t="inlineStr">
        <x:is>
          <x:t xml:space="preserve">2026-10-16</x:t>
        </x:is>
      </x:c>
    </x:row>
    <x:row r="53" s="14" customFormat="1">
      <x:c r="A53" t="inlineStr">
        <x:is>
          <x:t xml:space="preserve">GPT-6.1 Sol (Xhigh) snapshot</x:t>
        </x:is>
      </x:c>
      <x:c r="B53" t="inlineStr">
        <x:is>
          <x:t xml:space="preserve">AA direct model and first-party provider pages; original source date retained</x:t>
        </x:is>
      </x:c>
      <x:c r="C53" t="inlineStr">
        <x:is>
          <x:t xml:space="preserve">https://artificialanalysis.ai/models/gpt-6-1-sol-xhigh ; https://artificialanalysis.ai/models/gpt-6-1-sol-xhigh/providers</x:t>
        </x:is>
      </x:c>
      <x:c r="D53" t="inlineStr">
        <x:is>
          <x:t xml:space="preserve">2026-10-16</x:t>
        </x:is>
      </x:c>
    </x:row>
    <x:row r="54" s="14" customFormat="1">
      <x:c r="A54" t="inlineStr">
        <x:is>
          <x:t xml:space="preserve">GPT-6.1 Sol (High) snapshot</x:t>
        </x:is>
      </x:c>
      <x:c r="B54" t="inlineStr">
        <x:is>
          <x:t xml:space="preserve">AA direct model and first-party provider pages; original source date retained</x:t>
        </x:is>
      </x:c>
      <x:c r="C54" t="inlineStr">
        <x:is>
          <x:t xml:space="preserve">https://artificialanalysis.ai/models/gpt-6-1-sol-high ; https://artificialanalysis.ai/models/gpt-6-1-sol-high/providers</x:t>
        </x:is>
      </x:c>
      <x:c r="D54" t="inlineStr">
        <x:is>
          <x:t xml:space="preserve">2026-10-16</x:t>
        </x:is>
      </x:c>
    </x:row>
    <x:row r="55" s="14" customFormat="1">
      <x:c r="A55" t="inlineStr">
        <x:is>
          <x:t xml:space="preserve">GPT-6.1 Sol (Medium) snapshot</x:t>
        </x:is>
      </x:c>
      <x:c r="B55" t="inlineStr">
        <x:is>
          <x:t xml:space="preserve">AA direct model and first-party provider pages; original source date retained</x:t>
        </x:is>
      </x:c>
      <x:c r="C55" t="inlineStr">
        <x:is>
          <x:t xml:space="preserve">https://artificialanalysis.ai/models/gpt-6-1-sol-medium ; https://artificialanalysis.ai/models/gpt-6-1-sol-medium/providers</x:t>
        </x:is>
      </x:c>
      <x:c r="D55" t="inlineStr">
        <x:is>
          <x:t xml:space="preserve">2026-10-16</x:t>
        </x:is>
      </x:c>
    </x:row>
    <x:row r="56" s="14" customFormat="1">
      <x:c r="A56" t="inlineStr">
        <x:is>
          <x:t xml:space="preserve">GPT-6.1 Sol (Low) snapshot</x:t>
        </x:is>
      </x:c>
      <x:c r="B56" t="inlineStr">
        <x:is>
          <x:t xml:space="preserve">AA direct model and first-party provider pages; original source date retained</x:t>
        </x:is>
      </x:c>
      <x:c r="C56" t="inlineStr">
        <x:is>
          <x:t xml:space="preserve">https://artificialanalysis.ai/models/gpt-6-1-sol-low ; https://artificialanalysis.ai/models/gpt-6-1-sol-low/providers</x:t>
        </x:is>
      </x:c>
      <x:c r="D56" t="inlineStr">
        <x:is>
          <x:t xml:space="preserve">2026-10-16</x:t>
        </x:is>
      </x:c>
    </x:row>
    <x:row r="57" s="14" customFormat="1">
      <x:c r="A57" t="inlineStr">
        <x:is>
          <x:t xml:space="preserve">GPT-6 Astra (Xhigh) snapshot</x:t>
        </x:is>
      </x:c>
      <x:c r="B57" t="inlineStr">
        <x:is>
          <x:t xml:space="preserve">AA direct model and first-party provider pages; original source date retained</x:t>
        </x:is>
      </x:c>
      <x:c r="C57" t="inlineStr">
        <x:is>
          <x:t xml:space="preserve">https://artificialanalysis.ai/models/gpt-6-astra-xhigh ; https://artificialanalysis.ai/models/gpt-6-astra-xhigh/providers</x:t>
        </x:is>
      </x:c>
      <x:c r="D57" t="inlineStr">
        <x:is>
          <x:t xml:space="preserve">2026-10-16</x:t>
        </x:is>
      </x:c>
    </x:row>
    <x:row r="58" s="14" customFormat="1">
      <x:c r="A58" t="inlineStr">
        <x:is>
          <x:t xml:space="preserve">GPT-6 Astra (High) snapshot</x:t>
        </x:is>
      </x:c>
      <x:c r="B58" t="inlineStr">
        <x:is>
          <x:t xml:space="preserve">AA direct model and first-party provider pages; original source date retained</x:t>
        </x:is>
      </x:c>
      <x:c r="C58" t="inlineStr">
        <x:is>
          <x:t xml:space="preserve">https://artificialanalysis.ai/models/gpt-6-astra-high ; https://artificialanalysis.ai/models/gpt-6-astra-high/providers</x:t>
        </x:is>
      </x:c>
      <x:c r="D58" t="inlineStr">
        <x:is>
          <x:t xml:space="preserve">2026-10-16</x:t>
        </x:is>
      </x:c>
    </x:row>
    <x:row r="59" s="14" customFormat="1">
      <x:c r="A59" t="inlineStr">
        <x:is>
          <x:t xml:space="preserve">GPT-6 Astra (Medium) snapshot</x:t>
        </x:is>
      </x:c>
      <x:c r="B59" t="inlineStr">
        <x:is>
          <x:t xml:space="preserve">AA direct model and first-party provider pages; original source date retained</x:t>
        </x:is>
      </x:c>
      <x:c r="C59" t="inlineStr">
        <x:is>
          <x:t xml:space="preserve">https://artificialanalysis.ai/models/gpt-6-astra-medium ; https://artificialanalysis.ai/models/gpt-6-astra-medium/providers</x:t>
        </x:is>
      </x:c>
      <x:c r="D59" t="inlineStr">
        <x:is>
          <x:t xml:space="preserve">2026-10-16</x:t>
        </x:is>
      </x:c>
    </x:row>
    <x:row r="60" s="14" customFormat="1">
      <x:c r="A60" t="inlineStr">
        <x:is>
          <x:t xml:space="preserve">GPT-6 Astra (Low) snapshot</x:t>
        </x:is>
      </x:c>
      <x:c r="B60" t="inlineStr">
        <x:is>
          <x:t xml:space="preserve">AA direct model and first-party provider pages; original source date retained</x:t>
        </x:is>
      </x:c>
      <x:c r="C60" t="inlineStr">
        <x:is>
          <x:t xml:space="preserve">https://artificialanalysis.ai/models/gpt-6-astra-low ; https://artificialanalysis.ai/models/gpt-6-astra-low/providers</x:t>
        </x:is>
      </x:c>
      <x:c r="D60" t="inlineStr">
        <x:is>
          <x:t xml:space="preserve">2026-10-16</x:t>
        </x:is>
      </x:c>
    </x:row>
    <x:row r="61" s="14" customFormat="1">
      <x:c r="A61" t="inlineStr">
        <x:is>
          <x:t xml:space="preserve">GPT-6 Luna (Xhigh) snapshot</x:t>
        </x:is>
      </x:c>
      <x:c r="B61" t="inlineStr">
        <x:is>
          <x:t xml:space="preserve">AA direct model and first-party provider pages; original source date retained</x:t>
        </x:is>
      </x:c>
      <x:c r="C61" t="inlineStr">
        <x:is>
          <x:t xml:space="preserve">https://artificialanalysis.ai/models/gpt-6-luna-xhigh ; https://artificialanalysis.ai/models/gpt-6-luna-xhigh/providers</x:t>
        </x:is>
      </x:c>
      <x:c r="D61" t="inlineStr">
        <x:is>
          <x:t xml:space="preserve">2026-10-16</x:t>
        </x:is>
      </x:c>
    </x:row>
    <x:row r="62" s="14" customFormat="1">
      <x:c r="A62" t="inlineStr">
        <x:is>
          <x:t xml:space="preserve">GPT-6 Luna (High) snapshot</x:t>
        </x:is>
      </x:c>
      <x:c r="B62" t="inlineStr">
        <x:is>
          <x:t xml:space="preserve">AA direct model and first-party provider pages; original source date retained</x:t>
        </x:is>
      </x:c>
      <x:c r="C62" t="inlineStr">
        <x:is>
          <x:t xml:space="preserve">https://artificialanalysis.ai/models/gpt-6-luna-high ; https://artificialanalysis.ai/models/gpt-6-luna-high/providers</x:t>
        </x:is>
      </x:c>
      <x:c r="D62" t="inlineStr">
        <x:is>
          <x:t xml:space="preserve">2026-10-16</x:t>
        </x:is>
      </x:c>
    </x:row>
    <x:row r="63" s="14" customFormat="1">
      <x:c r="A63" t="inlineStr">
        <x:is>
          <x:t xml:space="preserve">GPT-6 Luna (Medium) snapshot</x:t>
        </x:is>
      </x:c>
      <x:c r="B63" t="inlineStr">
        <x:is>
          <x:t xml:space="preserve">AA direct model and first-party provider pages; original source date retained</x:t>
        </x:is>
      </x:c>
      <x:c r="C63" t="inlineStr">
        <x:is>
          <x:t xml:space="preserve">https://artificialanalysis.ai/models/gpt-6-luna-medium ; https://artificialanalysis.ai/models/gpt-6-luna-medium/providers</x:t>
        </x:is>
      </x:c>
      <x:c r="D63" t="inlineStr">
        <x:is>
          <x:t xml:space="preserve">2026-10-16</x:t>
        </x:is>
      </x:c>
    </x:row>
    <x:row r="64" s="14" customFormat="1">
      <x:c r="A64" t="inlineStr">
        <x:is>
          <x:t xml:space="preserve">GPT-6 Luna (Low) snapshot</x:t>
        </x:is>
      </x:c>
      <x:c r="B64" t="inlineStr">
        <x:is>
          <x:t xml:space="preserve">AA direct model and first-party provider pages; original source date retained</x:t>
        </x:is>
      </x:c>
      <x:c r="C64" t="inlineStr">
        <x:is>
          <x:t xml:space="preserve">https://artificialanalysis.ai/models/gpt-6-luna-low ; https://artificialanalysis.ai/models/gpt-6-luna-low/providers</x:t>
        </x:is>
      </x:c>
      <x:c r="D64" t="inlineStr">
        <x:is>
          <x:t xml:space="preserve">2026-10-16</x:t>
        </x:is>
      </x:c>
    </x:row>
    <x:row r="65" s="14" customFormat="1">
      <x:c r="A65" t="inlineStr">
        <x:is>
          <x:t xml:space="preserve">GPT-6 Luna (Non-reasoning) snapshot</x:t>
        </x:is>
      </x:c>
      <x:c r="B65" t="inlineStr">
        <x:is>
          <x:t xml:space="preserve">AA direct model and first-party provider pages; original source date retained</x:t>
        </x:is>
      </x:c>
      <x:c r="C65" t="inlineStr">
        <x:is>
          <x:t xml:space="preserve">https://artificialanalysis.ai/models/gpt-6-luna-non-reasoning ; https://artificialanalysis.ai/models/gpt-6-luna-non-reasoning/providers</x:t>
        </x:is>
      </x:c>
      <x:c r="D65" t="inlineStr">
        <x:is>
          <x:t xml:space="preserve">2026-10-16</x:t>
        </x:is>
      </x:c>
    </x:row>
    <x:row r="66" s="14" customFormat="1">
      <x:c r="A66" t="inlineStr">
        <x:is>
          <x:t xml:space="preserve">Claude Opus 5.5 (Max, Default Fallback) snapshot</x:t>
        </x:is>
      </x:c>
      <x:c r="B66" t="inlineStr">
        <x:is>
          <x:t xml:space="preserve">AA direct model and first-party provider pages; original source date retained</x:t>
        </x:is>
      </x:c>
      <x:c r="C66" t="inlineStr">
        <x:is>
          <x:t xml:space="preserve">https://artificialanalysis.ai/models/claude-opus-5-5 ; https://artificialanalysis.ai/models/claude-opus-5-5/providers</x:t>
        </x:is>
      </x:c>
      <x:c r="D66" t="inlineStr">
        <x:is>
          <x:t xml:space="preserve">2026-10-16</x:t>
        </x:is>
      </x:c>
    </x:row>
    <x:row r="67" s="14" customFormat="1">
      <x:c r="A67" t="inlineStr">
        <x:is>
          <x:t xml:space="preserve">Claude Opus 5.5 (Xhigh, Default Fallback) snapshot</x:t>
        </x:is>
      </x:c>
      <x:c r="B67" t="inlineStr">
        <x:is>
          <x:t xml:space="preserve">AA direct model and first-party provider pages; original source date retained</x:t>
        </x:is>
      </x:c>
      <x:c r="C67" t="inlineStr">
        <x:is>
          <x:t xml:space="preserve">https://artificialanalysis.ai/models/claude-opus-5-5-xhigh ; https://artificialanalysis.ai/models/claude-opus-5-5-xhigh/providers</x:t>
        </x:is>
      </x:c>
      <x:c r="D67" t="inlineStr">
        <x:is>
          <x:t xml:space="preserve">2026-10-16</x:t>
        </x:is>
      </x:c>
    </x:row>
    <x:row r="68" s="14" customFormat="1">
      <x:c r="A68" t="inlineStr">
        <x:is>
          <x:t xml:space="preserve">Claude Opus 5.5 (High, Default Fallback) snapshot</x:t>
        </x:is>
      </x:c>
      <x:c r="B68" t="inlineStr">
        <x:is>
          <x:t xml:space="preserve">AA direct model and first-party provider pages; original source date retained</x:t>
        </x:is>
      </x:c>
      <x:c r="C68" t="inlineStr">
        <x:is>
          <x:t xml:space="preserve">https://artificialanalysis.ai/models/claude-opus-5-5-high ; https://artificialanalysis.ai/models/claude-opus-5-5-high/providers</x:t>
        </x:is>
      </x:c>
      <x:c r="D68" t="inlineStr">
        <x:is>
          <x:t xml:space="preserve">2026-10-16</x:t>
        </x:is>
      </x:c>
    </x:row>
    <x:row r="69" s="14" customFormat="1">
      <x:c r="A69" t="inlineStr">
        <x:is>
          <x:t xml:space="preserve">Claude Opus 5.5 (Medium, Default Fallback) snapshot</x:t>
        </x:is>
      </x:c>
      <x:c r="B69" t="inlineStr">
        <x:is>
          <x:t xml:space="preserve">AA direct model and first-party provider pages; original source date retained</x:t>
        </x:is>
      </x:c>
      <x:c r="C69" t="inlineStr">
        <x:is>
          <x:t xml:space="preserve">https://artificialanalysis.ai/models/claude-opus-5-5-medium ; https://artificialanalysis.ai/models/claude-opus-5-5-medium/providers</x:t>
        </x:is>
      </x:c>
      <x:c r="D69" t="inlineStr">
        <x:is>
          <x:t xml:space="preserve">2026-10-16</x:t>
        </x:is>
      </x:c>
    </x:row>
    <x:row r="70" s="14" customFormat="1">
      <x:c r="A70" t="inlineStr">
        <x:is>
          <x:t xml:space="preserve">Claude Opus 5.5 (Low, Default Fallback) snapshot</x:t>
        </x:is>
      </x:c>
      <x:c r="B70" t="inlineStr">
        <x:is>
          <x:t xml:space="preserve">AA direct model and first-party provider pages; original source date retained</x:t>
        </x:is>
      </x:c>
      <x:c r="C70" t="inlineStr">
        <x:is>
          <x:t xml:space="preserve">https://artificialanalysis.ai/models/claude-opus-5-5-low ; https://artificialanalysis.ai/models/claude-opus-5-5-low/providers</x:t>
        </x:is>
      </x:c>
      <x:c r="D70" t="inlineStr">
        <x:is>
          <x:t xml:space="preserve">2026-10-16</x:t>
        </x:is>
      </x:c>
    </x:row>
    <x:row r="71" s="14" customFormat="1">
      <x:c r="A71" t="inlineStr">
        <x:is>
          <x:t xml:space="preserve">Claude Sonnet 5.5 (Xhigh, Default Fallback) snapshot</x:t>
        </x:is>
      </x:c>
      <x:c r="B71" t="inlineStr">
        <x:is>
          <x:t xml:space="preserve">AA direct model and first-party provider pages; original source date retained</x:t>
        </x:is>
      </x:c>
      <x:c r="C71" t="inlineStr">
        <x:is>
          <x:t xml:space="preserve">https://artificialanalysis.ai/models/claude-sonnet-5-5-xhigh ; https://artificialanalysis.ai/models/claude-sonnet-5-5-xhigh/providers</x:t>
        </x:is>
      </x:c>
      <x:c r="D71" t="inlineStr">
        <x:is>
          <x:t xml:space="preserve">2026-10-16</x:t>
        </x:is>
      </x:c>
    </x:row>
    <x:row r="72" s="14" customFormat="1">
      <x:c r="A72" t="inlineStr">
        <x:is>
          <x:t xml:space="preserve">Claude Sonnet 5.5 (High, Default Fallback) snapshot</x:t>
        </x:is>
      </x:c>
      <x:c r="B72" t="inlineStr">
        <x:is>
          <x:t xml:space="preserve">AA direct model and first-party provider pages; original source date retained</x:t>
        </x:is>
      </x:c>
      <x:c r="C72" t="inlineStr">
        <x:is>
          <x:t xml:space="preserve">https://artificialanalysis.ai/models/claude-sonnet-5-5-high ; https://artificialanalysis.ai/models/claude-sonnet-5-5-high/providers</x:t>
        </x:is>
      </x:c>
      <x:c r="D72" t="inlineStr">
        <x:is>
          <x:t xml:space="preserve">2026-10-16</x:t>
        </x:is>
      </x:c>
    </x:row>
    <x:row r="73" s="14" customFormat="1">
      <x:c r="A73" t="inlineStr">
        <x:is>
          <x:t xml:space="preserve">Claude Sonnet 5.5 (Medium, Default Fallback) snapshot</x:t>
        </x:is>
      </x:c>
      <x:c r="B73" t="inlineStr">
        <x:is>
          <x:t xml:space="preserve">AA direct model and first-party provider pages; original source date retained</x:t>
        </x:is>
      </x:c>
      <x:c r="C73" t="inlineStr">
        <x:is>
          <x:t xml:space="preserve">https://artificialanalysis.ai/models/claude-sonnet-5-5-medium ; https://artificialanalysis.ai/models/claude-sonnet-5-5-medium/providers</x:t>
        </x:is>
      </x:c>
      <x:c r="D73" t="inlineStr">
        <x:is>
          <x:t xml:space="preserve">2026-10-16</x:t>
        </x:is>
      </x:c>
    </x:row>
    <x:row r="74" s="14" customFormat="1">
      <x:c r="A74" t="inlineStr">
        <x:is>
          <x:t xml:space="preserve">Claude Sonnet 5.5 (Low, Default Fallback) snapshot</x:t>
        </x:is>
      </x:c>
      <x:c r="B74" t="inlineStr">
        <x:is>
          <x:t xml:space="preserve">AA direct model and first-party provider pages; original source date retained</x:t>
        </x:is>
      </x:c>
      <x:c r="C74" t="inlineStr">
        <x:is>
          <x:t xml:space="preserve">https://artificialanalysis.ai/models/claude-sonnet-5-5-low ; https://artificialanalysis.ai/models/claude-sonnet-5-5-low/providers</x:t>
        </x:is>
      </x:c>
      <x:c r="D74" t="inlineStr">
        <x:is>
          <x:t xml:space="preserve">2026-10-16</x:t>
        </x:is>
      </x:c>
    </x:row>
    <x:row r="75" s="14" customFormat="1">
      <x:c r="A75" t="inlineStr">
        <x:is>
          <x:t xml:space="preserve">GPT-5.6 Terra (Max) snapshot</x:t>
        </x:is>
      </x:c>
      <x:c r="B75" t="inlineStr">
        <x:is>
          <x:t xml:space="preserve">AA direct model and first-party provider pages; original source date retained</x:t>
        </x:is>
      </x:c>
      <x:c r="C75" t="inlineStr">
        <x:is>
          <x:t xml:space="preserve">https://artificialanalysis.ai/models/gpt-5-6-terra ; https://artificialanalysis.ai/models/gpt-5-6-terra/providers</x:t>
        </x:is>
      </x:c>
      <x:c r="D75" t="inlineStr">
        <x:is>
          <x:t xml:space="preserve">2026-10-16</x:t>
        </x:is>
      </x:c>
    </x:row>
    <x:row r="76" s="14" customFormat="1">
      <x:c r="A76" t="inlineStr">
        <x:is>
          <x:t xml:space="preserve">GPT-5.6 Terra (Xhigh) snapshot</x:t>
        </x:is>
      </x:c>
      <x:c r="B76" t="inlineStr">
        <x:is>
          <x:t xml:space="preserve">AA direct model and first-party provider pages; original source date retained</x:t>
        </x:is>
      </x:c>
      <x:c r="C76" t="inlineStr">
        <x:is>
          <x:t xml:space="preserve">https://artificialanalysis.ai/models/gpt-5-6-terra-xhigh ; https://artificialanalysis.ai/models/gpt-5-6-terra-xhigh/providers</x:t>
        </x:is>
      </x:c>
      <x:c r="D76" t="inlineStr">
        <x:is>
          <x:t xml:space="preserve">2026-10-16</x:t>
        </x:is>
      </x:c>
    </x:row>
    <x:row r="77" s="14" customFormat="1">
      <x:c r="A77" t="inlineStr">
        <x:is>
          <x:t xml:space="preserve">GPT-5.6 Terra (High) snapshot</x:t>
        </x:is>
      </x:c>
      <x:c r="B77" t="inlineStr">
        <x:is>
          <x:t xml:space="preserve">AA direct model and first-party provider pages; original source date retained</x:t>
        </x:is>
      </x:c>
      <x:c r="C77" t="inlineStr">
        <x:is>
          <x:t xml:space="preserve">https://artificialanalysis.ai/models/gpt-5-6-terra-high ; https://artificialanalysis.ai/models/gpt-5-6-terra-high/providers</x:t>
        </x:is>
      </x:c>
      <x:c r="D77" t="inlineStr">
        <x:is>
          <x:t xml:space="preserve">2026-10-16</x:t>
        </x:is>
      </x:c>
    </x:row>
    <x:row r="78" s="14" customFormat="1">
      <x:c r="A78" t="inlineStr">
        <x:is>
          <x:t xml:space="preserve">GPT-5.6 Terra (Medium) snapshot</x:t>
        </x:is>
      </x:c>
      <x:c r="B78" t="inlineStr">
        <x:is>
          <x:t xml:space="preserve">AA direct model and first-party provider pages; original source date retained</x:t>
        </x:is>
      </x:c>
      <x:c r="C78" t="inlineStr">
        <x:is>
          <x:t xml:space="preserve">https://artificialanalysis.ai/models/gpt-5-6-terra-medium ; https://artificialanalysis.ai/models/gpt-5-6-terra-medium/providers</x:t>
        </x:is>
      </x:c>
      <x:c r="D78" t="inlineStr">
        <x:is>
          <x:t xml:space="preserve">2026-10-16</x:t>
        </x:is>
      </x:c>
    </x:row>
    <x:row r="79" s="14" customFormat="1">
      <x:c r="A79" t="inlineStr">
        <x:is>
          <x:t xml:space="preserve">GPT-5.6 Terra (Low) snapshot</x:t>
        </x:is>
      </x:c>
      <x:c r="B79" t="inlineStr">
        <x:is>
          <x:t xml:space="preserve">AA direct model and first-party provider pages; original source date retained</x:t>
        </x:is>
      </x:c>
      <x:c r="C79" t="inlineStr">
        <x:is>
          <x:t xml:space="preserve">https://artificialanalysis.ai/models/gpt-5-6-terra-low ; https://artificialanalysis.ai/models/gpt-5-6-terra-low/providers</x:t>
        </x:is>
      </x:c>
      <x:c r="D79" t="inlineStr">
        <x:is>
          <x:t xml:space="preserve">2026-10-16</x:t>
        </x:is>
      </x:c>
    </x:row>
    <x:row r="80" s="14" customFormat="1">
      <x:c r="A80" t="inlineStr">
        <x:is>
          <x:t xml:space="preserve">GPT-5.6 Terra (Non-reasoning) snapshot</x:t>
        </x:is>
      </x:c>
      <x:c r="B80" t="inlineStr">
        <x:is>
          <x:t xml:space="preserve">AA direct model and first-party provider pages; original source date retained</x:t>
        </x:is>
      </x:c>
      <x:c r="C80" t="inlineStr">
        <x:is>
          <x:t xml:space="preserve">https://artificialanalysis.ai/models/gpt-5-6-terra-non-reasoning ; https://artificialanalysis.ai/models/gpt-5-6-terra-non-reasoning/providers</x:t>
        </x:is>
      </x:c>
      <x:c r="D80" t="inlineStr">
        <x:is>
          <x:t xml:space="preserve">2026-10-16</x:t>
        </x:is>
      </x:c>
    </x:row>
    <x:row r="81" s="14" customFormat="1">
      <x:c r="A81" t="inlineStr">
        <x:is>
          <x:t xml:space="preserve">Claude Haiku 5.5 (Xhigh) snapshot</x:t>
        </x:is>
      </x:c>
      <x:c r="B81" t="inlineStr">
        <x:is>
          <x:t xml:space="preserve">AA direct model and first-party provider pages; original source date retained</x:t>
        </x:is>
      </x:c>
      <x:c r="C81" t="inlineStr">
        <x:is>
          <x:t xml:space="preserve">https://artificialanalysis.ai/models/claude-haiku-5-5-xhigh ; https://artificialanalysis.ai/models/claude-haiku-5-5-xhigh/providers</x:t>
        </x:is>
      </x:c>
      <x:c r="D81" t="inlineStr">
        <x:is>
          <x:t xml:space="preserve">2026-10-16</x:t>
        </x:is>
      </x:c>
    </x:row>
    <x:row r="82" s="14" customFormat="1">
      <x:c r="A82" t="inlineStr">
        <x:is>
          <x:t xml:space="preserve">Claude Haiku 5.5 (High) snapshot</x:t>
        </x:is>
      </x:c>
      <x:c r="B82" t="inlineStr">
        <x:is>
          <x:t xml:space="preserve">AA direct model and first-party provider pages; original source date retained</x:t>
        </x:is>
      </x:c>
      <x:c r="C82" t="inlineStr">
        <x:is>
          <x:t xml:space="preserve">https://artificialanalysis.ai/models/claude-haiku-5-5-high ; https://artificialanalysis.ai/models/claude-haiku-5-5-high/providers</x:t>
        </x:is>
      </x:c>
      <x:c r="D82" t="inlineStr">
        <x:is>
          <x:t xml:space="preserve">2026-10-16</x:t>
        </x:is>
      </x:c>
    </x:row>
    <x:row r="83" s="14" customFormat="1">
      <x:c r="A83" t="inlineStr">
        <x:is>
          <x:t xml:space="preserve">Claude Haiku 5.5 (Medium) snapshot</x:t>
        </x:is>
      </x:c>
      <x:c r="B83" t="inlineStr">
        <x:is>
          <x:t xml:space="preserve">AA direct model and first-party provider pages; original source date retained</x:t>
        </x:is>
      </x:c>
      <x:c r="C83" t="inlineStr">
        <x:is>
          <x:t xml:space="preserve">https://artificialanalysis.ai/models/claude-haiku-5-5-medium ; https://artificialanalysis.ai/models/claude-haiku-5-5-medium/providers</x:t>
        </x:is>
      </x:c>
      <x:c r="D83" t="inlineStr">
        <x:is>
          <x:t xml:space="preserve">2026-10-16</x:t>
        </x:is>
      </x:c>
    </x:row>
    <x:row r="84" s="14" customFormat="1">
      <x:c r="A84" t="inlineStr">
        <x:is>
          <x:t xml:space="preserve">Claude Haiku 5.5 (Low) snapshot</x:t>
        </x:is>
      </x:c>
      <x:c r="B84" t="inlineStr">
        <x:is>
          <x:t xml:space="preserve">AA direct model and first-party provider pages; original source date retained</x:t>
        </x:is>
      </x:c>
      <x:c r="C84" t="inlineStr">
        <x:is>
          <x:t xml:space="preserve">https://artificialanalysis.ai/models/claude-haiku-5-5-low ; https://artificialanalysis.ai/models/claude-haiku-5-5-low/providers</x:t>
        </x:is>
      </x:c>
      <x:c r="D84" t="inlineStr">
        <x:is>
          <x:t xml:space="preserve">2026-10-16</x:t>
        </x:is>
      </x:c>
    </x:row>
    <x:row r="85">
      <x:c r="A85" t="inlineStr">
        <x:is>
          <x:t xml:space="preserve">AA Coding Agent Index</x:t>
        </x:is>
      </x:c>
      <x:c r="B85" t="inlineStr">
        <x:is>
          <x:t xml:space="preserve">Public index and model variants</x:t>
        </x:is>
      </x:c>
      <x:c r="C85" t="inlineStr">
        <x:is>
          <x:t xml:space="preserve">https://artificialanalysis.ai/agents/coding-agents</x:t>
        </x:is>
      </x:c>
      <x:c r="D85" t="inlineStr">
        <x:is>
          <x:t xml:space="preserve">2026-10-16</x:t>
        </x:is>
      </x:c>
    </x:row>
    <x:row r="86">
      <x:c r="A86" t="inlineStr">
        <x:is>
          <x:t xml:space="preserve">AA Coding Agent Index v1.5 methodology</x:t>
        </x:is>
      </x:c>
      <x:c r="B86" t="inlineStr">
        <x:is>
          <x:t xml:space="preserve">Composite components, tasks, scoring, efficiency metrics and timing scope</x:t>
        </x:is>
      </x:c>
      <x:c r="C86" t="inlineStr">
        <x:is>
          <x:t xml:space="preserve">https://artificialanalysis.ai/methodology/coding-agents-benchmarking</x:t>
        </x:is>
      </x:c>
      <x:c r="D86" t="inlineStr">
        <x:is>
          <x:t xml:space="preserve">2026-10-16</x:t>
        </x:is>
      </x:c>
    </x:row>
    <x:row r="87">
      <x:c r="A87" t="inlineStr">
        <x:is>
          <x:t xml:space="preserve">CAI public comparison: Codex and Muse Code</x:t>
        </x:is>
      </x:c>
      <x:c r="B87" t="inlineStr">
        <x:is>
          <x:t xml:space="preserve">Variant scores, component scores, cost, time and tokens</x:t>
        </x:is>
      </x:c>
      <x:c r="C87" t="inlineStr">
        <x:is>
          <x:t xml:space="preserve">https://artificialanalysis.ai/agents/coding-agents/comparisons/codex-vs-muse-code</x:t>
        </x:is>
      </x:c>
      <x:c r="D87" t="inlineStr">
        <x:is>
          <x:t xml:space="preserve">2026-10-16</x:t>
        </x:is>
      </x:c>
    </x:row>
    <x:row r="88">
      <x:c r="A88" t="inlineStr">
        <x:is>
          <x:t xml:space="preserve">CAI public comparison: Claude Code and Muse Code</x:t>
        </x:is>
      </x:c>
      <x:c r="B88" t="inlineStr">
        <x:is>
          <x:t xml:space="preserve">Variant scores, component scores, cost, time and tokens</x:t>
        </x:is>
      </x:c>
      <x:c r="C88" t="inlineStr">
        <x:is>
          <x:t xml:space="preserve">https://artificialanalysis.ai/agents/coding-agents/comparisons/claude-code-vs-muse-code</x:t>
        </x:is>
      </x:c>
      <x:c r="D88" t="inlineStr">
        <x:is>
          <x:t xml:space="preserve">2026-10-16</x:t>
        </x:is>
      </x:c>
    </x:row>
    <x:row r="89">
      <x:c r="A89" t="inlineStr">
        <x:is>
          <x:t xml:space="preserve">CAI public comparison: OpenCode and Muse Code</x:t>
        </x:is>
      </x:c>
      <x:c r="B89" t="inlineStr">
        <x:is>
          <x:t xml:space="preserve">GLM-5.3 public variant row</x:t>
        </x:is>
      </x:c>
      <x:c r="C89" t="inlineStr">
        <x:is>
          <x:t xml:space="preserve">https://artificialanalysis.ai/agents/coding-agents/comparisons/opencode-vs-muse-code</x:t>
        </x:is>
      </x:c>
      <x:c r="D89" t="inlineStr">
        <x:is>
          <x:t xml:space="preserve">2026-10-16</x:t>
        </x:is>
      </x:c>
    </x:row>
    <x:row r="90" s="14" customFormat="1">
      <x:c r="A90" t="inlineStr">
        <x:is>
          <x:t xml:space="preserve">CAI public comparison: Antigravity CLI and Codex</x:t>
        </x:is>
      </x:c>
      <x:c r="B90" t="inlineStr">
        <x:is>
          <x:t xml:space="preserve">Gemini 4 Argon public variant row</x:t>
        </x:is>
      </x:c>
      <x:c r="C90" t="inlineStr">
        <x:is>
          <x:t xml:space="preserve">https://artificialanalysis.ai/agents/coding-agents/comparisons/antigravity-cli-vs-codex</x:t>
        </x:is>
      </x:c>
      <x:c r="D90" t="inlineStr">
        <x:is>
          <x:t xml:space="preserve">2026-10-16</x:t>
        </x:is>
      </x:c>
    </x:row>
    <x:row r="91" s="14" customFormat="1">
      <x:c r="A91" t="inlineStr">
        <x:is>
          <x:t xml:space="preserve">Artificial Analysis Gemini 3.8 Flash Low</x:t>
        </x:is>
      </x:c>
      <x:c r="B91" t="inlineStr">
        <x:is>
          <x:t xml:space="preserve">AA v4.3.2 score, pricing, context; task cost and timing checked and unpublished</x:t>
        </x:is>
      </x:c>
      <x:c r="C91" t="inlineStr">
        <x:is>
          <x:t xml:space="preserve">https://artificialanalysis.ai/models/gemini-3-8-flash-low</x:t>
        </x:is>
      </x:c>
      <x:c r="D91" t="inlineStr">
        <x:is>
          <x:t xml:space="preserve">2026-10-17</x:t>
        </x:is>
      </x:c>
    </x:row>
    <x:row r="92" s="14" customFormat="1">
      <x:c r="A92" t="inlineStr">
        <x:is>
          <x:t xml:space="preserve">Artificial Analysis Gemini 3.8 Flash Medium</x:t>
        </x:is>
      </x:c>
      <x:c r="B92" t="inlineStr">
        <x:is>
          <x:t xml:space="preserve">AA v4.3.2 score, task cost, pricing, context</x:t>
        </x:is>
      </x:c>
      <x:c r="C92" t="inlineStr">
        <x:is>
          <x:t xml:space="preserve">https://artificialanalysis.ai/models/gemini-3-8-flash-medium</x:t>
        </x:is>
      </x:c>
      <x:c r="D92" t="inlineStr">
        <x:is>
          <x:t xml:space="preserve">2026-10-17</x:t>
        </x:is>
      </x:c>
    </x:row>
    <x:row r="93" s="14" customFormat="1">
      <x:c r="A93" t="inlineStr">
        <x:is>
          <x:t xml:space="preserve">Artificial Analysis Gemini 3.8 Flash High</x:t>
        </x:is>
      </x:c>
      <x:c r="B93" t="inlineStr">
        <x:is>
          <x:t xml:space="preserve">AA v4.3.2 score, task cost, output speed, first-answer latency, index tokens</x:t>
        </x:is>
      </x:c>
      <x:c r="C93" t="inlineStr">
        <x:is>
          <x:t xml:space="preserve">https://artificialanalysis.ai/models/gemini-3-8-flash</x:t>
        </x:is>
      </x:c>
      <x:c r="D93" t="inlineStr">
        <x:is>
          <x:t xml:space="preserve">2026-10-17</x:t>
        </x:is>
      </x:c>
    </x:row>
    <x:row r="94" s="14" customFormat="1">
      <x:c r="A94" t="inlineStr">
        <x:is>
          <x:t xml:space="preserve">Artificial Analysis Gemini 3.8 Flash High vs Medium</x:t>
        </x:is>
      </x:c>
      <x:c r="B94" t="inlineStr">
        <x:is>
          <x:t xml:space="preserve">Live v4.3.2 high/medium scores, task costs, output tokens/task, shared High timing (TTFT/E2E/decode task), and 172M index-token comparison count</x:t>
        </x:is>
      </x:c>
      <x:c r="C94" t="inlineStr">
        <x:is>
          <x:t xml:space="preserve">https://artificialanalysis.ai/models/comparisons/gemini-3-8-flash-vs-gemini-3-8-flash-medium</x:t>
        </x:is>
      </x:c>
      <x:c r="D94" t="inlineStr">
        <x:is>
          <x:t xml:space="preserve">2026-10-17</x:t>
        </x:is>
      </x:c>
    </x:row>
    <x:row r="95" s="14" customFormat="1">
      <x:c r="A95" t="inlineStr">
        <x:is>
          <x:t xml:space="preserve">Artificial Analysis Gemini 3.8 Flash High vs Low</x:t>
        </x:is>
      </x:c>
      <x:c r="B95" t="inlineStr">
        <x:is>
          <x:t xml:space="preserve">Low-effort score and missing cost/timing check; high task-metric comparison</x:t>
        </x:is>
      </x:c>
      <x:c r="C95" t="inlineStr">
        <x:is>
          <x:t xml:space="preserve">https://artificialanalysis.ai/models/comparisons/gemini-3-8-flash-vs-gemini-3-8-flash-low</x:t>
        </x:is>
      </x:c>
      <x:c r="D95" t="inlineStr">
        <x:is>
          <x:t xml:space="preserve">2026-10-17</x:t>
        </x:is>
      </x:c>
    </x:row>
    <x:row r="96" s="14" customFormat="1">
      <x:c r="A96" t="inlineStr">
        <x:is>
          <x:t xml:space="preserve">Artificial Analysis Gemini 3.1 Pro Preview</x:t>
        </x:is>
      </x:c>
      <x:c r="B96" t="inlineStr">
        <x:is>
          <x:t xml:space="preserve">AA v4.3.2 score, cost, output speed, first-answer latency, index tokens</x:t>
        </x:is>
      </x:c>
      <x:c r="C96" t="inlineStr">
        <x:is>
          <x:t xml:space="preserve">https://artificialanalysis.ai/models/gemini-3-1-pro-preview</x:t>
        </x:is>
      </x:c>
      <x:c r="D96" t="inlineStr">
        <x:is>
          <x:t xml:space="preserve">2026-10-17</x:t>
        </x:is>
      </x:c>
    </x:row>
    <x:row r="97" s="14" customFormat="1">
      <x:c r="A97" t="inlineStr">
        <x:is>
          <x:t xml:space="preserve">Artificial Analysis Gemini 3.1 Pro Preview vs Gemini 3 Pro</x:t>
        </x:is>
      </x:c>
      <x:c r="B97" t="inlineStr">
        <x:is>
          <x:t xml:space="preserve">AA task-level token, time and end-to-end comparison fields</x:t>
        </x:is>
      </x:c>
      <x:c r="C97" t="inlineStr">
        <x:is>
          <x:t xml:space="preserve">https://artificialanalysis.ai/models/comparisons/gemini-3-1-pro-preview-vs-gemini-3-pro</x:t>
        </x:is>
      </x:c>
      <x:c r="D97" t="inlineStr">
        <x:is>
          <x:t xml:space="preserve">2026-10-17</x:t>
        </x:is>
      </x:c>
    </x:row>
    <x:row r="98" s="14" customFormat="1">
      <x:c r="A98" t="inlineStr">
        <x:is>
          <x:t xml:space="preserve">Google Gemini 3.1 Pro Preview API docs</x:t>
        </x:is>
      </x:c>
      <x:c r="B98" t="inlineStr">
        <x:is>
          <x:t xml:space="preserve">Official model ID, preview status, context and API availability</x:t>
        </x:is>
      </x:c>
      <x:c r="C98" t="inlineStr">
        <x:is>
          <x:t xml:space="preserve">https://ai.google.dev/gemini-api/docs/models/gemini-3.1-pro-preview</x:t>
        </x:is>
      </x:c>
      <x:c r="D98" t="inlineStr">
        <x:is>
          <x:t xml:space="preserve">2026-10-17</x:t>
        </x:is>
      </x:c>
    </x:row>
    <x:row r="99" s="14" customFormat="1">
      <x:c r="A99" t="inlineStr">
        <x:is>
          <x:t xml:space="preserve">Artificial Analysis Gemini 3.5 Flash</x:t>
        </x:is>
      </x:c>
      <x:c r="B99" t="inlineStr">
        <x:is>
          <x:t xml:space="preserve">Workbook-only AA v4.3.2 snapshot; score, task cost, output speed, latency and index tokens</x:t>
        </x:is>
      </x:c>
      <x:c r="C99" t="inlineStr">
        <x:is>
          <x:t xml:space="preserve">https://artificialanalysis.ai/models/gemini-3-5-flash</x:t>
        </x:is>
      </x:c>
      <x:c r="D99" t="inlineStr">
        <x:is>
          <x:t xml:space="preserve">2026-10-17</x:t>
        </x:is>
      </x:c>
    </x:row>
    <x:row r="100" s="14" customFormat="1">
      <x:c r="A100" t="inlineStr">
        <x:is>
          <x:t xml:space="preserve">Google Gemini 3.5 Flash lifecycle docs</x:t>
        </x:is>
      </x:c>
      <x:c r="B100" t="inlineStr">
        <x:is>
          <x:t xml:space="preserve">Official deprecation; requests route to Gemini 3.6 Flash</x:t>
        </x:is>
      </x:c>
      <x:c r="C100" t="inlineStr">
        <x:is>
          <x:t xml:space="preserve">https://ai.google.dev/gemini-api/docs/models/gemini-3.5-flash</x:t>
        </x:is>
      </x:c>
      <x:c r="D100" t="inlineStr">
        <x:is>
          <x:t xml:space="preserve">2026-10-17</x:t>
        </x:is>
      </x:c>
    </x:row>
    <x:row r="101" s="14" customFormat="1">
      <x:c r="A101" t="inlineStr">
        <x:is>
          <x:t xml:space="preserve">Google Gemini 4 Argon API docs</x:t>
        </x:is>
      </x:c>
      <x:c r="B101" t="inlineStr">
        <x:is>
          <x:t xml:space="preserve">Official stable model ID; low/medium/high thinking levels and current API availability</x:t>
        </x:is>
      </x:c>
      <x:c r="C101" t="inlineStr">
        <x:is>
          <x:t xml:space="preserve">https://ai.google.dev/gemini-api/docs/models/gemini-4-argon</x:t>
        </x:is>
      </x:c>
      <x:c r="D101" t="inlineStr">
        <x:is>
          <x:t xml:space="preserve">2026-10-17</x:t>
        </x:is>
      </x:c>
    </x:row>
    <x:row r="102" s="14" customFormat="1">
      <x:c r="A102" t="inlineStr">
        <x:is>
          <x:t xml:space="preserve">Artificial Analysis Gemini 4 Argon</x:t>
        </x:is>
      </x:c>
      <x:c r="B102" t="inlineStr">
        <x:is>
          <x:t xml:space="preserve">AA v4.3.2 score/cost and confirmation that only High is benchmarked</x:t>
        </x:is>
      </x:c>
      <x:c r="C102" t="inlineStr">
        <x:is>
          <x:t xml:space="preserve">https://artificialanalysis.ai/models/gemini-4-argon</x:t>
        </x:is>
      </x:c>
      <x:c r="D102" t="inlineStr">
        <x:is>
          <x:t xml:space="preserve">2026-10-17</x:t>
        </x:is>
      </x:c>
    </x:row>
    <x:row r="103" s="14" customFormat="1">
      <x:c r="A103" t="inlineStr">
        <x:is>
          <x:t xml:space="preserve">CAI Gemini 3.8 Flash High · Antigravity SDK</x:t>
        </x:is>
      </x:c>
      <x:c r="B103" t="inlineStr">
        <x:is>
          <x:t xml:space="preserve">CAI v1.5 index and component scores, task cost, wall time, token usage</x:t>
        </x:is>
      </x:c>
      <x:c r="C103" t="inlineStr">
        <x:is>
          <x:t xml:space="preserve">https://artificialanalysis.ai/agents/coding-agents/comparisons/antigravity-cli-vs-antigravity-sdk</x:t>
        </x:is>
      </x:c>
      <x:c r="D103" t="inlineStr">
        <x:is>
          <x:t xml:space="preserve">2026-10-17</x:t>
        </x:is>
      </x:c>
    </x:row>
    <x:row r="104">
      <x:c r="A104" t="inlineStr">
        <x:is>
          <x:t xml:space="preserve">CAI Gemini 3.1 Pro High · Gemini CLI</x:t>
        </x:is>
      </x:c>
      <x:c r="B104" t="inlineStr">
        <x:is>
          <x:t xml:space="preserve">Historical CAI v1.4 model-variant row; versioned components, cost, wall time, tokens</x:t>
        </x:is>
      </x:c>
      <x:c r="C104" t="inlineStr">
        <x:is>
          <x:t xml:space="preserve">https://artificialanalysis.ai/agents/coding-agents/comparisons/gemini-cli-vs-muse-code</x:t>
        </x:is>
      </x:c>
      <x:c r="D104" t="inlineStr">
        <x:is>
          <x:t xml:space="preserve">2026-10-17</x:t>
        </x:is>
      </x:c>
    </x:row>
    <x:row r="105">
      <x:c r="A105" t="inlineStr">
        <x:is>
          <x:t xml:space="preserve">Artificial Analysis Coding Agent Index full 42-row snapshot</x:t>
        </x:is>
      </x:c>
      <x:c r="B105" t="inlineStr">
        <x:is>
          <x:t xml:space="preserve">Checked the complete public v1.5 row payload against every Explorer family and workbook-only Gemini 3.5 Flash; preserves effort labels, component scores, costs, active wall time, token means, and model-field/display-label discrepancies.</x:t>
        </x:is>
      </x:c>
      <x:c r="C105" t="inlineStr">
        <x:is>
          <x:t xml:space="preserve">https://artificialanalysis.ai/agents/coding-agents</x:t>
        </x:is>
      </x:c>
      <x:c r="D105" t="inlineStr">
        <x:is>
          <x:t xml:space="preserve">2026-10-17</x:t>
        </x:is>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0" style="14" customWidth="1"/>
    <x:col min="2" max="2" width="38" style="14" customWidth="1"/>
    <x:col min="3" max="3" width="98" style="14" customWidth="1"/>
  </x:cols>
  <x:sheetData>
    <x:row r="1">
      <x:c r="A1" s="6" t="inlineStr">
        <x:is>
          <x:t xml:space="preserve">Entity/Sheet</x:t>
        </x:is>
      </x:c>
      <x:c r="B1" s="6" t="inlineStr">
        <x:is>
          <x:t xml:space="preserve">Grain / key</x:t>
        </x:is>
      </x:c>
      <x:c r="C1" s="6" t="inlineStr">
        <x:is>
          <x:t xml:space="preserve">Maintenance rule</x:t>
        </x:is>
      </x:c>
    </x:row>
    <x:row r="2">
      <x:c r="A2" s="12" t="inlineStr">
        <x:is>
          <x:t xml:space="preserve">Model_Catalog</x:t>
        </x:is>
      </x:c>
      <x:c r="B2" s="12" t="inlineStr">
        <x:is>
          <x:t xml:space="preserve">model_key</x:t>
        </x:is>
      </x:c>
      <x:c r="C2" s="12" t="inlineStr">
        <x:is>
          <x:t xml:space="preserve">One row per named model family; no effort/run facts.</x:t>
        </x:is>
      </x:c>
    </x:row>
    <x:row r="3">
      <x:c r="A3" s="12" t="inlineStr">
        <x:is>
          <x:t xml:space="preserve">Model_Variants</x:t>
        </x:is>
      </x:c>
      <x:c r="B3" s="12" t="inlineStr">
        <x:is>
          <x:t xml:space="preserve">model_variant_key</x:t>
        </x:is>
      </x:c>
      <x:c r="C3" s="12" t="inlineStr">
        <x:is>
          <x:t xml:space="preserve">One row per model + effort/reasoning/fallback variant.</x:t>
        </x:is>
      </x:c>
    </x:row>
    <x:row r="4">
      <x:c r="A4" s="12" t="inlineStr">
        <x:is>
          <x:t xml:space="preserve">Test_Runs</x:t>
        </x:is>
      </x:c>
      <x:c r="B4" s="12" t="inlineStr">
        <x:is>
          <x:t xml:space="preserve">test_run_key</x:t>
        </x:is>
      </x:c>
      <x:c r="C4" s="12" t="inlineStr">
        <x:is>
          <x:t xml:space="preserve">One benchmark observation; never overwrite historical runs.</x:t>
        </x:is>
      </x:c>
    </x:row>
    <x:row r="5">
      <x:c r="A5" s="12" t="inlineStr">
        <x:is>
          <x:t xml:space="preserve">Benchmark_Versions</x:t>
        </x:is>
      </x:c>
      <x:c r="B5" s="12" t="inlineStr">
        <x:is>
          <x:t xml:space="preserve">benchmark_version_key</x:t>
        </x:is>
      </x:c>
      <x:c r="C5" s="12" t="inlineStr">
        <x:is>
          <x:t xml:space="preserve">Version-level leveling factor; newest/reference version = 1.</x:t>
        </x:is>
      </x:c>
    </x:row>
    <x:row r="6">
      <x:c r="A6" s="12" t="inlineStr">
        <x:is>
          <x:t xml:space="preserve">Version_Crosswalk</x:t>
        </x:is>
      </x:c>
      <x:c r="B6" s="12" t="inlineStr">
        <x:is>
          <x:t xml:space="preserve">version pair + model variant</x:t>
        </x:is>
      </x:c>
      <x:c r="C6" s="12" t="inlineStr">
        <x:is>
          <x:t xml:space="preserve">Empirical bridge from identical variants tested on both versions.</x:t>
        </x:is>
      </x:c>
    </x:row>
    <x:row r="7">
      <x:c r="A7" s="12" t="inlineStr">
        <x:is>
          <x:t xml:space="preserve">Model_TestVersion_Stats</x:t>
        </x:is>
      </x:c>
      <x:c r="B7" s="12" t="inlineStr">
        <x:is>
          <x:t xml:space="preserve">variant + benchmark version</x:t>
        </x:is>
      </x:c>
      <x:c r="C7" s="12" t="inlineStr">
        <x:is>
          <x:t xml:space="preserve">Formula aggregates: count, sum, sumsq, avg, stdev, min, Q1, median, Q3, max, cost/time/speed.</x:t>
        </x:is>
      </x:c>
    </x:row>
    <x:row r="8">
      <x:c r="A8" s="12" t="inlineStr">
        <x:is>
          <x:t xml:space="preserve">Run_Metrics</x:t>
        </x:is>
      </x:c>
      <x:c r="B8" s="12" t="inlineStr">
        <x:is>
          <x:t xml:space="preserve">test_run_key</x:t>
        </x:is>
      </x:c>
      <x:c r="C8" s="12" t="inlineStr">
        <x:is>
          <x:t xml:space="preserve">Formula-derived speed/cost/intelligence metrics after version leveling.</x:t>
        </x:is>
      </x:c>
    </x:row>
    <x:row r="9">
      <x:c r="A9" s="12" t="inlineStr">
        <x:is>
          <x:t xml:space="preserve">Threshold_Metrics</x:t>
        </x:is>
      </x:c>
      <x:c r="B9" s="12" t="inlineStr">
        <x:is>
          <x:t xml:space="preserve">run + target</x:t>
        </x:is>
      </x:c>
      <x:c r="C9" s="12" t="inlineStr">
        <x:is>
          <x:t xml:space="preserve">Usability-bar economics per test run.</x:t>
        </x:is>
      </x:c>
    </x:row>
    <x:row r="10">
      <x:c r="A10" s="12" t="inlineStr">
        <x:is>
          <x:t xml:space="preserve">Threshold_TestVersion</x:t>
        </x:is>
      </x:c>
      <x:c r="B10" s="12" t="inlineStr">
        <x:is>
          <x:t xml:space="preserve">variant + version + target</x:t>
        </x:is>
      </x:c>
      <x:c r="C10" s="12" t="inlineStr">
        <x:is>
          <x:t xml:space="preserve">Same metrics at aggregated test@version grain.</x:t>
        </x:is>
      </x:c>
    </x:row>
    <x:row r="11">
      <x:c r="A11" s="12" t="inlineStr">
        <x:is>
          <x:t xml:space="preserve">Qualitative_Assessments</x:t>
        </x:is>
      </x:c>
      <x:c r="B11" s="12" t="inlineStr">
        <x:is>
          <x:t xml:space="preserve">model_key</x:t>
        </x:is>
      </x:c>
      <x:c r="C11" s="12" t="inlineStr">
        <x:is>
          <x:t xml:space="preserve">Editorial judgments only; never mixed into raw benchmark facts.</x:t>
        </x:is>
      </x:c>
    </x:row>
    <x:row r="12">
      <x:c r="A12" s="12" t="inlineStr">
        <x:is>
          <x:t xml:space="preserve">Subscription_Value</x:t>
        </x:is>
      </x:c>
      <x:c r="B12" s="12" t="inlineStr">
        <x:is>
          <x:t xml:space="preserve">plan + representative model</x:t>
        </x:is>
      </x:c>
      <x:c r="C12" s="12" t="inlineStr">
        <x:is>
          <x:t xml:space="preserve">Dollar-cap values direct; message/prompt plans explicitly proxies.</x:t>
        </x:is>
      </x:c>
    </x:row>
    <x:row r="13">
      <x:c r="A13" s="12" t="inlineStr">
        <x:is>
          <x:t xml:space="preserve">Rankings</x:t>
        </x:is>
      </x:c>
      <x:c r="B13" s="12" t="inlineStr">
        <x:is>
          <x:t xml:space="preserve">test_run_key</x:t>
        </x:is>
      </x:c>
      <x:c r="C13" s="12" t="inlineStr">
        <x:is>
          <x:t xml:space="preserve">Controls-driven current ranking layer.</x:t>
        </x:is>
      </x:c>
    </x:row>
    <x:row r="14">
      <x:c r="A14" t="inlineStr">
        <x:is>
          <x:t xml:space="preserve">Benchmark_Followups</x:t>
        </x:is>
      </x:c>
      <x:c r="B14" t="inlineStr">
        <x:is>
          <x:t xml:space="preserve">followup_id</x:t>
        </x:is>
      </x:c>
      <x:c r="C14" t="inlineStr">
        <x:is>
          <x:t xml:space="preserve">Durable open evidence gaps; every OPEN row is revisited on each eligible maintenance run. Close only after source-backed closure criteria pass; never auto-close because a date elapsed.</x:t>
        </x:is>
      </x:c>
    </x:row>
    <x:row r="15">
      <x:c r="A15" t="inlineStr">
        <x:is>
          <x:t xml:space="preserve">Release_Review</x:t>
        </x:is>
      </x:c>
      <x:c r="B15" t="inlineStr">
        <x:is>
          <x:t xml:space="preserve">release_review_id</x:t>
        </x:is>
      </x:c>
      <x:c r="C15" t="inlineStr">
        <x:is>
          <x:t xml:space="preserve">Candidate, inclusion, exclusion, availability and source-lineage decisions for the rolling release window; preserve rejections and avoid duplicate families.</x:t>
        </x:is>
      </x:c>
    </x:row>
    <x:row r="16">
      <x:c r="A16" t="inlineStr">
        <x:is>
          <x:t xml:space="preserve">Coding_Agent_Results</x:t>
        </x:is>
      </x:c>
      <x:c r="B16" t="inlineStr">
        <x:is>
          <x:t xml:space="preserve">One CAI model + effort + harness + exact index version; observation_key</x:t>
        </x:is>
      </x:c>
      <x:c r="C16" t="inlineStr">
        <x:is>
          <x:t xml:space="preserve">Versioned source observations. v1.5-specific component columns remain blank for incompatible v1.4 component versions; generic component name/version/score triplets preserve historical results. No score bridge across CAI versions.</x:t>
        </x:is>
      </x:c>
    </x:row>
    <x:row r="17">
      <x:c r="A17" t="inlineStr">
        <x:is>
          <x:t xml:space="preserve">Coding_Agent_Lookups</x:t>
        </x:is>
      </x:c>
      <x:c r="B17" t="inlineStr">
        <x:is>
          <x:t xml:space="preserve">One online coverage check per missing model/variant and lookup date</x:t>
        </x:is>
      </x:c>
      <x:c r="C17" t="inlineStr">
        <x:is>
          <x:t xml:space="preserve">Record URLs checked, search outcome, and recheck rule before retaining an unavailable CAI value.</x:t>
        </x:is>
      </x:c>
    </x:row>
    <x:row r="18" s="14" customFormat="1">
      <x:c r="A18" t="inlineStr">
        <x:is>
          <x:t xml:space="preserve">Benchmark_Comparison</x:t>
        </x:is>
      </x:c>
      <x:c r="B18" t="inlineStr">
        <x:is>
          <x:t xml:space="preserve">One CAI observation joined to the AA model + effort where matched; model_variant_key</x:t>
        </x:is>
      </x:c>
      <x:c r="C18" t="inlineStr">
        <x:is>
          <x:t xml:space="preserve">Dropdowns independently select AA or CAI score, time, and task cost. Bubble size is a relative inverse-time scale. Do not use the chart as a cross-index calibration.</x:t>
        </x:is>
      </x:c>
    </x:row>
    <x:row r="19">
      <x:c r="A19" t="inlineStr">
        <x:is>
          <x:t xml:space="preserve">Chart_Data_Reviewed</x:t>
        </x:is>
      </x:c>
      <x:c r="B19" t="inlineStr">
        <x:is>
          <x:t xml:space="preserve">One current explorer source row per measured model/effort plus explicitly marked unscored coverage rows.</x:t>
        </x:is>
      </x:c>
      <x:c r="C19" t="inlineStr">
        <x:is>
          <x:t xml:space="preserve">Do not put workbook-only models in this sheet or the Explorer JSON/CSV. Missing metrics stay blank after direct source checks.</x:t>
        </x:is>
      </x:c>
    </x:row>
    <x:row r="20">
      <x:c r="A20" t="str">
        <x:v>SaaS_Plan_Catalog</x:v>
      </x:c>
      <x:c r="B20" t="str">
        <x:v>catalog_id</x:v>
      </x:c>
      <x:c r="C20" t="str">
        <x:v>Current official plan/service snapshot; one row per tier or distinct benefit. Refresh only after source verification.</x:v>
      </x:c>
    </x:row>
    <x:row r="21">
      <x:c r="A21" t="str">
        <x:v>Plan_Events</x:v>
      </x:c>
      <x:c r="B21" t="str">
        <x:v>event_id</x:v>
      </x:c>
      <x:c r="C21" t="str">
        <x:v>Append-only material plan/benefit changes with before/after, announcement/effective dates, source, confidence, and notification state. Never overwrite history.</x:v>
      </x:c>
    </x:row>
    <x:row r="22">
      <x:c r="A22" t="str">
        <x:v>Usage_Reports</x:v>
      </x:c>
      <x:c r="B22" t="str">
        <x:v>report_id</x:v>
      </x:c>
      <x:c r="C22" t="str">
        <x:v>Third-party reports about opaque usage or experience. Keep anecdotal evidence distinct from official facts and label confidence/sample caveats.</x:v>
      </x:c>
    </x:row>
    <x:row r="23">
      <x:c r="A23" t="str">
        <x:v>Watch_Sources</x:v>
      </x:c>
      <x:c r="B23" t="str">
        <x:v>watch_id</x:v>
      </x:c>
      <x:c r="C23" t="str">
        <x:v>Recurring provider source registry, monitored dimensions, geography/family/seat restrictions, monthly verification cadence, and discovery criteria.</x:v>
      </x:c>
    </x:row>
  </x:sheetData>
  <x:pageMargins left="0.7" right="0.7" top="0.75" bottom="0.75" header="0.3" footer="0.3"/>
</x:worksheet>
</file>

<file path=xl/worksheets/sheet31.xml><?xml version="1.0" encoding="utf-8"?>
<x:worksheet xmlns:x="http://schemas.openxmlformats.org/spreadsheetml/2006/main">
  <x:sheetFormatPr baseColWidth="8" defaultRowHeight="15"/>
  <x:cols>
    <x:col min="1" max="1" width="28" style="14" customWidth="1"/>
    <x:col min="2" max="2" width="28" style="14" customWidth="1"/>
    <x:col min="3" max="3" width="95" style="14" customWidth="1"/>
    <x:col min="4" max="4" width="50" style="14" customWidth="1"/>
  </x:cols>
  <x:sheetData>
    <x:row r="1">
      <x:c r="A1" s="6" t="inlineStr">
        <x:is>
          <x:t xml:space="preserve">timestamp</x:t>
        </x:is>
      </x:c>
      <x:c r="B1" s="6" t="inlineStr">
        <x:is>
          <x:t xml:space="preserve">change_type</x:t>
        </x:is>
      </x:c>
      <x:c r="C1" s="6" t="inlineStr">
        <x:is>
          <x:t xml:space="preserve">details</x:t>
        </x:is>
      </x:c>
      <x:c r="D1" s="6" t="inlineStr">
        <x:is>
          <x:t xml:space="preserve">source/owner</x:t>
        </x:is>
      </x:c>
    </x:row>
    <x:row r="2">
      <x:c r="A2" t="inlineStr">
        <x:is>
          <x:t xml:space="preserve">2026-09-29 10:58 America/Chicago</x:t>
        </x:is>
      </x:c>
      <x:c r="B2" t="inlineStr">
        <x:is>
          <x:t xml:space="preserve">schema rebuild</x:t>
        </x:is>
      </x:c>
      <x:c r="C2" t="inlineStr">
        <x:is>
          <x:t xml:space="preserve">Separated model, variant, test-run, benchmark-version, stats, qualitative, subscription, and user-view layers.</x:t>
        </x:is>
      </x:c>
      <x:c r="D2" t="inlineStr">
        <x:is>
          <x:t xml:space="preserve">ChatGPT</x:t>
        </x:is>
      </x:c>
    </x:row>
    <x:row r="3">
      <x:c r="A3" t="inlineStr">
        <x:is>
          <x:t xml:space="preserve">2026-09-29 10:58 America/Chicago</x:t>
        </x:is>
      </x:c>
      <x:c r="B3" t="inlineStr">
        <x:is>
          <x:t xml:space="preserve">version leveling</x:t>
        </x:is>
      </x:c>
      <x:c r="C3" t="inlineStr">
        <x:is>
          <x:t xml:space="preserve">Added cross-version bridge framework; no historical multiplier fabricated because only AA v4.3.2 is loaded.</x:t>
        </x:is>
      </x:c>
      <x:c r="D3" t="inlineStr">
        <x:is>
          <x:t xml:space="preserve">ChatGPT</x:t>
        </x:is>
      </x:c>
    </x:row>
    <x:row r="4">
      <x:c r="A4" t="inlineStr">
        <x:is>
          <x:t xml:space="preserve">2026-09-29 10:58 America/Chicago</x:t>
        </x:is>
      </x:c>
      <x:c r="B4" t="inlineStr">
        <x:is>
          <x:t xml:space="preserve">value formulas</x:t>
        </x:is>
      </x:c>
      <x:c r="C4" t="inlineStr">
        <x:is>
          <x:t xml:space="preserve">Added usability-threshold economics and balanced/smart/speed geometric-mean boards.</x:t>
        </x:is>
      </x:c>
      <x:c r="D4" t="inlineStr">
        <x:is>
          <x:t xml:space="preserve">ChatGPT</x:t>
        </x:is>
      </x:c>
    </x:row>
    <x:row r="5">
      <x:c r="A5" t="inlineStr">
        <x:is>
          <x:t xml:space="preserve">2026-10-04 08:45 America/Chicago</x:t>
        </x:is>
      </x:c>
      <x:c r="B5" t="inlineStr">
        <x:is>
          <x:t xml:space="preserve">append-only release observation</x:t>
        </x:is>
      </x:c>
      <x:c r="C5" t="inlineStr">
        <x:is>
          <x:t xml:space="preserve">Added Gemini 4 Argon family/variant metadata, one independent AA v4.3.2 observation, and a separate vendor-claims assessment. No speed, latency, or qualitative role scores were invented.</x:t>
        </x:is>
      </x:c>
      <x:c r="D5" t="inlineStr">
        <x:is>
          <x:t xml:space="preserve">Engineering / REQ-20261001-ENG-002</x:t>
        </x:is>
      </x:c>
    </x:row>
    <x:row r="6">
      <x:c r="A6" t="inlineStr">
        <x:is>
          <x:t xml:space="preserve">2026-10-11 12:56 America/Chicago</x:t>
        </x:is>
      </x:c>
      <x:c r="B6" t="inlineStr">
        <x:is>
          <x:t xml:space="preserve">full inventory refresh / durable gap tracking</x:t>
        </x:is>
      </x:c>
      <x:c r="C6" t="inlineStr">
        <x:is>
          <x:t xml:space="preserve">Added seven verified in-scope release families, 14 append-only AA v4.3.2 observations (five GPT-6.1 Sol, five Claude Haiku 5.5, one Mistral Large 4 Preview, one Grok 4.7, one Solar Mini 4, one Gemini 4 Argon), 7 Tracked qualitative rows, release review, and persistent benchmark follow-ups. Existing rows preserved; unknown benchmark dates/metrics stay blank.</x:t>
        </x:is>
      </x:c>
      <x:c r="D6" t="inlineStr">
        <x:is>
          <x:t xml:space="preserve">Engineering / REQ-20261011-ENG-003</x:t>
        </x:is>
      </x:c>
    </x:row>
    <x:row r="7" s="14" customFormat="1">
      <x:c r="A7" t="inlineStr">
        <x:is>
          <x:t xml:space="preserve">2026-10-16T08:38:50.115517Z</x:t>
        </x:is>
      </x:c>
      <x:c r="B7" t="inlineStr">
        <x:is>
          <x:t xml:space="preserve">benchmark snapshot refresh</x:t>
        </x:is>
      </x:c>
      <x:c r="C7" t="inlineStr">
        <x:is>
          <x:t xml:space="preserve">10 verified append-only AA v4.3.2 snapshots; 28 existing followups rechecked and retained OPEN; five new gaps. Unknown actual test dates blank. Full scored separately from Wonder; no qualitative ratings invented.</x:t>
        </x:is>
      </x:c>
      <x:c r="D7" t="inlineStr">
        <x:is>
          <x:t xml:space="preserve">Interactive user request: please update the benchmark</x:t>
        </x:is>
      </x:c>
    </x:row>
    <x:row r="8" s="14" customFormat="1">
      <x:c r="A8" t="inlineStr">
        <x:is>
          <x:t xml:space="preserve">2026-10-16T08:55:25.574964+00:00</x:t>
        </x:is>
      </x:c>
      <x:c r="B8" t="inlineStr">
        <x:is>
          <x:t xml:space="preserve">Interactive chart / canonical workbook reconciliation</x:t>
        </x:is>
      </x:c>
      <x:c r="C8" t="inlineStr">
        <x:is>
          <x:t xml:space="preserve">42 new source snapshots; 7 same-day snapshots already present; 2 model families and 9 variants added. Wonder exact benchmark gap closed. Full missing economics preserved. Historical Test_Runs unchanged.</x:t>
        </x:is>
      </x:c>
      <x:c r="D8" t="inlineStr">
        <x:is>
          <x:t xml:space="preserve">User requested applying all updated chart information into AInventory.</x:t>
        </x:is>
      </x:c>
    </x:row>
    <x:row r="9" s="14" customFormat="1">
      <x:c r="A9" t="inlineStr">
        <x:is>
          <x:t xml:space="preserve">2026-10-16</x:t>
        </x:is>
      </x:c>
      <x:c r="B9" t="inlineStr">
        <x:is>
          <x:t xml:space="preserve">Added CAI v1.5 public observations</x:t>
        </x:is>
      </x:c>
      <x:c r="C9" t="inlineStr">
        <x:is>
          <x:t xml:space="preserve">Appended 25 sourced variant rows to Test_Runs/Coding_Agent_Results; added version definitions, coverage checks, paired selectors and exploratory cross-index analysis. No score crosswalk applied.</x:t>
        </x:is>
      </x:c>
      <x:c r="D9" t="inlineStr">
        <x:is>
          <x:t xml:space="preserve">AA Coding Agent Index v1.5; reviewed comparison pages; methodology v1.5</x:t>
        </x:is>
      </x:c>
    </x:row>
    <x:row r="10" s="14" customFormat="1">
      <x:c r="A10" t="inlineStr">
        <x:is>
          <x:t xml:space="preserve">2026-10-17T00:14:11+00:00</x:t>
        </x:is>
      </x:c>
      <x:c r="B10" t="inlineStr">
        <x:is>
          <x:t xml:space="preserve">Gemini model list and source refresh</x:t>
        </x:is>
      </x:c>
      <x:c r="C10" t="inlineStr">
        <x:is>
          <x:t xml:space="preserve">Added current Gemini 3.8 Flash and 3.1 Pro AA snapshots, an unscored Gemini 4 Argon Low configuration, and a workbook-only historical Gemini 3.5 Flash record. Expanded formula ranges and threshold views; preserved earlier Test_Runs.</x:t>
        </x:is>
      </x:c>
      <x:c r="D10" t="inlineStr">
        <x:is>
          <x:t xml:space="preserve">Current AA model/comparison pages and official Google Gemini API documentation</x:t>
        </x:is>
      </x:c>
    </x:row>
    <x:row r="11">
      <x:c r="A11" t="inlineStr">
        <x:is>
          <x:t xml:space="preserve">2026-10-17</x:t>
        </x:is>
      </x:c>
      <x:c r="B11" t="inlineStr">
        <x:is>
          <x:t xml:space="preserve">AA live-source recheck and CAI Gemini additions</x:t>
        </x:is>
      </x:c>
      <x:c r="C11" t="inlineStr">
        <x:is>
          <x:t xml:space="preserve">Corrected Gemini 3.8 Flash High timing from live AA pages; closed stale timing discrepancy and opened token-count cross-page follow-up. Added versioned public CAI observations for Gemini 3.8 Flash High (v1.5) and Gemini 3.1 Pro High (v1.4); added v1.4 coverage/version records and negative lookup outcomes.</x:t>
        </x:is>
      </x:c>
      <x:c r="D11" t="inlineStr">
        <x:is>
          <x:t xml:space="preserve">AA direct model and comparison pages; official Coding Agent Index comparisons</x:t>
        </x:is>
      </x:c>
    </x:row>
    <x:row r="12">
      <x:c r="A12" t="inlineStr">
        <x:is>
          <x:t xml:space="preserve">2026-10-17 00:00 UTC</x:t>
        </x:is>
      </x:c>
      <x:c r="B12" t="inlineStr">
        <x:is>
          <x:t xml:space="preserve">CAI full-index coverage audit</x:t>
        </x:is>
      </x:c>
      <x:c r="C12" t="inlineStr">
        <x:is>
          <x:t xml:space="preserve">Checked all 19 Explorer model families and workbook-only Gemini 3.5 Flash against all 42 current public CAI index rows and official comparison tables. Confirmed 26 existing v1.5 observations; found no new exact model/effort rows. Kept Gemini 3.1 Pro because its historical CAI v1.4 finding explicitly says High; preserved Argon label conflict and hybrid-agent rows separately.</x:t>
        </x:is>
      </x:c>
      <x:c r="D12" t="inlineStr">
        <x:is>
          <x:t xml:space="preserve">Artificial Analysis public Coding Agent Index and comparison pages; AInventory</x:t>
        </x:is>
      </x:c>
    </x:row>
    <x:row r="13">
      <x:c r="A13" t="str">
        <x:v>2026-10-21 01:07 UTC</x:v>
      </x:c>
      <x:c r="B13" t="str">
        <x:v>SaaS plan watch schema</x:v>
      </x:c>
      <x:c r="C13" t="str">
        <x:v>Added current provider/service catalog, append-only plan event log, separated third-party usage reports, and recurring official source registry. Preserved benchmark/qualitative history and existing plan comparison sheets.</x:v>
      </x:c>
      <x:c r="D13" t="str">
        <x:v>User request / Codex</x:v>
      </x:c>
    </x:row>
    <x:row r="14">
      <x:c r="A14" t="str">
        <x:v>2026-10-20</x:v>
      </x:c>
      <x:c r="B14" t="str">
        <x:v>Task capacity report</x:v>
      </x:c>
      <x:c r="C14" t="str">
        <x:v>Added AA coding/general budget formulas, current full Go quota table, subscription scenarios, OpenDesign and explicit Muse CLI High/Power. Preserved40 existing tabs.</x:v>
      </x:c>
      <x:c r="D14" t="str">
        <x:v>User request / Codex</x:v>
      </x:c>
    </x:row>
  </x:sheetData>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8" style="14" customWidth="1"/>
    <x:col min="2" max="2" width="38" style="14" customWidth="1"/>
    <x:col min="3" max="3" width="38" style="14" customWidth="1"/>
    <x:col min="4" max="4" width="18" style="14" customWidth="1"/>
    <x:col min="5" max="5" width="18" style="14" customWidth="1"/>
    <x:col min="6" max="6" width="18" style="14" customWidth="1"/>
    <x:col min="7" max="7" width="18" style="14" customWidth="1"/>
    <x:col min="8" max="8" width="18" style="14" customWidth="1"/>
    <x:col min="9" max="9" width="18" style="14" customWidth="1"/>
    <x:col min="10" max="10" width="18" style="14" customWidth="1"/>
    <x:col min="11" max="11" width="18" style="14" customWidth="1"/>
    <x:col min="12" max="12" width="62" style="14" customWidth="1"/>
    <x:col min="13" max="13" width="62" style="14" customWidth="1"/>
  </x:cols>
  <x:sheetData>
    <x:row r="1">
      <x:c r="A1" s="6" t="inlineStr">
        <x:is>
          <x:t xml:space="preserve">modelsdev_id</x:t>
        </x:is>
      </x:c>
      <x:c r="B1" s="6" t="inlineStr">
        <x:is>
          <x:t xml:space="preserve">canonical_slug</x:t>
        </x:is>
      </x:c>
      <x:c r="C1" s="6" t="inlineStr">
        <x:is>
          <x:t xml:space="preserve">name</x:t>
        </x:is>
      </x:c>
      <x:c r="D1" s="6" t="inlineStr">
        <x:is>
          <x:t xml:space="preserve">created_unix</x:t>
        </x:is>
      </x:c>
      <x:c r="E1" s="6" t="inlineStr">
        <x:is>
          <x:t xml:space="preserve">context_length</x:t>
        </x:is>
      </x:c>
      <x:c r="F1" s="6" t="inlineStr">
        <x:is>
          <x:t xml:space="preserve">prompt_per_token</x:t>
        </x:is>
      </x:c>
      <x:c r="G1" s="6" t="inlineStr">
        <x:is>
          <x:t xml:space="preserve">completion_per_token</x:t>
        </x:is>
      </x:c>
      <x:c r="H1" s="6" t="inlineStr">
        <x:is>
          <x:t xml:space="preserve">cache_read_per_token</x:t>
        </x:is>
      </x:c>
      <x:c r="I1" s="6" t="inlineStr">
        <x:is>
          <x:t xml:space="preserve">cache_write_per_token</x:t>
        </x:is>
      </x:c>
      <x:c r="J1" s="6" t="inlineStr">
        <x:is>
          <x:t xml:space="preserve">max_completion_tokens</x:t>
        </x:is>
      </x:c>
      <x:c r="K1" s="6" t="inlineStr">
        <x:is>
          <x:t xml:space="preserve">expiration_date</x:t>
        </x:is>
      </x:c>
      <x:c r="L1" s="6" t="inlineStr">
        <x:is>
          <x:t xml:space="preserve">source_url</x:t>
        </x:is>
      </x:c>
      <x:c r="M1" s="6" t="inlineStr">
        <x:is>
          <x:t xml:space="preserve">verification</x:t>
        </x:is>
      </x:c>
    </x:row>
    <x:row r="2">
      <x:c r="A2" t="inlineStr">
        <x:is>
          <x:t xml:space="preserve">anthropic/claude-haiku-4.5</x:t>
        </x:is>
      </x:c>
      <x:c r="B2" t="inlineStr">
        <x:is>
          <x:t xml:space="preserve">anthropic/claude-4.5-haiku-20251001</x:t>
        </x:is>
      </x:c>
      <x:c r="C2" t="inlineStr">
        <x:is>
          <x:t xml:space="preserve">Anthropic: Claude Haiku 4.5</x:t>
        </x:is>
      </x:c>
      <x:c r="D2" t="n">
        <x:v>1760547638</x:v>
      </x:c>
      <x:c r="E2" t="n">
        <x:v>200000</x:v>
      </x:c>
      <x:c r="F2" t="n">
        <x:v>1e-06</x:v>
      </x:c>
      <x:c r="G2" t="n">
        <x:v>5e-06</x:v>
      </x:c>
      <x:c r="H2" t="n">
        <x:v>1e-07</x:v>
      </x:c>
      <x:c r="I2" t="n">
        <x:v>1.25e-06</x:v>
      </x:c>
      <x:c r="J2" t="n">
        <x:v>64000</x:v>
      </x:c>
      <x:c r="L2" t="inlineStr">
        <x:is>
          <x:t xml:space="preserve">https://models.dev/models.json?type=all</x:t>
        </x:is>
      </x:c>
      <x:c r="M2" t="inlineStr">
        <x:is>
          <x:t xml:space="preserve">Exact record observed in models.dev GitHub models.json response</x:t>
        </x:is>
      </x:c>
    </x:row>
    <x:row r="3">
      <x:c r="A3" t="inlineStr">
        <x:is>
          <x:t xml:space="preserve">anthropic/claude-opus-4.7-fast</x:t>
        </x:is>
      </x:c>
      <x:c r="B3" t="inlineStr">
        <x:is>
          <x:t xml:space="preserve">anthropic/claude-4.7-opus-fast-20260512</x:t>
        </x:is>
      </x:c>
      <x:c r="C3" t="inlineStr">
        <x:is>
          <x:t xml:space="preserve">Anthropic: Claude Opus 4.7 (Fast)</x:t>
        </x:is>
      </x:c>
      <x:c r="D3" t="n">
        <x:v>1778613011</x:v>
      </x:c>
      <x:c r="E3" t="n">
        <x:v>1000000</x:v>
      </x:c>
      <x:c r="F3" t="n">
        <x:v>3e-05</x:v>
      </x:c>
      <x:c r="G3" t="n">
        <x:v>0.00015</x:v>
      </x:c>
      <x:c r="H3" t="n">
        <x:v>3e-06</x:v>
      </x:c>
      <x:c r="I3" t="n">
        <x:v>3.75e-05</x:v>
      </x:c>
      <x:c r="J3" t="n">
        <x:v>128000</x:v>
      </x:c>
      <x:c r="L3" t="inlineStr">
        <x:is>
          <x:t xml:space="preserve">https://models.dev/models.json?type=all</x:t>
        </x:is>
      </x:c>
      <x:c r="M3" t="inlineStr">
        <x:is>
          <x:t xml:space="preserve">Exact record observed in current models.dev GitHub models.json response</x:t>
        </x:is>
      </x:c>
    </x:row>
    <x:row r="4">
      <x:c r="A4" t="inlineStr">
        <x:is>
          <x:t xml:space="preserve">google/gemini-3.1-flash-lite</x:t>
        </x:is>
      </x:c>
      <x:c r="B4" t="inlineStr">
        <x:is>
          <x:t xml:space="preserve">google/gemini-3.1-flash-lite-20260507</x:t>
        </x:is>
      </x:c>
      <x:c r="C4" t="inlineStr">
        <x:is>
          <x:t xml:space="preserve">Google: Gemini 3.1 Flash Lite</x:t>
        </x:is>
      </x:c>
      <x:c r="D4" t="n">
        <x:v>1778168828</x:v>
      </x:c>
      <x:c r="E4" t="n">
        <x:v>1048576</x:v>
      </x:c>
      <x:c r="F4" t="n">
        <x:v>2.5e-07</x:v>
      </x:c>
      <x:c r="G4" t="n">
        <x:v>1.5e-06</x:v>
      </x:c>
      <x:c r="H4" t="n">
        <x:v>2.5e-08</x:v>
      </x:c>
      <x:c r="I4" t="n">
        <x:v>8.333333333333334e-08</x:v>
      </x:c>
      <x:c r="J4" t="n">
        <x:v>65536</x:v>
      </x:c>
      <x:c r="L4" t="inlineStr">
        <x:is>
          <x:t xml:space="preserve">https://models.dev/models.json?type=all</x:t>
        </x:is>
      </x:c>
      <x:c r="M4" t="inlineStr">
        <x:is>
          <x:t xml:space="preserve">Exact record observed in current models.dev GitHub models.json response</x:t>
        </x:is>
      </x:c>
    </x:row>
    <x:row r="5">
      <x:c r="A5" t="inlineStr">
        <x:is>
          <x:t xml:space="preserve">openai/gpt-chat-latest</x:t>
        </x:is>
      </x:c>
      <x:c r="B5" t="inlineStr">
        <x:is>
          <x:t xml:space="preserve">openai/gpt-chat-latest-20260505</x:t>
        </x:is>
      </x:c>
      <x:c r="C5" t="inlineStr">
        <x:is>
          <x:t xml:space="preserve">OpenAI: GPT Chat Latest</x:t>
        </x:is>
      </x:c>
      <x:c r="D5" t="n">
        <x:v>1778000212</x:v>
      </x:c>
      <x:c r="E5" t="n">
        <x:v>400000</x:v>
      </x:c>
      <x:c r="F5" t="n">
        <x:v>5e-06</x:v>
      </x:c>
      <x:c r="G5" t="n">
        <x:v>3e-05</x:v>
      </x:c>
      <x:c r="H5" t="n">
        <x:v>5e-07</x:v>
      </x:c>
      <x:c r="J5" t="n">
        <x:v>128000</x:v>
      </x:c>
      <x:c r="L5" t="inlineStr">
        <x:is>
          <x:t xml:space="preserve">https://models.dev/models.json?type=all</x:t>
        </x:is>
      </x:c>
      <x:c r="M5" t="inlineStr">
        <x:is>
          <x:t xml:space="preserve">Exact record observed in current models.dev GitHub models.json response</x:t>
        </x:is>
      </x:c>
    </x:row>
  </x:sheetData>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4" style="14" customWidth="1"/>
    <x:col min="2" max="2" width="110" style="14" customWidth="1"/>
  </x:cols>
  <x:sheetData>
    <x:row r="1">
      <x:c r="A1" s="23" t="inlineStr">
        <x:is>
          <x:t xml:space="preserve">Workbook Architecture &amp; Interpretation Notes</x:t>
        </x:is>
      </x:c>
      <x:c r="B1" s="15" t="n"/>
      <x:c r="C1" s="15" t="n"/>
      <x:c r="D1" s="15" t="n"/>
      <x:c r="E1" s="15" t="n"/>
      <x:c r="F1" s="15" t="n"/>
      <x:c r="G1" s="15" t="n"/>
      <x:c r="H1" s="15" t="n"/>
    </x:row>
    <x:row r="3">
      <x:c r="A3" s="26" t="inlineStr">
        <x:is>
          <x:t xml:space="preserve">Build timestamp</x:t>
        </x:is>
      </x:c>
      <x:c r="B3" s="12" t="inlineStr">
        <x:is>
          <x:t xml:space="preserve">2026-10-17 00:14 UTC</x:t>
        </x:is>
      </x:c>
    </x:row>
    <x:row r="4">
      <x:c r="A4" s="26" t="inlineStr">
        <x:is>
          <x:t xml:space="preserve">Purpose</x:t>
        </x:is>
      </x:c>
      <x:c r="B4" s="12" t="inlineStr">
        <x:is>
          <x:t xml:space="preserve">Long-term benchmark/model/subscription research warehouse with formula-driven decision views.</x:t>
        </x:is>
      </x:c>
    </x:row>
    <x:row r="5">
      <x:c r="A5" s="26" t="inlineStr">
        <x:is>
          <x:t xml:space="preserve">User-facing sheets</x:t>
        </x:is>
      </x:c>
      <x:c r="B5" s="12" t="inlineStr">
        <x:is>
          <x:t xml:space="preserve">Dashboard, Contenders, Rankings, Plan_Winners, Winner_Boards, Controls appear first.</x:t>
        </x:is>
      </x:c>
    </x:row>
    <x:row r="6">
      <x:c r="A6" s="26" t="inlineStr">
        <x:is>
          <x:t xml:space="preserve">Identity design</x:t>
        </x:is>
      </x:c>
      <x:c r="B6" s="12" t="inlineStr">
        <x:is>
          <x:t xml:space="preserve">Model family, model/effort variant, and benchmark observation/version/date are separate keys.</x:t>
        </x:is>
      </x:c>
    </x:row>
    <x:row r="7">
      <x:c r="A7" s="26" t="inlineStr">
        <x:is>
          <x:t xml:space="preserve">Cross-version comparison</x:t>
        </x:is>
      </x:c>
      <x:c r="B7" s="12" t="inlineStr">
        <x:is>
          <x:t xml:space="preserve">Do not compare raw versions blindly. Populate Version_Crosswalk with dual-tested variants; aggregate into Version_Pair_Summary and Benchmark_Versions.</x:t>
        </x:is>
      </x:c>
    </x:row>
    <x:row r="8">
      <x:c r="A8" s="26" t="inlineStr">
        <x:is>
          <x:t xml:space="preserve">Leveling method</x:t>
        </x:is>
      </x:c>
      <x:c r="B8" s="12" t="inlineStr">
        <x:is>
          <x:t xml:space="preserve">Prefer direct identical-variant ratios. Use robust median/mean + stdev across many bridges; chain versions only when no direct bridge exists.</x:t>
        </x:is>
      </x:c>
    </x:row>
    <x:row r="9">
      <x:c r="A9" s="26" t="inlineStr">
        <x:is>
          <x:t xml:space="preserve">Current evidence</x:t>
        </x:is>
      </x:c>
      <x:c r="B9" s="12" t="inlineStr">
        <x:is>
          <x:t xml:space="preserve">AA Intelligence Index v4.3.2 snapshots through 2026-10-17; CAI v1.5 rows checked through 2026-10-16. Test dates remain unknown where not published.</x:t>
        </x:is>
      </x:c>
    </x:row>
    <x:row r="10">
      <x:c r="A10" s="26" t="inlineStr">
        <x:is>
          <x:t xml:space="preserve">Usability bar</x:t>
        </x:is>
      </x:c>
      <x:c r="B10" s="12" t="inlineStr">
        <x:is>
          <x:t xml:space="preserve">usable_surplus = levelled_score − (target−1). Models below target are excluded from threshold value ratios.</x:t>
        </x:is>
      </x:c>
    </x:row>
    <x:row r="11">
      <x:c r="A11" s="26" t="inlineStr">
        <x:is>
          <x:t xml:space="preserve">Why geometric means</x:t>
        </x:is>
      </x:c>
      <x:c r="B11" s="12" t="inlineStr">
        <x:is>
          <x:t xml:space="preserve">Balanced/smart/speed value scores are multiplicative so a model cannot fully hide a failed axis with one excellent axis.</x:t>
        </x:is>
      </x:c>
    </x:row>
    <x:row r="12">
      <x:c r="A12" s="26" t="inlineStr">
        <x:is>
          <x:t xml:space="preserve">Subscription estimates</x:t>
        </x:is>
      </x:c>
      <x:c r="B12" s="12" t="inlineStr">
        <x:is>
          <x:t xml:space="preserve">OpenCode dollar caps are direct spend-equivalent caps. Prompt/message plans are AA-task spend proxies. Relative-only plans remain unpriced.</x:t>
        </x:is>
      </x:c>
    </x:row>
    <x:row r="13">
      <x:c r="A13" s="26" t="inlineStr">
        <x:is>
          <x:t xml:space="preserve">Reset/save</x:t>
        </x:is>
      </x:c>
      <x:c r="B13" s="12" t="inlineStr">
        <x:is>
          <x:t xml:space="preserve">Macro-free: choose Default + clear overrides to reset; copy a profile row to save; Config_History records build defaults.</x:t>
        </x:is>
      </x:c>
    </x:row>
    <x:row r="14">
      <x:c r="A14" s="26" t="inlineStr">
        <x:is>
          <x:t xml:space="preserve">Threshold semantics</x:t>
        </x:is>
      </x:c>
      <x:c r="B14" s="12" t="inlineStr">
        <x:is>
          <x:t xml:space="preserve">usable_units = levelled_score − (target−1). A score below target produces &lt;=0 and is excluded; a score exactly at target has 1 usable unit, avoiding divide-by-zero while preserving the pass/fail bar.</x:t>
        </x:is>
      </x:c>
    </x:row>
    <x:row r="15">
      <x:c r="A15" t="inlineStr">
        <x:is>
          <x:t xml:space="preserve">Persistent follow-ups</x:t>
        </x:is>
      </x:c>
      <x:c r="B15" t="inlineStr">
        <x:is>
          <x:t xml:space="preserve">Benchmark_Followups is the durable queue. Recheck every OPEN row on each scheduled AInventory maintenance run; update last_checked_date/result; keep OPEN until closure criteria are verified and evidence URLs are recorded.</x:t>
        </x:is>
      </x:c>
    </x:row>
    <x:row r="16">
      <x:c r="A16" t="inlineStr">
        <x:is>
          <x:t xml:space="preserve">Rolling release review</x:t>
        </x:is>
      </x:c>
      <x:c r="B16" t="inlineStr">
        <x:is>
          <x:t xml:space="preserve">Release_Review records candidates, scope decisions, source lineage and exclusions for the current 30-day window. Do not rank preview/restricted/audio/TTS endpoints with an incomparable text benchmark.</x:t>
        </x:is>
      </x:c>
    </x:row>
    <x:row r="17">
      <x:c r="A17" t="inlineStr">
        <x:is>
          <x:t xml:space="preserve">Qualitative evidence</x:t>
        </x:is>
      </x:c>
      <x:c r="B17" t="inlineStr">
        <x:is>
          <x:t xml:space="preserve">Qualitative_Assessments stores editorial judgments separately from benchmark facts. Blank ratings mean not assessed; vendor claims do not justify independent 1–5 scores.</x:t>
        </x:is>
      </x:c>
    </x:row>
    <x:row r="18" s="14" customFormat="1">
      <x:c r="A18" t="inlineStr">
        <x:is>
          <x:t xml:space="preserve">Snapshot provenance</x:t>
        </x:is>
      </x:c>
      <x:c r="B18" t="inlineStr">
        <x:is>
          <x:t xml:space="preserve">A snapshot_date records when a public source page was observed; test_run_date remains blank when the benchmark run date is not disclosed. Never substitute snapshot date as the test date.</x:t>
        </x:is>
      </x:c>
    </x:row>
    <x:row r="19" s="14" customFormat="1">
      <x:c r="A19" t="inlineStr">
        <x:is>
          <x:t xml:space="preserve">Chart reconciliation 2026-10-16</x:t>
        </x:is>
      </x:c>
      <x:c r="B19" t="inlineStr">
        <x:is>
          <x:t xml:space="preserve">Chart_Data_Reviewed contains all 49 chart records and explicit source dates. Workbook raw observations append only; current same-day snapshots retain original precision. Historical snapshots are not independent experimental replicates. Subscription lookups now select latest matching family/effort snapshot.</x:t>
        </x:is>
      </x:c>
    </x:row>
    <x:row r="20">
      <x:c r="A20" t="inlineStr">
        <x:is>
          <x:t xml:space="preserve">Coding Agent Index v1.5</x:t>
        </x:is>
      </x:c>
      <x:c r="B20" t="inlineStr">
        <x:is>
          <x:t xml:space="preserve">Added 25 public variant rows observed 2026-10-16, including component scores, agent harness, task cost, wall time, token usage, benchmark version, and row-level source links. Test execution dates were not disclosed; snapshot_date is not test_run_date.</x:t>
        </x:is>
      </x:c>
    </x:row>
    <x:row r="21">
      <x:c r="A21" t="inlineStr">
        <x:is>
          <x:t xml:space="preserve">Benchmark score scales</x:t>
        </x:is>
      </x:c>
      <x:c r="B21" t="inlineStr">
        <x:is>
          <x:t xml:space="preserve">AA Intelligence Index v4.3.2 and Coding Agent Index v1.5 are separate composites, each with a score near 0–100. The CAI is the equal-weight mean of DeepSWE v1.1 (113 tasks), Terminal-Bench 4.0 (66), and SWE-Atlas-QnA (124). No cross-index score-level factor is applied.</x:t>
        </x:is>
      </x:c>
    </x:row>
    <x:row r="22">
      <x:c r="A22" t="inlineStr">
        <x:is>
          <x:t xml:space="preserve">Timing semantics</x:t>
        </x:is>
      </x:c>
      <x:c r="B22" t="inlineStr">
        <x:is>
          <x:t xml:space="preserve">AA Index time is weighted decode seconds per Intelligence Index task, excluding TTFT and overhead. CAI time is average agent wall time per coding task, involving multi-step software tasks and an agent harness. CAI task time includes task-runtime telemetry where available; it is not the same workload or grain.</x:t>
        </x:is>
      </x:c>
    </x:row>
    <x:row r="23">
      <x:c r="A23" t="inlineStr">
        <x:is>
          <x:t xml:space="preserve">Interactive cross-index view</x:t>
        </x:is>
      </x:c>
      <x:c r="B23" t="inlineStr">
        <x:is>
          <x:t xml:space="preserve">Benchmark_Comparison independently selects AA or CAI score, timing, and cost. Bubble size grows as the selected timing value gets shorter. Select the AA or CAI cost source to keep the displayed task cost aligned with its benchmark.</x:t>
        </x:is>
      </x:c>
    </x:row>
    <x:row r="24">
      <x:c r="A24" t="inlineStr">
        <x:is>
          <x:t xml:space="preserve">Cross-index fit (exploratory)</x:t>
        </x:is>
      </x:c>
      <x:c r="B24" t="inlineStr">
        <x:is>
          <x:t xml:space="preserve">22 paired model/effort rows across 10 families: Pearson r=0.935, Spearman rho=0.924. A descriptive OLS fit gives CAI ≈ -13.96 + 1.455×AA; an AA score of 45 maps to about 51.5 on this snapshot. Leave-one-family-out RMSE was 5.8 CAI points. Repeated effort rows are clustered within model families; this is not a score conversion.</x:t>
        </x:is>
      </x:c>
    </x:row>
    <x:row r="25">
      <x:c r="A25" t="inlineStr">
        <x:is>
          <x:t xml:space="preserve">Cross-index timing (exploratory)</x:t>
        </x:is>
      </x:c>
      <x:c r="B25" t="inlineStr">
        <x:is>
          <x:t xml:space="preserve">20 paired rows with both current AA decode time and CAI time: Pearson r=0.779, Spearman rho=0.894. Median CAI/AA time ratio 4.52× (range 2.19×–12.66×). The comparison joins different tasks and harnesses; never apply a universal minute multiplier.</x:t>
        </x:is>
      </x:c>
    </x:row>
    <x:row r="26">
      <x:c r="A26" t="inlineStr">
        <x:is>
          <x:t xml:space="preserve">CAI missing-value coverage</x:t>
        </x:is>
      </x:c>
      <x:c r="B26" t="inlineStr">
        <x:is>
          <x:t xml:space="preserve">Coding_Agent_Lookups records online checks. No public result was found for MiMo-V2.6 Pro/Flash, GLM-5.3-Flash, GPT-6.1 Astra/Terra, or exact DeepSeek V4.1 Flash. Older DeepSeek V4 Flash 0731 and GPT-6 Astra rows remain separately named.</x:t>
        </x:is>
      </x:c>
    </x:row>
    <x:row r="27" s="14" customFormat="1">
      <x:c r="A27" t="inlineStr">
        <x:is>
          <x:t xml:space="preserve">Cost comparability</x:t>
        </x:is>
      </x:c>
      <x:c r="B27" t="inlineStr">
        <x:is>
          <x:t xml:space="preserve">CAI cost is pay-per-token API cost per coding-agent task. Muse Wonder Full showed $0.00 with “Comparison not available”; numeric CAI cost remains blank and is not interpreted as free.</x:t>
        </x:is>
      </x:c>
    </x:row>
    <x:row r="28" s="14" customFormat="1">
      <x:c r="A28" t="inlineStr">
        <x:is>
          <x:t xml:space="preserve">Gemini refresh (2026-10-17)</x:t>
        </x:is>
      </x:c>
      <x:c r="B28" t="inlineStr">
        <x:is>
          <x:t xml:space="preserve">Added current AA v4.3.2 snapshots for Gemini 3.8 Flash Low/Medium/High and Gemini 3.1 Pro Preview. Gemini 3.1 AA effort remains not stated; Gemini 4 Argon Low is API-supported but unscored. Gemini 3.5 Flash is retained only as a deprecated historical workbook row.</x:t>
        </x:is>
      </x:c>
    </x:row>
    <x:row r="29" s="14" customFormat="1">
      <x:c r="A29" t="inlineStr">
        <x:is>
          <x:t xml:space="preserve">Gemini 3.5 Flash scope</x:t>
        </x:is>
      </x:c>
      <x:c r="B29" t="inlineStr">
        <x:is>
          <x:t xml:space="preserve">Added Gemini 3.5 Flash High as a historical AA v4.3.2 row in Model_Catalog, Model_Variants, and Test_Runs. Google marks the endpoint deprecated and auto-routes requests to Gemini 3.6 Flash. It is intentionally absent from Chart_Data_Reviewed and the Explorer chart data.</x:t>
        </x:is>
      </x:c>
    </x:row>
    <x:row r="30" s="14" customFormat="1">
      <x:c r="A30" t="inlineStr">
        <x:is>
          <x:t xml:space="preserve">Gemini source file</x:t>
        </x:is>
      </x:c>
      <x:c r="B30" t="inlineStr">
        <x:is>
          <x:t xml:space="preserve">See sources/gemini-refresh-2026-10-17.json for dated values, source URLs, missing-field checks, and source notes. The direct AA model page is authoritative for current summary metrics; conflicting live comparison-page timing values remain unimported.</x:t>
        </x:is>
      </x:c>
    </x:row>
    <x:row r="31">
      <x:c r="A31" t="inlineStr">
        <x:is>
          <x:t xml:space="preserve">CAI Gemini refresh (2026-10-17)</x:t>
        </x:is>
      </x:c>
      <x:c r="B31" t="inlineStr">
        <x:is>
          <x:t xml:space="preserve">Added Gemini 3.8 Flash High in CAI v1.5: Antigravity SDK, score 42, components 66/15/45%, $2.47, 11.7m, 13.5M tokens. Added Gemini 3.1 Pro High in historical CAI v1.4: Gemini CLI, score 33, DeepSWE 14%, Terminal-Bench v2.1 76%, SWE-Atlas-QnA 9%, $1.04, 11.1m, 4.7M tokens. No v1.5 result was found for Gemini 3.1 Pro, and no public CAI row was found for Gemini 3.5 Flash or Gemini 3.8 Low/Medium. Keep v1.4 separate; its components do not match v1.5.</x:t>
        </x:is>
      </x:c>
    </x:row>
    <x:row r="32">
      <x:c r="A32" t="inlineStr">
        <x:is>
          <x:t xml:space="preserve">CAI coverage audit (2026-10-17)</x:t>
        </x:is>
      </x:c>
      <x:c r="B32" t="inlineStr">
        <x:is>
          <x:t xml:space="preserve">See Coding_Agent_Coverage for the full family-by-effort search across 18 Explorer families and workbook-only Gemini 3.5 Flash. Forty-two current index rows were scanned; all 26 existing v1.5 observations were found. Gemini 3.1 Pro remains because CAI v1.4 explicitly labels its finding High. The current Argon display-label/effort-field conflict is documented without an effort assignment.</x:t>
        </x:is>
      </x:c>
    </x:row>
  </x:sheetData>
  <x:mergeCells>
    <x:mergeCell ref="A1:H1"/>
  </x:mergeCells>
  <x:pageMargins left="0.7" right="0.7" top="0.75" bottom="0.75" header="0.3" footer="0.3"/>
</x:worksheet>
</file>

<file path=xl/worksheets/sheet34.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32" style="14" customWidth="1"/>
    <x:col min="2" max="2" width="32" style="14" customWidth="1"/>
    <x:col min="3" max="3" width="26" style="14" customWidth="1"/>
    <x:col min="4" max="4" width="22" style="14" customWidth="1"/>
    <x:col min="5" max="5" width="34" style="14" customWidth="1"/>
    <x:col min="6" max="6" width="12" style="14" customWidth="1"/>
    <x:col min="7" max="7" width="14" style="14" customWidth="1"/>
    <x:col min="8" max="8" width="16" style="14" customWidth="1"/>
    <x:col min="9" max="9" width="14" style="14" customWidth="1"/>
    <x:col min="10" max="10" width="30" style="14" customWidth="1"/>
    <x:col min="11" max="11" width="20" style="14" customWidth="1"/>
    <x:col min="12" max="12" width="18" style="14" customWidth="1"/>
    <x:col min="13" max="13" width="54" style="14" customWidth="1"/>
    <x:col min="14" max="14" width="66" style="14" customWidth="1"/>
    <x:col min="15" max="15" width="54" style="14" customWidth="1"/>
    <x:col min="16" max="16" width="54" style="14" customWidth="1"/>
    <x:col min="17" max="17" width="18" style="14" customWidth="1"/>
  </x:cols>
  <x:sheetData>
    <x:row r="1" s="14" customFormat="1" ht="36" customHeight="1">
      <x:c r="A1" s="64" t="inlineStr">
        <x:is>
          <x:t xml:space="preserve">followup_id</x:t>
        </x:is>
      </x:c>
      <x:c r="B1" s="64" t="inlineStr">
        <x:is>
          <x:t xml:space="preserve">model_key</x:t>
        </x:is>
      </x:c>
      <x:c r="C1" s="64" t="inlineStr">
        <x:is>
          <x:t xml:space="preserve">family</x:t>
        </x:is>
      </x:c>
      <x:c r="D1" s="64" t="inlineStr">
        <x:is>
          <x:t xml:space="preserve">item_type</x:t>
        </x:is>
      </x:c>
      <x:c r="E1" s="64" t="inlineStr">
        <x:is>
          <x:t xml:space="preserve">gap_type</x:t>
        </x:is>
      </x:c>
      <x:c r="F1" s="64" t="inlineStr">
        <x:is>
          <x:t xml:space="preserve">status</x:t>
        </x:is>
      </x:c>
      <x:c r="G1" s="64" t="inlineStr">
        <x:is>
          <x:t xml:space="preserve">opened_date</x:t>
        </x:is>
      </x:c>
      <x:c r="H1" s="64" t="inlineStr">
        <x:is>
          <x:t xml:space="preserve">last_checked_date</x:t>
        </x:is>
      </x:c>
      <x:c r="I1" s="64" t="inlineStr">
        <x:is>
          <x:t xml:space="preserve">next_check_date</x:t>
        </x:is>
      </x:c>
      <x:c r="J1" s="64" t="inlineStr">
        <x:is>
          <x:t xml:space="preserve">benchmark_name</x:t>
        </x:is>
      </x:c>
      <x:c r="K1" s="64" t="inlineStr">
        <x:is>
          <x:t xml:space="preserve">benchmark_version</x:t>
        </x:is>
      </x:c>
      <x:c r="L1" s="64" t="inlineStr">
        <x:is>
          <x:t xml:space="preserve">effort</x:t>
        </x:is>
      </x:c>
      <x:c r="M1" s="64" t="inlineStr">
        <x:is>
          <x:t xml:space="preserve">missing_evidence</x:t>
        </x:is>
      </x:c>
      <x:c r="N1" s="64" t="inlineStr">
        <x:is>
          <x:t xml:space="preserve">closure_criteria</x:t>
        </x:is>
      </x:c>
      <x:c r="O1" s="64" t="inlineStr">
        <x:is>
          <x:t xml:space="preserve">source_refs</x:t>
        </x:is>
      </x:c>
      <x:c r="P1" s="64" t="inlineStr">
        <x:is>
          <x:t xml:space="preserve">last_check_result</x:t>
        </x:is>
      </x:c>
      <x:c r="Q1" s="64" t="inlineStr">
        <x:is>
          <x:t xml:space="preserve">owner</x:t>
        </x:is>
      </x:c>
    </x:row>
    <x:row r="2">
      <x:c r="A2" s="65" t="inlineStr">
        <x:is>
          <x:t xml:space="preserve">BF-GPT6-LUNA-QUAL-PROVENANCE</x:t>
        </x:is>
      </x:c>
      <x:c r="B2" s="65" t="inlineStr">
        <x:is>
          <x:t xml:space="preserve">openai|gpt-6-luna</x:t>
        </x:is>
      </x:c>
      <x:c r="C2" s="65" t="inlineStr">
        <x:is>
          <x:t xml:space="preserve">GPT-6 Luna</x:t>
        </x:is>
      </x:c>
      <x:c r="D2" s="65" t="inlineStr">
        <x:is>
          <x:t xml:space="preserve">existing model</x:t>
        </x:is>
      </x:c>
      <x:c r="E2" s="65" t="inlineStr">
        <x:is>
          <x:t xml:space="preserve">qualitative provenance</x:t>
        </x:is>
      </x:c>
      <x:c r="F2" s="65" t="inlineStr">
        <x:is>
          <x:t xml:space="preserve">OPEN</x:t>
        </x:is>
      </x:c>
      <x:c r="G2" s="65" t="inlineStr">
        <x:is>
          <x:t xml:space="preserve">2026-10-11</x:t>
        </x:is>
      </x:c>
      <x:c r="H2" s="65" t="inlineStr">
        <x:is>
          <x:t xml:space="preserve">2026-10-16</x:t>
        </x:is>
      </x:c>
      <x:c r="I2" s="65" t="inlineStr">
        <x:is>
          <x:t xml:space="preserve">2026-10-19</x:t>
        </x:is>
      </x:c>
      <x:c r="J2" s="65" t="n"/>
      <x:c r="K2" s="65" t="n"/>
      <x:c r="L2" s="65" t="inlineStr">
        <x:is>
          <x:t xml:space="preserve">all</x:t>
        </x:is>
      </x:c>
      <x:c r="M2" s="65" t="inlineStr">
        <x:is>
          <x:t xml:space="preserve">Existing 1–5 role and behavior ratings have no source URLs or assessment protocol attached.</x:t>
        </x:is>
      </x:c>
      <x:c r="N2" s="65" t="inlineStr">
        <x:is>
          <x:t xml:space="preserve">Attach dated evidence for each qualitative judgment, label first-party vs independent evidence, and document the assessment method/confidence. Close only after the workbook has source lineage and a dated review.</x:t>
        </x:is>
      </x:c>
      <x:c r="O2" s="65" t="inlineStr">
        <x:is>
          <x:t xml:space="preserve">https://artificialanalysis.ai/models/gpt-6-luna; https://openai.com/index/gpt-6-astra/</x:t>
        </x:is>
      </x:c>
      <x:c r="P2" s="65" t="inlineStr">
        <x:is>
          <x:t xml:space="preserve">Direct primary/benchmark sources revisited. No new independently sourced qualitative task assessment; existing gap remains OPEN.</x:t>
        </x:is>
      </x:c>
      <x:c r="Q2" s="65" t="inlineStr">
        <x:is>
          <x:t xml:space="preserve">AInventory</x:t>
        </x:is>
      </x:c>
    </x:row>
    <x:row r="3">
      <x:c r="A3" s="65" t="inlineStr">
        <x:is>
          <x:t xml:space="preserve">BF-GPT6-SOL-QUAL-PROVENANCE</x:t>
        </x:is>
      </x:c>
      <x:c r="B3" s="65" t="inlineStr">
        <x:is>
          <x:t xml:space="preserve">openai|gpt-6-sol</x:t>
        </x:is>
      </x:c>
      <x:c r="C3" s="65" t="inlineStr">
        <x:is>
          <x:t xml:space="preserve">GPT-6 Sol</x:t>
        </x:is>
      </x:c>
      <x:c r="D3" s="65" t="inlineStr">
        <x:is>
          <x:t xml:space="preserve">existing model</x:t>
        </x:is>
      </x:c>
      <x:c r="E3" s="65" t="inlineStr">
        <x:is>
          <x:t xml:space="preserve">qualitative provenance</x:t>
        </x:is>
      </x:c>
      <x:c r="F3" s="65" t="inlineStr">
        <x:is>
          <x:t xml:space="preserve">OPEN</x:t>
        </x:is>
      </x:c>
      <x:c r="G3" s="65" t="inlineStr">
        <x:is>
          <x:t xml:space="preserve">2026-10-11</x:t>
        </x:is>
      </x:c>
      <x:c r="H3" s="65" t="inlineStr">
        <x:is>
          <x:t xml:space="preserve">2026-10-16</x:t>
        </x:is>
      </x:c>
      <x:c r="I3" s="65" t="inlineStr">
        <x:is>
          <x:t xml:space="preserve">2026-10-19</x:t>
        </x:is>
      </x:c>
      <x:c r="J3" s="65" t="n"/>
      <x:c r="K3" s="65" t="n"/>
      <x:c r="L3" s="65" t="inlineStr">
        <x:is>
          <x:t xml:space="preserve">all</x:t>
        </x:is>
      </x:c>
      <x:c r="M3" s="65" t="inlineStr">
        <x:is>
          <x:t xml:space="preserve">Existing 1–5 role and behavior ratings have no source URLs or assessment protocol attached.</x:t>
        </x:is>
      </x:c>
      <x:c r="N3" s="65" t="inlineStr">
        <x:is>
          <x:t xml:space="preserve">Attach dated evidence for each qualitative judgment, label first-party vs independent evidence, and document the assessment method/confidence. Close only after the workbook has source lineage and a dated review.</x:t>
        </x:is>
      </x:c>
      <x:c r="O3" s="65" t="inlineStr">
        <x:is>
          <x:t xml:space="preserve">https://artificialanalysis.ai/models/gpt-6-sol; https://openai.com/index/gpt-6-astra/</x:t>
        </x:is>
      </x:c>
      <x:c r="P3" s="65" t="inlineStr">
        <x:is>
          <x:t xml:space="preserve">Direct primary/benchmark sources revisited. No new independently sourced qualitative task assessment; existing gap remains OPEN.</x:t>
        </x:is>
      </x:c>
      <x:c r="Q3" s="65" t="inlineStr">
        <x:is>
          <x:t xml:space="preserve">AInventory</x:t>
        </x:is>
      </x:c>
    </x:row>
    <x:row r="4">
      <x:c r="A4" s="65" t="inlineStr">
        <x:is>
          <x:t xml:space="preserve">BF-GPT6-ASTRA-QUAL-PROVENANCE</x:t>
        </x:is>
      </x:c>
      <x:c r="B4" s="65" t="inlineStr">
        <x:is>
          <x:t xml:space="preserve">openai|gpt-6-astra</x:t>
        </x:is>
      </x:c>
      <x:c r="C4" s="65" t="inlineStr">
        <x:is>
          <x:t xml:space="preserve">GPT-6 Astra</x:t>
        </x:is>
      </x:c>
      <x:c r="D4" s="65" t="inlineStr">
        <x:is>
          <x:t xml:space="preserve">existing model</x:t>
        </x:is>
      </x:c>
      <x:c r="E4" s="65" t="inlineStr">
        <x:is>
          <x:t xml:space="preserve">qualitative provenance</x:t>
        </x:is>
      </x:c>
      <x:c r="F4" s="65" t="inlineStr">
        <x:is>
          <x:t xml:space="preserve">OPEN</x:t>
        </x:is>
      </x:c>
      <x:c r="G4" s="65" t="inlineStr">
        <x:is>
          <x:t xml:space="preserve">2026-10-11</x:t>
        </x:is>
      </x:c>
      <x:c r="H4" s="65" t="inlineStr">
        <x:is>
          <x:t xml:space="preserve">2026-10-16</x:t>
        </x:is>
      </x:c>
      <x:c r="I4" s="65" t="inlineStr">
        <x:is>
          <x:t xml:space="preserve">2026-10-19</x:t>
        </x:is>
      </x:c>
      <x:c r="J4" s="65" t="n"/>
      <x:c r="K4" s="65" t="n"/>
      <x:c r="L4" s="65" t="inlineStr">
        <x:is>
          <x:t xml:space="preserve">all</x:t>
        </x:is>
      </x:c>
      <x:c r="M4" s="65" t="inlineStr">
        <x:is>
          <x:t xml:space="preserve">Existing 1–5 role and behavior ratings have no source URLs or assessment protocol attached.</x:t>
        </x:is>
      </x:c>
      <x:c r="N4" s="65" t="inlineStr">
        <x:is>
          <x:t xml:space="preserve">Attach dated evidence for each qualitative judgment, label first-party vs independent evidence, and document the assessment method/confidence. Close only after the workbook has source lineage and a dated review.</x:t>
        </x:is>
      </x:c>
      <x:c r="O4" s="65" t="inlineStr">
        <x:is>
          <x:t xml:space="preserve">https://artificialanalysis.ai/models/gpt-6-astra; https://openai.com/index/gpt-6-astra/</x:t>
        </x:is>
      </x:c>
      <x:c r="P4" s="65" t="inlineStr">
        <x:is>
          <x:t xml:space="preserve">Direct primary/benchmark sources revisited. No new independently sourced qualitative task assessment; existing gap remains OPEN.</x:t>
        </x:is>
      </x:c>
      <x:c r="Q4" s="65" t="inlineStr">
        <x:is>
          <x:t xml:space="preserve">AInventory</x:t>
        </x:is>
      </x:c>
    </x:row>
    <x:row r="5">
      <x:c r="A5" s="65" t="inlineStr">
        <x:is>
          <x:t xml:space="preserve">BF-GPT6-LUNA-QUANT-REFRESH</x:t>
        </x:is>
      </x:c>
      <x:c r="B5" s="65" t="inlineStr">
        <x:is>
          <x:t xml:space="preserve">openai|gpt-6-luna</x:t>
        </x:is>
      </x:c>
      <x:c r="C5" s="65" t="inlineStr">
        <x:is>
          <x:t xml:space="preserve">GPT-6 Luna</x:t>
        </x:is>
      </x:c>
      <x:c r="D5" s="65" t="inlineStr">
        <x:is>
          <x:t xml:space="preserve">existing model</x:t>
        </x:is>
      </x:c>
      <x:c r="E5" s="65" t="inlineStr">
        <x:is>
          <x:t xml:space="preserve">quantitative freshness / missing metrics</x:t>
        </x:is>
      </x:c>
      <x:c r="F5" s="65" t="inlineStr">
        <x:is>
          <x:t xml:space="preserve">OPEN</x:t>
        </x:is>
      </x:c>
      <x:c r="G5" s="65" t="inlineStr">
        <x:is>
          <x:t xml:space="preserve">2026-10-11</x:t>
        </x:is>
      </x:c>
      <x:c r="H5" s="65" t="inlineStr">
        <x:is>
          <x:t xml:space="preserve">2026-10-16</x:t>
        </x:is>
      </x:c>
      <x:c r="I5" s="65" t="inlineStr">
        <x:is>
          <x:t xml:space="preserve">2026-10-19</x:t>
        </x:is>
      </x:c>
      <x:c r="J5" s="65" t="inlineStr">
        <x:is>
          <x:t xml:space="preserve">Artificial Analysis Intelligence Index</x:t>
        </x:is>
      </x:c>
      <x:c r="K5" s="65" t="inlineStr">
        <x:is>
          <x:t xml:space="preserve">v4.3.2</x:t>
        </x:is>
      </x:c>
      <x:c r="L5" s="65" t="inlineStr">
        <x:is>
          <x:t xml:space="preserve">all efforts</x:t>
        </x:is>
      </x:c>
      <x:c r="M5" s="65" t="inlineStr">
        <x:is>
          <x:t xml:space="preserve">Latest stored GPT-6 Luna snapshot is 2026-09-28; some effort rows omit output speed, TTFT, or other timing values.</x:t>
        </x:is>
      </x:c>
      <x:c r="N5"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5" s="65" t="inlineStr">
        <x:is>
          <x:t xml:space="preserve">https://artificialanalysis.ai/models/gpt-6-luna</x:t>
        </x:is>
      </x:c>
      <x:c r="P5" s="65" t="inlineStr">
        <x:is>
          <x:t xml:space="preserve">All listed effort pages reviewed 2026-10-16 and snapshots imported. Medium Luna speed/latency and actual benchmark execution dates remain unavailable; keep OPEN.</x:t>
        </x:is>
      </x:c>
      <x:c r="Q5" s="65" t="inlineStr">
        <x:is>
          <x:t xml:space="preserve">AInventory</x:t>
        </x:is>
      </x:c>
    </x:row>
    <x:row r="6">
      <x:c r="A6" s="65" t="inlineStr">
        <x:is>
          <x:t xml:space="preserve">BF-GPT6-SOL-QUANT-REFRESH</x:t>
        </x:is>
      </x:c>
      <x:c r="B6" s="65" t="inlineStr">
        <x:is>
          <x:t xml:space="preserve">openai|gpt-6-sol</x:t>
        </x:is>
      </x:c>
      <x:c r="C6" s="65" t="inlineStr">
        <x:is>
          <x:t xml:space="preserve">GPT-6 Sol</x:t>
        </x:is>
      </x:c>
      <x:c r="D6" s="65" t="inlineStr">
        <x:is>
          <x:t xml:space="preserve">existing model</x:t>
        </x:is>
      </x:c>
      <x:c r="E6" s="65" t="inlineStr">
        <x:is>
          <x:t xml:space="preserve">quantitative freshness / missing metrics</x:t>
        </x:is>
      </x:c>
      <x:c r="F6" s="65" t="inlineStr">
        <x:is>
          <x:t xml:space="preserve">OPEN</x:t>
        </x:is>
      </x:c>
      <x:c r="G6" s="65" t="inlineStr">
        <x:is>
          <x:t xml:space="preserve">2026-10-11</x:t>
        </x:is>
      </x:c>
      <x:c r="H6" s="65" t="inlineStr">
        <x:is>
          <x:t xml:space="preserve">2026-10-16</x:t>
        </x:is>
      </x:c>
      <x:c r="I6" s="65" t="inlineStr">
        <x:is>
          <x:t xml:space="preserve">2026-10-19</x:t>
        </x:is>
      </x:c>
      <x:c r="J6" s="65" t="inlineStr">
        <x:is>
          <x:t xml:space="preserve">Artificial Analysis Intelligence Index</x:t>
        </x:is>
      </x:c>
      <x:c r="K6" s="65" t="inlineStr">
        <x:is>
          <x:t xml:space="preserve">v4.3.2</x:t>
        </x:is>
      </x:c>
      <x:c r="L6" s="65" t="inlineStr">
        <x:is>
          <x:t xml:space="preserve">all efforts</x:t>
        </x:is>
      </x:c>
      <x:c r="M6" s="65" t="inlineStr">
        <x:is>
          <x:t xml:space="preserve">Latest stored GPT-6 Sol snapshot is 2026-09-28; medium and other effort rows omit some public speed/latency/task timing values.</x:t>
        </x:is>
      </x:c>
      <x:c r="N6"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6" s="65" t="inlineStr">
        <x:is>
          <x:t xml:space="preserve">https://artificialanalysis.ai/models/gpt-6-sol</x:t>
        </x:is>
      </x:c>
      <x:c r="P6" s="65" t="inlineStr">
        <x:is>
          <x:t xml:space="preserve">Appended verified Max v4.3.2 snapshot; other efforts and actual evaluation date remain unverified. Keep OPEN.</x:t>
        </x:is>
      </x:c>
      <x:c r="Q6" s="65" t="inlineStr">
        <x:is>
          <x:t xml:space="preserve">AInventory</x:t>
        </x:is>
      </x:c>
    </x:row>
    <x:row r="7">
      <x:c r="A7" s="65" t="inlineStr">
        <x:is>
          <x:t xml:space="preserve">BF-GPT6-ASTRA-QUANT-REFRESH</x:t>
        </x:is>
      </x:c>
      <x:c r="B7" s="65" t="inlineStr">
        <x:is>
          <x:t xml:space="preserve">openai|gpt-6-astra</x:t>
        </x:is>
      </x:c>
      <x:c r="C7" s="65" t="inlineStr">
        <x:is>
          <x:t xml:space="preserve">GPT-6 Astra</x:t>
        </x:is>
      </x:c>
      <x:c r="D7" s="65" t="inlineStr">
        <x:is>
          <x:t xml:space="preserve">existing model</x:t>
        </x:is>
      </x:c>
      <x:c r="E7" s="65" t="inlineStr">
        <x:is>
          <x:t xml:space="preserve">quantitative freshness / missing metrics</x:t>
        </x:is>
      </x:c>
      <x:c r="F7" s="65" t="inlineStr">
        <x:is>
          <x:t xml:space="preserve">OPEN</x:t>
        </x:is>
      </x:c>
      <x:c r="G7" s="65" t="inlineStr">
        <x:is>
          <x:t xml:space="preserve">2026-10-11</x:t>
        </x:is>
      </x:c>
      <x:c r="H7" s="65" t="inlineStr">
        <x:is>
          <x:t xml:space="preserve">2026-10-16</x:t>
        </x:is>
      </x:c>
      <x:c r="I7" s="65" t="inlineStr">
        <x:is>
          <x:t xml:space="preserve">2026-10-19</x:t>
        </x:is>
      </x:c>
      <x:c r="J7" s="65" t="inlineStr">
        <x:is>
          <x:t xml:space="preserve">Artificial Analysis Intelligence Index</x:t>
        </x:is>
      </x:c>
      <x:c r="K7" s="65" t="inlineStr">
        <x:is>
          <x:t xml:space="preserve">v4.3.2</x:t>
        </x:is>
      </x:c>
      <x:c r="L7" s="65" t="inlineStr">
        <x:is>
          <x:t xml:space="preserve">all efforts</x:t>
        </x:is>
      </x:c>
      <x:c r="M7" s="65" t="inlineStr">
        <x:is>
          <x:t xml:space="preserve">Latest stored GPT-6 Astra snapshot is 2026-09-28; some effort-level speed, latency, task time, or token fields may be blank.</x:t>
        </x:is>
      </x:c>
      <x:c r="N7" s="65" t="inlineStr">
        <x:is>
          <x:t xml:space="preserve">Recheck every effort page. Append a dated snapshot and fill all public score, cost, speed, TTFT, token, and context fields. Leave genuinely unpublished fields blank and record that status. Close only when all effort rows have been reviewed against current direct pages.</x:t>
        </x:is>
      </x:c>
      <x:c r="O7" s="65" t="inlineStr">
        <x:is>
          <x:t xml:space="preserve">https://artificialanalysis.ai/models/gpt-6-astra</x:t>
        </x:is>
      </x:c>
      <x:c r="P7" s="65" t="inlineStr">
        <x:is>
          <x:t xml:space="preserve">All listed effort pages reviewed 2026-10-16 and snapshots imported. Medium Luna speed/latency and actual benchmark execution dates remain unavailable; keep OPEN.</x:t>
        </x:is>
      </x:c>
      <x:c r="Q7" s="65" t="inlineStr">
        <x:is>
          <x:t xml:space="preserve">AInventory</x:t>
        </x:is>
      </x:c>
    </x:row>
    <x:row r="8">
      <x:c r="A8" s="65" t="inlineStr">
        <x:is>
          <x:t xml:space="preserve">BF-GPT61-QUAL-ROLE-ASSESSMENT</x:t>
        </x:is>
      </x:c>
      <x:c r="B8" s="65" t="inlineStr">
        <x:is>
          <x:t xml:space="preserve">openai|gpt-6-1-sol</x:t>
        </x:is>
      </x:c>
      <x:c r="C8" s="65" t="inlineStr">
        <x:is>
          <x:t xml:space="preserve">GPT-6.1 Sol</x:t>
        </x:is>
      </x:c>
      <x:c r="D8" s="65" t="inlineStr">
        <x:is>
          <x:t xml:space="preserve">new model</x:t>
        </x:is>
      </x:c>
      <x:c r="E8" s="65" t="inlineStr">
        <x:is>
          <x:t xml:space="preserve">qualitative role assessment</x:t>
        </x:is>
      </x:c>
      <x:c r="F8" s="65" t="inlineStr">
        <x:is>
          <x:t xml:space="preserve">OPEN</x:t>
        </x:is>
      </x:c>
      <x:c r="G8" s="65" t="inlineStr">
        <x:is>
          <x:t xml:space="preserve">2026-10-11</x:t>
        </x:is>
      </x:c>
      <x:c r="H8" s="65" t="inlineStr">
        <x:is>
          <x:t xml:space="preserve">2026-10-16</x:t>
        </x:is>
      </x:c>
      <x:c r="I8" s="65" t="inlineStr">
        <x:is>
          <x:t xml:space="preserve">2026-10-19</x:t>
        </x:is>
      </x:c>
      <x:c r="J8" s="65" t="n"/>
      <x:c r="K8" s="65" t="n"/>
      <x:c r="L8" s="65" t="inlineStr">
        <x:is>
          <x:t xml:space="preserve">all efforts</x:t>
        </x:is>
      </x:c>
      <x:c r="M8" s="65" t="inlineStr">
        <x:is>
          <x:t xml:space="preserve">No independent role-by-role qualitative assessment; current qualitative row is explicitly Tracked with all numeric ratings blank.</x:t>
        </x:is>
      </x:c>
      <x:c r="N8" s="65" t="inlineStr">
        <x:is>
          <x:t xml:space="preserve">Complete a comparative, source-backed role assessment using multiple representative tasks and record methodology, dates, confidence, and evidence URLs. Do not fill ratings from vendor claims alone.</x:t>
        </x:is>
      </x:c>
      <x:c r="O8" s="65" t="inlineStr">
        <x:is>
          <x:t xml:space="preserve">https://openai.com/index/gpt-6-astra/; https://artificialanalysis.ai/models/gpt-6-1-sol</x:t>
        </x:is>
      </x:c>
      <x:c r="P8" s="65" t="inlineStr">
        <x:is>
          <x:t xml:space="preserve">Direct primary/benchmark sources revisited. No new independently sourced qualitative task assessment; existing gap remains OPEN.</x:t>
        </x:is>
      </x:c>
      <x:c r="Q8" s="65" t="inlineStr">
        <x:is>
          <x:t xml:space="preserve">AInventory</x:t>
        </x:is>
      </x:c>
    </x:row>
    <x:row r="9">
      <x:c r="A9" s="65" t="inlineStr">
        <x:is>
          <x:t xml:space="preserve">BF-ARGON-QUAL-ROLE-ASSESSMENT</x:t>
        </x:is>
      </x:c>
      <x:c r="B9" s="65" t="inlineStr">
        <x:is>
          <x:t xml:space="preserve">google|gemini-4-argon</x:t>
        </x:is>
      </x:c>
      <x:c r="C9" s="65" t="inlineStr">
        <x:is>
          <x:t xml:space="preserve">Gemini 4 Argon</x:t>
        </x:is>
      </x:c>
      <x:c r="D9" s="65" t="inlineStr">
        <x:is>
          <x:t xml:space="preserve">existing model</x:t>
        </x:is>
      </x:c>
      <x:c r="E9" s="65" t="inlineStr">
        <x:is>
          <x:t xml:space="preserve">qualitative role assessment</x:t>
        </x:is>
      </x:c>
      <x:c r="F9" s="65" t="inlineStr">
        <x:is>
          <x:t xml:space="preserve">OPEN</x:t>
        </x:is>
      </x:c>
      <x:c r="G9" s="65" t="inlineStr">
        <x:is>
          <x:t xml:space="preserve">2026-10-11</x:t>
        </x:is>
      </x:c>
      <x:c r="H9" s="65" t="inlineStr">
        <x:is>
          <x:t xml:space="preserve">2026-10-16</x:t>
        </x:is>
      </x:c>
      <x:c r="I9" s="65" t="inlineStr">
        <x:is>
          <x:t xml:space="preserve">2026-10-19</x:t>
        </x:is>
      </x:c>
      <x:c r="J9" s="65" t="n"/>
      <x:c r="K9" s="65" t="n"/>
      <x:c r="L9" s="65" t="inlineStr">
        <x:is>
          <x:t xml:space="preserve">high</x:t>
        </x:is>
      </x:c>
      <x:c r="M9" s="65" t="inlineStr">
        <x:is>
          <x:t xml:space="preserve">All role, behavior, instruction-following, and risk ratings are blank; vendor claims are present but are not independent qualitative findings.</x:t>
        </x:is>
      </x:c>
      <x:c r="N9" s="65" t="inlineStr">
        <x:is>
          <x:t xml:space="preserve">Assign no numeric ratings until limited-access testing or sufficiently independent, comparable evidence exists. Record trusted-defender access limitations and source lineage; close only after a dated assessment is saved.</x:t>
        </x:is>
      </x:c>
      <x:c r="O9" s="65" t="inlineStr">
        <x:is>
          <x:t xml:space="preserve">https://blog.google/innovation-and-ai/models-and-research/gemini-models/gemini-4-argon/; https://artificialanalysis.ai/models/gemini-4-argon</x:t>
        </x:is>
      </x:c>
      <x:c r="P9" s="65" t="inlineStr">
        <x:is>
          <x:t xml:space="preserve">Direct primary/benchmark sources revisited. No new independently sourced qualitative task assessment; existing gap remains OPEN.</x:t>
        </x:is>
      </x:c>
      <x:c r="Q9" s="65" t="inlineStr">
        <x:is>
          <x:t xml:space="preserve">AInventory</x:t>
        </x:is>
      </x:c>
    </x:row>
    <x:row r="10">
      <x:c r="A10" s="65" t="inlineStr">
        <x:is>
          <x:t xml:space="preserve">BF-ARGON-SPEED-LATENCY</x:t>
        </x:is>
      </x:c>
      <x:c r="B10" s="65" t="inlineStr">
        <x:is>
          <x:t xml:space="preserve">google|gemini-4-argon</x:t>
        </x:is>
      </x:c>
      <x:c r="C10" s="65" t="inlineStr">
        <x:is>
          <x:t xml:space="preserve">Gemini 4 Argon</x:t>
        </x:is>
      </x:c>
      <x:c r="D10" s="65" t="inlineStr">
        <x:is>
          <x:t xml:space="preserve">existing model</x:t>
        </x:is>
      </x:c>
      <x:c r="E10" s="65" t="inlineStr">
        <x:is>
          <x:t xml:space="preserve">quantitative speed / latency / benchmark date</x:t>
        </x:is>
      </x:c>
      <x:c r="F10" s="65" t="inlineStr">
        <x:is>
          <x:t xml:space="preserve">OPEN</x:t>
        </x:is>
      </x:c>
      <x:c r="G10" s="65" t="inlineStr">
        <x:is>
          <x:t xml:space="preserve">2026-10-11</x:t>
        </x:is>
      </x:c>
      <x:c r="H10" s="65" t="inlineStr">
        <x:is>
          <x:t xml:space="preserve">2026-10-16</x:t>
        </x:is>
      </x:c>
      <x:c r="I10" s="65" t="inlineStr">
        <x:is>
          <x:t xml:space="preserve">2026-10-19</x:t>
        </x:is>
      </x:c>
      <x:c r="J10" s="65" t="inlineStr">
        <x:is>
          <x:t xml:space="preserve">Artificial Analysis Intelligence Index</x:t>
        </x:is>
      </x:c>
      <x:c r="K10" s="65" t="inlineStr">
        <x:is>
          <x:t xml:space="preserve">v4.3.2</x:t>
        </x:is>
      </x:c>
      <x:c r="L10" s="65" t="inlineStr">
        <x:is>
          <x:t xml:space="preserve">high</x:t>
        </x:is>
      </x:c>
      <x:c r="M10" s="65" t="inlineStr">
        <x:is>
          <x:t xml:space="preserve">Public AA page reports score, task cost, pricing, context and token use; output speed and TTFT are unavailable. Actual benchmark execution date is not published.</x:t>
        </x:is>
      </x:c>
      <x:c r="N10" s="65" t="inlineStr">
        <x:is>
          <x:t xml:space="preserve">Recheck AA direct page on every eligible maintenance run. Append new snapshot when speed/latency or run date appears. Do not substitute vendor claims. Keep open while values remain unavailable.</x:t>
        </x:is>
      </x:c>
      <x:c r="O10" s="65" t="inlineStr">
        <x:is>
          <x:t xml:space="preserve">https://artificialanalysis.ai/models/gemini-4-argon/</x:t>
        </x:is>
      </x:c>
      <x:c r="P10" s="65" t="inlineStr">
        <x:is>
          <x:t xml:space="preserve">AA still reports speed N/A; latency and actual run date absent. Score53 and $1.99/task reconfirmed. Keep OPEN.</x:t>
        </x:is>
      </x:c>
      <x:c r="Q10" s="65" t="inlineStr">
        <x:is>
          <x:t xml:space="preserve">AInventory</x:t>
        </x:is>
      </x:c>
    </x:row>
    <x:row r="11">
      <x:c r="A11" s="65" t="inlineStr">
        <x:is>
          <x:t xml:space="preserve">BF-HAIKU-QUAL-ROLE-ASSESSMENT</x:t>
        </x:is>
      </x:c>
      <x:c r="B11" s="65" t="inlineStr">
        <x:is>
          <x:t xml:space="preserve">anthropic|claude-haiku-5-5</x:t>
        </x:is>
      </x:c>
      <x:c r="C11" s="65" t="inlineStr">
        <x:is>
          <x:t xml:space="preserve">Claude Haiku 5.5</x:t>
        </x:is>
      </x:c>
      <x:c r="D11" s="65" t="inlineStr">
        <x:is>
          <x:t xml:space="preserve">new model</x:t>
        </x:is>
      </x:c>
      <x:c r="E11" s="65" t="inlineStr">
        <x:is>
          <x:t xml:space="preserve">qualitative role assessment</x:t>
        </x:is>
      </x:c>
      <x:c r="F11" s="65" t="inlineStr">
        <x:is>
          <x:t xml:space="preserve">OPEN</x:t>
        </x:is>
      </x:c>
      <x:c r="G11" s="65" t="inlineStr">
        <x:is>
          <x:t xml:space="preserve">2026-10-11</x:t>
        </x:is>
      </x:c>
      <x:c r="H11" s="65" t="inlineStr">
        <x:is>
          <x:t xml:space="preserve">2026-10-16</x:t>
        </x:is>
      </x:c>
      <x:c r="I11" s="65" t="inlineStr">
        <x:is>
          <x:t xml:space="preserve">2026-10-19</x:t>
        </x:is>
      </x:c>
      <x:c r="J11" s="65" t="n"/>
      <x:c r="K11" s="65" t="n"/>
      <x:c r="L11" s="65" t="inlineStr">
        <x:is>
          <x:t xml:space="preserve">all efforts</x:t>
        </x:is>
      </x:c>
      <x:c r="M11" s="65" t="inlineStr">
        <x:is>
          <x:t xml:space="preserve">No independent role-by-role qualitative assessment; ratings remain blank.</x:t>
        </x:is>
      </x:c>
      <x:c r="N11" s="65" t="inlineStr">
        <x:is>
          <x:t xml:space="preserve">Run or collect a comparative task sample with source-backed findings and confidence. Do not use vendor language as an independent assessment. Close only when evidence and dated rating are stored.</x:t>
        </x:is>
      </x:c>
      <x:c r="O11" s="65" t="inlineStr">
        <x:is>
          <x:t xml:space="preserve">https://www.anthropic.com/claude-haiku-5-5; https://artificialanalysis.ai/models/claude-haiku-5-5</x:t>
        </x:is>
      </x:c>
      <x:c r="P11" s="65" t="inlineStr">
        <x:is>
          <x:t xml:space="preserve">Direct primary/benchmark sources revisited. No new independently sourced qualitative task assessment; existing gap remains OPEN.</x:t>
        </x:is>
      </x:c>
      <x:c r="Q11" s="65" t="inlineStr">
        <x:is>
          <x:t xml:space="preserve">AInventory</x:t>
        </x:is>
      </x:c>
    </x:row>
    <x:row r="12">
      <x:c r="A12" s="65" t="inlineStr">
        <x:is>
          <x:t xml:space="preserve">BF-MISTRAL-QUAL-ROLE-ASSESSMENT</x:t>
        </x:is>
      </x:c>
      <x:c r="B12" s="65" t="inlineStr">
        <x:is>
          <x:t xml:space="preserve">mistral|mistral-large-4-preview</x:t>
        </x:is>
      </x:c>
      <x:c r="C12" s="65" t="inlineStr">
        <x:is>
          <x:t xml:space="preserve">Mistral Large 4 Preview</x:t>
        </x:is>
      </x:c>
      <x:c r="D12" s="65" t="inlineStr">
        <x:is>
          <x:t xml:space="preserve">new model</x:t>
        </x:is>
      </x:c>
      <x:c r="E12" s="65" t="inlineStr">
        <x:is>
          <x:t xml:space="preserve">qualitative role assessment</x:t>
        </x:is>
      </x:c>
      <x:c r="F12" s="65" t="inlineStr">
        <x:is>
          <x:t xml:space="preserve">OPEN</x:t>
        </x:is>
      </x:c>
      <x:c r="G12" s="65" t="inlineStr">
        <x:is>
          <x:t xml:space="preserve">2026-10-11</x:t>
        </x:is>
      </x:c>
      <x:c r="H12" s="65" t="inlineStr">
        <x:is>
          <x:t xml:space="preserve">2026-10-16</x:t>
        </x:is>
      </x:c>
      <x:c r="I12" s="65" t="inlineStr">
        <x:is>
          <x:t xml:space="preserve">2026-10-19</x:t>
        </x:is>
      </x:c>
      <x:c r="J12" s="65" t="n"/>
      <x:c r="K12" s="65" t="n"/>
      <x:c r="L12" s="65" t="inlineStr">
        <x:is>
          <x:t xml:space="preserve">preview</x:t>
        </x:is>
      </x:c>
      <x:c r="M12" s="65" t="inlineStr">
        <x:is>
          <x:t xml:space="preserve">Public preview has no independent role-level qualitative assessment.</x:t>
        </x:is>
      </x:c>
      <x:c r="N12" s="65" t="inlineStr">
        <x:is>
          <x:t xml:space="preserve">Collect independent task samples after the preview stabilizes; document preview/API version, task/harness, and sources. Keep separate from weight-release status.</x:t>
        </x:is>
      </x:c>
      <x:c r="O12" s="65" t="inlineStr">
        <x:is>
          <x:t xml:space="preserve">https://mistral.ai/news/mistral-large-4/; https://artificialanalysis.ai/models/mistral-large-4/</x:t>
        </x:is>
      </x:c>
      <x:c r="P12" s="65" t="inlineStr">
        <x:is>
          <x:t xml:space="preserve">Direct primary/benchmark sources revisited. No new independently sourced qualitative task assessment; existing gap remains OPEN.</x:t>
        </x:is>
      </x:c>
      <x:c r="Q12" s="65" t="inlineStr">
        <x:is>
          <x:t xml:space="preserve">AInventory</x:t>
        </x:is>
      </x:c>
    </x:row>
    <x:row r="13">
      <x:c r="A13" s="65" t="inlineStr">
        <x:is>
          <x:t xml:space="preserve">BF-MISTRAL-SPEED-CONTEXT</x:t>
        </x:is>
      </x:c>
      <x:c r="B13" s="65" t="inlineStr">
        <x:is>
          <x:t xml:space="preserve">mistral|mistral-large-4-preview</x:t>
        </x:is>
      </x:c>
      <x:c r="C13" s="65" t="inlineStr">
        <x:is>
          <x:t xml:space="preserve">Mistral Large 4 Preview</x:t>
        </x:is>
      </x:c>
      <x:c r="D13" s="65" t="inlineStr">
        <x:is>
          <x:t xml:space="preserve">new model</x:t>
        </x:is>
      </x:c>
      <x:c r="E13" s="65" t="inlineStr">
        <x:is>
          <x:t xml:space="preserve">quantitative speed / context discrepancy</x:t>
        </x:is>
      </x:c>
      <x:c r="F13" s="65" t="inlineStr">
        <x:is>
          <x:t xml:space="preserve">OPEN</x:t>
        </x:is>
      </x:c>
      <x:c r="G13" s="65" t="inlineStr">
        <x:is>
          <x:t xml:space="preserve">2026-10-11</x:t>
        </x:is>
      </x:c>
      <x:c r="H13" s="65" t="inlineStr">
        <x:is>
          <x:t xml:space="preserve">2026-10-16</x:t>
        </x:is>
      </x:c>
      <x:c r="I13" s="65" t="inlineStr">
        <x:is>
          <x:t xml:space="preserve">2026-10-19</x:t>
        </x:is>
      </x:c>
      <x:c r="J13" s="65" t="inlineStr">
        <x:is>
          <x:t xml:space="preserve">Artificial Analysis Intelligence Index</x:t>
        </x:is>
      </x:c>
      <x:c r="K13" s="65" t="inlineStr">
        <x:is>
          <x:t xml:space="preserve">v4.3.2</x:t>
        </x:is>
      </x:c>
      <x:c r="L13" s="65" t="inlineStr">
        <x:is>
          <x:t xml:space="preserve">reasoning</x:t>
        </x:is>
      </x:c>
      <x:c r="M13" s="65" t="inlineStr">
        <x:is>
          <x:t xml:space="preserve">AA page reports output speed N/A, and page summary says 524k context while FAQ rounds to 520k; no benchmark run date.</x:t>
        </x:is>
      </x:c>
      <x:c r="N13" s="65" t="inlineStr">
        <x:is>
          <x:t xml:space="preserve">Recheck the direct page and official Mistral API specs. Add speed only when reported; resolve and source exact context limit; preserve published N/A otherwise.</x:t>
        </x:is>
      </x:c>
      <x:c r="O13" s="65" t="inlineStr">
        <x:is>
          <x:t xml:space="preserve">https://artificialanalysis.ai/models/mistral-large-4/; https://mistral.ai/news/mistral-large-4/</x:t>
        </x:is>
      </x:c>
      <x:c r="P13" s="65" t="inlineStr">
        <x:is>
          <x:t xml:space="preserve">AA speed remains N/A; summary524k/FAQ520k context discrepancy unresolved. Keep OPEN.</x:t>
        </x:is>
      </x:c>
      <x:c r="Q13" s="65" t="inlineStr">
        <x:is>
          <x:t xml:space="preserve">AInventory</x:t>
        </x:is>
      </x:c>
    </x:row>
    <x:row r="14">
      <x:c r="A14" s="65" t="inlineStr">
        <x:is>
          <x:t xml:space="preserve">BF-GROK-QUAL-ROLE-ASSESSMENT</x:t>
        </x:is>
      </x:c>
      <x:c r="B14" s="65" t="inlineStr">
        <x:is>
          <x:t xml:space="preserve">spacexai|grok-4-7</x:t>
        </x:is>
      </x:c>
      <x:c r="C14" s="65" t="inlineStr">
        <x:is>
          <x:t xml:space="preserve">Grok 4.7</x:t>
        </x:is>
      </x:c>
      <x:c r="D14" s="65" t="inlineStr">
        <x:is>
          <x:t xml:space="preserve">new model</x:t>
        </x:is>
      </x:c>
      <x:c r="E14" s="65" t="inlineStr">
        <x:is>
          <x:t xml:space="preserve">qualitative role assessment</x:t>
        </x:is>
      </x:c>
      <x:c r="F14" s="65" t="inlineStr">
        <x:is>
          <x:t xml:space="preserve">OPEN</x:t>
        </x:is>
      </x:c>
      <x:c r="G14" s="65" t="inlineStr">
        <x:is>
          <x:t xml:space="preserve">2026-10-11</x:t>
        </x:is>
      </x:c>
      <x:c r="H14" s="65" t="inlineStr">
        <x:is>
          <x:t xml:space="preserve">2026-10-16</x:t>
        </x:is>
      </x:c>
      <x:c r="I14" s="65" t="inlineStr">
        <x:is>
          <x:t xml:space="preserve">2026-10-19</x:t>
        </x:is>
      </x:c>
      <x:c r="J14" s="65" t="n"/>
      <x:c r="K14" s="65" t="n"/>
      <x:c r="L14" s="65" t="inlineStr">
        <x:is>
          <x:t xml:space="preserve">xhigh</x:t>
        </x:is>
      </x:c>
      <x:c r="M14" s="65" t="inlineStr">
        <x:is>
          <x:t xml:space="preserve">No independent role-level qualitative assessment.</x:t>
        </x:is>
      </x:c>
      <x:c r="N14" s="65" t="inlineStr">
        <x:is>
          <x:t xml:space="preserve">Compare representative coding, planning, reviewer, and non-coding tasks; store dates, version, evidence URLs, and confidence.</x:t>
        </x:is>
      </x:c>
      <x:c r="O14" s="65" t="inlineStr">
        <x:is>
          <x:t xml:space="preserve">https://x.ai/news/grok-4-7; https://artificialanalysis.ai/models/grok-4-7</x:t>
        </x:is>
      </x:c>
      <x:c r="P14" s="65" t="inlineStr">
        <x:is>
          <x:t xml:space="preserve">Direct primary/benchmark sources revisited. No new independently sourced qualitative task assessment; existing gap remains OPEN.</x:t>
        </x:is>
      </x:c>
      <x:c r="Q14" s="65" t="inlineStr">
        <x:is>
          <x:t xml:space="preserve">AInventory</x:t>
        </x:is>
      </x:c>
    </x:row>
    <x:row r="15">
      <x:c r="A15" s="65" t="inlineStr">
        <x:is>
          <x:t xml:space="preserve">BF-GROK-LATENCY</x:t>
        </x:is>
      </x:c>
      <x:c r="B15" s="65" t="inlineStr">
        <x:is>
          <x:t xml:space="preserve">spacexai|grok-4-7</x:t>
        </x:is>
      </x:c>
      <x:c r="C15" s="65" t="inlineStr">
        <x:is>
          <x:t xml:space="preserve">Grok 4.7</x:t>
        </x:is>
      </x:c>
      <x:c r="D15" s="65" t="inlineStr">
        <x:is>
          <x:t xml:space="preserve">new model</x:t>
        </x:is>
      </x:c>
      <x:c r="E15" s="65" t="inlineStr">
        <x:is>
          <x:t xml:space="preserve">quantitative latency / run date</x:t>
        </x:is>
      </x:c>
      <x:c r="F15" s="65" t="inlineStr">
        <x:is>
          <x:t xml:space="preserve">OPEN</x:t>
        </x:is>
      </x:c>
      <x:c r="G15" s="65" t="inlineStr">
        <x:is>
          <x:t xml:space="preserve">2026-10-11</x:t>
        </x:is>
      </x:c>
      <x:c r="H15" s="65" t="inlineStr">
        <x:is>
          <x:t xml:space="preserve">2026-10-16</x:t>
        </x:is>
      </x:c>
      <x:c r="I15" s="65" t="inlineStr">
        <x:is>
          <x:t xml:space="preserve">2026-10-19</x:t>
        </x:is>
      </x:c>
      <x:c r="J15" s="65" t="inlineStr">
        <x:is>
          <x:t xml:space="preserve">Artificial Analysis Intelligence Index</x:t>
        </x:is>
      </x:c>
      <x:c r="K15" s="65" t="inlineStr">
        <x:is>
          <x:t xml:space="preserve">v4.3.2</x:t>
        </x:is>
      </x:c>
      <x:c r="L15" s="65" t="inlineStr">
        <x:is>
          <x:t xml:space="preserve">xhigh</x:t>
        </x:is>
      </x:c>
      <x:c r="M15" s="65" t="inlineStr">
        <x:is>
          <x:t xml:space="preserve">Current AA page does not provide TTFT or actual test-run date.</x:t>
        </x:is>
      </x:c>
      <x:c r="N15" s="65" t="inlineStr">
        <x:is>
          <x:t xml:space="preserve">Recheck direct AA page; add only published API TTFT and run date. Preserve blank when unavailable.</x:t>
        </x:is>
      </x:c>
      <x:c r="O15" s="65" t="inlineStr">
        <x:is>
          <x:t xml:space="preserve">https://artificialanalysis.ai/models/grok-4-7</x:t>
        </x:is>
      </x:c>
      <x:c r="P15" s="65" t="inlineStr">
        <x:is>
          <x:t xml:space="preserve">AA FAQ now reports TTFT49.03s, speed101.6t/s; appended snapshot. Actual run date absent. Keep OPEN.</x:t>
        </x:is>
      </x:c>
      <x:c r="Q15" s="65" t="inlineStr">
        <x:is>
          <x:t xml:space="preserve">AInventory</x:t>
        </x:is>
      </x:c>
    </x:row>
    <x:row r="16">
      <x:c r="A16" s="65" t="inlineStr">
        <x:is>
          <x:t xml:space="preserve">BF-SOLAR-CONTEXT</x:t>
        </x:is>
      </x:c>
      <x:c r="B16" s="65" t="inlineStr">
        <x:is>
          <x:t xml:space="preserve">upstage|solar-mini-4</x:t>
        </x:is>
      </x:c>
      <x:c r="C16" s="65" t="inlineStr">
        <x:is>
          <x:t xml:space="preserve">Solar Mini 4</x:t>
        </x:is>
      </x:c>
      <x:c r="D16" s="65" t="inlineStr">
        <x:is>
          <x:t xml:space="preserve">new model</x:t>
        </x:is>
      </x:c>
      <x:c r="E16" s="65" t="inlineStr">
        <x:is>
          <x:t xml:space="preserve">context-window source conflict</x:t>
        </x:is>
      </x:c>
      <x:c r="F16" s="65" t="inlineStr">
        <x:is>
          <x:t xml:space="preserve">OPEN</x:t>
        </x:is>
      </x:c>
      <x:c r="G16" s="65" t="inlineStr">
        <x:is>
          <x:t xml:space="preserve">2026-10-11</x:t>
        </x:is>
      </x:c>
      <x:c r="H16" s="65" t="inlineStr">
        <x:is>
          <x:t xml:space="preserve">2026-10-16</x:t>
        </x:is>
      </x:c>
      <x:c r="I16" s="65" t="inlineStr">
        <x:is>
          <x:t xml:space="preserve">2026-10-19</x:t>
        </x:is>
      </x:c>
      <x:c r="J16" s="65" t="inlineStr">
        <x:is>
          <x:t xml:space="preserve">Artificial Analysis Intelligence Index</x:t>
        </x:is>
      </x:c>
      <x:c r="K16" s="65" t="inlineStr">
        <x:is>
          <x:t xml:space="preserve">v4.3.2</x:t>
        </x:is>
      </x:c>
      <x:c r="L16" s="65" t="inlineStr">
        <x:is>
          <x:t xml:space="preserve">reasoning</x:t>
        </x:is>
      </x:c>
      <x:c r="M16" s="65" t="inlineStr">
        <x:is>
          <x:t xml:space="preserve">AA model page says 1M context; Upstage official October 1 launch page says 512K context.</x:t>
        </x:is>
      </x:c>
      <x:c r="N16" s="65" t="inlineStr">
        <x:is>
          <x:t xml:space="preserve">Resolve exact endpoint/context semantics with current official API documentation. Preserve both dated source facts and do not overwrite one as if there were no discrepancy. Close only after source-backed reconciliation.</x:t>
        </x:is>
      </x:c>
      <x:c r="O16" s="65" t="inlineStr">
        <x:is>
          <x:t xml:space="preserve">https://artificialanalysis.ai/models/solar-mini4; https://www.upstage.ai/blog/en/solar-mini-4</x:t>
        </x:is>
      </x:c>
      <x:c r="P16" s="65" t="inlineStr">
        <x:is>
          <x:t xml:space="preserve">AA page failed: response &gt;4MB. Official Upstage page revisited; exact context conflict unresolved.</x:t>
        </x:is>
      </x:c>
      <x:c r="Q16" s="65" t="inlineStr">
        <x:is>
          <x:t xml:space="preserve">AInventory</x:t>
        </x:is>
      </x:c>
    </x:row>
    <x:row r="17">
      <x:c r="A17" s="65" t="inlineStr">
        <x:is>
          <x:t xml:space="preserve">BF-SOLAR-QUAL-ROLE-ASSESSMENT</x:t>
        </x:is>
      </x:c>
      <x:c r="B17" s="65" t="inlineStr">
        <x:is>
          <x:t xml:space="preserve">upstage|solar-mini-4</x:t>
        </x:is>
      </x:c>
      <x:c r="C17" s="65" t="inlineStr">
        <x:is>
          <x:t xml:space="preserve">Solar Mini 4</x:t>
        </x:is>
      </x:c>
      <x:c r="D17" s="65" t="inlineStr">
        <x:is>
          <x:t xml:space="preserve">new model</x:t>
        </x:is>
      </x:c>
      <x:c r="E17" s="65" t="inlineStr">
        <x:is>
          <x:t xml:space="preserve">qualitative role assessment</x:t>
        </x:is>
      </x:c>
      <x:c r="F17" s="65" t="inlineStr">
        <x:is>
          <x:t xml:space="preserve">OPEN</x:t>
        </x:is>
      </x:c>
      <x:c r="G17" s="65" t="inlineStr">
        <x:is>
          <x:t xml:space="preserve">2026-10-11</x:t>
        </x:is>
      </x:c>
      <x:c r="H17" s="65" t="inlineStr">
        <x:is>
          <x:t xml:space="preserve">2026-10-16</x:t>
        </x:is>
      </x:c>
      <x:c r="I17" s="65" t="inlineStr">
        <x:is>
          <x:t xml:space="preserve">2026-10-19</x:t>
        </x:is>
      </x:c>
      <x:c r="J17" s="65" t="n"/>
      <x:c r="K17" s="65" t="n"/>
      <x:c r="L17" s="65" t="inlineStr">
        <x:is>
          <x:t xml:space="preserve">reasoning</x:t>
        </x:is>
      </x:c>
      <x:c r="M17" s="65" t="inlineStr">
        <x:is>
          <x:t xml:space="preserve">No independent role-level assessment; official launch claims and AA aggregate are not a substitute for task-specific qualitative ratings.</x:t>
        </x:is>
      </x:c>
      <x:c r="N17" s="65" t="inlineStr">
        <x:is>
          <x:t xml:space="preserve">Run comparative tasks across tool use, coding, summarization, factuality and instruction following; record workload, dates and evidence.</x:t>
        </x:is>
      </x:c>
      <x:c r="O17" s="65" t="inlineStr">
        <x:is>
          <x:t xml:space="preserve">https://www.upstage.ai/blog/en/solar-mini-4; https://artificialanalysis.ai/models/solar-mini4</x:t>
        </x:is>
      </x:c>
      <x:c r="P17" s="65" t="inlineStr">
        <x:is>
          <x:t xml:space="preserve">AA page failed: response &gt;4MB. Official Upstage page revisited; exact context conflict unresolved.</x:t>
        </x:is>
      </x:c>
      <x:c r="Q17" s="65" t="inlineStr">
        <x:is>
          <x:t xml:space="preserve">AInventory</x:t>
        </x:is>
      </x:c>
    </x:row>
    <x:row r="18">
      <x:c r="A18" s="65" t="inlineStr">
        <x:is>
          <x:t xml:space="preserve">BF-MIMO-PRO-INDEPENDENT-BENCHMARK</x:t>
        </x:is>
      </x:c>
      <x:c r="B18" s="65" t="inlineStr">
        <x:is>
          <x:t xml:space="preserve">xiaomi|mimo-v2-6-pro</x:t>
        </x:is>
      </x:c>
      <x:c r="C18" s="65" t="inlineStr">
        <x:is>
          <x:t xml:space="preserve">MiMo-V2.6-Pro</x:t>
        </x:is>
      </x:c>
      <x:c r="D18" s="65" t="inlineStr">
        <x:is>
          <x:t xml:space="preserve">new model</x:t>
        </x:is>
      </x:c>
      <x:c r="E18" s="65" t="inlineStr">
        <x:is>
          <x:t xml:space="preserve">benchmark source retrieval / metrics</x:t>
        </x:is>
      </x:c>
      <x:c r="F18" s="65" t="inlineStr">
        <x:is>
          <x:t xml:space="preserve">OPEN</x:t>
        </x:is>
      </x:c>
      <x:c r="G18" s="65" t="inlineStr">
        <x:is>
          <x:t xml:space="preserve">2026-10-11</x:t>
        </x:is>
      </x:c>
      <x:c r="H18" s="65" t="inlineStr">
        <x:is>
          <x:t xml:space="preserve">2026-10-16</x:t>
        </x:is>
      </x:c>
      <x:c r="I18" s="65" t="inlineStr">
        <x:is>
          <x:t xml:space="preserve">2026-10-19</x:t>
        </x:is>
      </x:c>
      <x:c r="J18" s="65" t="inlineStr">
        <x:is>
          <x:t xml:space="preserve">Artificial Analysis Intelligence Index</x:t>
        </x:is>
      </x:c>
      <x:c r="K18" s="65" t="inlineStr">
        <x:is>
          <x:t xml:space="preserve">v4.3.2</x:t>
        </x:is>
      </x:c>
      <x:c r="L18" s="65" t="inlineStr">
        <x:is>
          <x:t xml:space="preserve">reasoning</x:t>
        </x:is>
      </x:c>
      <x:c r="M18" s="65" t="inlineStr">
        <x:is>
          <x:t xml:space="preserve">Official Xiaomi release is verified, but direct AA model page retrieval returned an internal error; no score or quantitative values imported.</x:t>
        </x:is>
      </x:c>
      <x:c r="N18" s="65" t="inlineStr">
        <x:is>
          <x:t xml:space="preserve">Retry the direct AA page on each eligible run. Require an independent source with benchmark version, effort/configuration, score and URL before importing; then add speed/cost/latency where published.</x:t>
        </x:is>
      </x:c>
      <x:c r="O18" s="65" t="inlineStr">
        <x:is>
          <x:t xml:space="preserve">https://mimo.xiaomi.com/mimo-v2-6; https://artificialanalysis.ai/models/mimo-v2-6-pro</x:t>
        </x:is>
      </x:c>
      <x:c r="P18" s="65" t="inlineStr">
        <x:is>
          <x:t xml:space="preserve">AA page failed: response &gt;4MB; Xiaomi page yielded no usable text.</x:t>
        </x:is>
      </x:c>
      <x:c r="Q18" s="65" t="inlineStr">
        <x:is>
          <x:t xml:space="preserve">AInventory</x:t>
        </x:is>
      </x:c>
    </x:row>
    <x:row r="19">
      <x:c r="A19" s="65" t="inlineStr">
        <x:is>
          <x:t xml:space="preserve">BF-CYBER-INDEPENDENT-BENCHMARK</x:t>
        </x:is>
      </x:c>
      <x:c r="B19" s="65" t="inlineStr">
        <x:is>
          <x:t xml:space="preserve">google|gemini-3-8-flash-cyber</x:t>
        </x:is>
      </x:c>
      <x:c r="C19" s="65" t="inlineStr">
        <x:is>
          <x:t xml:space="preserve">Gemini 3.8 Flash Cyber</x:t>
        </x:is>
      </x:c>
      <x:c r="D19" s="65" t="inlineStr">
        <x:is>
          <x:t xml:space="preserve">new restricted-access model</x:t>
        </x:is>
      </x:c>
      <x:c r="E19" s="65" t="inlineStr">
        <x:is>
          <x:t xml:space="preserve">valid comparable cyber benchmark</x:t>
        </x:is>
      </x:c>
      <x:c r="F19" s="65" t="inlineStr">
        <x:is>
          <x:t xml:space="preserve">OPEN</x:t>
        </x:is>
      </x:c>
      <x:c r="G19" s="65" t="inlineStr">
        <x:is>
          <x:t xml:space="preserve">2026-10-11</x:t>
        </x:is>
      </x:c>
      <x:c r="H19" s="65" t="inlineStr">
        <x:is>
          <x:t xml:space="preserve">2026-10-16</x:t>
        </x:is>
      </x:c>
      <x:c r="I19" s="65" t="inlineStr">
        <x:is>
          <x:t xml:space="preserve">2026-10-19</x:t>
        </x:is>
      </x:c>
      <x:c r="J19" s="65" t="inlineStr">
        <x:is>
          <x:t xml:space="preserve">Cybersecurity</x:t>
        </x:is>
      </x:c>
      <x:c r="K19" s="65" t="inlineStr">
        <x:is>
          <x:t xml:space="preserve">independent/harness version required</x:t>
        </x:is>
      </x:c>
      <x:c r="L19" s="65" t="inlineStr">
        <x:is>
          <x:t xml:space="preserve">trusted-defender restricted</x:t>
        </x:is>
      </x:c>
      <x:c r="M19" s="65" t="inlineStr">
        <x:is>
          <x:t xml:space="preserve">Access is limited to trusted defenders; vendor claims do not constitute an independent public benchmark.</x:t>
        </x:is>
      </x:c>
      <x:c r="N19" s="65" t="inlineStr">
        <x:is>
          <x:t xml:space="preserve">Recheck official access and independent cyber evaluations. Close only when a direct, versioned, independently sourced evaluation matching the restricted endpoint and harness is available; otherwise retain as open.</x:t>
        </x:is>
      </x:c>
      <x:c r="O19" s="65" t="inlineStr">
        <x:is>
          <x:t xml:space="preserve">https://docs.cloud.google.com/gemini-enterprise-agent-platform/models/model-versions</x:t>
        </x:is>
      </x:c>
      <x:c r="P19" s="65" t="inlineStr">
        <x:is>
          <x:t xml:space="preserve">Official release/modality source revisited; no matching independently versioned evaluation verified. Keep OPEN.</x:t>
        </x:is>
      </x:c>
      <x:c r="Q19" s="65" t="inlineStr">
        <x:is>
          <x:t xml:space="preserve">AInventory</x:t>
        </x:is>
      </x:c>
    </x:row>
    <x:row r="20">
      <x:c r="A20" s="65" t="inlineStr">
        <x:is>
          <x:t xml:space="preserve">BF-GEMINI-LIVE-BENCHMARK</x:t>
        </x:is>
      </x:c>
      <x:c r="B20" s="65" t="inlineStr">
        <x:is>
          <x:t xml:space="preserve">google|gemini-3-8-live</x:t>
        </x:is>
      </x:c>
      <x:c r="C20" s="65" t="inlineStr">
        <x:is>
          <x:t xml:space="preserve">Gemini 3.8 Live</x:t>
        </x:is>
      </x:c>
      <x:c r="D20" s="65" t="inlineStr">
        <x:is>
          <x:t xml:space="preserve">candidate modality track</x:t>
        </x:is>
      </x:c>
      <x:c r="E20" s="65" t="inlineStr">
        <x:is>
          <x:t xml:space="preserve">audio interaction benchmark</x:t>
        </x:is>
      </x:c>
      <x:c r="F20" s="65" t="inlineStr">
        <x:is>
          <x:t xml:space="preserve">OPEN</x:t>
        </x:is>
      </x:c>
      <x:c r="G20" s="65" t="inlineStr">
        <x:is>
          <x:t xml:space="preserve">2026-10-11</x:t>
        </x:is>
      </x:c>
      <x:c r="H20" s="65" t="inlineStr">
        <x:is>
          <x:t xml:space="preserve">2026-10-16</x:t>
        </x:is>
      </x:c>
      <x:c r="I20" s="65" t="inlineStr">
        <x:is>
          <x:t xml:space="preserve">2026-10-19</x:t>
        </x:is>
      </x:c>
      <x:c r="J20" s="65" t="inlineStr">
        <x:is>
          <x:t xml:space="preserve">Audio / realtime</x:t>
        </x:is>
      </x:c>
      <x:c r="K20" s="65" t="inlineStr">
        <x:is>
          <x:t xml:space="preserve">modality-specific</x:t>
        </x:is>
      </x:c>
      <x:c r="L20" s="65" t="inlineStr">
        <x:is>
          <x:t xml:space="preserve">Live</x:t>
        </x:is>
      </x:c>
      <x:c r="M20" s="65" t="inlineStr">
        <x:is>
          <x:t xml:space="preserve">General text Intelligence Index is not comparable to streaming audio interaction.</x:t>
        </x:is>
      </x:c>
      <x:c r="N20" s="65" t="inlineStr">
        <x:is>
          <x:t xml:space="preserve">Recheck for independent latency/turn-taking/audio-understanding benchmark with model endpoint, harness, date, and source. Keep out of text leaderboard until comparable audio score exists.</x:t>
        </x:is>
      </x:c>
      <x:c r="O20" s="65" t="inlineStr">
        <x:is>
          <x:t xml:space="preserve">https://blog.google/innovation-and-ai/technology/developers-tools/build-real-time-voice-applications-gemini-audio/</x:t>
        </x:is>
      </x:c>
      <x:c r="P20" s="65" t="inlineStr">
        <x:is>
          <x:t xml:space="preserve">Official release/modality source revisited; no matching independently versioned evaluation verified. Keep OPEN.</x:t>
        </x:is>
      </x:c>
      <x:c r="Q20" s="65" t="inlineStr">
        <x:is>
          <x:t xml:space="preserve">AInventory</x:t>
        </x:is>
      </x:c>
    </x:row>
    <x:row r="21">
      <x:c r="A21" s="65" t="inlineStr">
        <x:is>
          <x:t xml:space="preserve">BF-GEMINI-LIVE-THINKING-BENCHMARK</x:t>
        </x:is>
      </x:c>
      <x:c r="B21" s="65" t="inlineStr">
        <x:is>
          <x:t xml:space="preserve">google|gemini-3-8-live-extended-thinking</x:t>
        </x:is>
      </x:c>
      <x:c r="C21" s="65" t="inlineStr">
        <x:is>
          <x:t xml:space="preserve">Gemini 3.8 Live Extended Thinking</x:t>
        </x:is>
      </x:c>
      <x:c r="D21" s="65" t="inlineStr">
        <x:is>
          <x:t xml:space="preserve">candidate modality track</x:t>
        </x:is>
      </x:c>
      <x:c r="E21" s="65" t="inlineStr">
        <x:is>
          <x:t xml:space="preserve">audio reasoning benchmark</x:t>
        </x:is>
      </x:c>
      <x:c r="F21" s="65" t="inlineStr">
        <x:is>
          <x:t xml:space="preserve">OPEN</x:t>
        </x:is>
      </x:c>
      <x:c r="G21" s="65" t="inlineStr">
        <x:is>
          <x:t xml:space="preserve">2026-10-11</x:t>
        </x:is>
      </x:c>
      <x:c r="H21" s="65" t="inlineStr">
        <x:is>
          <x:t xml:space="preserve">2026-10-16</x:t>
        </x:is>
      </x:c>
      <x:c r="I21" s="65" t="inlineStr">
        <x:is>
          <x:t xml:space="preserve">2026-10-19</x:t>
        </x:is>
      </x:c>
      <x:c r="J21" s="65" t="inlineStr">
        <x:is>
          <x:t xml:space="preserve">Audio / realtime</x:t>
        </x:is>
      </x:c>
      <x:c r="K21" s="65" t="inlineStr">
        <x:is>
          <x:t xml:space="preserve">modality-specific</x:t>
        </x:is>
      </x:c>
      <x:c r="L21" s="65" t="inlineStr">
        <x:is>
          <x:t xml:space="preserve">Live Extended Thinking</x:t>
        </x:is>
      </x:c>
      <x:c r="M21" s="65" t="inlineStr">
        <x:is>
          <x:t xml:space="preserve">No valid comparable audio reasoning benchmark in core AInventory.</x:t>
        </x:is>
      </x:c>
      <x:c r="N21" s="65" t="inlineStr">
        <x:is>
          <x:t xml:space="preserve">Recheck independent realtime audio reasoning evaluations and require matching modality, endpoint, harness and source; keep open until valid data is available.</x:t>
        </x:is>
      </x:c>
      <x:c r="O21" s="65" t="inlineStr">
        <x:is>
          <x:t xml:space="preserve">https://blog.google/innovation-and-ai/technology/developers-tools/build-real-time-voice-applications-gemini-audio/</x:t>
        </x:is>
      </x:c>
      <x:c r="P21" s="65" t="inlineStr">
        <x:is>
          <x:t xml:space="preserve">Official release/modality source revisited; no matching independently versioned evaluation verified. Keep OPEN.</x:t>
        </x:is>
      </x:c>
      <x:c r="Q21" s="65" t="inlineStr">
        <x:is>
          <x:t xml:space="preserve">AInventory</x:t>
        </x:is>
      </x:c>
    </x:row>
    <x:row r="22">
      <x:c r="A22" s="65" t="inlineStr">
        <x:is>
          <x:t xml:space="preserve">BF-GEMINI-TTS-BENCHMARK</x:t>
        </x:is>
      </x:c>
      <x:c r="B22" s="65" t="inlineStr">
        <x:is>
          <x:t xml:space="preserve">google|gemini-3-8-flash-tts</x:t>
        </x:is>
      </x:c>
      <x:c r="C22" s="65" t="inlineStr">
        <x:is>
          <x:t xml:space="preserve">Gemini 3.8 Flash TTS</x:t>
        </x:is>
      </x:c>
      <x:c r="D22" s="65" t="inlineStr">
        <x:is>
          <x:t xml:space="preserve">candidate modality track</x:t>
        </x:is>
      </x:c>
      <x:c r="E22" s="65" t="inlineStr">
        <x:is>
          <x:t xml:space="preserve">speech generation benchmark</x:t>
        </x:is>
      </x:c>
      <x:c r="F22" s="65" t="inlineStr">
        <x:is>
          <x:t xml:space="preserve">OPEN</x:t>
        </x:is>
      </x:c>
      <x:c r="G22" s="65" t="inlineStr">
        <x:is>
          <x:t xml:space="preserve">2026-10-11</x:t>
        </x:is>
      </x:c>
      <x:c r="H22" s="65" t="inlineStr">
        <x:is>
          <x:t xml:space="preserve">2026-10-16</x:t>
        </x:is>
      </x:c>
      <x:c r="I22" s="65" t="inlineStr">
        <x:is>
          <x:t xml:space="preserve">2026-10-19</x:t>
        </x:is>
      </x:c>
      <x:c r="J22" s="65" t="inlineStr">
        <x:is>
          <x:t xml:space="preserve">Text-to-speech</x:t>
        </x:is>
      </x:c>
      <x:c r="K22" s="65" t="inlineStr">
        <x:is>
          <x:t xml:space="preserve">modality-specific</x:t>
        </x:is>
      </x:c>
      <x:c r="L22" s="65" t="inlineStr">
        <x:is>
          <x:t xml:space="preserve">TTS</x:t>
        </x:is>
      </x:c>
      <x:c r="M22" s="65" t="inlineStr">
        <x:is>
          <x:t xml:space="preserve">A text/coding benchmark cannot validly rank speech synthesis quality, latency, or cost.</x:t>
        </x:is>
      </x:c>
      <x:c r="N22" s="65" t="inlineStr">
        <x:is>
          <x:t xml:space="preserve">Recheck independent TTS quality/latency/cost evaluations with language, voice, audio quality metric and harness; retain in separate TTS track.</x:t>
        </x:is>
      </x:c>
      <x:c r="O22" s="65" t="inlineStr">
        <x:is>
          <x:t xml:space="preserve">https://blog.google/innovation-and-ai/models-and-research/gemini-models/gemini-3-8-text-to-speech/</x:t>
        </x:is>
      </x:c>
      <x:c r="P22" s="65" t="inlineStr">
        <x:is>
          <x:t xml:space="preserve">Official release/modality source revisited; no matching independently versioned evaluation verified. Keep OPEN.</x:t>
        </x:is>
      </x:c>
      <x:c r="Q22" s="65" t="inlineStr">
        <x:is>
          <x:t xml:space="preserve">AInventory</x:t>
        </x:is>
      </x:c>
    </x:row>
    <x:row r="23">
      <x:c r="A23" s="65" t="inlineStr">
        <x:is>
          <x:t xml:space="preserve">BF-GEMINI-FLASHLITE-TTS-BENCHMARK</x:t>
        </x:is>
      </x:c>
      <x:c r="B23" s="65" t="inlineStr">
        <x:is>
          <x:t xml:space="preserve">google|gemini-3-8-flash-lite-tts</x:t>
        </x:is>
      </x:c>
      <x:c r="C23" s="65" t="inlineStr">
        <x:is>
          <x:t xml:space="preserve">Gemini 3.8 Flash-Lite TTS</x:t>
        </x:is>
      </x:c>
      <x:c r="D23" s="65" t="inlineStr">
        <x:is>
          <x:t xml:space="preserve">candidate modality track</x:t>
        </x:is>
      </x:c>
      <x:c r="E23" s="65" t="inlineStr">
        <x:is>
          <x:t xml:space="preserve">speech generation benchmark</x:t>
        </x:is>
      </x:c>
      <x:c r="F23" s="65" t="inlineStr">
        <x:is>
          <x:t xml:space="preserve">OPEN</x:t>
        </x:is>
      </x:c>
      <x:c r="G23" s="65" t="inlineStr">
        <x:is>
          <x:t xml:space="preserve">2026-10-11</x:t>
        </x:is>
      </x:c>
      <x:c r="H23" s="65" t="inlineStr">
        <x:is>
          <x:t xml:space="preserve">2026-10-16</x:t>
        </x:is>
      </x:c>
      <x:c r="I23" s="65" t="inlineStr">
        <x:is>
          <x:t xml:space="preserve">2026-10-19</x:t>
        </x:is>
      </x:c>
      <x:c r="J23" s="65" t="inlineStr">
        <x:is>
          <x:t xml:space="preserve">Text-to-speech</x:t>
        </x:is>
      </x:c>
      <x:c r="K23" s="65" t="inlineStr">
        <x:is>
          <x:t xml:space="preserve">modality-specific</x:t>
        </x:is>
      </x:c>
      <x:c r="L23" s="65" t="inlineStr">
        <x:is>
          <x:t xml:space="preserve">TTS</x:t>
        </x:is>
      </x:c>
      <x:c r="M23" s="65" t="inlineStr">
        <x:is>
          <x:t xml:space="preserve">A text/coding benchmark cannot validly rank speech synthesis quality, latency, or cost.</x:t>
        </x:is>
      </x:c>
      <x:c r="N23" s="65" t="inlineStr">
        <x:is>
          <x:t xml:space="preserve">Recheck independent TTS quality/latency/cost evaluations with language, voice, audio quality metric and harness; retain in separate TTS track.</x:t>
        </x:is>
      </x:c>
      <x:c r="O23" s="65" t="inlineStr">
        <x:is>
          <x:t xml:space="preserve">https://blog.google/innovation-and-ai/models-and-research/gemini-models/gemini-3-8-text-to-speech/</x:t>
        </x:is>
      </x:c>
      <x:c r="P23" s="65" t="inlineStr">
        <x:is>
          <x:t xml:space="preserve">Official release/modality source revisited; no matching independently versioned evaluation verified. Keep OPEN.</x:t>
        </x:is>
      </x:c>
      <x:c r="Q23" s="65" t="inlineStr">
        <x:is>
          <x:t xml:space="preserve">AInventory</x:t>
        </x:is>
      </x:c>
    </x:row>
    <x:row r="24">
      <x:c r="A24" s="65" t="inlineStr">
        <x:is>
          <x:t xml:space="preserve">BF-BEAM-WEIGHTS-BENCHMARK</x:t>
        </x:is>
      </x:c>
      <x:c r="B24" s="65" t="inlineStr">
        <x:is>
          <x:t xml:space="preserve">reflection|beam</x:t>
        </x:is>
      </x:c>
      <x:c r="C24" s="65" t="inlineStr">
        <x:is>
          <x:t xml:space="preserve">Beam</x:t>
        </x:is>
      </x:c>
      <x:c r="D24" s="65" t="inlineStr">
        <x:is>
          <x:t xml:space="preserve">release candidate</x:t>
        </x:is>
      </x:c>
      <x:c r="E24" s="65" t="inlineStr">
        <x:is>
          <x:t xml:space="preserve">release artifact / license / valid benchmark</x:t>
        </x:is>
      </x:c>
      <x:c r="F24" s="65" t="inlineStr">
        <x:is>
          <x:t xml:space="preserve">OPEN</x:t>
        </x:is>
      </x:c>
      <x:c r="G24" s="65" t="inlineStr">
        <x:is>
          <x:t xml:space="preserve">2026-10-11</x:t>
        </x:is>
      </x:c>
      <x:c r="H24" s="65" t="inlineStr">
        <x:is>
          <x:t xml:space="preserve">2026-10-16</x:t>
        </x:is>
      </x:c>
      <x:c r="I24" s="65" t="inlineStr">
        <x:is>
          <x:t xml:space="preserve">2026-10-19</x:t>
        </x:is>
      </x:c>
      <x:c r="J24" s="65" t="inlineStr">
        <x:is>
          <x:t xml:space="preserve">Artificial Analysis Intelligence Index</x:t>
        </x:is>
      </x:c>
      <x:c r="K24" s="65" t="inlineStr">
        <x:is>
          <x:t xml:space="preserve">v4.3.2</x:t>
        </x:is>
      </x:c>
      <x:c r="L24" s="65" t="inlineStr">
        <x:is>
          <x:t xml:space="preserve">preview</x:t>
        </x:is>
      </x:c>
      <x:c r="M24" s="65" t="inlineStr">
        <x:is>
          <x:t xml:space="preserve">Beam is announced with limited early access; a public downloadable checkpoint/license and independent score were not verified.</x:t>
        </x:is>
      </x:c>
      <x:c r="N24" s="65" t="inlineStr">
        <x:is>
          <x:t xml:space="preserve">Recheck the official artifact and license on each maintenance run. Add benchmark only after the exact released checkpoint/version is identified and independently measured. Do not treat vendor launch claims as a valid independent benchmark.</x:t>
        </x:is>
      </x:c>
      <x:c r="O24" s="65" t="inlineStr">
        <x:is>
          <x:t xml:space="preserve">https://www.reflection.ai/blog/introducing-beam</x:t>
        </x:is>
      </x:c>
      <x:c r="P24" s="65" t="inlineStr">
        <x:is>
          <x:t xml:space="preserve">Official release/modality source revisited; no matching independently versioned evaluation verified. Keep OPEN.</x:t>
        </x:is>
      </x:c>
      <x:c r="Q24" s="65" t="inlineStr">
        <x:is>
          <x:t xml:space="preserve">AInventory</x:t>
        </x:is>
      </x:c>
    </x:row>
    <x:row r="25">
      <x:c r="A25" s="65" t="inlineStr">
        <x:is>
          <x:t xml:space="preserve">BF-STEP5-SOURCE-BENCHMARK</x:t>
        </x:is>
      </x:c>
      <x:c r="B25" s="65" t="inlineStr">
        <x:is>
          <x:t xml:space="preserve">stepfun|step-5-preview</x:t>
        </x:is>
      </x:c>
      <x:c r="C25" s="65" t="inlineStr">
        <x:is>
          <x:t xml:space="preserve">Step 5 Preview</x:t>
        </x:is>
      </x:c>
      <x:c r="D25" s="65" t="inlineStr">
        <x:is>
          <x:t xml:space="preserve">release candidate</x:t>
        </x:is>
      </x:c>
      <x:c r="E25" s="65" t="inlineStr">
        <x:is>
          <x:t xml:space="preserve">primary release identity / benchmark source</x:t>
        </x:is>
      </x:c>
      <x:c r="F25" s="65" t="inlineStr">
        <x:is>
          <x:t xml:space="preserve">OPEN</x:t>
        </x:is>
      </x:c>
      <x:c r="G25" s="65" t="inlineStr">
        <x:is>
          <x:t xml:space="preserve">2026-10-11</x:t>
        </x:is>
      </x:c>
      <x:c r="H25" s="65" t="inlineStr">
        <x:is>
          <x:t xml:space="preserve">2026-10-16</x:t>
        </x:is>
      </x:c>
      <x:c r="I25" s="65" t="inlineStr">
        <x:is>
          <x:t xml:space="preserve">2026-10-19</x:t>
        </x:is>
      </x:c>
      <x:c r="J25" s="65" t="inlineStr">
        <x:is>
          <x:t xml:space="preserve">Artificial Analysis Intelligence Index</x:t>
        </x:is>
      </x:c>
      <x:c r="K25" s="65" t="inlineStr">
        <x:is>
          <x:t xml:space="preserve">v4.3.2</x:t>
        </x:is>
      </x:c>
      <x:c r="L25" s="65" t="inlineStr">
        <x:is>
          <x:t xml:space="preserve">preview</x:t>
        </x:is>
      </x:c>
      <x:c r="M25" s="65" t="inlineStr">
        <x:is>
          <x:t xml:space="preserve">Secondary/AA references indicate a possible in-window model and score, but a primary release identity and direct current model-page record were not verified.</x:t>
        </x:is>
      </x:c>
      <x:c r="N25" s="65" t="inlineStr">
        <x:is>
          <x:t xml:space="preserve">Find primary StepFun release/model documentation, verify exact release date/ID and AA direct page, then import only sourced observations. Keep candidate until verified.</x:t>
        </x:is>
      </x:c>
      <x:c r="O25" s="65" t="inlineStr">
        <x:is>
          <x:t xml:space="preserve">https://artificialanalysis.ai/models/step-5-preview</x:t>
        </x:is>
      </x:c>
      <x:c r="P25" s="65" t="inlineStr">
        <x:is>
          <x:t xml:space="preserve">AA exact model page returns404; primary release identity remains unverified.</x:t>
        </x:is>
      </x:c>
      <x:c r="Q25" s="65" t="inlineStr">
        <x:is>
          <x:t xml:space="preserve">AInventory</x:t>
        </x:is>
      </x:c>
    </x:row>
    <x:row r="26">
      <x:c r="A26" s="65" t="inlineStr">
        <x:is>
          <x:t xml:space="preserve">BF-LING31-SOURCE-BENCHMARK</x:t>
        </x:is>
      </x:c>
      <x:c r="B26" s="65" t="inlineStr">
        <x:is>
          <x:t xml:space="preserve">inclusionai|ling-3-1-flash</x:t>
        </x:is>
      </x:c>
      <x:c r="C26" s="65" t="inlineStr">
        <x:is>
          <x:t xml:space="preserve">Ling 3.1 Flash</x:t>
        </x:is>
      </x:c>
      <x:c r="D26" s="65" t="inlineStr">
        <x:is>
          <x:t xml:space="preserve">release candidate</x:t>
        </x:is>
      </x:c>
      <x:c r="E26" s="65" t="inlineStr">
        <x:is>
          <x:t xml:space="preserve">primary release identity / benchmark source</x:t>
        </x:is>
      </x:c>
      <x:c r="F26" s="65" t="inlineStr">
        <x:is>
          <x:t xml:space="preserve">OPEN</x:t>
        </x:is>
      </x:c>
      <x:c r="G26" s="65" t="inlineStr">
        <x:is>
          <x:t xml:space="preserve">2026-10-11</x:t>
        </x:is>
      </x:c>
      <x:c r="H26" s="65" t="inlineStr">
        <x:is>
          <x:t xml:space="preserve">2026-10-16</x:t>
        </x:is>
      </x:c>
      <x:c r="I26" s="65" t="inlineStr">
        <x:is>
          <x:t xml:space="preserve">2026-10-19</x:t>
        </x:is>
      </x:c>
      <x:c r="J26" s="65" t="inlineStr">
        <x:is>
          <x:t xml:space="preserve">Artificial Analysis Intelligence Index</x:t>
        </x:is>
      </x:c>
      <x:c r="K26" s="65" t="inlineStr">
        <x:is>
          <x:t xml:space="preserve">v4.3.2</x:t>
        </x:is>
      </x:c>
      <x:c r="L26" s="65" t="inlineStr">
        <x:is>
          <x:t xml:space="preserve">reasoning</x:t>
        </x:is>
      </x:c>
      <x:c r="M26" s="65" t="inlineStr">
        <x:is>
          <x:t xml:space="preserve">Third-party/AA references indicate a possible late-September/early-October release; primary release source and complete direct AA metrics were not verified.</x:t>
        </x:is>
      </x:c>
      <x:c r="N26" s="65" t="inlineStr">
        <x:is>
          <x:t xml:space="preserve">Find primary inclusionAI model release/card and direct AA model record; confirm release date, endpoint/version and benchmark. Leave candidate open until evidence meets current source policy.</x:t>
        </x:is>
      </x:c>
      <x:c r="O26" s="65" t="inlineStr">
        <x:is>
          <x:t xml:space="preserve">https://artificialanalysis.ai/models/ling-3-1-flash</x:t>
        </x:is>
      </x:c>
      <x:c r="P26" s="65" t="inlineStr">
        <x:is>
          <x:t xml:space="preserve">AA exact model pages fail &gt;4MB; primary identity not verified.</x:t>
        </x:is>
      </x:c>
      <x:c r="Q26" s="65" t="inlineStr">
        <x:is>
          <x:t xml:space="preserve">AInventory</x:t>
        </x:is>
      </x:c>
    </x:row>
    <x:row r="27">
      <x:c r="A27" s="65" t="inlineStr">
        <x:is>
          <x:t xml:space="preserve">BF-LING30-FIN-CANDIDATE</x:t>
        </x:is>
      </x:c>
      <x:c r="B27" s="65" t="inlineStr">
        <x:is>
          <x:t xml:space="preserve">inclusionai|ling-3-0-flash-fin</x:t>
        </x:is>
      </x:c>
      <x:c r="C27" s="65" t="inlineStr">
        <x:is>
          <x:t xml:space="preserve">Ling 3.0 Flash-Fin</x:t>
        </x:is>
      </x:c>
      <x:c r="D27" s="65" t="inlineStr">
        <x:is>
          <x:t xml:space="preserve">release candidate</x:t>
        </x:is>
      </x:c>
      <x:c r="E27" s="65" t="inlineStr">
        <x:is>
          <x:t xml:space="preserve">release identity/date verification</x:t>
        </x:is>
      </x:c>
      <x:c r="F27" s="65" t="inlineStr">
        <x:is>
          <x:t xml:space="preserve">OPEN</x:t>
        </x:is>
      </x:c>
      <x:c r="G27" s="65" t="inlineStr">
        <x:is>
          <x:t xml:space="preserve">2026-10-11</x:t>
        </x:is>
      </x:c>
      <x:c r="H27" s="65" t="inlineStr">
        <x:is>
          <x:t xml:space="preserve">2026-10-16</x:t>
        </x:is>
      </x:c>
      <x:c r="I27" s="65" t="inlineStr">
        <x:is>
          <x:t xml:space="preserve">2026-10-19</x:t>
        </x:is>
      </x:c>
      <x:c r="J27" s="65" t="n"/>
      <x:c r="K27" s="65" t="n"/>
      <x:c r="L27" s="65" t="inlineStr">
        <x:is>
          <x:t xml:space="preserve">specialized finance</x:t>
        </x:is>
      </x:c>
      <x:c r="M27" s="65" t="inlineStr">
        <x:is>
          <x:t xml:space="preserve">A benchmark changelog candidate was found, but a primary release announcement/date and endpoint identity were not verified.</x:t>
        </x:is>
      </x:c>
      <x:c r="N27" s="65" t="inlineStr">
        <x:is>
          <x:t xml:space="preserve">Recheck official inclusionAI documentation; promote only after primary source confirms date/model identity and scope. Keep rejected/unknown candidate history.</x:t>
        </x:is>
      </x:c>
      <x:c r="O27" s="65" t="inlineStr">
        <x:is>
          <x:t xml:space="preserve">https://artificialanalysis.ai</x:t>
        </x:is>
      </x:c>
      <x:c r="P27" s="65" t="inlineStr">
        <x:is>
          <x:t xml:space="preserve">AA exact model pages fail &gt;4MB; primary identity not verified.</x:t>
        </x:is>
      </x:c>
      <x:c r="Q27" s="65" t="inlineStr">
        <x:is>
          <x:t xml:space="preserve">AInventory</x:t>
        </x:is>
      </x:c>
    </x:row>
    <x:row r="28">
      <x:c r="A28" s="65" t="inlineStr">
        <x:is>
          <x:t xml:space="preserve">BF-GPT6-CHATGPT-ROLLOUT-ID</x:t>
        </x:is>
      </x:c>
      <x:c r="B28" s="65" t="inlineStr">
        <x:is>
          <x:t xml:space="preserve">openai|gpt-6-chatgpt-rollout</x:t>
        </x:is>
      </x:c>
      <x:c r="C28" s="65" t="inlineStr">
        <x:is>
          <x:t xml:space="preserve">GPT-6 consumer rollout update</x:t>
        </x:is>
      </x:c>
      <x:c r="D28" s="65" t="inlineStr">
        <x:is>
          <x:t xml:space="preserve">candidate release/update</x:t>
        </x:is>
      </x:c>
      <x:c r="E28" s="65" t="inlineStr">
        <x:is>
          <x:t xml:space="preserve">model/API identity</x:t>
        </x:is>
      </x:c>
      <x:c r="F28" s="65" t="inlineStr">
        <x:is>
          <x:t xml:space="preserve">OPEN</x:t>
        </x:is>
      </x:c>
      <x:c r="G28" s="65" t="inlineStr">
        <x:is>
          <x:t xml:space="preserve">2026-10-11</x:t>
        </x:is>
      </x:c>
      <x:c r="H28" s="65" t="inlineStr">
        <x:is>
          <x:t xml:space="preserve">2026-10-16</x:t>
        </x:is>
      </x:c>
      <x:c r="I28" s="65" t="inlineStr">
        <x:is>
          <x:t xml:space="preserve">2026-10-19</x:t>
        </x:is>
      </x:c>
      <x:c r="J28" s="65" t="n"/>
      <x:c r="K28" s="65" t="n"/>
      <x:c r="L28" s="65" t="inlineStr">
        <x:is>
          <x:t xml:space="preserve">ChatGPT rollout</x:t>
        </x:is>
      </x:c>
      <x:c r="M28" s="65" t="inlineStr">
        <x:is>
          <x:t xml:space="preserve">OpenAI’s 2026-10-07 consumer rollout update does not establish a distinct public API model ID or a separate underlying model version.</x:t>
        </x:is>
      </x:c>
      <x:c r="N28" s="65" t="inlineStr">
        <x:is>
          <x:t xml:space="preserve">Recheck OpenAI release/changelog and model docs. Add a new model/version only after exact deployed/API identity is established; do not duplicate GPT-6 Luna/Sol/Astra.</x:t>
        </x:is>
      </x:c>
      <x:c r="O28" s="65" t="inlineStr">
        <x:is>
          <x:t xml:space="preserve">https://openai.com/index/gpt-6-astra/; https://developers.openai.com/api/docs/changelog/</x:t>
        </x:is>
      </x:c>
      <x:c r="P28" s="65" t="inlineStr">
        <x:is>
          <x:t xml:space="preserve">Official changelog revisited: chat-latest updates do not establish distinct underlying model identity. Keep OPEN.</x:t>
        </x:is>
      </x:c>
      <x:c r="Q28" s="65" t="inlineStr">
        <x:is>
          <x:t xml:space="preserve">AInventory</x:t>
        </x:is>
      </x:c>
    </x:row>
    <x:row r="29">
      <x:c r="A29" s="65" t="inlineStr">
        <x:is>
          <x:t xml:space="preserve">BF-SONNET55-STRUCTURED-OUTPUT-RETEST</x:t>
        </x:is>
      </x:c>
      <x:c r="B29" s="65" t="inlineStr">
        <x:is>
          <x:t xml:space="preserve">anthropic|claude-sonnet-5-5</x:t>
        </x:is>
      </x:c>
      <x:c r="C29" s="65" t="inlineStr">
        <x:is>
          <x:t xml:space="preserve">Claude Sonnet 5.5</x:t>
        </x:is>
      </x:c>
      <x:c r="D29" s="65" t="inlineStr">
        <x:is>
          <x:t xml:space="preserve">existing model</x:t>
        </x:is>
      </x:c>
      <x:c r="E29" s="65" t="inlineStr">
        <x:is>
          <x:t xml:space="preserve">benchmark comparability / known evaluation caveat</x:t>
        </x:is>
      </x:c>
      <x:c r="F29" s="65" t="inlineStr">
        <x:is>
          <x:t xml:space="preserve">OPEN</x:t>
        </x:is>
      </x:c>
      <x:c r="G29" s="65" t="inlineStr">
        <x:is>
          <x:t xml:space="preserve">2026-10-11</x:t>
        </x:is>
      </x:c>
      <x:c r="H29" s="65" t="inlineStr">
        <x:is>
          <x:t xml:space="preserve">2026-10-16</x:t>
        </x:is>
      </x:c>
      <x:c r="I29" s="65" t="inlineStr">
        <x:is>
          <x:t xml:space="preserve">2026-10-19</x:t>
        </x:is>
      </x:c>
      <x:c r="J29" s="65" t="inlineStr">
        <x:is>
          <x:t xml:space="preserve">Artificial Analysis Intelligence Index</x:t>
        </x:is>
      </x:c>
      <x:c r="K29" s="65" t="inlineStr">
        <x:is>
          <x:t xml:space="preserve">v4.3.2</x:t>
        </x:is>
      </x:c>
      <x:c r="L29" s="65" t="inlineStr">
        <x:is>
          <x:t xml:space="preserve">all efforts</x:t>
        </x:is>
      </x:c>
      <x:c r="M29" s="65" t="inlineStr">
        <x:is>
          <x:t xml:space="preserve">Anthropic disclosed a structured-output bug affecting some pre-release AA results; affected deployment/version and re-test evidence need to be reconciled.</x:t>
        </x:is>
      </x:c>
      <x:c r="N29" s="65" t="inlineStr">
        <x:is>
          <x:t xml:space="preserve">Follow Anthropic’s corrected deployment/version and AA’s re-test; preserve prior runs, append new versioned observations and label the affected results. Close only after affected result lineage is explicit.</x:t>
        </x:is>
      </x:c>
      <x:c r="O29" s="65" t="inlineStr">
        <x:is>
          <x:t xml:space="preserve">https://www.anthropic.com/claude-sonnet-5-5; https://artificialanalysis.ai/models/claude-sonnet-5-5</x:t>
        </x:is>
      </x:c>
      <x:c r="P29" s="65" t="inlineStr">
        <x:is>
          <x:t xml:space="preserve">AA max/default-fallback snapshot appended; Anthropic confirms fixed bug, but matched retest lineage still absent. Keep OPEN.</x:t>
        </x:is>
      </x:c>
      <x:c r="Q29" s="65" t="inlineStr">
        <x:is>
          <x:t xml:space="preserve">AInventory</x:t>
        </x:is>
      </x:c>
    </x:row>
    <x:row r="30">
      <x:c r="A30" s="65" t="inlineStr">
        <x:is>
          <x:t xml:space="preserve">BF-MUSE-WONDER-BENCHMARK</x:t>
        </x:is>
      </x:c>
      <x:c r="B30" s="65" t="inlineStr">
        <x:is>
          <x:t xml:space="preserve">meta|muse-wonder</x:t>
        </x:is>
      </x:c>
      <x:c r="C30" s="65" t="inlineStr">
        <x:is>
          <x:t xml:space="preserve">Muse Wonder</x:t>
        </x:is>
      </x:c>
      <x:c r="D30" s="65" t="inlineStr">
        <x:is>
          <x:t xml:space="preserve">new endpoint/model</x:t>
        </x:is>
      </x:c>
      <x:c r="E30" s="65" t="inlineStr">
        <x:is>
          <x:t xml:space="preserve">exact benchmark harness version</x:t>
        </x:is>
      </x:c>
      <x:c r="F30" s="65" t="inlineStr">
        <x:is>
          <x:t xml:space="preserve">CLOSED</x:t>
        </x:is>
      </x:c>
      <x:c r="G30" s="65" t="inlineStr">
        <x:is>
          <x:t xml:space="preserve">2026-10-16</x:t>
        </x:is>
      </x:c>
      <x:c r="H30" s="65" t="inlineStr">
        <x:is>
          <x:t xml:space="preserve">2026-10-16</x:t>
        </x:is>
      </x:c>
      <x:c r="I30" s="65" t="n"/>
      <x:c r="J30" s="65" t="inlineStr">
        <x:is>
          <x:t xml:space="preserve">Artificial Analysis Intelligence Index</x:t>
        </x:is>
      </x:c>
      <x:c r="K30" s="65" t="inlineStr">
        <x:is>
          <x:t xml:space="preserve">v4.3.2</x:t>
        </x:is>
      </x:c>
      <x:c r="L30" s="65" t="inlineStr">
        <x:is>
          <x:t xml:space="preserve">max</x:t>
        </x:is>
      </x:c>
      <x:c r="M30" s="65" t="inlineStr">
        <x:is>
          <x:t xml:space="preserve">Exact Max direct page verified: score52; taskcost4.52; speed183.9 t/s; TTFT36.32s.</x:t>
        </x:is>
      </x:c>
      <x:c r="N30" s="65" t="inlineStr">
        <x:is>
          <x:t xml:space="preserve">Verify exact independent model page/version/effort before scoring.</x:t>
        </x:is>
      </x:c>
      <x:c r="O30" s="65" t="inlineStr">
        <x:is>
          <x:t xml:space="preserve">https://artificialanalysis.ai/models/muse-wonder; https://artificialanalysis.ai/models/muse-wonder/providers</x:t>
        </x:is>
      </x:c>
      <x:c r="P30" s="65" t="inlineStr">
        <x:is>
          <x:t xml:space="preserve">Closed 2026-10-16: qualifying raw snapshot appended and verified. Actual execution date remains unknown.</x:t>
        </x:is>
      </x:c>
      <x:c r="Q30" s="65" t="inlineStr">
        <x:is>
          <x:t xml:space="preserve">AInventory</x:t>
        </x:is>
      </x:c>
    </x:row>
    <x:row r="31">
      <x:c r="A31" s="65" t="inlineStr">
        <x:is>
          <x:t xml:space="preserve">BF-MUSE-WONDER-QUAL</x:t>
        </x:is>
      </x:c>
      <x:c r="B31" s="65" t="inlineStr">
        <x:is>
          <x:t xml:space="preserve">meta|muse-wonder</x:t>
        </x:is>
      </x:c>
      <x:c r="C31" s="65" t="inlineStr">
        <x:is>
          <x:t xml:space="preserve">Muse Wonder</x:t>
        </x:is>
      </x:c>
      <x:c r="D31" s="65" t="inlineStr">
        <x:is>
          <x:t xml:space="preserve">new endpoint/model</x:t>
        </x:is>
      </x:c>
      <x:c r="E31" s="65" t="inlineStr">
        <x:is>
          <x:t xml:space="preserve">qualitative role assessment</x:t>
        </x:is>
      </x:c>
      <x:c r="F31" s="65" t="inlineStr">
        <x:is>
          <x:t xml:space="preserve">OPEN</x:t>
        </x:is>
      </x:c>
      <x:c r="G31" s="65" t="inlineStr">
        <x:is>
          <x:t xml:space="preserve">2026-10-16</x:t>
        </x:is>
      </x:c>
      <x:c r="H31" s="65" t="inlineStr">
        <x:is>
          <x:t xml:space="preserve">2026-10-16</x:t>
        </x:is>
      </x:c>
      <x:c r="I31" s="65" t="inlineStr">
        <x:is>
          <x:t xml:space="preserve">2026-10-19</x:t>
        </x:is>
      </x:c>
      <x:c r="J31" s="65" t="inlineStr">
        <x:is>
          <x:t xml:space="preserve">Artificial Analysis Intelligence Index</x:t>
        </x:is>
      </x:c>
      <x:c r="K31" s="65" t="n"/>
      <x:c r="L31" s="65" t="inlineStr">
        <x:is>
          <x:t xml:space="preserve">all</x:t>
        </x:is>
      </x:c>
      <x:c r="M31" s="65" t="inlineStr">
        <x:is>
          <x:t xml:space="preserve">No independent role-by-role task sample.</x:t>
        </x:is>
      </x:c>
      <x:c r="N31" s="65" t="inlineStr">
        <x:is>
          <x:t xml:space="preserve">Store dated workload, independent sources and confidence before assigning role ratings.</x:t>
        </x:is>
      </x:c>
      <x:c r="O31" s="65" t="inlineStr">
        <x:is>
          <x:t xml:space="preserve">https://dev.meta.ai/resources/blog/build-with-muse-wonder</x:t>
        </x:is>
      </x:c>
      <x:c r="P31" s="65" t="inlineStr">
        <x:is>
          <x:t xml:space="preserve">Evidence inspected; remaining criteria unresolved.</x:t>
        </x:is>
      </x:c>
      <x:c r="Q31" s="65" t="inlineStr">
        <x:is>
          <x:t xml:space="preserve">AInventory</x:t>
        </x:is>
      </x:c>
    </x:row>
    <x:row r="32">
      <x:c r="A32" s="65" t="inlineStr">
        <x:is>
          <x:t xml:space="preserve">BF-MUSE-FULL-METRICS</x:t>
        </x:is>
      </x:c>
      <x:c r="B32" s="65" t="inlineStr">
        <x:is>
          <x:t xml:space="preserve">meta|muse-wonder-full</x:t>
        </x:is>
      </x:c>
      <x:c r="C32" s="65" t="inlineStr">
        <x:is>
          <x:t xml:space="preserve">Muse Wonder Full</x:t>
        </x:is>
      </x:c>
      <x:c r="D32" s="65" t="inlineStr">
        <x:is>
          <x:t xml:space="preserve">new endpoint/model</x:t>
        </x:is>
      </x:c>
      <x:c r="E32" s="65" t="inlineStr">
        <x:is>
          <x:t xml:space="preserve">speed / latency / run date</x:t>
        </x:is>
      </x:c>
      <x:c r="F32" s="65" t="inlineStr">
        <x:is>
          <x:t xml:space="preserve">OPEN</x:t>
        </x:is>
      </x:c>
      <x:c r="G32" s="65" t="inlineStr">
        <x:is>
          <x:t xml:space="preserve">2026-10-16</x:t>
        </x:is>
      </x:c>
      <x:c r="H32" s="65" t="inlineStr">
        <x:is>
          <x:t xml:space="preserve">2026-10-16</x:t>
        </x:is>
      </x:c>
      <x:c r="I32" s="65" t="inlineStr">
        <x:is>
          <x:t xml:space="preserve">2026-10-19</x:t>
        </x:is>
      </x:c>
      <x:c r="J32" s="65" t="inlineStr">
        <x:is>
          <x:t xml:space="preserve">Artificial Analysis Intelligence Index</x:t>
        </x:is>
      </x:c>
      <x:c r="K32" s="65" t="n"/>
      <x:c r="L32" s="65" t="inlineStr">
        <x:is>
          <x:t xml:space="preserve">max</x:t>
        </x:is>
      </x:c>
      <x:c r="M32" s="65" t="inlineStr">
        <x:is>
          <x:t xml:space="preserve">Independent score56 verified; speed, latency and execution date absent; no per-token API price.</x:t>
        </x:is>
      </x:c>
      <x:c r="N32" s="65" t="inlineStr">
        <x:is>
          <x:t xml:space="preserve">Append exact endpoint/harness measurements if published; cost remains not applicable unless pricing changes.</x:t>
        </x:is>
      </x:c>
      <x:c r="O32" s="65" t="inlineStr">
        <x:is>
          <x:t xml:space="preserve">https://artificialanalysis.ai/models/muse-wonder-full</x:t>
        </x:is>
      </x:c>
      <x:c r="P32" s="65" t="inlineStr">
        <x:is>
          <x:t xml:space="preserve">Reconfirmed direct AA page 2026-10-16: score56, 140M index output tokens, 1M context; no public API cost, measured output speed or TTFT. Keep OPEN; do not substitute Wonder economics.</x:t>
        </x:is>
      </x:c>
      <x:c r="Q32" s="65" t="inlineStr">
        <x:is>
          <x:t xml:space="preserve">AInventory</x:t>
        </x:is>
      </x:c>
    </x:row>
    <x:row r="33">
      <x:c r="A33" s="65" t="inlineStr">
        <x:is>
          <x:t xml:space="preserve">BF-MUSE-FULL-QUAL</x:t>
        </x:is>
      </x:c>
      <x:c r="B33" s="65" t="inlineStr">
        <x:is>
          <x:t xml:space="preserve">meta|muse-wonder-full</x:t>
        </x:is>
      </x:c>
      <x:c r="C33" s="65" t="inlineStr">
        <x:is>
          <x:t xml:space="preserve">Muse Wonder Full</x:t>
        </x:is>
      </x:c>
      <x:c r="D33" s="65" t="inlineStr">
        <x:is>
          <x:t xml:space="preserve">new endpoint/model</x:t>
        </x:is>
      </x:c>
      <x:c r="E33" s="65" t="inlineStr">
        <x:is>
          <x:t xml:space="preserve">qualitative role assessment</x:t>
        </x:is>
      </x:c>
      <x:c r="F33" s="65" t="inlineStr">
        <x:is>
          <x:t xml:space="preserve">OPEN</x:t>
        </x:is>
      </x:c>
      <x:c r="G33" s="65" t="inlineStr">
        <x:is>
          <x:t xml:space="preserve">2026-10-16</x:t>
        </x:is>
      </x:c>
      <x:c r="H33" s="65" t="inlineStr">
        <x:is>
          <x:t xml:space="preserve">2026-10-16</x:t>
        </x:is>
      </x:c>
      <x:c r="I33" s="65" t="inlineStr">
        <x:is>
          <x:t xml:space="preserve">2026-10-19</x:t>
        </x:is>
      </x:c>
      <x:c r="J33" s="65" t="inlineStr">
        <x:is>
          <x:t xml:space="preserve">Artificial Analysis Intelligence Index</x:t>
        </x:is>
      </x:c>
      <x:c r="K33" s="65" t="n"/>
      <x:c r="L33" s="65" t="inlineStr">
        <x:is>
          <x:t xml:space="preserve">all</x:t>
        </x:is>
      </x:c>
      <x:c r="M33" s="65" t="inlineStr">
        <x:is>
          <x:t xml:space="preserve">No independent role-by-role task sample.</x:t>
        </x:is>
      </x:c>
      <x:c r="N33" s="65" t="inlineStr">
        <x:is>
          <x:t xml:space="preserve">Store dated independent qualitative evidence and confidence.</x:t>
        </x:is>
      </x:c>
      <x:c r="O33" s="65" t="inlineStr">
        <x:is>
          <x:t xml:space="preserve">https://dev.meta.ai/resources/blog/build-with-muse-wonder</x:t>
        </x:is>
      </x:c>
      <x:c r="P33" s="65" t="inlineStr">
        <x:is>
          <x:t xml:space="preserve">Evidence inspected; remaining criteria unresolved.</x:t>
        </x:is>
      </x:c>
      <x:c r="Q33" s="65" t="inlineStr">
        <x:is>
          <x:t xml:space="preserve">AInventory</x:t>
        </x:is>
      </x:c>
    </x:row>
    <x:row r="34" s="14" customFormat="1">
      <x:c r="A34" s="65" t="inlineStr">
        <x:is>
          <x:t xml:space="preserve">BF-GPT61-ULTRAFAST-METRICS</x:t>
        </x:is>
      </x:c>
      <x:c r="B34" s="65" t="inlineStr">
        <x:is>
          <x:t xml:space="preserve">openai|gpt-6-1-sol</x:t>
        </x:is>
      </x:c>
      <x:c r="C34" s="65" t="inlineStr">
        <x:is>
          <x:t xml:space="preserve">GPT-6.1 Sol ultrafast</x:t>
        </x:is>
      </x:c>
      <x:c r="D34" s="65" t="inlineStr">
        <x:is>
          <x:t xml:space="preserve">new endpoint/model</x:t>
        </x:is>
      </x:c>
      <x:c r="E34" s="65" t="inlineStr">
        <x:is>
          <x:t xml:space="preserve">endpoint/tier benchmark</x:t>
        </x:is>
      </x:c>
      <x:c r="F34" s="65" t="inlineStr">
        <x:is>
          <x:t xml:space="preserve">OPEN</x:t>
        </x:is>
      </x:c>
      <x:c r="G34" s="65" t="inlineStr">
        <x:is>
          <x:t xml:space="preserve">2026-10-16</x:t>
        </x:is>
      </x:c>
      <x:c r="H34" s="65" t="inlineStr">
        <x:is>
          <x:t xml:space="preserve">2026-10-16</x:t>
        </x:is>
      </x:c>
      <x:c r="I34" s="65" t="inlineStr">
        <x:is>
          <x:t xml:space="preserve">2026-10-19</x:t>
        </x:is>
      </x:c>
      <x:c r="J34" s="65" t="inlineStr">
        <x:is>
          <x:t xml:space="preserve">Artificial Analysis Intelligence Index</x:t>
        </x:is>
      </x:c>
      <x:c r="K34" s="65" t="n"/>
      <x:c r="L34" s="65" t="inlineStr">
        <x:is>
          <x:t xml:space="preserve">all; service_tier=ultrafast</x:t>
        </x:is>
      </x:c>
      <x:c r="M34" s="65" t="inlineStr">
        <x:is>
          <x:t xml:space="preserve">Official Oct8 service tier confirmed; no matched independent latency/cost measurements.</x:t>
        </x:is>
      </x:c>
      <x:c r="N34" s="65" t="inlineStr">
        <x:is>
          <x:t xml:space="preserve">Verify independent effort, API tier, prompt workload, benchmark version and date; never reuse standard-tier speed.</x:t>
        </x:is>
      </x:c>
      <x:c r="O34" s="65" t="inlineStr">
        <x:is>
          <x:t xml:space="preserve">https://developers.openai.com/api/docs/changelog/</x:t>
        </x:is>
      </x:c>
      <x:c r="P34" s="65" t="inlineStr">
        <x:is>
          <x:t xml:space="preserve">Evidence inspected; remaining criteria unresolved.</x:t>
        </x:is>
      </x:c>
      <x:c r="Q34" s="65" t="inlineStr">
        <x:is>
          <x:t xml:space="preserve">AInventory</x:t>
        </x:is>
      </x:c>
    </x:row>
    <x:row r="35" s="14" customFormat="1">
      <x:c r="A35" s="65" t="inlineStr">
        <x:is>
          <x:t xml:space="preserve">BF-DEEPSEEK-V4-PRO-0813-QUAL</x:t>
        </x:is>
      </x:c>
      <x:c r="B35" s="65" t="inlineStr">
        <x:is>
          <x:t xml:space="preserve">deepseek|deepseek-v4-pro-0813</x:t>
        </x:is>
      </x:c>
      <x:c r="C35" s="65" t="inlineStr">
        <x:is>
          <x:t xml:space="preserve">DeepSeek V4 Pro 0813</x:t>
        </x:is>
      </x:c>
      <x:c r="D35" s="65" t="inlineStr">
        <x:is>
          <x:t xml:space="preserve">new tracked model</x:t>
        </x:is>
      </x:c>
      <x:c r="E35" s="65" t="inlineStr">
        <x:is>
          <x:t xml:space="preserve">qualitative role assessment</x:t>
        </x:is>
      </x:c>
      <x:c r="F35" s="65" t="inlineStr">
        <x:is>
          <x:t xml:space="preserve">OPEN</x:t>
        </x:is>
      </x:c>
      <x:c r="G35" s="65" t="inlineStr">
        <x:is>
          <x:t xml:space="preserve">2026-10-16</x:t>
        </x:is>
      </x:c>
      <x:c r="H35" s="65" t="inlineStr">
        <x:is>
          <x:t xml:space="preserve">2026-10-16</x:t>
        </x:is>
      </x:c>
      <x:c r="I35" s="65" t="inlineStr">
        <x:is>
          <x:t xml:space="preserve">2026-10-19</x:t>
        </x:is>
      </x:c>
      <x:c r="J35" s="65" t="n"/>
      <x:c r="K35" s="65" t="n"/>
      <x:c r="L35" s="65" t="inlineStr">
        <x:is>
          <x:t xml:space="preserve">all</x:t>
        </x:is>
      </x:c>
      <x:c r="M35" s="65" t="inlineStr">
        <x:is>
          <x:t xml:space="preserve">No independently sourced role-level assessment has been imported.</x:t>
        </x:is>
      </x:c>
      <x:c r="N35" s="65" t="inlineStr">
        <x:is>
          <x:t xml:space="preserve">Record dated workload, evidence and confidence before assigning role ratings.</x:t>
        </x:is>
      </x:c>
      <x:c r="O35" s="65" t="inlineStr">
        <x:is>
          <x:t xml:space="preserve">https://artificialanalysis.ai/models/deepseek-v4-pro-non-reasoning</x:t>
        </x:is>
      </x:c>
      <x:c r="P35" s="65" t="inlineStr">
        <x:is>
          <x:t xml:space="preserve">Quantitative AA evidence imported; qualitative ratings deliberately blank.</x:t>
        </x:is>
      </x:c>
      <x:c r="Q35" s="65" t="inlineStr">
        <x:is>
          <x:t xml:space="preserve">AInventory</x:t>
        </x:is>
      </x:c>
    </x:row>
    <x:row r="36" s="14" customFormat="1">
      <x:c r="A36" s="65" t="inlineStr">
        <x:is>
          <x:t xml:space="preserve">BF-GPT-5-6-TERRA-QUAL</x:t>
        </x:is>
      </x:c>
      <x:c r="B36" s="65" t="inlineStr">
        <x:is>
          <x:t xml:space="preserve">openai|gpt-5-6-terra</x:t>
        </x:is>
      </x:c>
      <x:c r="C36" s="65" t="inlineStr">
        <x:is>
          <x:t xml:space="preserve">GPT-5.6 Terra</x:t>
        </x:is>
      </x:c>
      <x:c r="D36" s="65" t="inlineStr">
        <x:is>
          <x:t xml:space="preserve">new tracked model</x:t>
        </x:is>
      </x:c>
      <x:c r="E36" s="65" t="inlineStr">
        <x:is>
          <x:t xml:space="preserve">qualitative role assessment</x:t>
        </x:is>
      </x:c>
      <x:c r="F36" s="65" t="inlineStr">
        <x:is>
          <x:t xml:space="preserve">OPEN</x:t>
        </x:is>
      </x:c>
      <x:c r="G36" s="65" t="inlineStr">
        <x:is>
          <x:t xml:space="preserve">2026-10-16</x:t>
        </x:is>
      </x:c>
      <x:c r="H36" s="65" t="inlineStr">
        <x:is>
          <x:t xml:space="preserve">2026-10-16</x:t>
        </x:is>
      </x:c>
      <x:c r="I36" s="65" t="inlineStr">
        <x:is>
          <x:t xml:space="preserve">2026-10-19</x:t>
        </x:is>
      </x:c>
      <x:c r="J36" s="65" t="n"/>
      <x:c r="K36" s="65" t="n"/>
      <x:c r="L36" s="65" t="inlineStr">
        <x:is>
          <x:t xml:space="preserve">all</x:t>
        </x:is>
      </x:c>
      <x:c r="M36" s="65" t="inlineStr">
        <x:is>
          <x:t xml:space="preserve">No independently sourced role-level assessment has been imported.</x:t>
        </x:is>
      </x:c>
      <x:c r="N36" s="65" t="inlineStr">
        <x:is>
          <x:t xml:space="preserve">Record dated workload, evidence and confidence before assigning role ratings.</x:t>
        </x:is>
      </x:c>
      <x:c r="O36" s="65" t="inlineStr">
        <x:is>
          <x:t xml:space="preserve">https://artificialanalysis.ai/models/gpt-5-6-terra</x:t>
        </x:is>
      </x:c>
      <x:c r="P36" s="65" t="inlineStr">
        <x:is>
          <x:t xml:space="preserve">Quantitative AA evidence imported; qualitative ratings deliberately blank.</x:t>
        </x:is>
      </x:c>
      <x:c r="Q36" s="65" t="inlineStr">
        <x:is>
          <x:t xml:space="preserve">AInventory</x:t>
        </x:is>
      </x:c>
    </x:row>
    <x:row r="37" s="14" customFormat="1">
      <x:c r="A37" s="65" t="inlineStr">
        <x:is>
          <x:t xml:space="preserve">BF-ARGON-LOW-AA-RESULT</x:t>
        </x:is>
      </x:c>
      <x:c r="B37" s="65" t="inlineStr">
        <x:is>
          <x:t xml:space="preserve">google|gemini-4-argon</x:t>
        </x:is>
      </x:c>
      <x:c r="C37" s="65" t="inlineStr">
        <x:is>
          <x:t xml:space="preserve">Gemini 4 Argon</x:t>
        </x:is>
      </x:c>
      <x:c r="D37" s="65" t="inlineStr">
        <x:is>
          <x:t xml:space="preserve">supported API effort</x:t>
        </x:is>
      </x:c>
      <x:c r="E37" s="65" t="inlineStr">
        <x:is>
          <x:t xml:space="preserve">AA score/cost/timing</x:t>
        </x:is>
      </x:c>
      <x:c r="F37" s="65" t="inlineStr">
        <x:is>
          <x:t xml:space="preserve">OPEN</x:t>
        </x:is>
      </x:c>
      <x:c r="G37" s="65" t="inlineStr">
        <x:is>
          <x:t xml:space="preserve">2026-10-17</x:t>
        </x:is>
      </x:c>
      <x:c r="H37" s="65" t="inlineStr">
        <x:is>
          <x:t xml:space="preserve">2026-10-17</x:t>
        </x:is>
      </x:c>
      <x:c r="I37" s="65" t="inlineStr">
        <x:is>
          <x:t xml:space="preserve">2026-10-24</x:t>
        </x:is>
      </x:c>
      <x:c r="J37" s="65" t="inlineStr">
        <x:is>
          <x:t xml:space="preserve">Artificial Analysis Intelligence Index</x:t>
        </x:is>
      </x:c>
      <x:c r="K37" s="65" t="inlineStr">
        <x:is>
          <x:t xml:space="preserve">v4.3.2</x:t>
        </x:is>
      </x:c>
      <x:c r="L37" s="65" t="inlineStr">
        <x:is>
          <x:t xml:space="preserve">low</x:t>
        </x:is>
      </x:c>
      <x:c r="M37" s="65" t="inlineStr">
        <x:is>
          <x:t xml:space="preserve">Google documents low thinking support, but the AA model page and provider page expose only High; no Low result page or score/cost was found.</x:t>
        </x:is>
      </x:c>
      <x:c r="N37" s="65" t="inlineStr">
        <x:is>
          <x:t xml:space="preserve">Recheck official model docs and AA direct pages. Add numeric fields only when AA publishes a Low-specific evaluation; retain as unscored configuration until then.</x:t>
        </x:is>
      </x:c>
      <x:c r="O37" s="65" t="inlineStr">
        <x:is>
          <x:t xml:space="preserve">https://ai.google.dev/gemini-api/docs/models/gemini-4-argon; https://artificialanalysis.ai/models/gemini-4-argon; https://artificialanalysis.ai/models/gemini-4-argon/providers</x:t>
        </x:is>
      </x:c>
      <x:c r="P37" s="65" t="inlineStr">
        <x:is>
          <x:t xml:space="preserve">Checked 2026-10-17. Official API supports low; AA currently publishes only High. No score or cost inferred.</x:t>
        </x:is>
      </x:c>
      <x:c r="Q37" s="65" t="inlineStr">
        <x:is>
          <x:t xml:space="preserve">AInventory</x:t>
        </x:is>
      </x:c>
    </x:row>
    <x:row r="38" s="14" customFormat="1">
      <x:c r="A38" s="65" t="inlineStr">
        <x:is>
          <x:t xml:space="preserve">BF-GEMINI38-HIGH-TIMING-RECONCILE</x:t>
        </x:is>
      </x:c>
      <x:c r="B38" s="65" t="inlineStr">
        <x:is>
          <x:t xml:space="preserve">google|gemini-3-8-flash</x:t>
        </x:is>
      </x:c>
      <x:c r="C38" s="65" t="inlineStr">
        <x:is>
          <x:t xml:space="preserve">Gemini 3.8 Flash</x:t>
        </x:is>
      </x:c>
      <x:c r="D38" s="65" t="inlineStr">
        <x:is>
          <x:t xml:space="preserve">existing model</x:t>
        </x:is>
      </x:c>
      <x:c r="E38" s="65" t="inlineStr">
        <x:is>
          <x:t xml:space="preserve">AA time-per-task snapshot reconciliation</x:t>
        </x:is>
      </x:c>
      <x:c r="F38" s="65" t="inlineStr">
        <x:is>
          <x:t xml:space="preserve">CLOSED</x:t>
        </x:is>
      </x:c>
      <x:c r="G38" s="65" t="inlineStr">
        <x:is>
          <x:t xml:space="preserve">2026-10-17</x:t>
        </x:is>
      </x:c>
      <x:c r="H38" s="65" t="inlineStr">
        <x:is>
          <x:t xml:space="preserve">2026-10-17</x:t>
        </x:is>
      </x:c>
      <x:c r="I38" s="65" t="n"/>
      <x:c r="J38" s="65" t="inlineStr">
        <x:is>
          <x:t xml:space="preserve">Artificial Analysis Intelligence Index</x:t>
        </x:is>
      </x:c>
      <x:c r="K38" s="65" t="inlineStr">
        <x:is>
          <x:t xml:space="preserve">v4.3.2</x:t>
        </x:is>
      </x:c>
      <x:c r="L38" s="65" t="inlineStr">
        <x:is>
          <x:t xml:space="preserve">high</x:t>
        </x:is>
      </x:c>
      <x:c r="M38" s="65" t="inlineStr">
        <x:is>
          <x:t xml:space="preserve">Current direct model and comparison pages report different High output-speed/time-per-task snapshots; exact weighted task time cannot be tied to one consistent page snapshot.</x:t>
        </x:is>
      </x:c>
      <x:c r="N38" s="65" t="inlineStr">
        <x:is>
          <x:t xml:space="preserve">On next scheduled source check, compare current direct model, provider, and exact comparison pages. Keep the Explorer task-time field blank until sources reconcile; preserve every dated observation.</x:t>
        </x:is>
      </x:c>
      <x:c r="O38" s="65" t="inlineStr">
        <x:is>
          <x:t xml:space="preserve">https://artificialanalysis.ai/models/gemini-3-8-flash; https://artificialanalysis.ai/models/comparisons/gemini-3-8-flash-vs-gemini-3-8-flash-medium; https://artificialanalysis.ai/models/comparisons/gemini-3-8-flash-vs-gemini-3-8-flash-low</x:t>
        </x:is>
      </x:c>
      <x:c r="P38" s="65" t="inlineStr">
        <x:is>
          <x:t xml:space="preserve">Live sources now agree: standalone model page raw weighted decode 473.982s (comparison pages display 473.98s), first-answer latency 22.59s, and E2E 25.99s. Prior 24.43s / missing task-time values were stale. Track the separate 170M vs 172M index-token discrepancy under BF-GEMINI38-INDEX-TOKENS.</x:t>
        </x:is>
      </x:c>
      <x:c r="Q38" s="65" t="inlineStr">
        <x:is>
          <x:t xml:space="preserve">AInventory</x:t>
        </x:is>
      </x:c>
    </x:row>
    <x:row r="39">
      <x:c r="A39" s="65" t="inlineStr">
        <x:is>
          <x:t xml:space="preserve">BF-GEMINI38-INDEX-TOKENS</x:t>
        </x:is>
      </x:c>
      <x:c r="B39" s="65" t="inlineStr">
        <x:is>
          <x:t xml:space="preserve">google|gemini-3-8-flash</x:t>
        </x:is>
      </x:c>
      <x:c r="C39" s="65" t="inlineStr">
        <x:is>
          <x:t xml:space="preserve">Gemini 3.8 Flash</x:t>
        </x:is>
      </x:c>
      <x:c r="D39" s="65" t="inlineStr">
        <x:is>
          <x:t xml:space="preserve">existing model</x:t>
        </x:is>
      </x:c>
      <x:c r="E39" s="65" t="inlineStr">
        <x:is>
          <x:t xml:space="preserve">AA output-token cross-page discrepancy</x:t>
        </x:is>
      </x:c>
      <x:c r="F39" s="65" t="inlineStr">
        <x:is>
          <x:t xml:space="preserve">OPEN</x:t>
        </x:is>
      </x:c>
      <x:c r="G39" s="65" t="inlineStr">
        <x:is>
          <x:t xml:space="preserve">2026-10-17</x:t>
        </x:is>
      </x:c>
      <x:c r="H39" s="65" t="inlineStr">
        <x:is>
          <x:t xml:space="preserve">2026-10-17</x:t>
        </x:is>
      </x:c>
      <x:c r="I39" s="65" t="inlineStr">
        <x:is>
          <x:t xml:space="preserve">2026-10-24</x:t>
        </x:is>
      </x:c>
      <x:c r="J39" s="65" t="inlineStr">
        <x:is>
          <x:t xml:space="preserve">Artificial Analysis Intelligence Index</x:t>
        </x:is>
      </x:c>
      <x:c r="K39" s="65" t="inlineStr">
        <x:is>
          <x:t xml:space="preserve">v4.3.2</x:t>
        </x:is>
      </x:c>
      <x:c r="L39" s="65" t="inlineStr">
        <x:is>
          <x:t xml:space="preserve">high</x:t>
        </x:is>
      </x:c>
      <x:c r="M39" s="65" t="inlineStr">
        <x:is>
          <x:t xml:space="preserve">The live standalone model page reports 170M output tokens from the Intelligence Index while both live High-vs-Medium and High-vs-Low comparison pages report 172M. The source does not explain the 2M difference.</x:t>
        </x:is>
      </x:c>
      <x:c r="N39" s="65" t="inlineStr">
        <x:is>
          <x:t xml:space="preserve">Recheck all three official pages on each refresh. Close only when the pages align or AA documents why the outputs differ; preserve each source value until then.</x:t>
        </x:is>
      </x:c>
      <x:c r="O39" s="65" t="inlineStr">
        <x:is>
          <x:t xml:space="preserve">https://artificialanalysis.ai/models/gemini-3-8-flash; https://artificialanalysis.ai/models/comparisons/gemini-3-8-flash-vs-gemini-3-8-flash-medium; https://artificialanalysis.ai/models/comparisons/gemini-3-8-flash-vs-gemini-3-8-flash-low</x:t>
        </x:is>
      </x:c>
      <x:c r="P39" s="65" t="inlineStr">
        <x:is>
          <x:t xml:space="preserve">Live HTML reconfirmed on 2026-10-17: direct overview 170M; both comparisons 172M. Timing metrics agree. Keep OPEN for token-count mismatch only.</x:t>
        </x:is>
      </x:c>
      <x:c r="Q39" s="65" t="inlineStr">
        <x:is>
          <x:t xml:space="preserve">AInventory</x:t>
        </x:is>
      </x:c>
    </x:row>
  </x:sheetData>
  <x:pageMargins left="0.7" right="0.7" top="0.75" bottom="0.75" header="0.3" footer="0.3"/>
</x:worksheet>
</file>

<file path=xl/worksheets/sheet35.xml><?xml version="1.0" encoding="utf-8"?>
<x:worksheet xmlns:x="http://schemas.openxmlformats.org/spreadsheetml/2006/main">
  <x:sheetViews>
    <x:sheetView showGridLines="0" workbookViewId="0">
      <x:pane ySplit="1" topLeftCell="A2" activePane="bottomLeft" state="frozen"/>
    </x:sheetView>
  </x:sheetViews>
  <x:sheetFormatPr baseColWidth="8" defaultRowHeight="15"/>
  <x:cols>
    <x:col min="1" max="1" width="26" style="14" customWidth="1"/>
    <x:col min="2" max="2" width="22" style="14" customWidth="1"/>
    <x:col min="3" max="3" width="38" style="14" customWidth="1"/>
    <x:col min="4" max="4" width="22" style="14" customWidth="1"/>
    <x:col min="5" max="5" width="34" style="14" customWidth="1"/>
    <x:col min="6" max="6" width="32" style="14" customWidth="1"/>
    <x:col min="7" max="7" width="34" style="14" customWidth="1"/>
    <x:col min="8" max="8" width="58" style="14" customWidth="1"/>
    <x:col min="9" max="9" width="60" style="14" customWidth="1"/>
    <x:col min="10" max="10" width="58" style="14" customWidth="1"/>
    <x:col min="11" max="11" width="58" style="14" customWidth="1"/>
    <x:col min="12" max="12" width="18" style="14" customWidth="1"/>
    <x:col min="13" max="13" width="66" style="14" customWidth="1"/>
  </x:cols>
  <x:sheetData>
    <x:row r="1" s="14" customFormat="1" ht="36" customHeight="1">
      <x:c r="A1" s="64" t="inlineStr">
        <x:is>
          <x:t xml:space="preserve">release_review_id</x:t>
        </x:is>
      </x:c>
      <x:c r="B1" s="64" t="inlineStr">
        <x:is>
          <x:t xml:space="preserve">creator</x:t>
        </x:is>
      </x:c>
      <x:c r="C1" s="64" t="inlineStr">
        <x:is>
          <x:t xml:space="preserve">model_or_release</x:t>
        </x:is>
      </x:c>
      <x:c r="D1" s="64" t="inlineStr">
        <x:is>
          <x:t xml:space="preserve">release_or_access_date</x:t>
        </x:is>
      </x:c>
      <x:c r="E1" s="64" t="inlineStr">
        <x:is>
          <x:t xml:space="preserve">availability_status</x:t>
        </x:is>
      </x:c>
      <x:c r="F1" s="64" t="inlineStr">
        <x:is>
          <x:t xml:space="preserve">source_status</x:t>
        </x:is>
      </x:c>
      <x:c r="G1" s="64" t="inlineStr">
        <x:is>
          <x:t xml:space="preserve">core_scope</x:t>
        </x:is>
      </x:c>
      <x:c r="H1" s="64" t="inlineStr">
        <x:is>
          <x:t xml:space="preserve">benchmark_state</x:t>
        </x:is>
      </x:c>
      <x:c r="I1" s="64" t="inlineStr">
        <x:is>
          <x:t xml:space="preserve">inventory_action</x:t>
        </x:is>
      </x:c>
      <x:c r="J1" s="64" t="inlineStr">
        <x:is>
          <x:t xml:space="preserve">primary_source_url</x:t>
        </x:is>
      </x:c>
      <x:c r="K1" s="64" t="inlineStr">
        <x:is>
          <x:t xml:space="preserve">independent_source_url</x:t>
        </x:is>
      </x:c>
      <x:c r="L1" s="64" t="inlineStr">
        <x:is>
          <x:t xml:space="preserve">last_verified_date</x:t>
        </x:is>
      </x:c>
      <x:c r="M1" s="64" t="inlineStr">
        <x:is>
          <x:t xml:space="preserve">notes</x:t>
        </x:is>
      </x:c>
    </x:row>
    <x:row r="2">
      <x:c r="A2" s="65" t="inlineStr">
        <x:is>
          <x:t xml:space="preserve">RR-2026-10-GPT61</x:t>
        </x:is>
      </x:c>
      <x:c r="B2" s="65" t="inlineStr">
        <x:is>
          <x:t xml:space="preserve">OpenAI</x:t>
        </x:is>
      </x:c>
      <x:c r="C2" s="65" t="inlineStr">
        <x:is>
          <x:t xml:space="preserve">GPT-6.1 Sol</x:t>
        </x:is>
      </x:c>
      <x:c r="D2" s="65" t="inlineStr">
        <x:is>
          <x:t xml:space="preserve">2026-09-29</x:t>
        </x:is>
      </x:c>
      <x:c r="E2" s="65" t="inlineStr">
        <x:is>
          <x:t xml:space="preserve">public API / ChatGPT</x:t>
        </x:is>
      </x:c>
      <x:c r="F2" s="65" t="inlineStr">
        <x:is>
          <x:t xml:space="preserve">verified primary release and API identifier</x:t>
        </x:is>
      </x:c>
      <x:c r="G2" s="65" t="inlineStr">
        <x:is>
          <x:t xml:space="preserve">core text/coding/reasoning</x:t>
        </x:is>
      </x:c>
      <x:c r="H2" s="65" t="inlineStr">
        <x:is>
          <x:t xml:space="preserve">AA v4.3.2 measured at low/medium/high/xhigh/max; 5 rows appended</x:t>
        </x:is>
      </x:c>
      <x:c r="I2" s="65" t="inlineStr">
        <x:is>
          <x:t xml:space="preserve">Add as separate family; keep GPT-6 Sol history unchanged; qualitative role follow-up open</x:t>
        </x:is>
      </x:c>
      <x:c r="J2" s="65" t="inlineStr">
        <x:is>
          <x:t xml:space="preserve">https://openai.com/index/gpt-6-astra/</x:t>
        </x:is>
      </x:c>
      <x:c r="K2" s="65" t="inlineStr">
        <x:is>
          <x:t xml:space="preserve">https://artificialanalysis.ai/models/gpt-6-1-sol</x:t>
        </x:is>
      </x:c>
      <x:c r="L2" s="65" t="inlineStr">
        <x:is>
          <x:t xml:space="preserve">2026-10-11</x:t>
        </x:is>
      </x:c>
      <x:c r="M2" s="65" t="inlineStr">
        <x:is>
          <x:t xml:space="preserve">OpenAI update names latest model GPT-6.1 Sol; API changelog should anchor endpoint.</x:t>
        </x:is>
      </x:c>
    </x:row>
    <x:row r="3">
      <x:c r="A3" s="65" t="inlineStr">
        <x:is>
          <x:t xml:space="preserve">RR-2026-10-HAIKU55</x:t>
        </x:is>
      </x:c>
      <x:c r="B3" s="65" t="inlineStr">
        <x:is>
          <x:t xml:space="preserve">Anthropic</x:t>
        </x:is>
      </x:c>
      <x:c r="C3" s="65" t="inlineStr">
        <x:is>
          <x:t xml:space="preserve">Claude Haiku 5.5</x:t>
        </x:is>
      </x:c>
      <x:c r="D3" s="65" t="inlineStr">
        <x:is>
          <x:t xml:space="preserve">2026-10-07</x:t>
        </x:is>
      </x:c>
      <x:c r="E3" s="65" t="inlineStr">
        <x:is>
          <x:t xml:space="preserve">available via API/platforms</x:t>
        </x:is>
      </x:c>
      <x:c r="F3" s="65" t="inlineStr">
        <x:is>
          <x:t xml:space="preserve">verified primary</x:t>
        </x:is>
      </x:c>
      <x:c r="G3" s="65" t="inlineStr">
        <x:is>
          <x:t xml:space="preserve">core text/coding/reasoning and image input</x:t>
        </x:is>
      </x:c>
      <x:c r="H3" s="65" t="inlineStr">
        <x:is>
          <x:t xml:space="preserve">AA v4.3.2 measured at five effort levels; 5 rows appended</x:t>
        </x:is>
      </x:c>
      <x:c r="I3" s="65" t="inlineStr">
        <x:is>
          <x:t xml:space="preserve">Add model and effort rows; qualitative assessment remains open</x:t>
        </x:is>
      </x:c>
      <x:c r="J3" s="65" t="inlineStr">
        <x:is>
          <x:t xml:space="preserve">https://www.anthropic.com/claude-haiku-5-5</x:t>
        </x:is>
      </x:c>
      <x:c r="K3" s="65" t="inlineStr">
        <x:is>
          <x:t xml:space="preserve">https://artificialanalysis.ai/models/claude-haiku-5-5</x:t>
        </x:is>
      </x:c>
      <x:c r="L3" s="65" t="inlineStr">
        <x:is>
          <x:t xml:space="preserve">2026-10-11</x:t>
        </x:is>
      </x:c>
      <x:c r="M3" s="65" t="inlineStr">
        <x:is>
          <x:t xml:space="preserve">AA publishes score, output speed, TTFT, task cost and token use for five efforts.</x:t>
        </x:is>
      </x:c>
    </x:row>
    <x:row r="4">
      <x:c r="A4" s="65" t="inlineStr">
        <x:is>
          <x:t xml:space="preserve">RR-2026-10-GEMINI-CYBER</x:t>
        </x:is>
      </x:c>
      <x:c r="B4" s="65" t="inlineStr">
        <x:is>
          <x:t xml:space="preserve">Google</x:t>
        </x:is>
      </x:c>
      <x:c r="C4" s="65" t="inlineStr">
        <x:is>
          <x:t xml:space="preserve">Gemini 3.8 Flash Cyber</x:t>
        </x:is>
      </x:c>
      <x:c r="D4" s="65" t="inlineStr">
        <x:is>
          <x:t xml:space="preserve">2026-09-16</x:t>
        </x:is>
      </x:c>
      <x:c r="E4" s="65" t="inlineStr">
        <x:is>
          <x:t xml:space="preserve">trusted-defender restricted</x:t>
        </x:is>
      </x:c>
      <x:c r="F4" s="65" t="inlineStr">
        <x:is>
          <x:t xml:space="preserve">verified official model lifecycle</x:t>
        </x:is>
      </x:c>
      <x:c r="G4" s="65" t="inlineStr">
        <x:is>
          <x:t xml:space="preserve">restricted cybersecurity track</x:t>
        </x:is>
      </x:c>
      <x:c r="H4" s="65" t="inlineStr">
        <x:is>
          <x:t xml:space="preserve">No independent comparable public benchmark imported</x:t>
        </x:is>
      </x:c>
      <x:c r="I4" s="65" t="inlineStr">
        <x:is>
          <x:t xml:space="preserve">Add limited-access catalog record; retain open benchmark follow-up</x:t>
        </x:is>
      </x:c>
      <x:c r="J4" s="65" t="inlineStr">
        <x:is>
          <x:t xml:space="preserve">https://docs.cloud.google.com/gemini-enterprise-agent-platform/models/model-versions</x:t>
        </x:is>
      </x:c>
      <x:c r="K4" s="65" t="inlineStr">
        <x:is>
          <x:t xml:space="preserve">https://artificialanalysis.ai/models/gemini-3-8-flash-cyber</x:t>
        </x:is>
      </x:c>
      <x:c r="L4" s="65" t="inlineStr">
        <x:is>
          <x:t xml:space="preserve">2026-10-11</x:t>
        </x:is>
      </x:c>
      <x:c r="M4" s="65" t="inlineStr">
        <x:is>
          <x:t xml:space="preserve">Do not treat vendor claims or a restricted endpoint as a general-public result.</x:t>
        </x:is>
      </x:c>
    </x:row>
    <x:row r="5">
      <x:c r="A5" s="65" t="inlineStr">
        <x:is>
          <x:t xml:space="preserve">RR-2026-10-GEMINI-LIVE</x:t>
        </x:is>
      </x:c>
      <x:c r="B5" s="65" t="inlineStr">
        <x:is>
          <x:t xml:space="preserve">Google</x:t>
        </x:is>
      </x:c>
      <x:c r="C5" s="65" t="inlineStr">
        <x:is>
          <x:t xml:space="preserve">Gemini 3.8 Live and Live Extended Thinking</x:t>
        </x:is>
      </x:c>
      <x:c r="D5" s="65" t="inlineStr">
        <x:is>
          <x:t xml:space="preserve">2026-09-15</x:t>
        </x:is>
      </x:c>
      <x:c r="E5" s="65" t="inlineStr">
        <x:is>
          <x:t xml:space="preserve">Gemini API / AI Studio</x:t>
        </x:is>
      </x:c>
      <x:c r="F5" s="65" t="inlineStr">
        <x:is>
          <x:t xml:space="preserve">verified primary announcement and model card</x:t>
        </x:is>
      </x:c>
      <x:c r="G5" s="65" t="inlineStr">
        <x:is>
          <x:t xml:space="preserve">audio/realtime; outside text-only leaderboard</x:t>
        </x:is>
      </x:c>
      <x:c r="H5" s="65" t="inlineStr">
        <x:is>
          <x:t xml:space="preserve">No modality-matched independent benchmark imported</x:t>
        </x:is>
      </x:c>
      <x:c r="I5" s="65" t="inlineStr">
        <x:is>
          <x:t xml:space="preserve">Keep in separate audio track; persistent benchmark follow-up for each endpoint</x:t>
        </x:is>
      </x:c>
      <x:c r="J5" s="65" t="inlineStr">
        <x:is>
          <x:t xml:space="preserve">https://blog.google/innovation-and-ai/technology/developers-tools/build-real-time-voice-applications-gemini-audio/</x:t>
        </x:is>
      </x:c>
      <x:c r="K5" s="65" t="inlineStr">
        <x:is>
          <x:t xml:space="preserve">https://deepmind.google/models/model-cards/gemini-3-8-audio/</x:t>
        </x:is>
      </x:c>
      <x:c r="L5" s="65" t="inlineStr">
        <x:is>
          <x:t xml:space="preserve">2026-10-11</x:t>
        </x:is>
      </x:c>
      <x:c r="M5" s="65" t="inlineStr">
        <x:is>
          <x:t xml:space="preserve">Model card describes audio/video/text input with audio/text output; compare only within modality.</x:t>
        </x:is>
      </x:c>
    </x:row>
    <x:row r="6">
      <x:c r="A6" s="65" t="inlineStr">
        <x:is>
          <x:t xml:space="preserve">RR-2026-10-GEMINI-TTS</x:t>
        </x:is>
      </x:c>
      <x:c r="B6" s="65" t="inlineStr">
        <x:is>
          <x:t xml:space="preserve">Google</x:t>
        </x:is>
      </x:c>
      <x:c r="C6" s="65" t="inlineStr">
        <x:is>
          <x:t xml:space="preserve">Gemini 3.8 Flash TTS and Flash-Lite TTS</x:t>
        </x:is>
      </x:c>
      <x:c r="D6" s="65" t="inlineStr">
        <x:is>
          <x:t xml:space="preserve">2026-09-23</x:t>
        </x:is>
      </x:c>
      <x:c r="E6" s="65" t="inlineStr">
        <x:is>
          <x:t xml:space="preserve">announced product/API variants</x:t>
        </x:is>
      </x:c>
      <x:c r="F6" s="65" t="inlineStr">
        <x:is>
          <x:t xml:space="preserve">verified primary announcement</x:t>
        </x:is>
      </x:c>
      <x:c r="G6" s="65" t="inlineStr">
        <x:is>
          <x:t xml:space="preserve">speech generation; separate TTS track</x:t>
        </x:is>
      </x:c>
      <x:c r="H6" s="65" t="inlineStr">
        <x:is>
          <x:t xml:space="preserve">No modality-matched independent benchmark imported</x:t>
        </x:is>
      </x:c>
      <x:c r="I6" s="65" t="inlineStr">
        <x:is>
          <x:t xml:space="preserve">Keep separate from text/code ranking; follow up for TTS quality/latency/cost data</x:t>
        </x:is>
      </x:c>
      <x:c r="J6" s="65" t="inlineStr">
        <x:is>
          <x:t xml:space="preserve">https://blog.google/innovation-and-ai/models-and-research/gemini-models/gemini-3-8-text-to-speech/</x:t>
        </x:is>
      </x:c>
      <x:c r="K6" s="65" t="inlineStr">
        <x:is>
          <x:t xml:space="preserve">https://blog.google/innovation-and-ai/models-and-research/gemini-models/gemini-3-8-text-to-speech/</x:t>
        </x:is>
      </x:c>
      <x:c r="L6" s="65" t="inlineStr">
        <x:is>
          <x:t xml:space="preserve">2026-10-11</x:t>
        </x:is>
      </x:c>
      <x:c r="M6" s="65" t="inlineStr">
        <x:is>
          <x:t xml:space="preserve">Separate endpoint/model variants are preserved; do not rank against text-only tasks.</x:t>
        </x:is>
      </x:c>
    </x:row>
    <x:row r="7">
      <x:c r="A7" s="65" t="inlineStr">
        <x:is>
          <x:t xml:space="preserve">RR-2026-10-MISTRAL4</x:t>
        </x:is>
      </x:c>
      <x:c r="B7" s="65" t="inlineStr">
        <x:is>
          <x:t xml:space="preserve">Mistral</x:t>
        </x:is>
      </x:c>
      <x:c r="C7" s="65" t="inlineStr">
        <x:is>
          <x:t xml:space="preserve">Mistral Large 4 Preview</x:t>
        </x:is>
      </x:c>
      <x:c r="D7" s="65" t="inlineStr">
        <x:is>
          <x:t xml:space="preserve">2026-10-06</x:t>
        </x:is>
      </x:c>
      <x:c r="E7" s="65" t="inlineStr">
        <x:is>
          <x:t xml:space="preserve">public API preview; weights planned later in Oct</x:t>
        </x:is>
      </x:c>
      <x:c r="F7" s="65" t="inlineStr">
        <x:is>
          <x:t xml:space="preserve">verified primary announcement</x:t>
        </x:is>
      </x:c>
      <x:c r="G7" s="65" t="inlineStr">
        <x:is>
          <x:t xml:space="preserve">core text/image reasoning; preview</x:t>
        </x:is>
      </x:c>
      <x:c r="H7" s="65" t="inlineStr">
        <x:is>
          <x:t xml:space="preserve">AA v4.3.2 score 38, $1.13/task, 200M output tokens; speed N/A</x:t>
        </x:is>
      </x:c>
      <x:c r="I7" s="65" t="inlineStr">
        <x:is>
          <x:t xml:space="preserve">Add preview catalog row and aggregate measurement; keep weight availability and speed follow-ups open</x:t>
        </x:is>
      </x:c>
      <x:c r="J7" s="65" t="inlineStr">
        <x:is>
          <x:t xml:space="preserve">https://mistral.ai/news/mistral-large-4/</x:t>
        </x:is>
      </x:c>
      <x:c r="K7" s="65" t="inlineStr">
        <x:is>
          <x:t xml:space="preserve">https://artificialanalysis.ai/models/mistral-large-4/</x:t>
        </x:is>
      </x:c>
      <x:c r="L7" s="65" t="inlineStr">
        <x:is>
          <x:t xml:space="preserve">2026-10-11</x:t>
        </x:is>
      </x:c>
      <x:c r="M7" s="65" t="inlineStr">
        <x:is>
          <x:t xml:space="preserve">Current AA page gives 520k in FAQ/524k in summary; discrepancy is tracked.</x:t>
        </x:is>
      </x:c>
    </x:row>
    <x:row r="8">
      <x:c r="A8" s="65" t="inlineStr">
        <x:is>
          <x:t xml:space="preserve">RR-2026-10-BEAM</x:t>
        </x:is>
      </x:c>
      <x:c r="B8" s="65" t="inlineStr">
        <x:is>
          <x:t xml:space="preserve">Reflection</x:t>
        </x:is>
      </x:c>
      <x:c r="C8" s="65" t="inlineStr">
        <x:is>
          <x:t xml:space="preserve">Beam</x:t>
        </x:is>
      </x:c>
      <x:c r="D8" s="65" t="inlineStr">
        <x:is>
          <x:t xml:space="preserve">2026-10-05</x:t>
        </x:is>
      </x:c>
      <x:c r="E8" s="65" t="inlineStr">
        <x:is>
          <x:t xml:space="preserve">limited early access announced; public checkpoint/license not verified</x:t>
        </x:is>
      </x:c>
      <x:c r="F8" s="65" t="inlineStr">
        <x:is>
          <x:t xml:space="preserve">verified announcement; release artifact pending</x:t>
        </x:is>
      </x:c>
      <x:c r="G8" s="65" t="inlineStr">
        <x:is>
          <x:t xml:space="preserve">potential open-weight general model</x:t>
        </x:is>
      </x:c>
      <x:c r="H8" s="65" t="inlineStr">
        <x:is>
          <x:t xml:space="preserve">No valid independent benchmark entered</x:t>
        </x:is>
      </x:c>
      <x:c r="I8" s="65" t="inlineStr">
        <x:is>
          <x:t xml:space="preserve">Keep as release candidate, not ranked; verify checkpoint/license and independent score</x:t>
        </x:is>
      </x:c>
      <x:c r="J8" s="65" t="inlineStr">
        <x:is>
          <x:t xml:space="preserve">https://www.reflection.ai/blog/introducing-beam</x:t>
        </x:is>
      </x:c>
      <x:c r="K8" s="65" t="inlineStr">
        <x:is>
          <x:t xml:space="preserve">https://www.reflection.ai/blog/introducing-beam</x:t>
        </x:is>
      </x:c>
      <x:c r="L8" s="65" t="inlineStr">
        <x:is>
          <x:t xml:space="preserve">2026-10-11</x:t>
        </x:is>
      </x:c>
      <x:c r="M8" s="65" t="inlineStr">
        <x:is>
          <x:t xml:space="preserve">Vendor launch claims remain separate from independent benchmark observations.</x:t>
        </x:is>
      </x:c>
    </x:row>
    <x:row r="9">
      <x:c r="A9" s="65" t="inlineStr">
        <x:is>
          <x:t xml:space="preserve">RR-2026-10-GROK47</x:t>
        </x:is>
      </x:c>
      <x:c r="B9" s="65" t="inlineStr">
        <x:is>
          <x:t xml:space="preserve">SpaceXAI</x:t>
        </x:is>
      </x:c>
      <x:c r="C9" s="65" t="inlineStr">
        <x:is>
          <x:t xml:space="preserve">Grok 4.7</x:t>
        </x:is>
      </x:c>
      <x:c r="D9" s="65" t="inlineStr">
        <x:is>
          <x:t xml:space="preserve">2026-09-21</x:t>
        </x:is>
      </x:c>
      <x:c r="E9" s="65" t="inlineStr">
        <x:is>
          <x:t xml:space="preserve">API / Cursor / Grok Build</x:t>
        </x:is>
      </x:c>
      <x:c r="F9" s="65" t="inlineStr">
        <x:is>
          <x:t xml:space="preserve">verified primary</x:t>
        </x:is>
      </x:c>
      <x:c r="G9" s="65" t="inlineStr">
        <x:is>
          <x:t xml:space="preserve">core coding/reasoning/knowledge</x:t>
        </x:is>
      </x:c>
      <x:c r="H9" s="65" t="inlineStr">
        <x:is>
          <x:t xml:space="preserve">AA v4.3.2 xhigh score 46, 80.6 t/s, $3.74/task, 240M tokens</x:t>
        </x:is>
      </x:c>
      <x:c r="I9" s="65" t="inlineStr">
        <x:is>
          <x:t xml:space="preserve">Add xhigh independent observation; qualitative and latency follow-ups open</x:t>
        </x:is>
      </x:c>
      <x:c r="J9" s="65" t="inlineStr">
        <x:is>
          <x:t xml:space="preserve">https://x.ai/news/grok-4-7</x:t>
        </x:is>
      </x:c>
      <x:c r="K9" s="65" t="inlineStr">
        <x:is>
          <x:t xml:space="preserve">https://artificialanalysis.ai/models/grok-4-7</x:t>
        </x:is>
      </x:c>
      <x:c r="L9" s="65" t="inlineStr">
        <x:is>
          <x:t xml:space="preserve">2026-10-11</x:t>
        </x:is>
      </x:c>
      <x:c r="M9" s="65" t="inlineStr">
        <x:is>
          <x:t xml:space="preserve">Vendor launch results remain separate from AA independent measurements.</x:t>
        </x:is>
      </x:c>
    </x:row>
    <x:row r="10">
      <x:c r="A10" s="65" t="inlineStr">
        <x:is>
          <x:t xml:space="preserve">RR-2026-10-MIMO26PRO</x:t>
        </x:is>
      </x:c>
      <x:c r="B10" s="65" t="inlineStr">
        <x:is>
          <x:t xml:space="preserve">Xiaomi</x:t>
        </x:is>
      </x:c>
      <x:c r="C10" s="65" t="inlineStr">
        <x:is>
          <x:t xml:space="preserve">MiMo-V2.6-Pro</x:t>
        </x:is>
      </x:c>
      <x:c r="D10" s="65" t="inlineStr">
        <x:is>
          <x:t xml:space="preserve">2026-09-22</x:t>
        </x:is>
      </x:c>
      <x:c r="E10" s="65" t="inlineStr">
        <x:is>
          <x:t xml:space="preserve">released in MiMo-V2.6 series</x:t>
        </x:is>
      </x:c>
      <x:c r="F10" s="65" t="inlineStr">
        <x:is>
          <x:t xml:space="preserve">verified primary release page</x:t>
        </x:is>
      </x:c>
      <x:c r="G10" s="65" t="inlineStr">
        <x:is>
          <x:t xml:space="preserve">core multimodal reasoning</x:t>
        </x:is>
      </x:c>
      <x:c r="H10" s="65" t="inlineStr">
        <x:is>
          <x:t xml:space="preserve">AA direct model page returned internal error; no score imported</x:t>
        </x:is>
      </x:c>
      <x:c r="I10" s="65" t="inlineStr">
        <x:is>
          <x:t xml:space="preserve">Add catalog record only; leave benchmark follow-up until direct independent observation is retrievable</x:t>
        </x:is>
      </x:c>
      <x:c r="J10" s="65" t="inlineStr">
        <x:is>
          <x:t xml:space="preserve">https://mimo.xiaomi.com/mimo-v2-6</x:t>
        </x:is>
      </x:c>
      <x:c r="K10" s="65" t="inlineStr">
        <x:is>
          <x:t xml:space="preserve">https://artificialanalysis.ai/models/mimo-v2-6-pro</x:t>
        </x:is>
      </x:c>
      <x:c r="L10" s="65" t="inlineStr">
        <x:is>
          <x:t xml:space="preserve">2026-10-11</x:t>
        </x:is>
      </x:c>
      <x:c r="M10" s="65" t="inlineStr">
        <x:is>
          <x:t xml:space="preserve">AA index snippets/secondary mirrors are not imported as data until the direct source is verified.</x:t>
        </x:is>
      </x:c>
    </x:row>
    <x:row r="11">
      <x:c r="A11" s="65" t="inlineStr">
        <x:is>
          <x:t xml:space="preserve">RR-2026-10-SOLARMINI4</x:t>
        </x:is>
      </x:c>
      <x:c r="B11" s="65" t="inlineStr">
        <x:is>
          <x:t xml:space="preserve">Upstage</x:t>
        </x:is>
      </x:c>
      <x:c r="C11" s="65" t="inlineStr">
        <x:is>
          <x:t xml:space="preserve">Solar Mini 4</x:t>
        </x:is>
      </x:c>
      <x:c r="D11" s="65" t="inlineStr">
        <x:is>
          <x:t xml:space="preserve">2026-09-22</x:t>
        </x:is>
      </x:c>
      <x:c r="E11" s="65" t="inlineStr">
        <x:is>
          <x:t xml:space="preserve">Upstage Console API / Solar Chat / OpenRouter</x:t>
        </x:is>
      </x:c>
      <x:c r="F11" s="65" t="inlineStr">
        <x:is>
          <x:t xml:space="preserve">verified primary launch; AA release date used</x:t>
        </x:is>
      </x:c>
      <x:c r="G11" s="65" t="inlineStr">
        <x:is>
          <x:t xml:space="preserve">core text reasoning/tool use</x:t>
        </x:is>
      </x:c>
      <x:c r="H11" s="65" t="inlineStr">
        <x:is>
          <x:t xml:space="preserve">AA v4.3.2 score 24, 64.4 t/s, TTFT 1.79s, $0.37/task, 370M tokens</x:t>
        </x:is>
      </x:c>
      <x:c r="I11" s="65" t="inlineStr">
        <x:is>
          <x:t xml:space="preserve">Add measurement; open follow-ups for independent qualitative assessment and context discrepancy</x:t>
        </x:is>
      </x:c>
      <x:c r="J11" s="65" t="inlineStr">
        <x:is>
          <x:t xml:space="preserve">https://www.upstage.ai/blog/en/solar-mini-4</x:t>
        </x:is>
      </x:c>
      <x:c r="K11" s="65" t="inlineStr">
        <x:is>
          <x:t xml:space="preserve">https://artificialanalysis.ai/models/solar-mini4</x:t>
        </x:is>
      </x:c>
      <x:c r="L11" s="65" t="inlineStr">
        <x:is>
          <x:t xml:space="preserve">2026-10-11</x:t>
        </x:is>
      </x:c>
      <x:c r="M11" s="65" t="inlineStr">
        <x:is>
          <x:t xml:space="preserve">Upstage Oct 1 announcement says 512K; AA model page says 1M. Catalog follows official spec pending reconciliation.</x:t>
        </x:is>
      </x:c>
    </x:row>
    <x:row r="12">
      <x:c r="A12" s="65" t="inlineStr">
        <x:is>
          <x:t xml:space="preserve">RR-2026-10-STEP5</x:t>
        </x:is>
      </x:c>
      <x:c r="B12" s="65" t="inlineStr">
        <x:is>
          <x:t xml:space="preserve">StepFun</x:t>
        </x:is>
      </x:c>
      <x:c r="C12" s="65" t="inlineStr">
        <x:is>
          <x:t xml:space="preserve">Step 5 Preview</x:t>
        </x:is>
      </x:c>
      <x:c r="D12" s="65" t="inlineStr">
        <x:is>
          <x:t xml:space="preserve">2026-09-18 (candidate)</x:t>
        </x:is>
      </x:c>
      <x:c r="E12" s="65" t="inlineStr">
        <x:is>
          <x:t xml:space="preserve">candidate / source review pending</x:t>
        </x:is>
      </x:c>
      <x:c r="F12" s="65" t="inlineStr">
        <x:is>
          <x:t xml:space="preserve">primary release source not verified</x:t>
        </x:is>
      </x:c>
      <x:c r="G12" s="65" t="inlineStr">
        <x:is>
          <x:t xml:space="preserve">possible core reasoning model</x:t>
        </x:is>
      </x:c>
      <x:c r="H12" s="65" t="inlineStr">
        <x:is>
          <x:t xml:space="preserve">AA changelog candidate; direct page/identity not fully verified</x:t>
        </x:is>
      </x:c>
      <x:c r="I12" s="65" t="inlineStr">
        <x:is>
          <x:t xml:space="preserve">Preserve candidate; do not import until primary release identity and current AA page are verified</x:t>
        </x:is>
      </x:c>
      <x:c r="J12" s="65" t="inlineStr">
        <x:is>
          <x:t xml:space="preserve">https://www.stepfun.com/</x:t>
        </x:is>
      </x:c>
      <x:c r="K12" s="65" t="inlineStr">
        <x:is>
          <x:t xml:space="preserve">https://artificialanalysis.ai/models/step-5-preview</x:t>
        </x:is>
      </x:c>
      <x:c r="L12" s="65" t="inlineStr">
        <x:is>
          <x:t xml:space="preserve">2026-10-11</x:t>
        </x:is>
      </x:c>
      <x:c r="M12" s="65" t="inlineStr">
        <x:is>
          <x:t xml:space="preserve">Date/model identity remain provisional; persistent source-verification follow-up is open.</x:t>
        </x:is>
      </x:c>
    </x:row>
    <x:row r="13">
      <x:c r="A13" s="65" t="inlineStr">
        <x:is>
          <x:t xml:space="preserve">RR-2026-10-LING31</x:t>
        </x:is>
      </x:c>
      <x:c r="B13" s="65" t="inlineStr">
        <x:is>
          <x:t xml:space="preserve">inclusionAI (Ant Group)</x:t>
        </x:is>
      </x:c>
      <x:c r="C13" s="65" t="inlineStr">
        <x:is>
          <x:t xml:space="preserve">Ling 3.1 Flash</x:t>
        </x:is>
      </x:c>
      <x:c r="D13" s="65" t="inlineStr">
        <x:is>
          <x:t xml:space="preserve">2026-09-29 to 2026-10-03 (candidate)</x:t>
        </x:is>
      </x:c>
      <x:c r="E13" s="65" t="inlineStr">
        <x:is>
          <x:t xml:space="preserve">candidate; primary announcement not verified</x:t>
        </x:is>
      </x:c>
      <x:c r="F13" s="65" t="inlineStr">
        <x:is>
          <x:t xml:space="preserve">source review incomplete</x:t>
        </x:is>
      </x:c>
      <x:c r="G13" s="65" t="inlineStr">
        <x:is>
          <x:t xml:space="preserve">possible core reasoning model</x:t>
        </x:is>
      </x:c>
      <x:c r="H13" s="65" t="inlineStr">
        <x:is>
          <x:t xml:space="preserve">AA changelog candidate; complete current direct page not verified</x:t>
        </x:is>
      </x:c>
      <x:c r="I13" s="65" t="inlineStr">
        <x:is>
          <x:t xml:space="preserve">Preserve candidate; add only after primary release date/model ID and independent observation are verified</x:t>
        </x:is>
      </x:c>
      <x:c r="J13" s="65" t="inlineStr">
        <x:is>
          <x:t xml:space="preserve">https://www.inclusionai.com/</x:t>
        </x:is>
      </x:c>
      <x:c r="K13" s="65" t="inlineStr">
        <x:is>
          <x:t xml:space="preserve">https://artificialanalysis.ai/models/ling-3-1-flash</x:t>
        </x:is>
      </x:c>
      <x:c r="L13" s="65" t="inlineStr">
        <x:is>
          <x:t xml:space="preserve">2026-10-11</x:t>
        </x:is>
      </x:c>
      <x:c r="M13" s="65" t="inlineStr">
        <x:is>
          <x:t xml:space="preserve">Do not rely on scraped or secondary summaries for final record.</x:t>
        </x:is>
      </x:c>
    </x:row>
    <x:row r="14">
      <x:c r="A14" s="65" t="inlineStr">
        <x:is>
          <x:t xml:space="preserve">RR-2026-10-LING30FIN</x:t>
        </x:is>
      </x:c>
      <x:c r="B14" s="65" t="inlineStr">
        <x:is>
          <x:t xml:space="preserve">inclusionAI (Ant Group)</x:t>
        </x:is>
      </x:c>
      <x:c r="C14" s="65" t="inlineStr">
        <x:is>
          <x:t xml:space="preserve">Ling 3.0 Flash-Fin</x:t>
        </x:is>
      </x:c>
      <x:c r="D14" s="65" t="inlineStr">
        <x:is>
          <x:t xml:space="preserve">2026-09-16 (candidate)</x:t>
        </x:is>
      </x:c>
      <x:c r="E14" s="65" t="inlineStr">
        <x:is>
          <x:t xml:space="preserve">candidate; primary announcement not verified</x:t>
        </x:is>
      </x:c>
      <x:c r="F14" s="65" t="inlineStr">
        <x:is>
          <x:t xml:space="preserve">source review incomplete</x:t>
        </x:is>
      </x:c>
      <x:c r="G14" s="65" t="inlineStr">
        <x:is>
          <x:t xml:space="preserve">specialized finance track</x:t>
        </x:is>
      </x:c>
      <x:c r="H14" s="65" t="inlineStr">
        <x:is>
          <x:t xml:space="preserve">Candidate surfaced in benchmark changelog; exact release/model lineage pending</x:t>
        </x:is>
      </x:c>
      <x:c r="I14" s="65" t="inlineStr">
        <x:is>
          <x:t xml:space="preserve">Keep in candidate review; no catalog entry or score until source/identity verified</x:t>
        </x:is>
      </x:c>
      <x:c r="J14" s="65" t="inlineStr">
        <x:is>
          <x:t xml:space="preserve">https://www.inclusionai.com/</x:t>
        </x:is>
      </x:c>
      <x:c r="K14" s="65" t="inlineStr">
        <x:is>
          <x:t xml:space="preserve">https://artificialanalysis.ai</x:t>
        </x:is>
      </x:c>
      <x:c r="L14" s="65" t="inlineStr">
        <x:is>
          <x:t xml:space="preserve">2026-10-11</x:t>
        </x:is>
      </x:c>
      <x:c r="M14" s="65" t="inlineStr">
        <x:is>
          <x:t xml:space="preserve">Candidate/rejection history is preserved; release date remains unverified.</x:t>
        </x:is>
      </x:c>
    </x:row>
    <x:row r="15">
      <x:c r="A15" s="65" t="inlineStr">
        <x:is>
          <x:t xml:space="preserve">RR-2026-10-GPT6-ROLLOUT</x:t>
        </x:is>
      </x:c>
      <x:c r="B15" s="65" t="inlineStr">
        <x:is>
          <x:t xml:space="preserve">OpenAI</x:t>
        </x:is>
      </x:c>
      <x:c r="C15" s="65" t="inlineStr">
        <x:is>
          <x:t xml:space="preserve">GPT-6 consumer rollout update</x:t>
        </x:is>
      </x:c>
      <x:c r="D15" s="65" t="inlineStr">
        <x:is>
          <x:t xml:space="preserve">2026-10-07</x:t>
        </x:is>
      </x:c>
      <x:c r="E15" s="65" t="inlineStr">
        <x:is>
          <x:t xml:space="preserve">consumer rollout update</x:t>
        </x:is>
      </x:c>
      <x:c r="F15" s="65" t="inlineStr">
        <x:is>
          <x:t xml:space="preserve">verified primary; API identity unresolved</x:t>
        </x:is>
      </x:c>
      <x:c r="G15" s="65" t="inlineStr">
        <x:is>
          <x:t xml:space="preserve">existing GPT-6 family, no separate confirmed endpoint</x:t>
        </x:is>
      </x:c>
      <x:c r="H15" s="65" t="inlineStr">
        <x:is>
          <x:t xml:space="preserve">No distinct new benchmarkable API identity established</x:t>
        </x:is>
      </x:c>
      <x:c r="I15" s="65" t="inlineStr">
        <x:is>
          <x:t xml:space="preserve">Do not create duplicate model until the deployed/model ID is documented</x:t>
        </x:is>
      </x:c>
      <x:c r="J15" s="65" t="inlineStr">
        <x:is>
          <x:t xml:space="preserve">https://openai.com/index/gpt-6-astra/</x:t>
        </x:is>
      </x:c>
      <x:c r="K15" s="65" t="inlineStr">
        <x:is>
          <x:t xml:space="preserve">https://developers.openai.com/api/docs/changelog/</x:t>
        </x:is>
      </x:c>
      <x:c r="L15" s="65" t="inlineStr">
        <x:is>
          <x:t xml:space="preserve">2026-10-11</x:t>
        </x:is>
      </x:c>
      <x:c r="M15" s="65" t="inlineStr">
        <x:is>
          <x:t xml:space="preserve">Separate rollout/access from a new underlying model/API version.</x:t>
        </x:is>
      </x:c>
    </x:row>
    <x:row r="16">
      <x:c r="A16" s="65" t="inlineStr">
        <x:is>
          <x:t xml:space="preserve">RR-2026-10-SONNET55-CAVEAT</x:t>
        </x:is>
      </x:c>
      <x:c r="B16" s="65" t="inlineStr">
        <x:is>
          <x:t xml:space="preserve">Anthropic</x:t>
        </x:is>
      </x:c>
      <x:c r="C16" s="65" t="inlineStr">
        <x:is>
          <x:t xml:space="preserve">Claude Sonnet 5.5 corrected structured output</x:t>
        </x:is>
      </x:c>
      <x:c r="D16" s="65" t="inlineStr">
        <x:is>
          <x:t xml:space="preserve">2026-09-28</x:t>
        </x:is>
      </x:c>
      <x:c r="E16" s="65" t="inlineStr">
        <x:is>
          <x:t xml:space="preserve">existing API model with post-release correction</x:t>
        </x:is>
      </x:c>
      <x:c r="F16" s="65" t="inlineStr">
        <x:is>
          <x:t xml:space="preserve">verified primary caveat</x:t>
        </x:is>
      </x:c>
      <x:c r="G16" s="65" t="inlineStr">
        <x:is>
          <x:t xml:space="preserve">existing core family; comparability follow-up</x:t>
        </x:is>
      </x:c>
      <x:c r="H16" s="65" t="inlineStr">
        <x:is>
          <x:t xml:space="preserve">Pre-release AA results may have been affected by structured-output bug</x:t>
        </x:is>
      </x:c>
      <x:c r="I16" s="65" t="inlineStr">
        <x:is>
          <x:t xml:space="preserve">Preserve old runs and retest corrected version; do not overwrite historical result</x:t>
        </x:is>
      </x:c>
      <x:c r="J16" s="65" t="inlineStr">
        <x:is>
          <x:t xml:space="preserve">https://www.anthropic.com/claude-sonnet-5-5</x:t>
        </x:is>
      </x:c>
      <x:c r="K16" s="65" t="inlineStr">
        <x:is>
          <x:t xml:space="preserve">https://artificialanalysis.ai/models/claude-sonnet-5-5</x:t>
        </x:is>
      </x:c>
      <x:c r="L16" s="65" t="inlineStr">
        <x:is>
          <x:t xml:space="preserve">2026-10-11</x:t>
        </x:is>
      </x:c>
      <x:c r="M16" s="65" t="inlineStr">
        <x:is>
          <x:t xml:space="preserve">Existing workbook row retained; version/caveat retest remains open.</x:t>
        </x:is>
      </x:c>
    </x:row>
    <x:row r="17">
      <x:c r="A17" s="65" t="inlineStr">
        <x:is>
          <x:t xml:space="preserve">RR-2026-10-ARGON</x:t>
        </x:is>
      </x:c>
      <x:c r="B17" s="65" t="inlineStr">
        <x:is>
          <x:t xml:space="preserve">Google</x:t>
        </x:is>
      </x:c>
      <x:c r="C17" s="65" t="inlineStr">
        <x:is>
          <x:t xml:space="preserve">Gemini 4 Argon</x:t>
        </x:is>
      </x:c>
      <x:c r="D17" s="65" t="inlineStr">
        <x:is>
          <x:t xml:space="preserve">2026-09-30</x:t>
        </x:is>
      </x:c>
      <x:c r="E17" s="65" t="inlineStr">
        <x:is>
          <x:t xml:space="preserve">public stable Gemini API model; Gemini AI Studio</x:t>
        </x:is>
      </x:c>
      <x:c r="F17" s="65" t="inlineStr">
        <x:is>
          <x:t xml:space="preserve">verified current official model docs and AA page</x:t>
        </x:is>
      </x:c>
      <x:c r="G17" s="65" t="inlineStr">
        <x:is>
          <x:t xml:space="preserve">existing restricted core family</x:t>
        </x:is>
      </x:c>
      <x:c r="H17" s="65" t="inlineStr">
        <x:is>
          <x:t xml:space="preserve">AA v4.3.2 score 53, $1.99/task, 110M output tokens; speed/latency unavailable</x:t>
        </x:is>
      </x:c>
      <x:c r="I17" s="65" t="inlineStr">
        <x:is>
          <x:t xml:space="preserve">No duplicate; append Oct 11 observation and leave speed/qual follow-ups open</x:t>
        </x:is>
      </x:c>
      <x:c r="J17" s="65" t="inlineStr">
        <x:is>
          <x:t xml:space="preserve">https://ai.google.dev/gemini-api/docs/models/gemini-4-argon</x:t>
        </x:is>
      </x:c>
      <x:c r="K17" s="65" t="inlineStr">
        <x:is>
          <x:t xml:space="preserve">https://artificialanalysis.ai/models/gemini-4-argon</x:t>
        </x:is>
      </x:c>
      <x:c r="L17" s="65" t="inlineStr">
        <x:is>
          <x:t xml:space="preserve">2026-10-17</x:t>
        </x:is>
      </x:c>
      <x:c r="M17" s="65" t="inlineStr">
        <x:is>
          <x:t xml:space="preserve">Google docs updated 2026-10-14 show stable gemini-4-argon and thinking levels low/medium/high. AA v4.3.2 currently publishes High only; Low is cataloged as an unscored API configuration.</x:t>
        </x:is>
      </x:c>
    </x:row>
    <x:row r="18">
      <x:c r="A18" s="65" t="inlineStr">
        <x:is>
          <x:t xml:space="preserve">RR-2026-10-GPT6-SOL-LUNA</x:t>
        </x:is>
      </x:c>
      <x:c r="B18" s="65" t="inlineStr">
        <x:is>
          <x:t xml:space="preserve">OpenAI</x:t>
        </x:is>
      </x:c>
      <x:c r="C18" s="65" t="inlineStr">
        <x:is>
          <x:t xml:space="preserve">GPT-6 Sol / GPT-6 Luna consumer/API family</x:t>
        </x:is>
      </x:c>
      <x:c r="D18" s="65" t="inlineStr">
        <x:is>
          <x:t xml:space="preserve">2026-09-22</x:t>
        </x:is>
      </x:c>
      <x:c r="E18" s="65" t="inlineStr">
        <x:is>
          <x:t xml:space="preserve">existing public model family</x:t>
        </x:is>
      </x:c>
      <x:c r="F18" s="65" t="inlineStr">
        <x:is>
          <x:t xml:space="preserve">verified primary</x:t>
        </x:is>
      </x:c>
      <x:c r="G18" s="65" t="inlineStr">
        <x:is>
          <x:t xml:space="preserve">existing core families</x:t>
        </x:is>
      </x:c>
      <x:c r="H18" s="65" t="inlineStr">
        <x:is>
          <x:t xml:space="preserve">Existing workbook entries; current quantitative snapshots are Sep 28</x:t>
        </x:is>
      </x:c>
      <x:c r="I18" s="65" t="inlineStr">
        <x:is>
          <x:t xml:space="preserve">No duplicate; append current effort snapshots on next run and keep missing metrics/provenance open</x:t>
        </x:is>
      </x:c>
      <x:c r="J18" s="65" t="inlineStr">
        <x:is>
          <x:t xml:space="preserve">https://openai.com/index/gpt-6-astra/</x:t>
        </x:is>
      </x:c>
      <x:c r="K18" s="65" t="inlineStr">
        <x:is>
          <x:t xml:space="preserve">https://artificialanalysis.ai/models/gpt-6-sol</x:t>
        </x:is>
      </x:c>
      <x:c r="L18" s="65" t="inlineStr">
        <x:is>
          <x:t xml:space="preserve">2026-10-11</x:t>
        </x:is>
      </x:c>
      <x:c r="M18" s="65" t="inlineStr">
        <x:is>
          <x:t xml:space="preserve">Official release already represented; current model page refresh remains open.</x:t>
        </x:is>
      </x:c>
    </x:row>
    <x:row r="19">
      <x:c r="A19" s="65" t="inlineStr">
        <x:is>
          <x:t xml:space="preserve">RR-2026-10-DEEPSEEKV41</x:t>
        </x:is>
      </x:c>
      <x:c r="B19" s="65" t="inlineStr">
        <x:is>
          <x:t xml:space="preserve">DeepSeek</x:t>
        </x:is>
      </x:c>
      <x:c r="C19" s="65" t="inlineStr">
        <x:is>
          <x:t xml:space="preserve">DeepSeek V4.1 Flash</x:t>
        </x:is>
      </x:c>
      <x:c r="D19" s="65" t="inlineStr">
        <x:is>
          <x:t xml:space="preserve">2026-09-10</x:t>
        </x:is>
      </x:c>
      <x:c r="E19" s="65" t="inlineStr">
        <x:is>
          <x:t xml:space="preserve">public API/model release</x:t>
        </x:is>
      </x:c>
      <x:c r="F19" s="65" t="inlineStr">
        <x:is>
          <x:t xml:space="preserve">verified primary</x:t>
        </x:is>
      </x:c>
      <x:c r="G19" s="65" t="inlineStr">
        <x:is>
          <x:t xml:space="preserve">core but outside date window</x:t>
        </x:is>
      </x:c>
      <x:c r="H19" s="65" t="inlineStr">
        <x:is>
          <x:t xml:space="preserve">Existing benchmark row</x:t>
        </x:is>
      </x:c>
      <x:c r="I19" s="65" t="inlineStr">
        <x:is>
          <x:t xml:space="preserve">Reject as new-in-window item; retain existing catalog/history</x:t>
        </x:is>
      </x:c>
      <x:c r="J19" s="65" t="inlineStr">
        <x:is>
          <x:t xml:space="preserve">https://www.deepseek.com/en/news/deepseek-v4-1-flash/</x:t>
        </x:is>
      </x:c>
      <x:c r="K19" s="65" t="inlineStr">
        <x:is>
          <x:t xml:space="preserve">https://artificialanalysis.ai/models/deepseek-v4-1-flash</x:t>
        </x:is>
      </x:c>
      <x:c r="L19" s="65" t="inlineStr">
        <x:is>
          <x:t xml:space="preserve">2026-10-11</x:t>
        </x:is>
      </x:c>
      <x:c r="M19" s="65" t="inlineStr">
        <x:is>
          <x:t xml:space="preserve">Release predates inclusive window start (2026-09-11) by one day.</x:t>
        </x:is>
      </x:c>
    </x:row>
    <x:row r="20" s="14" customFormat="1">
      <x:c r="A20" s="65" t="inlineStr">
        <x:is>
          <x:t xml:space="preserve">RR-2026-10-GEMINI-ARGON-OUTPUT</x:t>
        </x:is>
      </x:c>
      <x:c r="B20" s="65" t="inlineStr">
        <x:is>
          <x:t xml:space="preserve">Google</x:t>
        </x:is>
      </x:c>
      <x:c r="C20" s="65" t="inlineStr">
        <x:is>
          <x:t xml:space="preserve">Gemini 4 Argon expanded output limit</x:t>
        </x:is>
      </x:c>
      <x:c r="D20" s="65" t="inlineStr">
        <x:is>
          <x:t xml:space="preserve">2026-09-30</x:t>
        </x:is>
      </x:c>
      <x:c r="E20" s="65" t="inlineStr">
        <x:is>
          <x:t xml:space="preserve">restricted rollout update</x:t>
        </x:is>
      </x:c>
      <x:c r="F20" s="65" t="inlineStr">
        <x:is>
          <x:t xml:space="preserve">verified primary update</x:t>
        </x:is>
      </x:c>
      <x:c r="G20" s="65" t="inlineStr">
        <x:is>
          <x:t xml:space="preserve">existing model/capability update</x:t>
        </x:is>
      </x:c>
      <x:c r="H20" s="65" t="inlineStr">
        <x:is>
          <x:t xml:space="preserve">Existing model has 1M context; output-limit semantics differ from context window</x:t>
        </x:is>
      </x:c>
      <x:c r="I20" s="65" t="inlineStr">
        <x:is>
          <x:t xml:space="preserve">Keep output-token limit separate from context-window field; follow source changes</x:t>
        </x:is>
      </x:c>
      <x:c r="J20" s="65" t="inlineStr">
        <x:is>
          <x:t xml:space="preserve">https://blog.google/innovation-and-ai/models-and-research/gemini-models/gemini-4-argon/</x:t>
        </x:is>
      </x:c>
      <x:c r="K20" s="65" t="inlineStr">
        <x:is>
          <x:t xml:space="preserve">https://artificialanalysis.ai/models/gemini-3-8-flash-cyber</x:t>
        </x:is>
      </x:c>
      <x:c r="L20" s="65" t="inlineStr">
        <x:is>
          <x:t xml:space="preserve">2026-10-11</x:t>
        </x:is>
      </x:c>
      <x:c r="M20" s="65" t="inlineStr">
        <x:is>
          <x:t xml:space="preserve">No duplicate family; preserve input/context and max output as distinct facts.</x:t>
        </x:is>
      </x:c>
    </x:row>
    <x:row r="21" s="14" customFormat="1">
      <x:c r="A21" s="65" t="inlineStr">
        <x:is>
          <x:t xml:space="preserve">RR-2026-10-GEMINI38</x:t>
        </x:is>
      </x:c>
      <x:c r="B21" s="65" t="inlineStr">
        <x:is>
          <x:t xml:space="preserve">Google</x:t>
        </x:is>
      </x:c>
      <x:c r="C21" s="65" t="inlineStr">
        <x:is>
          <x:t xml:space="preserve">Gemini 3.8 Flash</x:t>
        </x:is>
      </x:c>
      <x:c r="D21" s="65" t="inlineStr">
        <x:is>
          <x:t xml:space="preserve">2026-09-02</x:t>
        </x:is>
      </x:c>
      <x:c r="E21" s="65" t="inlineStr">
        <x:is>
          <x:t xml:space="preserve">public API</x:t>
        </x:is>
      </x:c>
      <x:c r="F21" s="65" t="inlineStr">
        <x:is>
          <x:t xml:space="preserve">verified current AA model pages</x:t>
        </x:is>
      </x:c>
      <x:c r="G21" s="65" t="inlineStr">
        <x:is>
          <x:t xml:space="preserve">core text/reasoning/multimodal</x:t>
        </x:is>
      </x:c>
      <x:c r="H21" s="65" t="inlineStr">
        <x:is>
          <x:t xml:space="preserve">AA v4.3.2 Low/Medium/High; Low has no task cost or timing result</x:t>
        </x:is>
      </x:c>
      <x:c r="I21" s="65" t="inlineStr">
        <x:is>
          <x:t xml:space="preserve">Preserve existing history; add current snapshot for all three reasoning levels; keep missing fields blank</x:t>
        </x:is>
      </x:c>
      <x:c r="J21" s="65" t="inlineStr">
        <x:is>
          <x:t xml:space="preserve">https://ai.google.dev/gemini-api/docs/latest-model</x:t>
        </x:is>
      </x:c>
      <x:c r="K21" s="65" t="inlineStr">
        <x:is>
          <x:t xml:space="preserve">https://artificialanalysis.ai/models/gemini-3-8-flash</x:t>
        </x:is>
      </x:c>
      <x:c r="L21" s="65" t="inlineStr">
        <x:is>
          <x:t xml:space="preserve">2026-10-17</x:t>
        </x:is>
      </x:c>
      <x:c r="M21" s="65" t="inlineStr">
        <x:is>
          <x:t xml:space="preserve">Current AA pages report scores 33/40/41 and task costs only for Medium/High. For High, the standalone page and both comparison pages agree on 147.1/147 rounded t/s, 22.59s first-answer latency, 25.99s E2E, and 473.98s weighted decode time/task. The unresolved difference is 170M index output tokens on the standalone page versus 172M on both comparisons (2M, about 1.2%); retain both source values and track BF-GEMINI38-INDEX-TOKENS.</x:t>
        </x:is>
      </x:c>
    </x:row>
    <x:row r="22" s="14" customFormat="1">
      <x:c r="A22" s="65" t="inlineStr">
        <x:is>
          <x:t xml:space="preserve">RR-2026-10-GEMINI31</x:t>
        </x:is>
      </x:c>
      <x:c r="B22" s="65" t="inlineStr">
        <x:is>
          <x:t xml:space="preserve">Google</x:t>
        </x:is>
      </x:c>
      <x:c r="C22" s="65" t="inlineStr">
        <x:is>
          <x:t xml:space="preserve">Gemini 3.1 Pro Preview</x:t>
        </x:is>
      </x:c>
      <x:c r="D22" s="65" t="inlineStr">
        <x:is>
          <x:t xml:space="preserve">2026-02</x:t>
        </x:is>
      </x:c>
      <x:c r="E22" s="65" t="inlineStr">
        <x:is>
          <x:t xml:space="preserve">public API preview</x:t>
        </x:is>
      </x:c>
      <x:c r="F22" s="65" t="inlineStr">
        <x:is>
          <x:t xml:space="preserve">verified official model docs and current AA page</x:t>
        </x:is>
      </x:c>
      <x:c r="G22" s="65" t="inlineStr">
        <x:is>
          <x:t xml:space="preserve">core reasoning and agentic workflows</x:t>
        </x:is>
      </x:c>
      <x:c r="H22" s="65" t="inlineStr">
        <x:is>
          <x:t xml:space="preserve">AA v4.3.2 score 30, $1.30/task; exact AA effort not stated</x:t>
        </x:is>
      </x:c>
      <x:c r="I22" s="65" t="inlineStr">
        <x:is>
          <x:t xml:space="preserve">Add one not-stated reasoning variant; do not infer Low/Medium/High</x:t>
        </x:is>
      </x:c>
      <x:c r="J22" s="65" t="inlineStr">
        <x:is>
          <x:t xml:space="preserve">https://ai.google.dev/gemini-api/docs/models/gemini-3.1-pro-preview</x:t>
        </x:is>
      </x:c>
      <x:c r="K22" s="65" t="inlineStr">
        <x:is>
          <x:t xml:space="preserve">https://artificialanalysis.ai/models/gemini-3-1-pro-preview</x:t>
        </x:is>
      </x:c>
      <x:c r="L22" s="65" t="inlineStr">
        <x:is>
          <x:t xml:space="preserve">2026-10-17</x:t>
        </x:is>
      </x:c>
      <x:c r="M22" s="65" t="inlineStr">
        <x:is>
          <x:t xml:space="preserve">Official model ID is gemini-3.1-pro-preview; 1M context. AA page reports 140.1 tokens/s and 16.93s first-answer latency.</x:t>
        </x:is>
      </x:c>
    </x:row>
    <x:row r="23">
      <x:c r="A23" s="65" t="inlineStr">
        <x:is>
          <x:t xml:space="preserve">RR-2026-10-GEMINI35-WORKBOOK</x:t>
        </x:is>
      </x:c>
      <x:c r="B23" s="65" t="inlineStr">
        <x:is>
          <x:t xml:space="preserve">Google</x:t>
        </x:is>
      </x:c>
      <x:c r="C23" s="65" t="inlineStr">
        <x:is>
          <x:t xml:space="preserve">Gemini 3.5 Flash (High)</x:t>
        </x:is>
      </x:c>
      <x:c r="D23" s="65" t="inlineStr">
        <x:is>
          <x:t xml:space="preserve">2026-05</x:t>
        </x:is>
      </x:c>
      <x:c r="E23" s="65" t="inlineStr">
        <x:is>
          <x:t xml:space="preserve">deprecated; API calls automatically route to Gemini 3.6 Flash</x:t>
        </x:is>
      </x:c>
      <x:c r="F23" s="65" t="inlineStr">
        <x:is>
          <x:t xml:space="preserve">verified official lifecycle docs and current AA page</x:t>
        </x:is>
      </x:c>
      <x:c r="G23" s="65" t="inlineStr">
        <x:is>
          <x:t xml:space="preserve">historical benchmark record</x:t>
        </x:is>
      </x:c>
      <x:c r="H23" s="65" t="inlineStr">
        <x:is>
          <x:t xml:space="preserve">AA v4.3.2 snapshot retained in Test_Runs; not included in Explorer source rows</x:t>
        </x:is>
      </x:c>
      <x:c r="I23" s="65" t="inlineStr">
        <x:is>
          <x:t xml:space="preserve">Keep workbook-only historical row; do not expose as a current Explorer choice</x:t>
        </x:is>
      </x:c>
      <x:c r="J23" s="65" t="inlineStr">
        <x:is>
          <x:t xml:space="preserve">https://ai.google.dev/gemini-api/docs/models/gemini-3.5-flash</x:t>
        </x:is>
      </x:c>
      <x:c r="K23" s="65" t="inlineStr">
        <x:is>
          <x:t xml:space="preserve">https://artificialanalysis.ai/models/gemini-3-5-flash</x:t>
        </x:is>
      </x:c>
      <x:c r="L23" s="65" t="inlineStr">
        <x:is>
          <x:t xml:space="preserve">2026-10-17</x:t>
        </x:is>
      </x:c>
      <x:c r="M23" s="65" t="inlineStr">
        <x:is>
          <x:t xml:space="preserve">Google marks gemini-3.5-flash deprecated and says requests auto-route to Gemini 3.6 Flash; current AA page retains a benchmark snapshot.</x:t>
        </x:is>
      </x:c>
    </x:row>
  </x:sheetData>
  <x:pageMargins left="0.7" right="0.7" top="0.75" bottom="0.75" header="0.3" footer="0.3"/>
</x:worksheet>
</file>

<file path=xl/worksheets/sheet36.xml><?xml version="1.0" encoding="utf-8"?>
<x:worksheet xmlns:x="http://schemas.openxmlformats.org/spreadsheetml/2006/main">
  <x:sheetViews>
    <x:sheetView showGridLines="0" workbookViewId="0">
      <x:pane xSplit="3" ySplit="1" topLeftCell="D2" activePane="bottomRight" state="frozen"/>
    </x:sheetView>
  </x:sheetViews>
  <x:sheetFormatPr baseColWidth="8" defaultRowHeight="15"/>
  <x:cols>
    <x:col min="1" max="1" width="22" style="14" customWidth="1"/>
    <x:col min="2" max="2" width="28" style="14" customWidth="1"/>
    <x:col min="3" max="3" width="20" style="14" customWidth="1"/>
    <x:col min="4" max="4" width="20" style="14" customWidth="1"/>
    <x:col min="5" max="5" width="14" style="14" customWidth="1"/>
    <x:col min="6" max="6" width="23" style="14" customWidth="1"/>
    <x:col min="7" max="7" width="20" style="14" customWidth="1"/>
    <x:col min="8" max="8" width="18" style="14" customWidth="1"/>
    <x:col min="9" max="9" width="22" style="14" customWidth="1"/>
    <x:col min="10" max="10" width="60" style="14" customWidth="1"/>
    <x:col min="11" max="11" width="60" style="14" customWidth="1"/>
    <x:col min="12" max="12" width="48" style="14" customWidth="1"/>
  </x:cols>
  <x:sheetData>
    <x:row r="1">
      <x:c r="A1" s="72" t="inlineStr">
        <x:is>
          <x:t xml:space="preserve">source_checked_on</x:t>
        </x:is>
      </x:c>
      <x:c r="B1" s="72" t="inlineStr">
        <x:is>
          <x:t xml:space="preserve">family</x:t>
        </x:is>
      </x:c>
      <x:c r="C1" s="72" t="inlineStr">
        <x:is>
          <x:t xml:space="preserve">effort</x:t>
        </x:is>
      </x:c>
      <x:c r="D1" s="72" t="inlineStr">
        <x:is>
          <x:t xml:space="preserve">benchmark_version</x:t>
        </x:is>
      </x:c>
      <x:c r="E1" s="72" t="inlineStr">
        <x:is>
          <x:t xml:space="preserve">AA_score</x:t>
        </x:is>
      </x:c>
      <x:c r="F1" s="72" t="inlineStr">
        <x:is>
          <x:t xml:space="preserve">cost_per_task_usd</x:t>
        </x:is>
      </x:c>
      <x:c r="G1" s="72" t="inlineStr">
        <x:is>
          <x:t xml:space="preserve">output_speed_tps</x:t>
        </x:is>
      </x:c>
      <x:c r="H1" s="72" t="inlineStr">
        <x:is>
          <x:t xml:space="preserve">ttft_seconds</x:t>
        </x:is>
      </x:c>
      <x:c r="I1" s="72" t="inlineStr">
        <x:is>
          <x:t xml:space="preserve">first_party_provider</x:t>
        </x:is>
      </x:c>
      <x:c r="J1" s="72" t="inlineStr">
        <x:is>
          <x:t xml:space="preserve">AA_model_page</x:t>
        </x:is>
      </x:c>
      <x:c r="K1" s="72" t="inlineStr">
        <x:is>
          <x:t xml:space="preserve">AA_provider_page</x:t>
        </x:is>
      </x:c>
      <x:c r="L1" s="72" t="inlineStr">
        <x:is>
          <x:t xml:space="preserve">exact_AA_model_name</x:t>
        </x:is>
      </x:c>
    </x:row>
    <x:row r="2">
      <x:c r="A2" s="73" t="inlineStr">
        <x:is>
          <x:t xml:space="preserve">2026-10-12</x:t>
        </x:is>
      </x:c>
      <x:c r="B2" s="73" t="inlineStr">
        <x:is>
          <x:t xml:space="preserve">DeepSeek V4.1 Flash</x:t>
        </x:is>
      </x:c>
      <x:c r="C2" s="73" t="inlineStr">
        <x:is>
          <x:t xml:space="preserve">Non-reasoning</x:t>
        </x:is>
      </x:c>
      <x:c r="D2" s="73" t="inlineStr">
        <x:is>
          <x:t xml:space="preserve">v4.3.2</x:t>
        </x:is>
      </x:c>
      <x:c r="E2" s="73" t="n">
        <x:v>25</x:v>
      </x:c>
      <x:c r="F2" s="74" t="n">
        <x:v>0.15</x:v>
      </x:c>
      <x:c r="G2" s="75" t="n">
        <x:v>211</x:v>
      </x:c>
      <x:c r="H2" s="75" t="n">
        <x:v>1.15</x:v>
      </x:c>
      <x:c r="I2" s="73" t="inlineStr">
        <x:is>
          <x:t xml:space="preserve">DeepSeek</x:t>
        </x:is>
      </x:c>
      <x:c r="J2" s="73" t="inlineStr">
        <x:is>
          <x:t xml:space="preserve">https://artificialanalysis.ai/models/deepseek-v4-1-flash-non-reasoning</x:t>
        </x:is>
      </x:c>
      <x:c r="K2" s="73" t="inlineStr">
        <x:is>
          <x:t xml:space="preserve">https://artificialanalysis.ai/models/deepseek-v4-1-flash-non-reasoning/providers</x:t>
        </x:is>
      </x:c>
      <x:c r="L2" s="73" t="inlineStr">
        <x:is>
          <x:t xml:space="preserve">DeepSeek V4.1 Flash · non-reasoning</x:t>
        </x:is>
      </x:c>
    </x:row>
    <x:row r="3">
      <x:c r="A3" s="76" t="inlineStr">
        <x:is>
          <x:t xml:space="preserve">2026-10-12</x:t>
        </x:is>
      </x:c>
      <x:c r="B3" s="76" t="inlineStr">
        <x:is>
          <x:t xml:space="preserve">DeepSeek V4.1 Flash</x:t>
        </x:is>
      </x:c>
      <x:c r="C3" s="76" t="inlineStr">
        <x:is>
          <x:t xml:space="preserve">Max</x:t>
        </x:is>
      </x:c>
      <x:c r="D3" s="76" t="inlineStr">
        <x:is>
          <x:t xml:space="preserve">v4.3.2</x:t>
        </x:is>
      </x:c>
      <x:c r="E3" s="76" t="n">
        <x:v>39</x:v>
      </x:c>
      <x:c r="F3" s="77" t="n">
        <x:v>0.27</x:v>
      </x:c>
      <x:c r="G3" s="78" t="n">
        <x:v>217</x:v>
      </x:c>
      <x:c r="H3" s="78" t="n">
        <x:v>1.16</x:v>
      </x:c>
      <x:c r="I3" s="76" t="inlineStr">
        <x:is>
          <x:t xml:space="preserve">DeepSeek</x:t>
        </x:is>
      </x:c>
      <x:c r="J3" s="76" t="inlineStr">
        <x:is>
          <x:t xml:space="preserve">https://artificialanalysis.ai/models/deepseek-v4-1-flash</x:t>
        </x:is>
      </x:c>
      <x:c r="K3" s="76" t="inlineStr">
        <x:is>
          <x:t xml:space="preserve">https://artificialanalysis.ai/models/deepseek-v4-1-flash/providers</x:t>
        </x:is>
      </x:c>
      <x:c r="L3" s="76" t="inlineStr">
        <x:is>
          <x:t xml:space="preserve">DeepSeek V4.1 Flash · max</x:t>
        </x:is>
      </x:c>
    </x:row>
    <x:row r="4">
      <x:c r="A4" s="73" t="inlineStr">
        <x:is>
          <x:t xml:space="preserve">2026-10-12</x:t>
        </x:is>
      </x:c>
      <x:c r="B4" s="73" t="inlineStr">
        <x:is>
          <x:t xml:space="preserve">DeepSeek V4 Pro 0813</x:t>
        </x:is>
      </x:c>
      <x:c r="C4" s="73" t="inlineStr">
        <x:is>
          <x:t xml:space="preserve">Non-reasoning</x:t>
        </x:is>
      </x:c>
      <x:c r="D4" s="73" t="inlineStr">
        <x:is>
          <x:t xml:space="preserve">v4.3.2</x:t>
        </x:is>
      </x:c>
      <x:c r="E4" s="73" t="n">
        <x:v>20</x:v>
      </x:c>
      <x:c r="F4" s="74" t="n">
        <x:v>0.36</x:v>
      </x:c>
      <x:c r="G4" s="75" t="n">
        <x:v>85</x:v>
      </x:c>
      <x:c r="H4" s="75" t="n">
        <x:v>1.74</x:v>
      </x:c>
      <x:c r="I4" s="73" t="inlineStr">
        <x:is>
          <x:t xml:space="preserve">DeepSeek</x:t>
        </x:is>
      </x:c>
      <x:c r="J4" s="73" t="inlineStr">
        <x:is>
          <x:t xml:space="preserve">https://artificialanalysis.ai/models/deepseek-v4-pro-non-reasoning</x:t>
        </x:is>
      </x:c>
      <x:c r="K4" s="73" t="inlineStr">
        <x:is>
          <x:t xml:space="preserve">https://artificialanalysis.ai/models/deepseek-v4-pro-non-reasoning/providers</x:t>
        </x:is>
      </x:c>
      <x:c r="L4" s="73" t="inlineStr">
        <x:is>
          <x:t xml:space="preserve">DeepSeek V4 Pro 0813 · non-reasoning</x:t>
        </x:is>
      </x:c>
    </x:row>
    <x:row r="5">
      <x:c r="A5" s="76" t="inlineStr">
        <x:is>
          <x:t xml:space="preserve">2026-10-12</x:t>
        </x:is>
      </x:c>
      <x:c r="B5" s="76" t="inlineStr">
        <x:is>
          <x:t xml:space="preserve">DeepSeek V4 Pro 0813</x:t>
        </x:is>
      </x:c>
      <x:c r="C5" s="76" t="inlineStr">
        <x:is>
          <x:t xml:space="preserve">Max</x:t>
        </x:is>
      </x:c>
      <x:c r="D5" s="76" t="inlineStr">
        <x:is>
          <x:t xml:space="preserve">v4.3.2</x:t>
        </x:is>
      </x:c>
      <x:c r="E5" s="76" t="n">
        <x:v>36</x:v>
      </x:c>
      <x:c r="F5" s="77" t="n">
        <x:v>0.67</x:v>
      </x:c>
      <x:c r="G5" s="78" t="n">
        <x:v>93</x:v>
      </x:c>
      <x:c r="H5" s="78" t="n">
        <x:v>1.6</x:v>
      </x:c>
      <x:c r="I5" s="76" t="inlineStr">
        <x:is>
          <x:t xml:space="preserve">DeepSeek</x:t>
        </x:is>
      </x:c>
      <x:c r="J5" s="76" t="inlineStr">
        <x:is>
          <x:t xml:space="preserve">https://artificialanalysis.ai/models/deepseek-v4-pro</x:t>
        </x:is>
      </x:c>
      <x:c r="K5" s="76" t="inlineStr">
        <x:is>
          <x:t xml:space="preserve">https://artificialanalysis.ai/models/deepseek-v4-pro/providers</x:t>
        </x:is>
      </x:c>
      <x:c r="L5" s="76" t="inlineStr">
        <x:is>
          <x:t xml:space="preserve">DeepSeek V4 Pro 0813 · max</x:t>
        </x:is>
      </x:c>
    </x:row>
    <x:row r="6">
      <x:c r="A6" s="73" t="inlineStr">
        <x:is>
          <x:t xml:space="preserve">2026-10-12</x:t>
        </x:is>
      </x:c>
      <x:c r="B6" s="73" t="inlineStr">
        <x:is>
          <x:t xml:space="preserve">GLM-5.3-Flash</x:t>
        </x:is>
      </x:c>
      <x:c r="C6" s="73" t="inlineStr">
        <x:is>
          <x:t xml:space="preserve">Reasoning</x:t>
        </x:is>
      </x:c>
      <x:c r="D6" s="73" t="inlineStr">
        <x:is>
          <x:t xml:space="preserve">v4.3.2</x:t>
        </x:is>
      </x:c>
      <x:c r="E6" s="73" t="n">
        <x:v>42</x:v>
      </x:c>
      <x:c r="F6" s="74" t="n">
        <x:v>0.25</x:v>
      </x:c>
      <x:c r="G6" s="75" t="n">
        <x:v>61</x:v>
      </x:c>
      <x:c r="H6" s="75" t="n">
        <x:v>3.01</x:v>
      </x:c>
      <x:c r="I6" s="73" t="inlineStr">
        <x:is>
          <x:t xml:space="preserve">Z.ai</x:t>
        </x:is>
      </x:c>
      <x:c r="J6" s="73" t="inlineStr">
        <x:is>
          <x:t xml:space="preserve">https://artificialanalysis.ai/models/glm-5-3-flash</x:t>
        </x:is>
      </x:c>
      <x:c r="K6" s="73" t="inlineStr">
        <x:is>
          <x:t xml:space="preserve">https://artificialanalysis.ai/models/glm-5-3-flash/providers</x:t>
        </x:is>
      </x:c>
      <x:c r="L6" s="73" t="inlineStr">
        <x:is>
          <x:t xml:space="preserve">GLM-5.3-Flash · reasoning</x:t>
        </x:is>
      </x:c>
    </x:row>
    <x:row r="7">
      <x:c r="A7" s="76" t="inlineStr">
        <x:is>
          <x:t xml:space="preserve">2026-10-12</x:t>
        </x:is>
      </x:c>
      <x:c r="B7" s="76" t="inlineStr">
        <x:is>
          <x:t xml:space="preserve">GLM-5.3</x:t>
        </x:is>
      </x:c>
      <x:c r="C7" s="76" t="inlineStr">
        <x:is>
          <x:t xml:space="preserve">Low</x:t>
        </x:is>
      </x:c>
      <x:c r="D7" s="76" t="inlineStr">
        <x:is>
          <x:t xml:space="preserve">v4.3.2</x:t>
        </x:is>
      </x:c>
      <x:c r="E7" s="76" t="n">
        <x:v>34</x:v>
      </x:c>
      <x:c r="F7" s="77" t="n">
        <x:v>0.85</x:v>
      </x:c>
      <x:c r="G7" s="78" t="n">
        <x:v>75</x:v>
      </x:c>
      <x:c r="H7" s="78" t="n">
        <x:v>3.22</x:v>
      </x:c>
      <x:c r="I7" s="76" t="inlineStr">
        <x:is>
          <x:t xml:space="preserve">Z.ai</x:t>
        </x:is>
      </x:c>
      <x:c r="J7" s="76" t="inlineStr">
        <x:is>
          <x:t xml:space="preserve">https://artificialanalysis.ai/models/glm-5-3-low</x:t>
        </x:is>
      </x:c>
      <x:c r="K7" s="76" t="inlineStr">
        <x:is>
          <x:t xml:space="preserve">https://artificialanalysis.ai/models/glm-5-3-low/providers</x:t>
        </x:is>
      </x:c>
      <x:c r="L7" s="76" t="inlineStr">
        <x:is>
          <x:t xml:space="preserve">GLM-5.3 · low</x:t>
        </x:is>
      </x:c>
    </x:row>
    <x:row r="8">
      <x:c r="A8" s="73" t="inlineStr">
        <x:is>
          <x:t xml:space="preserve">2026-10-12</x:t>
        </x:is>
      </x:c>
      <x:c r="B8" s="73" t="inlineStr">
        <x:is>
          <x:t xml:space="preserve">GLM-5.3</x:t>
        </x:is>
      </x:c>
      <x:c r="C8" s="73" t="inlineStr">
        <x:is>
          <x:t xml:space="preserve">Max</x:t>
        </x:is>
      </x:c>
      <x:c r="D8" s="73" t="inlineStr">
        <x:is>
          <x:t xml:space="preserve">v4.3.2</x:t>
        </x:is>
      </x:c>
      <x:c r="E8" s="73" t="n">
        <x:v>45</x:v>
      </x:c>
      <x:c r="F8" s="74" t="n">
        <x:v>2.01</x:v>
      </x:c>
      <x:c r="G8" s="75" t="n">
        <x:v>68</x:v>
      </x:c>
      <x:c r="H8" s="75" t="n">
        <x:v>3.2</x:v>
      </x:c>
      <x:c r="I8" s="73" t="inlineStr">
        <x:is>
          <x:t xml:space="preserve">Z.ai</x:t>
        </x:is>
      </x:c>
      <x:c r="J8" s="73" t="inlineStr">
        <x:is>
          <x:t xml:space="preserve">https://artificialanalysis.ai/models/glm-5-3</x:t>
        </x:is>
      </x:c>
      <x:c r="K8" s="73" t="inlineStr">
        <x:is>
          <x:t xml:space="preserve">https://artificialanalysis.ai/models/glm-5-3/providers</x:t>
        </x:is>
      </x:c>
      <x:c r="L8" s="73" t="inlineStr">
        <x:is>
          <x:t xml:space="preserve">GLM-5.3 · max</x:t>
        </x:is>
      </x:c>
    </x:row>
    <x:row r="9">
      <x:c r="A9" s="76" t="inlineStr">
        <x:is>
          <x:t xml:space="preserve">2026-10-12</x:t>
        </x:is>
      </x:c>
      <x:c r="B9" s="76" t="inlineStr">
        <x:is>
          <x:t xml:space="preserve">MiMo-V2.6-Pro</x:t>
        </x:is>
      </x:c>
      <x:c r="C9" s="76" t="inlineStr">
        <x:is>
          <x:t xml:space="preserve">Reasoning</x:t>
        </x:is>
      </x:c>
      <x:c r="D9" s="76" t="inlineStr">
        <x:is>
          <x:t xml:space="preserve">v4.3.2</x:t>
        </x:is>
      </x:c>
      <x:c r="E9" s="76" t="n">
        <x:v>46</x:v>
      </x:c>
      <x:c r="F9" s="77" t="n">
        <x:v>0.13</x:v>
      </x:c>
      <x:c r="G9" s="78" t="n">
        <x:v>43</x:v>
      </x:c>
      <x:c r="H9" s="78" t="n">
        <x:v>4.11</x:v>
      </x:c>
      <x:c r="I9" s="76" t="inlineStr">
        <x:is>
          <x:t xml:space="preserve">Xiaomi</x:t>
        </x:is>
      </x:c>
      <x:c r="J9" s="76" t="inlineStr">
        <x:is>
          <x:t xml:space="preserve">https://artificialanalysis.ai/models/mimo-v2-6-pro</x:t>
        </x:is>
      </x:c>
      <x:c r="K9" s="76" t="inlineStr">
        <x:is>
          <x:t xml:space="preserve">https://artificialanalysis.ai/models/mimo-v2-6-pro/providers</x:t>
        </x:is>
      </x:c>
      <x:c r="L9" s="76" t="inlineStr">
        <x:is>
          <x:t xml:space="preserve">MiMo-V2.6-Pro · reasoning</x:t>
        </x:is>
      </x:c>
    </x:row>
    <x:row r="10">
      <x:c r="A10" s="73" t="inlineStr">
        <x:is>
          <x:t xml:space="preserve">2026-10-12</x:t>
        </x:is>
      </x:c>
      <x:c r="B10" s="73" t="inlineStr">
        <x:is>
          <x:t xml:space="preserve">MiMo-V2.6-Flash</x:t>
        </x:is>
      </x:c>
      <x:c r="C10" s="73" t="inlineStr">
        <x:is>
          <x:t xml:space="preserve">Reasoning</x:t>
        </x:is>
      </x:c>
      <x:c r="D10" s="73" t="inlineStr">
        <x:is>
          <x:t xml:space="preserve">v4.3.2</x:t>
        </x:is>
      </x:c>
      <x:c r="E10" s="73" t="n">
        <x:v>38</x:v>
      </x:c>
      <x:c r="F10" s="74" t="n">
        <x:v>0.06</x:v>
      </x:c>
      <x:c r="G10" s="75" t="n">
        <x:v>49</x:v>
      </x:c>
      <x:c r="H10" s="75" t="n">
        <x:v>3.59</x:v>
      </x:c>
      <x:c r="I10" s="73" t="inlineStr">
        <x:is>
          <x:t xml:space="preserve">Xiaomi</x:t>
        </x:is>
      </x:c>
      <x:c r="J10" s="73" t="inlineStr">
        <x:is>
          <x:t xml:space="preserve">https://artificialanalysis.ai/models/mimo-v2-6-flash</x:t>
        </x:is>
      </x:c>
      <x:c r="K10" s="73" t="inlineStr">
        <x:is>
          <x:t xml:space="preserve">https://artificialanalysis.ai/models/mimo-v2-6-flash/providers</x:t>
        </x:is>
      </x:c>
      <x:c r="L10" s="73" t="inlineStr">
        <x:is>
          <x:t xml:space="preserve">MiMo-V2.6-Flash · reasoning</x:t>
        </x:is>
      </x:c>
    </x:row>
    <x:row r="11">
      <x:c r="A11" s="76" t="inlineStr">
        <x:is>
          <x:t xml:space="preserve">2026-10-16</x:t>
        </x:is>
      </x:c>
      <x:c r="B11" s="76" t="inlineStr">
        <x:is>
          <x:t xml:space="preserve">Gemini 4 Argon</x:t>
        </x:is>
      </x:c>
      <x:c r="C11" s="76" t="inlineStr">
        <x:is>
          <x:t xml:space="preserve">High</x:t>
        </x:is>
      </x:c>
      <x:c r="D11" s="76" t="inlineStr">
        <x:is>
          <x:t xml:space="preserve">v4.3.2</x:t>
        </x:is>
      </x:c>
      <x:c r="E11" s="76" t="n">
        <x:v>53</x:v>
      </x:c>
      <x:c r="F11" s="77" t="n">
        <x:v>1.99</x:v>
      </x:c>
      <x:c r="G11" s="78" t="n"/>
      <x:c r="H11" s="78" t="n"/>
      <x:c r="I11" s="76" t="inlineStr">
        <x:is>
          <x:t xml:space="preserve">Google</x:t>
        </x:is>
      </x:c>
      <x:c r="J11" s="76" t="inlineStr">
        <x:is>
          <x:t xml:space="preserve">https://artificialanalysis.ai/models/gemini-4-argon</x:t>
        </x:is>
      </x:c>
      <x:c r="K11" s="76" t="inlineStr">
        <x:is>
          <x:t xml:space="preserve">https://artificialanalysis.ai/models/gemini-4-argon/providers</x:t>
        </x:is>
      </x:c>
      <x:c r="L11" s="76" t="inlineStr">
        <x:is>
          <x:t xml:space="preserve">Gemini 4 Argon (High)</x:t>
        </x:is>
      </x:c>
    </x:row>
    <x:row r="12">
      <x:c r="A12" s="73" t="inlineStr">
        <x:is>
          <x:t xml:space="preserve">2026-10-16</x:t>
        </x:is>
      </x:c>
      <x:c r="B12" s="73" t="inlineStr">
        <x:is>
          <x:t xml:space="preserve">Muse Wonder</x:t>
        </x:is>
      </x:c>
      <x:c r="C12" s="73" t="inlineStr">
        <x:is>
          <x:t xml:space="preserve">Max</x:t>
        </x:is>
      </x:c>
      <x:c r="D12" s="73" t="inlineStr">
        <x:is>
          <x:t xml:space="preserve">v4.3.2</x:t>
        </x:is>
      </x:c>
      <x:c r="E12" s="73" t="n">
        <x:v>52</x:v>
      </x:c>
      <x:c r="F12" s="74" t="n">
        <x:v>4.52</x:v>
      </x:c>
      <x:c r="G12" s="75" t="n">
        <x:v>184</x:v>
      </x:c>
      <x:c r="H12" s="75" t="n">
        <x:v>36.32</x:v>
      </x:c>
      <x:c r="I12" s="73" t="inlineStr">
        <x:is>
          <x:t xml:space="preserve">Meta</x:t>
        </x:is>
      </x:c>
      <x:c r="J12" s="73" t="inlineStr">
        <x:is>
          <x:t xml:space="preserve">https://artificialanalysis.ai/models/muse-wonder</x:t>
        </x:is>
      </x:c>
      <x:c r="K12" s="73" t="inlineStr">
        <x:is>
          <x:t xml:space="preserve">https://artificialanalysis.ai/models/muse-wonder/providers</x:t>
        </x:is>
      </x:c>
      <x:c r="L12" s="73" t="inlineStr">
        <x:is>
          <x:t xml:space="preserve">Muse Wonder (Max)</x:t>
        </x:is>
      </x:c>
    </x:row>
    <x:row r="13">
      <x:c r="A13" s="76" t="inlineStr">
        <x:is>
          <x:t xml:space="preserve">2026-10-16</x:t>
        </x:is>
      </x:c>
      <x:c r="B13" s="76" t="inlineStr">
        <x:is>
          <x:t xml:space="preserve">Muse Wonder Full</x:t>
        </x:is>
      </x:c>
      <x:c r="C13" s="76" t="inlineStr">
        <x:is>
          <x:t xml:space="preserve">Max</x:t>
        </x:is>
      </x:c>
      <x:c r="D13" s="76" t="inlineStr">
        <x:is>
          <x:t xml:space="preserve">v4.3.2</x:t>
        </x:is>
      </x:c>
      <x:c r="E13" s="76" t="n">
        <x:v>56</x:v>
      </x:c>
      <x:c r="F13" s="77" t="n"/>
      <x:c r="G13" s="78" t="n"/>
      <x:c r="H13" s="78" t="n"/>
      <x:c r="I13" s="76" t="inlineStr">
        <x:is>
          <x:t xml:space="preserve">Meta</x:t>
        </x:is>
      </x:c>
      <x:c r="J13" s="76" t="inlineStr">
        <x:is>
          <x:t xml:space="preserve">https://artificialanalysis.ai/models/muse-wonder-full</x:t>
        </x:is>
      </x:c>
      <x:c r="K13" s="76" t="inlineStr">
        <x:is>
          <x:t xml:space="preserve">https://artificialanalysis.ai/models/muse-wonder-full/providers</x:t>
        </x:is>
      </x:c>
      <x:c r="L13" s="76" t="inlineStr">
        <x:is>
          <x:t xml:space="preserve">Muse Wonder Full (Max)</x:t>
        </x:is>
      </x:c>
    </x:row>
    <x:row r="14">
      <x:c r="A14" s="73" t="inlineStr">
        <x:is>
          <x:t xml:space="preserve">2026-10-16</x:t>
        </x:is>
      </x:c>
      <x:c r="B14" s="73" t="inlineStr">
        <x:is>
          <x:t xml:space="preserve">GPT-6.1 Sol</x:t>
        </x:is>
      </x:c>
      <x:c r="C14" s="73" t="inlineStr">
        <x:is>
          <x:t xml:space="preserve">Max</x:t>
        </x:is>
      </x:c>
      <x:c r="D14" s="73" t="inlineStr">
        <x:is>
          <x:t xml:space="preserve">v4.3.2</x:t>
        </x:is>
      </x:c>
      <x:c r="E14" s="73" t="n">
        <x:v>52</x:v>
      </x:c>
      <x:c r="F14" s="74" t="n">
        <x:v>0.72</x:v>
      </x:c>
      <x:c r="G14" s="75" t="n">
        <x:v>57</x:v>
      </x:c>
      <x:c r="H14" s="75" t="n">
        <x:v>271.71</x:v>
      </x:c>
      <x:c r="I14" s="73" t="inlineStr">
        <x:is>
          <x:t xml:space="preserve">OpenAI</x:t>
        </x:is>
      </x:c>
      <x:c r="J14" s="73" t="inlineStr">
        <x:is>
          <x:t xml:space="preserve">https://artificialanalysis.ai/models/gpt-6-1-sol</x:t>
        </x:is>
      </x:c>
      <x:c r="K14" s="73" t="inlineStr">
        <x:is>
          <x:t xml:space="preserve">https://artificialanalysis.ai/models/gpt-6-1-sol/providers</x:t>
        </x:is>
      </x:c>
      <x:c r="L14" s="73" t="inlineStr">
        <x:is>
          <x:t xml:space="preserve">GPT-6.1 Sol (Max)</x:t>
        </x:is>
      </x:c>
    </x:row>
    <x:row r="15">
      <x:c r="A15" s="76" t="inlineStr">
        <x:is>
          <x:t xml:space="preserve">2026-10-16</x:t>
        </x:is>
      </x:c>
      <x:c r="B15" s="76" t="inlineStr">
        <x:is>
          <x:t xml:space="preserve">GPT-6.1 Sol</x:t>
        </x:is>
      </x:c>
      <x:c r="C15" s="76" t="inlineStr">
        <x:is>
          <x:t xml:space="preserve">Xhigh</x:t>
        </x:is>
      </x:c>
      <x:c r="D15" s="76" t="inlineStr">
        <x:is>
          <x:t xml:space="preserve">v4.3.2</x:t>
        </x:is>
      </x:c>
      <x:c r="E15" s="76" t="n">
        <x:v>51</x:v>
      </x:c>
      <x:c r="F15" s="77" t="n">
        <x:v>0.39</x:v>
      </x:c>
      <x:c r="G15" s="78" t="n">
        <x:v>57</x:v>
      </x:c>
      <x:c r="H15" s="78" t="n">
        <x:v>120.56</x:v>
      </x:c>
      <x:c r="I15" s="76" t="inlineStr">
        <x:is>
          <x:t xml:space="preserve">OpenAI</x:t>
        </x:is>
      </x:c>
      <x:c r="J15" s="76" t="inlineStr">
        <x:is>
          <x:t xml:space="preserve">https://artificialanalysis.ai/models/gpt-6-1-sol-xhigh</x:t>
        </x:is>
      </x:c>
      <x:c r="K15" s="76" t="inlineStr">
        <x:is>
          <x:t xml:space="preserve">https://artificialanalysis.ai/models/gpt-6-1-sol-xhigh/providers</x:t>
        </x:is>
      </x:c>
      <x:c r="L15" s="76" t="inlineStr">
        <x:is>
          <x:t xml:space="preserve">GPT-6.1 Sol (Xhigh)</x:t>
        </x:is>
      </x:c>
    </x:row>
    <x:row r="16">
      <x:c r="A16" s="73" t="inlineStr">
        <x:is>
          <x:t xml:space="preserve">2026-10-16</x:t>
        </x:is>
      </x:c>
      <x:c r="B16" s="73" t="inlineStr">
        <x:is>
          <x:t xml:space="preserve">GPT-6.1 Sol</x:t>
        </x:is>
      </x:c>
      <x:c r="C16" s="73" t="inlineStr">
        <x:is>
          <x:t xml:space="preserve">High</x:t>
        </x:is>
      </x:c>
      <x:c r="D16" s="73" t="inlineStr">
        <x:is>
          <x:t xml:space="preserve">v4.3.2</x:t>
        </x:is>
      </x:c>
      <x:c r="E16" s="73" t="n">
        <x:v>50</x:v>
      </x:c>
      <x:c r="F16" s="74" t="n">
        <x:v>0.32</x:v>
      </x:c>
      <x:c r="G16" s="75" t="n">
        <x:v>58</x:v>
      </x:c>
      <x:c r="H16" s="75" t="n">
        <x:v>39.82</x:v>
      </x:c>
      <x:c r="I16" s="73" t="inlineStr">
        <x:is>
          <x:t xml:space="preserve">OpenAI</x:t>
        </x:is>
      </x:c>
      <x:c r="J16" s="73" t="inlineStr">
        <x:is>
          <x:t xml:space="preserve">https://artificialanalysis.ai/models/gpt-6-1-sol-high</x:t>
        </x:is>
      </x:c>
      <x:c r="K16" s="73" t="inlineStr">
        <x:is>
          <x:t xml:space="preserve">https://artificialanalysis.ai/models/gpt-6-1-sol-high/providers</x:t>
        </x:is>
      </x:c>
      <x:c r="L16" s="73" t="inlineStr">
        <x:is>
          <x:t xml:space="preserve">GPT-6.1 Sol (High)</x:t>
        </x:is>
      </x:c>
    </x:row>
    <x:row r="17">
      <x:c r="A17" s="76" t="inlineStr">
        <x:is>
          <x:t xml:space="preserve">2026-10-16</x:t>
        </x:is>
      </x:c>
      <x:c r="B17" s="76" t="inlineStr">
        <x:is>
          <x:t xml:space="preserve">GPT-6.1 Sol</x:t>
        </x:is>
      </x:c>
      <x:c r="C17" s="76" t="inlineStr">
        <x:is>
          <x:t xml:space="preserve">Medium</x:t>
        </x:is>
      </x:c>
      <x:c r="D17" s="76" t="inlineStr">
        <x:is>
          <x:t xml:space="preserve">v4.3.2</x:t>
        </x:is>
      </x:c>
      <x:c r="E17" s="76" t="n">
        <x:v>48</x:v>
      </x:c>
      <x:c r="F17" s="77" t="n">
        <x:v>0.21</x:v>
      </x:c>
      <x:c r="G17" s="78" t="n">
        <x:v>51</x:v>
      </x:c>
      <x:c r="H17" s="78" t="n">
        <x:v>4.24</x:v>
      </x:c>
      <x:c r="I17" s="76" t="inlineStr">
        <x:is>
          <x:t xml:space="preserve">OpenAI</x:t>
        </x:is>
      </x:c>
      <x:c r="J17" s="76" t="inlineStr">
        <x:is>
          <x:t xml:space="preserve">https://artificialanalysis.ai/models/gpt-6-1-sol-medium</x:t>
        </x:is>
      </x:c>
      <x:c r="K17" s="76" t="inlineStr">
        <x:is>
          <x:t xml:space="preserve">https://artificialanalysis.ai/models/gpt-6-1-sol-medium/providers</x:t>
        </x:is>
      </x:c>
      <x:c r="L17" s="76" t="inlineStr">
        <x:is>
          <x:t xml:space="preserve">GPT-6.1 Sol (Medium)</x:t>
        </x:is>
      </x:c>
    </x:row>
    <x:row r="18">
      <x:c r="A18" s="73" t="inlineStr">
        <x:is>
          <x:t xml:space="preserve">2026-10-16</x:t>
        </x:is>
      </x:c>
      <x:c r="B18" s="73" t="inlineStr">
        <x:is>
          <x:t xml:space="preserve">GPT-6.1 Sol</x:t>
        </x:is>
      </x:c>
      <x:c r="C18" s="73" t="inlineStr">
        <x:is>
          <x:t xml:space="preserve">Low</x:t>
        </x:is>
      </x:c>
      <x:c r="D18" s="73" t="inlineStr">
        <x:is>
          <x:t xml:space="preserve">v4.3.2</x:t>
        </x:is>
      </x:c>
      <x:c r="E18" s="73" t="n">
        <x:v>42</x:v>
      </x:c>
      <x:c r="F18" s="74" t="n">
        <x:v>0.13</x:v>
      </x:c>
      <x:c r="G18" s="75" t="n">
        <x:v>51</x:v>
      </x:c>
      <x:c r="H18" s="75" t="n">
        <x:v>2.39</x:v>
      </x:c>
      <x:c r="I18" s="73" t="inlineStr">
        <x:is>
          <x:t xml:space="preserve">OpenAI</x:t>
        </x:is>
      </x:c>
      <x:c r="J18" s="73" t="inlineStr">
        <x:is>
          <x:t xml:space="preserve">https://artificialanalysis.ai/models/gpt-6-1-sol-low</x:t>
        </x:is>
      </x:c>
      <x:c r="K18" s="73" t="inlineStr">
        <x:is>
          <x:t xml:space="preserve">https://artificialanalysis.ai/models/gpt-6-1-sol-low/providers</x:t>
        </x:is>
      </x:c>
      <x:c r="L18" s="73" t="inlineStr">
        <x:is>
          <x:t xml:space="preserve">GPT-6.1 Sol (Low)</x:t>
        </x:is>
      </x:c>
    </x:row>
    <x:row r="19">
      <x:c r="A19" s="76" t="inlineStr">
        <x:is>
          <x:t xml:space="preserve">2026-10-16</x:t>
        </x:is>
      </x:c>
      <x:c r="B19" s="76" t="inlineStr">
        <x:is>
          <x:t xml:space="preserve">GPT-6 Astra</x:t>
        </x:is>
      </x:c>
      <x:c r="C19" s="76" t="inlineStr">
        <x:is>
          <x:t xml:space="preserve">Max</x:t>
        </x:is>
      </x:c>
      <x:c r="D19" s="76" t="inlineStr">
        <x:is>
          <x:t xml:space="preserve">v4.3.2</x:t>
        </x:is>
      </x:c>
      <x:c r="E19" s="76" t="n">
        <x:v>53</x:v>
      </x:c>
      <x:c r="F19" s="77" t="n">
        <x:v>3.26</x:v>
      </x:c>
      <x:c r="G19" s="78" t="n">
        <x:v>54</x:v>
      </x:c>
      <x:c r="H19" s="78" t="n">
        <x:v>252.93</x:v>
      </x:c>
      <x:c r="I19" s="76" t="inlineStr">
        <x:is>
          <x:t xml:space="preserve">OpenAI</x:t>
        </x:is>
      </x:c>
      <x:c r="J19" s="76" t="inlineStr">
        <x:is>
          <x:t xml:space="preserve">https://artificialanalysis.ai/models/gpt-6-astra</x:t>
        </x:is>
      </x:c>
      <x:c r="K19" s="76" t="inlineStr">
        <x:is>
          <x:t xml:space="preserve">https://artificialanalysis.ai/models/gpt-6-astra/providers</x:t>
        </x:is>
      </x:c>
      <x:c r="L19" s="76" t="inlineStr">
        <x:is>
          <x:t xml:space="preserve">GPT-6 Astra (Max)</x:t>
        </x:is>
      </x:c>
    </x:row>
    <x:row r="20">
      <x:c r="A20" s="73" t="inlineStr">
        <x:is>
          <x:t xml:space="preserve">2026-10-16</x:t>
        </x:is>
      </x:c>
      <x:c r="B20" s="73" t="inlineStr">
        <x:is>
          <x:t xml:space="preserve">GPT-6 Astra</x:t>
        </x:is>
      </x:c>
      <x:c r="C20" s="73" t="inlineStr">
        <x:is>
          <x:t xml:space="preserve">Xhigh</x:t>
        </x:is>
      </x:c>
      <x:c r="D20" s="73" t="inlineStr">
        <x:is>
          <x:t xml:space="preserve">v4.3.2</x:t>
        </x:is>
      </x:c>
      <x:c r="E20" s="73" t="n">
        <x:v>52</x:v>
      </x:c>
      <x:c r="F20" s="74" t="n">
        <x:v>2.31</x:v>
      </x:c>
      <x:c r="G20" s="75" t="n">
        <x:v>53</x:v>
      </x:c>
      <x:c r="H20" s="75" t="n">
        <x:v>109.51</x:v>
      </x:c>
      <x:c r="I20" s="73" t="inlineStr">
        <x:is>
          <x:t xml:space="preserve">OpenAI</x:t>
        </x:is>
      </x:c>
      <x:c r="J20" s="73" t="inlineStr">
        <x:is>
          <x:t xml:space="preserve">https://artificialanalysis.ai/models/gpt-6-astra-xhigh</x:t>
        </x:is>
      </x:c>
      <x:c r="K20" s="73" t="inlineStr">
        <x:is>
          <x:t xml:space="preserve">https://artificialanalysis.ai/models/gpt-6-astra-xhigh/providers</x:t>
        </x:is>
      </x:c>
      <x:c r="L20" s="73" t="inlineStr">
        <x:is>
          <x:t xml:space="preserve">GPT-6 Astra (Xhigh)</x:t>
        </x:is>
      </x:c>
    </x:row>
    <x:row r="21">
      <x:c r="A21" s="76" t="inlineStr">
        <x:is>
          <x:t xml:space="preserve">2026-10-16</x:t>
        </x:is>
      </x:c>
      <x:c r="B21" s="76" t="inlineStr">
        <x:is>
          <x:t xml:space="preserve">GPT-6 Astra</x:t>
        </x:is>
      </x:c>
      <x:c r="C21" s="76" t="inlineStr">
        <x:is>
          <x:t xml:space="preserve">High</x:t>
        </x:is>
      </x:c>
      <x:c r="D21" s="76" t="inlineStr">
        <x:is>
          <x:t xml:space="preserve">v4.3.2</x:t>
        </x:is>
      </x:c>
      <x:c r="E21" s="76" t="n">
        <x:v>51</x:v>
      </x:c>
      <x:c r="F21" s="77" t="n">
        <x:v>1.73</x:v>
      </x:c>
      <x:c r="G21" s="78" t="n">
        <x:v>52</x:v>
      </x:c>
      <x:c r="H21" s="78" t="n">
        <x:v>47.5</x:v>
      </x:c>
      <x:c r="I21" s="76" t="inlineStr">
        <x:is>
          <x:t xml:space="preserve">OpenAI</x:t>
        </x:is>
      </x:c>
      <x:c r="J21" s="76" t="inlineStr">
        <x:is>
          <x:t xml:space="preserve">https://artificialanalysis.ai/models/gpt-6-astra-high</x:t>
        </x:is>
      </x:c>
      <x:c r="K21" s="76" t="inlineStr">
        <x:is>
          <x:t xml:space="preserve">https://artificialanalysis.ai/models/gpt-6-astra-high/providers</x:t>
        </x:is>
      </x:c>
      <x:c r="L21" s="76" t="inlineStr">
        <x:is>
          <x:t xml:space="preserve">GPT-6 Astra (High)</x:t>
        </x:is>
      </x:c>
    </x:row>
    <x:row r="22">
      <x:c r="A22" s="73" t="inlineStr">
        <x:is>
          <x:t xml:space="preserve">2026-10-16</x:t>
        </x:is>
      </x:c>
      <x:c r="B22" s="73" t="inlineStr">
        <x:is>
          <x:t xml:space="preserve">GPT-6 Astra</x:t>
        </x:is>
      </x:c>
      <x:c r="C22" s="73" t="inlineStr">
        <x:is>
          <x:t xml:space="preserve">Medium</x:t>
        </x:is>
      </x:c>
      <x:c r="D22" s="73" t="inlineStr">
        <x:is>
          <x:t xml:space="preserve">v4.3.2</x:t>
        </x:is>
      </x:c>
      <x:c r="E22" s="73" t="n">
        <x:v>50</x:v>
      </x:c>
      <x:c r="F22" s="74" t="n">
        <x:v>1.54</x:v>
      </x:c>
      <x:c r="G22" s="75" t="n">
        <x:v>50</x:v>
      </x:c>
      <x:c r="H22" s="75" t="n">
        <x:v>6.48</x:v>
      </x:c>
      <x:c r="I22" s="73" t="inlineStr">
        <x:is>
          <x:t xml:space="preserve">OpenAI</x:t>
        </x:is>
      </x:c>
      <x:c r="J22" s="73" t="inlineStr">
        <x:is>
          <x:t xml:space="preserve">https://artificialanalysis.ai/models/gpt-6-astra-medium</x:t>
        </x:is>
      </x:c>
      <x:c r="K22" s="73" t="inlineStr">
        <x:is>
          <x:t xml:space="preserve">https://artificialanalysis.ai/models/gpt-6-astra-medium/providers</x:t>
        </x:is>
      </x:c>
      <x:c r="L22" s="73" t="inlineStr">
        <x:is>
          <x:t xml:space="preserve">GPT-6 Astra (Medium)</x:t>
        </x:is>
      </x:c>
    </x:row>
    <x:row r="23">
      <x:c r="A23" s="76" t="inlineStr">
        <x:is>
          <x:t xml:space="preserve">2026-10-16</x:t>
        </x:is>
      </x:c>
      <x:c r="B23" s="76" t="inlineStr">
        <x:is>
          <x:t xml:space="preserve">GPT-6 Astra</x:t>
        </x:is>
      </x:c>
      <x:c r="C23" s="76" t="inlineStr">
        <x:is>
          <x:t xml:space="preserve">Low</x:t>
        </x:is>
      </x:c>
      <x:c r="D23" s="76" t="inlineStr">
        <x:is>
          <x:t xml:space="preserve">v4.3.2</x:t>
        </x:is>
      </x:c>
      <x:c r="E23" s="76" t="n">
        <x:v>46</x:v>
      </x:c>
      <x:c r="F23" s="77" t="n">
        <x:v>0.82</x:v>
      </x:c>
      <x:c r="G23" s="78" t="n">
        <x:v>50</x:v>
      </x:c>
      <x:c r="H23" s="78" t="n">
        <x:v>2.46</x:v>
      </x:c>
      <x:c r="I23" s="76" t="inlineStr">
        <x:is>
          <x:t xml:space="preserve">OpenAI</x:t>
        </x:is>
      </x:c>
      <x:c r="J23" s="76" t="inlineStr">
        <x:is>
          <x:t xml:space="preserve">https://artificialanalysis.ai/models/gpt-6-astra-low</x:t>
        </x:is>
      </x:c>
      <x:c r="K23" s="76" t="inlineStr">
        <x:is>
          <x:t xml:space="preserve">https://artificialanalysis.ai/models/gpt-6-astra-low/providers</x:t>
        </x:is>
      </x:c>
      <x:c r="L23" s="76" t="inlineStr">
        <x:is>
          <x:t xml:space="preserve">GPT-6 Astra (Low)</x:t>
        </x:is>
      </x:c>
    </x:row>
    <x:row r="24">
      <x:c r="A24" s="73" t="inlineStr">
        <x:is>
          <x:t xml:space="preserve">2026-10-16</x:t>
        </x:is>
      </x:c>
      <x:c r="B24" s="73" t="inlineStr">
        <x:is>
          <x:t xml:space="preserve">GPT-6 Luna</x:t>
        </x:is>
      </x:c>
      <x:c r="C24" s="73" t="inlineStr">
        <x:is>
          <x:t xml:space="preserve">Max</x:t>
        </x:is>
      </x:c>
      <x:c r="D24" s="73" t="inlineStr">
        <x:is>
          <x:t xml:space="preserve">v4.3.2</x:t>
        </x:is>
      </x:c>
      <x:c r="E24" s="73" t="n">
        <x:v>38</x:v>
      </x:c>
      <x:c r="F24" s="74" t="n">
        <x:v>0.07000000000000001</x:v>
      </x:c>
      <x:c r="G24" s="75" t="n">
        <x:v>122</x:v>
      </x:c>
      <x:c r="H24" s="75" t="n">
        <x:v>96.97</x:v>
      </x:c>
      <x:c r="I24" s="73" t="inlineStr">
        <x:is>
          <x:t xml:space="preserve">OpenAI</x:t>
        </x:is>
      </x:c>
      <x:c r="J24" s="73" t="inlineStr">
        <x:is>
          <x:t xml:space="preserve">https://artificialanalysis.ai/models/gpt-6-luna</x:t>
        </x:is>
      </x:c>
      <x:c r="K24" s="73" t="inlineStr">
        <x:is>
          <x:t xml:space="preserve">https://artificialanalysis.ai/models/gpt-6-luna/providers</x:t>
        </x:is>
      </x:c>
      <x:c r="L24" s="73" t="inlineStr">
        <x:is>
          <x:t xml:space="preserve">GPT-6 Luna (Max)</x:t>
        </x:is>
      </x:c>
    </x:row>
    <x:row r="25">
      <x:c r="A25" s="76" t="inlineStr">
        <x:is>
          <x:t xml:space="preserve">2026-10-16</x:t>
        </x:is>
      </x:c>
      <x:c r="B25" s="76" t="inlineStr">
        <x:is>
          <x:t xml:space="preserve">GPT-6 Luna</x:t>
        </x:is>
      </x:c>
      <x:c r="C25" s="76" t="inlineStr">
        <x:is>
          <x:t xml:space="preserve">Xhigh</x:t>
        </x:is>
      </x:c>
      <x:c r="D25" s="76" t="inlineStr">
        <x:is>
          <x:t xml:space="preserve">v4.3.2</x:t>
        </x:is>
      </x:c>
      <x:c r="E25" s="76" t="n">
        <x:v>35</x:v>
      </x:c>
      <x:c r="F25" s="77" t="n">
        <x:v>0.04</x:v>
      </x:c>
      <x:c r="G25" s="78" t="n">
        <x:v>115</x:v>
      </x:c>
      <x:c r="H25" s="78" t="n">
        <x:v>21.26</x:v>
      </x:c>
      <x:c r="I25" s="76" t="inlineStr">
        <x:is>
          <x:t xml:space="preserve">OpenAI</x:t>
        </x:is>
      </x:c>
      <x:c r="J25" s="76" t="inlineStr">
        <x:is>
          <x:t xml:space="preserve">https://artificialanalysis.ai/models/gpt-6-luna-xhigh</x:t>
        </x:is>
      </x:c>
      <x:c r="K25" s="76" t="inlineStr">
        <x:is>
          <x:t xml:space="preserve">https://artificialanalysis.ai/models/gpt-6-luna-xhigh/providers</x:t>
        </x:is>
      </x:c>
      <x:c r="L25" s="76" t="inlineStr">
        <x:is>
          <x:t xml:space="preserve">GPT-6 Luna (Xhigh)</x:t>
        </x:is>
      </x:c>
    </x:row>
    <x:row r="26">
      <x:c r="A26" s="73" t="inlineStr">
        <x:is>
          <x:t xml:space="preserve">2026-10-16</x:t>
        </x:is>
      </x:c>
      <x:c r="B26" s="73" t="inlineStr">
        <x:is>
          <x:t xml:space="preserve">GPT-6 Luna</x:t>
        </x:is>
      </x:c>
      <x:c r="C26" s="73" t="inlineStr">
        <x:is>
          <x:t xml:space="preserve">High</x:t>
        </x:is>
      </x:c>
      <x:c r="D26" s="73" t="inlineStr">
        <x:is>
          <x:t xml:space="preserve">v4.3.2</x:t>
        </x:is>
      </x:c>
      <x:c r="E26" s="73" t="n">
        <x:v>33</x:v>
      </x:c>
      <x:c r="F26" s="74" t="n">
        <x:v>0.03</x:v>
      </x:c>
      <x:c r="G26" s="75" t="n">
        <x:v>120</x:v>
      </x:c>
      <x:c r="H26" s="75" t="n">
        <x:v>18.71</x:v>
      </x:c>
      <x:c r="I26" s="73" t="inlineStr">
        <x:is>
          <x:t xml:space="preserve">OpenAI</x:t>
        </x:is>
      </x:c>
      <x:c r="J26" s="73" t="inlineStr">
        <x:is>
          <x:t xml:space="preserve">https://artificialanalysis.ai/models/gpt-6-luna-high</x:t>
        </x:is>
      </x:c>
      <x:c r="K26" s="73" t="inlineStr">
        <x:is>
          <x:t xml:space="preserve">https://artificialanalysis.ai/models/gpt-6-luna-high/providers</x:t>
        </x:is>
      </x:c>
      <x:c r="L26" s="73" t="inlineStr">
        <x:is>
          <x:t xml:space="preserve">GPT-6 Luna (High)</x:t>
        </x:is>
      </x:c>
    </x:row>
    <x:row r="27">
      <x:c r="A27" s="76" t="inlineStr">
        <x:is>
          <x:t xml:space="preserve">2026-10-16</x:t>
        </x:is>
      </x:c>
      <x:c r="B27" s="76" t="inlineStr">
        <x:is>
          <x:t xml:space="preserve">GPT-6 Luna</x:t>
        </x:is>
      </x:c>
      <x:c r="C27" s="76" t="inlineStr">
        <x:is>
          <x:t xml:space="preserve">Medium</x:t>
        </x:is>
      </x:c>
      <x:c r="D27" s="76" t="inlineStr">
        <x:is>
          <x:t xml:space="preserve">v4.3.2</x:t>
        </x:is>
      </x:c>
      <x:c r="E27" s="76" t="n">
        <x:v>30</x:v>
      </x:c>
      <x:c r="F27" s="77" t="n">
        <x:v>0.02</x:v>
      </x:c>
      <x:c r="G27" s="78" t="n"/>
      <x:c r="H27" s="78" t="n"/>
      <x:c r="I27" s="76" t="inlineStr">
        <x:is>
          <x:t xml:space="preserve">OpenAI</x:t>
        </x:is>
      </x:c>
      <x:c r="J27" s="76" t="inlineStr">
        <x:is>
          <x:t xml:space="preserve">https://artificialanalysis.ai/models/gpt-6-luna-medium</x:t>
        </x:is>
      </x:c>
      <x:c r="K27" s="76" t="inlineStr">
        <x:is>
          <x:t xml:space="preserve">https://artificialanalysis.ai/models/gpt-6-luna-medium/providers</x:t>
        </x:is>
      </x:c>
      <x:c r="L27" s="76" t="inlineStr">
        <x:is>
          <x:t xml:space="preserve">GPT-6 Luna (Medium)</x:t>
        </x:is>
      </x:c>
    </x:row>
    <x:row r="28">
      <x:c r="A28" s="73" t="inlineStr">
        <x:is>
          <x:t xml:space="preserve">2026-10-16</x:t>
        </x:is>
      </x:c>
      <x:c r="B28" s="73" t="inlineStr">
        <x:is>
          <x:t xml:space="preserve">GPT-6 Luna</x:t>
        </x:is>
      </x:c>
      <x:c r="C28" s="73" t="inlineStr">
        <x:is>
          <x:t xml:space="preserve">Low</x:t>
        </x:is>
      </x:c>
      <x:c r="D28" s="73" t="inlineStr">
        <x:is>
          <x:t xml:space="preserve">v4.3.2</x:t>
        </x:is>
      </x:c>
      <x:c r="E28" s="73" t="n">
        <x:v>22</x:v>
      </x:c>
      <x:c r="F28" s="74" t="n">
        <x:v>0.0045</x:v>
      </x:c>
      <x:c r="G28" s="75" t="n">
        <x:v>118</x:v>
      </x:c>
      <x:c r="H28" s="75" t="n">
        <x:v>2.17</x:v>
      </x:c>
      <x:c r="I28" s="73" t="inlineStr">
        <x:is>
          <x:t xml:space="preserve">OpenAI</x:t>
        </x:is>
      </x:c>
      <x:c r="J28" s="73" t="inlineStr">
        <x:is>
          <x:t xml:space="preserve">https://artificialanalysis.ai/models/gpt-6-luna-low</x:t>
        </x:is>
      </x:c>
      <x:c r="K28" s="73" t="inlineStr">
        <x:is>
          <x:t xml:space="preserve">https://artificialanalysis.ai/models/gpt-6-luna-low/providers</x:t>
        </x:is>
      </x:c>
      <x:c r="L28" s="73" t="inlineStr">
        <x:is>
          <x:t xml:space="preserve">GPT-6 Luna (Low)</x:t>
        </x:is>
      </x:c>
    </x:row>
    <x:row r="29">
      <x:c r="A29" s="76" t="inlineStr">
        <x:is>
          <x:t xml:space="preserve">2026-10-16</x:t>
        </x:is>
      </x:c>
      <x:c r="B29" s="76" t="inlineStr">
        <x:is>
          <x:t xml:space="preserve">GPT-6 Luna</x:t>
        </x:is>
      </x:c>
      <x:c r="C29" s="76" t="inlineStr">
        <x:is>
          <x:t xml:space="preserve">Non-reasoning</x:t>
        </x:is>
      </x:c>
      <x:c r="D29" s="76" t="inlineStr">
        <x:is>
          <x:t xml:space="preserve">v4.3.2</x:t>
        </x:is>
      </x:c>
      <x:c r="E29" s="76" t="n">
        <x:v>18</x:v>
      </x:c>
      <x:c r="F29" s="77" t="n">
        <x:v>0.01</x:v>
      </x:c>
      <x:c r="G29" s="78" t="n">
        <x:v>113</x:v>
      </x:c>
      <x:c r="H29" s="78" t="n">
        <x:v>0.95</x:v>
      </x:c>
      <x:c r="I29" s="76" t="inlineStr">
        <x:is>
          <x:t xml:space="preserve">OpenAI</x:t>
        </x:is>
      </x:c>
      <x:c r="J29" s="76" t="inlineStr">
        <x:is>
          <x:t xml:space="preserve">https://artificialanalysis.ai/models/gpt-6-luna-non-reasoning</x:t>
        </x:is>
      </x:c>
      <x:c r="K29" s="76" t="inlineStr">
        <x:is>
          <x:t xml:space="preserve">https://artificialanalysis.ai/models/gpt-6-luna-non-reasoning/providers</x:t>
        </x:is>
      </x:c>
      <x:c r="L29" s="76" t="inlineStr">
        <x:is>
          <x:t xml:space="preserve">GPT-6 Luna (Non-reasoning)</x:t>
        </x:is>
      </x:c>
    </x:row>
    <x:row r="30">
      <x:c r="A30" s="73" t="inlineStr">
        <x:is>
          <x:t xml:space="preserve">2026-10-16</x:t>
        </x:is>
      </x:c>
      <x:c r="B30" s="73" t="inlineStr">
        <x:is>
          <x:t xml:space="preserve">Claude Opus 5.5</x:t>
        </x:is>
      </x:c>
      <x:c r="C30" s="73" t="inlineStr">
        <x:is>
          <x:t xml:space="preserve">Max</x:t>
        </x:is>
      </x:c>
      <x:c r="D30" s="73" t="inlineStr">
        <x:is>
          <x:t xml:space="preserve">v4.3.2</x:t>
        </x:is>
      </x:c>
      <x:c r="E30" s="73" t="n">
        <x:v>58</x:v>
      </x:c>
      <x:c r="F30" s="74" t="n">
        <x:v>5.98</x:v>
      </x:c>
      <x:c r="G30" s="75" t="n">
        <x:v>97</x:v>
      </x:c>
      <x:c r="H30" s="75" t="n">
        <x:v>666.74</x:v>
      </x:c>
      <x:c r="I30" s="73" t="inlineStr">
        <x:is>
          <x:t xml:space="preserve">Anthropic</x:t>
        </x:is>
      </x:c>
      <x:c r="J30" s="73" t="inlineStr">
        <x:is>
          <x:t xml:space="preserve">https://artificialanalysis.ai/models/claude-opus-5-5</x:t>
        </x:is>
      </x:c>
      <x:c r="K30" s="73" t="inlineStr">
        <x:is>
          <x:t xml:space="preserve">https://artificialanalysis.ai/models/claude-opus-5-5/providers</x:t>
        </x:is>
      </x:c>
      <x:c r="L30" s="73" t="inlineStr">
        <x:is>
          <x:t xml:space="preserve">Claude Opus 5.5 (Max, Default Fallback)</x:t>
        </x:is>
      </x:c>
    </x:row>
    <x:row r="31">
      <x:c r="A31" s="76" t="inlineStr">
        <x:is>
          <x:t xml:space="preserve">2026-10-16</x:t>
        </x:is>
      </x:c>
      <x:c r="B31" s="76" t="inlineStr">
        <x:is>
          <x:t xml:space="preserve">Claude Opus 5.5</x:t>
        </x:is>
      </x:c>
      <x:c r="C31" s="76" t="inlineStr">
        <x:is>
          <x:t xml:space="preserve">Xhigh</x:t>
        </x:is>
      </x:c>
      <x:c r="D31" s="76" t="inlineStr">
        <x:is>
          <x:t xml:space="preserve">v4.3.2</x:t>
        </x:is>
      </x:c>
      <x:c r="E31" s="76" t="n">
        <x:v>56</x:v>
      </x:c>
      <x:c r="F31" s="77" t="n">
        <x:v>3.46</x:v>
      </x:c>
      <x:c r="G31" s="78" t="n">
        <x:v>86</x:v>
      </x:c>
      <x:c r="H31" s="78" t="n">
        <x:v>123.12</x:v>
      </x:c>
      <x:c r="I31" s="76" t="inlineStr">
        <x:is>
          <x:t xml:space="preserve">Anthropic</x:t>
        </x:is>
      </x:c>
      <x:c r="J31" s="76" t="inlineStr">
        <x:is>
          <x:t xml:space="preserve">https://artificialanalysis.ai/models/claude-opus-5-5-xhigh</x:t>
        </x:is>
      </x:c>
      <x:c r="K31" s="76" t="inlineStr">
        <x:is>
          <x:t xml:space="preserve">https://artificialanalysis.ai/models/claude-opus-5-5-xhigh/providers</x:t>
        </x:is>
      </x:c>
      <x:c r="L31" s="76" t="inlineStr">
        <x:is>
          <x:t xml:space="preserve">Claude Opus 5.5 (Xhigh, Default Fallback)</x:t>
        </x:is>
      </x:c>
    </x:row>
    <x:row r="32">
      <x:c r="A32" s="73" t="inlineStr">
        <x:is>
          <x:t xml:space="preserve">2026-10-16</x:t>
        </x:is>
      </x:c>
      <x:c r="B32" s="73" t="inlineStr">
        <x:is>
          <x:t xml:space="preserve">Claude Opus 5.5</x:t>
        </x:is>
      </x:c>
      <x:c r="C32" s="73" t="inlineStr">
        <x:is>
          <x:t xml:space="preserve">High</x:t>
        </x:is>
      </x:c>
      <x:c r="D32" s="73" t="inlineStr">
        <x:is>
          <x:t xml:space="preserve">v4.3.2</x:t>
        </x:is>
      </x:c>
      <x:c r="E32" s="73" t="n">
        <x:v>54</x:v>
      </x:c>
      <x:c r="F32" s="74" t="n">
        <x:v>1.82</x:v>
      </x:c>
      <x:c r="G32" s="75" t="n">
        <x:v>87</x:v>
      </x:c>
      <x:c r="H32" s="75" t="n">
        <x:v>38.9</x:v>
      </x:c>
      <x:c r="I32" s="73" t="inlineStr">
        <x:is>
          <x:t xml:space="preserve">Anthropic</x:t>
        </x:is>
      </x:c>
      <x:c r="J32" s="73" t="inlineStr">
        <x:is>
          <x:t xml:space="preserve">https://artificialanalysis.ai/models/claude-opus-5-5-high</x:t>
        </x:is>
      </x:c>
      <x:c r="K32" s="73" t="inlineStr">
        <x:is>
          <x:t xml:space="preserve">https://artificialanalysis.ai/models/claude-opus-5-5-high/providers</x:t>
        </x:is>
      </x:c>
      <x:c r="L32" s="73" t="inlineStr">
        <x:is>
          <x:t xml:space="preserve">Claude Opus 5.5 (High, Default Fallback)</x:t>
        </x:is>
      </x:c>
    </x:row>
    <x:row r="33">
      <x:c r="A33" s="76" t="inlineStr">
        <x:is>
          <x:t xml:space="preserve">2026-10-16</x:t>
        </x:is>
      </x:c>
      <x:c r="B33" s="76" t="inlineStr">
        <x:is>
          <x:t xml:space="preserve">Claude Opus 5.5</x:t>
        </x:is>
      </x:c>
      <x:c r="C33" s="76" t="inlineStr">
        <x:is>
          <x:t xml:space="preserve">Medium</x:t>
        </x:is>
      </x:c>
      <x:c r="D33" s="76" t="inlineStr">
        <x:is>
          <x:t xml:space="preserve">v4.3.2</x:t>
        </x:is>
      </x:c>
      <x:c r="E33" s="76" t="n">
        <x:v>51</x:v>
      </x:c>
      <x:c r="F33" s="77" t="n">
        <x:v>1.34</x:v>
      </x:c>
      <x:c r="G33" s="78" t="n">
        <x:v>88</x:v>
      </x:c>
      <x:c r="H33" s="78" t="n">
        <x:v>17.41</x:v>
      </x:c>
      <x:c r="I33" s="76" t="inlineStr">
        <x:is>
          <x:t xml:space="preserve">Anthropic</x:t>
        </x:is>
      </x:c>
      <x:c r="J33" s="76" t="inlineStr">
        <x:is>
          <x:t xml:space="preserve">https://artificialanalysis.ai/models/claude-opus-5-5-medium</x:t>
        </x:is>
      </x:c>
      <x:c r="K33" s="76" t="inlineStr">
        <x:is>
          <x:t xml:space="preserve">https://artificialanalysis.ai/models/claude-opus-5-5-medium/providers</x:t>
        </x:is>
      </x:c>
      <x:c r="L33" s="76" t="inlineStr">
        <x:is>
          <x:t xml:space="preserve">Claude Opus 5.5 (Medium, Default Fallback)</x:t>
        </x:is>
      </x:c>
    </x:row>
    <x:row r="34">
      <x:c r="A34" s="73" t="inlineStr">
        <x:is>
          <x:t xml:space="preserve">2026-10-16</x:t>
        </x:is>
      </x:c>
      <x:c r="B34" s="73" t="inlineStr">
        <x:is>
          <x:t xml:space="preserve">Claude Opus 5.5</x:t>
        </x:is>
      </x:c>
      <x:c r="C34" s="73" t="inlineStr">
        <x:is>
          <x:t xml:space="preserve">Low</x:t>
        </x:is>
      </x:c>
      <x:c r="D34" s="73" t="inlineStr">
        <x:is>
          <x:t xml:space="preserve">v4.3.2</x:t>
        </x:is>
      </x:c>
      <x:c r="E34" s="73" t="n">
        <x:v>42</x:v>
      </x:c>
      <x:c r="F34" s="74" t="n">
        <x:v>0.55</x:v>
      </x:c>
      <x:c r="G34" s="75" t="n">
        <x:v>89</x:v>
      </x:c>
      <x:c r="H34" s="75" t="n">
        <x:v>6.69</x:v>
      </x:c>
      <x:c r="I34" s="73" t="inlineStr">
        <x:is>
          <x:t xml:space="preserve">Anthropic</x:t>
        </x:is>
      </x:c>
      <x:c r="J34" s="73" t="inlineStr">
        <x:is>
          <x:t xml:space="preserve">https://artificialanalysis.ai/models/claude-opus-5-5-low</x:t>
        </x:is>
      </x:c>
      <x:c r="K34" s="73" t="inlineStr">
        <x:is>
          <x:t xml:space="preserve">https://artificialanalysis.ai/models/claude-opus-5-5-low/providers</x:t>
        </x:is>
      </x:c>
      <x:c r="L34" s="73" t="inlineStr">
        <x:is>
          <x:t xml:space="preserve">Claude Opus 5.5 (Low, Default Fallback)</x:t>
        </x:is>
      </x:c>
    </x:row>
    <x:row r="35">
      <x:c r="A35" s="76" t="inlineStr">
        <x:is>
          <x:t xml:space="preserve">2026-10-16</x:t>
        </x:is>
      </x:c>
      <x:c r="B35" s="76" t="inlineStr">
        <x:is>
          <x:t xml:space="preserve">Claude Sonnet 5.5</x:t>
        </x:is>
      </x:c>
      <x:c r="C35" s="76" t="inlineStr">
        <x:is>
          <x:t xml:space="preserve">Max</x:t>
        </x:is>
      </x:c>
      <x:c r="D35" s="76" t="inlineStr">
        <x:is>
          <x:t xml:space="preserve">v4.3.2</x:t>
        </x:is>
      </x:c>
      <x:c r="E35" s="76" t="n">
        <x:v>56</x:v>
      </x:c>
      <x:c r="F35" s="77" t="n">
        <x:v>5.46</x:v>
      </x:c>
      <x:c r="G35" s="78" t="n">
        <x:v>138</x:v>
      </x:c>
      <x:c r="H35" s="78" t="n">
        <x:v>379.59</x:v>
      </x:c>
      <x:c r="I35" s="76" t="inlineStr">
        <x:is>
          <x:t xml:space="preserve">Anthropic</x:t>
        </x:is>
      </x:c>
      <x:c r="J35" s="76" t="inlineStr">
        <x:is>
          <x:t xml:space="preserve">https://artificialanalysis.ai/models/claude-sonnet-5-5</x:t>
        </x:is>
      </x:c>
      <x:c r="K35" s="76" t="inlineStr">
        <x:is>
          <x:t xml:space="preserve">https://artificialanalysis.ai/models/claude-sonnet-5-5/providers</x:t>
        </x:is>
      </x:c>
      <x:c r="L35" s="76" t="inlineStr">
        <x:is>
          <x:t xml:space="preserve">Claude Sonnet 5.5 (Max, Default Fallback)</x:t>
        </x:is>
      </x:c>
    </x:row>
    <x:row r="36">
      <x:c r="A36" s="73" t="inlineStr">
        <x:is>
          <x:t xml:space="preserve">2026-10-16</x:t>
        </x:is>
      </x:c>
      <x:c r="B36" s="73" t="inlineStr">
        <x:is>
          <x:t xml:space="preserve">Claude Sonnet 5.5</x:t>
        </x:is>
      </x:c>
      <x:c r="C36" s="73" t="inlineStr">
        <x:is>
          <x:t xml:space="preserve">Xhigh</x:t>
        </x:is>
      </x:c>
      <x:c r="D36" s="73" t="inlineStr">
        <x:is>
          <x:t xml:space="preserve">v4.3.2</x:t>
        </x:is>
      </x:c>
      <x:c r="E36" s="73" t="n">
        <x:v>52</x:v>
      </x:c>
      <x:c r="F36" s="74" t="n">
        <x:v>2.01</x:v>
      </x:c>
      <x:c r="G36" s="75" t="n">
        <x:v>114</x:v>
      </x:c>
      <x:c r="H36" s="75" t="n">
        <x:v>25.95</x:v>
      </x:c>
      <x:c r="I36" s="73" t="inlineStr">
        <x:is>
          <x:t xml:space="preserve">Anthropic</x:t>
        </x:is>
      </x:c>
      <x:c r="J36" s="73" t="inlineStr">
        <x:is>
          <x:t xml:space="preserve">https://artificialanalysis.ai/models/claude-sonnet-5-5-xhigh</x:t>
        </x:is>
      </x:c>
      <x:c r="K36" s="73" t="inlineStr">
        <x:is>
          <x:t xml:space="preserve">https://artificialanalysis.ai/models/claude-sonnet-5-5-xhigh/providers</x:t>
        </x:is>
      </x:c>
      <x:c r="L36" s="73" t="inlineStr">
        <x:is>
          <x:t xml:space="preserve">Claude Sonnet 5.5 (Xhigh, Default Fallback)</x:t>
        </x:is>
      </x:c>
    </x:row>
    <x:row r="37">
      <x:c r="A37" s="76" t="inlineStr">
        <x:is>
          <x:t xml:space="preserve">2026-10-16</x:t>
        </x:is>
      </x:c>
      <x:c r="B37" s="76" t="inlineStr">
        <x:is>
          <x:t xml:space="preserve">Claude Sonnet 5.5</x:t>
        </x:is>
      </x:c>
      <x:c r="C37" s="76" t="inlineStr">
        <x:is>
          <x:t xml:space="preserve">High</x:t>
        </x:is>
      </x:c>
      <x:c r="D37" s="76" t="inlineStr">
        <x:is>
          <x:t xml:space="preserve">v4.3.2</x:t>
        </x:is>
      </x:c>
      <x:c r="E37" s="76" t="n">
        <x:v>47</x:v>
      </x:c>
      <x:c r="F37" s="77" t="n">
        <x:v>0.88</x:v>
      </x:c>
      <x:c r="G37" s="78" t="n">
        <x:v>113</x:v>
      </x:c>
      <x:c r="H37" s="78" t="n">
        <x:v>12.43</x:v>
      </x:c>
      <x:c r="I37" s="76" t="inlineStr">
        <x:is>
          <x:t xml:space="preserve">Anthropic</x:t>
        </x:is>
      </x:c>
      <x:c r="J37" s="76" t="inlineStr">
        <x:is>
          <x:t xml:space="preserve">https://artificialanalysis.ai/models/claude-sonnet-5-5-high</x:t>
        </x:is>
      </x:c>
      <x:c r="K37" s="76" t="inlineStr">
        <x:is>
          <x:t xml:space="preserve">https://artificialanalysis.ai/models/claude-sonnet-5-5-high/providers</x:t>
        </x:is>
      </x:c>
      <x:c r="L37" s="76" t="inlineStr">
        <x:is>
          <x:t xml:space="preserve">Claude Sonnet 5.5 (High, Default Fallback)</x:t>
        </x:is>
      </x:c>
    </x:row>
    <x:row r="38">
      <x:c r="A38" s="73" t="inlineStr">
        <x:is>
          <x:t xml:space="preserve">2026-10-16</x:t>
        </x:is>
      </x:c>
      <x:c r="B38" s="73" t="inlineStr">
        <x:is>
          <x:t xml:space="preserve">Claude Sonnet 5.5</x:t>
        </x:is>
      </x:c>
      <x:c r="C38" s="73" t="inlineStr">
        <x:is>
          <x:t xml:space="preserve">Medium</x:t>
        </x:is>
      </x:c>
      <x:c r="D38" s="73" t="inlineStr">
        <x:is>
          <x:t xml:space="preserve">v4.3.2</x:t>
        </x:is>
      </x:c>
      <x:c r="E38" s="73" t="n">
        <x:v>41</x:v>
      </x:c>
      <x:c r="F38" s="74" t="n">
        <x:v>0.48</x:v>
      </x:c>
      <x:c r="G38" s="75" t="n">
        <x:v>118</x:v>
      </x:c>
      <x:c r="H38" s="75" t="n">
        <x:v>2.99</x:v>
      </x:c>
      <x:c r="I38" s="73" t="inlineStr">
        <x:is>
          <x:t xml:space="preserve">Anthropic</x:t>
        </x:is>
      </x:c>
      <x:c r="J38" s="73" t="inlineStr">
        <x:is>
          <x:t xml:space="preserve">https://artificialanalysis.ai/models/claude-sonnet-5-5-medium</x:t>
        </x:is>
      </x:c>
      <x:c r="K38" s="73" t="inlineStr">
        <x:is>
          <x:t xml:space="preserve">https://artificialanalysis.ai/models/claude-sonnet-5-5-medium/providers</x:t>
        </x:is>
      </x:c>
      <x:c r="L38" s="73" t="inlineStr">
        <x:is>
          <x:t xml:space="preserve">Claude Sonnet 5.5 (Medium, Default Fallback)</x:t>
        </x:is>
      </x:c>
    </x:row>
    <x:row r="39">
      <x:c r="A39" s="76" t="inlineStr">
        <x:is>
          <x:t xml:space="preserve">2026-10-16</x:t>
        </x:is>
      </x:c>
      <x:c r="B39" s="76" t="inlineStr">
        <x:is>
          <x:t xml:space="preserve">Claude Sonnet 5.5</x:t>
        </x:is>
      </x:c>
      <x:c r="C39" s="76" t="inlineStr">
        <x:is>
          <x:t xml:space="preserve">Low</x:t>
        </x:is>
      </x:c>
      <x:c r="D39" s="76" t="inlineStr">
        <x:is>
          <x:t xml:space="preserve">v4.3.2</x:t>
        </x:is>
      </x:c>
      <x:c r="E39" s="76" t="n">
        <x:v>36</x:v>
      </x:c>
      <x:c r="F39" s="77" t="n">
        <x:v>0.35</x:v>
      </x:c>
      <x:c r="G39" s="78" t="n">
        <x:v>112</x:v>
      </x:c>
      <x:c r="H39" s="78" t="n">
        <x:v>1.35</x:v>
      </x:c>
      <x:c r="I39" s="76" t="inlineStr">
        <x:is>
          <x:t xml:space="preserve">Anthropic</x:t>
        </x:is>
      </x:c>
      <x:c r="J39" s="76" t="inlineStr">
        <x:is>
          <x:t xml:space="preserve">https://artificialanalysis.ai/models/claude-sonnet-5-5-low</x:t>
        </x:is>
      </x:c>
      <x:c r="K39" s="76" t="inlineStr">
        <x:is>
          <x:t xml:space="preserve">https://artificialanalysis.ai/models/claude-sonnet-5-5-low/providers</x:t>
        </x:is>
      </x:c>
      <x:c r="L39" s="76" t="inlineStr">
        <x:is>
          <x:t xml:space="preserve">Claude Sonnet 5.5 (Low, Default Fallback)</x:t>
        </x:is>
      </x:c>
    </x:row>
    <x:row r="40">
      <x:c r="A40" s="73" t="inlineStr">
        <x:is>
          <x:t xml:space="preserve">2026-10-16</x:t>
        </x:is>
      </x:c>
      <x:c r="B40" s="73" t="inlineStr">
        <x:is>
          <x:t xml:space="preserve">GPT-5.6 Terra</x:t>
        </x:is>
      </x:c>
      <x:c r="C40" s="73" t="inlineStr">
        <x:is>
          <x:t xml:space="preserve">Max</x:t>
        </x:is>
      </x:c>
      <x:c r="D40" s="73" t="inlineStr">
        <x:is>
          <x:t xml:space="preserve">v4.3.2</x:t>
        </x:is>
      </x:c>
      <x:c r="E40" s="73" t="n">
        <x:v>42</x:v>
      </x:c>
      <x:c r="F40" s="74" t="n">
        <x:v>1.4</x:v>
      </x:c>
      <x:c r="G40" s="75" t="n">
        <x:v>134</x:v>
      </x:c>
      <x:c r="H40" s="75" t="n">
        <x:v>118.28</x:v>
      </x:c>
      <x:c r="I40" s="73" t="inlineStr">
        <x:is>
          <x:t xml:space="preserve">OpenAI</x:t>
        </x:is>
      </x:c>
      <x:c r="J40" s="73" t="inlineStr">
        <x:is>
          <x:t xml:space="preserve">https://artificialanalysis.ai/models/gpt-5-6-terra</x:t>
        </x:is>
      </x:c>
      <x:c r="K40" s="73" t="inlineStr">
        <x:is>
          <x:t xml:space="preserve">https://artificialanalysis.ai/models/gpt-5-6-terra/providers</x:t>
        </x:is>
      </x:c>
      <x:c r="L40" s="73" t="inlineStr">
        <x:is>
          <x:t xml:space="preserve">GPT-5.6 Terra (Max)</x:t>
        </x:is>
      </x:c>
    </x:row>
    <x:row r="41">
      <x:c r="A41" s="76" t="inlineStr">
        <x:is>
          <x:t xml:space="preserve">2026-10-16</x:t>
        </x:is>
      </x:c>
      <x:c r="B41" s="76" t="inlineStr">
        <x:is>
          <x:t xml:space="preserve">GPT-5.6 Terra</x:t>
        </x:is>
      </x:c>
      <x:c r="C41" s="76" t="inlineStr">
        <x:is>
          <x:t xml:space="preserve">Xhigh</x:t>
        </x:is>
      </x:c>
      <x:c r="D41" s="76" t="inlineStr">
        <x:is>
          <x:t xml:space="preserve">v4.3.2</x:t>
        </x:is>
      </x:c>
      <x:c r="E41" s="76" t="n">
        <x:v>38</x:v>
      </x:c>
      <x:c r="F41" s="77" t="n">
        <x:v>0.63</x:v>
      </x:c>
      <x:c r="G41" s="78" t="n">
        <x:v>131</x:v>
      </x:c>
      <x:c r="H41" s="78" t="n">
        <x:v>17.31</x:v>
      </x:c>
      <x:c r="I41" s="76" t="inlineStr">
        <x:is>
          <x:t xml:space="preserve">OpenAI</x:t>
        </x:is>
      </x:c>
      <x:c r="J41" s="76" t="inlineStr">
        <x:is>
          <x:t xml:space="preserve">https://artificialanalysis.ai/models/gpt-5-6-terra-xhigh</x:t>
        </x:is>
      </x:c>
      <x:c r="K41" s="76" t="inlineStr">
        <x:is>
          <x:t xml:space="preserve">https://artificialanalysis.ai/models/gpt-5-6-terra-xhigh/providers</x:t>
        </x:is>
      </x:c>
      <x:c r="L41" s="76" t="inlineStr">
        <x:is>
          <x:t xml:space="preserve">GPT-5.6 Terra (Xhigh)</x:t>
        </x:is>
      </x:c>
    </x:row>
    <x:row r="42">
      <x:c r="A42" s="73" t="inlineStr">
        <x:is>
          <x:t xml:space="preserve">2026-10-16</x:t>
        </x:is>
      </x:c>
      <x:c r="B42" s="73" t="inlineStr">
        <x:is>
          <x:t xml:space="preserve">GPT-5.6 Terra</x:t>
        </x:is>
      </x:c>
      <x:c r="C42" s="73" t="inlineStr">
        <x:is>
          <x:t xml:space="preserve">High</x:t>
        </x:is>
      </x:c>
      <x:c r="D42" s="73" t="inlineStr">
        <x:is>
          <x:t xml:space="preserve">v4.3.2</x:t>
        </x:is>
      </x:c>
      <x:c r="E42" s="73" t="n">
        <x:v>34</x:v>
      </x:c>
      <x:c r="F42" s="74" t="n">
        <x:v>0.34</x:v>
      </x:c>
      <x:c r="G42" s="75" t="n">
        <x:v>114</x:v>
      </x:c>
      <x:c r="H42" s="75" t="n">
        <x:v>2.27</x:v>
      </x:c>
      <x:c r="I42" s="73" t="inlineStr">
        <x:is>
          <x:t xml:space="preserve">OpenAI</x:t>
        </x:is>
      </x:c>
      <x:c r="J42" s="73" t="inlineStr">
        <x:is>
          <x:t xml:space="preserve">https://artificialanalysis.ai/models/gpt-5-6-terra-high</x:t>
        </x:is>
      </x:c>
      <x:c r="K42" s="73" t="inlineStr">
        <x:is>
          <x:t xml:space="preserve">https://artificialanalysis.ai/models/gpt-5-6-terra-high/providers</x:t>
        </x:is>
      </x:c>
      <x:c r="L42" s="73" t="inlineStr">
        <x:is>
          <x:t xml:space="preserve">GPT-5.6 Terra (High)</x:t>
        </x:is>
      </x:c>
    </x:row>
    <x:row r="43">
      <x:c r="A43" s="76" t="inlineStr">
        <x:is>
          <x:t xml:space="preserve">2026-10-16</x:t>
        </x:is>
      </x:c>
      <x:c r="B43" s="76" t="inlineStr">
        <x:is>
          <x:t xml:space="preserve">GPT-5.6 Terra</x:t>
        </x:is>
      </x:c>
      <x:c r="C43" s="76" t="inlineStr">
        <x:is>
          <x:t xml:space="preserve">Medium</x:t>
        </x:is>
      </x:c>
      <x:c r="D43" s="76" t="inlineStr">
        <x:is>
          <x:t xml:space="preserve">v4.3.2</x:t>
        </x:is>
      </x:c>
      <x:c r="E43" s="76" t="n">
        <x:v>30</x:v>
      </x:c>
      <x:c r="F43" s="77" t="n">
        <x:v>0.18</x:v>
      </x:c>
      <x:c r="G43" s="78" t="n">
        <x:v>108</x:v>
      </x:c>
      <x:c r="H43" s="78" t="n">
        <x:v>1.64</x:v>
      </x:c>
      <x:c r="I43" s="76" t="inlineStr">
        <x:is>
          <x:t xml:space="preserve">OpenAI</x:t>
        </x:is>
      </x:c>
      <x:c r="J43" s="76" t="inlineStr">
        <x:is>
          <x:t xml:space="preserve">https://artificialanalysis.ai/models/gpt-5-6-terra-medium</x:t>
        </x:is>
      </x:c>
      <x:c r="K43" s="76" t="inlineStr">
        <x:is>
          <x:t xml:space="preserve">https://artificialanalysis.ai/models/gpt-5-6-terra-medium/providers</x:t>
        </x:is>
      </x:c>
      <x:c r="L43" s="76" t="inlineStr">
        <x:is>
          <x:t xml:space="preserve">GPT-5.6 Terra (Medium)</x:t>
        </x:is>
      </x:c>
    </x:row>
    <x:row r="44">
      <x:c r="A44" s="73" t="inlineStr">
        <x:is>
          <x:t xml:space="preserve">2026-10-16</x:t>
        </x:is>
      </x:c>
      <x:c r="B44" s="73" t="inlineStr">
        <x:is>
          <x:t xml:space="preserve">GPT-5.6 Terra</x:t>
        </x:is>
      </x:c>
      <x:c r="C44" s="73" t="inlineStr">
        <x:is>
          <x:t xml:space="preserve">Low</x:t>
        </x:is>
      </x:c>
      <x:c r="D44" s="73" t="inlineStr">
        <x:is>
          <x:t xml:space="preserve">v4.3.2</x:t>
        </x:is>
      </x:c>
      <x:c r="E44" s="73" t="n">
        <x:v>27</x:v>
      </x:c>
      <x:c r="F44" s="74" t="n">
        <x:v>0.14</x:v>
      </x:c>
      <x:c r="G44" s="75" t="n">
        <x:v>109</x:v>
      </x:c>
      <x:c r="H44" s="75" t="n">
        <x:v>1.45</x:v>
      </x:c>
      <x:c r="I44" s="73" t="inlineStr">
        <x:is>
          <x:t xml:space="preserve">OpenAI</x:t>
        </x:is>
      </x:c>
      <x:c r="J44" s="73" t="inlineStr">
        <x:is>
          <x:t xml:space="preserve">https://artificialanalysis.ai/models/gpt-5-6-terra-low</x:t>
        </x:is>
      </x:c>
      <x:c r="K44" s="73" t="inlineStr">
        <x:is>
          <x:t xml:space="preserve">https://artificialanalysis.ai/models/gpt-5-6-terra-low/providers</x:t>
        </x:is>
      </x:c>
      <x:c r="L44" s="73" t="inlineStr">
        <x:is>
          <x:t xml:space="preserve">GPT-5.6 Terra (Low)</x:t>
        </x:is>
      </x:c>
    </x:row>
    <x:row r="45">
      <x:c r="A45" s="76" t="inlineStr">
        <x:is>
          <x:t xml:space="preserve">2026-10-16</x:t>
        </x:is>
      </x:c>
      <x:c r="B45" s="76" t="inlineStr">
        <x:is>
          <x:t xml:space="preserve">GPT-5.6 Terra</x:t>
        </x:is>
      </x:c>
      <x:c r="C45" s="76" t="inlineStr">
        <x:is>
          <x:t xml:space="preserve">Non-reasoning</x:t>
        </x:is>
      </x:c>
      <x:c r="D45" s="76" t="inlineStr">
        <x:is>
          <x:t xml:space="preserve">v4.3.2</x:t>
        </x:is>
      </x:c>
      <x:c r="E45" s="76" t="n">
        <x:v>21</x:v>
      </x:c>
      <x:c r="F45" s="77" t="n">
        <x:v>0.14</x:v>
      </x:c>
      <x:c r="G45" s="78" t="n">
        <x:v>121</x:v>
      </x:c>
      <x:c r="H45" s="78" t="n">
        <x:v>0.78</x:v>
      </x:c>
      <x:c r="I45" s="76" t="inlineStr">
        <x:is>
          <x:t xml:space="preserve">OpenAI</x:t>
        </x:is>
      </x:c>
      <x:c r="J45" s="76" t="inlineStr">
        <x:is>
          <x:t xml:space="preserve">https://artificialanalysis.ai/models/gpt-5-6-terra-non-reasoning</x:t>
        </x:is>
      </x:c>
      <x:c r="K45" s="76" t="inlineStr">
        <x:is>
          <x:t xml:space="preserve">https://artificialanalysis.ai/models/gpt-5-6-terra-non-reasoning/providers</x:t>
        </x:is>
      </x:c>
      <x:c r="L45" s="76" t="inlineStr">
        <x:is>
          <x:t xml:space="preserve">GPT-5.6 Terra (Non-reasoning)</x:t>
        </x:is>
      </x:c>
    </x:row>
    <x:row r="46">
      <x:c r="A46" s="73" t="inlineStr">
        <x:is>
          <x:t xml:space="preserve">2026-10-16</x:t>
        </x:is>
      </x:c>
      <x:c r="B46" s="73" t="inlineStr">
        <x:is>
          <x:t xml:space="preserve">Claude Haiku 5.5</x:t>
        </x:is>
      </x:c>
      <x:c r="C46" s="73" t="inlineStr">
        <x:is>
          <x:t xml:space="preserve">Max</x:t>
        </x:is>
      </x:c>
      <x:c r="D46" s="73" t="inlineStr">
        <x:is>
          <x:t xml:space="preserve">v4.3.2</x:t>
        </x:is>
      </x:c>
      <x:c r="E46" s="73" t="n">
        <x:v>43</x:v>
      </x:c>
      <x:c r="F46" s="74" t="n">
        <x:v>0.21</x:v>
      </x:c>
      <x:c r="G46" s="75" t="n">
        <x:v>238</x:v>
      </x:c>
      <x:c r="H46" s="75" t="n">
        <x:v>327.16</x:v>
      </x:c>
      <x:c r="I46" s="73" t="inlineStr">
        <x:is>
          <x:t xml:space="preserve">Anthropic</x:t>
        </x:is>
      </x:c>
      <x:c r="J46" s="73" t="inlineStr">
        <x:is>
          <x:t xml:space="preserve">https://artificialanalysis.ai/models/claude-haiku-5-5</x:t>
        </x:is>
      </x:c>
      <x:c r="K46" s="73" t="inlineStr">
        <x:is>
          <x:t xml:space="preserve">https://artificialanalysis.ai/models/claude-haiku-5-5/providers</x:t>
        </x:is>
      </x:c>
      <x:c r="L46" s="73" t="inlineStr">
        <x:is>
          <x:t xml:space="preserve">Claude Haiku 5.5 (Max)</x:t>
        </x:is>
      </x:c>
    </x:row>
    <x:row r="47">
      <x:c r="A47" s="76" t="inlineStr">
        <x:is>
          <x:t xml:space="preserve">2026-10-16</x:t>
        </x:is>
      </x:c>
      <x:c r="B47" s="76" t="inlineStr">
        <x:is>
          <x:t xml:space="preserve">Claude Haiku 5.5</x:t>
        </x:is>
      </x:c>
      <x:c r="C47" s="76" t="inlineStr">
        <x:is>
          <x:t xml:space="preserve">Xhigh</x:t>
        </x:is>
      </x:c>
      <x:c r="D47" s="76" t="inlineStr">
        <x:is>
          <x:t xml:space="preserve">v4.3.2</x:t>
        </x:is>
      </x:c>
      <x:c r="E47" s="76" t="n">
        <x:v>41</x:v>
      </x:c>
      <x:c r="F47" s="77" t="n">
        <x:v>0.12</x:v>
      </x:c>
      <x:c r="G47" s="78" t="n">
        <x:v>190</x:v>
      </x:c>
      <x:c r="H47" s="78" t="n">
        <x:v>58.91</x:v>
      </x:c>
      <x:c r="I47" s="76" t="inlineStr">
        <x:is>
          <x:t xml:space="preserve">Anthropic</x:t>
        </x:is>
      </x:c>
      <x:c r="J47" s="76" t="inlineStr">
        <x:is>
          <x:t xml:space="preserve">https://artificialanalysis.ai/models/claude-haiku-5-5-xhigh</x:t>
        </x:is>
      </x:c>
      <x:c r="K47" s="76" t="inlineStr">
        <x:is>
          <x:t xml:space="preserve">https://artificialanalysis.ai/models/claude-haiku-5-5-xhigh/providers</x:t>
        </x:is>
      </x:c>
      <x:c r="L47" s="76" t="inlineStr">
        <x:is>
          <x:t xml:space="preserve">Claude Haiku 5.5 (Xhigh)</x:t>
        </x:is>
      </x:c>
    </x:row>
    <x:row r="48">
      <x:c r="A48" s="73" t="inlineStr">
        <x:is>
          <x:t xml:space="preserve">2026-10-16</x:t>
        </x:is>
      </x:c>
      <x:c r="B48" s="73" t="inlineStr">
        <x:is>
          <x:t xml:space="preserve">Claude Haiku 5.5</x:t>
        </x:is>
      </x:c>
      <x:c r="C48" s="73" t="inlineStr">
        <x:is>
          <x:t xml:space="preserve">High</x:t>
        </x:is>
      </x:c>
      <x:c r="D48" s="73" t="inlineStr">
        <x:is>
          <x:t xml:space="preserve">v4.3.2</x:t>
        </x:is>
      </x:c>
      <x:c r="E48" s="73" t="n">
        <x:v>38</x:v>
      </x:c>
      <x:c r="F48" s="74" t="n">
        <x:v>0.08</x:v>
      </x:c>
      <x:c r="G48" s="75" t="n">
        <x:v>182</x:v>
      </x:c>
      <x:c r="H48" s="75" t="n">
        <x:v>21.54</x:v>
      </x:c>
      <x:c r="I48" s="73" t="inlineStr">
        <x:is>
          <x:t xml:space="preserve">Anthropic</x:t>
        </x:is>
      </x:c>
      <x:c r="J48" s="73" t="inlineStr">
        <x:is>
          <x:t xml:space="preserve">https://artificialanalysis.ai/models/claude-haiku-5-5-high</x:t>
        </x:is>
      </x:c>
      <x:c r="K48" s="73" t="inlineStr">
        <x:is>
          <x:t xml:space="preserve">https://artificialanalysis.ai/models/claude-haiku-5-5-high/providers</x:t>
        </x:is>
      </x:c>
      <x:c r="L48" s="73" t="inlineStr">
        <x:is>
          <x:t xml:space="preserve">Claude Haiku 5.5 (High)</x:t>
        </x:is>
      </x:c>
    </x:row>
    <x:row r="49">
      <x:c r="A49" s="76" t="inlineStr">
        <x:is>
          <x:t xml:space="preserve">2026-10-16</x:t>
        </x:is>
      </x:c>
      <x:c r="B49" s="76" t="inlineStr">
        <x:is>
          <x:t xml:space="preserve">Claude Haiku 5.5</x:t>
        </x:is>
      </x:c>
      <x:c r="C49" s="76" t="inlineStr">
        <x:is>
          <x:t xml:space="preserve">Medium</x:t>
        </x:is>
      </x:c>
      <x:c r="D49" s="76" t="inlineStr">
        <x:is>
          <x:t xml:space="preserve">v4.3.2</x:t>
        </x:is>
      </x:c>
      <x:c r="E49" s="76" t="n">
        <x:v>34</x:v>
      </x:c>
      <x:c r="F49" s="77" t="n">
        <x:v>0.05</x:v>
      </x:c>
      <x:c r="G49" s="78" t="n">
        <x:v>187</x:v>
      </x:c>
      <x:c r="H49" s="78" t="n">
        <x:v>8.470000000000001</x:v>
      </x:c>
      <x:c r="I49" s="76" t="inlineStr">
        <x:is>
          <x:t xml:space="preserve">Anthropic</x:t>
        </x:is>
      </x:c>
      <x:c r="J49" s="76" t="inlineStr">
        <x:is>
          <x:t xml:space="preserve">https://artificialanalysis.ai/models/claude-haiku-5-5-medium</x:t>
        </x:is>
      </x:c>
      <x:c r="K49" s="76" t="inlineStr">
        <x:is>
          <x:t xml:space="preserve">https://artificialanalysis.ai/models/claude-haiku-5-5-medium/providers</x:t>
        </x:is>
      </x:c>
      <x:c r="L49" s="76" t="inlineStr">
        <x:is>
          <x:t xml:space="preserve">Claude Haiku 5.5 (Medium)</x:t>
        </x:is>
      </x:c>
    </x:row>
    <x:row r="50" s="14" customFormat="1">
      <x:c r="A50" s="73" t="inlineStr">
        <x:is>
          <x:t xml:space="preserve">2026-10-16</x:t>
        </x:is>
      </x:c>
      <x:c r="B50" s="73" t="inlineStr">
        <x:is>
          <x:t xml:space="preserve">Claude Haiku 5.5</x:t>
        </x:is>
      </x:c>
      <x:c r="C50" s="73" t="inlineStr">
        <x:is>
          <x:t xml:space="preserve">Low</x:t>
        </x:is>
      </x:c>
      <x:c r="D50" s="73" t="inlineStr">
        <x:is>
          <x:t xml:space="preserve">v4.3.2</x:t>
        </x:is>
      </x:c>
      <x:c r="E50" s="73" t="n">
        <x:v>29</x:v>
      </x:c>
      <x:c r="F50" s="74" t="n">
        <x:v>0.02</x:v>
      </x:c>
      <x:c r="G50" s="75" t="n">
        <x:v>187</x:v>
      </x:c>
      <x:c r="H50" s="75" t="n">
        <x:v>6.33</x:v>
      </x:c>
      <x:c r="I50" s="73" t="inlineStr">
        <x:is>
          <x:t xml:space="preserve">Anthropic</x:t>
        </x:is>
      </x:c>
      <x:c r="J50" s="73" t="inlineStr">
        <x:is>
          <x:t xml:space="preserve">https://artificialanalysis.ai/models/claude-haiku-5-5-low</x:t>
        </x:is>
      </x:c>
      <x:c r="K50" s="73" t="inlineStr">
        <x:is>
          <x:t xml:space="preserve">https://artificialanalysis.ai/models/claude-haiku-5-5-low/providers</x:t>
        </x:is>
      </x:c>
      <x:c r="L50" s="73" t="inlineStr">
        <x:is>
          <x:t xml:space="preserve">Claude Haiku 5.5 (Low)</x:t>
        </x:is>
      </x:c>
    </x:row>
    <x:row r="51" s="14" customFormat="1">
      <x:c r="A51" s="73" t="inlineStr">
        <x:is>
          <x:t xml:space="preserve">2026-10-17</x:t>
        </x:is>
      </x:c>
      <x:c r="B51" s="73" t="inlineStr">
        <x:is>
          <x:t xml:space="preserve">Gemini 3.8 Flash</x:t>
        </x:is>
      </x:c>
      <x:c r="C51" s="73" t="inlineStr">
        <x:is>
          <x:t xml:space="preserve">Low</x:t>
        </x:is>
      </x:c>
      <x:c r="D51" s="73" t="inlineStr">
        <x:is>
          <x:t xml:space="preserve">v4.3.2</x:t>
        </x:is>
      </x:c>
      <x:c r="E51" s="73" t="n">
        <x:v>33</x:v>
      </x:c>
      <x:c r="F51" s="74" t="n"/>
      <x:c r="G51" s="75" t="n"/>
      <x:c r="H51" s="75" t="n"/>
      <x:c r="I51" s="73" t="inlineStr">
        <x:is>
          <x:t xml:space="preserve">Google</x:t>
        </x:is>
      </x:c>
      <x:c r="J51" s="73" t="inlineStr">
        <x:is>
          <x:t xml:space="preserve">https://artificialanalysis.ai/models/gemini-3-8-flash-low</x:t>
        </x:is>
      </x:c>
      <x:c r="K51" s="73" t="inlineStr">
        <x:is>
          <x:t xml:space="preserve">https://artificialanalysis.ai/models/gemini-3-8-flash-low/providers</x:t>
        </x:is>
      </x:c>
      <x:c r="L51" s="73" t="inlineStr">
        <x:is>
          <x:t xml:space="preserve">Gemini 3.8 Flash (Low)</x:t>
        </x:is>
      </x:c>
    </x:row>
    <x:row r="52" s="14" customFormat="1">
      <x:c r="A52" s="73" t="inlineStr">
        <x:is>
          <x:t xml:space="preserve">2026-10-17</x:t>
        </x:is>
      </x:c>
      <x:c r="B52" s="73" t="inlineStr">
        <x:is>
          <x:t xml:space="preserve">Gemini 3.8 Flash</x:t>
        </x:is>
      </x:c>
      <x:c r="C52" s="73" t="inlineStr">
        <x:is>
          <x:t xml:space="preserve">Medium</x:t>
        </x:is>
      </x:c>
      <x:c r="D52" s="73" t="inlineStr">
        <x:is>
          <x:t xml:space="preserve">v4.3.2</x:t>
        </x:is>
      </x:c>
      <x:c r="E52" s="73" t="n">
        <x:v>40</x:v>
      </x:c>
      <x:c r="F52" s="74" t="n">
        <x:v>0.93</x:v>
      </x:c>
      <x:c r="G52" s="75" t="n"/>
      <x:c r="H52" s="75" t="n"/>
      <x:c r="I52" s="73" t="inlineStr">
        <x:is>
          <x:t xml:space="preserve">Google</x:t>
        </x:is>
      </x:c>
      <x:c r="J52" s="73" t="inlineStr">
        <x:is>
          <x:t xml:space="preserve">https://artificialanalysis.ai/models/gemini-3-8-flash-medium</x:t>
        </x:is>
      </x:c>
      <x:c r="K52" s="73" t="inlineStr">
        <x:is>
          <x:t xml:space="preserve">https://artificialanalysis.ai/models/gemini-3-8-flash-medium/providers</x:t>
        </x:is>
      </x:c>
      <x:c r="L52" s="73" t="inlineStr">
        <x:is>
          <x:t xml:space="preserve">Gemini 3.8 Flash (Medium)</x:t>
        </x:is>
      </x:c>
    </x:row>
    <x:row r="53" s="14" customFormat="1">
      <x:c r="A53" s="73" t="inlineStr">
        <x:is>
          <x:t xml:space="preserve">2026-10-17</x:t>
        </x:is>
      </x:c>
      <x:c r="B53" s="73" t="inlineStr">
        <x:is>
          <x:t xml:space="preserve">Gemini 3.8 Flash</x:t>
        </x:is>
      </x:c>
      <x:c r="C53" s="73" t="inlineStr">
        <x:is>
          <x:t xml:space="preserve">High</x:t>
        </x:is>
      </x:c>
      <x:c r="D53" s="73" t="inlineStr">
        <x:is>
          <x:t xml:space="preserve">v4.3.2</x:t>
        </x:is>
      </x:c>
      <x:c r="E53" s="73" t="n">
        <x:v>41</x:v>
      </x:c>
      <x:c r="F53" s="74" t="n">
        <x:v>1.24</x:v>
      </x:c>
      <x:c r="G53" s="75" t="n">
        <x:v>147.1</x:v>
      </x:c>
      <x:c r="H53" s="75" t="n">
        <x:v>22.594393433</x:v>
      </x:c>
      <x:c r="I53" s="73" t="inlineStr">
        <x:is>
          <x:t xml:space="preserve">Google</x:t>
        </x:is>
      </x:c>
      <x:c r="J53" s="73" t="inlineStr">
        <x:is>
          <x:t xml:space="preserve">https://artificialanalysis.ai/models/gemini-3-8-flash</x:t>
        </x:is>
      </x:c>
      <x:c r="K53" s="73" t="inlineStr">
        <x:is>
          <x:t xml:space="preserve">https://artificialanalysis.ai/models/gemini-3-8-flash/providers</x:t>
        </x:is>
      </x:c>
      <x:c r="L53" s="73" t="inlineStr">
        <x:is>
          <x:t xml:space="preserve">Gemini 3.8 Flash (High)</x:t>
        </x:is>
      </x:c>
    </x:row>
    <x:row r="54" s="14" customFormat="1">
      <x:c r="A54" s="73" t="inlineStr">
        <x:is>
          <x:t xml:space="preserve">2026-10-17</x:t>
        </x:is>
      </x:c>
      <x:c r="B54" s="73" t="inlineStr">
        <x:is>
          <x:t xml:space="preserve">Gemini 3.1 Pro Preview</x:t>
        </x:is>
      </x:c>
      <x:c r="C54" s="73" t="inlineStr">
        <x:is>
          <x:t xml:space="preserve">Effort not stated</x:t>
        </x:is>
      </x:c>
      <x:c r="D54" s="73" t="inlineStr">
        <x:is>
          <x:t xml:space="preserve">v4.3.2</x:t>
        </x:is>
      </x:c>
      <x:c r="E54" s="73" t="n">
        <x:v>30</x:v>
      </x:c>
      <x:c r="F54" s="74" t="n">
        <x:v>1.3</x:v>
      </x:c>
      <x:c r="G54" s="75" t="n">
        <x:v>140.1</x:v>
      </x:c>
      <x:c r="H54" s="75" t="n">
        <x:v>16.93</x:v>
      </x:c>
      <x:c r="I54" s="73" t="inlineStr">
        <x:is>
          <x:t xml:space="preserve">Google</x:t>
        </x:is>
      </x:c>
      <x:c r="J54" s="73" t="inlineStr">
        <x:is>
          <x:t xml:space="preserve">https://artificialanalysis.ai/models/gemini-3-1-pro-preview</x:t>
        </x:is>
      </x:c>
      <x:c r="K54" s="73" t="inlineStr">
        <x:is>
          <x:t xml:space="preserve">https://artificialanalysis.ai/models/gemini-3-1-pro-preview/providers</x:t>
        </x:is>
      </x:c>
      <x:c r="L54" s="73" t="inlineStr">
        <x:is>
          <x:t xml:space="preserve">Gemini 3.1 Pro Preview · effort not stated</x:t>
        </x:is>
      </x:c>
    </x:row>
    <x:row r="55">
      <x:c r="A55" s="73" t="inlineStr">
        <x:is>
          <x:t xml:space="preserve">2026-10-17</x:t>
        </x:is>
      </x:c>
      <x:c r="B55" s="73" t="inlineStr">
        <x:is>
          <x:t xml:space="preserve">Gemini 4 Argon</x:t>
        </x:is>
      </x:c>
      <x:c r="C55" s="73" t="inlineStr">
        <x:is>
          <x:t xml:space="preserve">Low</x:t>
        </x:is>
      </x:c>
      <x:c r="D55" s="73" t="inlineStr">
        <x:is>
          <x:t xml:space="preserve">v4.3.2</x:t>
        </x:is>
      </x:c>
      <x:c r="E55" s="73" t="n"/>
      <x:c r="F55" s="74" t="n"/>
      <x:c r="G55" s="75" t="n"/>
      <x:c r="H55" s="75" t="n"/>
      <x:c r="I55" s="73" t="inlineStr">
        <x:is>
          <x:t xml:space="preserve">Google</x:t>
        </x:is>
      </x:c>
      <x:c r="J55" s="73" t="inlineStr">
        <x:is>
          <x:t xml:space="preserve">https://artificialanalysis.ai/models/gemini-4-argon</x:t>
        </x:is>
      </x:c>
      <x:c r="K55" s="73" t="inlineStr">
        <x:is>
          <x:t xml:space="preserve">https://artificialanalysis.ai/models/gemini-4-argon/providers</x:t>
        </x:is>
      </x:c>
      <x:c r="L55" s="73" t="inlineStr">
        <x:is>
          <x:t xml:space="preserve">Gemini 4 Argon (Low) · supported API level; no AA result</x:t>
        </x:is>
      </x:c>
    </x:row>
  </x:sheetData>
  <x:pageMargins left="0.7" right="0.7" top="0.75" bottom="0.75" header="0.3" footer="0.3"/>
  <x:legacyDrawing xmlns:r="http://schemas.openxmlformats.org/officeDocument/2006/relationships" r:id="R31cb30e7bbed4bf5"/>
</x:worksheet>
</file>

<file path=xl/worksheets/sheet3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8" hidden="0" customWidth="1"/>
    <x:col min="3" max="3" width="22" hidden="0" customWidth="1"/>
    <x:col min="4" max="4" width="22" hidden="0" customWidth="1"/>
    <x:col min="5" max="5" width="24" hidden="0" customWidth="1"/>
    <x:col min="6" max="6" width="13" hidden="0" customWidth="1"/>
    <x:col min="7" max="7" width="20" hidden="0" customWidth="1"/>
    <x:col min="8" max="8" width="30" hidden="0" customWidth="1"/>
    <x:col min="9" max="9" width="60" hidden="0" customWidth="1"/>
    <x:col min="10" max="10" width="52" hidden="0" customWidth="1"/>
    <x:col min="11" max="11" width="52" hidden="0" customWidth="1"/>
    <x:col min="12" max="12" width="52" hidden="0" customWidth="1"/>
    <x:col min="13" max="13" width="34" hidden="0" customWidth="1"/>
    <x:col min="14" max="14" width="18" hidden="0" customWidth="1"/>
    <x:col min="15" max="15" width="55" hidden="0" customWidth="1"/>
    <x:col min="16" max="16" width="25" hidden="0" customWidth="1"/>
    <x:col min="17" max="17" width="64" hidden="0" customWidth="1"/>
  </x:cols>
  <x:sheetData>
    <x:row r="1" ht="36" customHeight="1">
      <x:c r="A1" s="122" t="str">
        <x:v>catalog_id</x:v>
      </x:c>
      <x:c r="B1" s="122" t="str">
        <x:v>provider</x:v>
      </x:c>
      <x:c r="C1" s="122" t="str">
        <x:v>service</x:v>
      </x:c>
      <x:c r="D1" s="122" t="str">
        <x:v>plan_or_tier</x:v>
      </x:c>
      <x:c r="E1" s="122" t="str">
        <x:v>category</x:v>
      </x:c>
      <x:c r="F1" s="122" t="str">
        <x:v>price_amount</x:v>
      </x:c>
      <x:c r="G1" s="122" t="str">
        <x:v>price_unit</x:v>
      </x:c>
      <x:c r="H1" s="122" t="str">
        <x:v>billing_model</x:v>
      </x:c>
      <x:c r="I1" s="122" t="str">
        <x:v>included_quotas_or_value</x:v>
      </x:c>
      <x:c r="J1" s="122" t="str">
        <x:v>other_benefits</x:v>
      </x:c>
      <x:c r="K1" s="122" t="str">
        <x:v>account_team_restrictions</x:v>
      </x:c>
      <x:c r="L1" s="122" t="str">
        <x:v>privacy_retention_terms</x:v>
      </x:c>
      <x:c r="M1" s="122" t="str">
        <x:v>region_eligibility</x:v>
      </x:c>
      <x:c r="N1" s="122" t="str">
        <x:v>verified_as_of</x:v>
      </x:c>
      <x:c r="O1" s="122" t="str">
        <x:v>official_source_url</x:v>
      </x:c>
      <x:c r="P1" s="122" t="str">
        <x:v>source_confidence</x:v>
      </x:c>
      <x:c r="Q1" s="122" t="str">
        <x:v>caveats</x:v>
      </x:c>
    </x:row>
    <x:row r="2" ht="54" customHeight="1">
      <x:c r="A2" s="125" t="str">
        <x:v>opencode-go</x:v>
      </x:c>
      <x:c r="B2" s="125" t="str">
        <x:v>OpenCode</x:v>
      </x:c>
      <x:c r="C2" s="125" t="str">
        <x:v>OpenCode Go</x:v>
      </x:c>
      <x:c r="D2" s="125" t="str">
        <x:v>Go</x:v>
      </x:c>
      <x:c r="E2" s="125" t="str">
        <x:v>AI coding subscription</x:v>
      </x:c>
      <x:c r="F2" s="125" t="n">
        <x:v>10</x:v>
      </x:c>
      <x:c r="G2" s="125" t="str">
        <x:v>USD/month</x:v>
      </x:c>
      <x:c r="H2" s="125" t="str">
        <x:v>Monthly subscription</x:v>
      </x:c>
      <x:c r="I2" s="125" t="str">
        <x:v>Model-specific caps; typically 20% per 5-hour window, 50% weekly, 100% monthly; model caps vary from $15 to $80 equivalents in the saved baseline.</x:v>
      </x:c>
      <x:c r="J2" s="125" t="str">
        <x:v>Broad multi-provider model catalog; selected temporary free models.</x:v>
      </x:c>
      <x:c r="K2" s="125" t="str">
        <x:v>Workspaces are single-member; cannot invite collaborators.</x:v>
      </x:c>
      <x:c r="L2" s="125" t="str">
        <x:v>Provider/model-specific terms; Gemini Contributor may train future Google models and is not ZDR; free model retention varies.</x:v>
      </x:c>
      <x:c r="M2" s="125" t="str">
        <x:v>Model availability may be region limited.</x:v>
      </x:c>
      <x:c r="N2" s="125" t="str">
        <x:v>2026-10-21</x:v>
      </x:c>
      <x:c r="O2" s="125" t="str">
        <x:v>https://dev.opencode.ai/v2/docs/console/go</x:v>
      </x:c>
      <x:c r="P2" s="125" t="str">
        <x:v>Official, high</x:v>
      </x:c>
      <x:c r="Q2" s="125" t="str">
        <x:v>Request counts are pattern estimates, not guaranteed. The Oct17 Step 5 entitlement differs from the Oct16 saved baseline; preserve the conflict.</x:v>
      </x:c>
    </x:row>
    <x:row r="3" ht="54" customHeight="1">
      <x:c r="A3" s="125" t="str">
        <x:v>opencode-go-plus</x:v>
      </x:c>
      <x:c r="B3" s="125" t="str">
        <x:v>OpenCode</x:v>
      </x:c>
      <x:c r="C3" s="125" t="str">
        <x:v>OpenCode Go</x:v>
      </x:c>
      <x:c r="D3" s="125" t="str">
        <x:v>Go Plus</x:v>
      </x:c>
      <x:c r="E3" s="125" t="str">
        <x:v>AI coding subscription</x:v>
      </x:c>
      <x:c r="F3" s="125" t="n">
        <x:v>40</x:v>
      </x:c>
      <x:c r="G3" s="125" t="str">
        <x:v>USD/month</x:v>
      </x:c>
      <x:c r="H3" s="125" t="str">
        <x:v>Monthly subscription</x:v>
      </x:c>
      <x:c r="I3" s="125" t="str">
        <x:v>Higher model-specific dollar caps than Go; caps are per-model, not fungible.</x:v>
      </x:c>
      <x:c r="J3" s="125" t="str">
        <x:v>Same mutable model lineup as Go, with higher per-model caps.</x:v>
      </x:c>
      <x:c r="K3" s="125" t="str">
        <x:v>Workspaces are single-member.</x:v>
      </x:c>
      <x:c r="L3" s="125" t="str">
        <x:v>Provider/model-specific terms; check per-model privacy and retention.</x:v>
      </x:c>
      <x:c r="M3" s="125" t="str">
        <x:v>Some models limited by region.</x:v>
      </x:c>
      <x:c r="N3" s="125" t="str">
        <x:v>2026-10-21</x:v>
      </x:c>
      <x:c r="O3" s="125" t="str">
        <x:v>https://dev.opencode.ai/v2/docs/console/go</x:v>
      </x:c>
      <x:c r="P3" s="125" t="str">
        <x:v>Official, high</x:v>
      </x:c>
      <x:c r="Q3" s="125" t="str">
        <x:v>See Go documentation for current model table and limited-time promotions.</x:v>
      </x:c>
    </x:row>
    <x:row r="4" ht="54" customHeight="1">
      <x:c r="A4" s="125" t="str">
        <x:v>opencode-zen</x:v>
      </x:c>
      <x:c r="B4" s="125" t="str">
        <x:v>OpenCode</x:v>
      </x:c>
      <x:c r="C4" s="125" t="str">
        <x:v>OpenCode Zen</x:v>
      </x:c>
      <x:c r="D4" s="125" t="str">
        <x:v>Pay-as-you-go</x:v>
      </x:c>
      <x:c r="E4" s="125" t="str">
        <x:v>AI model gateway</x:v>
      </x:c>
      <x:c r="F4" s="125"/>
      <x:c r="G4" s="125" t="str">
        <x:v>per-token/request</x:v>
      </x:c>
      <x:c r="H4" s="125" t="str">
        <x:v>No subscription; fund balance; provider cost passed through, no model markup.</x:v>
      </x:c>
      <x:c r="I4" s="125" t="str">
        <x:v>Model-specific token prices; selected models may be free. $20 top-up has $1.23 card processing fee; auto-top-up adds $20 when balance falls below $5.</x:v>
      </x:c>
      <x:c r="J4" s="125" t="str">
        <x:v>Can set monthly spend limit; usable with other agents.</x:v>
      </x:c>
      <x:c r="K4" s="125" t="str">
        <x:v>US-hosted; provider zero retention/no training except listed exceptions.</x:v>
      </x:c>
      <x:c r="L4" s="125" t="str">
        <x:v>Provider/model exceptions apply.</x:v>
      </x:c>
      <x:c r="M4" s="125" t="str">
        <x:v>Not separately specified in captured official source; see caveats.</x:v>
      </x:c>
      <x:c r="N4" s="125" t="str">
        <x:v>2026-10-21</x:v>
      </x:c>
      <x:c r="O4" s="125" t="str">
        <x:v>https://dev.opencode.ai/zen</x:v>
      </x:c>
      <x:c r="P4" s="125" t="str">
        <x:v>Official, high</x:v>
      </x:c>
      <x:c r="Q4" s="125" t="str">
        <x:v>Balances/processing charges and model table can change; no flat monthly plan.</x:v>
      </x:c>
    </x:row>
    <x:row r="5" ht="54" customHeight="1">
      <x:c r="A5" s="125" t="str">
        <x:v>cline-oss</x:v>
      </x:c>
      <x:c r="B5" s="125" t="str">
        <x:v>Cline</x:v>
      </x:c>
      <x:c r="C5" s="125" t="str">
        <x:v>Cline (open-source extension/CLI/SDK)</x:v>
      </x:c>
      <x:c r="D5" s="125" t="str">
        <x:v>Free</x:v>
      </x:c>
      <x:c r="E5" s="125" t="str">
        <x:v>AI coding harness</x:v>
      </x:c>
      <x:c r="F5" s="125" t="n">
        <x:v>0</x:v>
      </x:c>
      <x:c r="G5" s="125" t="str">
        <x:v>USD/month</x:v>
      </x:c>
      <x:c r="H5" s="125" t="str">
        <x:v>Free software; BYO model/provider credentials.</x:v>
      </x:c>
      <x:c r="I5" s="125" t="str">
        <x:v>No Cline subscription quota; user pays chosen model provider or uses local models.</x:v>
      </x:c>
      <x:c r="J5" s="125" t="str">
        <x:v>Open-source harness across IDE, CLI, JetBrains, SDK.</x:v>
      </x:c>
      <x:c r="K5" s="125" t="str">
        <x:v>No seat/subscription fee stated for OSS.</x:v>
      </x:c>
      <x:c r="L5" s="125" t="str">
        <x:v>Model provider controls retention/training.</x:v>
      </x:c>
      <x:c r="M5" s="125" t="str">
        <x:v>Provider/region dependent.</x:v>
      </x:c>
      <x:c r="N5" s="125" t="str">
        <x:v>2026-10-21</x:v>
      </x:c>
      <x:c r="O5" s="125" t="str">
        <x:v>https://cline.bot/pricing</x:v>
      </x:c>
      <x:c r="P5" s="125" t="str">
        <x:v>Official, high</x:v>
      </x:c>
      <x:c r="Q5" s="125" t="str">
        <x:v>Do not compare harness access with bundled inference without adding provider spend.</x:v>
      </x:c>
    </x:row>
    <x:row r="6" ht="54" customHeight="1">
      <x:c r="A6" s="125" t="str">
        <x:v>clinepass</x:v>
      </x:c>
      <x:c r="B6" s="125" t="str">
        <x:v>Cline</x:v>
      </x:c>
      <x:c r="C6" s="125" t="str">
        <x:v>ClinePass</x:v>
      </x:c>
      <x:c r="D6" s="125" t="str">
        <x:v>Individual</x:v>
      </x:c>
      <x:c r="E6" s="125" t="str">
        <x:v>AI coding subscription</x:v>
      </x:c>
      <x:c r="F6" s="125" t="n">
        <x:v>9.99</x:v>
      </x:c>
      <x:c r="G6" s="125" t="str">
        <x:v>USD/month</x:v>
      </x:c>
      <x:c r="H6" s="125" t="str">
        <x:v>Flat monthly subscription.</x:v>
      </x:c>
      <x:c r="I6" s="125" t="str">
        <x:v>Curated open-weight models; advertised 2–5x standard API rate limits; no fixed public prompt count in launch post.</x:v>
      </x:c>
      <x:c r="J6" s="125" t="str">
        <x:v>Works across Cline CLI, VS Code, JetBrains, and SDK; BYO keys/local models can coexist.</x:v>
      </x:c>
      <x:c r="K6" s="125" t="str">
        <x:v>Subscription applies to an account; detailed seat terms require recheck.</x:v>
      </x:c>
      <x:c r="L6" s="125" t="str">
        <x:v>Model/provider terms; separately confirm code-use policy.</x:v>
      </x:c>
      <x:c r="M6" s="125" t="str">
        <x:v>Surface/region availability can vary.</x:v>
      </x:c>
      <x:c r="N6" s="125" t="str">
        <x:v>2026-10-21</x:v>
      </x:c>
      <x:c r="O6" s="125" t="str">
        <x:v>https://cline.bot/blog/clinepass-best-of-value-for-open-weight-models</x:v>
      </x:c>
      <x:c r="P6" s="125" t="str">
        <x:v>Official, high</x:v>
      </x:c>
      <x:c r="Q6" s="125" t="str">
        <x:v>Launch post also mentions a limited-time $1.99 CLI discount; end date not stated there.</x:v>
      </x:c>
    </x:row>
    <x:row r="7" ht="54" customHeight="1">
      <x:c r="A7" s="125" t="str">
        <x:v>command-go</x:v>
      </x:c>
      <x:c r="B7" s="125" t="str">
        <x:v>Command Code</x:v>
      </x:c>
      <x:c r="C7" s="125" t="str">
        <x:v>Command Code</x:v>
      </x:c>
      <x:c r="D7" s="125" t="str">
        <x:v>Go</x:v>
      </x:c>
      <x:c r="E7" s="125" t="str">
        <x:v>AI coding subscription</x:v>
      </x:c>
      <x:c r="F7" s="125" t="n">
        <x:v>1</x:v>
      </x:c>
      <x:c r="G7" s="125" t="str">
        <x:v>USD/month + processing</x:v>
      </x:c>
      <x:c r="H7" s="125" t="str">
        <x:v>Monthly; $10 credits included.</x:v>
      </x:c>
      <x:c r="I7" s="125" t="str">
        <x:v>Approx. 9K typical requests; model-dependent allowances; selected premium models included.</x:v>
      </x:c>
      <x:c r="J7" s="125" t="str">
        <x:v>Some free promo models.</x:v>
      </x:c>
      <x:c r="K7" s="125" t="str">
        <x:v>No API access on Go.</x:v>
      </x:c>
      <x:c r="L7" s="125" t="str">
        <x:v>No training on code is claimed by plan page; verify terms.</x:v>
      </x:c>
      <x:c r="M7" s="125" t="str">
        <x:v>Availability subject to provider/product terms.</x:v>
      </x:c>
      <x:c r="N7" s="125" t="str">
        <x:v>2026-10-21</x:v>
      </x:c>
      <x:c r="O7" s="125" t="str">
        <x:v>https://commandcode.ai/pricing</x:v>
      </x:c>
      <x:c r="P7" s="125" t="str">
        <x:v>Official, high</x:v>
      </x:c>
      <x:c r="Q7" s="125" t="str">
        <x:v>Published request estimate varies by model; active promotional models can change.</x:v>
      </x:c>
    </x:row>
    <x:row r="8" ht="54" customHeight="1">
      <x:c r="A8" s="125" t="str">
        <x:v>command-goat</x:v>
      </x:c>
      <x:c r="B8" s="125" t="str">
        <x:v>Command Code</x:v>
      </x:c>
      <x:c r="C8" s="125" t="str">
        <x:v>Command Code</x:v>
      </x:c>
      <x:c r="D8" s="125" t="str">
        <x:v>GOAT</x:v>
      </x:c>
      <x:c r="E8" s="125" t="str">
        <x:v>AI coding subscription</x:v>
      </x:c>
      <x:c r="F8" s="125" t="n">
        <x:v>10</x:v>
      </x:c>
      <x:c r="G8" s="125" t="str">
        <x:v>USD/month + processing</x:v>
      </x:c>
      <x:c r="H8" s="125" t="str">
        <x:v>Monthly; live page says $80 credits included.</x:v>
      </x:c>
      <x:c r="I8" s="125" t="str">
        <x:v>Approx. 75K typical requests; model-specific credit buckets.</x:v>
      </x:c>
      <x:c r="J8" s="125" t="str">
        <x:v>API access; curated and premium model access; some free promos.</x:v>
      </x:c>
      <x:c r="K8" s="125" t="str">
        <x:v>Individual plan.</x:v>
      </x:c>
      <x:c r="L8" s="125" t="str">
        <x:v>No training on code is claimed by plan page; verify terms.</x:v>
      </x:c>
      <x:c r="M8" s="125" t="str">
        <x:v>Model access may vary.</x:v>
      </x:c>
      <x:c r="N8" s="125" t="str">
        <x:v>2026-10-21</x:v>
      </x:c>
      <x:c r="O8" s="125" t="str">
        <x:v>https://commandcode.ai/pricing</x:v>
      </x:c>
      <x:c r="P8" s="125" t="str">
        <x:v>Official, high with page conflict</x:v>
      </x:c>
      <x:c r="Q8" s="125" t="str">
        <x:v>A recent indexed search snapshot showed $70 credits while the direct page today showed $80; preserve as source inconsistency and recheck.</x:v>
      </x:c>
    </x:row>
    <x:row r="9" ht="54" customHeight="1">
      <x:c r="A9" s="125" t="str">
        <x:v>command-pro</x:v>
      </x:c>
      <x:c r="B9" s="125" t="str">
        <x:v>Command Code</x:v>
      </x:c>
      <x:c r="C9" s="125" t="str">
        <x:v>Command Code</x:v>
      </x:c>
      <x:c r="D9" s="125" t="str">
        <x:v>Pro</x:v>
      </x:c>
      <x:c r="E9" s="125" t="str">
        <x:v>AI coding subscription</x:v>
      </x:c>
      <x:c r="F9" s="125" t="n">
        <x:v>20</x:v>
      </x:c>
      <x:c r="G9" s="125" t="str">
        <x:v>USD/month + processing</x:v>
      </x:c>
      <x:c r="H9" s="125" t="str">
        <x:v>Monthly; $80 credits included.</x:v>
      </x:c>
      <x:c r="I9" s="125" t="str">
        <x:v>Model-priced credits; plan page estimates requests by typical model mix.</x:v>
      </x:c>
      <x:c r="J9" s="125" t="str">
        <x:v>API access and premium model access.</x:v>
      </x:c>
      <x:c r="K9" s="125" t="str">
        <x:v>Individual plan.</x:v>
      </x:c>
      <x:c r="L9" s="125" t="str">
        <x:v>Provider terms; verify.</x:v>
      </x:c>
      <x:c r="M9" s="125" t="str">
        <x:v>Model availability may vary.</x:v>
      </x:c>
      <x:c r="N9" s="125" t="str">
        <x:v>2026-10-21</x:v>
      </x:c>
      <x:c r="O9" s="125" t="str">
        <x:v>https://commandcode.ai/pricing</x:v>
      </x:c>
      <x:c r="P9" s="125" t="str">
        <x:v>Official, high</x:v>
      </x:c>
      <x:c r="Q9" s="125" t="str">
        <x:v>Do not treat request estimates as guaranteed.</x:v>
      </x:c>
    </x:row>
    <x:row r="10" ht="54" customHeight="1">
      <x:c r="A10" s="125" t="str">
        <x:v>command-max10</x:v>
      </x:c>
      <x:c r="B10" s="125" t="str">
        <x:v>Command Code</x:v>
      </x:c>
      <x:c r="C10" s="125" t="str">
        <x:v>Command Code</x:v>
      </x:c>
      <x:c r="D10" s="125" t="str">
        <x:v>Max 10x</x:v>
      </x:c>
      <x:c r="E10" s="125" t="str">
        <x:v>AI coding subscription</x:v>
      </x:c>
      <x:c r="F10" s="125" t="n">
        <x:v>100</x:v>
      </x:c>
      <x:c r="G10" s="125" t="str">
        <x:v>USD/month + processing</x:v>
      </x:c>
      <x:c r="H10" s="125" t="str">
        <x:v>Monthly; $150 included credits.</x:v>
      </x:c>
      <x:c r="I10" s="125" t="str">
        <x:v>Approx. 219K typical requests; model-dependent.</x:v>
      </x:c>
      <x:c r="J10" s="125" t="str">
        <x:v>Higher rate limits and priority support.</x:v>
      </x:c>
      <x:c r="K10" s="125" t="str">
        <x:v>Individual plan.</x:v>
      </x:c>
      <x:c r="L10" s="125" t="str">
        <x:v>Provider terms; verify.</x:v>
      </x:c>
      <x:c r="M10" s="125" t="str">
        <x:v>Model availability may vary.</x:v>
      </x:c>
      <x:c r="N10" s="125" t="str">
        <x:v>2026-10-21</x:v>
      </x:c>
      <x:c r="O10" s="125" t="str">
        <x:v>https://commandcode.ai/pricing</x:v>
      </x:c>
      <x:c r="P10" s="125" t="str">
        <x:v>Official, high</x:v>
      </x:c>
      <x:c r="Q10" s="125" t="str">
        <x:v>Credits are not necessarily equivalent to subscription price due to model deals.</x:v>
      </x:c>
    </x:row>
    <x:row r="11" ht="54" customHeight="1">
      <x:c r="A11" s="125" t="str">
        <x:v>command-max20</x:v>
      </x:c>
      <x:c r="B11" s="125" t="str">
        <x:v>Command Code</x:v>
      </x:c>
      <x:c r="C11" s="125" t="str">
        <x:v>Command Code</x:v>
      </x:c>
      <x:c r="D11" s="125" t="str">
        <x:v>Max 20x</x:v>
      </x:c>
      <x:c r="E11" s="125" t="str">
        <x:v>AI coding subscription</x:v>
      </x:c>
      <x:c r="F11" s="125" t="n">
        <x:v>200</x:v>
      </x:c>
      <x:c r="G11" s="125" t="str">
        <x:v>USD/month + processing</x:v>
      </x:c>
      <x:c r="H11" s="125" t="str">
        <x:v>Monthly; $300 included credits.</x:v>
      </x:c>
      <x:c r="I11" s="125" t="str">
        <x:v>Approx. 437K typical requests; model-dependent.</x:v>
      </x:c>
      <x:c r="J11" s="125" t="str">
        <x:v>Highest individual allowance/rate limits.</x:v>
      </x:c>
      <x:c r="K11" s="125" t="str">
        <x:v>Individual plan.</x:v>
      </x:c>
      <x:c r="L11" s="125" t="str">
        <x:v>Provider terms; verify.</x:v>
      </x:c>
      <x:c r="M11" s="125" t="str">
        <x:v>Model availability may vary.</x:v>
      </x:c>
      <x:c r="N11" s="125" t="str">
        <x:v>2026-10-21</x:v>
      </x:c>
      <x:c r="O11" s="125" t="str">
        <x:v>https://commandcode.ai/pricing</x:v>
      </x:c>
      <x:c r="P11" s="125" t="str">
        <x:v>Official, high</x:v>
      </x:c>
      <x:c r="Q11" s="125" t="str">
        <x:v>Credits are not necessarily equivalent to subscription price due to model deals.</x:v>
      </x:c>
    </x:row>
    <x:row r="12" ht="54" customHeight="1">
      <x:c r="A12" s="125" t="str">
        <x:v>command-api</x:v>
      </x:c>
      <x:c r="B12" s="125" t="str">
        <x:v>Command Code</x:v>
      </x:c>
      <x:c r="C12" s="125" t="str">
        <x:v>Provider API</x:v>
      </x:c>
      <x:c r="D12" s="125" t="str">
        <x:v>Provider API</x:v>
      </x:c>
      <x:c r="E12" s="125" t="str">
        <x:v>AI model gateway</x:v>
      </x:c>
      <x:c r="F12" s="125" t="n">
        <x:v>15</x:v>
      </x:c>
      <x:c r="G12" s="125" t="str">
        <x:v>USD/month + processing</x:v>
      </x:c>
      <x:c r="H12" s="125" t="str">
        <x:v>Pay-as-you-go; credits/top-ups roll over and do not expire; zero markup claim.</x:v>
      </x:c>
      <x:c r="I12" s="125" t="str">
        <x:v>OpenAI- and Anthropic-compatible API; per-model billing.</x:v>
      </x:c>
      <x:c r="J12" s="125" t="str">
        <x:v>Every plan except Go has API access per plan page; API product has usage analytics.</x:v>
      </x:c>
      <x:c r="K12" s="125" t="str">
        <x:v>Builder/API account.</x:v>
      </x:c>
      <x:c r="L12" s="125" t="str">
        <x:v>Check terms before production use.</x:v>
      </x:c>
      <x:c r="M12" s="125" t="str">
        <x:v>Service availability may vary.</x:v>
      </x:c>
      <x:c r="N12" s="125" t="str">
        <x:v>2026-10-21</x:v>
      </x:c>
      <x:c r="O12" s="125" t="str">
        <x:v>https://commandcode.ai/pricing</x:v>
      </x:c>
      <x:c r="P12" s="125" t="str">
        <x:v>Official, medium</x:v>
      </x:c>
      <x:c r="Q12" s="125" t="str">
        <x:v>Plan page labels this a $15/month API plan while also saying pay-as-you-go; recheck the billing construction.</x:v>
      </x:c>
    </x:row>
    <x:row r="13" ht="54" customHeight="1">
      <x:c r="A13" s="125" t="str">
        <x:v>cloudflare-workers-free</x:v>
      </x:c>
      <x:c r="B13" s="125" t="str">
        <x:v>Cloudflare</x:v>
      </x:c>
      <x:c r="C13" s="125" t="str">
        <x:v>Workers / Pages Functions</x:v>
      </x:c>
      <x:c r="D13" s="125" t="str">
        <x:v>Free</x:v>
      </x:c>
      <x:c r="E13" s="125" t="str">
        <x:v>Edge compute</x:v>
      </x:c>
      <x:c r="F13" s="125" t="n">
        <x:v>0</x:v>
      </x:c>
      <x:c r="G13" s="125" t="str">
        <x:v>USD/month</x:v>
      </x:c>
      <x:c r="H13" s="125" t="str">
        <x:v>100,000 requests/day; 10 ms CPU per invocation.</x:v>
      </x:c>
      <x:c r="I13" s="125" t="str">
        <x:v>Static asset requests free/unlimited; no charge for duration.</x:v>
      </x:c>
      <x:c r="J13" s="125" t="str">
        <x:v>Free tier can support low-volume production or prototypes.</x:v>
      </x:c>
      <x:c r="K13" s="125" t="str">
        <x:v>Free quotas at account level/product-specific; confirm current limits.</x:v>
      </x:c>
      <x:c r="L13" s="125" t="str">
        <x:v>Cloudflare account terms.</x:v>
      </x:c>
      <x:c r="M13" s="125" t="str">
        <x:v>Global edge network.</x:v>
      </x:c>
      <x:c r="N13" s="125" t="str">
        <x:v>2026-10-21</x:v>
      </x:c>
      <x:c r="O13" s="125" t="str">
        <x:v>https://developers.cloudflare.com/workers/platform/pricing/</x:v>
      </x:c>
      <x:c r="P13" s="125" t="str">
        <x:v>Official, high</x:v>
      </x:c>
      <x:c r="Q13" s="125" t="str">
        <x:v>Workers Logs billing changes Dec 1, 2026; see event table.</x:v>
      </x:c>
    </x:row>
    <x:row r="14" ht="54" customHeight="1">
      <x:c r="A14" s="125" t="str">
        <x:v>cloudflare-workers-paid</x:v>
      </x:c>
      <x:c r="B14" s="125" t="str">
        <x:v>Cloudflare</x:v>
      </x:c>
      <x:c r="C14" s="125" t="str">
        <x:v>Workers / Pages Functions</x:v>
      </x:c>
      <x:c r="D14" s="125" t="str">
        <x:v>Paid Standard</x:v>
      </x:c>
      <x:c r="E14" s="125" t="str">
        <x:v>Edge compute</x:v>
      </x:c>
      <x:c r="F14" s="125" t="n">
        <x:v>5</x:v>
      </x:c>
      <x:c r="G14" s="125" t="str">
        <x:v>USD/month minimum account charge</x:v>
      </x:c>
      <x:c r="H14" s="125" t="str">
        <x:v>Paid plan minimum $5; includes 10M requests and 30M CPU-ms/month; overage $0.30/M requests and $0.02/M CPU-ms.</x:v>
      </x:c>
      <x:c r="I14" s="125" t="str">
        <x:v>No egress or throughput charge; max CPU 5 minutes per invocation.</x:v>
      </x:c>
      <x:c r="J14" s="125" t="str">
        <x:v>Includes Workers, Pages Functions, KV, Hyperdrive, Durable Objects usage.</x:v>
      </x:c>
      <x:c r="K14" s="125" t="str">
        <x:v>Account-level billing; additional usage billed.</x:v>
      </x:c>
      <x:c r="L14" s="125" t="str">
        <x:v>Cloudflare account terms.</x:v>
      </x:c>
      <x:c r="M14" s="125" t="str">
        <x:v>Global edge network.</x:v>
      </x:c>
      <x:c r="N14" s="125" t="str">
        <x:v>2026-10-21</x:v>
      </x:c>
      <x:c r="O14" s="125" t="str">
        <x:v>https://developers.cloudflare.com/workers/platform/pricing/</x:v>
      </x:c>
      <x:c r="P14" s="125" t="str">
        <x:v>Official, high</x:v>
      </x:c>
      <x:c r="Q14" s="125" t="str">
        <x:v>Other included products and usage metering change over time.</x:v>
      </x:c>
    </x:row>
    <x:row r="15" ht="54" customHeight="1">
      <x:c r="A15" s="125" t="str">
        <x:v>cloudflare-logs-free</x:v>
      </x:c>
      <x:c r="B15" s="125" t="str">
        <x:v>Cloudflare</x:v>
      </x:c>
      <x:c r="C15" s="125" t="str">
        <x:v>Workers Logs</x:v>
      </x:c>
      <x:c r="D15" s="125" t="str">
        <x:v>Free plan</x:v>
      </x:c>
      <x:c r="E15" s="125" t="str">
        <x:v>Logging/observability</x:v>
      </x:c>
      <x:c r="F15" s="125" t="n">
        <x:v>0</x:v>
      </x:c>
      <x:c r="G15" s="125" t="str">
        <x:v>USD/month</x:v>
      </x:c>
      <x:c r="H15" s="125" t="str">
        <x:v>Current through Nov 30: 200,000 log events/day, 3-day retention. From Dec 1: 0.5 GB ingestion/day and seven-day retention shared across eligible logs/traces; stop ingestion at limit.</x:v>
      </x:c>
      <x:c r="I15" s="125" t="str">
        <x:v>Included with Workers Free.</x:v>
      </x:c>
      <x:c r="J15" s="125" t="str">
        <x:v>Account-level ingestion allowance.</x:v>
      </x:c>
      <x:c r="K15" s="125" t="str">
        <x:v>Logs retention/ingestion terms; new allowance shared with other Cloudflare datasets.</x:v>
      </x:c>
      <x:c r="L15" s="125" t="str">
        <x:v>Global; account-level.</x:v>
      </x:c>
      <x:c r="M15" s="125" t="str">
        <x:v>Not separately specified in captured official source; see caveats.</x:v>
      </x:c>
      <x:c r="N15" s="125" t="str">
        <x:v>2026-10-21</x:v>
      </x:c>
      <x:c r="O15" s="125" t="str">
        <x:v>https://developers.cloudflare.com/workers/platform/pricing/</x:v>
      </x:c>
      <x:c r="P15" s="125" t="str">
        <x:v>Official, high</x:v>
      </x:c>
      <x:c r="Q15" s="125" t="str">
        <x:v>Scheduled transition is Dec 1, 2026; new Observability page gives exact terms.</x:v>
      </x:c>
    </x:row>
    <x:row r="16" ht="54" customHeight="1">
      <x:c r="A16" s="125" t="str">
        <x:v>cloudflare-logs-paid</x:v>
      </x:c>
      <x:c r="B16" s="125" t="str">
        <x:v>Cloudflare</x:v>
      </x:c>
      <x:c r="C16" s="125" t="str">
        <x:v>Workers Logs / Observability</x:v>
      </x:c>
      <x:c r="D16" s="125" t="str">
        <x:v>Paid plan</x:v>
      </x:c>
      <x:c r="E16" s="125" t="str">
        <x:v>Logging/observability</x:v>
      </x:c>
      <x:c r="F16" s="125"/>
      <x:c r="G16" s="125" t="str">
        <x:v>USD usage-based</x:v>
      </x:c>
      <x:c r="H16" s="125" t="str">
        <x:v>Current through Nov 30: 20M log events/month included, then $0.60/M; 7-day retention. From Dec 1: 50 GB ingestion and 10 GB-month storage per billing cycle, then $0.25/GB ingestion and $0.10/GB-month storage.</x:v>
      </x:c>
      <x:c r="I16" s="125" t="str">
        <x:v>Shared allowances cover Workers/Containers logs, Workers Traces, R2 Data Access Logs, AI Gateway logs, Issues, and Cloudflare Traces.</x:v>
      </x:c>
      <x:c r="J16" s="125" t="str">
        <x:v>Paid usage continues after allowances are exhausted; separate ingestion and storage meters; Enterprise moves at renewal.</x:v>
      </x:c>
      <x:c r="K16" s="125" t="str">
        <x:v>Data measurement is pre-compression; retention beyond included period may cost more.</x:v>
      </x:c>
      <x:c r="L16" s="125" t="str">
        <x:v>Account-level; Enterprise contract exception.</x:v>
      </x:c>
      <x:c r="M16" s="125" t="str">
        <x:v>Not separately specified in captured official source; see caveats.</x:v>
      </x:c>
      <x:c r="N16" s="125" t="str">
        <x:v>2026-10-21</x:v>
      </x:c>
      <x:c r="O16" s="125" t="str">
        <x:v>https://developers.cloudflare.com/observability/pricing/</x:v>
      </x:c>
      <x:c r="P16" s="125" t="str">
        <x:v>Official, high</x:v>
      </x:c>
      <x:c r="Q16" s="125" t="str">
        <x:v>Compare using actual event sizes/retention; no savings claim without workload data.</x:v>
      </x:c>
    </x:row>
    <x:row r="17" ht="54" customHeight="1">
      <x:c r="A17" s="125" t="str">
        <x:v>google-ai-plus</x:v>
      </x:c>
      <x:c r="B17" s="125" t="str">
        <x:v>Google</x:v>
      </x:c>
      <x:c r="C17" s="125" t="str">
        <x:v>Google AI plans</x:v>
      </x:c>
      <x:c r="D17" s="125" t="str">
        <x:v>AI Plus</x:v>
      </x:c>
      <x:c r="E17" s="125" t="str">
        <x:v>AI subscription + storage</x:v>
      </x:c>
      <x:c r="F17" s="125"/>
      <x:c r="G17" s="125" t="str">
        <x:v>USD/month; official page starts at $8/month</x:v>
      </x:c>
      <x:c r="H17" s="125" t="str">
        <x:v>400 GB or 2 TB storage depending offering; 2x Gemini access.</x:v>
      </x:c>
      <x:c r="I17" s="125" t="str">
        <x:v>Google AI features across apps; regional benefits vary.</x:v>
      </x:c>
      <x:c r="J17" s="125" t="str">
        <x:v>Family sharing available on Google AI membership; storage is shared.</x:v>
      </x:c>
      <x:c r="K17" s="125" t="str">
        <x:v>AI benefit sharing/quotas vary by product.</x:v>
      </x:c>
      <x:c r="L17" s="125" t="str">
        <x:v>Google account and product terms.</x:v>
      </x:c>
      <x:c r="M17" s="125" t="str">
        <x:v>Country and product eligibility vary.</x:v>
      </x:c>
      <x:c r="N17" s="125" t="str">
        <x:v>2026-10-21</x:v>
      </x:c>
      <x:c r="O17" s="125" t="str">
        <x:v>https://one.google.com/about/google-ai-plans/</x:v>
      </x:c>
      <x:c r="P17" s="125" t="str">
        <x:v>Official, medium</x:v>
      </x:c>
      <x:c r="Q17" s="125" t="str">
        <x:v>Exact AI Plus price not exposed in page text captured today; do not infer $7.99.</x:v>
      </x:c>
    </x:row>
    <x:row r="18" ht="54" customHeight="1">
      <x:c r="A18" s="125" t="str">
        <x:v>google-ai-pro</x:v>
      </x:c>
      <x:c r="B18" s="125" t="str">
        <x:v>Google</x:v>
      </x:c>
      <x:c r="C18" s="125" t="str">
        <x:v>Google AI plans</x:v>
      </x:c>
      <x:c r="D18" s="125" t="str">
        <x:v>AI Pro</x:v>
      </x:c>
      <x:c r="E18" s="125" t="str">
        <x:v>AI subscription + storage</x:v>
      </x:c>
      <x:c r="F18" s="125" t="n">
        <x:v>19.99</x:v>
      </x:c>
      <x:c r="G18" s="125" t="str">
        <x:v>USD/month</x:v>
      </x:c>
      <x:c r="H18" s="125" t="str">
        <x:v>5 TB shared family storage; 4x Gemini access; expanded AI Studio and Jules limits; $10/month Google Cloud credits.</x:v>
      </x:c>
      <x:c r="I18" s="125" t="str">
        <x:v>Gemini app and consumer app AI features; Antigravity; Jules; Colab; Google Home/Health benefits in eligible regions; YouTube Premium Lite individual plan in eligible countries.</x:v>
      </x:c>
      <x:c r="J18" s="125" t="str">
        <x:v>AI benefits shareable with family, up to five others; storage quota is shared. Flow/Antigravity usage limits are shared across family; Jules quota sharing not confirmed. Colab and YouTube Premium Lite are plan-manager-only per Google One help.</x:v>
      </x:c>
      <x:c r="K18" s="125" t="str">
        <x:v>Family members share storage; YouTube Premium Lite is an individual benefit and not a family plan discount.</x:v>
      </x:c>
      <x:c r="L18" s="125" t="str">
        <x:v>Regional eligibility varies.</x:v>
      </x:c>
      <x:c r="M18" s="125" t="str">
        <x:v>Not separately specified in captured official source; see caveats.</x:v>
      </x:c>
      <x:c r="N18" s="125" t="str">
        <x:v>2026-10-21</x:v>
      </x:c>
      <x:c r="O18" s="125" t="str">
        <x:v>https://one.google.com/about/google-ai-plans/</x:v>
      </x:c>
      <x:c r="P18" s="125" t="str">
        <x:v>Official, high</x:v>
      </x:c>
      <x:c r="Q18" s="125" t="str">
        <x:v>Benefits differ by country; distinguish AI plan family sharing from per-product quota sharing.</x:v>
      </x:c>
    </x:row>
    <x:row r="19" ht="54" customHeight="1">
      <x:c r="A19" s="125" t="str">
        <x:v>google-ai-ultra</x:v>
      </x:c>
      <x:c r="B19" s="125" t="str">
        <x:v>Google</x:v>
      </x:c>
      <x:c r="C19" s="125" t="str">
        <x:v>Google AI plans</x:v>
      </x:c>
      <x:c r="D19" s="125" t="str">
        <x:v>AI Ultra (5x / 20x)</x:v>
      </x:c>
      <x:c r="E19" s="125" t="str">
        <x:v>AI subscription + storage</x:v>
      </x:c>
      <x:c r="F19" s="125" t="n">
        <x:v>99.99</x:v>
      </x:c>
      <x:c r="G19" s="125" t="str">
        <x:v>USD/month starting price</x:v>
      </x:c>
      <x:c r="H19" s="125" t="str">
        <x:v>20 TB or 30 TB depending 5x/20x tier; 5x or 20x Pro Gemini/Antigravity quotas; higher access/priority; Google Cloud credits amount not verified.</x:v>
      </x:c>
      <x:c r="I19" s="125" t="str">
        <x:v>Highest Gemini, Antigravity and Jules quotas; Colab, developer, media and YouTube Premium Individual benefits vary.</x:v>
      </x:c>
      <x:c r="J19" s="125" t="str">
        <x:v>Select family AI benefits can be shared; some product limits pooled. Colab/YouTube Premium remain plan-manager restrictions per help.</x:v>
      </x:c>
      <x:c r="K19" s="125" t="str">
        <x:v>Shared storage; product-specific family rules; YouTube is an individual benefit.</x:v>
      </x:c>
      <x:c r="L19" s="125" t="str">
        <x:v>Region and Ultra tier vary.</x:v>
      </x:c>
      <x:c r="M19" s="125" t="str">
        <x:v>Not separately specified in captured official source; see caveats.</x:v>
      </x:c>
      <x:c r="N19" s="125" t="str">
        <x:v>2026-10-21</x:v>
      </x:c>
      <x:c r="O19" s="125" t="str">
        <x:v>https://one.google.com/about/google-ai-plans/</x:v>
      </x:c>
      <x:c r="P19" s="125" t="str">
        <x:v>Official, medium</x:v>
      </x:c>
      <x:c r="Q19" s="125" t="str">
        <x:v>Page says “from $99.99”; exact price for 20x tier is not captured.</x:v>
      </x:c>
    </x:row>
    <x:row r="20" ht="54" customHeight="1">
      <x:c r="A20" s="125" t="str">
        <x:v>google-antigravity</x:v>
      </x:c>
      <x:c r="B20" s="125" t="str">
        <x:v>Google</x:v>
      </x:c>
      <x:c r="C20" s="125" t="str">
        <x:v>Google Antigravity</x:v>
      </x:c>
      <x:c r="D20" s="125" t="str">
        <x:v>Included with Google AI Pro/Ultra</x:v>
      </x:c>
      <x:c r="E20" s="125" t="str">
        <x:v>AI coding environment</x:v>
      </x:c>
      <x:c r="F20" s="125"/>
      <x:c r="G20" s="125" t="str">
        <x:v>Included with plan</x:v>
      </x:c>
      <x:c r="H20" s="125" t="str">
        <x:v>Higher limits on Pro; highest/priority limits on Ultra. Family help says Flow and Antigravity quotas are shared by the family group.</x:v>
      </x:c>
      <x:c r="I20" s="125" t="str">
        <x:v>Agentic coding environment; can consume subscription quota and optionally AI credits.</x:v>
      </x:c>
      <x:c r="J20" s="125" t="str">
        <x:v>Family quota pooled for Antigravity; do not count every family member as separate full quota.</x:v>
      </x:c>
      <x:c r="K20" s="125" t="str">
        <x:v>Google account terms.</x:v>
      </x:c>
      <x:c r="L20" s="125" t="str">
        <x:v>Product availability varies.</x:v>
      </x:c>
      <x:c r="M20" s="125" t="str">
        <x:v>Not separately specified in captured official source; see caveats.</x:v>
      </x:c>
      <x:c r="N20" s="125" t="str">
        <x:v>2026-10-21</x:v>
      </x:c>
      <x:c r="O20" s="125" t="str">
        <x:v>https://support.google.com/googleone/answer/9004015</x:v>
      </x:c>
      <x:c r="P20" s="125" t="str">
        <x:v>Official, high</x:v>
      </x:c>
      <x:c r="Q20" s="125" t="str">
        <x:v>No fixed token/hour limits published in the reviewed page.</x:v>
      </x:c>
    </x:row>
    <x:row r="21" ht="54" customHeight="1">
      <x:c r="A21" s="125" t="str">
        <x:v>google-jules</x:v>
      </x:c>
      <x:c r="B21" s="125" t="str">
        <x:v>Google</x:v>
      </x:c>
      <x:c r="C21" s="125" t="str">
        <x:v>Jules</x:v>
      </x:c>
      <x:c r="D21" s="125" t="str">
        <x:v>Included benefit in AI Pro/Ultra</x:v>
      </x:c>
      <x:c r="E21" s="125" t="str">
        <x:v>Coding agent</x:v>
      </x:c>
      <x:c r="F21" s="125"/>
      <x:c r="G21" s="125" t="str">
        <x:v>Included with plan</x:v>
      </x:c>
      <x:c r="H21" s="125" t="str">
        <x:v>Higher limits on Pro; highest task/concurrency limits and priority model access on Ultra.</x:v>
      </x:c>
      <x:c r="I21" s="125" t="str">
        <x:v>Cloud coding agent access.</x:v>
      </x:c>
      <x:c r="J21" s="125" t="str">
        <x:v>Jules-specific family quota rule not confirmed in reviewed official family page; do not assume pooled or per-member.</x:v>
      </x:c>
      <x:c r="K21" s="125" t="str">
        <x:v>Google account terms.</x:v>
      </x:c>
      <x:c r="L21" s="125" t="str">
        <x:v>Regional/product eligibility.</x:v>
      </x:c>
      <x:c r="M21" s="125" t="str">
        <x:v>Not separately specified in captured official source; see caveats.</x:v>
      </x:c>
      <x:c r="N21" s="125" t="str">
        <x:v>2026-10-21</x:v>
      </x:c>
      <x:c r="O21" s="125" t="str">
        <x:v>https://support.google.com/googleone/answer/14534406?hl=en</x:v>
      </x:c>
      <x:c r="P21" s="125" t="str">
        <x:v>Official, medium</x:v>
      </x:c>
      <x:c r="Q21" s="125" t="str">
        <x:v>Separate Jules limits; recheck official Jules docs in monthly audit.</x:v>
      </x:c>
    </x:row>
    <x:row r="22" ht="54" customHeight="1">
      <x:c r="A22" s="125" t="str">
        <x:v>google-colab</x:v>
      </x:c>
      <x:c r="B22" s="125" t="str">
        <x:v>Google</x:v>
      </x:c>
      <x:c r="C22" s="125" t="str">
        <x:v>Google Colab</x:v>
      </x:c>
      <x:c r="D22" s="125" t="str">
        <x:v>AI plan benefit</x:v>
      </x:c>
      <x:c r="E22" s="125" t="str">
        <x:v>Notebook compute</x:v>
      </x:c>
      <x:c r="F22" s="125"/>
      <x:c r="G22" s="125" t="str">
        <x:v>Included benefit; no additional plan price recorded</x:v>
      </x:c>
      <x:c r="H22" s="125" t="str">
        <x:v>Access/expanded Colab benefits with Pro/Ultra; exact runtime quotas separate and not captured here.</x:v>
      </x:c>
      <x:c r="I22" s="125" t="str">
        <x:v>Compute, notebooks, GPU availability subject to Colab limits.</x:v>
      </x:c>
      <x:c r="J22" s="125" t="str">
        <x:v>Google One family help lists Colab as plan-manager-only.</x:v>
      </x:c>
      <x:c r="K22" s="125" t="str">
        <x:v>Google account terms.</x:v>
      </x:c>
      <x:c r="L22" s="125" t="str">
        <x:v>Regional/product eligibility.</x:v>
      </x:c>
      <x:c r="M22" s="125" t="str">
        <x:v>Not separately specified in captured official source; see caveats.</x:v>
      </x:c>
      <x:c r="N22" s="125" t="str">
        <x:v>2026-10-21</x:v>
      </x:c>
      <x:c r="O22" s="125" t="str">
        <x:v>https://support.google.com/googleone/answer/9004015</x:v>
      </x:c>
      <x:c r="P22" s="125" t="str">
        <x:v>Official, medium</x:v>
      </x:c>
      <x:c r="Q22" s="125" t="str">
        <x:v>Do not treat access as unlimited GPU.</x:v>
      </x:c>
    </x:row>
    <x:row r="23" ht="54" customHeight="1">
      <x:c r="A23" s="125" t="str">
        <x:v>google-youtube-lite</x:v>
      </x:c>
      <x:c r="B23" s="125" t="str">
        <x:v>Google</x:v>
      </x:c>
      <x:c r="C23" s="125" t="str">
        <x:v>YouTube Premium Lite</x:v>
      </x:c>
      <x:c r="D23" s="125" t="str">
        <x:v>Included with eligible AI Pro</x:v>
      </x:c>
      <x:c r="E23" s="125" t="str">
        <x:v>Consumer benefit</x:v>
      </x:c>
      <x:c r="F23" s="125"/>
      <x:c r="G23" s="125" t="str">
        <x:v>Included individual plan; not a family-plan discount</x:v>
      </x:c>
      <x:c r="H23" s="125" t="str">
        <x:v>Fewer ads plus offline/background benefits where Lite supports them.</x:v>
      </x:c>
      <x:c r="I23" s="125" t="str">
        <x:v>Benefit can add value for account holder who does not already pay for YouTube Premium.</x:v>
      </x:c>
      <x:c r="J23" s="125" t="str">
        <x:v>Plan-manager-only; individual plan, not shared as YouTube Premium Family.</x:v>
      </x:c>
      <x:c r="K23" s="125" t="str">
        <x:v>YouTube/Google account terms.</x:v>
      </x:c>
      <x:c r="L23" s="125" t="str">
        <x:v>Country/eligibility varies.</x:v>
      </x:c>
      <x:c r="M23" s="125" t="str">
        <x:v>Not separately specified in captured official source; see caveats.</x:v>
      </x:c>
      <x:c r="N23" s="125" t="str">
        <x:v>2026-10-21</x:v>
      </x:c>
      <x:c r="O23" s="125" t="str">
        <x:v>https://support.google.com/googleone/answer/17101453?hl=en</x:v>
      </x:c>
      <x:c r="P23" s="125" t="str">
        <x:v>Official, high</x:v>
      </x:c>
      <x:c r="Q23" s="125" t="str">
        <x:v>Check whether the household already has a YouTube plan before valuing the bundle.</x:v>
      </x:c>
    </x:row>
    <x:row r="24" ht="54" customHeight="1">
      <x:c r="A24" s="125" t="str">
        <x:v>turso-free</x:v>
      </x:c>
      <x:c r="B24" s="125" t="str">
        <x:v>Turso</x:v>
      </x:c>
      <x:c r="C24" s="125" t="str">
        <x:v>Turso Cloud</x:v>
      </x:c>
      <x:c r="D24" s="125" t="str">
        <x:v>Free</x:v>
      </x:c>
      <x:c r="E24" s="125" t="str">
        <x:v>Database</x:v>
      </x:c>
      <x:c r="F24" s="125" t="n">
        <x:v>0</x:v>
      </x:c>
      <x:c r="G24" s="125" t="str">
        <x:v>USD/month</x:v>
      </x:c>
      <x:c r="H24" s="125" t="str">
        <x:v>100 databases; 5 GB storage; 500M rows read/month; 10M rows written/month; 3 GB sync; 1-day point-in-time restore.</x:v>
      </x:c>
      <x:c r="I24" s="125" t="str">
        <x:v>No credit card required; can support small apps/prototypes.</x:v>
      </x:c>
      <x:c r="J24" s="125" t="str">
        <x:v>Free account service limits.</x:v>
      </x:c>
      <x:c r="K24" s="125" t="str">
        <x:v>Turso terms.</x:v>
      </x:c>
      <x:c r="L24" s="125" t="str">
        <x:v>Global by selected region.</x:v>
      </x:c>
      <x:c r="M24" s="125" t="str">
        <x:v>Not separately specified in captured official source; see caveats.</x:v>
      </x:c>
      <x:c r="N24" s="125" t="str">
        <x:v>2026-10-21</x:v>
      </x:c>
      <x:c r="O24" s="125" t="str">
        <x:v>https://turso.tech/pricing</x:v>
      </x:c>
      <x:c r="P24" s="125" t="str">
        <x:v>Official, high</x:v>
      </x:c>
      <x:c r="Q24" s="125" t="str">
        <x:v>Plan limits and product packaging can change.</x:v>
      </x:c>
    </x:row>
    <x:row r="25" ht="54" customHeight="1">
      <x:c r="A25" s="125" t="str">
        <x:v>turso-developer</x:v>
      </x:c>
      <x:c r="B25" s="125" t="str">
        <x:v>Turso</x:v>
      </x:c>
      <x:c r="C25" s="125" t="str">
        <x:v>Turso Cloud</x:v>
      </x:c>
      <x:c r="D25" s="125" t="str">
        <x:v>Developer</x:v>
      </x:c>
      <x:c r="E25" s="125" t="str">
        <x:v>Database</x:v>
      </x:c>
      <x:c r="F25" s="125" t="n">
        <x:v>4.99</x:v>
      </x:c>
      <x:c r="G25" s="125" t="str">
        <x:v>USD/month shown (pricing toggle may affect billing basis)</x:v>
      </x:c>
      <x:c r="H25" s="125" t="str">
        <x:v>Unlimited databases; 9 GB storage, 2.5B reads, 25M writes, 10 GB sync, 3-day retention; published overages.</x:v>
      </x:c>
      <x:c r="I25" s="125" t="str">
        <x:v>Usage included in tier; supports multiple projects/databases.</x:v>
      </x:c>
      <x:c r="J25" s="125" t="str">
        <x:v>Developer plan terms.</x:v>
      </x:c>
      <x:c r="K25" s="125" t="str">
        <x:v>Turso terms.</x:v>
      </x:c>
      <x:c r="L25" s="125" t="str">
        <x:v>Global by selected region.</x:v>
      </x:c>
      <x:c r="M25" s="125" t="str">
        <x:v>Not separately specified in captured official source; see caveats.</x:v>
      </x:c>
      <x:c r="N25" s="125" t="str">
        <x:v>2026-10-21</x:v>
      </x:c>
      <x:c r="O25" s="125" t="str">
        <x:v>https://turso.tech/pricing</x:v>
      </x:c>
      <x:c r="P25" s="125" t="str">
        <x:v>Official, high</x:v>
      </x:c>
      <x:c r="Q25" s="125" t="str">
        <x:v>Page has monthly/yearly toggle and says save $1/month; recheck displayed billing selection.</x:v>
      </x:c>
    </x:row>
    <x:row r="26" ht="54" customHeight="1">
      <x:c r="A26" s="125" t="str">
        <x:v>boat-trial</x:v>
      </x:c>
      <x:c r="B26" s="125" t="str">
        <x:v>boat.dev</x:v>
      </x:c>
      <x:c r="C26" s="125" t="str">
        <x:v>boat</x:v>
      </x:c>
      <x:c r="D26" s="125" t="str">
        <x:v>7-day free trial</x:v>
      </x:c>
      <x:c r="E26" s="125" t="str">
        <x:v>Agent sandbox compute</x:v>
      </x:c>
      <x:c r="F26" s="125" t="n">
        <x:v>0</x:v>
      </x:c>
      <x:c r="G26" s="125" t="str">
        <x:v>Trial</x:v>
      </x:c>
      <x:c r="H26" s="125" t="str">
        <x:v>25 compute hours stated; trial has lower limits; card required.</x:v>
      </x:c>
      <x:c r="I26" s="125" t="str">
        <x:v>Persistent Linux VMs, desktop/browser, Docker, SSH, snapshots.</x:v>
      </x:c>
      <x:c r="J26" s="125" t="str">
        <x:v>Trial eligibility/account-specific.</x:v>
      </x:c>
      <x:c r="K26" s="125" t="str">
        <x:v>EU regions listed in FAQ; snapshots persist after stop.</x:v>
      </x:c>
      <x:c r="L26" s="125" t="str">
        <x:v>EU: Germany, Finland, France per official page.</x:v>
      </x:c>
      <x:c r="M26" s="125" t="str">
        <x:v>Not separately specified in captured official source; see caveats.</x:v>
      </x:c>
      <x:c r="N26" s="125" t="str">
        <x:v>2026-10-21</x:v>
      </x:c>
      <x:c r="O26" s="125" t="str">
        <x:v>https://docs.boat.dev/pricing</x:v>
      </x:c>
      <x:c r="P26" s="125" t="str">
        <x:v>Official, high</x:v>
      </x:c>
      <x:c r="Q26" s="125" t="str">
        <x:v>Provider compares itself with other sandbox vendors; relative price claims are vendor-authored.</x:v>
      </x:c>
    </x:row>
    <x:row r="27" ht="54" customHeight="1">
      <x:c r="A27" s="125" t="str">
        <x:v>boat-20</x:v>
      </x:c>
      <x:c r="B27" s="125" t="str">
        <x:v>boat.dev</x:v>
      </x:c>
      <x:c r="C27" s="125" t="str">
        <x:v>boat</x:v>
      </x:c>
      <x:c r="D27" s="125" t="str">
        <x:v>$20 plan</x:v>
      </x:c>
      <x:c r="E27" s="125" t="str">
        <x:v>Agent sandbox compute</x:v>
      </x:c>
      <x:c r="F27" s="125" t="n">
        <x:v>20</x:v>
      </x:c>
      <x:c r="G27" s="125" t="str">
        <x:v>USD/month minimum account spend</x:v>
      </x:c>
      <x:c r="H27" s="125" t="str">
        <x:v>$20 becomes sandbox compute time: about 555 hours at default 4 vCPU/8 GB; up to 100 sandboxes concurrently. Billed per second; stopped snapshot pauses compute billing.</x:v>
      </x:c>
      <x:c r="I27" s="125" t="str">
        <x:v>Persistent VMs with Docker, SSH/SCP, 60fps desktop, fast disk-level fork; supports Codex/Claude Code/OpenCode.</x:v>
      </x:c>
      <x:c r="J27" s="125" t="str">
        <x:v>Monthly minimum applies at account level, not per sandbox.</x:v>
      </x:c>
      <x:c r="K27" s="125" t="str">
        <x:v>Files/packages survive stop/resume; data/snapshots stay in EU regions.</x:v>
      </x:c>
      <x:c r="L27" s="125" t="str">
        <x:v>EU regions.</x:v>
      </x:c>
      <x:c r="M27" s="125" t="str">
        <x:v>Not separately specified in captured official source; see caveats.</x:v>
      </x:c>
      <x:c r="N27" s="125" t="str">
        <x:v>2026-10-21</x:v>
      </x:c>
      <x:c r="O27" s="125" t="str">
        <x:v>https://docs.boat.dev/pricing</x:v>
      </x:c>
      <x:c r="P27" s="125" t="str">
        <x:v>Official, high</x:v>
      </x:c>
      <x:c r="Q27" s="125" t="str">
        <x:v>“boats.dev” user label unresolved; this row is boat.dev only, not silently merged.</x:v>
      </x:c>
    </x:row>
    <x:row r="28" ht="54" customHeight="1">
      <x:c r="A28" s="125" t="str">
        <x:v>boats-domain-unresolved</x:v>
      </x:c>
      <x:c r="B28" s="125" t="str">
        <x:v>Unresolved</x:v>
      </x:c>
      <x:c r="C28" s="125" t="str">
        <x:v>boats.dev (requested domain)</x:v>
      </x:c>
      <x:c r="D28" s="125" t="str">
        <x:v>Identity check</x:v>
      </x:c>
      <x:c r="E28" s="125" t="str">
        <x:v>Unresolved service</x:v>
      </x:c>
      <x:c r="F28" s="125"/>
      <x:c r="G28" s="125" t="str">
        <x:v>Not verified</x:v>
      </x:c>
      <x:c r="H28" s="125" t="str">
        <x:v>No plan facts recorded.</x:v>
      </x:c>
      <x:c r="I28" s="125" t="str">
        <x:v>Possible typo/alias candidate boat.dev, but not confirmed identical.</x:v>
      </x:c>
      <x:c r="J28" s="125" t="str">
        <x:v>Keep separate until canonical identity is confirmed from official site.</x:v>
      </x:c>
      <x:c r="K28" s="125" t="str">
        <x:v>N/A.</x:v>
      </x:c>
      <x:c r="L28" s="125" t="str">
        <x:v>Unresolved.</x:v>
      </x:c>
      <x:c r="M28" s="125" t="str">
        <x:v>Not separately specified in captured official source; see caveats.</x:v>
      </x:c>
      <x:c r="N28" s="125" t="str">
        <x:v>2026-10-21</x:v>
      </x:c>
      <x:c r="O28" s="125" t="str">
        <x:v>https://boats.dev/</x:v>
      </x:c>
      <x:c r="P28" s="125" t="str">
        <x:v>Unverified</x:v>
      </x:c>
      <x:c r="Q28" s="125" t="str">
        <x:v>Search found boat.dev sandbox product; do not assume it is the requested boats.dev.</x:v>
      </x:c>
    </x:row>
    <x:row r="29" ht="54" customHeight="1">
      <x:c r="A29" s="125" t="str">
        <x:v>fly-machines</x:v>
      </x:c>
      <x:c r="B29" s="125" t="str">
        <x:v>Fly.io</x:v>
      </x:c>
      <x:c r="C29" s="125" t="str">
        <x:v>Fly Machines</x:v>
      </x:c>
      <x:c r="D29" s="125" t="str">
        <x:v>Usage based</x:v>
      </x:c>
      <x:c r="E29" s="125" t="str">
        <x:v>Cloud compute</x:v>
      </x:c>
      <x:c r="F29" s="125" t="n">
        <x:v>6</x:v>
      </x:c>
      <x:c r="G29" s="125" t="str">
        <x:v>USD per GB RAM-month</x:v>
      </x:c>
      <x:c r="H29" s="125" t="str">
        <x:v>No free plan/tier stated; shared CPU/VM billing; RAM $6/GB-month; volume $0.15/GB-month; snapshots $0.08/GB-month; egress $0.02–$0.12/GB by region.</x:v>
      </x:c>
      <x:c r="I29" s="125" t="str">
        <x:v>First 10 GB of snapshots free; shared IPv4 and unlimited anycast IPv6.</x:v>
      </x:c>
      <x:c r="J29" s="125" t="str">
        <x:v>Usage-based billing; no free tier.</x:v>
      </x:c>
      <x:c r="K29" s="125" t="str">
        <x:v>Fly.io terms and resource billing.</x:v>
      </x:c>
      <x:c r="L29" s="125" t="str">
        <x:v>Region-based egress pricing.</x:v>
      </x:c>
      <x:c r="M29" s="125" t="str">
        <x:v>Not separately specified in captured official source; see caveats.</x:v>
      </x:c>
      <x:c r="N29" s="125" t="str">
        <x:v>2026-10-21</x:v>
      </x:c>
      <x:c r="O29" s="125" t="str">
        <x:v>https://fly.io/pricing</x:v>
      </x:c>
      <x:c r="P29" s="125" t="str">
        <x:v>Official, high</x:v>
      </x:c>
      <x:c r="Q29" s="125" t="str">
        <x:v>Rate comparisons depend on VM sizes, runtime, storage, and egress.</x:v>
      </x:c>
    </x:row>
    <x:row r="30" ht="54" customHeight="1">
      <x:c r="A30" s="125" t="str">
        <x:v>github-copilot-free</x:v>
      </x:c>
      <x:c r="B30" s="125" t="str">
        <x:v>GitHub</x:v>
      </x:c>
      <x:c r="C30" s="125" t="str">
        <x:v>GitHub Copilot</x:v>
      </x:c>
      <x:c r="D30" s="125" t="str">
        <x:v>Free</x:v>
      </x:c>
      <x:c r="E30" s="125" t="str">
        <x:v>AI coding subscription</x:v>
      </x:c>
      <x:c r="F30" s="125" t="n">
        <x:v>0</x:v>
      </x:c>
      <x:c r="G30" s="125" t="str">
        <x:v>USD/month</x:v>
      </x:c>
      <x:c r="H30" s="125" t="str">
        <x:v>Limited access; allowance of GitHub AI credits; auto model selection only.</x:v>
      </x:c>
      <x:c r="I30" s="125" t="str">
        <x:v>Copilot CLI and app included per plan overview.</x:v>
      </x:c>
      <x:c r="J30" s="125" t="str">
        <x:v>Individual; limited agent features.</x:v>
      </x:c>
      <x:c r="K30" s="125" t="str">
        <x:v>GitHub terms and plan data policy.</x:v>
      </x:c>
      <x:c r="L30" s="125" t="str">
        <x:v>Availability subject to account eligibility.</x:v>
      </x:c>
      <x:c r="M30" s="125" t="str">
        <x:v>Not separately specified in captured official source; see caveats.</x:v>
      </x:c>
      <x:c r="N30" s="125" t="str">
        <x:v>2026-10-21</x:v>
      </x:c>
      <x:c r="O30" s="125" t="str">
        <x:v>https://docs.github.com/en/copilot/get-started/plans</x:v>
      </x:c>
      <x:c r="P30" s="125" t="str">
        <x:v>Official, high</x:v>
      </x:c>
      <x:c r="Q30" s="125" t="str">
        <x:v>Credit allowance and covered features can change.</x:v>
      </x:c>
    </x:row>
    <x:row r="31" ht="54" customHeight="1">
      <x:c r="A31" s="125" t="str">
        <x:v>github-copilot-pro</x:v>
      </x:c>
      <x:c r="B31" s="125" t="str">
        <x:v>GitHub</x:v>
      </x:c>
      <x:c r="C31" s="125" t="str">
        <x:v>GitHub Copilot</x:v>
      </x:c>
      <x:c r="D31" s="125" t="str">
        <x:v>Pro</x:v>
      </x:c>
      <x:c r="E31" s="125" t="str">
        <x:v>AI coding subscription</x:v>
      </x:c>
      <x:c r="F31" s="125" t="n">
        <x:v>10</x:v>
      </x:c>
      <x:c r="G31" s="125" t="str">
        <x:v>USD/month</x:v>
      </x:c>
      <x:c r="H31" s="125" t="str">
        <x:v>Base 1,000 GitHub AI credits/month.</x:v>
      </x:c>
      <x:c r="I31" s="125" t="str">
        <x:v>Selection of models; Copilot CLI and app.</x:v>
      </x:c>
      <x:c r="J31" s="125" t="str">
        <x:v>Individual; some users free by eligibility.</x:v>
      </x:c>
      <x:c r="K31" s="125" t="str">
        <x:v>GitHub terms.</x:v>
      </x:c>
      <x:c r="L31" s="125" t="str">
        <x:v>Availability/rollout can vary.</x:v>
      </x:c>
      <x:c r="M31" s="125" t="str">
        <x:v>Not separately specified in captured official source; see caveats.</x:v>
      </x:c>
      <x:c r="N31" s="125" t="str">
        <x:v>2026-10-21</x:v>
      </x:c>
      <x:c r="O31" s="125" t="str">
        <x:v>https://docs.github.com/en/copilot/get-started/plans</x:v>
      </x:c>
      <x:c r="P31" s="125" t="str">
        <x:v>Official, high</x:v>
      </x:c>
      <x:c r="Q31" s="125" t="str">
        <x:v>Credit consumption differs by model/agent feature; verify current conversion table.</x:v>
      </x:c>
    </x:row>
    <x:row r="32" ht="54" customHeight="1">
      <x:c r="A32" s="125" t="str">
        <x:v>github-copilot-proplus</x:v>
      </x:c>
      <x:c r="B32" s="125" t="str">
        <x:v>GitHub</x:v>
      </x:c>
      <x:c r="C32" s="125" t="str">
        <x:v>GitHub Copilot</x:v>
      </x:c>
      <x:c r="D32" s="125" t="str">
        <x:v>Pro+</x:v>
      </x:c>
      <x:c r="E32" s="125" t="str">
        <x:v>AI coding subscription</x:v>
      </x:c>
      <x:c r="F32" s="125" t="n">
        <x:v>39</x:v>
      </x:c>
      <x:c r="G32" s="125" t="str">
        <x:v>USD/month</x:v>
      </x:c>
      <x:c r="H32" s="125" t="str">
        <x:v>Base 3,900 GitHub AI credits/month.</x:v>
      </x:c>
      <x:c r="I32" s="125" t="str">
        <x:v>Premium model access; Copilot CLI/app.</x:v>
      </x:c>
      <x:c r="J32" s="125" t="str">
        <x:v>Individual.</x:v>
      </x:c>
      <x:c r="K32" s="125" t="str">
        <x:v>GitHub terms.</x:v>
      </x:c>
      <x:c r="L32" s="125" t="str">
        <x:v>Availability varies.</x:v>
      </x:c>
      <x:c r="M32" s="125" t="str">
        <x:v>Not separately specified in captured official source; see caveats.</x:v>
      </x:c>
      <x:c r="N32" s="125" t="str">
        <x:v>2026-10-21</x:v>
      </x:c>
      <x:c r="O32" s="125" t="str">
        <x:v>https://docs.github.com/en/copilot/get-started/plans</x:v>
      </x:c>
      <x:c r="P32" s="125" t="str">
        <x:v>Official, high</x:v>
      </x:c>
      <x:c r="Q32" s="125" t="str">
        <x:v>Current allowance can be consumed across products/SKUs.</x:v>
      </x:c>
    </x:row>
    <x:row r="33" ht="54" customHeight="1">
      <x:c r="A33" s="125" t="str">
        <x:v>github-copilot-max</x:v>
      </x:c>
      <x:c r="B33" s="125" t="str">
        <x:v>GitHub</x:v>
      </x:c>
      <x:c r="C33" s="125" t="str">
        <x:v>GitHub Copilot</x:v>
      </x:c>
      <x:c r="D33" s="125" t="str">
        <x:v>Max</x:v>
      </x:c>
      <x:c r="E33" s="125" t="str">
        <x:v>AI coding subscription</x:v>
      </x:c>
      <x:c r="F33" s="125" t="n">
        <x:v>100</x:v>
      </x:c>
      <x:c r="G33" s="125" t="str">
        <x:v>USD/month</x:v>
      </x:c>
      <x:c r="H33" s="125" t="str">
        <x:v>Base 10,000 GitHub AI credits/month.</x:v>
      </x:c>
      <x:c r="I33" s="125" t="str">
        <x:v>Highest individual credit allowance and priority access to premium models.</x:v>
      </x:c>
      <x:c r="J33" s="125" t="str">
        <x:v>Individual.</x:v>
      </x:c>
      <x:c r="K33" s="125" t="str">
        <x:v>GitHub terms.</x:v>
      </x:c>
      <x:c r="L33" s="125" t="str">
        <x:v>Availability varies.</x:v>
      </x:c>
      <x:c r="M33" s="125" t="str">
        <x:v>Not separately specified in captured official source; see caveats.</x:v>
      </x:c>
      <x:c r="N33" s="125" t="str">
        <x:v>2026-10-21</x:v>
      </x:c>
      <x:c r="O33" s="125" t="str">
        <x:v>https://docs.github.com/en/copilot/get-started/plans</x:v>
      </x:c>
      <x:c r="P33" s="125" t="str">
        <x:v>Official, high</x:v>
      </x:c>
      <x:c r="Q33" s="125" t="str">
        <x:v>High-tier quotas are costly; compare credit conversion, not nominal credits alone.</x:v>
      </x:c>
    </x:row>
    <x:row r="34" ht="54" customHeight="1">
      <x:c r="A34" s="125" t="str">
        <x:v>github-codespaces-free</x:v>
      </x:c>
      <x:c r="B34" s="125" t="str">
        <x:v>GitHub</x:v>
      </x:c>
      <x:c r="C34" s="125" t="str">
        <x:v>Codespaces</x:v>
      </x:c>
      <x:c r="D34" s="125" t="str">
        <x:v>Free personal allowance</x:v>
      </x:c>
      <x:c r="E34" s="125" t="str">
        <x:v>Cloud dev environment</x:v>
      </x:c>
      <x:c r="F34" s="125" t="n">
        <x:v>0</x:v>
      </x:c>
      <x:c r="G34" s="125" t="str">
        <x:v>USD/month</x:v>
      </x:c>
      <x:c r="H34" s="125" t="str">
        <x:v>Personal free usage allowance previously documented as 60 hours/month and 15 GB-month storage; verify current page before relying.</x:v>
      </x:c>
      <x:c r="I34" s="125" t="str">
        <x:v>Browser/desktop cloud dev environments integrated with repositories.</x:v>
      </x:c>
      <x:c r="J34" s="125" t="str">
        <x:v>Free quota/account limits apply.</x:v>
      </x:c>
      <x:c r="K34" s="125" t="str">
        <x:v>Repository and account terms.</x:v>
      </x:c>
      <x:c r="L34" s="125" t="str">
        <x:v>Availability varies by region.</x:v>
      </x:c>
      <x:c r="M34" s="125" t="str">
        <x:v>Not separately specified in captured official source; see caveats.</x:v>
      </x:c>
      <x:c r="N34" s="125" t="str">
        <x:v>2026-10-21</x:v>
      </x:c>
      <x:c r="O34" s="125" t="str">
        <x:v>https://github.com/features/codespaces</x:v>
      </x:c>
      <x:c r="P34" s="125" t="str">
        <x:v>Official, medium</x:v>
      </x:c>
      <x:c r="Q34" s="125" t="str">
        <x:v>Exact current free allowance requires monthly source revalidation.</x:v>
      </x:c>
    </x:row>
    <x:row r="35" ht="54" customHeight="1">
      <x:c r="A35" s="125" t="str">
        <x:v>backblaze-b2</x:v>
      </x:c>
      <x:c r="B35" s="125" t="str">
        <x:v>Backblaze</x:v>
      </x:c>
      <x:c r="C35" s="125" t="str">
        <x:v>B2 Cloud Storage</x:v>
      </x:c>
      <x:c r="D35" s="125" t="str">
        <x:v>Pay as you go</x:v>
      </x:c>
      <x:c r="E35" s="125" t="str">
        <x:v>S3-compatible object storage</x:v>
      </x:c>
      <x:c r="F35" s="125" t="n">
        <x:v>6.95</x:v>
      </x:c>
      <x:c r="G35" s="125" t="str">
        <x:v>USD per TB-month</x:v>
      </x:c>
      <x:c r="H35" s="125" t="str">
        <x:v>First 10 GB storage free; free egress up to 3x average monthly stored data; beyond generally $0.01/GB; API transactions free.</x:v>
      </x:c>
      <x:c r="I35" s="125" t="str">
        <x:v>No minimum storage duration/file size fees.</x:v>
      </x:c>
      <x:c r="J35" s="125" t="str">
        <x:v>Workload and account terms.</x:v>
      </x:c>
      <x:c r="K35" s="125" t="str">
        <x:v>Backblaze terms.</x:v>
      </x:c>
      <x:c r="L35" s="125" t="str">
        <x:v>Regions and partner egress exceptions vary.</x:v>
      </x:c>
      <x:c r="M35" s="125" t="str">
        <x:v>Not separately specified in captured official source; see caveats.</x:v>
      </x:c>
      <x:c r="N35" s="125" t="str">
        <x:v>2026-10-21</x:v>
      </x:c>
      <x:c r="O35" s="125" t="str">
        <x:v>https://www.backblaze.com/cloud-storage/pricing</x:v>
      </x:c>
      <x:c r="P35" s="125" t="str">
        <x:v>Official, high</x:v>
      </x:c>
      <x:c r="Q35" s="125" t="str">
        <x:v>Do not claim cheapest without regional, workload, and minimum comparison.</x:v>
      </x:c>
    </x:row>
    <x:row r="36" ht="54" customHeight="1">
      <x:c r="A36" s="125" t="str">
        <x:v>oci-always-free</x:v>
      </x:c>
      <x:c r="B36" s="125" t="str">
        <x:v>Oracle Cloud</x:v>
      </x:c>
      <x:c r="C36" s="125" t="str">
        <x:v>OCI Always Free</x:v>
      </x:c>
      <x:c r="D36" s="125" t="str">
        <x:v>Always Free</x:v>
      </x:c>
      <x:c r="E36" s="125" t="str">
        <x:v>Cloud compute/storage</x:v>
      </x:c>
      <x:c r="F36" s="125" t="n">
        <x:v>0</x:v>
      </x:c>
      <x:c r="G36" s="125" t="str">
        <x:v>USD/month</x:v>
      </x:c>
      <x:c r="H36" s="125" t="str">
        <x:v>Ampere A1 total 2 OCPUs/12 GB RAM (one instance or up to two at 1 OCPU each); 20 GB Object Storage total and 50K API requests/month after trial.</x:v>
      </x:c>
      <x:c r="I36" s="125" t="str">
        <x:v>A set of Always Free compute, database, networking, and storage services.</x:v>
      </x:c>
      <x:c r="J36" s="125" t="str">
        <x:v>Always Free only; excess A1 usage may be reclaimed/disabled; trial/paid states differ.</x:v>
      </x:c>
      <x:c r="K36" s="125" t="str">
        <x:v>Oracle Cloud terms.</x:v>
      </x:c>
      <x:c r="L36" s="125" t="str">
        <x:v>Availability/capacity varies by region.</x:v>
      </x:c>
      <x:c r="M36" s="125" t="str">
        <x:v>Not separately specified in captured official source; see caveats.</x:v>
      </x:c>
      <x:c r="N36" s="125" t="str">
        <x:v>2026-10-21</x:v>
      </x:c>
      <x:c r="O36" s="125" t="str">
        <x:v>https://docs.oracle.com/en-us/iaas/Content/FreeTier/freetier_topic-Always_Free_Resources.htm</x:v>
      </x:c>
      <x:c r="P36" s="125" t="str">
        <x:v>Official, high</x:v>
      </x:c>
      <x:c r="Q36" s="125" t="str">
        <x:v>Previous generous limits are not reconstructed here; current limits are the baseline.</x:v>
      </x:c>
    </x:row>
    <x:row r="37" ht="54" customHeight="1">
      <x:c r="A37" s="125" t="str">
        <x:v>aws-free-plan</x:v>
      </x:c>
      <x:c r="B37" s="125" t="str">
        <x:v>AWS</x:v>
      </x:c>
      <x:c r="C37" s="125" t="str">
        <x:v>AWS Free Tier account</x:v>
      </x:c>
      <x:c r="D37" s="125" t="str">
        <x:v>Free account plan</x:v>
      </x:c>
      <x:c r="E37" s="125" t="str">
        <x:v>Cloud credits/compute</x:v>
      </x:c>
      <x:c r="F37" s="125" t="n">
        <x:v>0</x:v>
      </x:c>
      <x:c r="G37" s="125" t="str">
        <x:v>USD/month</x:v>
      </x:c>
      <x:c r="H37" s="125" t="str">
        <x:v>New customers get $100 credits and may earn up to $100 more; plan ends after six months or credit depletion, whichever comes first.</x:v>
      </x:c>
      <x:c r="I37" s="125" t="str">
        <x:v>More than 30 selected services with free usage; no charges while on Free plan.</x:v>
      </x:c>
      <x:c r="J37" s="125" t="str">
        <x:v>New customers only; limited service access; account closes after expiry/exhaustion unless upgraded.</x:v>
      </x:c>
      <x:c r="K37" s="125" t="str">
        <x:v>AWS billing terms; credit eligibility limitations.</x:v>
      </x:c>
      <x:c r="L37" s="125" t="str">
        <x:v>Global, service availability varies.</x:v>
      </x:c>
      <x:c r="M37" s="125" t="str">
        <x:v>Not separately specified in captured official source; see caveats.</x:v>
      </x:c>
      <x:c r="N37" s="125" t="str">
        <x:v>2026-10-21</x:v>
      </x:c>
      <x:c r="O37" s="125" t="str">
        <x:v>https://aws.amazon.com/free/</x:v>
      </x:c>
      <x:c r="P37" s="125" t="str">
        <x:v>Official, high</x:v>
      </x:c>
      <x:c r="Q37" s="125" t="str">
        <x:v>Free account behavior differs from paid-plan free tiers; do not imply resources persist after six months.</x:v>
      </x:c>
    </x:row>
    <x:row r="38" ht="54" customHeight="1">
      <x:c r="A38" s="125" t="str">
        <x:v>tailscale-personal</x:v>
      </x:c>
      <x:c r="B38" s="125" t="str">
        <x:v>Tailscale</x:v>
      </x:c>
      <x:c r="C38" s="125" t="str">
        <x:v>Tailscale</x:v>
      </x:c>
      <x:c r="D38" s="125" t="str">
        <x:v>Personal</x:v>
      </x:c>
      <x:c r="E38" s="125" t="str">
        <x:v>Private networking</x:v>
      </x:c>
      <x:c r="F38" s="125" t="n">
        <x:v>0</x:v>
      </x:c>
      <x:c r="G38" s="125" t="str">
        <x:v>USD/month</x:v>
      </x:c>
      <x:c r="H38" s="125" t="str">
        <x:v>Up to 6 users, unlimited user devices, up to 50 tagged resources per current published page.</x:v>
      </x:c>
      <x:c r="I38" s="125" t="str">
        <x:v>Many core mesh VPN/networking features at no charge.</x:v>
      </x:c>
      <x:c r="J38" s="125" t="str">
        <x:v>Personal tailnet; paid business features/controls differ.</x:v>
      </x:c>
      <x:c r="K38" s="125" t="str">
        <x:v>Tailscale terms.</x:v>
      </x:c>
      <x:c r="L38" s="125" t="str">
        <x:v>Global service availability.</x:v>
      </x:c>
      <x:c r="M38" s="125" t="str">
        <x:v>Not separately specified in captured official source; see caveats.</x:v>
      </x:c>
      <x:c r="N38" s="125" t="str">
        <x:v>2026-10-21</x:v>
      </x:c>
      <x:c r="O38" s="125" t="str">
        <x:v>https://tailscale.com/pricing</x:v>
      </x:c>
      <x:c r="P38" s="125" t="str">
        <x:v>Official, high</x:v>
      </x:c>
      <x:c r="Q38" s="125" t="str">
        <x:v>Check current ACL/ephemeral-resource limits in the tier table.</x:v>
      </x:c>
    </x:row>
    <x:row r="39" ht="54" customHeight="1">
      <x:c r="A39" s="125" t="str">
        <x:v>tailscale-standard</x:v>
      </x:c>
      <x:c r="B39" s="125" t="str">
        <x:v>Tailscale</x:v>
      </x:c>
      <x:c r="C39" s="125" t="str">
        <x:v>Tailscale</x:v>
      </x:c>
      <x:c r="D39" s="125" t="str">
        <x:v>Standard</x:v>
      </x:c>
      <x:c r="E39" s="125" t="str">
        <x:v>Private networking</x:v>
      </x:c>
      <x:c r="F39" s="125" t="n">
        <x:v>8</x:v>
      </x:c>
      <x:c r="G39" s="125" t="str">
        <x:v>USD per user/month</x:v>
      </x:c>
      <x:c r="H39" s="125" t="str">
        <x:v>Per-user seat subscription; business features and administration.</x:v>
      </x:c>
      <x:c r="I39" s="125" t="str">
        <x:v>Shared devices and controls per plan table.</x:v>
      </x:c>
      <x:c r="J39" s="125" t="str">
        <x:v>Per-user billing.</x:v>
      </x:c>
      <x:c r="K39" s="125" t="str">
        <x:v>Tailscale terms.</x:v>
      </x:c>
      <x:c r="L39" s="125" t="str">
        <x:v>Global service availability.</x:v>
      </x:c>
      <x:c r="M39" s="125" t="str">
        <x:v>Not separately specified in captured official source; see caveats.</x:v>
      </x:c>
      <x:c r="N39" s="125" t="str">
        <x:v>2026-10-21</x:v>
      </x:c>
      <x:c r="O39" s="125" t="str">
        <x:v>https://tailscale.com/pricing</x:v>
      </x:c>
      <x:c r="P39" s="125" t="str">
        <x:v>Official, high</x:v>
      </x:c>
      <x:c r="Q39" s="125" t="str">
        <x:v>Compare exact feature matrix before moving a personal tailnet.</x:v>
      </x:c>
    </x:row>
    <x:row r="40" ht="54" customHeight="1">
      <x:c r="A40" s="125" t="str">
        <x:v>muse-everyday</x:v>
      </x:c>
      <x:c r="B40" s="125" t="str">
        <x:v>Meta</x:v>
      </x:c>
      <x:c r="C40" s="125" t="str">
        <x:v>Muse Code</x:v>
      </x:c>
      <x:c r="D40" s="125" t="str">
        <x:v>Everyday</x:v>
      </x:c>
      <x:c r="E40" s="125" t="str">
        <x:v>AI coding subscription</x:v>
      </x:c>
      <x:c r="F40" s="125" t="n">
        <x:v>5</x:v>
      </x:c>
      <x:c r="G40" s="125" t="str">
        <x:v>USD/month</x:v>
      </x:c>
      <x:c r="H40" s="125" t="str">
        <x:v>10–50 prompts per 5-hour window.</x:v>
      </x:c>
      <x:c r="I40" s="125" t="str">
        <x:v>Muse Wonder included.</x:v>
      </x:c>
      <x:c r="J40" s="125" t="str">
        <x:v>Region availability varies.</x:v>
      </x:c>
      <x:c r="K40" s="125" t="str">
        <x:v>Contributor mode defaults on and uses content for model training; can be turned off for future content.</x:v>
      </x:c>
      <x:c r="L40" s="125" t="str">
        <x:v>Region varies.</x:v>
      </x:c>
      <x:c r="M40" s="125" t="str">
        <x:v>Not separately specified in captured official source; see caveats.</x:v>
      </x:c>
      <x:c r="N40" s="125" t="str">
        <x:v>2026-10-21</x:v>
      </x:c>
      <x:c r="O40" s="125" t="str">
        <x:v>https://dev.meta.ai/docs/muse-code/subscriptions</x:v>
      </x:c>
      <x:c r="P40" s="125" t="str">
        <x:v>Official, high</x:v>
      </x:c>
      <x:c r="Q40" s="125" t="str">
        <x:v>Prompt count depends on task/model.</x:v>
      </x:c>
    </x:row>
    <x:row r="41" ht="54" customHeight="1">
      <x:c r="A41" s="125" t="str">
        <x:v>muse-high</x:v>
      </x:c>
      <x:c r="B41" s="125" t="str">
        <x:v>Meta</x:v>
      </x:c>
      <x:c r="C41" s="125" t="str">
        <x:v>Muse Code</x:v>
      </x:c>
      <x:c r="D41" s="125" t="str">
        <x:v>High</x:v>
      </x:c>
      <x:c r="E41" s="125" t="str">
        <x:v>AI coding subscription</x:v>
      </x:c>
      <x:c r="F41" s="125" t="n">
        <x:v>15</x:v>
      </x:c>
      <x:c r="G41" s="125" t="str">
        <x:v>USD/month</x:v>
      </x:c>
      <x:c r="H41" s="125" t="str">
        <x:v>5x Everyday usage.</x:v>
      </x:c>
      <x:c r="I41" s="125" t="str">
        <x:v>Muse Wonder included.</x:v>
      </x:c>
      <x:c r="J41" s="125" t="str">
        <x:v>Region availability varies.</x:v>
      </x:c>
      <x:c r="K41" s="125" t="str">
        <x:v>Contributor mode terms apply.</x:v>
      </x:c>
      <x:c r="L41" s="125" t="str">
        <x:v>Region varies.</x:v>
      </x:c>
      <x:c r="M41" s="125" t="str">
        <x:v>Not separately specified in captured official source; see caveats.</x:v>
      </x:c>
      <x:c r="N41" s="125" t="str">
        <x:v>2026-10-21</x:v>
      </x:c>
      <x:c r="O41" s="125" t="str">
        <x:v>https://dev.meta.ai/docs/muse-code/subscriptions</x:v>
      </x:c>
      <x:c r="P41" s="125" t="str">
        <x:v>Official, high</x:v>
      </x:c>
      <x:c r="Q41" s="125" t="str">
        <x:v>Relative quota only; exact requests not guaranteed.</x:v>
      </x:c>
    </x:row>
    <x:row r="42" ht="54" customHeight="1">
      <x:c r="A42" s="125" t="str">
        <x:v>muse-power</x:v>
      </x:c>
      <x:c r="B42" s="125" t="str">
        <x:v>Meta</x:v>
      </x:c>
      <x:c r="C42" s="125" t="str">
        <x:v>Muse Code</x:v>
      </x:c>
      <x:c r="D42" s="125" t="str">
        <x:v>Power</x:v>
      </x:c>
      <x:c r="E42" s="125" t="str">
        <x:v>AI coding subscription</x:v>
      </x:c>
      <x:c r="F42" s="125" t="n">
        <x:v>50</x:v>
      </x:c>
      <x:c r="G42" s="125" t="str">
        <x:v>USD/month</x:v>
      </x:c>
      <x:c r="H42" s="125" t="str">
        <x:v>20x Everyday usage; includes Muse Wonder Full.</x:v>
      </x:c>
      <x:c r="I42" s="125" t="str">
        <x:v>Muse Wonder Full 1M context, subscription only.</x:v>
      </x:c>
      <x:c r="J42" s="125" t="str">
        <x:v>Region availability varies.</x:v>
      </x:c>
      <x:c r="K42" s="125" t="str">
        <x:v>Contributor mode terms apply.</x:v>
      </x:c>
      <x:c r="L42" s="125" t="str">
        <x:v>Region varies.</x:v>
      </x:c>
      <x:c r="M42" s="125" t="str">
        <x:v>Not separately specified in captured official source; see caveats.</x:v>
      </x:c>
      <x:c r="N42" s="125" t="str">
        <x:v>2026-10-21</x:v>
      </x:c>
      <x:c r="O42" s="125" t="str">
        <x:v>https://dev.meta.ai/docs/muse-code/subscriptions</x:v>
      </x:c>
      <x:c r="P42" s="125" t="str">
        <x:v>Official, high</x:v>
      </x:c>
      <x:c r="Q42" s="125" t="str">
        <x:v>Wonder Full not exposed via API.</x:v>
      </x:c>
    </x:row>
    <x:row r="43" ht="54" customHeight="1">
      <x:c r="A43" s="125" t="str">
        <x:v>muse-maximum</x:v>
      </x:c>
      <x:c r="B43" s="125" t="str">
        <x:v>Meta</x:v>
      </x:c>
      <x:c r="C43" s="125" t="str">
        <x:v>Muse Code</x:v>
      </x:c>
      <x:c r="D43" s="125" t="str">
        <x:v>Maximum</x:v>
      </x:c>
      <x:c r="E43" s="125" t="str">
        <x:v>AI coding subscription</x:v>
      </x:c>
      <x:c r="F43" s="125" t="n">
        <x:v>200</x:v>
      </x:c>
      <x:c r="G43" s="125" t="str">
        <x:v>USD/month</x:v>
      </x:c>
      <x:c r="H43" s="125" t="str">
        <x:v>80x Everyday usage; includes Muse Wonder Full.</x:v>
      </x:c>
      <x:c r="I43" s="125" t="str">
        <x:v>Highest Muse Code plan; Wonder Full 1M context.</x:v>
      </x:c>
      <x:c r="J43" s="125" t="str">
        <x:v>Region availability varies.</x:v>
      </x:c>
      <x:c r="K43" s="125" t="str">
        <x:v>Contributor mode terms apply.</x:v>
      </x:c>
      <x:c r="L43" s="125" t="str">
        <x:v>Region varies.</x:v>
      </x:c>
      <x:c r="M43" s="125" t="str">
        <x:v>Not separately specified in captured official source; see caveats.</x:v>
      </x:c>
      <x:c r="N43" s="125" t="str">
        <x:v>2026-10-21</x:v>
      </x:c>
      <x:c r="O43" s="125" t="str">
        <x:v>https://dev.meta.ai/docs/muse-code/subscriptions</x:v>
      </x:c>
      <x:c r="P43" s="125" t="str">
        <x:v>Official, high</x:v>
      </x:c>
      <x:c r="Q43" s="125" t="str">
        <x:v>Material cost increase vs Power; compare actual quota needs.</x:v>
      </x:c>
    </x:row>
    <x:row r="44" ht="54" customHeight="1">
      <x:c r="A44" s="125" t="str">
        <x:v>muse-wonder-api</x:v>
      </x:c>
      <x:c r="B44" s="125" t="str">
        <x:v>Meta</x:v>
      </x:c>
      <x:c r="C44" s="125" t="str">
        <x:v>Muse Model API</x:v>
      </x:c>
      <x:c r="D44" s="125" t="str">
        <x:v>Muse Wonder</x:v>
      </x:c>
      <x:c r="E44" s="125" t="str">
        <x:v>AI model API</x:v>
      </x:c>
      <x:c r="F44" s="125"/>
      <x:c r="G44" s="125" t="str">
        <x:v>per 1M tokens</x:v>
      </x:c>
      <x:c r="H44" s="125" t="str">
        <x:v>$4 input / $20 output / $0.20 cached input per 1M; 1M context.</x:v>
      </x:c>
      <x:c r="I44" s="125" t="str">
        <x:v>Pay-as-you-go; Muse Wonder available in every Muse Code plan.</x:v>
      </x:c>
      <x:c r="J44" s="125" t="str">
        <x:v>Separate API key is pay-as-you-go.</x:v>
      </x:c>
      <x:c r="K44" s="125" t="str">
        <x:v>Contributor terms may differ by surface; verify current API terms.</x:v>
      </x:c>
      <x:c r="L44" s="125" t="str">
        <x:v>Region availability varies.</x:v>
      </x:c>
      <x:c r="M44" s="125" t="str">
        <x:v>Not separately specified in captured official source; see caveats.</x:v>
      </x:c>
      <x:c r="N44" s="125" t="str">
        <x:v>2026-10-21</x:v>
      </x:c>
      <x:c r="O44" s="125" t="str">
        <x:v>https://dev.meta.ai/docs/pricing-rate-limits</x:v>
      </x:c>
      <x:c r="P44" s="125" t="str">
        <x:v>Official, high</x:v>
      </x:c>
      <x:c r="Q44" s="125" t="str">
        <x:v>API price is separate from Muse Code subscription use.</x:v>
      </x:c>
    </x:row>
    <x:row r="45" ht="54" customHeight="1">
      <x:c r="A45" s="125" t="str">
        <x:v>chatgpt-plus</x:v>
      </x:c>
      <x:c r="B45" s="125" t="str">
        <x:v>OpenAI</x:v>
      </x:c>
      <x:c r="C45" s="125" t="str">
        <x:v>ChatGPT Plus + Codex</x:v>
      </x:c>
      <x:c r="D45" s="125" t="str">
        <x:v>Plus</x:v>
      </x:c>
      <x:c r="E45" s="125" t="str">
        <x:v>AI coding subscription</x:v>
      </x:c>
      <x:c r="F45" s="125" t="n">
        <x:v>20</x:v>
      </x:c>
      <x:c r="G45" s="125" t="str">
        <x:v>USD/month</x:v>
      </x:c>
      <x:c r="H45" s="125" t="str">
        <x:v>Codex included; usage varies by workload/account; actual limit in usage dashboard; credits available to eligible users.</x:v>
      </x:c>
      <x:c r="I45" s="125" t="str">
        <x:v>ChatGPT app benefits; Codex Cloud eligible for Plus and higher subject to rollout/workspace settings.</x:v>
      </x:c>
      <x:c r="J45" s="125" t="str">
        <x:v>API spend separate; some workspaces/account settings affect Codex Cloud.</x:v>
      </x:c>
      <x:c r="K45" s="125" t="str">
        <x:v>OpenAI plan/data terms.</x:v>
      </x:c>
      <x:c r="L45" s="125" t="str">
        <x:v>Availability/rollout varies.</x:v>
      </x:c>
      <x:c r="M45" s="125" t="str">
        <x:v>Not separately specified in captured official source; see caveats.</x:v>
      </x:c>
      <x:c r="N45" s="125" t="str">
        <x:v>2026-10-21</x:v>
      </x:c>
      <x:c r="O45" s="125" t="str">
        <x:v>https://help.openai.com/en/articles/11369540-using-codex-with-your-chatgpt-plan</x:v>
      </x:c>
      <x:c r="P45" s="125" t="str">
        <x:v>Official, high</x:v>
      </x:c>
      <x:c r="Q45" s="125" t="str">
        <x:v>Do not invent fixed Codex quotas; plan usage may be shared with Work/other agentic features.</x:v>
      </x:c>
    </x:row>
    <x:row r="46" ht="54" customHeight="1">
      <x:c r="A46" s="125" t="str">
        <x:v>claude-pro</x:v>
      </x:c>
      <x:c r="B46" s="125" t="str">
        <x:v>Anthropic</x:v>
      </x:c>
      <x:c r="C46" s="125" t="str">
        <x:v>Claude + Claude Code</x:v>
      </x:c>
      <x:c r="D46" s="125" t="str">
        <x:v>Pro</x:v>
      </x:c>
      <x:c r="E46" s="125" t="str">
        <x:v>AI coding subscription</x:v>
      </x:c>
      <x:c r="F46" s="125" t="n">
        <x:v>20</x:v>
      </x:c>
      <x:c r="G46" s="125" t="str">
        <x:v>USD/month; annual $200</x:v>
      </x:c>
      <x:c r="H46" s="125" t="str">
        <x:v>Claude Code included; Claude app and Code share 5-hour and weekly limits; amounts are not publicly fixed.</x:v>
      </x:c>
      <x:c r="I46" s="125" t="str">
        <x:v>$20 plan with Claude app/Code access.</x:v>
      </x:c>
      <x:c r="J46" s="125" t="str">
        <x:v>Account age, load, and feature rollout can affect limits.</x:v>
      </x:c>
      <x:c r="K46" s="125" t="str">
        <x:v>Anthropic consumer terms; usage subject to plan limits.</x:v>
      </x:c>
      <x:c r="L46" s="125" t="str">
        <x:v>Availability varies.</x:v>
      </x:c>
      <x:c r="M46" s="125" t="str">
        <x:v>Not separately specified in captured official source; see caveats.</x:v>
      </x:c>
      <x:c r="N46" s="125" t="str">
        <x:v>2026-10-21</x:v>
      </x:c>
      <x:c r="O46" s="125" t="str">
        <x:v>https://claude.com/pricing</x:v>
      </x:c>
      <x:c r="P46" s="125" t="str">
        <x:v>Official plan terms; real-world usage anecdotal</x:v>
      </x:c>
      <x:c r="Q46" s="125" t="str">
        <x:v>Use user reports only as low-confidence context for opaque limits.</x:v>
      </x:c>
    </x:row>
    <x:row r="47" ht="54" customHeight="1">
      <x:c r="A47" s="125" t="str">
        <x:v>claude-max5</x:v>
      </x:c>
      <x:c r="B47" s="125" t="str">
        <x:v>Anthropic</x:v>
      </x:c>
      <x:c r="C47" s="125" t="str">
        <x:v>Claude + Claude Code</x:v>
      </x:c>
      <x:c r="D47" s="125" t="str">
        <x:v>Max 5x</x:v>
      </x:c>
      <x:c r="E47" s="125" t="str">
        <x:v>AI coding subscription</x:v>
      </x:c>
      <x:c r="F47" s="125" t="n">
        <x:v>100</x:v>
      </x:c>
      <x:c r="G47" s="125" t="str">
        <x:v>USD/month</x:v>
      </x:c>
      <x:c r="H47" s="125" t="str">
        <x:v>5x Pro per-session allowance; shares 5-hour and weekly limits; separate weekly Fable limit.</x:v>
      </x:c>
      <x:c r="I47" s="125" t="str">
        <x:v>$100/month API credit for eligible Max 5x account, for API/SDK/Managed Agents only.</x:v>
      </x:c>
      <x:c r="J47" s="125" t="str">
        <x:v>API credit requires linking/claiming Console organization; not usable for interactive Claude Code/app extra usage.</x:v>
      </x:c>
      <x:c r="K47" s="125" t="str">
        <x:v>Anthropic terms.</x:v>
      </x:c>
      <x:c r="L47" s="125" t="str">
        <x:v>Availability varies.</x:v>
      </x:c>
      <x:c r="M47" s="125" t="str">
        <x:v>Not separately specified in captured official source; see caveats.</x:v>
      </x:c>
      <x:c r="N47" s="125" t="str">
        <x:v>2026-10-21</x:v>
      </x:c>
      <x:c r="O47" s="125" t="str">
        <x:v>https://support.claude.com/en/articles/11049741-what-is-the-max-plan</x:v>
      </x:c>
      <x:c r="P47" s="125" t="str">
        <x:v>Official, high</x:v>
      </x:c>
      <x:c r="Q47" s="125" t="str">
        <x:v>Public multiples, not fixed message or token limits.</x:v>
      </x:c>
    </x:row>
    <x:row r="48" ht="54" customHeight="1">
      <x:c r="A48" s="125" t="str">
        <x:v>claude-max20</x:v>
      </x:c>
      <x:c r="B48" s="125" t="str">
        <x:v>Anthropic</x:v>
      </x:c>
      <x:c r="C48" s="125" t="str">
        <x:v>Claude + Claude Code</x:v>
      </x:c>
      <x:c r="D48" s="125" t="str">
        <x:v>Max 20x</x:v>
      </x:c>
      <x:c r="E48" s="125" t="str">
        <x:v>AI coding subscription</x:v>
      </x:c>
      <x:c r="F48" s="125" t="n">
        <x:v>200</x:v>
      </x:c>
      <x:c r="G48" s="125" t="str">
        <x:v>USD/month</x:v>
      </x:c>
      <x:c r="H48" s="125" t="str">
        <x:v>20x Pro per-session allowance; shares 5-hour and weekly limits; separate weekly Fable limit.</x:v>
      </x:c>
      <x:c r="I48" s="125" t="str">
        <x:v>$200/month API credit for eligible Max 20x account, for API/SDK/Managed Agents only.</x:v>
      </x:c>
      <x:c r="J48" s="125" t="str">
        <x:v>API credit requires linked Console; not for interactive Claude Code/app overages.</x:v>
      </x:c>
      <x:c r="K48" s="125" t="str">
        <x:v>Anthropic terms.</x:v>
      </x:c>
      <x:c r="L48" s="125" t="str">
        <x:v>Availability varies.</x:v>
      </x:c>
      <x:c r="M48" s="125" t="str">
        <x:v>Not separately specified in captured official source; see caveats.</x:v>
      </x:c>
      <x:c r="N48" s="125" t="str">
        <x:v>2026-10-21</x:v>
      </x:c>
      <x:c r="O48" s="125" t="str">
        <x:v>https://support.claude.com/en/articles/17154008-monthly-api-credits-for-max-and-team-plans</x:v>
      </x:c>
      <x:c r="P48" s="125" t="str">
        <x:v>Official, high</x:v>
      </x:c>
      <x:c r="Q48" s="125" t="str">
        <x:v>Quota multiple can give better cost/quota ratio than 5x in theory; exact practical usage varies.</x:v>
      </x:c>
    </x:row>
    <x:row r="49" ht="54" customHeight="1">
      <x:c r="A49" s="125" t="str">
        <x:v>deepseek-api</x:v>
      </x:c>
      <x:c r="B49" s="125" t="str">
        <x:v>DeepSeek</x:v>
      </x:c>
      <x:c r="C49" s="125" t="str">
        <x:v>DeepSeek API</x:v>
      </x:c>
      <x:c r="D49" s="125" t="str">
        <x:v>Token pricing</x:v>
      </x:c>
      <x:c r="E49" s="125" t="str">
        <x:v>AI model API</x:v>
      </x:c>
      <x:c r="F49" s="125"/>
      <x:c r="G49" s="125" t="str">
        <x:v>USD per 1M tokens</x:v>
      </x:c>
      <x:c r="H49" s="125" t="str">
        <x:v>Flash and V4 Pro have cache-hit/miss, output, peak/off-peak prices; 1M context; snapshot alias can change without changing API name.</x:v>
      </x:c>
      <x:c r="I49" s="125" t="str">
        <x:v>No subscription; off-peak rates can be half peak. Search &amp; Fetch endpoints are a separate metered service.</x:v>
      </x:c>
      <x:c r="J49" s="125" t="str">
        <x:v>API account; server-side Search/Fetch billing starts Oct 31 2026 16:00 UTC per announcement.</x:v>
      </x:c>
      <x:c r="K49" s="125" t="str">
        <x:v>DeepSeek API terms.</x:v>
      </x:c>
      <x:c r="L49" s="125" t="str">
        <x:v>API availability varies.</x:v>
      </x:c>
      <x:c r="M49" s="125" t="str">
        <x:v>Not separately specified in captured official source; see caveats.</x:v>
      </x:c>
      <x:c r="N49" s="125" t="str">
        <x:v>2026-10-21</x:v>
      </x:c>
      <x:c r="O49" s="125" t="str">
        <x:v>https://api-docs.deepseek.com/quick_start/pricing/</x:v>
      </x:c>
      <x:c r="P49" s="125" t="str">
        <x:v>Official, high</x:v>
      </x:c>
      <x:c r="Q49" s="125" t="str">
        <x:v>V4-Pro routing/billing sources remain inconsistent; do not claim resolved behavior.</x:v>
      </x:c>
    </x:row>
    <x:row r="50">
      <x:c r="A50" t="str">
        <x:v>opendesign-go</x:v>
      </x:c>
      <x:c r="B50" t="str">
        <x:v>OpenDesign</x:v>
      </x:c>
      <x:c r="C50" t="str">
        <x:v>OpenDesign</x:v>
      </x:c>
      <x:c r="D50" t="str">
        <x:v>Go</x:v>
      </x:c>
      <x:c r="E50" t="str">
        <x:v>Design and coding subscription</x:v>
      </x:c>
      <x:c r="F50" t="n">
        <x:v>10</x:v>
      </x:c>
      <x:c r="G50" t="str">
        <x:v>USD/month</x:v>
      </x:c>
      <x:c r="H50" t="str">
        <x:v>Monthly renewal</x:v>
      </x:c>
      <x:c r="I50" t="str">
        <x:v>Shared model-weighted Design Plan up to120; premium wallet0. Not additive per-model allowances.</x:v>
      </x:c>
      <x:c r="J50" t="str">
        <x:v>Design app + API; published annual and first-month offers separate.</x:v>
      </x:c>
      <x:c r="K50" t="str">
        <x:v>API and app share windows; promotions/free benefits may be app-only; downgrade requires support.</x:v>
      </x:c>
      <x:c r="L50" t="str">
        <x:v>Review provider terms.</x:v>
      </x:c>
      <x:c r="M50" t="str">
        <x:v>Eligibility/region varies.</x:v>
      </x:c>
      <x:c r="N50" t="str">
        <x:v>2026-10-20</x:v>
      </x:c>
      <x:c r="O50" t="str">
        <x:v>https://open-design.ai/pricing/</x:v>
      </x:c>
      <x:c r="P50" t="str">
        <x:v>Official, high</x:v>
      </x:c>
      <x:c r="Q50" t="str">
        <x:v>Annual upfront84/168/720/1176; effective7/14/60/98. Firstmonth8/16/70/120.</x:v>
      </x:c>
    </x:row>
    <x:row r="51">
      <x:c r="A51" t="str">
        <x:v>opendesign-plus</x:v>
      </x:c>
      <x:c r="B51" t="str">
        <x:v>OpenDesign</x:v>
      </x:c>
      <x:c r="C51" t="str">
        <x:v>OpenDesign</x:v>
      </x:c>
      <x:c r="D51" t="str">
        <x:v>Plus</x:v>
      </x:c>
      <x:c r="E51" t="str">
        <x:v>Design and coding subscription</x:v>
      </x:c>
      <x:c r="F51" t="n">
        <x:v>20</x:v>
      </x:c>
      <x:c r="G51" t="str">
        <x:v>USD/month</x:v>
      </x:c>
      <x:c r="H51" t="str">
        <x:v>Monthly renewal</x:v>
      </x:c>
      <x:c r="I51" t="str">
        <x:v>Shared model-weighted Design Plan up to160; premium wallet20. Not additive per-model allowances.</x:v>
      </x:c>
      <x:c r="J51" t="str">
        <x:v>Design app + API; published annual and first-month offers separate.</x:v>
      </x:c>
      <x:c r="K51" t="str">
        <x:v>API and app share windows; promotions/free benefits may be app-only; downgrade requires support.</x:v>
      </x:c>
      <x:c r="L51" t="str">
        <x:v>Review provider terms.</x:v>
      </x:c>
      <x:c r="M51" t="str">
        <x:v>Eligibility/region varies.</x:v>
      </x:c>
      <x:c r="N51" t="str">
        <x:v>2026-10-20</x:v>
      </x:c>
      <x:c r="O51" t="str">
        <x:v>https://open-design.ai/pricing/</x:v>
      </x:c>
      <x:c r="P51" t="str">
        <x:v>Official, high</x:v>
      </x:c>
      <x:c r="Q51" t="str">
        <x:v>Annual upfront84/168/720/1176; effective7/14/60/98. Firstmonth8/16/70/120.</x:v>
      </x:c>
    </x:row>
    <x:row r="52">
      <x:c r="A52" t="str">
        <x:v>opendesign-pro</x:v>
      </x:c>
      <x:c r="B52" t="str">
        <x:v>OpenDesign</x:v>
      </x:c>
      <x:c r="C52" t="str">
        <x:v>OpenDesign</x:v>
      </x:c>
      <x:c r="D52" t="str">
        <x:v>Pro</x:v>
      </x:c>
      <x:c r="E52" t="str">
        <x:v>Design and coding subscription</x:v>
      </x:c>
      <x:c r="F52" t="n">
        <x:v>100</x:v>
      </x:c>
      <x:c r="G52" t="str">
        <x:v>USD/month</x:v>
      </x:c>
      <x:c r="H52" t="str">
        <x:v>Monthly renewal</x:v>
      </x:c>
      <x:c r="I52" t="str">
        <x:v>Shared model-weighted Design Plan up to360; premium wallet120. Not additive per-model allowances.</x:v>
      </x:c>
      <x:c r="J52" t="str">
        <x:v>Design app + API; published annual and first-month offers separate.</x:v>
      </x:c>
      <x:c r="K52" t="str">
        <x:v>API and app share windows; promotions/free benefits may be app-only; downgrade requires support.</x:v>
      </x:c>
      <x:c r="L52" t="str">
        <x:v>Review provider terms.</x:v>
      </x:c>
      <x:c r="M52" t="str">
        <x:v>Eligibility/region varies.</x:v>
      </x:c>
      <x:c r="N52" t="str">
        <x:v>2026-10-20</x:v>
      </x:c>
      <x:c r="O52" t="str">
        <x:v>https://open-design.ai/pricing/</x:v>
      </x:c>
      <x:c r="P52" t="str">
        <x:v>Official, high</x:v>
      </x:c>
      <x:c r="Q52" t="str">
        <x:v>Annual upfront84/168/720/1176; effective7/14/60/98. Firstmonth8/16/70/120.</x:v>
      </x:c>
    </x:row>
    <x:row r="53">
      <x:c r="A53" t="str">
        <x:v>opendesign-max</x:v>
      </x:c>
      <x:c r="B53" t="str">
        <x:v>OpenDesign</x:v>
      </x:c>
      <x:c r="C53" t="str">
        <x:v>OpenDesign</x:v>
      </x:c>
      <x:c r="D53" t="str">
        <x:v>Max</x:v>
      </x:c>
      <x:c r="E53" t="str">
        <x:v>Design and coding subscription</x:v>
      </x:c>
      <x:c r="F53" t="n">
        <x:v>200</x:v>
      </x:c>
      <x:c r="G53" t="str">
        <x:v>USD/month</x:v>
      </x:c>
      <x:c r="H53" t="str">
        <x:v>Monthly renewal</x:v>
      </x:c>
      <x:c r="I53" t="str">
        <x:v>Shared model-weighted Design Plan up to600; premium wallet300. Not additive per-model allowances.</x:v>
      </x:c>
      <x:c r="J53" t="str">
        <x:v>Design app + API; published annual and first-month offers separate.</x:v>
      </x:c>
      <x:c r="K53" t="str">
        <x:v>API and app share windows; promotions/free benefits may be app-only; downgrade requires support.</x:v>
      </x:c>
      <x:c r="L53" t="str">
        <x:v>Review provider terms.</x:v>
      </x:c>
      <x:c r="M53" t="str">
        <x:v>Eligibility/region varies.</x:v>
      </x:c>
      <x:c r="N53" t="str">
        <x:v>2026-10-20</x:v>
      </x:c>
      <x:c r="O53" t="str">
        <x:v>https://open-design.ai/pricing/</x:v>
      </x:c>
      <x:c r="P53" t="str">
        <x:v>Official, high</x:v>
      </x:c>
      <x:c r="Q53" t="str">
        <x:v>Annual upfront84/168/720/1176; effective7/14/60/98. Firstmonth8/16/70/120.</x:v>
      </x:c>
    </x:row>
    <x:row r="54">
      <x:c r="A54" t="str">
        <x:v>muse-cli-high</x:v>
      </x:c>
      <x:c r="B54" t="str">
        <x:v>Meta</x:v>
      </x:c>
      <x:c r="C54" t="str">
        <x:v>Muse Code CLI</x:v>
      </x:c>
      <x:c r="D54" t="str">
        <x:v>High</x:v>
      </x:c>
      <x:c r="E54" t="str">
        <x:v>AI coding subscription</x:v>
      </x:c>
      <x:c r="F54" t="n">
        <x:v>15</x:v>
      </x:c>
      <x:c r="G54" t="str">
        <x:v>USD/month</x:v>
      </x:c>
      <x:c r="H54" t="str">
        <x:v>Monthly</x:v>
      </x:c>
      <x:c r="I54" t="str">
        <x:v>Wonder;5x Everyday</x:v>
      </x:c>
      <x:c r="J54" t="str">
        <x:v>Image/voice/search features vary.</x:v>
      </x:c>
      <x:c r="K54" t="str">
        <x:v>CLI credential only; other API keys PAYG.</x:v>
      </x:c>
      <x:c r="L54" t="str">
        <x:v>Contributor default ON; training opt-out reduces allowance.</x:v>
      </x:c>
      <x:c r="M54" t="str">
        <x:v>Age18+ and eligible region.</x:v>
      </x:c>
      <x:c r="N54" t="str">
        <x:v>2026-10-20</x:v>
      </x:c>
      <x:c r="O54" t="str">
        <x:v>https://dev.meta.ai/docs/muse-code/subscriptions</x:v>
      </x:c>
      <x:c r="P54" t="str">
        <x:v>Official terms; official help price</x:v>
      </x:c>
      <x:c r="Q54" t="str">
        <x:v>Prompts are not tasks or internal agent turns.</x:v>
      </x:c>
    </x:row>
    <x:row r="55">
      <x:c r="A55" t="str">
        <x:v>muse-cli-power</x:v>
      </x:c>
      <x:c r="B55" t="str">
        <x:v>Meta</x:v>
      </x:c>
      <x:c r="C55" t="str">
        <x:v>Muse Code CLI</x:v>
      </x:c>
      <x:c r="D55" t="str">
        <x:v>Power</x:v>
      </x:c>
      <x:c r="E55" t="str">
        <x:v>AI coding subscription</x:v>
      </x:c>
      <x:c r="F55" t="n">
        <x:v>50</x:v>
      </x:c>
      <x:c r="G55" t="str">
        <x:v>USD/month</x:v>
      </x:c>
      <x:c r="H55" t="str">
        <x:v>Monthly</x:v>
      </x:c>
      <x:c r="I55" t="str">
        <x:v>WonderFull;20x Everyday</x:v>
      </x:c>
      <x:c r="J55" t="str">
        <x:v>Image/voice/search features vary.</x:v>
      </x:c>
      <x:c r="K55" t="str">
        <x:v>CLI credential only; other API keys PAYG.</x:v>
      </x:c>
      <x:c r="L55" t="str">
        <x:v>Contributor default ON; training opt-out reduces allowance.</x:v>
      </x:c>
      <x:c r="M55" t="str">
        <x:v>Age18+ and eligible region.</x:v>
      </x:c>
      <x:c r="N55" t="str">
        <x:v>2026-10-20</x:v>
      </x:c>
      <x:c r="O55" t="str">
        <x:v>https://dev.meta.ai/docs/muse-code/subscriptions</x:v>
      </x:c>
      <x:c r="P55" t="str">
        <x:v>Official terms; official help price</x:v>
      </x:c>
      <x:c r="Q55" t="str">
        <x:v>Prompts are not tasks or internal agent turns.</x:v>
      </x:c>
    </x:row>
  </x:sheetData>
  <x:pageMargins left="0.7" right="0.7" top="0.75" bottom="0.75" header="0.3" footer="0.3"/>
  <x:tableParts count="1">
    <x:tablePart xmlns:r="http://schemas.openxmlformats.org/officeDocument/2006/relationships" r:id="R1792e3099ab549e0"/>
  </x:tableParts>
</x:worksheet>
</file>

<file path=xl/worksheets/sheet3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18" hidden="0" customWidth="1"/>
    <x:col min="3" max="3" width="22" hidden="0" customWidth="1"/>
    <x:col min="4" max="4" width="18" hidden="0" customWidth="1"/>
    <x:col min="5" max="5" width="18" hidden="0" customWidth="1"/>
    <x:col min="6" max="6" width="26" hidden="0" customWidth="1"/>
    <x:col min="7" max="7" width="26" hidden="0" customWidth="1"/>
    <x:col min="8" max="8" width="30" hidden="0" customWidth="1"/>
    <x:col min="9" max="9" width="24" hidden="0" customWidth="1"/>
    <x:col min="10" max="10" width="60" hidden="0" customWidth="1"/>
    <x:col min="11" max="11" width="68" hidden="0" customWidth="1"/>
    <x:col min="12" max="12" width="56" hidden="0" customWidth="1"/>
    <x:col min="13" max="13" width="60" hidden="0" customWidth="1"/>
    <x:col min="14" max="14" width="52" hidden="0" customWidth="1"/>
    <x:col min="15" max="15" width="64" hidden="0" customWidth="1"/>
    <x:col min="16" max="16" width="28" hidden="0" customWidth="1"/>
    <x:col min="17" max="17" width="48" hidden="0" customWidth="1"/>
    <x:col min="18" max="18" width="18" hidden="0" customWidth="1"/>
    <x:col min="19" max="19" width="32" hidden="0" customWidth="1"/>
    <x:col min="20" max="20" width="48" hidden="0" customWidth="1"/>
  </x:cols>
  <x:sheetData>
    <x:row r="1" ht="36" customHeight="1">
      <x:c r="A1" s="122" t="str">
        <x:v>event_id</x:v>
      </x:c>
      <x:c r="B1" s="122" t="str">
        <x:v>announcement_date</x:v>
      </x:c>
      <x:c r="C1" s="122" t="str">
        <x:v>effective_date</x:v>
      </x:c>
      <x:c r="D1" s="122" t="str">
        <x:v>observed_date</x:v>
      </x:c>
      <x:c r="E1" s="122" t="str">
        <x:v>provider</x:v>
      </x:c>
      <x:c r="F1" s="122" t="str">
        <x:v>service</x:v>
      </x:c>
      <x:c r="G1" s="122" t="str">
        <x:v>plan_or_surface</x:v>
      </x:c>
      <x:c r="H1" s="122" t="str">
        <x:v>event_type</x:v>
      </x:c>
      <x:c r="I1" s="122" t="str">
        <x:v>dimension</x:v>
      </x:c>
      <x:c r="J1" s="122" t="str">
        <x:v>before_value</x:v>
      </x:c>
      <x:c r="K1" s="122" t="str">
        <x:v>after_value</x:v>
      </x:c>
      <x:c r="L1" s="122" t="str">
        <x:v>confirmed_scope</x:v>
      </x:c>
      <x:c r="M1" s="122" t="str">
        <x:v>practical_implication</x:v>
      </x:c>
      <x:c r="N1" s="122" t="str">
        <x:v>broader_impact</x:v>
      </x:c>
      <x:c r="O1" s="122" t="str">
        <x:v>primary_official_source</x:v>
      </x:c>
      <x:c r="P1" s="122" t="str">
        <x:v>evidence_class</x:v>
      </x:c>
      <x:c r="Q1" s="122" t="str">
        <x:v>former_value_basis</x:v>
      </x:c>
      <x:c r="R1" s="122" t="str">
        <x:v>confidence</x:v>
      </x:c>
      <x:c r="S1" s="122" t="str">
        <x:v>notification_state</x:v>
      </x:c>
      <x:c r="T1" s="122" t="str">
        <x:v>notes</x:v>
      </x:c>
    </x:row>
    <x:row r="2" ht="54" customHeight="1">
      <x:c r="A2" s="125" t="str">
        <x:v>EVT-2026-10-07-openai-gpt6sol</x:v>
      </x:c>
      <x:c r="B2" s="125" t="str">
        <x:v>2026-10-07</x:v>
      </x:c>
      <x:c r="C2" s="125" t="str">
        <x:v>2026-10-07</x:v>
      </x:c>
      <x:c r="D2" s="125" t="str">
        <x:v>2026-10-13</x:v>
      </x:c>
      <x:c r="E2" s="125" t="str">
        <x:v>OpenAI</x:v>
      </x:c>
      <x:c r="F2" s="125" t="str">
        <x:v>ChatGPT / Codex</x:v>
      </x:c>
      <x:c r="G2" s="125" t="str">
        <x:v>Plus and higher</x:v>
      </x:c>
      <x:c r="H2" s="125" t="str">
        <x:v>model access</x:v>
      </x:c>
      <x:c r="I2" s="125" t="str">
        <x:v>Models</x:v>
      </x:c>
      <x:c r="J2" s="125" t="str">
        <x:v>Prior eligible model set; exact former model state not preserved.</x:v>
      </x:c>
      <x:c r="K2" s="125" t="str">
        <x:v>GPT-6 Sol began rolling out to Plus in ChatGPT; OpenAI said Work/Codex models did not change in this rollout.</x:v>
      </x:c>
      <x:c r="L2" s="125" t="str">
        <x:v>ChatGPT Plus rollout; Work/Codex not changed by same announcement.</x:v>
      </x:c>
      <x:c r="M2" s="125" t="str">
        <x:v>Adds consumer-app model access; no Codex quota change confirmed.</x:v>
      </x:c>
      <x:c r="N2" s="125" t="str">
        <x:v>Potential added value for Plus app users.</x:v>
      </x:c>
      <x:c r="O2" s="125" t="str">
        <x:v>https://help.openai.com/en/articles/6950777-what-is-chatgpt-plus</x:v>
      </x:c>
      <x:c r="P2" s="125" t="str">
        <x:v>Official announcement</x:v>
      </x:c>
      <x:c r="Q2" s="125" t="str">
        <x:v>Existing automation log; previous exact model set not captured.</x:v>
      </x:c>
      <x:c r="R2" s="125" t="str">
        <x:v>High</x:v>
      </x:c>
      <x:c r="S2" s="125" t="str">
        <x:v>Previously alerted</x:v>
      </x:c>
      <x:c r="T2" s="125" t="str">
        <x:v>Do not conflate ChatGPT app rollout with Codex model roster.</x:v>
      </x:c>
    </x:row>
    <x:row r="3" ht="54" customHeight="1">
      <x:c r="A3" s="125" t="str">
        <x:v>EVT-2026-10-07-anthropic-haiku55</x:v>
      </x:c>
      <x:c r="B3" s="125" t="str">
        <x:v>2026-10-07</x:v>
      </x:c>
      <x:c r="C3" s="125" t="str">
        <x:v>2026-10-07</x:v>
      </x:c>
      <x:c r="D3" s="125" t="str">
        <x:v>2026-10-13</x:v>
      </x:c>
      <x:c r="E3" s="125" t="str">
        <x:v>Anthropic</x:v>
      </x:c>
      <x:c r="F3" s="125" t="str">
        <x:v>Claude API / Claude Code</x:v>
      </x:c>
      <x:c r="G3" s="125" t="str">
        <x:v>Haiku 5.5</x:v>
      </x:c>
      <x:c r="H3" s="125" t="str">
        <x:v>model and API price</x:v>
      </x:c>
      <x:c r="I3" s="125" t="str">
        <x:v>API price per 1M tokens</x:v>
      </x:c>
      <x:c r="J3" s="125" t="str">
        <x:v>Haiku 4.5: $1 input / $5 output / $0.10 cache read / $1.25 cache write.</x:v>
      </x:c>
      <x:c r="K3" s="125" t="str">
        <x:v>Haiku 5.5: $0.10/$0.50/$0.01/$0.125 up to 100K prompt; higher tier above 100K. Max/Team monthly API credits also introduced.</x:v>
      </x:c>
      <x:c r="L3" s="125" t="str">
        <x:v>API pricing and monthly credit terms; app allowance is separate.</x:v>
      </x:c>
      <x:c r="M3" s="125" t="str">
        <x:v>Potentially lower model API cost; Max subscription credits help API builders but do not pay for interactive Claude Code.</x:v>
      </x:c>
      <x:c r="N3" s="125" t="str">
        <x:v>Anthropic API choice gains for low-cost tasks, subject to quality.</x:v>
      </x:c>
      <x:c r="O3" s="125" t="str">
        <x:v>https://www.anthropic.com/claude-haiku-5-5</x:v>
      </x:c>
      <x:c r="P3" s="125" t="str">
        <x:v>Official launch/pricing</x:v>
      </x:c>
      <x:c r="Q3" s="125" t="str">
        <x:v>Existing automation log contains prior Haiku 4.5 price values.</x:v>
      </x:c>
      <x:c r="R3" s="125" t="str">
        <x:v>High</x:v>
      </x:c>
      <x:c r="S3" s="125" t="str">
        <x:v>Previously alerted</x:v>
      </x:c>
      <x:c r="T3" s="125" t="str">
        <x:v>Vendor-estimated task cost savings are not independently verified.</x:v>
      </x:c>
    </x:row>
    <x:row r="4" ht="54" customHeight="1">
      <x:c r="A4" s="125" t="str">
        <x:v>EVT-2026-10-12-gpt61-context</x:v>
      </x:c>
      <x:c r="B4" s="125" t="str">
        <x:v>2026-10-12</x:v>
      </x:c>
      <x:c r="C4" s="125" t="str">
        <x:v>Not stated</x:v>
      </x:c>
      <x:c r="D4" s="125" t="str">
        <x:v>2026-10-14</x:v>
      </x:c>
      <x:c r="E4" s="125" t="str">
        <x:v>OpenAI</x:v>
      </x:c>
      <x:c r="F4" s="125" t="str">
        <x:v>Codex / ChatGPT Work</x:v>
      </x:c>
      <x:c r="G4" s="125" t="str">
        <x:v>GPT-6.1 Sol</x:v>
      </x:c>
      <x:c r="H4" s="125" t="str">
        <x:v>context increase</x:v>
      </x:c>
      <x:c r="I4" s="125" t="str">
        <x:v>Context window</x:v>
      </x:c>
      <x:c r="J4" s="125" t="str">
        <x:v>Default 272K.</x:v>
      </x:c>
      <x:c r="K4" s="125" t="str">
        <x:v>Default 500K; configurable to 1M; no long-context fee if usage is from subscription.</x:v>
      </x:c>
      <x:c r="L4" s="125" t="str">
        <x:v>Codex and Work.</x:v>
      </x:c>
      <x:c r="M4" s="125" t="str">
        <x:v>Larger repos may fit before compaction; more context may consume more plan allowance (inference).</x:v>
      </x:c>
      <x:c r="N4" s="125" t="str">
        <x:v>High-context coding work may require fewer manual context reductions.</x:v>
      </x:c>
      <x:c r="O4" s="125" t="str">
        <x:v>https://community.openai.com/t/28-days-of-shipping-at-openai/1403897/15</x:v>
      </x:c>
      <x:c r="P4" s="125" t="str">
        <x:v>Official community announcement</x:v>
      </x:c>
      <x:c r="Q4" s="125" t="str">
        <x:v>Existing automation log.</x:v>
      </x:c>
      <x:c r="R4" s="125" t="str">
        <x:v>High</x:v>
      </x:c>
      <x:c r="S4" s="125" t="str">
        <x:v>Previously alerted</x:v>
      </x:c>
      <x:c r="T4" s="125" t="str">
        <x:v>Separate effective timestamp unstated.</x:v>
      </x:c>
    </x:row>
    <x:row r="5" ht="54" customHeight="1">
      <x:c r="A5" s="125" t="str">
        <x:v>EVT-2026-10-12-opencode-oauth-cap</x:v>
      </x:c>
      <x:c r="B5" s="125" t="str">
        <x:v>2026-10-12</x:v>
      </x:c>
      <x:c r="C5" s="125" t="str">
        <x:v>2026-10-12</x:v>
      </x:c>
      <x:c r="D5" s="125" t="str">
        <x:v>2026-10-14</x:v>
      </x:c>
      <x:c r="E5" s="125" t="str">
        <x:v>OpenCode</x:v>
      </x:c>
      <x:c r="F5" s="125" t="str">
        <x:v>OpenCode ChatGPT OAuth</x:v>
      </x:c>
      <x:c r="G5" s="125" t="str">
        <x:v>GPT-6.1 Sol / fast</x:v>
      </x:c>
      <x:c r="H5" s="125" t="str">
        <x:v>client context cap</x:v>
      </x:c>
      <x:c r="I5" s="125" t="str">
        <x:v>Context window</x:v>
      </x:c>
      <x:c r="J5" s="125" t="str">
        <x:v>Prior OpenCode cap not preserved.</x:v>
      </x:c>
      <x:c r="K5" s="125" t="str">
        <x:v>500K input / 628K total, leaving 128K output headroom.</x:v>
      </x:c>
      <x:c r="L5" s="125" t="str">
        <x:v>OpenCode client OAuth cap, not provider plan limit.</x:v>
      </x:c>
      <x:c r="M5" s="125" t="str">
        <x:v>Enables client to access larger context offered by OpenAI model.</x:v>
      </x:c>
      <x:c r="N5" s="125" t="str">
        <x:v>Client cap may govern practical use of ChatGPT account through OpenCode.</x:v>
      </x:c>
      <x:c r="O5" s="125" t="str">
        <x:v>https://github.com/anomalyco/opencode/pull/54668</x:v>
      </x:c>
      <x:c r="P5" s="125" t="str">
        <x:v>Official GitHub change</x:v>
      </x:c>
      <x:c r="Q5" s="125" t="str">
        <x:v>Existing automation log.</x:v>
      </x:c>
      <x:c r="R5" s="125" t="str">
        <x:v>High</x:v>
      </x:c>
      <x:c r="S5" s="125" t="str">
        <x:v>Previously alerted</x:v>
      </x:c>
      <x:c r="T5" s="125" t="str">
        <x:v>Do not compare with OpenAI subscription model quota as if same metric.</x:v>
      </x:c>
    </x:row>
    <x:row r="6" ht="54" customHeight="1">
      <x:c r="A6" s="125" t="str">
        <x:v>EVT-2026-10-14-opencode-auto-continue</x:v>
      </x:c>
      <x:c r="B6" s="125" t="str">
        <x:v>2026-10-14</x:v>
      </x:c>
      <x:c r="C6" s="125" t="str">
        <x:v>2026-10-14</x:v>
      </x:c>
      <x:c r="D6" s="125" t="str">
        <x:v>2026-10-15</x:v>
      </x:c>
      <x:c r="E6" s="125" t="str">
        <x:v>OpenCode</x:v>
      </x:c>
      <x:c r="F6" s="125" t="str">
        <x:v>OpenCode app</x:v>
      </x:c>
      <x:c r="G6" s="125" t="str">
        <x:v>v2.0.29</x:v>
      </x:c>
      <x:c r="H6" s="125" t="str">
        <x:v>feature addition</x:v>
      </x:c>
      <x:c r="I6" s="125" t="str">
        <x:v>Tool/output reliability</x:v>
      </x:c>
      <x:c r="J6" s="125" t="str">
        <x:v>Responses hitting output limit could stop abruptly.</x:v>
      </x:c>
      <x:c r="K6" s="125" t="str">
        <x:v>Bounded automatic continuation preserves partial output and improves recovery from truncated tool calls.</x:v>
      </x:c>
      <x:c r="L6" s="125" t="str">
        <x:v>App capability; no subscription quotas changed.</x:v>
      </x:c>
      <x:c r="M6" s="125" t="str">
        <x:v>May improve completion of long coding turns; continuation still uses provider tokens (inference).</x:v>
      </x:c>
      <x:c r="N6" s="125" t="str">
        <x:v>Less manual recovery in long tasks.</x:v>
      </x:c>
      <x:c r="O6" s="125" t="str">
        <x:v>https://opencode.ai/changelog</x:v>
      </x:c>
      <x:c r="P6" s="125" t="str">
        <x:v>Official release notes</x:v>
      </x:c>
      <x:c r="Q6" s="125" t="str">
        <x:v>Existing automation log.</x:v>
      </x:c>
      <x:c r="R6" s="125" t="str">
        <x:v>High</x:v>
      </x:c>
      <x:c r="S6" s="125" t="str">
        <x:v>Previously alerted</x:v>
      </x:c>
      <x:c r="T6" s="125" t="str">
        <x:v>Not a plan price or quota change.</x:v>
      </x:c>
    </x:row>
    <x:row r="7" ht="54" customHeight="1">
      <x:c r="A7" s="125" t="str">
        <x:v>EVT-2026-10-14-gemini-argon-go</x:v>
      </x:c>
      <x:c r="B7" s="125" t="str">
        <x:v>Unstated</x:v>
      </x:c>
      <x:c r="C7" s="125" t="str">
        <x:v>Unstated</x:v>
      </x:c>
      <x:c r="D7" s="125" t="str">
        <x:v>2026-10-14</x:v>
      </x:c>
      <x:c r="E7" s="125" t="str">
        <x:v>OpenCode</x:v>
      </x:c>
      <x:c r="F7" s="125" t="str">
        <x:v>OpenCode Go</x:v>
      </x:c>
      <x:c r="G7" s="125" t="str">
        <x:v>Gemini 4 Argon Contributor</x:v>
      </x:c>
      <x:c r="H7" s="125" t="str">
        <x:v>temporary quota promotion</x:v>
      </x:c>
      <x:c r="I7" s="125" t="str">
        <x:v>Per-model dollar cap</x:v>
      </x:c>
      <x:c r="J7" s="125" t="str">
        <x:v>Go $30/monthly cap; Go Plus $120/monthly cap.</x:v>
      </x:c>
      <x:c r="K7" s="125" t="str">
        <x:v>Limited-time 2x: Go $60; Go Plus $240.</x:v>
      </x:c>
      <x:c r="L7" s="125" t="str">
        <x:v>Current Go table lists 2x cap; announcement/effective date not stated.</x:v>
      </x:c>
      <x:c r="M7" s="125" t="str">
        <x:v>Adds temporary coding capacity; Contributor prompts may be used to train future Google models and are not ZDR.</x:v>
      </x:c>
      <x:c r="N7" s="125" t="str">
        <x:v>Useful capacity if privacy terms are acceptable.</x:v>
      </x:c>
      <x:c r="O7" s="125" t="str">
        <x:v>https://dev.opencode.ai/v2/docs/console/go</x:v>
      </x:c>
      <x:c r="P7" s="125" t="str">
        <x:v>Official current table</x:v>
      </x:c>
      <x:c r="Q7" s="125" t="str">
        <x:v>Existing task baseline and current table; no dated former-value evidence.</x:v>
      </x:c>
      <x:c r="R7" s="125" t="str">
        <x:v>Medium</x:v>
      </x:c>
      <x:c r="S7" s="125" t="str">
        <x:v>Previously alerted</x:v>
      </x:c>
      <x:c r="T7" s="125" t="str">
        <x:v>Model-specific caps are usage estimates.</x:v>
      </x:c>
    </x:row>
    <x:row r="8" ht="54" customHeight="1">
      <x:c r="A8" s="125" t="str">
        <x:v>EVT-2026-10-15-opencode-share-remove</x:v>
      </x:c>
      <x:c r="B8" s="125" t="str">
        <x:v>2026-10-15</x:v>
      </x:c>
      <x:c r="C8" s="125" t="str">
        <x:v>2026-10-15</x:v>
      </x:c>
      <x:c r="D8" s="125" t="str">
        <x:v>2026-10-16</x:v>
      </x:c>
      <x:c r="E8" s="125" t="str">
        <x:v>OpenCode</x:v>
      </x:c>
      <x:c r="F8" s="125" t="str">
        <x:v>OpenCode 1</x:v>
      </x:c>
      <x:c r="G8" s="125" t="str">
        <x:v>v1.19.1</x:v>
      </x:c>
      <x:c r="H8" s="125" t="str">
        <x:v>benefit removal</x:v>
      </x:c>
      <x:c r="I8" s="125" t="str">
        <x:v>Public session sharing</x:v>
      </x:c>
      <x:c r="J8" s="125" t="str">
        <x:v>Public share links/commands and import by share URL supported.</x:v>
      </x:c>
      <x:c r="K8" s="125" t="str">
        <x:v>Public share-link feature removed. V2 still supports server-client shared sessions/remote OpenTunnel pairing, not public share URLs.</x:v>
      </x:c>
      <x:c r="L8" s="125" t="str">
        <x:v>OpenCode 1 public-share feature only; V2 server model is distinct.</x:v>
      </x:c>
      <x:c r="M8" s="125" t="str">
        <x:v>Removes public transcript-link workflow; shared server sessions remain possible in V2.</x:v>
      </x:c>
      <x:c r="N8" s="125" t="str">
        <x:v>Changes collaboration and transcript sharing.</x:v>
      </x:c>
      <x:c r="O8" s="125" t="str">
        <x:v>https://opencode.ai/changelog</x:v>
      </x:c>
      <x:c r="P8" s="125" t="str">
        <x:v>Official release notes</x:v>
      </x:c>
      <x:c r="Q8" s="125" t="str">
        <x:v>Existing automation log and V2 docs.</x:v>
      </x:c>
      <x:c r="R8" s="125" t="str">
        <x:v>High</x:v>
      </x:c>
      <x:c r="S8" s="125" t="str">
        <x:v>Previously alerted</x:v>
      </x:c>
      <x:c r="T8" s="125" t="str">
        <x:v>Keep distinction between V1 public links and V2 server sessions.</x:v>
      </x:c>
    </x:row>
    <x:row r="9" ht="54" customHeight="1">
      <x:c r="A9" s="125" t="str">
        <x:v>EVT-2026-10-17-deepseek-flash1017</x:v>
      </x:c>
      <x:c r="B9" s="125" t="str">
        <x:v>2026-10-17</x:v>
      </x:c>
      <x:c r="C9" s="125" t="str">
        <x:v>2026-10-17</x:v>
      </x:c>
      <x:c r="D9" s="125" t="str">
        <x:v>2026-10-17</x:v>
      </x:c>
      <x:c r="E9" s="125" t="str">
        <x:v>DeepSeek</x:v>
      </x:c>
      <x:c r="F9" s="125" t="str">
        <x:v>DeepSeek API</x:v>
      </x:c>
      <x:c r="G9" s="125" t="str">
        <x:v>deepseek-flash snapshot</x:v>
      </x:c>
      <x:c r="H9" s="125" t="str">
        <x:v>model snapshot</x:v>
      </x:c>
      <x:c r="I9" s="125" t="str">
        <x:v>Model access/performance</x:v>
      </x:c>
      <x:c r="J9" s="125" t="str">
        <x:v>Earlier V4.1 Flash snapshot served at same API model name.</x:v>
      </x:c>
      <x:c r="K9" s="125" t="str">
        <x:v>DeepSeek-V4.1-Flash-1017 now serves deepseek-flash; token prices/context/output limits unchanged.</x:v>
      </x:c>
      <x:c r="L9" s="125" t="str">
        <x:v>API model alias and snapshot.</x:v>
      </x:c>
      <x:c r="M9" s="125" t="str">
        <x:v>Vendor reports stronger benchmarks, faster completions, shorter outputs; not independently verified.</x:v>
      </x:c>
      <x:c r="N9" s="125" t="str">
        <x:v>Potential efficiency/quality improvement at unchanged token prices.</x:v>
      </x:c>
      <x:c r="O9" s="125" t="str">
        <x:v>https://api-docs.deepseek.com/news/news261017/</x:v>
      </x:c>
      <x:c r="P9" s="125" t="str">
        <x:v>Official release note; performance claim vendor-reported</x:v>
      </x:c>
      <x:c r="Q9" s="125" t="str">
        <x:v>Existing automation log.</x:v>
      </x:c>
      <x:c r="R9" s="125" t="str">
        <x:v>High for snapshot; medium for performance claims</x:v>
      </x:c>
      <x:c r="S9" s="125" t="str">
        <x:v>Previously alerted</x:v>
      </x:c>
      <x:c r="T9" s="125" t="str">
        <x:v>Do not present benchmark claims as independently verified.</x:v>
      </x:c>
    </x:row>
    <x:row r="10" ht="54" customHeight="1">
      <x:c r="A10" s="125" t="str">
        <x:v>EVT-2026-10-17-deepseek-search-fetch</x:v>
      </x:c>
      <x:c r="B10" s="125" t="str">
        <x:v>2026-10-17</x:v>
      </x:c>
      <x:c r="C10" s="125" t="str">
        <x:v>2026-10-31T16:00Z</x:v>
      </x:c>
      <x:c r="D10" s="125" t="str">
        <x:v>2026-10-17</x:v>
      </x:c>
      <x:c r="E10" s="125" t="str">
        <x:v>DeepSeek</x:v>
      </x:c>
      <x:c r="F10" s="125" t="str">
        <x:v>Search &amp; Fetch APIs</x:v>
      </x:c>
      <x:c r="G10" s="125" t="str">
        <x:v>Standalone / server-side tools</x:v>
      </x:c>
      <x:c r="H10" s="125" t="str">
        <x:v>new service and scheduled billing</x:v>
      </x:c>
      <x:c r="I10" s="125" t="str">
        <x:v>Tool pricing</x:v>
      </x:c>
      <x:c r="J10" s="125" t="str">
        <x:v>Endpoints not publicly priced/available.</x:v>
      </x:c>
      <x:c r="K10" s="125" t="str">
        <x:v>Standalone Search and Fetch each $0.75 per 1,000 successful requests; server-side tool calls free until billing start Oct 31 16:00 UTC.</x:v>
      </x:c>
      <x:c r="L10" s="125" t="str">
        <x:v>Separate from model token prices; specified integrations include Harness, Claude Code, Codex.</x:v>
      </x:c>
      <x:c r="M10" s="125" t="str">
        <x:v>Can add web grounding with predictable per-success charges; free window expires on stated date.</x:v>
      </x:c>
      <x:c r="N10" s="125" t="str">
        <x:v>New alternative to third-party search/fetch.</x:v>
      </x:c>
      <x:c r="O10" s="125" t="str">
        <x:v>https://api-docs.deepseek.com/news/news261017/</x:v>
      </x:c>
      <x:c r="P10" s="125" t="str">
        <x:v>Official announcement/pricing</x:v>
      </x:c>
      <x:c r="Q10" s="125" t="str">
        <x:v>Existing automation log; no prior endpoint plan recorded.</x:v>
      </x:c>
      <x:c r="R10" s="125" t="str">
        <x:v>High</x:v>
      </x:c>
      <x:c r="S10" s="125" t="str">
        <x:v>Previously alerted</x:v>
      </x:c>
      <x:c r="T10" s="125" t="str">
        <x:v>Recheck billing start before future cost comparisons.</x:v>
      </x:c>
    </x:row>
    <x:row r="11" ht="54" customHeight="1">
      <x:c r="A11" s="125" t="str">
        <x:v>EVT-2026-10-17-opencode-step5</x:v>
      </x:c>
      <x:c r="B11" s="125" t="str">
        <x:v>Unstated</x:v>
      </x:c>
      <x:c r="C11" s="125" t="str">
        <x:v>Unstated</x:v>
      </x:c>
      <x:c r="D11" s="125" t="str">
        <x:v>2026-10-17</x:v>
      </x:c>
      <x:c r="E11" s="125" t="str">
        <x:v>OpenCode</x:v>
      </x:c>
      <x:c r="F11" s="125" t="str">
        <x:v>OpenCode Go</x:v>
      </x:c>
      <x:c r="G11" s="125" t="str">
        <x:v>Step 5 Preview</x:v>
      </x:c>
      <x:c r="H11" s="125" t="str">
        <x:v>temporary quota change</x:v>
      </x:c>
      <x:c r="I11" s="125" t="str">
        <x:v>Per-model allowance</x:v>
      </x:c>
      <x:c r="J11" s="125" t="str">
        <x:v>Saved Oct16 snapshot said free/unlimited; current page crosses out $15 Go/$60 Go Plus.</x:v>
      </x:c>
      <x:c r="K11" s="125" t="str">
        <x:v>Current page: temporary 4x limit, Go $60/month cap / Go Plus $240/month cap.</x:v>
      </x:c>
      <x:c r="L11" s="125" t="str">
        <x:v>Prior entitlement unresolved because saved baseline conflicts with current crossed-out page.</x:v>
      </x:c>
      <x:c r="M11" s="125" t="str">
        <x:v>May sharply change value for users relying on free Step 5; exact transition cannot be reconstructed.</x:v>
      </x:c>
      <x:c r="N11" s="125" t="str">
        <x:v>Affects the effective provider value.</x:v>
      </x:c>
      <x:c r="O11" s="125" t="str">
        <x:v>https://dev.opencode.ai/v2/docs/console/go</x:v>
      </x:c>
      <x:c r="P11" s="125" t="str">
        <x:v>Official current table plus prior saved state</x:v>
      </x:c>
      <x:c r="Q11" s="125" t="str">
        <x:v>Existing task baseline conflict.</x:v>
      </x:c>
      <x:c r="R11" s="125" t="str">
        <x:v>Medium</x:v>
      </x:c>
      <x:c r="S11" s="125" t="str">
        <x:v>Previously alerted</x:v>
      </x:c>
      <x:c r="T11" s="125" t="str">
        <x:v>Do not infer former entitlement or change date.</x:v>
      </x:c>
    </x:row>
    <x:row r="12" ht="54" customHeight="1">
      <x:c r="A12" s="125" t="str">
        <x:v>EVT-2026-10-17-opencode-free-models</x:v>
      </x:c>
      <x:c r="B12" s="125" t="str">
        <x:v>Unstated</x:v>
      </x:c>
      <x:c r="C12" s="125" t="str">
        <x:v>Unstated</x:v>
      </x:c>
      <x:c r="D12" s="125" t="str">
        <x:v>2026-10-17</x:v>
      </x:c>
      <x:c r="E12" s="125" t="str">
        <x:v>OpenCode</x:v>
      </x:c>
      <x:c r="F12" s="125" t="str">
        <x:v>OpenCode Go</x:v>
      </x:c>
      <x:c r="G12" s="125" t="str">
        <x:v>Beam Free / Cat Jam and other models</x:v>
      </x:c>
      <x:c r="H12" s="125" t="str">
        <x:v>model access change</x:v>
      </x:c>
      <x:c r="I12" s="125" t="str">
        <x:v>Free model roster</x:v>
      </x:c>
      <x:c r="J12" s="125" t="str">
        <x:v>Oct16 list had Cat Jam Free; current page lists Beam Free and omits Cat Jam, Grok 4.6, Kimi K2.6, MiniMax M2.7, DeepSeek V4 Flash and V4 Flash Vision Exp.</x:v>
      </x:c>
      <x:c r="K12" s="125" t="str">
        <x:v>Current Go list includes Beam Free with limited-time/limited-region status; listed models absent from current page.</x:v>
      </x:c>
      <x:c r="L12" s="125" t="str">
        <x:v>Current documentation vs saved previous inventory; dates not stated.</x:v>
      </x:c>
      <x:c r="M12" s="125" t="str">
        <x:v>Can remove a preferred model or make a free inference option unavailable; no replacement equivalence inferred.</x:v>
      </x:c>
      <x:c r="N12" s="125" t="str">
        <x:v>Access roster volatility.</x:v>
      </x:c>
      <x:c r="O12" s="125" t="str">
        <x:v>https://dev.opencode.ai/v2/docs/console/go</x:v>
      </x:c>
      <x:c r="P12" s="125" t="str">
        <x:v>Official current and prior snapshots</x:v>
      </x:c>
      <x:c r="Q12" s="125" t="str">
        <x:v>Existing task baseline.</x:v>
      </x:c>
      <x:c r="R12" s="125" t="str">
        <x:v>Medium</x:v>
      </x:c>
      <x:c r="S12" s="125" t="str">
        <x:v>Previously alerted</x:v>
      </x:c>
      <x:c r="T12" s="125" t="str">
        <x:v>Model quality not assessed.</x:v>
      </x:c>
    </x:row>
    <x:row r="13" ht="54" customHeight="1">
      <x:c r="A13" s="125" t="str">
        <x:v>EVT-2026-10-15-haiku45-selector</x:v>
      </x:c>
      <x:c r="B13" s="125" t="str">
        <x:v>2026-10-15</x:v>
      </x:c>
      <x:c r="C13" s="125" t="str">
        <x:v>2026-10-29</x:v>
      </x:c>
      <x:c r="D13" s="125" t="str">
        <x:v>2026-10-17</x:v>
      </x:c>
      <x:c r="E13" s="125" t="str">
        <x:v>Anthropic</x:v>
      </x:c>
      <x:c r="F13" s="125" t="str">
        <x:v>Claude consumer app</x:v>
      </x:c>
      <x:c r="G13" s="125" t="str">
        <x:v>Free/Pro/Max chat, Cowork, Design</x:v>
      </x:c>
      <x:c r="H13" s="125" t="str">
        <x:v>scheduled model removal</x:v>
      </x:c>
      <x:c r="I13" s="125" t="str">
        <x:v>Model selector</x:v>
      </x:c>
      <x:c r="J13" s="125" t="str">
        <x:v>Haiku 4.5 selectable in consumer surfaces.</x:v>
      </x:c>
      <x:c r="K13" s="125" t="str">
        <x:v>Haiku 4.5 leaves selectors and is replaced by Haiku 5.5; Claude Code, API, Team, Enterprise unaffected.</x:v>
      </x:c>
      <x:c r="L13" s="125" t="str">
        <x:v>Consumer app selector only.</x:v>
      </x:c>
      <x:c r="M13" s="125" t="str">
        <x:v>Removes user choice in those surfaces; no Claude Code/API plan or quota change.</x:v>
      </x:c>
      <x:c r="N13" s="125" t="str">
        <x:v>Model choice availability changes for non-Code surfaces.</x:v>
      </x:c>
      <x:c r="O13" s="125" t="str">
        <x:v>https://support.claude.com/en/articles/17444146-claude-haiku-4-5-is-leaving-the-model-selector</x:v>
      </x:c>
      <x:c r="P13" s="125" t="str">
        <x:v>Official help-center notice</x:v>
      </x:c>
      <x:c r="Q13" s="125" t="str">
        <x:v>Existing task baseline.</x:v>
      </x:c>
      <x:c r="R13" s="125" t="str">
        <x:v>High</x:v>
      </x:c>
      <x:c r="S13" s="125" t="str">
        <x:v>Previously alerted</x:v>
      </x:c>
      <x:c r="T13" s="125" t="str">
        <x:v>Effective date Oct29; no separate time stated.</x:v>
      </x:c>
    </x:row>
    <x:row r="14" ht="54" customHeight="1">
      <x:c r="A14" s="125" t="str">
        <x:v>EVT-2026-10-14-openai-gpt55-retire</x:v>
      </x:c>
      <x:c r="B14" s="125" t="str">
        <x:v>2026-10-14</x:v>
      </x:c>
      <x:c r="C14" s="125" t="str">
        <x:v>2026-10-14</x:v>
      </x:c>
      <x:c r="D14" s="125" t="str">
        <x:v>2026-10-19</x:v>
      </x:c>
      <x:c r="E14" s="125" t="str">
        <x:v>OpenAI</x:v>
      </x:c>
      <x:c r="F14" s="125" t="str">
        <x:v>ChatGPT / Work / Codex</x:v>
      </x:c>
      <x:c r="G14" s="125" t="str">
        <x:v>GPT-5.5</x:v>
      </x:c>
      <x:c r="H14" s="125" t="str">
        <x:v>model retirement</x:v>
      </x:c>
      <x:c r="I14" s="125" t="str">
        <x:v>Model access</x:v>
      </x:c>
      <x:c r="J14" s="125" t="str">
        <x:v>GPT-5.5 available in ChatGPT, Work, and Codex.</x:v>
      </x:c>
      <x:c r="K14" s="125" t="str">
        <x:v>Retired from these surfaces; API access unaffected.</x:v>
      </x:c>
      <x:c r="L14" s="125" t="str">
        <x:v>Consumer and Work/Codex surfaces; API unaffected.</x:v>
      </x:c>
      <x:c r="M14" s="125" t="str">
        <x:v>Removes one model option; compare remaining GPT-6.1 Sol/6 Sol/Luna and limited Astra access.</x:v>
      </x:c>
      <x:c r="N14" s="125" t="str">
        <x:v>Model choice change.</x:v>
      </x:c>
      <x:c r="O14" s="125" t="str">
        <x:v>https://help.openai.com/en/articles/9624314-model-release-notes</x:v>
      </x:c>
      <x:c r="P14" s="125" t="str">
        <x:v>Official model release notes</x:v>
      </x:c>
      <x:c r="Q14" s="125" t="str">
        <x:v>Existing task baseline.</x:v>
      </x:c>
      <x:c r="R14" s="125" t="str">
        <x:v>High</x:v>
      </x:c>
      <x:c r="S14" s="125" t="str">
        <x:v>Previously alerted</x:v>
      </x:c>
      <x:c r="T14" s="125" t="str">
        <x:v>Effective timestamp unstated.</x:v>
      </x:c>
    </x:row>
    <x:row r="15" ht="54" customHeight="1">
      <x:c r="A15" s="125" t="str">
        <x:v>EVT-2026-10-15-artifact-promo-end</x:v>
      </x:c>
      <x:c r="B15" s="125" t="str">
        <x:v>Unstated</x:v>
      </x:c>
      <x:c r="C15" s="125" t="str">
        <x:v>2026-10-15 23:59 PT</x:v>
      </x:c>
      <x:c r="D15" s="125" t="str">
        <x:v>2026-10-19</x:v>
      </x:c>
      <x:c r="E15" s="125" t="str">
        <x:v>Anthropic</x:v>
      </x:c>
      <x:c r="F15" s="125" t="str">
        <x:v>Claude app</x:v>
      </x:c>
      <x:c r="G15" s="125" t="str">
        <x:v>Artifacts</x:v>
      </x:c>
      <x:c r="H15" s="125" t="str">
        <x:v>promotion end</x:v>
      </x:c>
      <x:c r="I15" s="125" t="str">
        <x:v>5-hour allowance impact</x:v>
      </x:c>
      <x:c r="J15" s="125" t="str">
        <x:v>Some Pro/Max/Team Artifact work used 50% less of 5-hour session limit during promotion.</x:v>
      </x:c>
      <x:c r="K15" s="125" t="str">
        <x:v>Promotion ended; regular consumption applies. Weekly limit did not change; never applied to Claude Code or API.</x:v>
      </x:c>
      <x:c r="L15" s="125" t="str">
        <x:v>Artifact app flows only.</x:v>
      </x:c>
      <x:c r="M15" s="125" t="str">
        <x:v>Could reduce app-based code/prototype use-value; does not change terminal Claude Code choice.</x:v>
      </x:c>
      <x:c r="N15" s="125" t="str">
        <x:v>Temporary discount on product allowance expired.</x:v>
      </x:c>
      <x:c r="O15" s="125" t="str">
        <x:v>https://support.claude.com/en/articles/17274727-artifact-usage-promotion</x:v>
      </x:c>
      <x:c r="P15" s="125" t="str">
        <x:v>Official help-center promotion</x:v>
      </x:c>
      <x:c r="Q15" s="125" t="str">
        <x:v>Existing task baseline.</x:v>
      </x:c>
      <x:c r="R15" s="125" t="str">
        <x:v>High</x:v>
      </x:c>
      <x:c r="S15" s="125" t="str">
        <x:v>Previously alerted</x:v>
      </x:c>
      <x:c r="T15" s="125" t="str">
        <x:v>Promotion start date varied by plan; separate announcement date unstated.</x:v>
      </x:c>
    </x:row>
    <x:row r="16" ht="54" customHeight="1">
      <x:c r="A16" s="125" t="str">
        <x:v>EVT-2026-10-15-cloudflare-observability</x:v>
      </x:c>
      <x:c r="B16" s="125" t="str">
        <x:v>Docs updated 2026-10-15</x:v>
      </x:c>
      <x:c r="C16" s="125" t="str">
        <x:v>2026-12-01</x:v>
      </x:c>
      <x:c r="D16" s="125" t="str">
        <x:v>2026-10-21</x:v>
      </x:c>
      <x:c r="E16" s="125" t="str">
        <x:v>Cloudflare</x:v>
      </x:c>
      <x:c r="F16" s="125" t="str">
        <x:v>Workers Logs / Observability</x:v>
      </x:c>
      <x:c r="G16" s="125" t="str">
        <x:v>Free and Paid Workers plans</x:v>
      </x:c>
      <x:c r="H16" s="125" t="str">
        <x:v>scheduled pricing/allowance change</x:v>
      </x:c>
      <x:c r="I16" s="125" t="str">
        <x:v>Log ingestion, storage and retention</x:v>
      </x:c>
      <x:c r="J16" s="125" t="str">
        <x:v>Free: 200K events/day, 3-day retention. Paid: 20M events/month included then $0.60/M, 7-day retention.</x:v>
      </x:c>
      <x:c r="K16" s="125" t="str">
        <x:v>Free: 0.5 GB ingestion/day, 7-day retention; stop ingesting at limit. Paid: 50 GB ingestion + 10 GB-month storage per cycle, then $0.25/GB + $0.10/GB-month. Shared account allowance across logs/traces and selected products; Enterprise at contract renewal.</x:v>
      </x:c>
      <x:c r="L16" s="125" t="str">
        <x:v>Workers Logs and Cloudflare Observability datasets; official page says event sizes and ingestion are measured by pre-compression bytes.</x:v>
      </x:c>
      <x:c r="M16" s="125" t="str">
        <x:v>New byte/storage meters can change cost depending on log size, volume, retention. Any cheaper/more expensive outcome is workload-dependent (inference).</x:v>
      </x:c>
      <x:c r="N16" s="125" t="str">
        <x:v>Adds an explicit logging cost/limit to Cloudflare Workers valuation beyond compute and egress.</x:v>
      </x:c>
      <x:c r="O16" s="125" t="str">
        <x:v>https://developers.cloudflare.com/observability/pricing/</x:v>
      </x:c>
      <x:c r="P16" s="125" t="str">
        <x:v>Official pricing page; last updated Oct15</x:v>
      </x:c>
      <x:c r="Q16" s="125" t="str">
        <x:v>Current Workers Logs table compared to new Observability pricing page.</x:v>
      </x:c>
      <x:c r="R16" s="125" t="str">
        <x:v>High</x:v>
      </x:c>
      <x:c r="S16" s="125" t="str">
        <x:v>Alert issued 2026-10-21</x:v>
      </x:c>
      <x:c r="T16" s="125" t="str">
        <x:v>Announcement date not stated separately; docs were last updated Oct15.</x:v>
      </x:c>
    </x:row>
    <x:row r="17" ht="54" customHeight="1">
      <x:c r="A17" s="125" t="str">
        <x:v>EVT-2026-10-21-command-ornith-promo-end</x:v>
      </x:c>
      <x:c r="B17" s="125" t="str">
        <x:v>Unstated</x:v>
      </x:c>
      <x:c r="C17" s="125" t="str">
        <x:v>2026-10-21 23:00 PT</x:v>
      </x:c>
      <x:c r="D17" s="125" t="str">
        <x:v>2026-10-21</x:v>
      </x:c>
      <x:c r="E17" s="125" t="str">
        <x:v>Command Code</x:v>
      </x:c>
      <x:c r="F17" s="125" t="str">
        <x:v>Command Code</x:v>
      </x:c>
      <x:c r="G17" s="125" t="str">
        <x:v>Ornith 1.5 122B across plans</x:v>
      </x:c>
      <x:c r="H17" s="125" t="str">
        <x:v>promotion end</x:v>
      </x:c>
      <x:c r="I17" s="125" t="str">
        <x:v>Per-model credit cost</x:v>
      </x:c>
      <x:c r="J17" s="125" t="str">
        <x:v>Ornith 1.5 122B requests cost no credits during temporary window.</x:v>
      </x:c>
      <x:c r="K17" s="125" t="str">
        <x:v>After 11:00 PM PT Oct21, usage returns to plan/model credit pricing; exact post-window rate not verified.</x:v>
      </x:c>
      <x:c r="L17" s="125" t="str">
        <x:v>Model-specific temporary benefit; other free models may remain independently available.</x:v>
      </x:c>
      <x:c r="M17" s="125" t="str">
        <x:v>Makes coding with this model time-limited at zero credit cost; value comparison changes after cutoff.</x:v>
      </x:c>
      <x:c r="N17" s="125" t="str">
        <x:v>Temporary model promotion ends.</x:v>
      </x:c>
      <x:c r="O17" s="125" t="str">
        <x:v>https://commandcode.ai/pricing</x:v>
      </x:c>
      <x:c r="P17" s="125" t="str">
        <x:v>Official pricing page</x:v>
      </x:c>
      <x:c r="Q17" s="125" t="str">
        <x:v>Newly added coverage; no previous baseline for Command Code.</x:v>
      </x:c>
      <x:c r="R17" s="125" t="str">
        <x:v>High for end time; post-rate unresolved</x:v>
      </x:c>
      <x:c r="S17" s="125" t="str">
        <x:v>Alert issued 2026-10-21</x:v>
      </x:c>
      <x:c r="T17" s="125" t="str">
        <x:v>Direct pricing page also lists separate free model promotions; do not infer all free access ends.</x:v>
      </x:c>
    </x:row>
    <x:row r="18">
      <x:c r="A18" t="str">
        <x:v>EVT-2026-10-20-opendesign-baseline</x:v>
      </x:c>
      <x:c r="B18" t="str">
        <x:v>Unstated</x:v>
      </x:c>
      <x:c r="C18" t="str">
        <x:v>Unstated</x:v>
      </x:c>
      <x:c r="D18" t="str">
        <x:v>2026-10-20</x:v>
      </x:c>
      <x:c r="E18" t="str">
        <x:v>OpenDesign</x:v>
      </x:c>
      <x:c r="F18" t="str">
        <x:v>OpenDesign</x:v>
      </x:c>
      <x:c r="G18" t="str">
        <x:v>Go/Plus/Pro/Max</x:v>
      </x:c>
      <x:c r="H18" t="str">
        <x:v>baseline</x:v>
      </x:c>
      <x:c r="I18" t="str">
        <x:v>Plan value</x:v>
      </x:c>
      <x:c r="J18" t="str">
        <x:v>Not previously recorded</x:v>
      </x:c>
      <x:c r="K18" t="str">
        <x:v>Renewal10/20/100/200; shared DesignPlan+premium wallet; API shares app credits.</x:v>
      </x:c>
      <x:c r="L18" t="str">
        <x:v>Official current pricing</x:v>
      </x:c>
      <x:c r="M18" t="str">
        <x:v>Compare shared credits and app-only promotion restrictions before choosing.</x:v>
      </x:c>
      <x:c r="N18" t="str">
        <x:v>Includes design benefits.</x:v>
      </x:c>
      <x:c r="O18" t="str">
        <x:v>https://open-design.ai/pricing/</x:v>
      </x:c>
      <x:c r="P18" t="str">
        <x:v>Official</x:v>
      </x:c>
      <x:c r="Q18" t="str">
        <x:v>No prior baseline</x:v>
      </x:c>
      <x:c r="R18" t="str">
        <x:v>High</x:v>
      </x:c>
      <x:c r="S18" t="str">
        <x:v>Baseline only</x:v>
      </x:c>
      <x:c r="T18" t="str">
        <x:v>Do not infer launch date or former terms.</x:v>
      </x:c>
    </x:row>
    <x:row r="19">
      <x:c r="A19" t="str">
        <x:v>EVT-2026-10-20-muse-cli-clarification</x:v>
      </x:c>
      <x:c r="B19" t="str">
        <x:v>Unstated</x:v>
      </x:c>
      <x:c r="C19" t="str">
        <x:v>Unstated</x:v>
      </x:c>
      <x:c r="D19" t="str">
        <x:v>2026-10-20</x:v>
      </x:c>
      <x:c r="E19" t="str">
        <x:v>Meta</x:v>
      </x:c>
      <x:c r="F19" t="str">
        <x:v>Muse Code</x:v>
      </x:c>
      <x:c r="G19" t="str">
        <x:v>High/Power</x:v>
      </x:c>
      <x:c r="H19" t="str">
        <x:v>baseline clarification</x:v>
      </x:c>
      <x:c r="I19" t="str">
        <x:v>CLI restrictions</x:v>
      </x:c>
      <x:c r="J19" t="str">
        <x:v>Credential scope not explicit in earlier snapshot</x:v>
      </x:c>
      <x:c r="K19" t="str">
        <x:v>15 High;50 Power; subscription credentials MuseCode CLI-only, other keys PAYG</x:v>
      </x:c>
      <x:c r="L19" t="str">
        <x:v>Official docs/help</x:v>
      </x:c>
      <x:c r="M19" t="str">
        <x:v>Do not treat subscription as fungible API credit.</x:v>
      </x:c>
      <x:c r="N19" t="str">
        <x:v>WonderFull Power access retained.</x:v>
      </x:c>
      <x:c r="O19" t="str">
        <x:v>https://dev.meta.ai/docs/muse-code/subscriptions</x:v>
      </x:c>
      <x:c r="P19" t="str">
        <x:v>Official</x:v>
      </x:c>
      <x:c r="Q19" t="str">
        <x:v>Earlier snapshot incomplete</x:v>
      </x:c>
      <x:c r="R19" t="str">
        <x:v>High</x:v>
      </x:c>
      <x:c r="S19" t="str">
        <x:v>Report requested</x:v>
      </x:c>
      <x:c r="T19" t="str">
        <x:v>No evidence this restriction is new.</x:v>
      </x:c>
    </x:row>
  </x:sheetData>
  <x:pageMargins left="0.7" right="0.7" top="0.75" bottom="0.75" header="0.3" footer="0.3"/>
  <x:tableParts count="1">
    <x:tablePart xmlns:r="http://schemas.openxmlformats.org/officeDocument/2006/relationships" r:id="R780de7914bf94a42"/>
  </x:tableParts>
</x:worksheet>
</file>

<file path=xl/worksheets/sheet3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22" hidden="0" customWidth="1"/>
    <x:col min="3" max="3" width="28" hidden="0" customWidth="1"/>
    <x:col min="4" max="4" width="24" hidden="0" customWidth="1"/>
    <x:col min="5" max="5" width="18" hidden="0" customWidth="1"/>
    <x:col min="6" max="6" width="30" hidden="0" customWidth="1"/>
    <x:col min="7" max="7" width="58" hidden="0" customWidth="1"/>
    <x:col min="8" max="8" width="42" hidden="0" customWidth="1"/>
    <x:col min="9" max="9" width="70" hidden="0" customWidth="1"/>
    <x:col min="10" max="10" width="26" hidden="0" customWidth="1"/>
    <x:col min="11" max="11" width="16" hidden="0" customWidth="1"/>
    <x:col min="12" max="12" width="60" hidden="0" customWidth="1"/>
    <x:col min="13" max="13" width="58" hidden="0" customWidth="1"/>
    <x:col min="14" max="14" width="24" hidden="0" customWidth="1"/>
  </x:cols>
  <x:sheetData>
    <x:row r="1" ht="36" customHeight="1">
      <x:c r="A1" s="122" t="str">
        <x:v>report_id</x:v>
      </x:c>
      <x:c r="B1" s="122" t="str">
        <x:v>provider</x:v>
      </x:c>
      <x:c r="C1" s="122" t="str">
        <x:v>service</x:v>
      </x:c>
      <x:c r="D1" s="122" t="str">
        <x:v>plan</x:v>
      </x:c>
      <x:c r="E1" s="122" t="str">
        <x:v>report_date</x:v>
      </x:c>
      <x:c r="F1" s="122" t="str">
        <x:v>sample_window</x:v>
      </x:c>
      <x:c r="G1" s="122" t="str">
        <x:v>reported_observation</x:v>
      </x:c>
      <x:c r="H1" s="122" t="str">
        <x:v>quantified_claim</x:v>
      </x:c>
      <x:c r="I1" s="122" t="str">
        <x:v>source_url</x:v>
      </x:c>
      <x:c r="J1" s="122" t="str">
        <x:v>evidence_type</x:v>
      </x:c>
      <x:c r="K1" s="122" t="str">
        <x:v>confidence</x:v>
      </x:c>
      <x:c r="L1" s="122" t="str">
        <x:v>caveats</x:v>
      </x:c>
      <x:c r="M1" s="122" t="str">
        <x:v>how_to_use</x:v>
      </x:c>
      <x:c r="N1" s="122" t="str">
        <x:v>captured_utc</x:v>
      </x:c>
    </x:row>
    <x:row r="2" ht="54" customHeight="1">
      <x:c r="A2" s="125" t="str">
        <x:v>UR-2026-09-18-claude-codex-20day</x:v>
      </x:c>
      <x:c r="B2" s="125" t="str">
        <x:v>Anthropic / OpenAI</x:v>
      </x:c>
      <x:c r="C2" s="125" t="str">
        <x:v>Claude Code vs Codex</x:v>
      </x:c>
      <x:c r="D2" s="125" t="str">
        <x:v>$20 monthly plans</x:v>
      </x:c>
      <x:c r="E2" s="125" t="str">
        <x:v>2026-09-18</x:v>
      </x:c>
      <x:c r="F2" s="125" t="str">
        <x:v>One user tracked about 20 days</x:v>
      </x:c>
      <x:c r="G2" s="125" t="str">
        <x:v>User estimated Claude allowance at roughly 3–5x Codex using reported usage percentages and token-price equivalents.</x:v>
      </x:c>
      <x:c r="H2" s="125" t="str">
        <x:v>Estimated 3–5x allowance, not task-output equivalent.</x:v>
      </x:c>
      <x:c r="I2" s="125" t="str">
        <x:v>https://www.reddit.com/r/codex/comments/1wjzypc/measured_claude_usage_limits_are_35_those_of_codex/</x:v>
      </x:c>
      <x:c r="J2" s="125" t="str">
        <x:v>Single-user anecdote</x:v>
      </x:c>
      <x:c r="K2" s="125" t="str">
        <x:v>Low</x:v>
      </x:c>
      <x:c r="L2" s="125" t="str">
        <x:v>Small sample; API dollar equivalents do not equal completed coding work; methodology debated.</x:v>
      </x:c>
      <x:c r="M2" s="125" t="str">
        <x:v>Context only for opaque limits; never override provider quotas or imply consensus.</x:v>
      </x:c>
      <x:c r="N2" s="125" t="d">
        <x:v>2026-10-21T01:07:21.000Z</x:v>
      </x:c>
    </x:row>
    <x:row r="3" ht="54" customHeight="1">
      <x:c r="A3" s="125" t="str">
        <x:v>UR-2026-10-12-codex-capacity</x:v>
      </x:c>
      <x:c r="B3" s="125" t="str">
        <x:v>OpenAI</x:v>
      </x:c>
      <x:c r="C3" s="125" t="str">
        <x:v>Codex</x:v>
      </x:c>
      <x:c r="D3" s="125" t="str">
        <x:v>Pro and higher, mixed</x:v>
      </x:c>
      <x:c r="E3" s="125" t="str">
        <x:v>2026-10-12</x:v>
      </x:c>
      <x:c r="F3" s="125" t="str">
        <x:v>Thread discussion; sample count not controlled</x:v>
      </x:c>
      <x:c r="G3" s="125" t="str">
        <x:v>Users reported capacity errors and changed usage burn after model/limit changes; one Pro user reported intermittent capacity problems.</x:v>
      </x:c>
      <x:c r="H3" s="125" t="str">
        <x:v>A post claimed one task consumed 21% vs a usual 10%; unverified.</x:v>
      </x:c>
      <x:c r="I3" s="125" t="str">
        <x:v>https://www.reddit.com/r/codex/comments/1x45q9b/codex_usage_and_operation_discussion_last_updated/</x:v>
      </x:c>
      <x:c r="J3" s="125" t="str">
        <x:v>Community thread</x:v>
      </x:c>
      <x:c r="K3" s="125" t="str">
        <x:v>Low</x:v>
      </x:c>
      <x:c r="L3" s="125" t="str">
        <x:v>Self-selected posts, no controlled measurement or account verification.</x:v>
      </x:c>
      <x:c r="M3" s="125" t="str">
        <x:v>Watch for repeated corroboration across independent users; do not convert into quota facts.</x:v>
      </x:c>
      <x:c r="N3" s="125" t="d">
        <x:v>2026-10-21T01:07:21.000Z</x:v>
      </x:c>
    </x:row>
    <x:row r="4" ht="54" customHeight="1">
      <x:c r="A4" s="125" t="str">
        <x:v>UR-2026-10-13-claude-limit-hub</x:v>
      </x:c>
      <x:c r="B4" s="125" t="str">
        <x:v>Anthropic</x:v>
      </x:c>
      <x:c r="C4" s="125" t="str">
        <x:v>Claude / Claude Code</x:v>
      </x:c>
      <x:c r="D4" s="125" t="str">
        <x:v>Multiple consumer plans</x:v>
      </x:c>
      <x:c r="E4" s="125" t="str">
        <x:v>2026-10-13</x:v>
      </x:c>
      <x:c r="F4" s="125" t="str">
        <x:v>Community hub; anecdotal replies</x:v>
      </x:c>
      <x:c r="G4" s="125" t="str">
        <x:v>Users discuss five-hour and weekly limit variability and report hitting caps during coding work.</x:v>
      </x:c>
      <x:c r="H4" s="125" t="str">
        <x:v>No representative estimate.</x:v>
      </x:c>
      <x:c r="I4" s="125" t="str">
        <x:v>https://www.reddit.com/r/ClaudeAI/comments/1x4rmx5/usage_limits_discussion_hub_updated_on_13_october/</x:v>
      </x:c>
      <x:c r="J4" s="125" t="str">
        <x:v>Community discussion hub</x:v>
      </x:c>
      <x:c r="K4" s="125" t="str">
        <x:v>Low</x:v>
      </x:c>
      <x:c r="L4" s="125" t="str">
        <x:v>Not a survey; thread aggregates posts without controlled workload.</x:v>
      </x:c>
      <x:c r="M4" s="125" t="str">
        <x:v>Use as a lead for monthly review, not as evidence of a plan change.</x:v>
      </x:c>
      <x:c r="N4" s="125" t="d">
        <x:v>2026-10-21T01:07:21.000Z</x:v>
      </x:c>
    </x:row>
    <x:row r="5" ht="54" customHeight="1">
      <x:c r="A5" s="125" t="str">
        <x:v>UR-2026-09-2026-claude-cap-reports</x:v>
      </x:c>
      <x:c r="B5" s="125" t="str">
        <x:v>Anthropic</x:v>
      </x:c>
      <x:c r="C5" s="125" t="str">
        <x:v>Claude Code</x:v>
      </x:c>
      <x:c r="D5" s="125" t="str">
        <x:v>Pro/Max</x:v>
      </x:c>
      <x:c r="E5" s="125" t="str">
        <x:v>2026-09</x:v>
      </x:c>
      <x:c r="F5" s="125" t="str">
        <x:v>Multiple anecdotal reports, no sampling frame</x:v>
      </x:c>
      <x:c r="G5" s="125" t="str">
        <x:v>Users report five-hour limits ranging from a handful of messages to longer sessions, with weekly caps sometimes binding.</x:v>
      </x:c>
      <x:c r="H5" s="125" t="str">
        <x:v>Individual reports include 10–20 messages before a session reset; not verified.</x:v>
      </x:c>
      <x:c r="I5" s="125" t="str">
        <x:v>https://www.reddit.com/r/ClaudeAI/comments/1wh13y2/new_usage_limits/</x:v>
      </x:c>
      <x:c r="J5" s="125" t="str">
        <x:v>Community posts</x:v>
      </x:c>
      <x:c r="K5" s="125" t="str">
        <x:v>Low</x:v>
      </x:c>
      <x:c r="L5" s="125" t="str">
        <x:v>Messages vary dramatically by context/model/task; self-reported and non-representative.</x:v>
      </x:c>
      <x:c r="M5" s="125" t="str">
        <x:v>Maintain historical snapshots and summarize only multi-source patterns with hedging.</x:v>
      </x:c>
      <x:c r="N5" s="125" t="d">
        <x:v>2026-10-21T01:07:21.000Z</x:v>
      </x:c>
    </x:row>
  </x:sheetData>
  <x:pageMargins left="0.7" right="0.7" top="0.75" bottom="0.75" header="0.3" footer="0.3"/>
  <x:tableParts count="1">
    <x:tablePart xmlns:r="http://schemas.openxmlformats.org/officeDocument/2006/relationships" r:id="Rebf6c6340d264641"/>
  </x:tableParts>
</x:worksheet>
</file>

<file path=xl/worksheets/sheet4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22" hidden="0" customWidth="1"/>
    <x:col min="3" max="3" width="42" hidden="0" customWidth="1"/>
    <x:col min="4" max="4" width="58" hidden="0" customWidth="1"/>
    <x:col min="5" max="5" width="58" hidden="0" customWidth="1"/>
    <x:col min="6" max="6" width="58" hidden="0" customWidth="1"/>
    <x:col min="7" max="7" width="58" hidden="0" customWidth="1"/>
    <x:col min="8" max="8" width="48" hidden="0" customWidth="1"/>
    <x:col min="9" max="9" width="28" hidden="0" customWidth="1"/>
    <x:col min="10" max="10" width="54" hidden="0" customWidth="1"/>
    <x:col min="11" max="11" width="58" hidden="0" customWidth="1"/>
    <x:col min="12" max="12" width="18" hidden="0" customWidth="1"/>
    <x:col min="13" max="13" width="64" hidden="0" customWidth="1"/>
  </x:cols>
  <x:sheetData>
    <x:row r="1" ht="36" customHeight="1">
      <x:c r="A1" s="122" t="str">
        <x:v>watch_id</x:v>
      </x:c>
      <x:c r="B1" s="122" t="str">
        <x:v>provider</x:v>
      </x:c>
      <x:c r="C1" s="122" t="str">
        <x:v>service_and_plan_scope</x:v>
      </x:c>
      <x:c r="D1" s="122" t="str">
        <x:v>monitor_dimensions</x:v>
      </x:c>
      <x:c r="E1" s="122" t="str">
        <x:v>official_source_1</x:v>
      </x:c>
      <x:c r="F1" s="122" t="str">
        <x:v>official_source_2</x:v>
      </x:c>
      <x:c r="G1" s="122" t="str">
        <x:v>official_source_3</x:v>
      </x:c>
      <x:c r="H1" s="122" t="str">
        <x:v>third_party_leads</x:v>
      </x:c>
      <x:c r="I1" s="122" t="str">
        <x:v>monthly_deep_review</x:v>
      </x:c>
      <x:c r="J1" s="122" t="str">
        <x:v>geo_family_seat_checks</x:v>
      </x:c>
      <x:c r="K1" s="122" t="str">
        <x:v>candidate_discovery_rule</x:v>
      </x:c>
      <x:c r="L1" s="122" t="str">
        <x:v>status</x:v>
      </x:c>
      <x:c r="M1" s="122" t="str">
        <x:v>notes</x:v>
      </x:c>
    </x:row>
    <x:row r="2" ht="54" customHeight="1">
      <x:c r="A2" s="125" t="str">
        <x:v>W01</x:v>
      </x:c>
      <x:c r="B2" s="125" t="str">
        <x:v>OpenCode</x:v>
      </x:c>
      <x:c r="C2" s="125" t="str">
        <x:v>Go, Go Plus, Zen</x:v>
      </x:c>
      <x:c r="D2" s="125" t="str">
        <x:v>Price, quotas, model roster/removals, temporary promos, privacy/retention, team restrictions, API rates</x:v>
      </x:c>
      <x:c r="E2" s="125" t="str">
        <x:v>https://dev.opencode.ai/v2/docs/console/go</x:v>
      </x:c>
      <x:c r="F2" s="125" t="str">
        <x:v>https://dev.opencode.ai/zen</x:v>
      </x:c>
      <x:c r="G2" s="125" t="str">
        <x:v>https://dev.opencode.ai/docs/zen/</x:v>
      </x:c>
      <x:c r="H2" s="125" t="str">
        <x:v>OpenCode changelog, Reddit, provider release notes</x:v>
      </x:c>
      <x:c r="I2" s="125" t="str">
        <x:v>Yes: compare model table, caps and crossed-out former values</x:v>
      </x:c>
      <x:c r="J2" s="125" t="str">
        <x:v>Single-member Go workspaces; limited-region models</x:v>
      </x:c>
      <x:c r="K2" s="125" t="str">
        <x:v>Search new free/unlimited/low-cost models and model gateways</x:v>
      </x:c>
      <x:c r="L2" s="125" t="str">
        <x:v>ACTIVE</x:v>
      </x:c>
      <x:c r="M2" s="125" t="str">
        <x:v>Retain conflicts in events; never reconstruct prior caps without source.</x:v>
      </x:c>
    </x:row>
    <x:row r="3" ht="54" customHeight="1">
      <x:c r="A3" s="125" t="str">
        <x:v>W02</x:v>
      </x:c>
      <x:c r="B3" s="125" t="str">
        <x:v>OpenAI</x:v>
      </x:c>
      <x:c r="C3" s="125" t="str">
        <x:v>ChatGPT Plus, Codex, Work, credits</x:v>
      </x:c>
      <x:c r="D3" s="125" t="str">
        <x:v>Price, usage/credit pooling, model access/removal, cloud eligibility, context, account/workspace restrictions</x:v>
      </x:c>
      <x:c r="E3" s="125" t="str">
        <x:v>https://help.openai.com/en/articles/6950777-what-is-chatgpt-plus</x:v>
      </x:c>
      <x:c r="F3" s="125" t="str">
        <x:v>https://help.openai.com/en/articles/11369540-using-codex-with-your-chatgpt-plan</x:v>
      </x:c>
      <x:c r="G3" s="125" t="str">
        <x:v>https://help.openai.com/en/articles/9624314-model-release-notes</x:v>
      </x:c>
      <x:c r="H3" s="125" t="str">
        <x:v>OpenAI community, Reddit, issue threads</x:v>
      </x:c>
      <x:c r="I3" s="125" t="str">
        <x:v>Yes: include current user-reported rate-limit experience as low-confidence</x:v>
      </x:c>
      <x:c r="J3" s="125" t="str">
        <x:v>Rollout/workspace/region/plan distinctions</x:v>
      </x:c>
      <x:c r="K3" s="125" t="str">
        <x:v>Discover new personal/agentic coding bundles</x:v>
      </x:c>
      <x:c r="L3" s="125" t="str">
        <x:v>ACTIVE</x:v>
      </x:c>
      <x:c r="M3" s="125" t="str">
        <x:v>Never assert fixed hidden limits absent official data.</x:v>
      </x:c>
    </x:row>
    <x:row r="4" ht="54" customHeight="1">
      <x:c r="A4" s="125" t="str">
        <x:v>W03</x:v>
      </x:c>
      <x:c r="B4" s="125" t="str">
        <x:v>Anthropic</x:v>
      </x:c>
      <x:c r="C4" s="125" t="str">
        <x:v>Claude Free/Pro/Max, Claude Code, API</x:v>
      </x:c>
      <x:c r="D4" s="125" t="str">
        <x:v>Subscription price, five-hour/weekly limits, model roster, API price/access, promotions, credits</x:v>
      </x:c>
      <x:c r="E4" s="125" t="str">
        <x:v>https://claude.com/pricing</x:v>
      </x:c>
      <x:c r="F4" s="125" t="str">
        <x:v>https://support.claude.com/en/articles/11145838-use-claude-code-with-your-pro-or-max-plan</x:v>
      </x:c>
      <x:c r="G4" s="125" t="str">
        <x:v>https://platform.claude.com/docs/en/about-claude/model-deprecations</x:v>
      </x:c>
      <x:c r="H4" s="125" t="str">
        <x:v>Reddit/ClaudeAI and Claude Code reports, Anthropic forum</x:v>
      </x:c>
      <x:c r="I4" s="125" t="str">
        <x:v>Yes: provider docs plus separated anecdotal report distribution</x:v>
      </x:c>
      <x:c r="J4" s="125" t="str">
        <x:v>Plan, region, rollout, account-age details</x:v>
      </x:c>
      <x:c r="K4" s="125" t="str">
        <x:v>Look for new subscription bundles and promotions</x:v>
      </x:c>
      <x:c r="L4" s="125" t="str">
        <x:v>ACTIVE</x:v>
      </x:c>
      <x:c r="M4" s="125" t="str">
        <x:v>Do not turn a few Reddit reports into consensus.</x:v>
      </x:c>
    </x:row>
    <x:row r="5" ht="54" customHeight="1">
      <x:c r="A5" s="125" t="str">
        <x:v>W04</x:v>
      </x:c>
      <x:c r="B5" s="125" t="str">
        <x:v>DeepSeek</x:v>
      </x:c>
      <x:c r="C5" s="125" t="str">
        <x:v>API, Search &amp; Fetch</x:v>
      </x:c>
      <x:c r="D5" s="125" t="str">
        <x:v>Token prices, cache/peak schedule, snapshots, endpoints, billing dates, concurrency and context</x:v>
      </x:c>
      <x:c r="E5" s="125" t="str">
        <x:v>https://api-docs.deepseek.com/quick_start/pricing/</x:v>
      </x:c>
      <x:c r="F5" s="125" t="str">
        <x:v>https://api-docs.deepseek.com/updates/</x:v>
      </x:c>
      <x:c r="G5" s="125" t="str">
        <x:v>https://api-docs.deepseek.com/news/</x:v>
      </x:c>
      <x:c r="H5" s="125" t="str">
        <x:v>Reddit, model/API changelog discussion</x:v>
      </x:c>
      <x:c r="I5" s="125" t="str">
        <x:v>Yes: recheck source conflicts and token pricing</x:v>
      </x:c>
      <x:c r="J5" s="125" t="str">
        <x:v>API access/region/payment restrictions</x:v>
      </x:c>
      <x:c r="K5" s="125" t="str">
        <x:v>Find new low-cost API/service offers</x:v>
      </x:c>
      <x:c r="L5" s="125" t="str">
        <x:v>ACTIVE</x:v>
      </x:c>
      <x:c r="M5" s="125" t="str">
        <x:v>Preserve V4 Pro routing/billing ambiguity.</x:v>
      </x:c>
    </x:row>
    <x:row r="6" ht="54" customHeight="1">
      <x:c r="A6" s="125" t="str">
        <x:v>W05</x:v>
      </x:c>
      <x:c r="B6" s="125" t="str">
        <x:v>Meta</x:v>
      </x:c>
      <x:c r="C6" s="125" t="str">
        <x:v>Muse Code, Muse Wonder, Wonder Full</x:v>
      </x:c>
      <x:c r="D6" s="125" t="str">
        <x:v>Prices, tiers, relative limits, API availability, model changes, privacy/training, regions</x:v>
      </x:c>
      <x:c r="E6" s="125" t="str">
        <x:v>https://dev.meta.ai/docs/muse-code/subscriptions</x:v>
      </x:c>
      <x:c r="F6" s="125" t="str">
        <x:v>https://dev.meta.ai/resources/blog/build-with-muse-wonder</x:v>
      </x:c>
      <x:c r="G6" s="125" t="str">
        <x:v>https://dev.meta.ai/docs/pricing-rate-limits</x:v>
      </x:c>
      <x:c r="H6" s="125" t="str">
        <x:v>Meta AI dev community, Reddit</x:v>
      </x:c>
      <x:c r="I6" s="125" t="str">
        <x:v>Yes: all plan tier/model entitlements</x:v>
      </x:c>
      <x:c r="J6" s="125" t="str">
        <x:v>Contributor toggle, region access</x:v>
      </x:c>
      <x:c r="K6" s="125" t="str">
        <x:v>Discover new Muse subscriptions or API credits</x:v>
      </x:c>
      <x:c r="L6" s="125" t="str">
        <x:v>ACTIVE</x:v>
      </x:c>
      <x:c r="M6" s="125" t="str">
        <x:v>Subscription/API economics are separate.</x:v>
      </x:c>
    </x:row>
    <x:row r="7" ht="54" customHeight="1">
      <x:c r="A7" s="125" t="str">
        <x:v>W06</x:v>
      </x:c>
      <x:c r="B7" s="125" t="str">
        <x:v>Cline</x:v>
      </x:c>
      <x:c r="C7" s="125" t="str">
        <x:v>Cline OSS and ClinePass</x:v>
      </x:c>
      <x:c r="D7" s="125" t="str">
        <x:v>Plan price, included models, API rate limits, promos, supported surfaces, restrictions</x:v>
      </x:c>
      <x:c r="E7" s="125" t="str">
        <x:v>https://cline.bot/pricing</x:v>
      </x:c>
      <x:c r="F7" s="125" t="str">
        <x:v>https://cline.bot/blog/clinepass-best-of-value-for-open-weight-models</x:v>
      </x:c>
      <x:c r="G7" s="125" t="str">
        <x:v>https://cline.bot/models</x:v>
      </x:c>
      <x:c r="H7" s="125" t="str">
        <x:v>Cline GitHub discussions, Reddit, Discord public posts</x:v>
      </x:c>
      <x:c r="I7" s="125" t="str">
        <x:v>Yes: verify current model list and price/promo end</x:v>
      </x:c>
      <x:c r="J7" s="125" t="str">
        <x:v>IDE/CLI/SDK/region/seat terms</x:v>
      </x:c>
      <x:c r="K7" s="125" t="str">
        <x:v>New low-cost bundled inference plans</x:v>
      </x:c>
      <x:c r="L7" s="125" t="str">
        <x:v>ACTIVE</x:v>
      </x:c>
      <x:c r="M7" s="125" t="str">
        <x:v>Cline OSS is free harness with user/provider costs; distinguish ClinePass.</x:v>
      </x:c>
    </x:row>
    <x:row r="8" ht="54" customHeight="1">
      <x:c r="A8" s="125" t="str">
        <x:v>W07</x:v>
      </x:c>
      <x:c r="B8" s="125" t="str">
        <x:v>Command Code</x:v>
      </x:c>
      <x:c r="C8" s="125" t="str">
        <x:v>Go, GOAT, Pro, Max 10x/20x, Provider API, Teams</x:v>
      </x:c>
      <x:c r="D8" s="125" t="str">
        <x:v>Tier prices/credits, processing fees, per-model effective rates, promo starts/ends, API/team access</x:v>
      </x:c>
      <x:c r="E8" s="125" t="str">
        <x:v>https://commandcode.ai/pricing</x:v>
      </x:c>
      <x:c r="F8" s="125" t="str">
        <x:v>https://commandcode.ai/docs/resources/pricing-limits</x:v>
      </x:c>
      <x:c r="G8" s="125" t="str">
        <x:v>https://commandcode.ai/changelog</x:v>
      </x:c>
      <x:c r="H8" s="125" t="str">
        <x:v>Command Code community and Reddit</x:v>
      </x:c>
      <x:c r="I8" s="125" t="str">
        <x:v>Yes: compare direct current pricing page with cached/indexed differences</x:v>
      </x:c>
      <x:c r="J8" s="125" t="str">
        <x:v>Promo model/end dates and account eligibility</x:v>
      </x:c>
      <x:c r="K8" s="125" t="str">
        <x:v>New low-cost per-plan or free-model promotions</x:v>
      </x:c>
      <x:c r="L8" s="125" t="str">
        <x:v>ACTIVE</x:v>
      </x:c>
      <x:c r="M8" s="125" t="str">
        <x:v>Model-specific credits and example request counts are not interchangeable; note page conflicts.</x:v>
      </x:c>
    </x:row>
    <x:row r="9" ht="54" customHeight="1">
      <x:c r="A9" s="125" t="str">
        <x:v>W08</x:v>
      </x:c>
      <x:c r="B9" s="125" t="str">
        <x:v>Cloudflare</x:v>
      </x:c>
      <x:c r="C9" s="125" t="str">
        <x:v>Workers, Pages, R2, Durable Objects, KV, Observability</x:v>
      </x:c>
      <x:c r="D9" s="125" t="str">
        <x:v>Base plan, included requests/CPU, egress, storage, logging, retention, product/feature removal</x:v>
      </x:c>
      <x:c r="E9" s="125" t="str">
        <x:v>https://developers.cloudflare.com/workers/platform/pricing/</x:v>
      </x:c>
      <x:c r="F9" s="125" t="str">
        <x:v>https://developers.cloudflare.com/observability/pricing/</x:v>
      </x:c>
      <x:c r="G9" s="125" t="str">
        <x:v>https://developers.cloudflare.com/observability/logs/datasets/</x:v>
      </x:c>
      <x:c r="H9" s="125" t="str">
        <x:v>Cloudflare community/changelog</x:v>
      </x:c>
      <x:c r="I9" s="125" t="str">
        <x:v>Yes: reprice representative workload and confirm scheduled transitions</x:v>
      </x:c>
      <x:c r="J9" s="125" t="str">
        <x:v>Plan/account-level pools, enterprise contract terms, regions</x:v>
      </x:c>
      <x:c r="K9" s="125" t="str">
        <x:v>Discover new free/low-cost edge or storage offers</x:v>
      </x:c>
      <x:c r="L9" s="125" t="str">
        <x:v>ACTIVE</x:v>
      </x:c>
      <x:c r="M9" s="125" t="str">
        <x:v>Separate compute, storage, logs and bandwidth before comparing.</x:v>
      </x:c>
    </x:row>
    <x:row r="10" ht="54" customHeight="1">
      <x:c r="A10" s="125" t="str">
        <x:v>W09</x:v>
      </x:c>
      <x:c r="B10" s="125" t="str">
        <x:v>Google</x:v>
      </x:c>
      <x:c r="C10" s="125" t="str">
        <x:v>AI Plus/Pro/Ultra and Google One</x:v>
      </x:c>
      <x:c r="D10" s="125" t="str">
        <x:v>Price, storage, Gemini/Antigravity/Jules/Colab quotas, monthly GCP credits, family pools, YouTube benefits</x:v>
      </x:c>
      <x:c r="E10" s="125" t="str">
        <x:v>https://one.google.com/about/google-ai-plans/</x:v>
      </x:c>
      <x:c r="F10" s="125" t="str">
        <x:v>https://support.google.com/googleone/answer/9004015</x:v>
      </x:c>
      <x:c r="G10" s="125" t="str">
        <x:v>https://support.google.com/googleone/answer/14534406?hl=en</x:v>
      </x:c>
      <x:c r="H10" s="125" t="str">
        <x:v>Google AI community, Reddit, support threads</x:v>
      </x:c>
      <x:c r="I10" s="125" t="str">
        <x:v>Yes: every product benefit, tier, and family-sharing rule</x:v>
      </x:c>
      <x:c r="J10" s="125" t="str">
        <x:v>Family pooled vs per-account quotas; plan manager-only benefits; country/YouTube eligibility</x:v>
      </x:c>
      <x:c r="K10" s="125" t="str">
        <x:v>Discover bundle benefits that materially reduce other software or cloud spend</x:v>
      </x:c>
      <x:c r="L10" s="125" t="str">
        <x:v>ACTIVE</x:v>
      </x:c>
      <x:c r="M10" s="125" t="str">
        <x:v>Jules quota family-sharing status remains unconfirmed; do not infer.</x:v>
      </x:c>
    </x:row>
    <x:row r="11" ht="54" customHeight="1">
      <x:c r="A11" s="125" t="str">
        <x:v>W10</x:v>
      </x:c>
      <x:c r="B11" s="125" t="str">
        <x:v>Turso</x:v>
      </x:c>
      <x:c r="C11" s="125" t="str">
        <x:v>Turso Cloud Free, Developer, Scaler, Pro</x:v>
      </x:c>
      <x:c r="D11" s="125" t="str">
        <x:v>Price, DB/storage/read/write/sync quotas, backup/restore, overage and plan availability</x:v>
      </x:c>
      <x:c r="E11" s="125" t="str">
        <x:v>https://turso.tech/pricing</x:v>
      </x:c>
      <x:c r="F11" s="125" t="str">
        <x:v>https://turso.tech/blog/turso-now-includes-unlimited-active-databases-for-everybody</x:v>
      </x:c>
      <x:c r="G11" s="125" t="str">
        <x:v>https://turso.tech/what-is-turso</x:v>
      </x:c>
      <x:c r="H11" s="125" t="str">
        <x:v>Turso community, Reddit</x:v>
      </x:c>
      <x:c r="I11" s="125" t="str">
        <x:v>Yes: verify price toggle and limits</x:v>
      </x:c>
      <x:c r="J11" s="125" t="str">
        <x:v>DB/account/region rules</x:v>
      </x:c>
      <x:c r="K11" s="125" t="str">
        <x:v>New generous database/free tier</x:v>
      </x:c>
      <x:c r="L11" s="125" t="str">
        <x:v>ACTIVE</x:v>
      </x:c>
      <x:c r="M11" s="125" t="str">
        <x:v>Current pricing page contains monthly/yearly selector.</x:v>
      </x:c>
    </x:row>
    <x:row r="12" ht="54" customHeight="1">
      <x:c r="A12" s="125" t="str">
        <x:v>W11</x:v>
      </x:c>
      <x:c r="B12" s="125" t="str">
        <x:v>boat.dev</x:v>
      </x:c>
      <x:c r="C12" s="125" t="str">
        <x:v>boat sandbox compute</x:v>
      </x:c>
      <x:c r="D12" s="125" t="str">
        <x:v>Trial, minimum/monthly spend, VM hours/sizes, concurrency, regions, storage/billing while stopped</x:v>
      </x:c>
      <x:c r="E12" s="125" t="str">
        <x:v>https://docs.boat.dev/pricing</x:v>
      </x:c>
      <x:c r="F12" s="125" t="str">
        <x:v>https://boat.dev/compare</x:v>
      </x:c>
      <x:c r="G12" s="125" t="str">
        <x:v>https://boat.dev/</x:v>
      </x:c>
      <x:c r="H12" s="125" t="str">
        <x:v>Boat community, Hacker News, Reddit</x:v>
      </x:c>
      <x:c r="I12" s="125" t="str">
        <x:v>Yes: validate workload comparison and price</x:v>
      </x:c>
      <x:c r="J12" s="125" t="str">
        <x:v>EU-only regions per current docs; account minimum</x:v>
      </x:c>
      <x:c r="K12" s="125" t="str">
        <x:v>New low-cost agent sandbox service</x:v>
      </x:c>
      <x:c r="L12" s="125" t="str">
        <x:v>ACTIVE</x:v>
      </x:c>
      <x:c r="M12" s="125" t="str">
        <x:v>User wrote boats.dev; keep that domain unresolved separately until identity is proven.</x:v>
      </x:c>
    </x:row>
    <x:row r="13" ht="54" customHeight="1">
      <x:c r="A13" s="125" t="str">
        <x:v>W12</x:v>
      </x:c>
      <x:c r="B13" s="125" t="str">
        <x:v>Fly.io</x:v>
      </x:c>
      <x:c r="C13" s="125" t="str">
        <x:v>Machines, Volumes, Sprites, startups credits</x:v>
      </x:c>
      <x:c r="D13" s="125" t="str">
        <x:v>CPU/RAM, storage, egress, free tier, credits, resource rate changes</x:v>
      </x:c>
      <x:c r="E13" s="125" t="str">
        <x:v>https://fly.io/pricing</x:v>
      </x:c>
      <x:c r="F13" s="125" t="str">
        <x:v>https://fly.io/docs/about/free-trial/</x:v>
      </x:c>
      <x:c r="G13" s="125" t="str">
        <x:v>https://fly.io/startups/</x:v>
      </x:c>
      <x:c r="H13" s="125" t="str">
        <x:v>Fly.io community, Reddit</x:v>
      </x:c>
      <x:c r="I13" s="125" t="str">
        <x:v>Yes: price a representative workload</x:v>
      </x:c>
      <x:c r="J13" s="125" t="str">
        <x:v>Region-based egress; card/billing rules</x:v>
      </x:c>
      <x:c r="K13" s="125" t="str">
        <x:v>Affordable compute/storage/services with good scaling</x:v>
      </x:c>
      <x:c r="L13" s="125" t="str">
        <x:v>ACTIVE</x:v>
      </x:c>
      <x:c r="M13" s="125" t="str">
        <x:v>Current pricing page says no general free tier; verify trial/credits separately.</x:v>
      </x:c>
    </x:row>
    <x:row r="14" ht="54" customHeight="1">
      <x:c r="A14" s="125" t="str">
        <x:v>W13</x:v>
      </x:c>
      <x:c r="B14" s="125" t="str">
        <x:v>GitHub</x:v>
      </x:c>
      <x:c r="C14" s="125" t="str">
        <x:v>Copilot Free/Pro/Pro+/Max/Business/Enterprise, Codespaces, Actions</x:v>
      </x:c>
      <x:c r="D14" s="125" t="str">
        <x:v>Prices, credits/limits, model access, Actions billing, Codespaces free hours/storage, seat/admin restrictions</x:v>
      </x:c>
      <x:c r="E14" s="125" t="str">
        <x:v>https://docs.github.com/en/copilot/get-started/plans</x:v>
      </x:c>
      <x:c r="F14" s="125" t="str">
        <x:v>https://github.com/features/copilot/plans</x:v>
      </x:c>
      <x:c r="G14" s="125" t="str">
        <x:v>https://github.com/features/codespaces</x:v>
      </x:c>
      <x:c r="H14" s="125" t="str">
        <x:v>GitHub community, Reddit, changelog/issues</x:v>
      </x:c>
      <x:c r="I14" s="125" t="str">
        <x:v>Yes: credit burn and all plan limits</x:v>
      </x:c>
      <x:c r="J14" s="125" t="str">
        <x:v>Student/OSS/organization policy, family and seat rules</x:v>
      </x:c>
      <x:c r="K14" s="125" t="str">
        <x:v>Discover changes to free developer benefits and bundling</x:v>
      </x:c>
      <x:c r="L14" s="125" t="str">
        <x:v>ACTIVE</x:v>
      </x:c>
      <x:c r="M14" s="125" t="str">
        <x:v>Copilot credit unit conversion and Actions sharing require independent tracking.</x:v>
      </x:c>
    </x:row>
    <x:row r="15" ht="54" customHeight="1">
      <x:c r="A15" s="125" t="str">
        <x:v>W14</x:v>
      </x:c>
      <x:c r="B15" s="125" t="str">
        <x:v>Backblaze</x:v>
      </x:c>
      <x:c r="C15" s="125" t="str">
        <x:v>B2 Cloud Storage, Overdrive</x:v>
      </x:c>
      <x:c r="D15" s="125" t="str">
        <x:v>Storage, transaction, egress, minimums, free capacity, commitment requirements</x:v>
      </x:c>
      <x:c r="E15" s="125" t="str">
        <x:v>https://www.backblaze.com/cloud-storage/pricing</x:v>
      </x:c>
      <x:c r="F15" s="125" t="str">
        <x:v>https://help.backblaze.com/hc/en-us/articles/217667478-Understanding-B2-Pricing-Structure</x:v>
      </x:c>
      <x:c r="G15" s="125" t="str"/>
      <x:c r="H15" s="125" t="str">
        <x:v>Backblaze community, storage benchmark comparisons</x:v>
      </x:c>
      <x:c r="I15" s="125" t="str">
        <x:v>Yes: compare typical capacity and egress patterns</x:v>
      </x:c>
      <x:c r="J15" s="125" t="str">
        <x:v>Region and commitment terms; Overdrive multi-petabyte commitment</x:v>
      </x:c>
      <x:c r="K15" s="125" t="str">
        <x:v>Find meaningful S3-compatible storage value changes</x:v>
      </x:c>
      <x:c r="L15" s="125" t="str">
        <x:v>ACTIVE</x:v>
      </x:c>
      <x:c r="M15" s="125" t="str">
        <x:v>Keep vendor comparative marketing separate from independently comparable prices.</x:v>
      </x:c>
    </x:row>
    <x:row r="16" ht="54" customHeight="1">
      <x:c r="A16" s="125" t="str">
        <x:v>W15</x:v>
      </x:c>
      <x:c r="B16" s="125" t="str">
        <x:v>Oracle Cloud</x:v>
      </x:c>
      <x:c r="C16" s="125" t="str">
        <x:v>OCI Free Tier / Always Free / trial</x:v>
      </x:c>
      <x:c r="D16" s="125" t="str">
        <x:v>Compute sizes/count, storage, egress, deleted/reclaimed resources, trial credit, account limits</x:v>
      </x:c>
      <x:c r="E16" s="125" t="str">
        <x:v>https://www.oracle.com/cloud/free/</x:v>
      </x:c>
      <x:c r="F16" s="125" t="str">
        <x:v>https://docs.oracle.com/en-us/iaas/Content/FreeTier/freetier_topic-Always_Free_Resources.htm</x:v>
      </x:c>
      <x:c r="G16" s="125" t="str">
        <x:v>https://docs.oracle.com/en-us/iaas/Content/FreeTier/freetier.htm</x:v>
      </x:c>
      <x:c r="H16" s="125" t="str">
        <x:v>OCI forums, Reddit reports on capacity/reclamation</x:v>
      </x:c>
      <x:c r="I16" s="125" t="str">
        <x:v>Yes: verify compute/storage and recent free-user reductions</x:v>
      </x:c>
      <x:c r="J16" s="125" t="str">
        <x:v>Free-only vs trial vs paid account; region capacity</x:v>
      </x:c>
      <x:c r="K16" s="125" t="str">
        <x:v>Watch for free compute/storage/effective limits</x:v>
      </x:c>
      <x:c r="L16" s="125" t="str">
        <x:v>ACTIVE</x:v>
      </x:c>
      <x:c r="M16" s="125" t="str">
        <x:v>Preserve current 2 OCPU/12GB/20GB baseline; do not backfill former value without dated docs.</x:v>
      </x:c>
    </x:row>
    <x:row r="17" ht="54" customHeight="1">
      <x:c r="A17" s="125" t="str">
        <x:v>W16</x:v>
      </x:c>
      <x:c r="B17" s="125" t="str">
        <x:v>AWS</x:v>
      </x:c>
      <x:c r="C17" s="125" t="str">
        <x:v>Free account plan, Free Tier, S3/EC2/egress</x:v>
      </x:c>
      <x:c r="D17" s="125" t="str">
        <x:v>Credits, expiry/account closure, free limits, S3 storage/requests, bandwidth/egress</x:v>
      </x:c>
      <x:c r="E17" s="125" t="str">
        <x:v>https://aws.amazon.com/free/</x:v>
      </x:c>
      <x:c r="F17" s="125" t="str">
        <x:v>https://docs.aws.amazon.com/awsaccountbilling/latest/aboutv2/free-tier-plans.html</x:v>
      </x:c>
      <x:c r="G17" s="125" t="str">
        <x:v>https://aws.amazon.com/s3/pricing/</x:v>
      </x:c>
      <x:c r="H17" s="125" t="str">
        <x:v>AWS builders, Reddit</x:v>
      </x:c>
      <x:c r="I17" s="125" t="str">
        <x:v>Yes: distinguish new-credit plan and existing accounts</x:v>
      </x:c>
      <x:c r="J17" s="125" t="str">
        <x:v>New customer eligibility, free plan closure, service availability</x:v>
      </x:c>
      <x:c r="K17" s="125" t="str">
        <x:v>Discover free-tier changes or low-cost object/compute offers</x:v>
      </x:c>
      <x:c r="L17" s="125" t="str">
        <x:v>ACTIVE</x:v>
      </x:c>
      <x:c r="M17" s="125" t="str">
        <x:v>Free account plan can close after six months/credit depletion; paid plan differs.</x:v>
      </x:c>
    </x:row>
    <x:row r="18" ht="54" customHeight="1">
      <x:c r="A18" s="125" t="str">
        <x:v>W17</x:v>
      </x:c>
      <x:c r="B18" s="125" t="str">
        <x:v>Tailscale</x:v>
      </x:c>
      <x:c r="C18" s="125" t="str">
        <x:v>Personal, Standard and other plans</x:v>
      </x:c>
      <x:c r="D18" s="125" t="str">
        <x:v>Users, devices, tagged resources, ACLs, features, seat price, trial and eligibility</x:v>
      </x:c>
      <x:c r="E18" s="125" t="str">
        <x:v>https://tailscale.com/pricing</x:v>
      </x:c>
      <x:c r="F18" s="125" t="str">
        <x:v>https://tailscale.com/docs/reference/free-plans-discounts</x:v>
      </x:c>
      <x:c r="G18" s="125" t="str">
        <x:v>https://tailscale.com/changelog</x:v>
      </x:c>
      <x:c r="H18" s="125" t="str">
        <x:v>Tailscale community/Reddit</x:v>
      </x:c>
      <x:c r="I18" s="125" t="str">
        <x:v>Yes: test free plan/team limits and product changes</x:v>
      </x:c>
      <x:c r="J18" s="125" t="str">
        <x:v>Personal tailnet vs organization plan rules</x:v>
      </x:c>
      <x:c r="K18" s="125" t="str">
        <x:v>Find meaningful free access/network feature expansions</x:v>
      </x:c>
      <x:c r="L18" s="125" t="str">
        <x:v>ACTIVE</x:v>
      </x:c>
      <x:c r="M18" s="125" t="str">
        <x:v>Personal currently up to 6 users and unlimited user devices.</x:v>
      </x:c>
    </x:row>
    <x:row r="19" ht="54" customHeight="1">
      <x:c r="A19" s="125" t="str">
        <x:v>W18</x:v>
      </x:c>
      <x:c r="B19" s="125" t="str">
        <x:v>Google Cloud</x:v>
      </x:c>
      <x:c r="C19" s="125" t="str">
        <x:v>Google AI Pro/Ultra monthly GCP credits</x:v>
      </x:c>
      <x:c r="D19" s="125" t="str">
        <x:v>Credit amount, redemption, expiration, service scope, quotas</x:v>
      </x:c>
      <x:c r="E19" s="125" t="str">
        <x:v>https://one.google.com/about/google-ai-plans/</x:v>
      </x:c>
      <x:c r="F19" s="125" t="str">
        <x:v>https://developers.google.com/program</x:v>
      </x:c>
      <x:c r="G19" s="125" t="str">
        <x:v>https://cloud.google.com/free</x:v>
      </x:c>
      <x:c r="H19" s="125" t="str">
        <x:v>Cloud developer forums, Reddit</x:v>
      </x:c>
      <x:c r="I19" s="125" t="str">
        <x:v>Yes: verify by plan and family/account</x:v>
      </x:c>
      <x:c r="J19" s="125" t="str">
        <x:v>Credit eligibility and service-specific restrictions</x:v>
      </x:c>
      <x:c r="K19" s="125" t="str">
        <x:v>Find AI bundle credits that change effective GCP spend</x:v>
      </x:c>
      <x:c r="L19" s="125" t="str">
        <x:v>ACTIVE</x:v>
      </x:c>
      <x:c r="M19" s="125" t="str">
        <x:v>Pro $10/month confirmed in plan page; other tier amount requires recheck.</x:v>
      </x:c>
    </x:row>
    <x:row r="20" ht="54" customHeight="1">
      <x:c r="A20" s="125" t="str">
        <x:v>W19</x:v>
      </x:c>
      <x:c r="B20" s="125" t="str">
        <x:v>Discovery</x:v>
      </x:c>
      <x:c r="C20" s="125" t="str">
        <x:v>New developer/AI/cloud plans</x:v>
      </x:c>
      <x:c r="D20" s="125" t="str">
        <x:v>New services with substantial free quotas, low price, generous credits, cheap scale, bundled value, or removed benefits</x:v>
      </x:c>
      <x:c r="E20" s="125" t="str">
        <x:v>Provider pricing/docs required before alert</x:v>
      </x:c>
      <x:c r="F20" s="125" t="str">
        <x:v>Product launch and changelog required</x:v>
      </x:c>
      <x:c r="G20" s="125" t="str">
        <x:v>Terms and limits pages required</x:v>
      </x:c>
      <x:c r="H20" s="125" t="str">
        <x:v>Hacker News, Reddit, provider forums, social; leads only</x:v>
      </x:c>
      <x:c r="I20" s="125" t="str">
        <x:v>Yes: monthly broader market scan; daily targeted headline scan</x:v>
      </x:c>
      <x:c r="J20" s="125" t="str">
        <x:v>Capture geo/account/family/seat/credit restrictions</x:v>
      </x:c>
      <x:c r="K20" s="125" t="str">
        <x:v>Only shortlist material offers with official confirmation and sustainable economics</x:v>
      </x:c>
      <x:c r="L20" s="125" t="str">
        <x:v>ACTIVE</x:v>
      </x:c>
      <x:c r="M20" s="125" t="str">
        <x:v>No alert based on an unverified social post or vendor comparison claim alone.</x:v>
      </x:c>
    </x:row>
    <x:row r="21">
      <x:c r="A21" t="str">
        <x:v>opendesign</x:v>
      </x:c>
      <x:c r="B21" t="str">
        <x:v>OpenDesign</x:v>
      </x:c>
      <x:c r="C21" t="str">
        <x:v>Free/Go/Plus/Pro/Max/Team</x:v>
      </x:c>
      <x:c r="D21" t="str">
        <x:v>Prices, shared model-weighted quotas, credits, API restrictions, promotions, design benefits</x:v>
      </x:c>
      <x:c r="E21" t="str">
        <x:v>https://open-design.ai/pricing/</x:v>
      </x:c>
      <x:c r="F21" t="str">
        <x:v>https://open-design.ai/</x:v>
      </x:c>
      <x:c r="G21" t="str">
        <x:v>https://github.com/nexu-io/open-design</x:v>
      </x:c>
      <x:c r="H21" t="str">
        <x:v>Reddit/socials as labeled leads</x:v>
      </x:c>
      <x:c r="I21" t="str">
        <x:v>First review each month: full verification</x:v>
      </x:c>
      <x:c r="J21" t="str">
        <x:v>Annual upfront, firstmonth, minimum3team seats; API vs app promo eligibility</x:v>
      </x:c>
      <x:c r="K21" t="str">
        <x:v>High-value low-cost subscriptions</x:v>
      </x:c>
      <x:c r="L21" t="str">
        <x:v>ACTIVE</x:v>
      </x:c>
      <x:c r="M21" t="str">
        <x:v>Added2026-10-20; not inferred from similarly named products.</x:v>
      </x:c>
    </x:row>
  </x:sheetData>
  <x:pageMargins left="0.7" right="0.7" top="0.75" bottom="0.75" header="0.3" footer="0.3"/>
  <x:tableParts count="1">
    <x:tablePart xmlns:r="http://schemas.openxmlformats.org/officeDocument/2006/relationships" r:id="R991d0524ab374598"/>
  </x:tableParts>
</x:worksheet>
</file>

<file path=xl/worksheets/sheet4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 min="9" max="9" width="55"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Model / effort</x:v>
      </x:c>
      <x:c r="B1" s="128" t="str">
        <x:v>Effort</x:v>
      </x:c>
      <x:c r="C1" s="128" t="str">
        <x:v>Harness / benchmark</x:v>
      </x:c>
      <x:c r="D1" s="128" t="str">
        <x:v>AA score</x:v>
      </x:c>
      <x:c r="E1" s="128" t="str">
        <x:v>API USD / task</x:v>
      </x:c>
      <x:c r="F1" s="128" t="str">
        <x:v>Minutes / task</x:v>
      </x:c>
      <x:c r="G1" s="128" t="str">
        <x:v>Snapshot date</x:v>
      </x:c>
      <x:c r="H1" s="128" t="str">
        <x:v>Source URL</x:v>
      </x:c>
      <x:c r="I1" s="128" t="str">
        <x:v>Interpretation</x:v>
      </x:c>
      <x:c r="J1" s="128" t="str">
        <x:v>$60 tasks</x:v>
      </x:c>
      <x:c r="K1" s="128" t="str">
        <x:v>$90 tasks</x:v>
      </x:c>
      <x:c r="L1" s="128" t="str">
        <x:v>$120 tasks</x:v>
      </x:c>
      <x:c r="M1" s="128" t="str">
        <x:v>$180 tasks</x:v>
      </x:c>
      <x:c r="N1" s="128" t="str">
        <x:v>160-hour capacity</x:v>
      </x:c>
    </x:row>
    <x:row r="2">
      <x:c r="A2" s="131" t="str">
        <x:v>Muse Wonder Full (max)</x:v>
      </x:c>
      <x:c r="B2" s="131" t="str">
        <x:v>max</x:v>
      </x:c>
      <x:c r="C2" s="131" t="str">
        <x:v>Muse Code</x:v>
      </x:c>
      <x:c r="D2" s="131" t="n">
        <x:v>68</x:v>
      </x:c>
      <x:c r="E2" s="132"/>
      <x:c r="F2" s="132" t="n">
        <x:v>28.8</x:v>
      </x:c>
      <x:c r="G2" s="131" t="str">
        <x:v>2026-10-16</x:v>
      </x:c>
      <x:c r="H2" s="131" t="str">
        <x:v>https://artificialanalysis.ai/agents/coding-agents/comparisons/codex-vs-muse-code</x:v>
      </x:c>
      <x:c r="I2" s="131" t="str">
        <x:v>Subscription-only. AA $0 placeholder is NOT a free API price.</x:v>
      </x:c>
      <x:c r="J2" s="131" t="str">
        <x:f>IF(OR(E2="",E2&lt;=0),"",ROUNDDOWN(60/E2,0))</x:f>
      </x:c>
      <x:c r="K2" s="131" t="str">
        <x:f>IF(OR(E2="",E2&lt;=0),"",ROUNDDOWN(90/E2,0))</x:f>
      </x:c>
      <x:c r="L2" s="131" t="str">
        <x:f>IF(OR(E2="",E2&lt;=0),"",ROUNDDOWN(120/E2,0))</x:f>
      </x:c>
      <x:c r="M2" s="131" t="str">
        <x:f>IF(OR(E2="",E2&lt;=0),"",ROUNDDOWN(180/E2,0))</x:f>
      </x:c>
      <x:c r="N2" s="131" t="n">
        <x:f>IF(OR(F2="",F2&lt;=0),"",ROUNDDOWN(160*60/F2,0))</x:f>
        <x:v>333</x:v>
      </x:c>
    </x:row>
    <x:row r="3">
      <x:c r="A3" s="131" t="str">
        <x:v>Sonnet 5.5 (max)</x:v>
      </x:c>
      <x:c r="B3" s="131" t="str">
        <x:v>max</x:v>
      </x:c>
      <x:c r="C3" s="131" t="str">
        <x:v>Claude Code</x:v>
      </x:c>
      <x:c r="D3" s="131" t="n">
        <x:v>68</x:v>
      </x:c>
      <x:c r="E3" s="132" t="n">
        <x:v>14.19</x:v>
      </x:c>
      <x:c r="F3" s="132" t="n">
        <x:v>90</x:v>
      </x:c>
      <x:c r="G3" s="131" t="str">
        <x:v>2026-10-16</x:v>
      </x:c>
      <x:c r="H3" s="131" t="str">
        <x:v>https://artificialanalysis.ai/agents/coding-agents/comparisons/claude-code-vs-muse-code</x:v>
      </x:c>
      <x:c r="I3" s="131" t="str">
        <x:v>Agent harness result; test execution date is not disclosed. Score components are retained as published. Model and effort name match; Claude Code harness; fallback status is not specified on the CAI table</x:v>
      </x:c>
      <x:c r="J3" s="131" t="n">
        <x:f>IF(OR(E3="",E3&lt;=0),"",ROUNDDOWN(60/E3,0))</x:f>
        <x:v>4</x:v>
      </x:c>
      <x:c r="K3" s="131" t="n">
        <x:f>IF(OR(E3="",E3&lt;=0),"",ROUNDDOWN(90/E3,0))</x:f>
        <x:v>6</x:v>
      </x:c>
      <x:c r="L3" s="131" t="n">
        <x:f>IF(OR(E3="",E3&lt;=0),"",ROUNDDOWN(120/E3,0))</x:f>
        <x:v>8</x:v>
      </x:c>
      <x:c r="M3" s="131" t="n">
        <x:f>IF(OR(E3="",E3&lt;=0),"",ROUNDDOWN(180/E3,0))</x:f>
        <x:v>12</x:v>
      </x:c>
      <x:c r="N3" s="131" t="n">
        <x:f>IF(OR(F3="",F3&lt;=0),"",ROUNDDOWN(160*60/F3,0))</x:f>
        <x:v>106</x:v>
      </x:c>
    </x:row>
    <x:row r="4">
      <x:c r="A4" s="131" t="str">
        <x:v>Opus 5.5 (max)</x:v>
      </x:c>
      <x:c r="B4" s="131" t="str">
        <x:v>max</x:v>
      </x:c>
      <x:c r="C4" s="131" t="str">
        <x:v>Claude Code</x:v>
      </x:c>
      <x:c r="D4" s="131" t="n">
        <x:v>66</x:v>
      </x:c>
      <x:c r="E4" s="132" t="n">
        <x:v>13.04</x:v>
      </x:c>
      <x:c r="F4" s="132" t="n">
        <x:v>66</x:v>
      </x:c>
      <x:c r="G4" s="131" t="str">
        <x:v>2026-10-16</x:v>
      </x:c>
      <x:c r="H4" s="131" t="str">
        <x:v>https://artificialanalysis.ai/agents/coding-agents/comparisons/claude-code-vs-muse-code</x:v>
      </x:c>
      <x:c r="I4" s="131" t="str">
        <x:v>Agent harness result; test execution date is not disclosed. Score components are retained as published. Model and effort name match; Claude Code harness; fallback status is not specified on the CAI table</x:v>
      </x:c>
      <x:c r="J4" s="131" t="n">
        <x:f>IF(OR(E4="",E4&lt;=0),"",ROUNDDOWN(60/E4,0))</x:f>
        <x:v>4</x:v>
      </x:c>
      <x:c r="K4" s="131" t="n">
        <x:f>IF(OR(E4="",E4&lt;=0),"",ROUNDDOWN(90/E4,0))</x:f>
        <x:v>6</x:v>
      </x:c>
      <x:c r="L4" s="131" t="n">
        <x:f>IF(OR(E4="",E4&lt;=0),"",ROUNDDOWN(120/E4,0))</x:f>
        <x:v>9</x:v>
      </x:c>
      <x:c r="M4" s="131" t="n">
        <x:f>IF(OR(E4="",E4&lt;=0),"",ROUNDDOWN(180/E4,0))</x:f>
        <x:v>13</x:v>
      </x:c>
      <x:c r="N4" s="131" t="n">
        <x:f>IF(OR(F4="",F4&lt;=0),"",ROUNDDOWN(160*60/F4,0))</x:f>
        <x:v>145</x:v>
      </x:c>
    </x:row>
    <x:row r="5">
      <x:c r="A5" s="131" t="str">
        <x:v>Gemini 4 Argon</x:v>
      </x:c>
      <x:c r="B5" s="131" t="str">
        <x:v>not stated</x:v>
      </x:c>
      <x:c r="C5" s="131" t="str">
        <x:v>Antigravity CLI</x:v>
      </x:c>
      <x:c r="D5" s="131" t="n">
        <x:v>64</x:v>
      </x:c>
      <x:c r="E5" s="132" t="n">
        <x:v>5.84</x:v>
      </x:c>
      <x:c r="F5" s="132" t="n">
        <x:v>34.5</x:v>
      </x:c>
      <x:c r="G5" s="131" t="str">
        <x:v>2026-10-16</x:v>
      </x:c>
      <x:c r="H5" s="131" t="str">
        <x:v>https://artificialanalysis.ai/agents/coding-agents/comparisons/antigravity-cli-vs-codex</x:v>
      </x:c>
      <x:c r="I5" s="131" t="str">
        <x:v>Agent harness result; test execution date is not disclosed. Score components are retained as published. CAI table does not state an effort level; do not map to AA High</x:v>
      </x:c>
      <x:c r="J5" s="131" t="n">
        <x:f>IF(OR(E5="",E5&lt;=0),"",ROUNDDOWN(60/E5,0))</x:f>
        <x:v>10</x:v>
      </x:c>
      <x:c r="K5" s="131" t="n">
        <x:f>IF(OR(E5="",E5&lt;=0),"",ROUNDDOWN(90/E5,0))</x:f>
        <x:v>15</x:v>
      </x:c>
      <x:c r="L5" s="131" t="n">
        <x:f>IF(OR(E5="",E5&lt;=0),"",ROUNDDOWN(120/E5,0))</x:f>
        <x:v>20</x:v>
      </x:c>
      <x:c r="M5" s="131" t="n">
        <x:f>IF(OR(E5="",E5&lt;=0),"",ROUNDDOWN(180/E5,0))</x:f>
        <x:v>30</x:v>
      </x:c>
      <x:c r="N5" s="131" t="n">
        <x:f>IF(OR(F5="",F5&lt;=0),"",ROUNDDOWN(160*60/F5,0))</x:f>
        <x:v>278</x:v>
      </x:c>
    </x:row>
    <x:row r="6">
      <x:c r="A6" s="131" t="str">
        <x:v>Muse Wonder (max)</x:v>
      </x:c>
      <x:c r="B6" s="131" t="str">
        <x:v>max</x:v>
      </x:c>
      <x:c r="C6" s="131" t="str">
        <x:v>Muse Code</x:v>
      </x:c>
      <x:c r="D6" s="131" t="n">
        <x:v>64</x:v>
      </x:c>
      <x:c r="E6" s="132" t="n">
        <x:v>8.04</x:v>
      </x:c>
      <x:c r="F6" s="132" t="n">
        <x:v>22.4</x:v>
      </x:c>
      <x:c r="G6" s="131" t="str">
        <x:v>2026-10-20</x:v>
      </x:c>
      <x:c r="H6" s="131" t="str">
        <x:v>https://artificialanalysis.ai/agents/coding-agents/comparisons/claude-code-vs-muse-code</x:v>
      </x:c>
      <x:c r="I6" s="131" t="str">
        <x:v>AA Codex-vs-Muse shows 64/$8.04; Claude-vs-Muse shows 63/$8.05. Current-page discrepancy retained.</x:v>
      </x:c>
      <x:c r="J6" s="131" t="n">
        <x:f>IF(OR(E6="",E6&lt;=0),"",ROUNDDOWN(60/E6,0))</x:f>
        <x:v>7</x:v>
      </x:c>
      <x:c r="K6" s="131" t="n">
        <x:f>IF(OR(E6="",E6&lt;=0),"",ROUNDDOWN(90/E6,0))</x:f>
        <x:v>11</x:v>
      </x:c>
      <x:c r="L6" s="131" t="n">
        <x:f>IF(OR(E6="",E6&lt;=0),"",ROUNDDOWN(120/E6,0))</x:f>
        <x:v>14</x:v>
      </x:c>
      <x:c r="M6" s="131" t="n">
        <x:f>IF(OR(E6="",E6&lt;=0),"",ROUNDDOWN(180/E6,0))</x:f>
        <x:v>22</x:v>
      </x:c>
      <x:c r="N6" s="131" t="n">
        <x:f>IF(OR(F6="",F6&lt;=0),"",ROUNDDOWN(160*60/F6,0))</x:f>
        <x:v>428</x:v>
      </x:c>
    </x:row>
    <x:row r="7">
      <x:c r="A7" s="131" t="str">
        <x:v>GPT-6.1 Sol (xhigh)</x:v>
      </x:c>
      <x:c r="B7" s="131" t="str">
        <x:v>xhigh</x:v>
      </x:c>
      <x:c r="C7" s="131" t="str">
        <x:v>Codex</x:v>
      </x:c>
      <x:c r="D7" s="131" t="n">
        <x:v>63</x:v>
      </x:c>
      <x:c r="E7" s="132" t="n">
        <x:v>1.04</x:v>
      </x:c>
      <x:c r="F7" s="132" t="n">
        <x:v>15.5</x:v>
      </x:c>
      <x:c r="G7" s="131" t="str">
        <x:v>2026-10-16</x:v>
      </x:c>
      <x:c r="H7" s="131" t="str">
        <x:v>https://artificialanalysis.ai/agents/coding-agents/comparisons/codex-vs-muse-code</x:v>
      </x:c>
      <x:c r="I7" s="131" t="str">
        <x:v>Agent harness result; test execution date is not disclosed. Score components are retained as published. Model and effort name match; Codex harness; AA source uses direct model evaluation</x:v>
      </x:c>
      <x:c r="J7" s="131" t="n">
        <x:f>IF(OR(E7="",E7&lt;=0),"",ROUNDDOWN(60/E7,0))</x:f>
        <x:v>57</x:v>
      </x:c>
      <x:c r="K7" s="131" t="n">
        <x:f>IF(OR(E7="",E7&lt;=0),"",ROUNDDOWN(90/E7,0))</x:f>
        <x:v>86</x:v>
      </x:c>
      <x:c r="L7" s="131" t="n">
        <x:f>IF(OR(E7="",E7&lt;=0),"",ROUNDDOWN(120/E7,0))</x:f>
        <x:v>115</x:v>
      </x:c>
      <x:c r="M7" s="131" t="n">
        <x:f>IF(OR(E7="",E7&lt;=0),"",ROUNDDOWN(180/E7,0))</x:f>
        <x:v>173</x:v>
      </x:c>
      <x:c r="N7" s="131" t="n">
        <x:f>IF(OR(F7="",F7&lt;=0),"",ROUNDDOWN(160*60/F7,0))</x:f>
        <x:v>619</x:v>
      </x:c>
    </x:row>
    <x:row r="8">
      <x:c r="A8" s="131" t="str">
        <x:v>Sonnet 5.5 (xhigh)</x:v>
      </x:c>
      <x:c r="B8" s="131" t="str">
        <x:v>xhigh</x:v>
      </x:c>
      <x:c r="C8" s="131" t="str">
        <x:v>Claude Code</x:v>
      </x:c>
      <x:c r="D8" s="131" t="n">
        <x:v>63</x:v>
      </x:c>
      <x:c r="E8" s="132" t="n">
        <x:v>3.33</x:v>
      </x:c>
      <x:c r="F8" s="132" t="n">
        <x:v>27</x:v>
      </x:c>
      <x:c r="G8" s="131" t="str">
        <x:v>2026-10-16</x:v>
      </x:c>
      <x:c r="H8" s="131" t="str">
        <x:v>https://artificialanalysis.ai/agents/coding-agents/comparisons/claude-code-vs-muse-code</x:v>
      </x:c>
      <x:c r="I8" s="131" t="str">
        <x:v>Agent harness result; test execution date is not disclosed. Score components are retained as published. Model and effort name match; Claude Code harness; fallback status is not specified on the CAI table</x:v>
      </x:c>
      <x:c r="J8" s="131" t="n">
        <x:f>IF(OR(E8="",E8&lt;=0),"",ROUNDDOWN(60/E8,0))</x:f>
        <x:v>18</x:v>
      </x:c>
      <x:c r="K8" s="131" t="n">
        <x:f>IF(OR(E8="",E8&lt;=0),"",ROUNDDOWN(90/E8,0))</x:f>
        <x:v>27</x:v>
      </x:c>
      <x:c r="L8" s="131" t="n">
        <x:f>IF(OR(E8="",E8&lt;=0),"",ROUNDDOWN(120/E8,0))</x:f>
        <x:v>36</x:v>
      </x:c>
      <x:c r="M8" s="131" t="n">
        <x:f>IF(OR(E8="",E8&lt;=0),"",ROUNDDOWN(180/E8,0))</x:f>
        <x:v>54</x:v>
      </x:c>
      <x:c r="N8" s="131" t="n">
        <x:f>IF(OR(F8="",F8&lt;=0),"",ROUNDDOWN(160*60/F8,0))</x:f>
        <x:v>355</x:v>
      </x:c>
    </x:row>
    <x:row r="9">
      <x:c r="A9" s="131" t="str">
        <x:v>GPT-6 Astra (max)</x:v>
      </x:c>
      <x:c r="B9" s="131" t="str">
        <x:v>max</x:v>
      </x:c>
      <x:c r="C9" s="131" t="str">
        <x:v>Codex</x:v>
      </x:c>
      <x:c r="D9" s="131" t="n">
        <x:v>62</x:v>
      </x:c>
      <x:c r="E9" s="132" t="n">
        <x:v>7.47</x:v>
      </x:c>
      <x:c r="F9" s="132" t="n">
        <x:v>29.4</x:v>
      </x:c>
      <x:c r="G9" s="131" t="str">
        <x:v>2026-10-16</x:v>
      </x:c>
      <x:c r="H9" s="131" t="str">
        <x:v>https://artificialanalysis.ai/agents/coding-agents/comparisons/codex-vs-muse-code</x:v>
      </x:c>
      <x:c r="I9" s="131" t="str">
        <x:v>Agent harness result; test execution date is not disclosed. Score components are retained as published. Model and effort name match; Codex harness; AA source uses direct model evaluation</x:v>
      </x:c>
      <x:c r="J9" s="131" t="n">
        <x:f>IF(OR(E9="",E9&lt;=0),"",ROUNDDOWN(60/E9,0))</x:f>
        <x:v>8</x:v>
      </x:c>
      <x:c r="K9" s="131" t="n">
        <x:f>IF(OR(E9="",E9&lt;=0),"",ROUNDDOWN(90/E9,0))</x:f>
        <x:v>12</x:v>
      </x:c>
      <x:c r="L9" s="131" t="n">
        <x:f>IF(OR(E9="",E9&lt;=0),"",ROUNDDOWN(120/E9,0))</x:f>
        <x:v>16</x:v>
      </x:c>
      <x:c r="M9" s="131" t="n">
        <x:f>IF(OR(E9="",E9&lt;=0),"",ROUNDDOWN(180/E9,0))</x:f>
        <x:v>24</x:v>
      </x:c>
      <x:c r="N9" s="131" t="n">
        <x:f>IF(OR(F9="",F9&lt;=0),"",ROUNDDOWN(160*60/F9,0))</x:f>
        <x:v>326</x:v>
      </x:c>
    </x:row>
    <x:row r="10">
      <x:c r="A10" s="131" t="str">
        <x:v>Fable 5.1 (max) (with fallback)</x:v>
      </x:c>
      <x:c r="B10" s="131" t="str">
        <x:v>max</x:v>
      </x:c>
      <x:c r="C10" s="131" t="str">
        <x:v>Claude Code</x:v>
      </x:c>
      <x:c r="D10" s="131" t="n">
        <x:v>62</x:v>
      </x:c>
      <x:c r="E10" s="132" t="n">
        <x:v>12.39</x:v>
      </x:c>
      <x:c r="F10" s="132" t="n">
        <x:v>34.8</x:v>
      </x:c>
      <x:c r="G10" s="131" t="str">
        <x:v>2026-10-20</x:v>
      </x:c>
      <x:c r="H10" s="131" t="str">
        <x:v>https://artificialanalysis.ai/agents/coding-agents/comparisons/claude-code-vs-muse-code</x:v>
      </x:c>
      <x:c r="I10" s="131" t="str">
        <x:v>Includes fallback; not pure Fable.</x:v>
      </x:c>
      <x:c r="J10" s="131" t="n">
        <x:f>IF(OR(E10="",E10&lt;=0),"",ROUNDDOWN(60/E10,0))</x:f>
        <x:v>4</x:v>
      </x:c>
      <x:c r="K10" s="131" t="n">
        <x:f>IF(OR(E10="",E10&lt;=0),"",ROUNDDOWN(90/E10,0))</x:f>
        <x:v>7</x:v>
      </x:c>
      <x:c r="L10" s="131" t="n">
        <x:f>IF(OR(E10="",E10&lt;=0),"",ROUNDDOWN(120/E10,0))</x:f>
        <x:v>9</x:v>
      </x:c>
      <x:c r="M10" s="131" t="n">
        <x:f>IF(OR(E10="",E10&lt;=0),"",ROUNDDOWN(180/E10,0))</x:f>
        <x:v>14</x:v>
      </x:c>
      <x:c r="N10" s="131" t="n">
        <x:f>IF(OR(F10="",F10&lt;=0),"",ROUNDDOWN(160*60/F10,0))</x:f>
        <x:v>275</x:v>
      </x:c>
    </x:row>
    <x:row r="11">
      <x:c r="A11" s="131" t="str">
        <x:v>GPT-6.1 Sol (medium)</x:v>
      </x:c>
      <x:c r="B11" s="131" t="str">
        <x:v>medium</x:v>
      </x:c>
      <x:c r="C11" s="131" t="str">
        <x:v>Codex</x:v>
      </x:c>
      <x:c r="D11" s="131" t="n">
        <x:v>61</x:v>
      </x:c>
      <x:c r="E11" s="132" t="n">
        <x:v>0.7</x:v>
      </x:c>
      <x:c r="F11" s="132" t="n">
        <x:v>10.9</x:v>
      </x:c>
      <x:c r="G11" s="131" t="str">
        <x:v>2026-10-16</x:v>
      </x:c>
      <x:c r="H11" s="131" t="str">
        <x:v>https://artificialanalysis.ai/agents/coding-agents/comparisons/codex-vs-muse-code</x:v>
      </x:c>
      <x:c r="I11" s="131" t="str">
        <x:v>Agent harness result; test execution date is not disclosed. Score components are retained as published. Model and effort name match; Codex harness; AA source uses direct model evaluation</x:v>
      </x:c>
      <x:c r="J11" s="131" t="n">
        <x:f>IF(OR(E11="",E11&lt;=0),"",ROUNDDOWN(60/E11,0))</x:f>
        <x:v>85</x:v>
      </x:c>
      <x:c r="K11" s="131" t="n">
        <x:f>IF(OR(E11="",E11&lt;=0),"",ROUNDDOWN(90/E11,0))</x:f>
        <x:v>128</x:v>
      </x:c>
      <x:c r="L11" s="131" t="n">
        <x:f>IF(OR(E11="",E11&lt;=0),"",ROUNDDOWN(120/E11,0))</x:f>
        <x:v>171</x:v>
      </x:c>
      <x:c r="M11" s="131" t="n">
        <x:f>IF(OR(E11="",E11&lt;=0),"",ROUNDDOWN(180/E11,0))</x:f>
        <x:v>257</x:v>
      </x:c>
      <x:c r="N11" s="131" t="n">
        <x:f>IF(OR(F11="",F11&lt;=0),"",ROUNDDOWN(160*60/F11,0))</x:f>
        <x:v>880</x:v>
      </x:c>
    </x:row>
    <x:row r="12">
      <x:c r="A12" s="131" t="str">
        <x:v>GPT-6.1 Sol (high)</x:v>
      </x:c>
      <x:c r="B12" s="131" t="str">
        <x:v>high</x:v>
      </x:c>
      <x:c r="C12" s="131" t="str">
        <x:v>Codex</x:v>
      </x:c>
      <x:c r="D12" s="131" t="n">
        <x:v>60</x:v>
      </x:c>
      <x:c r="E12" s="132" t="n">
        <x:v>0.89</x:v>
      </x:c>
      <x:c r="F12" s="132" t="n">
        <x:v>13.3</x:v>
      </x:c>
      <x:c r="G12" s="131" t="str">
        <x:v>2026-10-16</x:v>
      </x:c>
      <x:c r="H12" s="131" t="str">
        <x:v>https://artificialanalysis.ai/agents/coding-agents/comparisons/codex-vs-muse-code</x:v>
      </x:c>
      <x:c r="I12" s="131" t="str">
        <x:v>Agent harness result; test execution date is not disclosed. Score components are retained as published. Model and effort name match; Codex harness; AA source uses direct model evaluation</x:v>
      </x:c>
      <x:c r="J12" s="131" t="n">
        <x:f>IF(OR(E12="",E12&lt;=0),"",ROUNDDOWN(60/E12,0))</x:f>
        <x:v>67</x:v>
      </x:c>
      <x:c r="K12" s="131" t="n">
        <x:f>IF(OR(E12="",E12&lt;=0),"",ROUNDDOWN(90/E12,0))</x:f>
        <x:v>101</x:v>
      </x:c>
      <x:c r="L12" s="131" t="n">
        <x:f>IF(OR(E12="",E12&lt;=0),"",ROUNDDOWN(120/E12,0))</x:f>
        <x:v>134</x:v>
      </x:c>
      <x:c r="M12" s="131" t="n">
        <x:f>IF(OR(E12="",E12&lt;=0),"",ROUNDDOWN(180/E12,0))</x:f>
        <x:v>202</x:v>
      </x:c>
      <x:c r="N12" s="131" t="n">
        <x:f>IF(OR(F12="",F12&lt;=0),"",ROUNDDOWN(160*60/F12,0))</x:f>
        <x:v>721</x:v>
      </x:c>
    </x:row>
    <x:row r="13">
      <x:c r="A13" s="131" t="str">
        <x:v>GPT-6.1 Sol (max)</x:v>
      </x:c>
      <x:c r="B13" s="131" t="str">
        <x:v>max</x:v>
      </x:c>
      <x:c r="C13" s="131" t="str">
        <x:v>Codex</x:v>
      </x:c>
      <x:c r="D13" s="131" t="n">
        <x:v>60</x:v>
      </x:c>
      <x:c r="E13" s="132" t="n">
        <x:v>1.55</x:v>
      </x:c>
      <x:c r="F13" s="132" t="n">
        <x:v>24.4</x:v>
      </x:c>
      <x:c r="G13" s="131" t="str">
        <x:v>2026-10-16</x:v>
      </x:c>
      <x:c r="H13" s="131" t="str">
        <x:v>https://artificialanalysis.ai/agents/coding-agents/comparisons/codex-vs-muse-code</x:v>
      </x:c>
      <x:c r="I13" s="131" t="str">
        <x:v>Agent harness result; test execution date is not disclosed. Score components are retained as published. Model and effort name match; Codex harness; AA source uses direct model evaluation</x:v>
      </x:c>
      <x:c r="J13" s="131" t="n">
        <x:f>IF(OR(E13="",E13&lt;=0),"",ROUNDDOWN(60/E13,0))</x:f>
        <x:v>38</x:v>
      </x:c>
      <x:c r="K13" s="131" t="n">
        <x:f>IF(OR(E13="",E13&lt;=0),"",ROUNDDOWN(90/E13,0))</x:f>
        <x:v>58</x:v>
      </x:c>
      <x:c r="L13" s="131" t="n">
        <x:f>IF(OR(E13="",E13&lt;=0),"",ROUNDDOWN(120/E13,0))</x:f>
        <x:v>77</x:v>
      </x:c>
      <x:c r="M13" s="131" t="n">
        <x:f>IF(OR(E13="",E13&lt;=0),"",ROUNDDOWN(180/E13,0))</x:f>
        <x:v>116</x:v>
      </x:c>
      <x:c r="N13" s="131" t="n">
        <x:f>IF(OR(F13="",F13&lt;=0),"",ROUNDDOWN(160*60/F13,0))</x:f>
        <x:v>393</x:v>
      </x:c>
    </x:row>
    <x:row r="14">
      <x:c r="A14" s="131" t="str">
        <x:v>Opus 5 (max)</x:v>
      </x:c>
      <x:c r="B14" s="131" t="str">
        <x:v>max</x:v>
      </x:c>
      <x:c r="C14" s="131" t="str">
        <x:v>Claude Code</x:v>
      </x:c>
      <x:c r="D14" s="131" t="n">
        <x:v>60</x:v>
      </x:c>
      <x:c r="E14" s="132" t="n">
        <x:v>10.79</x:v>
      </x:c>
      <x:c r="F14" s="132" t="n">
        <x:v>41.9</x:v>
      </x:c>
      <x:c r="G14" s="131" t="str">
        <x:v>2026-10-20</x:v>
      </x:c>
      <x:c r="H14" s="131" t="str">
        <x:v>https://artificialanalysis.ai/agents/coding-agents/comparisons/claude-code-vs-muse-code</x:v>
      </x:c>
      <x:c r="I14" s="131" t="str"/>
      <x:c r="J14" s="131" t="n">
        <x:f>IF(OR(E14="",E14&lt;=0),"",ROUNDDOWN(60/E14,0))</x:f>
        <x:v>5</x:v>
      </x:c>
      <x:c r="K14" s="131" t="n">
        <x:f>IF(OR(E14="",E14&lt;=0),"",ROUNDDOWN(90/E14,0))</x:f>
        <x:v>8</x:v>
      </x:c>
      <x:c r="L14" s="131" t="n">
        <x:f>IF(OR(E14="",E14&lt;=0),"",ROUNDDOWN(120/E14,0))</x:f>
        <x:v>11</x:v>
      </x:c>
      <x:c r="M14" s="131" t="n">
        <x:f>IF(OR(E14="",E14&lt;=0),"",ROUNDDOWN(180/E14,0))</x:f>
        <x:v>16</x:v>
      </x:c>
      <x:c r="N14" s="131" t="n">
        <x:f>IF(OR(F14="",F14&lt;=0),"",ROUNDDOWN(160*60/F14,0))</x:f>
        <x:v>229</x:v>
      </x:c>
    </x:row>
    <x:row r="15">
      <x:c r="A15" s="131" t="str">
        <x:v>GPT-6.1 Sol (low)</x:v>
      </x:c>
      <x:c r="B15" s="131" t="str">
        <x:v>low</x:v>
      </x:c>
      <x:c r="C15" s="131" t="str">
        <x:v>Codex</x:v>
      </x:c>
      <x:c r="D15" s="131" t="n">
        <x:v>57</x:v>
      </x:c>
      <x:c r="E15" s="132" t="n">
        <x:v>0.5</x:v>
      </x:c>
      <x:c r="F15" s="132" t="n">
        <x:v>8.6</x:v>
      </x:c>
      <x:c r="G15" s="131" t="str">
        <x:v>2026-10-16</x:v>
      </x:c>
      <x:c r="H15" s="131" t="str">
        <x:v>https://artificialanalysis.ai/agents/coding-agents/comparisons/codex-vs-muse-code</x:v>
      </x:c>
      <x:c r="I15" s="131" t="str">
        <x:v>Agent harness result; test execution date is not disclosed. Score components are retained as published. Model and effort name match; Codex harness; AA source uses direct model evaluation</x:v>
      </x:c>
      <x:c r="J15" s="131" t="n">
        <x:f>IF(OR(E15="",E15&lt;=0),"",ROUNDDOWN(60/E15,0))</x:f>
        <x:v>120</x:v>
      </x:c>
      <x:c r="K15" s="131" t="n">
        <x:f>IF(OR(E15="",E15&lt;=0),"",ROUNDDOWN(90/E15,0))</x:f>
        <x:v>180</x:v>
      </x:c>
      <x:c r="L15" s="131" t="n">
        <x:f>IF(OR(E15="",E15&lt;=0),"",ROUNDDOWN(120/E15,0))</x:f>
        <x:v>240</x:v>
      </x:c>
      <x:c r="M15" s="131" t="n">
        <x:f>IF(OR(E15="",E15&lt;=0),"",ROUNDDOWN(180/E15,0))</x:f>
        <x:v>360</x:v>
      </x:c>
      <x:c r="N15" s="131" t="n">
        <x:f>IF(OR(F15="",F15&lt;=0),"",ROUNDDOWN(160*60/F15,0))</x:f>
        <x:v>1116</x:v>
      </x:c>
    </x:row>
    <x:row r="16">
      <x:c r="A16" s="131" t="str">
        <x:v>GPT-6 Sol (max)</x:v>
      </x:c>
      <x:c r="B16" s="131" t="str">
        <x:v>max</x:v>
      </x:c>
      <x:c r="C16" s="131" t="str">
        <x:v>Codex</x:v>
      </x:c>
      <x:c r="D16" s="131" t="n">
        <x:v>57</x:v>
      </x:c>
      <x:c r="E16" s="132" t="n">
        <x:v>2.99</x:v>
      </x:c>
      <x:c r="F16" s="132" t="n">
        <x:v>22.3</x:v>
      </x:c>
      <x:c r="G16" s="131" t="str">
        <x:v>2026-10-16</x:v>
      </x:c>
      <x:c r="H16" s="131" t="str">
        <x:v>https://artificialanalysis.ai/agents/coding-agents/comparisons/codex-vs-muse-code</x:v>
      </x:c>
      <x:c r="I16" s="131" t="str">
        <x:v>Agent harness result; test execution date is not disclosed. Score components are retained as published. Model and effort name match; older sibling to GPT-6.1 Sol</x:v>
      </x:c>
      <x:c r="J16" s="131" t="n">
        <x:f>IF(OR(E16="",E16&lt;=0),"",ROUNDDOWN(60/E16,0))</x:f>
        <x:v>20</x:v>
      </x:c>
      <x:c r="K16" s="131" t="n">
        <x:f>IF(OR(E16="",E16&lt;=0),"",ROUNDDOWN(90/E16,0))</x:f>
        <x:v>30</x:v>
      </x:c>
      <x:c r="L16" s="131" t="n">
        <x:f>IF(OR(E16="",E16&lt;=0),"",ROUNDDOWN(120/E16,0))</x:f>
        <x:v>40</x:v>
      </x:c>
      <x:c r="M16" s="131" t="n">
        <x:f>IF(OR(E16="",E16&lt;=0),"",ROUNDDOWN(180/E16,0))</x:f>
        <x:v>60</x:v>
      </x:c>
      <x:c r="N16" s="131" t="n">
        <x:f>IF(OR(F16="",F16&lt;=0),"",ROUNDDOWN(160*60/F16,0))</x:f>
        <x:v>430</x:v>
      </x:c>
    </x:row>
    <x:row r="17">
      <x:c r="A17" s="131" t="str">
        <x:v>Sonnet 5.5 (high)</x:v>
      </x:c>
      <x:c r="B17" s="131" t="str">
        <x:v>high</x:v>
      </x:c>
      <x:c r="C17" s="131" t="str">
        <x:v>Claude Code</x:v>
      </x:c>
      <x:c r="D17" s="131" t="n">
        <x:v>55</x:v>
      </x:c>
      <x:c r="E17" s="132" t="n">
        <x:v>1.24</x:v>
      </x:c>
      <x:c r="F17" s="132" t="n">
        <x:v>12.3</x:v>
      </x:c>
      <x:c r="G17" s="131" t="str">
        <x:v>2026-10-16</x:v>
      </x:c>
      <x:c r="H17" s="131" t="str">
        <x:v>https://artificialanalysis.ai/agents/coding-agents/comparisons/claude-code-vs-muse-code</x:v>
      </x:c>
      <x:c r="I17" s="131" t="str">
        <x:v>Agent harness result; test execution date is not disclosed. Score components are retained as published. Model and effort name match; Claude Code harness; fallback status is not specified on the CAI table</x:v>
      </x:c>
      <x:c r="J17" s="131" t="n">
        <x:f>IF(OR(E17="",E17&lt;=0),"",ROUNDDOWN(60/E17,0))</x:f>
        <x:v>48</x:v>
      </x:c>
      <x:c r="K17" s="131" t="n">
        <x:f>IF(OR(E17="",E17&lt;=0),"",ROUNDDOWN(90/E17,0))</x:f>
        <x:v>72</x:v>
      </x:c>
      <x:c r="L17" s="131" t="n">
        <x:f>IF(OR(E17="",E17&lt;=0),"",ROUNDDOWN(120/E17,0))</x:f>
        <x:v>96</x:v>
      </x:c>
      <x:c r="M17" s="131" t="n">
        <x:f>IF(OR(E17="",E17&lt;=0),"",ROUNDDOWN(180/E17,0))</x:f>
        <x:v>145</x:v>
      </x:c>
      <x:c r="N17" s="131" t="n">
        <x:f>IF(OR(F17="",F17&lt;=0),"",ROUNDDOWN(160*60/F17,0))</x:f>
        <x:v>780</x:v>
      </x:c>
    </x:row>
    <x:row r="18">
      <x:c r="A18" s="131" t="str">
        <x:v>GPT-5.6 Sol (max)</x:v>
      </x:c>
      <x:c r="B18" s="131" t="str">
        <x:v>max</x:v>
      </x:c>
      <x:c r="C18" s="131" t="str">
        <x:v>Codex</x:v>
      </x:c>
      <x:c r="D18" s="131" t="n">
        <x:v>55</x:v>
      </x:c>
      <x:c r="E18" s="132" t="n">
        <x:v>6.35</x:v>
      </x:c>
      <x:c r="F18" s="132" t="n">
        <x:v>20.6</x:v>
      </x:c>
      <x:c r="G18" s="131" t="str">
        <x:v>2026-10-20</x:v>
      </x:c>
      <x:c r="H18" s="131" t="str">
        <x:v>https://artificialanalysis.ai/agents/coding-agents/comparisons/codex-vs-muse-code</x:v>
      </x:c>
      <x:c r="I18" s="131" t="str"/>
      <x:c r="J18" s="131" t="n">
        <x:f>IF(OR(E18="",E18&lt;=0),"",ROUNDDOWN(60/E18,0))</x:f>
        <x:v>9</x:v>
      </x:c>
      <x:c r="K18" s="131" t="n">
        <x:f>IF(OR(E18="",E18&lt;=0),"",ROUNDDOWN(90/E18,0))</x:f>
        <x:v>14</x:v>
      </x:c>
      <x:c r="L18" s="131" t="n">
        <x:f>IF(OR(E18="",E18&lt;=0),"",ROUNDDOWN(120/E18,0))</x:f>
        <x:v>18</x:v>
      </x:c>
      <x:c r="M18" s="131" t="n">
        <x:f>IF(OR(E18="",E18&lt;=0),"",ROUNDDOWN(180/E18,0))</x:f>
        <x:v>28</x:v>
      </x:c>
      <x:c r="N18" s="131" t="n">
        <x:f>IF(OR(F18="",F18&lt;=0),"",ROUNDDOWN(160*60/F18,0))</x:f>
        <x:v>466</x:v>
      </x:c>
    </x:row>
    <x:row r="19">
      <x:c r="A19" s="131" t="str">
        <x:v>Muse Spark 1.3 (max)</x:v>
      </x:c>
      <x:c r="B19" s="131" t="str">
        <x:v>max</x:v>
      </x:c>
      <x:c r="C19" s="131" t="str">
        <x:v>Muse Code</x:v>
      </x:c>
      <x:c r="D19" s="131" t="n">
        <x:v>54</x:v>
      </x:c>
      <x:c r="E19" s="132" t="n">
        <x:v>3.83</x:v>
      </x:c>
      <x:c r="F19" s="132" t="n">
        <x:v>18.4</x:v>
      </x:c>
      <x:c r="G19" s="131" t="str">
        <x:v>2026-10-20</x:v>
      </x:c>
      <x:c r="H19" s="131" t="str">
        <x:v>https://artificialanalysis.ai/agents/coding-agents/comparisons/claude-code-vs-muse-code</x:v>
      </x:c>
      <x:c r="I19" s="131" t="str">
        <x:v>AA pages differ: $3.83/16.1M vs $3.98/16.7M. Uses Codex comparison snapshot.</x:v>
      </x:c>
      <x:c r="J19" s="131" t="n">
        <x:f>IF(OR(E19="",E19&lt;=0),"",ROUNDDOWN(60/E19,0))</x:f>
        <x:v>15</x:v>
      </x:c>
      <x:c r="K19" s="131" t="n">
        <x:f>IF(OR(E19="",E19&lt;=0),"",ROUNDDOWN(90/E19,0))</x:f>
        <x:v>23</x:v>
      </x:c>
      <x:c r="L19" s="131" t="n">
        <x:f>IF(OR(E19="",E19&lt;=0),"",ROUNDDOWN(120/E19,0))</x:f>
        <x:v>31</x:v>
      </x:c>
      <x:c r="M19" s="131" t="n">
        <x:f>IF(OR(E19="",E19&lt;=0),"",ROUNDDOWN(180/E19,0))</x:f>
        <x:v>46</x:v>
      </x:c>
      <x:c r="N19" s="131" t="n">
        <x:f>IF(OR(F19="",F19&lt;=0),"",ROUNDDOWN(160*60/F19,0))</x:f>
        <x:v>521</x:v>
      </x:c>
    </x:row>
    <x:row r="20">
      <x:c r="A20" s="131" t="str">
        <x:v>GLM-5.3</x:v>
      </x:c>
      <x:c r="B20" s="131" t="str">
        <x:v>not stated</x:v>
      </x:c>
      <x:c r="C20" s="131" t="str">
        <x:v>OpenCode</x:v>
      </x:c>
      <x:c r="D20" s="131" t="n">
        <x:v>54</x:v>
      </x:c>
      <x:c r="E20" s="132" t="n">
        <x:v>4.24</x:v>
      </x:c>
      <x:c r="F20" s="132" t="n">
        <x:v>48.1</x:v>
      </x:c>
      <x:c r="G20" s="131" t="str">
        <x:v>2026-10-16</x:v>
      </x:c>
      <x:c r="H20" s="131" t="str">
        <x:v>https://artificialanalysis.ai/agents/coding-agents/comparisons/opencode-vs-muse-code</x:v>
      </x:c>
      <x:c r="I20" s="131" t="str">
        <x:v>Agent harness result; test execution date is not disclosed. Score components are retained as published. CAI table does not state an effort level; do not map to AA low or max</x:v>
      </x:c>
      <x:c r="J20" s="131" t="n">
        <x:f>IF(OR(E20="",E20&lt;=0),"",ROUNDDOWN(60/E20,0))</x:f>
        <x:v>14</x:v>
      </x:c>
      <x:c r="K20" s="131" t="n">
        <x:f>IF(OR(E20="",E20&lt;=0),"",ROUNDDOWN(90/E20,0))</x:f>
        <x:v>21</x:v>
      </x:c>
      <x:c r="L20" s="131" t="n">
        <x:f>IF(OR(E20="",E20&lt;=0),"",ROUNDDOWN(120/E20,0))</x:f>
        <x:v>28</x:v>
      </x:c>
      <x:c r="M20" s="131" t="n">
        <x:f>IF(OR(E20="",E20&lt;=0),"",ROUNDDOWN(180/E20,0))</x:f>
        <x:v>42</x:v>
      </x:c>
      <x:c r="N20" s="131" t="n">
        <x:f>IF(OR(F20="",F20&lt;=0),"",ROUNDDOWN(160*60/F20,0))</x:f>
        <x:v>199</x:v>
      </x:c>
    </x:row>
    <x:row r="21">
      <x:c r="A21" s="131" t="str">
        <x:v>Step 5 Preview</x:v>
      </x:c>
      <x:c r="B21" s="131" t="str"/>
      <x:c r="C21" s="131" t="str">
        <x:v>Claude Code</x:v>
      </x:c>
      <x:c r="D21" s="131" t="n">
        <x:v>51</x:v>
      </x:c>
      <x:c r="E21" s="132" t="n">
        <x:v>1.66</x:v>
      </x:c>
      <x:c r="F21" s="132" t="n">
        <x:v>56.4</x:v>
      </x:c>
      <x:c r="G21" s="131" t="str">
        <x:v>2026-10-20</x:v>
      </x:c>
      <x:c r="H21" s="131" t="str">
        <x:v>https://artificialanalysis.ai/agents/coding-agents/comparisons/claude-code-vs-muse-code</x:v>
      </x:c>
      <x:c r="I21" s="131" t="str"/>
      <x:c r="J21" s="131" t="n">
        <x:f>IF(OR(E21="",E21&lt;=0),"",ROUNDDOWN(60/E21,0))</x:f>
        <x:v>36</x:v>
      </x:c>
      <x:c r="K21" s="131" t="n">
        <x:f>IF(OR(E21="",E21&lt;=0),"",ROUNDDOWN(90/E21,0))</x:f>
        <x:v>54</x:v>
      </x:c>
      <x:c r="L21" s="131" t="n">
        <x:f>IF(OR(E21="",E21&lt;=0),"",ROUNDDOWN(120/E21,0))</x:f>
        <x:v>72</x:v>
      </x:c>
      <x:c r="M21" s="131" t="n">
        <x:f>IF(OR(E21="",E21&lt;=0),"",ROUNDDOWN(180/E21,0))</x:f>
        <x:v>108</x:v>
      </x:c>
      <x:c r="N21" s="131" t="n">
        <x:f>IF(OR(F21="",F21&lt;=0),"",ROUNDDOWN(160*60/F21,0))</x:f>
        <x:v>170</x:v>
      </x:c>
    </x:row>
    <x:row r="22">
      <x:c r="A22" s="131" t="str">
        <x:v>Muse Spark 1.3 (xhigh)</x:v>
      </x:c>
      <x:c r="B22" s="131" t="str">
        <x:v>xhigh</x:v>
      </x:c>
      <x:c r="C22" s="131" t="str">
        <x:v>Muse Code</x:v>
      </x:c>
      <x:c r="D22" s="131" t="n">
        <x:v>48</x:v>
      </x:c>
      <x:c r="E22" s="132" t="n">
        <x:v>3.47</x:v>
      </x:c>
      <x:c r="F22" s="132" t="n">
        <x:v>18.3</x:v>
      </x:c>
      <x:c r="G22" s="131" t="str">
        <x:v>2026-10-20</x:v>
      </x:c>
      <x:c r="H22" s="131" t="str">
        <x:v>https://artificialanalysis.ai/agents/coding-agents/comparisons/claude-code-vs-muse-code</x:v>
      </x:c>
      <x:c r="I22" s="131" t="str"/>
      <x:c r="J22" s="131" t="n">
        <x:f>IF(OR(E22="",E22&lt;=0),"",ROUNDDOWN(60/E22,0))</x:f>
        <x:v>17</x:v>
      </x:c>
      <x:c r="K22" s="131" t="n">
        <x:f>IF(OR(E22="",E22&lt;=0),"",ROUNDDOWN(90/E22,0))</x:f>
        <x:v>25</x:v>
      </x:c>
      <x:c r="L22" s="131" t="n">
        <x:f>IF(OR(E22="",E22&lt;=0),"",ROUNDDOWN(120/E22,0))</x:f>
        <x:v>34</x:v>
      </x:c>
      <x:c r="M22" s="131" t="n">
        <x:f>IF(OR(E22="",E22&lt;=0),"",ROUNDDOWN(180/E22,0))</x:f>
        <x:v>51</x:v>
      </x:c>
      <x:c r="N22" s="131" t="n">
        <x:f>IF(OR(F22="",F22&lt;=0),"",ROUNDDOWN(160*60/F22,0))</x:f>
        <x:v>524</x:v>
      </x:c>
    </x:row>
    <x:row r="23">
      <x:c r="A23" s="131" t="str">
        <x:v>Sonnet 5.5 (medium)</x:v>
      </x:c>
      <x:c r="B23" s="131" t="str">
        <x:v>medium</x:v>
      </x:c>
      <x:c r="C23" s="131" t="str">
        <x:v>Claude Code</x:v>
      </x:c>
      <x:c r="D23" s="131" t="n">
        <x:v>46</x:v>
      </x:c>
      <x:c r="E23" s="132" t="n">
        <x:v>0.62</x:v>
      </x:c>
      <x:c r="F23" s="132" t="n">
        <x:v>8.5</x:v>
      </x:c>
      <x:c r="G23" s="131" t="str">
        <x:v>2026-10-16</x:v>
      </x:c>
      <x:c r="H23" s="131" t="str">
        <x:v>https://artificialanalysis.ai/agents/coding-agents/comparisons/claude-code-vs-muse-code</x:v>
      </x:c>
      <x:c r="I23" s="131" t="str">
        <x:v>Agent harness result; test execution date is not disclosed. Score components are retained as published. Model and effort name match; Claude Code harness; fallback status is not specified on the CAI table</x:v>
      </x:c>
      <x:c r="J23" s="131" t="n">
        <x:f>IF(OR(E23="",E23&lt;=0),"",ROUNDDOWN(60/E23,0))</x:f>
        <x:v>96</x:v>
      </x:c>
      <x:c r="K23" s="131" t="n">
        <x:f>IF(OR(E23="",E23&lt;=0),"",ROUNDDOWN(90/E23,0))</x:f>
        <x:v>145</x:v>
      </x:c>
      <x:c r="L23" s="131" t="n">
        <x:f>IF(OR(E23="",E23&lt;=0),"",ROUNDDOWN(120/E23,0))</x:f>
        <x:v>193</x:v>
      </x:c>
      <x:c r="M23" s="131" t="n">
        <x:f>IF(OR(E23="",E23&lt;=0),"",ROUNDDOWN(180/E23,0))</x:f>
        <x:v>290</x:v>
      </x:c>
      <x:c r="N23" s="131" t="n">
        <x:f>IF(OR(F23="",F23&lt;=0),"",ROUNDDOWN(160*60/F23,0))</x:f>
        <x:v>1129</x:v>
      </x:c>
    </x:row>
    <x:row r="24">
      <x:c r="A24" s="131" t="str">
        <x:v>DeepSeek V4 Pro 0813 (max)</x:v>
      </x:c>
      <x:c r="B24" s="131" t="str">
        <x:v>max</x:v>
      </x:c>
      <x:c r="C24" s="131" t="str">
        <x:v>Codex</x:v>
      </x:c>
      <x:c r="D24" s="131" t="n">
        <x:v>43</x:v>
      </x:c>
      <x:c r="E24" s="132" t="n">
        <x:v>0.24</x:v>
      </x:c>
      <x:c r="F24" s="132" t="n">
        <x:v>40.3</x:v>
      </x:c>
      <x:c r="G24" s="131" t="str">
        <x:v>2026-10-16</x:v>
      </x:c>
      <x:c r="H24" s="131" t="str">
        <x:v>https://artificialanalysis.ai/agents/coding-agents/comparisons/codex-vs-muse-code</x:v>
      </x:c>
      <x:c r="I24" s="131" t="str">
        <x:v>Agent harness result; test execution date is not disclosed. Score components are retained as published. Model and effort name match; Codex harness; AA source uses direct model evaluation Older snapshot; NOT current V4.1-Flash-1017. Peak/off-peak basis not verified; excluded from fresh rate projections.</x:v>
      </x:c>
      <x:c r="J24" s="131" t="n">
        <x:f>IF(OR(E24="",E24&lt;=0),"",ROUNDDOWN(60/E24,0))</x:f>
        <x:v>250</x:v>
      </x:c>
      <x:c r="K24" s="131" t="n">
        <x:f>IF(OR(E24="",E24&lt;=0),"",ROUNDDOWN(90/E24,0))</x:f>
        <x:v>375</x:v>
      </x:c>
      <x:c r="L24" s="131" t="n">
        <x:f>IF(OR(E24="",E24&lt;=0),"",ROUNDDOWN(120/E24,0))</x:f>
        <x:v>500</x:v>
      </x:c>
      <x:c r="M24" s="131" t="n">
        <x:f>IF(OR(E24="",E24&lt;=0),"",ROUNDDOWN(180/E24,0))</x:f>
        <x:v>750</x:v>
      </x:c>
      <x:c r="N24" s="131" t="n">
        <x:f>IF(OR(F24="",F24&lt;=0),"",ROUNDDOWN(160*60/F24,0))</x:f>
        <x:v>238</x:v>
      </x:c>
    </x:row>
    <x:row r="25">
      <x:c r="A25" s="131" t="str">
        <x:v>GPT-5.6 Luna (max)</x:v>
      </x:c>
      <x:c r="B25" s="131" t="str">
        <x:v>max</x:v>
      </x:c>
      <x:c r="C25" s="131" t="str">
        <x:v>Codex</x:v>
      </x:c>
      <x:c r="D25" s="131" t="n">
        <x:v>43</x:v>
      </x:c>
      <x:c r="E25" s="132" t="n">
        <x:v>0.44</x:v>
      </x:c>
      <x:c r="F25" s="132" t="n">
        <x:v>23.5</x:v>
      </x:c>
      <x:c r="G25" s="131" t="str">
        <x:v>2026-10-20</x:v>
      </x:c>
      <x:c r="H25" s="131" t="str">
        <x:v>https://artificialanalysis.ai/agents/coding-agents/comparisons/codex-vs-muse-code</x:v>
      </x:c>
      <x:c r="I25" s="131" t="str"/>
      <x:c r="J25" s="131" t="n">
        <x:f>IF(OR(E25="",E25&lt;=0),"",ROUNDDOWN(60/E25,0))</x:f>
        <x:v>136</x:v>
      </x:c>
      <x:c r="K25" s="131" t="n">
        <x:f>IF(OR(E25="",E25&lt;=0),"",ROUNDDOWN(90/E25,0))</x:f>
        <x:v>204</x:v>
      </x:c>
      <x:c r="L25" s="131" t="n">
        <x:f>IF(OR(E25="",E25&lt;=0),"",ROUNDDOWN(120/E25,0))</x:f>
        <x:v>272</x:v>
      </x:c>
      <x:c r="M25" s="131" t="n">
        <x:f>IF(OR(E25="",E25&lt;=0),"",ROUNDDOWN(180/E25,0))</x:f>
        <x:v>409</x:v>
      </x:c>
      <x:c r="N25" s="131" t="n">
        <x:f>IF(OR(F25="",F25&lt;=0),"",ROUNDDOWN(160*60/F25,0))</x:f>
        <x:v>408</x:v>
      </x:c>
    </x:row>
    <x:row r="26">
      <x:c r="A26" s="131" t="str">
        <x:v>Qwen3.8 Max</x:v>
      </x:c>
      <x:c r="B26" s="131" t="str"/>
      <x:c r="C26" s="131" t="str">
        <x:v>Claude Code</x:v>
      </x:c>
      <x:c r="D26" s="131" t="n">
        <x:v>43</x:v>
      </x:c>
      <x:c r="E26" s="132" t="n">
        <x:v>3.48</x:v>
      </x:c>
      <x:c r="F26" s="132" t="n">
        <x:v>66</x:v>
      </x:c>
      <x:c r="G26" s="131" t="str">
        <x:v>2026-10-20</x:v>
      </x:c>
      <x:c r="H26" s="131" t="str">
        <x:v>https://artificialanalysis.ai/agents/coding-agents/comparisons/claude-code-vs-muse-code</x:v>
      </x:c>
      <x:c r="I26" s="131" t="str"/>
      <x:c r="J26" s="131" t="n">
        <x:f>IF(OR(E26="",E26&lt;=0),"",ROUNDDOWN(60/E26,0))</x:f>
        <x:v>17</x:v>
      </x:c>
      <x:c r="K26" s="131" t="n">
        <x:f>IF(OR(E26="",E26&lt;=0),"",ROUNDDOWN(90/E26,0))</x:f>
        <x:v>25</x:v>
      </x:c>
      <x:c r="L26" s="131" t="n">
        <x:f>IF(OR(E26="",E26&lt;=0),"",ROUNDDOWN(120/E26,0))</x:f>
        <x:v>34</x:v>
      </x:c>
      <x:c r="M26" s="131" t="n">
        <x:f>IF(OR(E26="",E26&lt;=0),"",ROUNDDOWN(180/E26,0))</x:f>
        <x:v>51</x:v>
      </x:c>
      <x:c r="N26" s="131" t="n">
        <x:f>IF(OR(F26="",F26&lt;=0),"",ROUNDDOWN(160*60/F26,0))</x:f>
        <x:v>145</x:v>
      </x:c>
    </x:row>
    <x:row r="27">
      <x:c r="A27" s="131" t="str">
        <x:v>Sonnet 5.5 (low)</x:v>
      </x:c>
      <x:c r="B27" s="131" t="str">
        <x:v>low</x:v>
      </x:c>
      <x:c r="C27" s="131" t="str">
        <x:v>Claude Code</x:v>
      </x:c>
      <x:c r="D27" s="131" t="n">
        <x:v>42</x:v>
      </x:c>
      <x:c r="E27" s="132" t="n">
        <x:v>0.48</x:v>
      </x:c>
      <x:c r="F27" s="132" t="n">
        <x:v>6.3</x:v>
      </x:c>
      <x:c r="G27" s="131" t="str">
        <x:v>2026-10-16</x:v>
      </x:c>
      <x:c r="H27" s="131" t="str">
        <x:v>https://artificialanalysis.ai/agents/coding-agents/comparisons/claude-code-vs-muse-code</x:v>
      </x:c>
      <x:c r="I27" s="131" t="str">
        <x:v>Agent harness result; test execution date is not disclosed. Score components are retained as published. Model and effort name match; Claude Code harness; fallback status is not specified on the CAI table</x:v>
      </x:c>
      <x:c r="J27" s="131" t="n">
        <x:f>IF(OR(E27="",E27&lt;=0),"",ROUNDDOWN(60/E27,0))</x:f>
        <x:v>125</x:v>
      </x:c>
      <x:c r="K27" s="131" t="n">
        <x:f>IF(OR(E27="",E27&lt;=0),"",ROUNDDOWN(90/E27,0))</x:f>
        <x:v>187</x:v>
      </x:c>
      <x:c r="L27" s="131" t="n">
        <x:f>IF(OR(E27="",E27&lt;=0),"",ROUNDDOWN(120/E27,0))</x:f>
        <x:v>250</x:v>
      </x:c>
      <x:c r="M27" s="131" t="n">
        <x:f>IF(OR(E27="",E27&lt;=0),"",ROUNDDOWN(180/E27,0))</x:f>
        <x:v>375</x:v>
      </x:c>
      <x:c r="N27" s="131" t="n">
        <x:f>IF(OR(F27="",F27&lt;=0),"",ROUNDDOWN(160*60/F27,0))</x:f>
        <x:v>1523</x:v>
      </x:c>
    </x:row>
    <x:row r="28">
      <x:c r="A28" s="131" t="str">
        <x:v>Gemini 3.8 Flash (high)</x:v>
      </x:c>
      <x:c r="B28" s="131" t="str">
        <x:v>high</x:v>
      </x:c>
      <x:c r="C28" s="131" t="str">
        <x:v>Antigravity SDK</x:v>
      </x:c>
      <x:c r="D28" s="131" t="n">
        <x:v>42</x:v>
      </x:c>
      <x:c r="E28" s="132" t="n">
        <x:v>2.47</x:v>
      </x:c>
      <x:c r="F28" s="132" t="n">
        <x:v>11.7</x:v>
      </x:c>
      <x:c r="G28" s="131" t="str">
        <x:v>2026-10-17</x:v>
      </x:c>
      <x:c r="H28" s="131" t="str">
        <x:v>https://artificialanalysis.ai/agents/coding-agents/comparisons/antigravity-cli-vs-antigravity-sdk</x:v>
      </x:c>
      <x:c r="I28" s="131" t="str">
        <x:v>CAI v1.5: DeepSWE v1.1 66%; Terminal-Bench 4.0 15%; SWE-Atlas-QnA 45%.</x:v>
      </x:c>
      <x:c r="J28" s="131" t="n">
        <x:f>IF(OR(E28="",E28&lt;=0),"",ROUNDDOWN(60/E28,0))</x:f>
        <x:v>24</x:v>
      </x:c>
      <x:c r="K28" s="131" t="n">
        <x:f>IF(OR(E28="",E28&lt;=0),"",ROUNDDOWN(90/E28,0))</x:f>
        <x:v>36</x:v>
      </x:c>
      <x:c r="L28" s="131" t="n">
        <x:f>IF(OR(E28="",E28&lt;=0),"",ROUNDDOWN(120/E28,0))</x:f>
        <x:v>48</x:v>
      </x:c>
      <x:c r="M28" s="131" t="n">
        <x:f>IF(OR(E28="",E28&lt;=0),"",ROUNDDOWN(180/E28,0))</x:f>
        <x:v>72</x:v>
      </x:c>
      <x:c r="N28" s="131" t="n">
        <x:f>IF(OR(F28="",F28&lt;=0),"",ROUNDDOWN(160*60/F28,0))</x:f>
        <x:v>820</x:v>
      </x:c>
    </x:row>
    <x:row r="29">
      <x:c r="A29" s="131" t="str">
        <x:v>GPT-6 Luna (max)</x:v>
      </x:c>
      <x:c r="B29" s="131" t="str">
        <x:v>max</x:v>
      </x:c>
      <x:c r="C29" s="131" t="str">
        <x:v>Codex</x:v>
      </x:c>
      <x:c r="D29" s="131" t="n">
        <x:v>41</x:v>
      </x:c>
      <x:c r="E29" s="132" t="n">
        <x:v>0.18</x:v>
      </x:c>
      <x:c r="F29" s="132" t="n">
        <x:v>21.4</x:v>
      </x:c>
      <x:c r="G29" s="131" t="str">
        <x:v>2026-10-16</x:v>
      </x:c>
      <x:c r="H29" s="131" t="str">
        <x:v>https://artificialanalysis.ai/agents/coding-agents/comparisons/codex-vs-muse-code</x:v>
      </x:c>
      <x:c r="I29" s="131" t="str">
        <x:v>Agent harness result; test execution date is not disclosed. Score components are retained as published. Model and effort name match; Codex harness; AA source uses direct model evaluation</x:v>
      </x:c>
      <x:c r="J29" s="131" t="n">
        <x:f>IF(OR(E29="",E29&lt;=0),"",ROUNDDOWN(60/E29,0))</x:f>
        <x:v>333</x:v>
      </x:c>
      <x:c r="K29" s="131" t="n">
        <x:f>IF(OR(E29="",E29&lt;=0),"",ROUNDDOWN(90/E29,0))</x:f>
        <x:v>500</x:v>
      </x:c>
      <x:c r="L29" s="131" t="n">
        <x:f>IF(OR(E29="",E29&lt;=0),"",ROUNDDOWN(120/E29,0))</x:f>
        <x:v>666</x:v>
      </x:c>
      <x:c r="M29" s="131" t="n">
        <x:f>IF(OR(E29="",E29&lt;=0),"",ROUNDDOWN(180/E29,0))</x:f>
        <x:v>1000</x:v>
      </x:c>
      <x:c r="N29" s="131" t="n">
        <x:f>IF(OR(F29="",F29&lt;=0),"",ROUNDDOWN(160*60/F29,0))</x:f>
        <x:v>448</x:v>
      </x:c>
    </x:row>
    <x:row r="30">
      <x:c r="A30" s="131" t="str">
        <x:v>Haiku 5.5 (xhigh)</x:v>
      </x:c>
      <x:c r="B30" s="131" t="str">
        <x:v>xhigh</x:v>
      </x:c>
      <x:c r="C30" s="131" t="str">
        <x:v>Claude Code</x:v>
      </x:c>
      <x:c r="D30" s="131" t="n">
        <x:v>41</x:v>
      </x:c>
      <x:c r="E30" s="132" t="n">
        <x:v>0.61</x:v>
      </x:c>
      <x:c r="F30" s="132" t="n">
        <x:v>25.9</x:v>
      </x:c>
      <x:c r="G30" s="131" t="str">
        <x:v>2026-10-16</x:v>
      </x:c>
      <x:c r="H30" s="131" t="str">
        <x:v>https://artificialanalysis.ai/agents/coding-agents/comparisons/claude-code-vs-muse-code</x:v>
      </x:c>
      <x:c r="I30" s="131" t="str">
        <x:v>Agent harness result; test execution date is not disclosed. Score components are retained as published. Model and effort name match; Claude Code harness; fallback status is not specified on the CAI table</x:v>
      </x:c>
      <x:c r="J30" s="131" t="n">
        <x:f>IF(OR(E30="",E30&lt;=0),"",ROUNDDOWN(60/E30,0))</x:f>
        <x:v>98</x:v>
      </x:c>
      <x:c r="K30" s="131" t="n">
        <x:f>IF(OR(E30="",E30&lt;=0),"",ROUNDDOWN(90/E30,0))</x:f>
        <x:v>147</x:v>
      </x:c>
      <x:c r="L30" s="131" t="n">
        <x:f>IF(OR(E30="",E30&lt;=0),"",ROUNDDOWN(120/E30,0))</x:f>
        <x:v>196</x:v>
      </x:c>
      <x:c r="M30" s="131" t="n">
        <x:f>IF(OR(E30="",E30&lt;=0),"",ROUNDDOWN(180/E30,0))</x:f>
        <x:v>295</x:v>
      </x:c>
      <x:c r="N30" s="131" t="n">
        <x:f>IF(OR(F30="",F30&lt;=0),"",ROUNDDOWN(160*60/F30,0))</x:f>
        <x:v>370</x:v>
      </x:c>
    </x:row>
    <x:row r="31">
      <x:c r="A31" s="131" t="str">
        <x:v>Muse Spark Open (xhigh)</x:v>
      </x:c>
      <x:c r="B31" s="131" t="str">
        <x:v>xhigh</x:v>
      </x:c>
      <x:c r="C31" s="131" t="str">
        <x:v>Muse Code</x:v>
      </x:c>
      <x:c r="D31" s="131" t="n">
        <x:v>41</x:v>
      </x:c>
      <x:c r="E31" s="132" t="n">
        <x:v>3.33</x:v>
      </x:c>
      <x:c r="F31" s="132" t="n">
        <x:v>25.2</x:v>
      </x:c>
      <x:c r="G31" s="131" t="str">
        <x:v>2026-10-20</x:v>
      </x:c>
      <x:c r="H31" s="131" t="str">
        <x:v>https://artificialanalysis.ai/agents/coding-agents/comparisons/claude-code-vs-muse-code</x:v>
      </x:c>
      <x:c r="I31" s="131" t="str"/>
      <x:c r="J31" s="131" t="n">
        <x:f>IF(OR(E31="",E31&lt;=0),"",ROUNDDOWN(60/E31,0))</x:f>
        <x:v>18</x:v>
      </x:c>
      <x:c r="K31" s="131" t="n">
        <x:f>IF(OR(E31="",E31&lt;=0),"",ROUNDDOWN(90/E31,0))</x:f>
        <x:v>27</x:v>
      </x:c>
      <x:c r="L31" s="131" t="n">
        <x:f>IF(OR(E31="",E31&lt;=0),"",ROUNDDOWN(120/E31,0))</x:f>
        <x:v>36</x:v>
      </x:c>
      <x:c r="M31" s="131" t="n">
        <x:f>IF(OR(E31="",E31&lt;=0),"",ROUNDDOWN(180/E31,0))</x:f>
        <x:v>54</x:v>
      </x:c>
      <x:c r="N31" s="131" t="n">
        <x:f>IF(OR(F31="",F31&lt;=0),"",ROUNDDOWN(160*60/F31,0))</x:f>
        <x:v>380</x:v>
      </x:c>
    </x:row>
    <x:row r="32">
      <x:c r="A32" s="131" t="str">
        <x:v>DeepSeek V4 Flash 0731 (max)</x:v>
      </x:c>
      <x:c r="B32" s="131" t="str">
        <x:v>max</x:v>
      </x:c>
      <x:c r="C32" s="131" t="str">
        <x:v>Codex</x:v>
      </x:c>
      <x:c r="D32" s="131" t="n">
        <x:v>39</x:v>
      </x:c>
      <x:c r="E32" s="132" t="n">
        <x:v>0.09</x:v>
      </x:c>
      <x:c r="F32" s="132" t="n">
        <x:v>18.3</x:v>
      </x:c>
      <x:c r="G32" s="131" t="str">
        <x:v>2026-10-16</x:v>
      </x:c>
      <x:c r="H32" s="131" t="str">
        <x:v>https://artificialanalysis.ai/agents/coding-agents/comparisons/codex-vs-muse-code</x:v>
      </x:c>
      <x:c r="I32" s="131" t="str">
        <x:v>Agent harness result; test execution date is not disclosed. Score components are retained as published. Older named release; not merged with current workbook DeepSeek V4.1 Flash Older snapshot; NOT current V4.1-Flash-1017. Peak/off-peak basis not verified; excluded from fresh rate projections.</x:v>
      </x:c>
      <x:c r="J32" s="131" t="n">
        <x:f>IF(OR(E32="",E32&lt;=0),"",ROUNDDOWN(60/E32,0))</x:f>
        <x:v>666</x:v>
      </x:c>
      <x:c r="K32" s="131" t="n">
        <x:f>IF(OR(E32="",E32&lt;=0),"",ROUNDDOWN(90/E32,0))</x:f>
        <x:v>1000</x:v>
      </x:c>
      <x:c r="L32" s="131" t="n">
        <x:f>IF(OR(E32="",E32&lt;=0),"",ROUNDDOWN(120/E32,0))</x:f>
        <x:v>1333</x:v>
      </x:c>
      <x:c r="M32" s="131" t="n">
        <x:f>IF(OR(E32="",E32&lt;=0),"",ROUNDDOWN(180/E32,0))</x:f>
        <x:v>2000</x:v>
      </x:c>
      <x:c r="N32" s="131" t="n">
        <x:f>IF(OR(F32="",F32&lt;=0),"",ROUNDDOWN(160*60/F32,0))</x:f>
        <x:v>524</x:v>
      </x:c>
    </x:row>
    <x:row r="33">
      <x:c r="A33" s="131" t="str">
        <x:v>Haiku 5.5 (max)</x:v>
      </x:c>
      <x:c r="B33" s="131" t="str">
        <x:v>max</x:v>
      </x:c>
      <x:c r="C33" s="131" t="str">
        <x:v>Claude Code</x:v>
      </x:c>
      <x:c r="D33" s="131" t="n">
        <x:v>36</x:v>
      </x:c>
      <x:c r="E33" s="132" t="n">
        <x:v>2.58</x:v>
      </x:c>
      <x:c r="F33" s="132" t="n">
        <x:v>90</x:v>
      </x:c>
      <x:c r="G33" s="131" t="str">
        <x:v>2026-10-16</x:v>
      </x:c>
      <x:c r="H33" s="131" t="str">
        <x:v>https://artificialanalysis.ai/agents/coding-agents/comparisons/claude-code-vs-muse-code</x:v>
      </x:c>
      <x:c r="I33" s="131" t="str">
        <x:v>Agent harness result; test execution date is not disclosed. Score components are retained as published. Model and effort name match; Claude Code harness; fallback status is not specified on the CAI table</x:v>
      </x:c>
      <x:c r="J33" s="131" t="n">
        <x:f>IF(OR(E33="",E33&lt;=0),"",ROUNDDOWN(60/E33,0))</x:f>
        <x:v>23</x:v>
      </x:c>
      <x:c r="K33" s="131" t="n">
        <x:f>IF(OR(E33="",E33&lt;=0),"",ROUNDDOWN(90/E33,0))</x:f>
        <x:v>34</x:v>
      </x:c>
      <x:c r="L33" s="131" t="n">
        <x:f>IF(OR(E33="",E33&lt;=0),"",ROUNDDOWN(120/E33,0))</x:f>
        <x:v>46</x:v>
      </x:c>
      <x:c r="M33" s="131" t="n">
        <x:f>IF(OR(E33="",E33&lt;=0),"",ROUNDDOWN(180/E33,0))</x:f>
        <x:v>69</x:v>
      </x:c>
      <x:c r="N33" s="131" t="n">
        <x:f>IF(OR(F33="",F33&lt;=0),"",ROUNDDOWN(160*60/F33,0))</x:f>
        <x:v>106</x:v>
      </x:c>
    </x:row>
    <x:row r="34">
      <x:c r="A34" s="131" t="str">
        <x:v>Haiku 5.5 (high)</x:v>
      </x:c>
      <x:c r="B34" s="131" t="str">
        <x:v>high</x:v>
      </x:c>
      <x:c r="C34" s="131" t="str">
        <x:v>Claude Code</x:v>
      </x:c>
      <x:c r="D34" s="131" t="n">
        <x:v>35</x:v>
      </x:c>
      <x:c r="E34" s="132" t="n">
        <x:v>0.36</x:v>
      </x:c>
      <x:c r="F34" s="132" t="n">
        <x:v>18.4</x:v>
      </x:c>
      <x:c r="G34" s="131" t="str">
        <x:v>2026-10-16</x:v>
      </x:c>
      <x:c r="H34" s="131" t="str">
        <x:v>https://artificialanalysis.ai/agents/coding-agents/comparisons/claude-code-vs-muse-code</x:v>
      </x:c>
      <x:c r="I34" s="131" t="str">
        <x:v>Agent harness result; test execution date is not disclosed. Score components are retained as published. Model and effort name match; Claude Code harness; fallback status is not specified on the CAI table</x:v>
      </x:c>
      <x:c r="J34" s="131" t="n">
        <x:f>IF(OR(E34="",E34&lt;=0),"",ROUNDDOWN(60/E34,0))</x:f>
        <x:v>166</x:v>
      </x:c>
      <x:c r="K34" s="131" t="n">
        <x:f>IF(OR(E34="",E34&lt;=0),"",ROUNDDOWN(90/E34,0))</x:f>
        <x:v>250</x:v>
      </x:c>
      <x:c r="L34" s="131" t="n">
        <x:f>IF(OR(E34="",E34&lt;=0),"",ROUNDDOWN(120/E34,0))</x:f>
        <x:v>333</x:v>
      </x:c>
      <x:c r="M34" s="131" t="n">
        <x:f>IF(OR(E34="",E34&lt;=0),"",ROUNDDOWN(180/E34,0))</x:f>
        <x:v>500</x:v>
      </x:c>
      <x:c r="N34" s="131" t="n">
        <x:f>IF(OR(F34="",F34&lt;=0),"",ROUNDDOWN(160*60/F34,0))</x:f>
        <x:v>521</x:v>
      </x:c>
    </x:row>
    <x:row r="35">
      <x:c r="A35" s="131" t="str">
        <x:v>Haiku 5.5 (medium)</x:v>
      </x:c>
      <x:c r="B35" s="131" t="str">
        <x:v>medium</x:v>
      </x:c>
      <x:c r="C35" s="131" t="str">
        <x:v>Claude Code</x:v>
      </x:c>
      <x:c r="D35" s="131" t="n">
        <x:v>34</x:v>
      </x:c>
      <x:c r="E35" s="132" t="n">
        <x:v>0.23</x:v>
      </x:c>
      <x:c r="F35" s="132" t="n">
        <x:v>14</x:v>
      </x:c>
      <x:c r="G35" s="131" t="str">
        <x:v>2026-10-16</x:v>
      </x:c>
      <x:c r="H35" s="131" t="str">
        <x:v>https://artificialanalysis.ai/agents/coding-agents/comparisons/claude-code-vs-muse-code</x:v>
      </x:c>
      <x:c r="I35" s="131" t="str">
        <x:v>Agent harness result; test execution date is not disclosed. Score components are retained as published. Model and effort name match; Claude Code harness; fallback status is not specified on the CAI table</x:v>
      </x:c>
      <x:c r="J35" s="131" t="n">
        <x:f>IF(OR(E35="",E35&lt;=0),"",ROUNDDOWN(60/E35,0))</x:f>
        <x:v>260</x:v>
      </x:c>
      <x:c r="K35" s="131" t="n">
        <x:f>IF(OR(E35="",E35&lt;=0),"",ROUNDDOWN(90/E35,0))</x:f>
        <x:v>391</x:v>
      </x:c>
      <x:c r="L35" s="131" t="n">
        <x:f>IF(OR(E35="",E35&lt;=0),"",ROUNDDOWN(120/E35,0))</x:f>
        <x:v>521</x:v>
      </x:c>
      <x:c r="M35" s="131" t="n">
        <x:f>IF(OR(E35="",E35&lt;=0),"",ROUNDDOWN(180/E35,0))</x:f>
        <x:v>782</x:v>
      </x:c>
      <x:c r="N35" s="131" t="n">
        <x:f>IF(OR(F35="",F35&lt;=0),"",ROUNDDOWN(160*60/F35,0))</x:f>
        <x:v>685</x:v>
      </x:c>
    </x:row>
    <x:row r="36">
      <x:c r="A36" s="131" t="str">
        <x:v>Haiku 5.5 (low)</x:v>
      </x:c>
      <x:c r="B36" s="131" t="str">
        <x:v>low</x:v>
      </x:c>
      <x:c r="C36" s="131" t="str">
        <x:v>Claude Code</x:v>
      </x:c>
      <x:c r="D36" s="131" t="n">
        <x:v>28</x:v>
      </x:c>
      <x:c r="E36" s="132" t="n">
        <x:v>0.14</x:v>
      </x:c>
      <x:c r="F36" s="132" t="n">
        <x:v>11.6</x:v>
      </x:c>
      <x:c r="G36" s="131" t="str">
        <x:v>2026-10-16</x:v>
      </x:c>
      <x:c r="H36" s="131" t="str">
        <x:v>https://artificialanalysis.ai/agents/coding-agents/comparisons/claude-code-vs-muse-code</x:v>
      </x:c>
      <x:c r="I36" s="131" t="str">
        <x:v>Agent harness result; test execution date is not disclosed. Score components are retained as published. Model and effort name match; Claude Code harness; fallback status is not specified on the CAI table</x:v>
      </x:c>
      <x:c r="J36" s="131" t="n">
        <x:f>IF(OR(E36="",E36&lt;=0),"",ROUNDDOWN(60/E36,0))</x:f>
        <x:v>428</x:v>
      </x:c>
      <x:c r="K36" s="131" t="n">
        <x:f>IF(OR(E36="",E36&lt;=0),"",ROUNDDOWN(90/E36,0))</x:f>
        <x:v>642</x:v>
      </x:c>
      <x:c r="L36" s="131" t="n">
        <x:f>IF(OR(E36="",E36&lt;=0),"",ROUNDDOWN(120/E36,0))</x:f>
        <x:v>857</x:v>
      </x:c>
      <x:c r="M36" s="131" t="n">
        <x:f>IF(OR(E36="",E36&lt;=0),"",ROUNDDOWN(180/E36,0))</x:f>
        <x:v>1285</x:v>
      </x:c>
      <x:c r="N36" s="131" t="n">
        <x:f>IF(OR(F36="",F36&lt;=0),"",ROUNDDOWN(160*60/F36,0))</x:f>
        <x:v>827</x:v>
      </x:c>
    </x:row>
  </x:sheetData>
  <x:pageMargins left="0.7" right="0.7" top="0.75" bottom="0.75" header="0.3" footer="0.3"/>
  <x:tableParts count="1">
    <x:tablePart xmlns:r="http://schemas.openxmlformats.org/officeDocument/2006/relationships" r:id="R18e2f5d507df4d7a"/>
  </x:tableParts>
</x:worksheet>
</file>

<file path=xl/worksheets/sheet4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55" hidden="0" customWidth="1"/>
    <x:col min="9" max="9" width="55"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Model / effort</x:v>
      </x:c>
      <x:c r="B1" s="128" t="str">
        <x:v>Effort</x:v>
      </x:c>
      <x:c r="C1" s="128" t="str">
        <x:v>Harness / benchmark</x:v>
      </x:c>
      <x:c r="D1" s="128" t="str">
        <x:v>AA score</x:v>
      </x:c>
      <x:c r="E1" s="128" t="str">
        <x:v>API USD / task</x:v>
      </x:c>
      <x:c r="F1" s="128" t="str">
        <x:v>Minutes / task</x:v>
      </x:c>
      <x:c r="G1" s="128" t="str">
        <x:v>Snapshot date</x:v>
      </x:c>
      <x:c r="H1" s="128" t="str">
        <x:v>Source URL</x:v>
      </x:c>
      <x:c r="I1" s="128" t="str">
        <x:v>Interpretation</x:v>
      </x:c>
      <x:c r="J1" s="128" t="str">
        <x:v>$60 tasks</x:v>
      </x:c>
      <x:c r="K1" s="128" t="str">
        <x:v>$90 tasks</x:v>
      </x:c>
      <x:c r="L1" s="128" t="str">
        <x:v>$120 tasks</x:v>
      </x:c>
      <x:c r="M1" s="128" t="str">
        <x:v>$180 tasks</x:v>
      </x:c>
      <x:c r="N1" s="128" t="str">
        <x:v>160-hour capacity</x:v>
      </x:c>
    </x:row>
    <x:row r="2">
      <x:c r="A2" s="131" t="str">
        <x:v>gpt-6-luna</x:v>
      </x:c>
      <x:c r="B2" s="131" t="str">
        <x:v>non-reasoning</x:v>
      </x:c>
      <x:c r="C2" s="131" t="str">
        <x:v>AAII v4.3.2</x:v>
      </x:c>
      <x:c r="D2" s="131" t="n">
        <x:v>18</x:v>
      </x:c>
      <x:c r="E2" s="132" t="n">
        <x:v>0.01</x:v>
      </x:c>
      <x:c r="F2" s="132"/>
      <x:c r="G2" s="131" t="str">
        <x:v>2026-10-16</x:v>
      </x:c>
      <x:c r="H2" s="131" t="str">
        <x:v>https://artificialanalysis.ai/models/gpt-6-luna-non-reasoning</x:v>
      </x:c>
      <x:c r="I2" s="131" t="str">
        <x:v>General evaluation task, NOT coding-agent task. Missing current timing stays blank.</x:v>
      </x:c>
      <x:c r="J2" s="131" t="n">
        <x:f>IF(OR(E2="",E2&lt;=0),"",ROUNDDOWN(60/E2,0))</x:f>
        <x:v>6000</x:v>
      </x:c>
      <x:c r="K2" s="131" t="n">
        <x:f>IF(OR(E2="",E2&lt;=0),"",ROUNDDOWN(90/E2,0))</x:f>
        <x:v>9000</x:v>
      </x:c>
      <x:c r="L2" s="131" t="n">
        <x:f>IF(OR(E2="",E2&lt;=0),"",ROUNDDOWN(120/E2,0))</x:f>
        <x:v>12000</x:v>
      </x:c>
      <x:c r="M2" s="131" t="n">
        <x:f>IF(OR(E2="",E2&lt;=0),"",ROUNDDOWN(180/E2,0))</x:f>
        <x:v>18000</x:v>
      </x:c>
      <x:c r="N2" s="131" t="str">
        <x:f>IF(OR(F2="",F2&lt;=0),"",ROUNDDOWN(160*60/F2,0))</x:f>
      </x:c>
    </x:row>
    <x:row r="3">
      <x:c r="A3" s="131" t="str">
        <x:v>gpt-6-luna</x:v>
      </x:c>
      <x:c r="B3" s="131" t="str">
        <x:v>low</x:v>
      </x:c>
      <x:c r="C3" s="131" t="str">
        <x:v>AAII v4.3.2</x:v>
      </x:c>
      <x:c r="D3" s="131" t="n">
        <x:v>22</x:v>
      </x:c>
      <x:c r="E3" s="132" t="n">
        <x:v>0.0045</x:v>
      </x:c>
      <x:c r="F3" s="132"/>
      <x:c r="G3" s="131" t="str">
        <x:v>2026-10-16</x:v>
      </x:c>
      <x:c r="H3" s="131" t="str">
        <x:v>https://artificialanalysis.ai/models/gpt-6-luna-low</x:v>
      </x:c>
      <x:c r="I3" s="131" t="str">
        <x:v>General evaluation task, NOT coding-agent task. Missing current timing stays blank.</x:v>
      </x:c>
      <x:c r="J3" s="131" t="n">
        <x:f>IF(OR(E3="",E3&lt;=0),"",ROUNDDOWN(60/E3,0))</x:f>
        <x:v>13333</x:v>
      </x:c>
      <x:c r="K3" s="131" t="n">
        <x:f>IF(OR(E3="",E3&lt;=0),"",ROUNDDOWN(90/E3,0))</x:f>
        <x:v>20000</x:v>
      </x:c>
      <x:c r="L3" s="131" t="n">
        <x:f>IF(OR(E3="",E3&lt;=0),"",ROUNDDOWN(120/E3,0))</x:f>
        <x:v>26666</x:v>
      </x:c>
      <x:c r="M3" s="131" t="n">
        <x:f>IF(OR(E3="",E3&lt;=0),"",ROUNDDOWN(180/E3,0))</x:f>
        <x:v>40000</x:v>
      </x:c>
      <x:c r="N3" s="131" t="str">
        <x:f>IF(OR(F3="",F3&lt;=0),"",ROUNDDOWN(160*60/F3,0))</x:f>
      </x:c>
    </x:row>
    <x:row r="4">
      <x:c r="A4" s="131" t="str">
        <x:v>gpt-6-luna</x:v>
      </x:c>
      <x:c r="B4" s="131" t="str">
        <x:v>medium</x:v>
      </x:c>
      <x:c r="C4" s="131" t="str">
        <x:v>AAII v4.3.2</x:v>
      </x:c>
      <x:c r="D4" s="131" t="n">
        <x:v>30</x:v>
      </x:c>
      <x:c r="E4" s="132" t="n">
        <x:v>0.02</x:v>
      </x:c>
      <x:c r="F4" s="132"/>
      <x:c r="G4" s="131" t="str">
        <x:v>2026-10-16</x:v>
      </x:c>
      <x:c r="H4" s="131" t="str">
        <x:v>https://artificialanalysis.ai/models/gpt-6-luna-medium</x:v>
      </x:c>
      <x:c r="I4" s="131" t="str">
        <x:v>General evaluation task, NOT coding-agent task. Missing current timing stays blank.</x:v>
      </x:c>
      <x:c r="J4" s="131" t="n">
        <x:f>IF(OR(E4="",E4&lt;=0),"",ROUNDDOWN(60/E4,0))</x:f>
        <x:v>3000</x:v>
      </x:c>
      <x:c r="K4" s="131" t="n">
        <x:f>IF(OR(E4="",E4&lt;=0),"",ROUNDDOWN(90/E4,0))</x:f>
        <x:v>4500</x:v>
      </x:c>
      <x:c r="L4" s="131" t="n">
        <x:f>IF(OR(E4="",E4&lt;=0),"",ROUNDDOWN(120/E4,0))</x:f>
        <x:v>6000</x:v>
      </x:c>
      <x:c r="M4" s="131" t="n">
        <x:f>IF(OR(E4="",E4&lt;=0),"",ROUNDDOWN(180/E4,0))</x:f>
        <x:v>9000</x:v>
      </x:c>
      <x:c r="N4" s="131" t="str">
        <x:f>IF(OR(F4="",F4&lt;=0),"",ROUNDDOWN(160*60/F4,0))</x:f>
      </x:c>
    </x:row>
    <x:row r="5">
      <x:c r="A5" s="131" t="str">
        <x:v>gpt-6-luna</x:v>
      </x:c>
      <x:c r="B5" s="131" t="str">
        <x:v>high</x:v>
      </x:c>
      <x:c r="C5" s="131" t="str">
        <x:v>AAII v4.3.2</x:v>
      </x:c>
      <x:c r="D5" s="131" t="n">
        <x:v>33</x:v>
      </x:c>
      <x:c r="E5" s="132" t="n">
        <x:v>0.03</x:v>
      </x:c>
      <x:c r="F5" s="132"/>
      <x:c r="G5" s="131" t="str">
        <x:v>2026-10-16</x:v>
      </x:c>
      <x:c r="H5" s="131" t="str">
        <x:v>https://artificialanalysis.ai/models/gpt-6-luna-high</x:v>
      </x:c>
      <x:c r="I5" s="131" t="str">
        <x:v>General evaluation task, NOT coding-agent task. Missing current timing stays blank.</x:v>
      </x:c>
      <x:c r="J5" s="131" t="n">
        <x:f>IF(OR(E5="",E5&lt;=0),"",ROUNDDOWN(60/E5,0))</x:f>
        <x:v>2000</x:v>
      </x:c>
      <x:c r="K5" s="131" t="n">
        <x:f>IF(OR(E5="",E5&lt;=0),"",ROUNDDOWN(90/E5,0))</x:f>
        <x:v>3000</x:v>
      </x:c>
      <x:c r="L5" s="131" t="n">
        <x:f>IF(OR(E5="",E5&lt;=0),"",ROUNDDOWN(120/E5,0))</x:f>
        <x:v>4000</x:v>
      </x:c>
      <x:c r="M5" s="131" t="n">
        <x:f>IF(OR(E5="",E5&lt;=0),"",ROUNDDOWN(180/E5,0))</x:f>
        <x:v>6000</x:v>
      </x:c>
      <x:c r="N5" s="131" t="str">
        <x:f>IF(OR(F5="",F5&lt;=0),"",ROUNDDOWN(160*60/F5,0))</x:f>
      </x:c>
    </x:row>
    <x:row r="6">
      <x:c r="A6" s="131" t="str">
        <x:v>gpt-6-luna</x:v>
      </x:c>
      <x:c r="B6" s="131" t="str">
        <x:v>xhigh</x:v>
      </x:c>
      <x:c r="C6" s="131" t="str">
        <x:v>AAII v4.3.2</x:v>
      </x:c>
      <x:c r="D6" s="131" t="n">
        <x:v>35</x:v>
      </x:c>
      <x:c r="E6" s="132" t="n">
        <x:v>0.04</x:v>
      </x:c>
      <x:c r="F6" s="132"/>
      <x:c r="G6" s="131" t="str">
        <x:v>2026-10-16</x:v>
      </x:c>
      <x:c r="H6" s="131" t="str">
        <x:v>https://artificialanalysis.ai/models/gpt-6-luna-xhigh</x:v>
      </x:c>
      <x:c r="I6" s="131" t="str">
        <x:v>General evaluation task, NOT coding-agent task. Missing current timing stays blank.</x:v>
      </x:c>
      <x:c r="J6" s="131" t="n">
        <x:f>IF(OR(E6="",E6&lt;=0),"",ROUNDDOWN(60/E6,0))</x:f>
        <x:v>1500</x:v>
      </x:c>
      <x:c r="K6" s="131" t="n">
        <x:f>IF(OR(E6="",E6&lt;=0),"",ROUNDDOWN(90/E6,0))</x:f>
        <x:v>2250</x:v>
      </x:c>
      <x:c r="L6" s="131" t="n">
        <x:f>IF(OR(E6="",E6&lt;=0),"",ROUNDDOWN(120/E6,0))</x:f>
        <x:v>3000</x:v>
      </x:c>
      <x:c r="M6" s="131" t="n">
        <x:f>IF(OR(E6="",E6&lt;=0),"",ROUNDDOWN(180/E6,0))</x:f>
        <x:v>4500</x:v>
      </x:c>
      <x:c r="N6" s="131" t="str">
        <x:f>IF(OR(F6="",F6&lt;=0),"",ROUNDDOWN(160*60/F6,0))</x:f>
      </x:c>
    </x:row>
    <x:row r="7">
      <x:c r="A7" s="131" t="str">
        <x:v>gpt-6-luna</x:v>
      </x:c>
      <x:c r="B7" s="131" t="str">
        <x:v>max</x:v>
      </x:c>
      <x:c r="C7" s="131" t="str">
        <x:v>AAII v4.3.2</x:v>
      </x:c>
      <x:c r="D7" s="131" t="n">
        <x:v>38</x:v>
      </x:c>
      <x:c r="E7" s="132" t="n">
        <x:v>0.07</x:v>
      </x:c>
      <x:c r="F7" s="132"/>
      <x:c r="G7" s="131" t="str">
        <x:v>2026-10-16</x:v>
      </x:c>
      <x:c r="H7" s="131" t="str">
        <x:v>https://artificialanalysis.ai/models/gpt-6-luna</x:v>
      </x:c>
      <x:c r="I7" s="131" t="str">
        <x:v>General evaluation task, NOT coding-agent task. Missing current timing stays blank.</x:v>
      </x:c>
      <x:c r="J7" s="131" t="n">
        <x:f>IF(OR(E7="",E7&lt;=0),"",ROUNDDOWN(60/E7,0))</x:f>
        <x:v>857</x:v>
      </x:c>
      <x:c r="K7" s="131" t="n">
        <x:f>IF(OR(E7="",E7&lt;=0),"",ROUNDDOWN(90/E7,0))</x:f>
        <x:v>1285</x:v>
      </x:c>
      <x:c r="L7" s="131" t="n">
        <x:f>IF(OR(E7="",E7&lt;=0),"",ROUNDDOWN(120/E7,0))</x:f>
        <x:v>1714</x:v>
      </x:c>
      <x:c r="M7" s="131" t="n">
        <x:f>IF(OR(E7="",E7&lt;=0),"",ROUNDDOWN(180/E7,0))</x:f>
        <x:v>2571</x:v>
      </x:c>
      <x:c r="N7" s="131" t="str">
        <x:f>IF(OR(F7="",F7&lt;=0),"",ROUNDDOWN(160*60/F7,0))</x:f>
      </x:c>
    </x:row>
    <x:row r="8">
      <x:c r="A8" s="131" t="str">
        <x:v>gpt-6-sol</x:v>
      </x:c>
      <x:c r="B8" s="131" t="str">
        <x:v>non-reasoning</x:v>
      </x:c>
      <x:c r="C8" s="131" t="str">
        <x:v>AAII v4.3.2</x:v>
      </x:c>
      <x:c r="D8" s="131" t="n">
        <x:v>28</x:v>
      </x:c>
      <x:c r="E8" s="132" t="n">
        <x:v>0.33</x:v>
      </x:c>
      <x:c r="F8" s="132" t="n">
        <x:v>1.0315</x:v>
      </x:c>
      <x:c r="G8" s="131" t="str">
        <x:v>2026-09-28</x:v>
      </x:c>
      <x:c r="H8" s="131" t="str">
        <x:v>https://artificialanalysis.ai/models/releases/comparisons/gpt-6-luna-vs-gpt-6-sol</x:v>
      </x:c>
      <x:c r="I8" s="131" t="str">
        <x:v>General evaluation task, NOT coding-agent task. Missing current timing stays blank.</x:v>
      </x:c>
      <x:c r="J8" s="131" t="n">
        <x:f>IF(OR(E8="",E8&lt;=0),"",ROUNDDOWN(60/E8,0))</x:f>
        <x:v>181</x:v>
      </x:c>
      <x:c r="K8" s="131" t="n">
        <x:f>IF(OR(E8="",E8&lt;=0),"",ROUNDDOWN(90/E8,0))</x:f>
        <x:v>272</x:v>
      </x:c>
      <x:c r="L8" s="131" t="n">
        <x:f>IF(OR(E8="",E8&lt;=0),"",ROUNDDOWN(120/E8,0))</x:f>
        <x:v>363</x:v>
      </x:c>
      <x:c r="M8" s="131" t="n">
        <x:f>IF(OR(E8="",E8&lt;=0),"",ROUNDDOWN(180/E8,0))</x:f>
        <x:v>545</x:v>
      </x:c>
      <x:c r="N8" s="131" t="n">
        <x:f>IF(OR(F8="",F8&lt;=0),"",ROUNDDOWN(160*60/F8,0))</x:f>
        <x:v>9306</x:v>
      </x:c>
    </x:row>
    <x:row r="9">
      <x:c r="A9" s="131" t="str">
        <x:v>gpt-6-sol</x:v>
      </x:c>
      <x:c r="B9" s="131" t="str">
        <x:v>low</x:v>
      </x:c>
      <x:c r="C9" s="131" t="str">
        <x:v>AAII v4.3.2</x:v>
      </x:c>
      <x:c r="D9" s="131" t="n">
        <x:v>34</x:v>
      </x:c>
      <x:c r="E9" s="132" t="n">
        <x:v>0.13</x:v>
      </x:c>
      <x:c r="F9" s="132" t="n">
        <x:v>0.6845</x:v>
      </x:c>
      <x:c r="G9" s="131" t="str">
        <x:v>2026-09-28</x:v>
      </x:c>
      <x:c r="H9" s="131" t="str">
        <x:v>https://artificialanalysis.ai/models/releases/comparisons/gpt-6-luna-vs-gpt-6-sol</x:v>
      </x:c>
      <x:c r="I9" s="131" t="str">
        <x:v>General evaluation task, NOT coding-agent task. Missing current timing stays blank.</x:v>
      </x:c>
      <x:c r="J9" s="131" t="n">
        <x:f>IF(OR(E9="",E9&lt;=0),"",ROUNDDOWN(60/E9,0))</x:f>
        <x:v>461</x:v>
      </x:c>
      <x:c r="K9" s="131" t="n">
        <x:f>IF(OR(E9="",E9&lt;=0),"",ROUNDDOWN(90/E9,0))</x:f>
        <x:v>692</x:v>
      </x:c>
      <x:c r="L9" s="131" t="n">
        <x:f>IF(OR(E9="",E9&lt;=0),"",ROUNDDOWN(120/E9,0))</x:f>
        <x:v>923</x:v>
      </x:c>
      <x:c r="M9" s="131" t="n">
        <x:f>IF(OR(E9="",E9&lt;=0),"",ROUNDDOWN(180/E9,0))</x:f>
        <x:v>1384</x:v>
      </x:c>
      <x:c r="N9" s="131" t="n">
        <x:f>IF(OR(F9="",F9&lt;=0),"",ROUNDDOWN(160*60/F9,0))</x:f>
        <x:v>14024</x:v>
      </x:c>
    </x:row>
    <x:row r="10">
      <x:c r="A10" s="131" t="str">
        <x:v>gpt-6-sol</x:v>
      </x:c>
      <x:c r="B10" s="131" t="str">
        <x:v>medium</x:v>
      </x:c>
      <x:c r="C10" s="131" t="str">
        <x:v>AAII v4.3.2</x:v>
      </x:c>
      <x:c r="D10" s="131" t="n">
        <x:v>40</x:v>
      </x:c>
      <x:c r="E10" s="132" t="n">
        <x:v>0.25</x:v>
      </x:c>
      <x:c r="F10" s="132"/>
      <x:c r="G10" s="131" t="str">
        <x:v>2026-09-28</x:v>
      </x:c>
      <x:c r="H10" s="131" t="str">
        <x:v>https://artificialanalysis.ai/models/releases/comparisons/gpt-6-luna-vs-gpt-6-sol</x:v>
      </x:c>
      <x:c r="I10" s="131" t="str">
        <x:v>General evaluation task, NOT coding-agent task. Missing current timing stays blank.</x:v>
      </x:c>
      <x:c r="J10" s="131" t="n">
        <x:f>IF(OR(E10="",E10&lt;=0),"",ROUNDDOWN(60/E10,0))</x:f>
        <x:v>240</x:v>
      </x:c>
      <x:c r="K10" s="131" t="n">
        <x:f>IF(OR(E10="",E10&lt;=0),"",ROUNDDOWN(90/E10,0))</x:f>
        <x:v>360</x:v>
      </x:c>
      <x:c r="L10" s="131" t="n">
        <x:f>IF(OR(E10="",E10&lt;=0),"",ROUNDDOWN(120/E10,0))</x:f>
        <x:v>480</x:v>
      </x:c>
      <x:c r="M10" s="131" t="n">
        <x:f>IF(OR(E10="",E10&lt;=0),"",ROUNDDOWN(180/E10,0))</x:f>
        <x:v>720</x:v>
      </x:c>
      <x:c r="N10" s="131" t="str">
        <x:f>IF(OR(F10="",F10&lt;=0),"",ROUNDDOWN(160*60/F10,0))</x:f>
      </x:c>
    </x:row>
    <x:row r="11">
      <x:c r="A11" s="131" t="str">
        <x:v>gpt-6-sol</x:v>
      </x:c>
      <x:c r="B11" s="131" t="str">
        <x:v>high</x:v>
      </x:c>
      <x:c r="C11" s="131" t="str">
        <x:v>AAII v4.3.2</x:v>
      </x:c>
      <x:c r="D11" s="131" t="n">
        <x:v>43</x:v>
      </x:c>
      <x:c r="E11" s="132" t="n">
        <x:v>0.37</x:v>
      </x:c>
      <x:c r="F11" s="132" t="n">
        <x:v>2.1011666666666664</x:v>
      </x:c>
      <x:c r="G11" s="131" t="str">
        <x:v>2026-09-28</x:v>
      </x:c>
      <x:c r="H11" s="131" t="str">
        <x:v>https://artificialanalysis.ai/models/releases/comparisons/gpt-6-luna-vs-gpt-6-sol</x:v>
      </x:c>
      <x:c r="I11" s="131" t="str">
        <x:v>General evaluation task, NOT coding-agent task. Missing current timing stays blank.</x:v>
      </x:c>
      <x:c r="J11" s="131" t="n">
        <x:f>IF(OR(E11="",E11&lt;=0),"",ROUNDDOWN(60/E11,0))</x:f>
        <x:v>162</x:v>
      </x:c>
      <x:c r="K11" s="131" t="n">
        <x:f>IF(OR(E11="",E11&lt;=0),"",ROUNDDOWN(90/E11,0))</x:f>
        <x:v>243</x:v>
      </x:c>
      <x:c r="L11" s="131" t="n">
        <x:f>IF(OR(E11="",E11&lt;=0),"",ROUNDDOWN(120/E11,0))</x:f>
        <x:v>324</x:v>
      </x:c>
      <x:c r="M11" s="131" t="n">
        <x:f>IF(OR(E11="",E11&lt;=0),"",ROUNDDOWN(180/E11,0))</x:f>
        <x:v>486</x:v>
      </x:c>
      <x:c r="N11" s="131" t="n">
        <x:f>IF(OR(F11="",F11&lt;=0),"",ROUNDDOWN(160*60/F11,0))</x:f>
        <x:v>4568</x:v>
      </x:c>
    </x:row>
    <x:row r="12">
      <x:c r="A12" s="131" t="str">
        <x:v>gpt-6-sol</x:v>
      </x:c>
      <x:c r="B12" s="131" t="str">
        <x:v>xhigh</x:v>
      </x:c>
      <x:c r="C12" s="131" t="str">
        <x:v>AAII v4.3.2</x:v>
      </x:c>
      <x:c r="D12" s="131" t="n">
        <x:v>44</x:v>
      </x:c>
      <x:c r="E12" s="132" t="n">
        <x:v>0.53</x:v>
      </x:c>
      <x:c r="F12" s="132" t="n">
        <x:v>3.318833333333333</x:v>
      </x:c>
      <x:c r="G12" s="131" t="str">
        <x:v>2026-09-28</x:v>
      </x:c>
      <x:c r="H12" s="131" t="str">
        <x:v>https://artificialanalysis.ai/models/releases/comparisons/gpt-6-luna-vs-gpt-6-sol</x:v>
      </x:c>
      <x:c r="I12" s="131" t="str">
        <x:v>General evaluation task, NOT coding-agent task. Missing current timing stays blank.</x:v>
      </x:c>
      <x:c r="J12" s="131" t="n">
        <x:f>IF(OR(E12="",E12&lt;=0),"",ROUNDDOWN(60/E12,0))</x:f>
        <x:v>113</x:v>
      </x:c>
      <x:c r="K12" s="131" t="n">
        <x:f>IF(OR(E12="",E12&lt;=0),"",ROUNDDOWN(90/E12,0))</x:f>
        <x:v>169</x:v>
      </x:c>
      <x:c r="L12" s="131" t="n">
        <x:f>IF(OR(E12="",E12&lt;=0),"",ROUNDDOWN(120/E12,0))</x:f>
        <x:v>226</x:v>
      </x:c>
      <x:c r="M12" s="131" t="n">
        <x:f>IF(OR(E12="",E12&lt;=0),"",ROUNDDOWN(180/E12,0))</x:f>
        <x:v>339</x:v>
      </x:c>
      <x:c r="N12" s="131" t="n">
        <x:f>IF(OR(F12="",F12&lt;=0),"",ROUNDDOWN(160*60/F12,0))</x:f>
        <x:v>2892</x:v>
      </x:c>
    </x:row>
    <x:row r="13">
      <x:c r="A13" s="131" t="str">
        <x:v>gpt-6-sol</x:v>
      </x:c>
      <x:c r="B13" s="131" t="str">
        <x:v>max</x:v>
      </x:c>
      <x:c r="C13" s="131" t="str">
        <x:v>AAII v4.3.2</x:v>
      </x:c>
      <x:c r="D13" s="131" t="n">
        <x:v>48</x:v>
      </x:c>
      <x:c r="E13" s="132" t="n">
        <x:v>1.04</x:v>
      </x:c>
      <x:c r="F13" s="132" t="n">
        <x:v>4.896833333333333</x:v>
      </x:c>
      <x:c r="G13" s="131" t="str">
        <x:v>2026-10-16</x:v>
      </x:c>
      <x:c r="H13" s="131" t="str">
        <x:v>https://artificialanalysis.ai/models/comparisons/gpt-6-sol-low-vs-gpt-6-sol</x:v>
      </x:c>
      <x:c r="I13" s="131" t="str">
        <x:v>General evaluation task, NOT coding-agent task. Missing current timing stays blank.</x:v>
      </x:c>
      <x:c r="J13" s="131" t="n">
        <x:f>IF(OR(E13="",E13&lt;=0),"",ROUNDDOWN(60/E13,0))</x:f>
        <x:v>57</x:v>
      </x:c>
      <x:c r="K13" s="131" t="n">
        <x:f>IF(OR(E13="",E13&lt;=0),"",ROUNDDOWN(90/E13,0))</x:f>
        <x:v>86</x:v>
      </x:c>
      <x:c r="L13" s="131" t="n">
        <x:f>IF(OR(E13="",E13&lt;=0),"",ROUNDDOWN(120/E13,0))</x:f>
        <x:v>115</x:v>
      </x:c>
      <x:c r="M13" s="131" t="n">
        <x:f>IF(OR(E13="",E13&lt;=0),"",ROUNDDOWN(180/E13,0))</x:f>
        <x:v>173</x:v>
      </x:c>
      <x:c r="N13" s="131" t="n">
        <x:f>IF(OR(F13="",F13&lt;=0),"",ROUNDDOWN(160*60/F13,0))</x:f>
        <x:v>1960</x:v>
      </x:c>
    </x:row>
    <x:row r="14">
      <x:c r="A14" s="131" t="str">
        <x:v>gpt-6-astra</x:v>
      </x:c>
      <x:c r="B14" s="131" t="str">
        <x:v>low</x:v>
      </x:c>
      <x:c r="C14" s="131" t="str">
        <x:v>AAII v4.3.2</x:v>
      </x:c>
      <x:c r="D14" s="131" t="n">
        <x:v>46</x:v>
      </x:c>
      <x:c r="E14" s="132" t="n">
        <x:v>0.82</x:v>
      </x:c>
      <x:c r="F14" s="132"/>
      <x:c r="G14" s="131" t="str">
        <x:v>2026-10-16</x:v>
      </x:c>
      <x:c r="H14" s="131" t="str">
        <x:v>https://artificialanalysis.ai/models/gpt-6-astra-low</x:v>
      </x:c>
      <x:c r="I14" s="131" t="str">
        <x:v>General evaluation task, NOT coding-agent task. Missing current timing stays blank.</x:v>
      </x:c>
      <x:c r="J14" s="131" t="n">
        <x:f>IF(OR(E14="",E14&lt;=0),"",ROUNDDOWN(60/E14,0))</x:f>
        <x:v>73</x:v>
      </x:c>
      <x:c r="K14" s="131" t="n">
        <x:f>IF(OR(E14="",E14&lt;=0),"",ROUNDDOWN(90/E14,0))</x:f>
        <x:v>109</x:v>
      </x:c>
      <x:c r="L14" s="131" t="n">
        <x:f>IF(OR(E14="",E14&lt;=0),"",ROUNDDOWN(120/E14,0))</x:f>
        <x:v>146</x:v>
      </x:c>
      <x:c r="M14" s="131" t="n">
        <x:f>IF(OR(E14="",E14&lt;=0),"",ROUNDDOWN(180/E14,0))</x:f>
        <x:v>219</x:v>
      </x:c>
      <x:c r="N14" s="131" t="str">
        <x:f>IF(OR(F14="",F14&lt;=0),"",ROUNDDOWN(160*60/F14,0))</x:f>
      </x:c>
    </x:row>
    <x:row r="15">
      <x:c r="A15" s="131" t="str">
        <x:v>gpt-6-astra</x:v>
      </x:c>
      <x:c r="B15" s="131" t="str">
        <x:v>medium</x:v>
      </x:c>
      <x:c r="C15" s="131" t="str">
        <x:v>AAII v4.3.2</x:v>
      </x:c>
      <x:c r="D15" s="131" t="n">
        <x:v>50</x:v>
      </x:c>
      <x:c r="E15" s="132" t="n">
        <x:v>1.54</x:v>
      </x:c>
      <x:c r="F15" s="132"/>
      <x:c r="G15" s="131" t="str">
        <x:v>2026-10-16</x:v>
      </x:c>
      <x:c r="H15" s="131" t="str">
        <x:v>https://artificialanalysis.ai/models/gpt-6-astra-medium</x:v>
      </x:c>
      <x:c r="I15" s="131" t="str">
        <x:v>General evaluation task, NOT coding-agent task. Missing current timing stays blank.</x:v>
      </x:c>
      <x:c r="J15" s="131" t="n">
        <x:f>IF(OR(E15="",E15&lt;=0),"",ROUNDDOWN(60/E15,0))</x:f>
        <x:v>38</x:v>
      </x:c>
      <x:c r="K15" s="131" t="n">
        <x:f>IF(OR(E15="",E15&lt;=0),"",ROUNDDOWN(90/E15,0))</x:f>
        <x:v>58</x:v>
      </x:c>
      <x:c r="L15" s="131" t="n">
        <x:f>IF(OR(E15="",E15&lt;=0),"",ROUNDDOWN(120/E15,0))</x:f>
        <x:v>77</x:v>
      </x:c>
      <x:c r="M15" s="131" t="n">
        <x:f>IF(OR(E15="",E15&lt;=0),"",ROUNDDOWN(180/E15,0))</x:f>
        <x:v>116</x:v>
      </x:c>
      <x:c r="N15" s="131" t="str">
        <x:f>IF(OR(F15="",F15&lt;=0),"",ROUNDDOWN(160*60/F15,0))</x:f>
      </x:c>
    </x:row>
    <x:row r="16">
      <x:c r="A16" s="131" t="str">
        <x:v>gpt-6-astra</x:v>
      </x:c>
      <x:c r="B16" s="131" t="str">
        <x:v>high</x:v>
      </x:c>
      <x:c r="C16" s="131" t="str">
        <x:v>AAII v4.3.2</x:v>
      </x:c>
      <x:c r="D16" s="131" t="n">
        <x:v>51</x:v>
      </x:c>
      <x:c r="E16" s="132" t="n">
        <x:v>1.73</x:v>
      </x:c>
      <x:c r="F16" s="132"/>
      <x:c r="G16" s="131" t="str">
        <x:v>2026-10-16</x:v>
      </x:c>
      <x:c r="H16" s="131" t="str">
        <x:v>https://artificialanalysis.ai/models/gpt-6-astra-high</x:v>
      </x:c>
      <x:c r="I16" s="131" t="str">
        <x:v>General evaluation task, NOT coding-agent task. Missing current timing stays blank.</x:v>
      </x:c>
      <x:c r="J16" s="131" t="n">
        <x:f>IF(OR(E16="",E16&lt;=0),"",ROUNDDOWN(60/E16,0))</x:f>
        <x:v>34</x:v>
      </x:c>
      <x:c r="K16" s="131" t="n">
        <x:f>IF(OR(E16="",E16&lt;=0),"",ROUNDDOWN(90/E16,0))</x:f>
        <x:v>52</x:v>
      </x:c>
      <x:c r="L16" s="131" t="n">
        <x:f>IF(OR(E16="",E16&lt;=0),"",ROUNDDOWN(120/E16,0))</x:f>
        <x:v>69</x:v>
      </x:c>
      <x:c r="M16" s="131" t="n">
        <x:f>IF(OR(E16="",E16&lt;=0),"",ROUNDDOWN(180/E16,0))</x:f>
        <x:v>104</x:v>
      </x:c>
      <x:c r="N16" s="131" t="str">
        <x:f>IF(OR(F16="",F16&lt;=0),"",ROUNDDOWN(160*60/F16,0))</x:f>
      </x:c>
    </x:row>
    <x:row r="17">
      <x:c r="A17" s="131" t="str">
        <x:v>gpt-6-astra</x:v>
      </x:c>
      <x:c r="B17" s="131" t="str">
        <x:v>xhigh</x:v>
      </x:c>
      <x:c r="C17" s="131" t="str">
        <x:v>AAII v4.3.2</x:v>
      </x:c>
      <x:c r="D17" s="131" t="n">
        <x:v>52</x:v>
      </x:c>
      <x:c r="E17" s="132" t="n">
        <x:v>2.31</x:v>
      </x:c>
      <x:c r="F17" s="132"/>
      <x:c r="G17" s="131" t="str">
        <x:v>2026-10-16</x:v>
      </x:c>
      <x:c r="H17" s="131" t="str">
        <x:v>https://artificialanalysis.ai/models/gpt-6-astra-xhigh</x:v>
      </x:c>
      <x:c r="I17" s="131" t="str">
        <x:v>General evaluation task, NOT coding-agent task. Missing current timing stays blank.</x:v>
      </x:c>
      <x:c r="J17" s="131" t="n">
        <x:f>IF(OR(E17="",E17&lt;=0),"",ROUNDDOWN(60/E17,0))</x:f>
        <x:v>25</x:v>
      </x:c>
      <x:c r="K17" s="131" t="n">
        <x:f>IF(OR(E17="",E17&lt;=0),"",ROUNDDOWN(90/E17,0))</x:f>
        <x:v>38</x:v>
      </x:c>
      <x:c r="L17" s="131" t="n">
        <x:f>IF(OR(E17="",E17&lt;=0),"",ROUNDDOWN(120/E17,0))</x:f>
        <x:v>51</x:v>
      </x:c>
      <x:c r="M17" s="131" t="n">
        <x:f>IF(OR(E17="",E17&lt;=0),"",ROUNDDOWN(180/E17,0))</x:f>
        <x:v>77</x:v>
      </x:c>
      <x:c r="N17" s="131" t="str">
        <x:f>IF(OR(F17="",F17&lt;=0),"",ROUNDDOWN(160*60/F17,0))</x:f>
      </x:c>
    </x:row>
    <x:row r="18">
      <x:c r="A18" s="131" t="str">
        <x:v>gpt-6-astra</x:v>
      </x:c>
      <x:c r="B18" s="131" t="str">
        <x:v>max</x:v>
      </x:c>
      <x:c r="C18" s="131" t="str">
        <x:v>AAII v4.3.2</x:v>
      </x:c>
      <x:c r="D18" s="131" t="n">
        <x:v>53</x:v>
      </x:c>
      <x:c r="E18" s="132" t="n">
        <x:v>3.26</x:v>
      </x:c>
      <x:c r="F18" s="132"/>
      <x:c r="G18" s="131" t="str">
        <x:v>2026-10-16</x:v>
      </x:c>
      <x:c r="H18" s="131" t="str">
        <x:v>https://artificialanalysis.ai/models/gpt-6-astra</x:v>
      </x:c>
      <x:c r="I18" s="131" t="str">
        <x:v>General evaluation task, NOT coding-agent task. Missing current timing stays blank.</x:v>
      </x:c>
      <x:c r="J18" s="131" t="n">
        <x:f>IF(OR(E18="",E18&lt;=0),"",ROUNDDOWN(60/E18,0))</x:f>
        <x:v>18</x:v>
      </x:c>
      <x:c r="K18" s="131" t="n">
        <x:f>IF(OR(E18="",E18&lt;=0),"",ROUNDDOWN(90/E18,0))</x:f>
        <x:v>27</x:v>
      </x:c>
      <x:c r="L18" s="131" t="n">
        <x:f>IF(OR(E18="",E18&lt;=0),"",ROUNDDOWN(120/E18,0))</x:f>
        <x:v>36</x:v>
      </x:c>
      <x:c r="M18" s="131" t="n">
        <x:f>IF(OR(E18="",E18&lt;=0),"",ROUNDDOWN(180/E18,0))</x:f>
        <x:v>55</x:v>
      </x:c>
      <x:c r="N18" s="131" t="str">
        <x:f>IF(OR(F18="",F18&lt;=0),"",ROUNDDOWN(160*60/F18,0))</x:f>
      </x:c>
    </x:row>
    <x:row r="19">
      <x:c r="A19" s="131" t="str">
        <x:v>gpt-5.6-luna</x:v>
      </x:c>
      <x:c r="B19" s="131" t="str">
        <x:v>non-reasoning</x:v>
      </x:c>
      <x:c r="C19" s="131" t="str">
        <x:v>AAII v4.3.2</x:v>
      </x:c>
      <x:c r="D19" s="131" t="n">
        <x:v>16</x:v>
      </x:c>
      <x:c r="E19" s="132" t="n">
        <x:v>0.01</x:v>
      </x:c>
      <x:c r="F19" s="132"/>
      <x:c r="G19" s="131" t="str">
        <x:v>2026-09-28</x:v>
      </x:c>
      <x:c r="H19" s="131" t="str">
        <x:v>https://artificialanalysis.ai/models/releases/gpt-5-6-luna</x:v>
      </x:c>
      <x:c r="I19" s="131" t="str">
        <x:v>General evaluation task, NOT coding-agent task. Missing current timing stays blank.</x:v>
      </x:c>
      <x:c r="J19" s="131" t="n">
        <x:f>IF(OR(E19="",E19&lt;=0),"",ROUNDDOWN(60/E19,0))</x:f>
        <x:v>6000</x:v>
      </x:c>
      <x:c r="K19" s="131" t="n">
        <x:f>IF(OR(E19="",E19&lt;=0),"",ROUNDDOWN(90/E19,0))</x:f>
        <x:v>9000</x:v>
      </x:c>
      <x:c r="L19" s="131" t="n">
        <x:f>IF(OR(E19="",E19&lt;=0),"",ROUNDDOWN(120/E19,0))</x:f>
        <x:v>12000</x:v>
      </x:c>
      <x:c r="M19" s="131" t="n">
        <x:f>IF(OR(E19="",E19&lt;=0),"",ROUNDDOWN(180/E19,0))</x:f>
        <x:v>18000</x:v>
      </x:c>
      <x:c r="N19" s="131" t="str">
        <x:f>IF(OR(F19="",F19&lt;=0),"",ROUNDDOWN(160*60/F19,0))</x:f>
      </x:c>
    </x:row>
    <x:row r="20">
      <x:c r="A20" s="131" t="str">
        <x:v>gpt-5.6-luna</x:v>
      </x:c>
      <x:c r="B20" s="131" t="str">
        <x:v>low</x:v>
      </x:c>
      <x:c r="C20" s="131" t="str">
        <x:v>AAII v4.3.2</x:v>
      </x:c>
      <x:c r="D20" s="131" t="n">
        <x:v>21</x:v>
      </x:c>
      <x:c r="E20" s="132" t="n">
        <x:v>0.01</x:v>
      </x:c>
      <x:c r="F20" s="132"/>
      <x:c r="G20" s="131" t="str">
        <x:v>2026-09-28</x:v>
      </x:c>
      <x:c r="H20" s="131" t="str">
        <x:v>https://artificialanalysis.ai/models/releases/gpt-5-6-luna</x:v>
      </x:c>
      <x:c r="I20" s="131" t="str">
        <x:v>General evaluation task, NOT coding-agent task. Missing current timing stays blank.</x:v>
      </x:c>
      <x:c r="J20" s="131" t="n">
        <x:f>IF(OR(E20="",E20&lt;=0),"",ROUNDDOWN(60/E20,0))</x:f>
        <x:v>6000</x:v>
      </x:c>
      <x:c r="K20" s="131" t="n">
        <x:f>IF(OR(E20="",E20&lt;=0),"",ROUNDDOWN(90/E20,0))</x:f>
        <x:v>9000</x:v>
      </x:c>
      <x:c r="L20" s="131" t="n">
        <x:f>IF(OR(E20="",E20&lt;=0),"",ROUNDDOWN(120/E20,0))</x:f>
        <x:v>12000</x:v>
      </x:c>
      <x:c r="M20" s="131" t="n">
        <x:f>IF(OR(E20="",E20&lt;=0),"",ROUNDDOWN(180/E20,0))</x:f>
        <x:v>18000</x:v>
      </x:c>
      <x:c r="N20" s="131" t="str">
        <x:f>IF(OR(F20="",F20&lt;=0),"",ROUNDDOWN(160*60/F20,0))</x:f>
      </x:c>
    </x:row>
    <x:row r="21">
      <x:c r="A21" s="131" t="str">
        <x:v>gpt-5.6-luna</x:v>
      </x:c>
      <x:c r="B21" s="131" t="str">
        <x:v>medium</x:v>
      </x:c>
      <x:c r="C21" s="131" t="str">
        <x:v>AAII v4.3.2</x:v>
      </x:c>
      <x:c r="D21" s="131" t="n">
        <x:v>25</x:v>
      </x:c>
      <x:c r="E21" s="132" t="n">
        <x:v>0.02</x:v>
      </x:c>
      <x:c r="F21" s="132"/>
      <x:c r="G21" s="131" t="str">
        <x:v>2026-09-28</x:v>
      </x:c>
      <x:c r="H21" s="131" t="str">
        <x:v>https://artificialanalysis.ai/models/releases/gpt-5-6-luna</x:v>
      </x:c>
      <x:c r="I21" s="131" t="str">
        <x:v>General evaluation task, NOT coding-agent task. Missing current timing stays blank.</x:v>
      </x:c>
      <x:c r="J21" s="131" t="n">
        <x:f>IF(OR(E21="",E21&lt;=0),"",ROUNDDOWN(60/E21,0))</x:f>
        <x:v>3000</x:v>
      </x:c>
      <x:c r="K21" s="131" t="n">
        <x:f>IF(OR(E21="",E21&lt;=0),"",ROUNDDOWN(90/E21,0))</x:f>
        <x:v>4500</x:v>
      </x:c>
      <x:c r="L21" s="131" t="n">
        <x:f>IF(OR(E21="",E21&lt;=0),"",ROUNDDOWN(120/E21,0))</x:f>
        <x:v>6000</x:v>
      </x:c>
      <x:c r="M21" s="131" t="n">
        <x:f>IF(OR(E21="",E21&lt;=0),"",ROUNDDOWN(180/E21,0))</x:f>
        <x:v>9000</x:v>
      </x:c>
      <x:c r="N21" s="131" t="str">
        <x:f>IF(OR(F21="",F21&lt;=0),"",ROUNDDOWN(160*60/F21,0))</x:f>
      </x:c>
    </x:row>
    <x:row r="22">
      <x:c r="A22" s="131" t="str">
        <x:v>gpt-5.6-luna</x:v>
      </x:c>
      <x:c r="B22" s="131" t="str">
        <x:v>high</x:v>
      </x:c>
      <x:c r="C22" s="131" t="str">
        <x:v>AAII v4.3.2</x:v>
      </x:c>
      <x:c r="D22" s="131" t="n">
        <x:v>32</x:v>
      </x:c>
      <x:c r="E22" s="132" t="n">
        <x:v>0.04</x:v>
      </x:c>
      <x:c r="F22" s="132"/>
      <x:c r="G22" s="131" t="str">
        <x:v>2026-09-28</x:v>
      </x:c>
      <x:c r="H22" s="131" t="str">
        <x:v>https://artificialanalysis.ai/models/releases/gpt-5-6-luna</x:v>
      </x:c>
      <x:c r="I22" s="131" t="str">
        <x:v>General evaluation task, NOT coding-agent task. Missing current timing stays blank.</x:v>
      </x:c>
      <x:c r="J22" s="131" t="n">
        <x:f>IF(OR(E22="",E22&lt;=0),"",ROUNDDOWN(60/E22,0))</x:f>
        <x:v>1500</x:v>
      </x:c>
      <x:c r="K22" s="131" t="n">
        <x:f>IF(OR(E22="",E22&lt;=0),"",ROUNDDOWN(90/E22,0))</x:f>
        <x:v>2250</x:v>
      </x:c>
      <x:c r="L22" s="131" t="n">
        <x:f>IF(OR(E22="",E22&lt;=0),"",ROUNDDOWN(120/E22,0))</x:f>
        <x:v>3000</x:v>
      </x:c>
      <x:c r="M22" s="131" t="n">
        <x:f>IF(OR(E22="",E22&lt;=0),"",ROUNDDOWN(180/E22,0))</x:f>
        <x:v>4500</x:v>
      </x:c>
      <x:c r="N22" s="131" t="str">
        <x:f>IF(OR(F22="",F22&lt;=0),"",ROUNDDOWN(160*60/F22,0))</x:f>
      </x:c>
    </x:row>
    <x:row r="23">
      <x:c r="A23" s="131" t="str">
        <x:v>gpt-5.6-luna</x:v>
      </x:c>
      <x:c r="B23" s="131" t="str">
        <x:v>xhigh</x:v>
      </x:c>
      <x:c r="C23" s="131" t="str">
        <x:v>AAII v4.3.2</x:v>
      </x:c>
      <x:c r="D23" s="131" t="n">
        <x:v>35</x:v>
      </x:c>
      <x:c r="E23" s="132" t="n">
        <x:v>0.09</x:v>
      </x:c>
      <x:c r="F23" s="132"/>
      <x:c r="G23" s="131" t="str">
        <x:v>2026-09-28</x:v>
      </x:c>
      <x:c r="H23" s="131" t="str">
        <x:v>https://artificialanalysis.ai/models/releases/gpt-5-6-luna</x:v>
      </x:c>
      <x:c r="I23" s="131" t="str">
        <x:v>General evaluation task, NOT coding-agent task. Missing current timing stays blank.</x:v>
      </x:c>
      <x:c r="J23" s="131" t="n">
        <x:f>IF(OR(E23="",E23&lt;=0),"",ROUNDDOWN(60/E23,0))</x:f>
        <x:v>666</x:v>
      </x:c>
      <x:c r="K23" s="131" t="n">
        <x:f>IF(OR(E23="",E23&lt;=0),"",ROUNDDOWN(90/E23,0))</x:f>
        <x:v>1000</x:v>
      </x:c>
      <x:c r="L23" s="131" t="n">
        <x:f>IF(OR(E23="",E23&lt;=0),"",ROUNDDOWN(120/E23,0))</x:f>
        <x:v>1333</x:v>
      </x:c>
      <x:c r="M23" s="131" t="n">
        <x:f>IF(OR(E23="",E23&lt;=0),"",ROUNDDOWN(180/E23,0))</x:f>
        <x:v>2000</x:v>
      </x:c>
      <x:c r="N23" s="131" t="str">
        <x:f>IF(OR(F23="",F23&lt;=0),"",ROUNDDOWN(160*60/F23,0))</x:f>
      </x:c>
    </x:row>
    <x:row r="24">
      <x:c r="A24" s="131" t="str">
        <x:v>gpt-5.6-luna</x:v>
      </x:c>
      <x:c r="B24" s="131" t="str">
        <x:v>max</x:v>
      </x:c>
      <x:c r="C24" s="131" t="str">
        <x:v>AAII v4.3.2</x:v>
      </x:c>
      <x:c r="D24" s="131" t="n">
        <x:v>37</x:v>
      </x:c>
      <x:c r="E24" s="132" t="n">
        <x:v>0.18</x:v>
      </x:c>
      <x:c r="F24" s="132"/>
      <x:c r="G24" s="131" t="str">
        <x:v>2026-09-28</x:v>
      </x:c>
      <x:c r="H24" s="131" t="str">
        <x:v>https://artificialanalysis.ai/models/releases/gpt-5-6-luna</x:v>
      </x:c>
      <x:c r="I24" s="131" t="str">
        <x:v>General evaluation task, NOT coding-agent task. Missing current timing stays blank.</x:v>
      </x:c>
      <x:c r="J24" s="131" t="n">
        <x:f>IF(OR(E24="",E24&lt;=0),"",ROUNDDOWN(60/E24,0))</x:f>
        <x:v>333</x:v>
      </x:c>
      <x:c r="K24" s="131" t="n">
        <x:f>IF(OR(E24="",E24&lt;=0),"",ROUNDDOWN(90/E24,0))</x:f>
        <x:v>500</x:v>
      </x:c>
      <x:c r="L24" s="131" t="n">
        <x:f>IF(OR(E24="",E24&lt;=0),"",ROUNDDOWN(120/E24,0))</x:f>
        <x:v>666</x:v>
      </x:c>
      <x:c r="M24" s="131" t="n">
        <x:f>IF(OR(E24="",E24&lt;=0),"",ROUNDDOWN(180/E24,0))</x:f>
        <x:v>1000</x:v>
      </x:c>
      <x:c r="N24" s="131" t="str">
        <x:f>IF(OR(F24="",F24&lt;=0),"",ROUNDDOWN(160*60/F24,0))</x:f>
      </x:c>
    </x:row>
    <x:row r="25">
      <x:c r="A25" s="131" t="str">
        <x:v>gpt-5.6-sol</x:v>
      </x:c>
      <x:c r="B25" s="131" t="str">
        <x:v>non-reasoning</x:v>
      </x:c>
      <x:c r="C25" s="131" t="str">
        <x:v>AAII v4.3.2</x:v>
      </x:c>
      <x:c r="D25" s="131" t="n">
        <x:v>28</x:v>
      </x:c>
      <x:c r="E25" s="132"/>
      <x:c r="F25" s="132"/>
      <x:c r="G25" s="131" t="str">
        <x:v>2026-09-28</x:v>
      </x:c>
      <x:c r="H25" s="131" t="str">
        <x:v>https://artificialanalysis.ai/models/releases/gpt-5-6-sol</x:v>
      </x:c>
      <x:c r="I25" s="131" t="str">
        <x:v>General evaluation task, NOT coding-agent task. Missing current timing stays blank.</x:v>
      </x:c>
      <x:c r="J25" s="131" t="str">
        <x:f>IF(OR(E25="",E25&lt;=0),"",ROUNDDOWN(60/E25,0))</x:f>
      </x:c>
      <x:c r="K25" s="131" t="str">
        <x:f>IF(OR(E25="",E25&lt;=0),"",ROUNDDOWN(90/E25,0))</x:f>
      </x:c>
      <x:c r="L25" s="131" t="str">
        <x:f>IF(OR(E25="",E25&lt;=0),"",ROUNDDOWN(120/E25,0))</x:f>
      </x:c>
      <x:c r="M25" s="131" t="str">
        <x:f>IF(OR(E25="",E25&lt;=0),"",ROUNDDOWN(180/E25,0))</x:f>
      </x:c>
      <x:c r="N25" s="131" t="str">
        <x:f>IF(OR(F25="",F25&lt;=0),"",ROUNDDOWN(160*60/F25,0))</x:f>
      </x:c>
    </x:row>
    <x:row r="26">
      <x:c r="A26" s="131" t="str">
        <x:v>gpt-5.6-sol</x:v>
      </x:c>
      <x:c r="B26" s="131" t="str">
        <x:v>low</x:v>
      </x:c>
      <x:c r="C26" s="131" t="str">
        <x:v>AAII v4.3.2</x:v>
      </x:c>
      <x:c r="D26" s="131" t="n">
        <x:v>33</x:v>
      </x:c>
      <x:c r="E26" s="132" t="n">
        <x:v>0.26</x:v>
      </x:c>
      <x:c r="F26" s="132"/>
      <x:c r="G26" s="131" t="str">
        <x:v>2026-09-28</x:v>
      </x:c>
      <x:c r="H26" s="131" t="str">
        <x:v>https://artificialanalysis.ai/models/releases/gpt-5-6-sol</x:v>
      </x:c>
      <x:c r="I26" s="131" t="str">
        <x:v>General evaluation task, NOT coding-agent task. Missing current timing stays blank.</x:v>
      </x:c>
      <x:c r="J26" s="131" t="n">
        <x:f>IF(OR(E26="",E26&lt;=0),"",ROUNDDOWN(60/E26,0))</x:f>
        <x:v>230</x:v>
      </x:c>
      <x:c r="K26" s="131" t="n">
        <x:f>IF(OR(E26="",E26&lt;=0),"",ROUNDDOWN(90/E26,0))</x:f>
        <x:v>346</x:v>
      </x:c>
      <x:c r="L26" s="131" t="n">
        <x:f>IF(OR(E26="",E26&lt;=0),"",ROUNDDOWN(120/E26,0))</x:f>
        <x:v>461</x:v>
      </x:c>
      <x:c r="M26" s="131" t="n">
        <x:f>IF(OR(E26="",E26&lt;=0),"",ROUNDDOWN(180/E26,0))</x:f>
        <x:v>692</x:v>
      </x:c>
      <x:c r="N26" s="131" t="str">
        <x:f>IF(OR(F26="",F26&lt;=0),"",ROUNDDOWN(160*60/F26,0))</x:f>
      </x:c>
    </x:row>
    <x:row r="27">
      <x:c r="A27" s="131" t="str">
        <x:v>gpt-5.6-sol</x:v>
      </x:c>
      <x:c r="B27" s="131" t="str">
        <x:v>medium</x:v>
      </x:c>
      <x:c r="C27" s="131" t="str">
        <x:v>AAII v4.3.2</x:v>
      </x:c>
      <x:c r="D27" s="131" t="n">
        <x:v>39</x:v>
      </x:c>
      <x:c r="E27" s="132" t="n">
        <x:v>0.5</x:v>
      </x:c>
      <x:c r="F27" s="132"/>
      <x:c r="G27" s="131" t="str">
        <x:v>2026-09-28</x:v>
      </x:c>
      <x:c r="H27" s="131" t="str">
        <x:v>https://artificialanalysis.ai/models/releases/gpt-5-6-sol</x:v>
      </x:c>
      <x:c r="I27" s="131" t="str">
        <x:v>General evaluation task, NOT coding-agent task. Missing current timing stays blank.</x:v>
      </x:c>
      <x:c r="J27" s="131" t="n">
        <x:f>IF(OR(E27="",E27&lt;=0),"",ROUNDDOWN(60/E27,0))</x:f>
        <x:v>120</x:v>
      </x:c>
      <x:c r="K27" s="131" t="n">
        <x:f>IF(OR(E27="",E27&lt;=0),"",ROUNDDOWN(90/E27,0))</x:f>
        <x:v>180</x:v>
      </x:c>
      <x:c r="L27" s="131" t="n">
        <x:f>IF(OR(E27="",E27&lt;=0),"",ROUNDDOWN(120/E27,0))</x:f>
        <x:v>240</x:v>
      </x:c>
      <x:c r="M27" s="131" t="n">
        <x:f>IF(OR(E27="",E27&lt;=0),"",ROUNDDOWN(180/E27,0))</x:f>
        <x:v>360</x:v>
      </x:c>
      <x:c r="N27" s="131" t="str">
        <x:f>IF(OR(F27="",F27&lt;=0),"",ROUNDDOWN(160*60/F27,0))</x:f>
      </x:c>
    </x:row>
    <x:row r="28">
      <x:c r="A28" s="131" t="str">
        <x:v>gpt-5.6-sol</x:v>
      </x:c>
      <x:c r="B28" s="131" t="str">
        <x:v>high</x:v>
      </x:c>
      <x:c r="C28" s="131" t="str">
        <x:v>AAII v4.3.2</x:v>
      </x:c>
      <x:c r="D28" s="131" t="n">
        <x:v>42</x:v>
      </x:c>
      <x:c r="E28" s="132" t="n">
        <x:v>0.81</x:v>
      </x:c>
      <x:c r="F28" s="132"/>
      <x:c r="G28" s="131" t="str">
        <x:v>2026-09-28</x:v>
      </x:c>
      <x:c r="H28" s="131" t="str">
        <x:v>https://artificialanalysis.ai/models/releases/gpt-5-6-sol</x:v>
      </x:c>
      <x:c r="I28" s="131" t="str">
        <x:v>General evaluation task, NOT coding-agent task. Missing current timing stays blank.</x:v>
      </x:c>
      <x:c r="J28" s="131" t="n">
        <x:f>IF(OR(E28="",E28&lt;=0),"",ROUNDDOWN(60/E28,0))</x:f>
        <x:v>74</x:v>
      </x:c>
      <x:c r="K28" s="131" t="n">
        <x:f>IF(OR(E28="",E28&lt;=0),"",ROUNDDOWN(90/E28,0))</x:f>
        <x:v>111</x:v>
      </x:c>
      <x:c r="L28" s="131" t="n">
        <x:f>IF(OR(E28="",E28&lt;=0),"",ROUNDDOWN(120/E28,0))</x:f>
        <x:v>148</x:v>
      </x:c>
      <x:c r="M28" s="131" t="n">
        <x:f>IF(OR(E28="",E28&lt;=0),"",ROUNDDOWN(180/E28,0))</x:f>
        <x:v>222</x:v>
      </x:c>
      <x:c r="N28" s="131" t="str">
        <x:f>IF(OR(F28="",F28&lt;=0),"",ROUNDDOWN(160*60/F28,0))</x:f>
      </x:c>
    </x:row>
    <x:row r="29">
      <x:c r="A29" s="131" t="str">
        <x:v>gpt-5.6-sol</x:v>
      </x:c>
      <x:c r="B29" s="131" t="str">
        <x:v>xhigh</x:v>
      </x:c>
      <x:c r="C29" s="131" t="str">
        <x:v>AAII v4.3.2</x:v>
      </x:c>
      <x:c r="D29" s="131" t="n">
        <x:v>44</x:v>
      </x:c>
      <x:c r="E29" s="132" t="n">
        <x:v>1.18</x:v>
      </x:c>
      <x:c r="F29" s="132"/>
      <x:c r="G29" s="131" t="str">
        <x:v>2026-09-28</x:v>
      </x:c>
      <x:c r="H29" s="131" t="str">
        <x:v>https://artificialanalysis.ai/models/releases/gpt-5-6-sol</x:v>
      </x:c>
      <x:c r="I29" s="131" t="str">
        <x:v>General evaluation task, NOT coding-agent task. Missing current timing stays blank.</x:v>
      </x:c>
      <x:c r="J29" s="131" t="n">
        <x:f>IF(OR(E29="",E29&lt;=0),"",ROUNDDOWN(60/E29,0))</x:f>
        <x:v>50</x:v>
      </x:c>
      <x:c r="K29" s="131" t="n">
        <x:f>IF(OR(E29="",E29&lt;=0),"",ROUNDDOWN(90/E29,0))</x:f>
        <x:v>76</x:v>
      </x:c>
      <x:c r="L29" s="131" t="n">
        <x:f>IF(OR(E29="",E29&lt;=0),"",ROUNDDOWN(120/E29,0))</x:f>
        <x:v>101</x:v>
      </x:c>
      <x:c r="M29" s="131" t="n">
        <x:f>IF(OR(E29="",E29&lt;=0),"",ROUNDDOWN(180/E29,0))</x:f>
        <x:v>152</x:v>
      </x:c>
      <x:c r="N29" s="131" t="str">
        <x:f>IF(OR(F29="",F29&lt;=0),"",ROUNDDOWN(160*60/F29,0))</x:f>
      </x:c>
    </x:row>
    <x:row r="30">
      <x:c r="A30" s="131" t="str">
        <x:v>gpt-5.6-sol</x:v>
      </x:c>
      <x:c r="B30" s="131" t="str">
        <x:v>max</x:v>
      </x:c>
      <x:c r="C30" s="131" t="str">
        <x:v>AAII v4.3.2</x:v>
      </x:c>
      <x:c r="D30" s="131" t="n">
        <x:v>47</x:v>
      </x:c>
      <x:c r="E30" s="132" t="n">
        <x:v>1.99</x:v>
      </x:c>
      <x:c r="F30" s="132"/>
      <x:c r="G30" s="131" t="str">
        <x:v>2026-09-28</x:v>
      </x:c>
      <x:c r="H30" s="131" t="str">
        <x:v>https://artificialanalysis.ai/models/releases/gpt-5-6-sol</x:v>
      </x:c>
      <x:c r="I30" s="131" t="str">
        <x:v>General evaluation task, NOT coding-agent task. Missing current timing stays blank.</x:v>
      </x:c>
      <x:c r="J30" s="131" t="n">
        <x:f>IF(OR(E30="",E30&lt;=0),"",ROUNDDOWN(60/E30,0))</x:f>
        <x:v>30</x:v>
      </x:c>
      <x:c r="K30" s="131" t="n">
        <x:f>IF(OR(E30="",E30&lt;=0),"",ROUNDDOWN(90/E30,0))</x:f>
        <x:v>45</x:v>
      </x:c>
      <x:c r="L30" s="131" t="n">
        <x:f>IF(OR(E30="",E30&lt;=0),"",ROUNDDOWN(120/E30,0))</x:f>
        <x:v>60</x:v>
      </x:c>
      <x:c r="M30" s="131" t="n">
        <x:f>IF(OR(E30="",E30&lt;=0),"",ROUNDDOWN(180/E30,0))</x:f>
        <x:v>90</x:v>
      </x:c>
      <x:c r="N30" s="131" t="str">
        <x:f>IF(OR(F30="",F30&lt;=0),"",ROUNDDOWN(160*60/F30,0))</x:f>
      </x:c>
    </x:row>
    <x:row r="31">
      <x:c r="A31" s="131" t="str">
        <x:v>claude-sonnet-5.5</x:v>
      </x:c>
      <x:c r="B31" s="131" t="str">
        <x:v>low</x:v>
      </x:c>
      <x:c r="C31" s="131" t="str">
        <x:v>AAII v4.3.2</x:v>
      </x:c>
      <x:c r="D31" s="131" t="n">
        <x:v>36</x:v>
      </x:c>
      <x:c r="E31" s="132" t="n">
        <x:v>0.35</x:v>
      </x:c>
      <x:c r="F31" s="132"/>
      <x:c r="G31" s="131" t="str">
        <x:v>2026-10-16</x:v>
      </x:c>
      <x:c r="H31" s="131" t="str">
        <x:v>https://artificialanalysis.ai/models/claude-sonnet-5-5-low</x:v>
      </x:c>
      <x:c r="I31" s="131" t="str">
        <x:v>General evaluation task, NOT coding-agent task. Missing current timing stays blank.</x:v>
      </x:c>
      <x:c r="J31" s="131" t="n">
        <x:f>IF(OR(E31="",E31&lt;=0),"",ROUNDDOWN(60/E31,0))</x:f>
        <x:v>171</x:v>
      </x:c>
      <x:c r="K31" s="131" t="n">
        <x:f>IF(OR(E31="",E31&lt;=0),"",ROUNDDOWN(90/E31,0))</x:f>
        <x:v>257</x:v>
      </x:c>
      <x:c r="L31" s="131" t="n">
        <x:f>IF(OR(E31="",E31&lt;=0),"",ROUNDDOWN(120/E31,0))</x:f>
        <x:v>342</x:v>
      </x:c>
      <x:c r="M31" s="131" t="n">
        <x:f>IF(OR(E31="",E31&lt;=0),"",ROUNDDOWN(180/E31,0))</x:f>
        <x:v>514</x:v>
      </x:c>
      <x:c r="N31" s="131" t="str">
        <x:f>IF(OR(F31="",F31&lt;=0),"",ROUNDDOWN(160*60/F31,0))</x:f>
      </x:c>
    </x:row>
    <x:row r="32">
      <x:c r="A32" s="131" t="str">
        <x:v>claude-sonnet-5.5</x:v>
      </x:c>
      <x:c r="B32" s="131" t="str">
        <x:v>medium</x:v>
      </x:c>
      <x:c r="C32" s="131" t="str">
        <x:v>AAII v4.3.2</x:v>
      </x:c>
      <x:c r="D32" s="131" t="n">
        <x:v>41</x:v>
      </x:c>
      <x:c r="E32" s="132" t="n">
        <x:v>0.48</x:v>
      </x:c>
      <x:c r="F32" s="132"/>
      <x:c r="G32" s="131" t="str">
        <x:v>2026-10-16</x:v>
      </x:c>
      <x:c r="H32" s="131" t="str">
        <x:v>https://artificialanalysis.ai/models/claude-sonnet-5-5-medium</x:v>
      </x:c>
      <x:c r="I32" s="131" t="str">
        <x:v>General evaluation task, NOT coding-agent task. Missing current timing stays blank.</x:v>
      </x:c>
      <x:c r="J32" s="131" t="n">
        <x:f>IF(OR(E32="",E32&lt;=0),"",ROUNDDOWN(60/E32,0))</x:f>
        <x:v>125</x:v>
      </x:c>
      <x:c r="K32" s="131" t="n">
        <x:f>IF(OR(E32="",E32&lt;=0),"",ROUNDDOWN(90/E32,0))</x:f>
        <x:v>187</x:v>
      </x:c>
      <x:c r="L32" s="131" t="n">
        <x:f>IF(OR(E32="",E32&lt;=0),"",ROUNDDOWN(120/E32,0))</x:f>
        <x:v>250</x:v>
      </x:c>
      <x:c r="M32" s="131" t="n">
        <x:f>IF(OR(E32="",E32&lt;=0),"",ROUNDDOWN(180/E32,0))</x:f>
        <x:v>375</x:v>
      </x:c>
      <x:c r="N32" s="131" t="str">
        <x:f>IF(OR(F32="",F32&lt;=0),"",ROUNDDOWN(160*60/F32,0))</x:f>
      </x:c>
    </x:row>
    <x:row r="33">
      <x:c r="A33" s="131" t="str">
        <x:v>claude-sonnet-5.5</x:v>
      </x:c>
      <x:c r="B33" s="131" t="str">
        <x:v>high</x:v>
      </x:c>
      <x:c r="C33" s="131" t="str">
        <x:v>AAII v4.3.2</x:v>
      </x:c>
      <x:c r="D33" s="131" t="n">
        <x:v>47</x:v>
      </x:c>
      <x:c r="E33" s="132" t="n">
        <x:v>0.88</x:v>
      </x:c>
      <x:c r="F33" s="132"/>
      <x:c r="G33" s="131" t="str">
        <x:v>2026-10-16</x:v>
      </x:c>
      <x:c r="H33" s="131" t="str">
        <x:v>https://artificialanalysis.ai/models/claude-sonnet-5-5-high</x:v>
      </x:c>
      <x:c r="I33" s="131" t="str">
        <x:v>General evaluation task, NOT coding-agent task. Missing current timing stays blank.</x:v>
      </x:c>
      <x:c r="J33" s="131" t="n">
        <x:f>IF(OR(E33="",E33&lt;=0),"",ROUNDDOWN(60/E33,0))</x:f>
        <x:v>68</x:v>
      </x:c>
      <x:c r="K33" s="131" t="n">
        <x:f>IF(OR(E33="",E33&lt;=0),"",ROUNDDOWN(90/E33,0))</x:f>
        <x:v>102</x:v>
      </x:c>
      <x:c r="L33" s="131" t="n">
        <x:f>IF(OR(E33="",E33&lt;=0),"",ROUNDDOWN(120/E33,0))</x:f>
        <x:v>136</x:v>
      </x:c>
      <x:c r="M33" s="131" t="n">
        <x:f>IF(OR(E33="",E33&lt;=0),"",ROUNDDOWN(180/E33,0))</x:f>
        <x:v>204</x:v>
      </x:c>
      <x:c r="N33" s="131" t="str">
        <x:f>IF(OR(F33="",F33&lt;=0),"",ROUNDDOWN(160*60/F33,0))</x:f>
      </x:c>
    </x:row>
    <x:row r="34">
      <x:c r="A34" s="131" t="str">
        <x:v>claude-sonnet-5.5</x:v>
      </x:c>
      <x:c r="B34" s="131" t="str">
        <x:v>xhigh</x:v>
      </x:c>
      <x:c r="C34" s="131" t="str">
        <x:v>AAII v4.3.2</x:v>
      </x:c>
      <x:c r="D34" s="131" t="n">
        <x:v>52</x:v>
      </x:c>
      <x:c r="E34" s="132" t="n">
        <x:v>2.01</x:v>
      </x:c>
      <x:c r="F34" s="132"/>
      <x:c r="G34" s="131" t="str">
        <x:v>2026-10-16</x:v>
      </x:c>
      <x:c r="H34" s="131" t="str">
        <x:v>https://artificialanalysis.ai/models/claude-sonnet-5-5-xhigh</x:v>
      </x:c>
      <x:c r="I34" s="131" t="str">
        <x:v>General evaluation task, NOT coding-agent task. Missing current timing stays blank.</x:v>
      </x:c>
      <x:c r="J34" s="131" t="n">
        <x:f>IF(OR(E34="",E34&lt;=0),"",ROUNDDOWN(60/E34,0))</x:f>
        <x:v>29</x:v>
      </x:c>
      <x:c r="K34" s="131" t="n">
        <x:f>IF(OR(E34="",E34&lt;=0),"",ROUNDDOWN(90/E34,0))</x:f>
        <x:v>44</x:v>
      </x:c>
      <x:c r="L34" s="131" t="n">
        <x:f>IF(OR(E34="",E34&lt;=0),"",ROUNDDOWN(120/E34,0))</x:f>
        <x:v>59</x:v>
      </x:c>
      <x:c r="M34" s="131" t="n">
        <x:f>IF(OR(E34="",E34&lt;=0),"",ROUNDDOWN(180/E34,0))</x:f>
        <x:v>89</x:v>
      </x:c>
      <x:c r="N34" s="131" t="str">
        <x:f>IF(OR(F34="",F34&lt;=0),"",ROUNDDOWN(160*60/F34,0))</x:f>
      </x:c>
    </x:row>
    <x:row r="35">
      <x:c r="A35" s="131" t="str">
        <x:v>claude-sonnet-5.5</x:v>
      </x:c>
      <x:c r="B35" s="131" t="str">
        <x:v>max</x:v>
      </x:c>
      <x:c r="C35" s="131" t="str">
        <x:v>AAII v4.3.2</x:v>
      </x:c>
      <x:c r="D35" s="131" t="n">
        <x:v>56</x:v>
      </x:c>
      <x:c r="E35" s="132" t="n">
        <x:v>5.46</x:v>
      </x:c>
      <x:c r="F35" s="132"/>
      <x:c r="G35" s="131" t="str">
        <x:v>2026-10-16</x:v>
      </x:c>
      <x:c r="H35" s="131" t="str">
        <x:v>https://artificialanalysis.ai/models/claude-sonnet-5-5</x:v>
      </x:c>
      <x:c r="I35" s="131" t="str">
        <x:v>General evaluation task, NOT coding-agent task. Missing current timing stays blank.</x:v>
      </x:c>
      <x:c r="J35" s="131" t="n">
        <x:f>IF(OR(E35="",E35&lt;=0),"",ROUNDDOWN(60/E35,0))</x:f>
        <x:v>10</x:v>
      </x:c>
      <x:c r="K35" s="131" t="n">
        <x:f>IF(OR(E35="",E35&lt;=0),"",ROUNDDOWN(90/E35,0))</x:f>
        <x:v>16</x:v>
      </x:c>
      <x:c r="L35" s="131" t="n">
        <x:f>IF(OR(E35="",E35&lt;=0),"",ROUNDDOWN(120/E35,0))</x:f>
        <x:v>21</x:v>
      </x:c>
      <x:c r="M35" s="131" t="n">
        <x:f>IF(OR(E35="",E35&lt;=0),"",ROUNDDOWN(180/E35,0))</x:f>
        <x:v>32</x:v>
      </x:c>
      <x:c r="N35" s="131" t="str">
        <x:f>IF(OR(F35="",F35&lt;=0),"",ROUNDDOWN(160*60/F35,0))</x:f>
      </x:c>
    </x:row>
    <x:row r="36">
      <x:c r="A36" s="131" t="str">
        <x:v>claude-opus-5.5</x:v>
      </x:c>
      <x:c r="B36" s="131" t="str">
        <x:v>low</x:v>
      </x:c>
      <x:c r="C36" s="131" t="str">
        <x:v>AAII v4.3.2</x:v>
      </x:c>
      <x:c r="D36" s="131" t="n">
        <x:v>42</x:v>
      </x:c>
      <x:c r="E36" s="132" t="n">
        <x:v>0.55</x:v>
      </x:c>
      <x:c r="F36" s="132"/>
      <x:c r="G36" s="131" t="str">
        <x:v>2026-10-16</x:v>
      </x:c>
      <x:c r="H36" s="131" t="str">
        <x:v>https://artificialanalysis.ai/models/claude-opus-5-5-low</x:v>
      </x:c>
      <x:c r="I36" s="131" t="str">
        <x:v>General evaluation task, NOT coding-agent task. Missing current timing stays blank.</x:v>
      </x:c>
      <x:c r="J36" s="131" t="n">
        <x:f>IF(OR(E36="",E36&lt;=0),"",ROUNDDOWN(60/E36,0))</x:f>
        <x:v>109</x:v>
      </x:c>
      <x:c r="K36" s="131" t="n">
        <x:f>IF(OR(E36="",E36&lt;=0),"",ROUNDDOWN(90/E36,0))</x:f>
        <x:v>163</x:v>
      </x:c>
      <x:c r="L36" s="131" t="n">
        <x:f>IF(OR(E36="",E36&lt;=0),"",ROUNDDOWN(120/E36,0))</x:f>
        <x:v>218</x:v>
      </x:c>
      <x:c r="M36" s="131" t="n">
        <x:f>IF(OR(E36="",E36&lt;=0),"",ROUNDDOWN(180/E36,0))</x:f>
        <x:v>327</x:v>
      </x:c>
      <x:c r="N36" s="131" t="str">
        <x:f>IF(OR(F36="",F36&lt;=0),"",ROUNDDOWN(160*60/F36,0))</x:f>
      </x:c>
    </x:row>
    <x:row r="37">
      <x:c r="A37" s="131" t="str">
        <x:v>claude-opus-5.5</x:v>
      </x:c>
      <x:c r="B37" s="131" t="str">
        <x:v>medium</x:v>
      </x:c>
      <x:c r="C37" s="131" t="str">
        <x:v>AAII v4.3.2</x:v>
      </x:c>
      <x:c r="D37" s="131" t="n">
        <x:v>51</x:v>
      </x:c>
      <x:c r="E37" s="132" t="n">
        <x:v>1.34</x:v>
      </x:c>
      <x:c r="F37" s="132"/>
      <x:c r="G37" s="131" t="str">
        <x:v>2026-10-16</x:v>
      </x:c>
      <x:c r="H37" s="131" t="str">
        <x:v>https://artificialanalysis.ai/models/claude-opus-5-5-medium</x:v>
      </x:c>
      <x:c r="I37" s="131" t="str">
        <x:v>General evaluation task, NOT coding-agent task. Missing current timing stays blank.</x:v>
      </x:c>
      <x:c r="J37" s="131" t="n">
        <x:f>IF(OR(E37="",E37&lt;=0),"",ROUNDDOWN(60/E37,0))</x:f>
        <x:v>44</x:v>
      </x:c>
      <x:c r="K37" s="131" t="n">
        <x:f>IF(OR(E37="",E37&lt;=0),"",ROUNDDOWN(90/E37,0))</x:f>
        <x:v>67</x:v>
      </x:c>
      <x:c r="L37" s="131" t="n">
        <x:f>IF(OR(E37="",E37&lt;=0),"",ROUNDDOWN(120/E37,0))</x:f>
        <x:v>89</x:v>
      </x:c>
      <x:c r="M37" s="131" t="n">
        <x:f>IF(OR(E37="",E37&lt;=0),"",ROUNDDOWN(180/E37,0))</x:f>
        <x:v>134</x:v>
      </x:c>
      <x:c r="N37" s="131" t="str">
        <x:f>IF(OR(F37="",F37&lt;=0),"",ROUNDDOWN(160*60/F37,0))</x:f>
      </x:c>
    </x:row>
    <x:row r="38">
      <x:c r="A38" s="131" t="str">
        <x:v>claude-opus-5.5</x:v>
      </x:c>
      <x:c r="B38" s="131" t="str">
        <x:v>high</x:v>
      </x:c>
      <x:c r="C38" s="131" t="str">
        <x:v>AAII v4.3.2</x:v>
      </x:c>
      <x:c r="D38" s="131" t="n">
        <x:v>54</x:v>
      </x:c>
      <x:c r="E38" s="132" t="n">
        <x:v>1.82</x:v>
      </x:c>
      <x:c r="F38" s="132"/>
      <x:c r="G38" s="131" t="str">
        <x:v>2026-10-16</x:v>
      </x:c>
      <x:c r="H38" s="131" t="str">
        <x:v>https://artificialanalysis.ai/models/claude-opus-5-5-high</x:v>
      </x:c>
      <x:c r="I38" s="131" t="str">
        <x:v>General evaluation task, NOT coding-agent task. Missing current timing stays blank.</x:v>
      </x:c>
      <x:c r="J38" s="131" t="n">
        <x:f>IF(OR(E38="",E38&lt;=0),"",ROUNDDOWN(60/E38,0))</x:f>
        <x:v>32</x:v>
      </x:c>
      <x:c r="K38" s="131" t="n">
        <x:f>IF(OR(E38="",E38&lt;=0),"",ROUNDDOWN(90/E38,0))</x:f>
        <x:v>49</x:v>
      </x:c>
      <x:c r="L38" s="131" t="n">
        <x:f>IF(OR(E38="",E38&lt;=0),"",ROUNDDOWN(120/E38,0))</x:f>
        <x:v>65</x:v>
      </x:c>
      <x:c r="M38" s="131" t="n">
        <x:f>IF(OR(E38="",E38&lt;=0),"",ROUNDDOWN(180/E38,0))</x:f>
        <x:v>98</x:v>
      </x:c>
      <x:c r="N38" s="131" t="str">
        <x:f>IF(OR(F38="",F38&lt;=0),"",ROUNDDOWN(160*60/F38,0))</x:f>
      </x:c>
    </x:row>
    <x:row r="39">
      <x:c r="A39" s="131" t="str">
        <x:v>claude-opus-5.5</x:v>
      </x:c>
      <x:c r="B39" s="131" t="str">
        <x:v>xhigh</x:v>
      </x:c>
      <x:c r="C39" s="131" t="str">
        <x:v>AAII v4.3.2</x:v>
      </x:c>
      <x:c r="D39" s="131" t="n">
        <x:v>56</x:v>
      </x:c>
      <x:c r="E39" s="132" t="n">
        <x:v>3.46</x:v>
      </x:c>
      <x:c r="F39" s="132"/>
      <x:c r="G39" s="131" t="str">
        <x:v>2026-10-16</x:v>
      </x:c>
      <x:c r="H39" s="131" t="str">
        <x:v>https://artificialanalysis.ai/models/claude-opus-5-5-xhigh</x:v>
      </x:c>
      <x:c r="I39" s="131" t="str">
        <x:v>General evaluation task, NOT coding-agent task. Missing current timing stays blank.</x:v>
      </x:c>
      <x:c r="J39" s="131" t="n">
        <x:f>IF(OR(E39="",E39&lt;=0),"",ROUNDDOWN(60/E39,0))</x:f>
        <x:v>17</x:v>
      </x:c>
      <x:c r="K39" s="131" t="n">
        <x:f>IF(OR(E39="",E39&lt;=0),"",ROUNDDOWN(90/E39,0))</x:f>
        <x:v>26</x:v>
      </x:c>
      <x:c r="L39" s="131" t="n">
        <x:f>IF(OR(E39="",E39&lt;=0),"",ROUNDDOWN(120/E39,0))</x:f>
        <x:v>34</x:v>
      </x:c>
      <x:c r="M39" s="131" t="n">
        <x:f>IF(OR(E39="",E39&lt;=0),"",ROUNDDOWN(180/E39,0))</x:f>
        <x:v>52</x:v>
      </x:c>
      <x:c r="N39" s="131" t="str">
        <x:f>IF(OR(F39="",F39&lt;=0),"",ROUNDDOWN(160*60/F39,0))</x:f>
      </x:c>
    </x:row>
    <x:row r="40">
      <x:c r="A40" s="131" t="str">
        <x:v>claude-opus-5.5</x:v>
      </x:c>
      <x:c r="B40" s="131" t="str">
        <x:v>max</x:v>
      </x:c>
      <x:c r="C40" s="131" t="str">
        <x:v>AAII v4.3.2</x:v>
      </x:c>
      <x:c r="D40" s="131" t="n">
        <x:v>58</x:v>
      </x:c>
      <x:c r="E40" s="132" t="n">
        <x:v>5.98</x:v>
      </x:c>
      <x:c r="F40" s="132"/>
      <x:c r="G40" s="131" t="str">
        <x:v>2026-10-16</x:v>
      </x:c>
      <x:c r="H40" s="131" t="str">
        <x:v>https://artificialanalysis.ai/models/claude-opus-5-5</x:v>
      </x:c>
      <x:c r="I40" s="131" t="str">
        <x:v>General evaluation task, NOT coding-agent task. Missing current timing stays blank.</x:v>
      </x:c>
      <x:c r="J40" s="131" t="n">
        <x:f>IF(OR(E40="",E40&lt;=0),"",ROUNDDOWN(60/E40,0))</x:f>
        <x:v>10</x:v>
      </x:c>
      <x:c r="K40" s="131" t="n">
        <x:f>IF(OR(E40="",E40&lt;=0),"",ROUNDDOWN(90/E40,0))</x:f>
        <x:v>15</x:v>
      </x:c>
      <x:c r="L40" s="131" t="n">
        <x:f>IF(OR(E40="",E40&lt;=0),"",ROUNDDOWN(120/E40,0))</x:f>
        <x:v>20</x:v>
      </x:c>
      <x:c r="M40" s="131" t="n">
        <x:f>IF(OR(E40="",E40&lt;=0),"",ROUNDDOWN(180/E40,0))</x:f>
        <x:v>30</x:v>
      </x:c>
      <x:c r="N40" s="131" t="str">
        <x:f>IF(OR(F40="",F40&lt;=0),"",ROUNDDOWN(160*60/F40,0))</x:f>
      </x:c>
    </x:row>
    <x:row r="41">
      <x:c r="A41" s="131" t="str">
        <x:v>claude-opus-5</x:v>
      </x:c>
      <x:c r="B41" s="131" t="str">
        <x:v>low</x:v>
      </x:c>
      <x:c r="C41" s="131" t="str">
        <x:v>AAII v4.3.2</x:v>
      </x:c>
      <x:c r="D41" s="131" t="n">
        <x:v>40</x:v>
      </x:c>
      <x:c r="E41" s="132" t="n">
        <x:v>1.1</x:v>
      </x:c>
      <x:c r="F41" s="132"/>
      <x:c r="G41" s="131" t="str">
        <x:v>2026-09-28</x:v>
      </x:c>
      <x:c r="H41" s="131" t="str">
        <x:v>https://artificialanalysis.ai/models/releases/claude-opus-5</x:v>
      </x:c>
      <x:c r="I41" s="131" t="str">
        <x:v>General evaluation task, NOT coding-agent task. Missing current timing stays blank.</x:v>
      </x:c>
      <x:c r="J41" s="131" t="n">
        <x:f>IF(OR(E41="",E41&lt;=0),"",ROUNDDOWN(60/E41,0))</x:f>
        <x:v>54</x:v>
      </x:c>
      <x:c r="K41" s="131" t="n">
        <x:f>IF(OR(E41="",E41&lt;=0),"",ROUNDDOWN(90/E41,0))</x:f>
        <x:v>81</x:v>
      </x:c>
      <x:c r="L41" s="131" t="n">
        <x:f>IF(OR(E41="",E41&lt;=0),"",ROUNDDOWN(120/E41,0))</x:f>
        <x:v>109</x:v>
      </x:c>
      <x:c r="M41" s="131" t="n">
        <x:f>IF(OR(E41="",E41&lt;=0),"",ROUNDDOWN(180/E41,0))</x:f>
        <x:v>163</x:v>
      </x:c>
      <x:c r="N41" s="131" t="str">
        <x:f>IF(OR(F41="",F41&lt;=0),"",ROUNDDOWN(160*60/F41,0))</x:f>
      </x:c>
    </x:row>
    <x:row r="42">
      <x:c r="A42" s="131" t="str">
        <x:v>claude-opus-5</x:v>
      </x:c>
      <x:c r="B42" s="131" t="str">
        <x:v>medium</x:v>
      </x:c>
      <x:c r="C42" s="131" t="str">
        <x:v>AAII v4.3.2</x:v>
      </x:c>
      <x:c r="D42" s="131" t="n">
        <x:v>45</x:v>
      </x:c>
      <x:c r="E42" s="132" t="n">
        <x:v>2.19</x:v>
      </x:c>
      <x:c r="F42" s="132"/>
      <x:c r="G42" s="131" t="str">
        <x:v>2026-09-28</x:v>
      </x:c>
      <x:c r="H42" s="131" t="str">
        <x:v>https://artificialanalysis.ai/models/releases/claude-opus-5</x:v>
      </x:c>
      <x:c r="I42" s="131" t="str">
        <x:v>General evaluation task, NOT coding-agent task. Missing current timing stays blank.</x:v>
      </x:c>
      <x:c r="J42" s="131" t="n">
        <x:f>IF(OR(E42="",E42&lt;=0),"",ROUNDDOWN(60/E42,0))</x:f>
        <x:v>27</x:v>
      </x:c>
      <x:c r="K42" s="131" t="n">
        <x:f>IF(OR(E42="",E42&lt;=0),"",ROUNDDOWN(90/E42,0))</x:f>
        <x:v>41</x:v>
      </x:c>
      <x:c r="L42" s="131" t="n">
        <x:f>IF(OR(E42="",E42&lt;=0),"",ROUNDDOWN(120/E42,0))</x:f>
        <x:v>54</x:v>
      </x:c>
      <x:c r="M42" s="131" t="n">
        <x:f>IF(OR(E42="",E42&lt;=0),"",ROUNDDOWN(180/E42,0))</x:f>
        <x:v>82</x:v>
      </x:c>
      <x:c r="N42" s="131" t="str">
        <x:f>IF(OR(F42="",F42&lt;=0),"",ROUNDDOWN(160*60/F42,0))</x:f>
      </x:c>
    </x:row>
    <x:row r="43">
      <x:c r="A43" s="131" t="str">
        <x:v>claude-opus-5</x:v>
      </x:c>
      <x:c r="B43" s="131" t="str">
        <x:v>high</x:v>
      </x:c>
      <x:c r="C43" s="131" t="str">
        <x:v>AAII v4.3.2</x:v>
      </x:c>
      <x:c r="D43" s="131" t="n">
        <x:v>48</x:v>
      </x:c>
      <x:c r="E43" s="132" t="n">
        <x:v>3.61</x:v>
      </x:c>
      <x:c r="F43" s="132"/>
      <x:c r="G43" s="131" t="str">
        <x:v>2026-09-28</x:v>
      </x:c>
      <x:c r="H43" s="131" t="str">
        <x:v>https://artificialanalysis.ai/models/releases/claude-opus-5</x:v>
      </x:c>
      <x:c r="I43" s="131" t="str">
        <x:v>General evaluation task, NOT coding-agent task. Missing current timing stays blank.</x:v>
      </x:c>
      <x:c r="J43" s="131" t="n">
        <x:f>IF(OR(E43="",E43&lt;=0),"",ROUNDDOWN(60/E43,0))</x:f>
        <x:v>16</x:v>
      </x:c>
      <x:c r="K43" s="131" t="n">
        <x:f>IF(OR(E43="",E43&lt;=0),"",ROUNDDOWN(90/E43,0))</x:f>
        <x:v>24</x:v>
      </x:c>
      <x:c r="L43" s="131" t="n">
        <x:f>IF(OR(E43="",E43&lt;=0),"",ROUNDDOWN(120/E43,0))</x:f>
        <x:v>33</x:v>
      </x:c>
      <x:c r="M43" s="131" t="n">
        <x:f>IF(OR(E43="",E43&lt;=0),"",ROUNDDOWN(180/E43,0))</x:f>
        <x:v>49</x:v>
      </x:c>
      <x:c r="N43" s="131" t="str">
        <x:f>IF(OR(F43="",F43&lt;=0),"",ROUNDDOWN(160*60/F43,0))</x:f>
      </x:c>
    </x:row>
    <x:row r="44">
      <x:c r="A44" s="131" t="str">
        <x:v>claude-opus-5</x:v>
      </x:c>
      <x:c r="B44" s="131" t="str">
        <x:v>xhigh</x:v>
      </x:c>
      <x:c r="C44" s="131" t="str">
        <x:v>AAII v4.3.2</x:v>
      </x:c>
      <x:c r="D44" s="131" t="n">
        <x:v>50</x:v>
      </x:c>
      <x:c r="E44" s="132" t="n">
        <x:v>4.88</x:v>
      </x:c>
      <x:c r="F44" s="132"/>
      <x:c r="G44" s="131" t="str">
        <x:v>2026-09-28</x:v>
      </x:c>
      <x:c r="H44" s="131" t="str">
        <x:v>https://artificialanalysis.ai/models/releases/claude-opus-5</x:v>
      </x:c>
      <x:c r="I44" s="131" t="str">
        <x:v>General evaluation task, NOT coding-agent task. Missing current timing stays blank.</x:v>
      </x:c>
      <x:c r="J44" s="131" t="n">
        <x:f>IF(OR(E44="",E44&lt;=0),"",ROUNDDOWN(60/E44,0))</x:f>
        <x:v>12</x:v>
      </x:c>
      <x:c r="K44" s="131" t="n">
        <x:f>IF(OR(E44="",E44&lt;=0),"",ROUNDDOWN(90/E44,0))</x:f>
        <x:v>18</x:v>
      </x:c>
      <x:c r="L44" s="131" t="n">
        <x:f>IF(OR(E44="",E44&lt;=0),"",ROUNDDOWN(120/E44,0))</x:f>
        <x:v>24</x:v>
      </x:c>
      <x:c r="M44" s="131" t="n">
        <x:f>IF(OR(E44="",E44&lt;=0),"",ROUNDDOWN(180/E44,0))</x:f>
        <x:v>36</x:v>
      </x:c>
      <x:c r="N44" s="131" t="str">
        <x:f>IF(OR(F44="",F44&lt;=0),"",ROUNDDOWN(160*60/F44,0))</x:f>
      </x:c>
    </x:row>
    <x:row r="45">
      <x:c r="A45" s="131" t="str">
        <x:v>claude-opus-5</x:v>
      </x:c>
      <x:c r="B45" s="131" t="str">
        <x:v>max</x:v>
      </x:c>
      <x:c r="C45" s="131" t="str">
        <x:v>AAII v4.3.2</x:v>
      </x:c>
      <x:c r="D45" s="131" t="n">
        <x:v>51</x:v>
      </x:c>
      <x:c r="E45" s="132" t="n">
        <x:v>5.86</x:v>
      </x:c>
      <x:c r="F45" s="132"/>
      <x:c r="G45" s="131" t="str">
        <x:v>2026-09-28</x:v>
      </x:c>
      <x:c r="H45" s="131" t="str">
        <x:v>https://artificialanalysis.ai/models/releases/claude-opus-5</x:v>
      </x:c>
      <x:c r="I45" s="131" t="str">
        <x:v>General evaluation task, NOT coding-agent task. Missing current timing stays blank.</x:v>
      </x:c>
      <x:c r="J45" s="131" t="n">
        <x:f>IF(OR(E45="",E45&lt;=0),"",ROUNDDOWN(60/E45,0))</x:f>
        <x:v>10</x:v>
      </x:c>
      <x:c r="K45" s="131" t="n">
        <x:f>IF(OR(E45="",E45&lt;=0),"",ROUNDDOWN(90/E45,0))</x:f>
        <x:v>15</x:v>
      </x:c>
      <x:c r="L45" s="131" t="n">
        <x:f>IF(OR(E45="",E45&lt;=0),"",ROUNDDOWN(120/E45,0))</x:f>
        <x:v>20</x:v>
      </x:c>
      <x:c r="M45" s="131" t="n">
        <x:f>IF(OR(E45="",E45&lt;=0),"",ROUNDDOWN(180/E45,0))</x:f>
        <x:v>30</x:v>
      </x:c>
      <x:c r="N45" s="131" t="str">
        <x:f>IF(OR(F45="",F45&lt;=0),"",ROUNDDOWN(160*60/F45,0))</x:f>
      </x:c>
    </x:row>
    <x:row r="46">
      <x:c r="A46" s="131" t="str">
        <x:v>claude-sonnet-5</x:v>
      </x:c>
      <x:c r="B46" s="131" t="str">
        <x:v>non-reasoning</x:v>
      </x:c>
      <x:c r="C46" s="131" t="str">
        <x:v>AAII v4.3.2</x:v>
      </x:c>
      <x:c r="D46" s="131" t="n">
        <x:v>29</x:v>
      </x:c>
      <x:c r="E46" s="132"/>
      <x:c r="F46" s="132"/>
      <x:c r="G46" s="131" t="str">
        <x:v>2026-09-28</x:v>
      </x:c>
      <x:c r="H46" s="131" t="str">
        <x:v>https://artificialanalysis.ai/models/releases/claude-sonnet-5</x:v>
      </x:c>
      <x:c r="I46" s="131" t="str">
        <x:v>General evaluation task, NOT coding-agent task. Missing current timing stays blank.</x:v>
      </x:c>
      <x:c r="J46" s="131" t="str">
        <x:f>IF(OR(E46="",E46&lt;=0),"",ROUNDDOWN(60/E46,0))</x:f>
      </x:c>
      <x:c r="K46" s="131" t="str">
        <x:f>IF(OR(E46="",E46&lt;=0),"",ROUNDDOWN(90/E46,0))</x:f>
      </x:c>
      <x:c r="L46" s="131" t="str">
        <x:f>IF(OR(E46="",E46&lt;=0),"",ROUNDDOWN(120/E46,0))</x:f>
      </x:c>
      <x:c r="M46" s="131" t="str">
        <x:f>IF(OR(E46="",E46&lt;=0),"",ROUNDDOWN(180/E46,0))</x:f>
      </x:c>
      <x:c r="N46" s="131" t="str">
        <x:f>IF(OR(F46="",F46&lt;=0),"",ROUNDDOWN(160*60/F46,0))</x:f>
      </x:c>
    </x:row>
    <x:row r="47">
      <x:c r="A47" s="131" t="str">
        <x:v>claude-sonnet-5</x:v>
      </x:c>
      <x:c r="B47" s="131" t="str">
        <x:v>low</x:v>
      </x:c>
      <x:c r="C47" s="131" t="str">
        <x:v>AAII v4.3.2</x:v>
      </x:c>
      <x:c r="D47" s="131" t="n">
        <x:v>25</x:v>
      </x:c>
      <x:c r="E47" s="132" t="n">
        <x:v>0.51</x:v>
      </x:c>
      <x:c r="F47" s="132"/>
      <x:c r="G47" s="131" t="str">
        <x:v>2026-09-28</x:v>
      </x:c>
      <x:c r="H47" s="131" t="str">
        <x:v>https://artificialanalysis.ai/models/releases/claude-sonnet-5</x:v>
      </x:c>
      <x:c r="I47" s="131" t="str">
        <x:v>General evaluation task, NOT coding-agent task. Missing current timing stays blank.</x:v>
      </x:c>
      <x:c r="J47" s="131" t="n">
        <x:f>IF(OR(E47="",E47&lt;=0),"",ROUNDDOWN(60/E47,0))</x:f>
        <x:v>117</x:v>
      </x:c>
      <x:c r="K47" s="131" t="n">
        <x:f>IF(OR(E47="",E47&lt;=0),"",ROUNDDOWN(90/E47,0))</x:f>
        <x:v>176</x:v>
      </x:c>
      <x:c r="L47" s="131" t="n">
        <x:f>IF(OR(E47="",E47&lt;=0),"",ROUNDDOWN(120/E47,0))</x:f>
        <x:v>235</x:v>
      </x:c>
      <x:c r="M47" s="131" t="n">
        <x:f>IF(OR(E47="",E47&lt;=0),"",ROUNDDOWN(180/E47,0))</x:f>
        <x:v>352</x:v>
      </x:c>
      <x:c r="N47" s="131" t="str">
        <x:f>IF(OR(F47="",F47&lt;=0),"",ROUNDDOWN(160*60/F47,0))</x:f>
      </x:c>
    </x:row>
    <x:row r="48">
      <x:c r="A48" s="131" t="str">
        <x:v>claude-sonnet-5</x:v>
      </x:c>
      <x:c r="B48" s="131" t="str">
        <x:v>medium</x:v>
      </x:c>
      <x:c r="C48" s="131" t="str">
        <x:v>AAII v4.3.2</x:v>
      </x:c>
      <x:c r="D48" s="131" t="n">
        <x:v>28</x:v>
      </x:c>
      <x:c r="E48" s="132" t="n">
        <x:v>1</x:v>
      </x:c>
      <x:c r="F48" s="132"/>
      <x:c r="G48" s="131" t="str">
        <x:v>2026-09-28</x:v>
      </x:c>
      <x:c r="H48" s="131" t="str">
        <x:v>https://artificialanalysis.ai/models/releases/claude-sonnet-5</x:v>
      </x:c>
      <x:c r="I48" s="131" t="str">
        <x:v>General evaluation task, NOT coding-agent task. Missing current timing stays blank.</x:v>
      </x:c>
      <x:c r="J48" s="131" t="n">
        <x:f>IF(OR(E48="",E48&lt;=0),"",ROUNDDOWN(60/E48,0))</x:f>
        <x:v>60</x:v>
      </x:c>
      <x:c r="K48" s="131" t="n">
        <x:f>IF(OR(E48="",E48&lt;=0),"",ROUNDDOWN(90/E48,0))</x:f>
        <x:v>90</x:v>
      </x:c>
      <x:c r="L48" s="131" t="n">
        <x:f>IF(OR(E48="",E48&lt;=0),"",ROUNDDOWN(120/E48,0))</x:f>
        <x:v>120</x:v>
      </x:c>
      <x:c r="M48" s="131" t="n">
        <x:f>IF(OR(E48="",E48&lt;=0),"",ROUNDDOWN(180/E48,0))</x:f>
        <x:v>180</x:v>
      </x:c>
      <x:c r="N48" s="131" t="str">
        <x:f>IF(OR(F48="",F48&lt;=0),"",ROUNDDOWN(160*60/F48,0))</x:f>
      </x:c>
    </x:row>
    <x:row r="49">
      <x:c r="A49" s="131" t="str">
        <x:v>claude-sonnet-5</x:v>
      </x:c>
      <x:c r="B49" s="131" t="str">
        <x:v>high</x:v>
      </x:c>
      <x:c r="C49" s="131" t="str">
        <x:v>AAII v4.3.2</x:v>
      </x:c>
      <x:c r="D49" s="131" t="n">
        <x:v>32</x:v>
      </x:c>
      <x:c r="E49" s="132" t="n">
        <x:v>1.79</x:v>
      </x:c>
      <x:c r="F49" s="132"/>
      <x:c r="G49" s="131" t="str">
        <x:v>2026-09-28</x:v>
      </x:c>
      <x:c r="H49" s="131" t="str">
        <x:v>https://artificialanalysis.ai/models/releases/claude-sonnet-5</x:v>
      </x:c>
      <x:c r="I49" s="131" t="str">
        <x:v>General evaluation task, NOT coding-agent task. Missing current timing stays blank.</x:v>
      </x:c>
      <x:c r="J49" s="131" t="n">
        <x:f>IF(OR(E49="",E49&lt;=0),"",ROUNDDOWN(60/E49,0))</x:f>
        <x:v>33</x:v>
      </x:c>
      <x:c r="K49" s="131" t="n">
        <x:f>IF(OR(E49="",E49&lt;=0),"",ROUNDDOWN(90/E49,0))</x:f>
        <x:v>50</x:v>
      </x:c>
      <x:c r="L49" s="131" t="n">
        <x:f>IF(OR(E49="",E49&lt;=0),"",ROUNDDOWN(120/E49,0))</x:f>
        <x:v>67</x:v>
      </x:c>
      <x:c r="M49" s="131" t="n">
        <x:f>IF(OR(E49="",E49&lt;=0),"",ROUNDDOWN(180/E49,0))</x:f>
        <x:v>100</x:v>
      </x:c>
      <x:c r="N49" s="131" t="str">
        <x:f>IF(OR(F49="",F49&lt;=0),"",ROUNDDOWN(160*60/F49,0))</x:f>
      </x:c>
    </x:row>
    <x:row r="50">
      <x:c r="A50" s="131" t="str">
        <x:v>claude-sonnet-5</x:v>
      </x:c>
      <x:c r="B50" s="131" t="str">
        <x:v>xhigh</x:v>
      </x:c>
      <x:c r="C50" s="131" t="str">
        <x:v>AAII v4.3.2</x:v>
      </x:c>
      <x:c r="D50" s="131"/>
      <x:c r="E50" s="132"/>
      <x:c r="F50" s="132"/>
      <x:c r="G50" s="131" t="str">
        <x:v>2026-09-28</x:v>
      </x:c>
      <x:c r="H50" s="131" t="str">
        <x:v>https://artificialanalysis.ai/models/releases/claude-sonnet-5</x:v>
      </x:c>
      <x:c r="I50" s="131" t="str">
        <x:v>General evaluation task, NOT coding-agent task. Missing current timing stays blank.</x:v>
      </x:c>
      <x:c r="J50" s="131" t="str">
        <x:f>IF(OR(E50="",E50&lt;=0),"",ROUNDDOWN(60/E50,0))</x:f>
      </x:c>
      <x:c r="K50" s="131" t="str">
        <x:f>IF(OR(E50="",E50&lt;=0),"",ROUNDDOWN(90/E50,0))</x:f>
      </x:c>
      <x:c r="L50" s="131" t="str">
        <x:f>IF(OR(E50="",E50&lt;=0),"",ROUNDDOWN(120/E50,0))</x:f>
      </x:c>
      <x:c r="M50" s="131" t="str">
        <x:f>IF(OR(E50="",E50&lt;=0),"",ROUNDDOWN(180/E50,0))</x:f>
      </x:c>
      <x:c r="N50" s="131" t="str">
        <x:f>IF(OR(F50="",F50&lt;=0),"",ROUNDDOWN(160*60/F50,0))</x:f>
      </x:c>
    </x:row>
    <x:row r="51">
      <x:c r="A51" s="131" t="str">
        <x:v>claude-sonnet-5</x:v>
      </x:c>
      <x:c r="B51" s="131" t="str">
        <x:v>max</x:v>
      </x:c>
      <x:c r="C51" s="131" t="str">
        <x:v>AAII v4.3.2</x:v>
      </x:c>
      <x:c r="D51" s="131" t="n">
        <x:v>38</x:v>
      </x:c>
      <x:c r="E51" s="132" t="n">
        <x:v>5.09</x:v>
      </x:c>
      <x:c r="F51" s="132"/>
      <x:c r="G51" s="131" t="str">
        <x:v>2026-09-28</x:v>
      </x:c>
      <x:c r="H51" s="131" t="str">
        <x:v>https://artificialanalysis.ai/models/releases/claude-sonnet-5</x:v>
      </x:c>
      <x:c r="I51" s="131" t="str">
        <x:v>General evaluation task, NOT coding-agent task. Missing current timing stays blank.</x:v>
      </x:c>
      <x:c r="J51" s="131" t="n">
        <x:f>IF(OR(E51="",E51&lt;=0),"",ROUNDDOWN(60/E51,0))</x:f>
        <x:v>11</x:v>
      </x:c>
      <x:c r="K51" s="131" t="n">
        <x:f>IF(OR(E51="",E51&lt;=0),"",ROUNDDOWN(90/E51,0))</x:f>
        <x:v>17</x:v>
      </x:c>
      <x:c r="L51" s="131" t="n">
        <x:f>IF(OR(E51="",E51&lt;=0),"",ROUNDDOWN(120/E51,0))</x:f>
        <x:v>23</x:v>
      </x:c>
      <x:c r="M51" s="131" t="n">
        <x:f>IF(OR(E51="",E51&lt;=0),"",ROUNDDOWN(180/E51,0))</x:f>
        <x:v>35</x:v>
      </x:c>
      <x:c r="N51" s="131" t="str">
        <x:f>IF(OR(F51="",F51&lt;=0),"",ROUNDDOWN(160*60/F51,0))</x:f>
      </x:c>
    </x:row>
    <x:row r="52">
      <x:c r="A52" s="131" t="str">
        <x:v>claude-4.5-haiku</x:v>
      </x:c>
      <x:c r="B52" s="131" t="str">
        <x:v>non-reasoning</x:v>
      </x:c>
      <x:c r="C52" s="131" t="str">
        <x:v>AAII v4.3.2</x:v>
      </x:c>
      <x:c r="D52" s="131" t="n">
        <x:v>15</x:v>
      </x:c>
      <x:c r="E52" s="132"/>
      <x:c r="F52" s="132"/>
      <x:c r="G52" s="131" t="str">
        <x:v>2026-09-28</x:v>
      </x:c>
      <x:c r="H52" s="131" t="str">
        <x:v>https://artificialanalysis.ai/models/releases/claude-4-5-haiku</x:v>
      </x:c>
      <x:c r="I52" s="131" t="str">
        <x:v>General evaluation task, NOT coding-agent task. Missing current timing stays blank.</x:v>
      </x:c>
      <x:c r="J52" s="131" t="str">
        <x:f>IF(OR(E52="",E52&lt;=0),"",ROUNDDOWN(60/E52,0))</x:f>
      </x:c>
      <x:c r="K52" s="131" t="str">
        <x:f>IF(OR(E52="",E52&lt;=0),"",ROUNDDOWN(90/E52,0))</x:f>
      </x:c>
      <x:c r="L52" s="131" t="str">
        <x:f>IF(OR(E52="",E52&lt;=0),"",ROUNDDOWN(120/E52,0))</x:f>
      </x:c>
      <x:c r="M52" s="131" t="str">
        <x:f>IF(OR(E52="",E52&lt;=0),"",ROUNDDOWN(180/E52,0))</x:f>
      </x:c>
      <x:c r="N52" s="131" t="str">
        <x:f>IF(OR(F52="",F52&lt;=0),"",ROUNDDOWN(160*60/F52,0))</x:f>
      </x:c>
    </x:row>
    <x:row r="53">
      <x:c r="A53" s="131" t="str">
        <x:v>claude-4.5-haiku</x:v>
      </x:c>
      <x:c r="B53" s="131" t="str">
        <x:v>reasoning</x:v>
      </x:c>
      <x:c r="C53" s="131" t="str">
        <x:v>AAII v4.3.2</x:v>
      </x:c>
      <x:c r="D53" s="131" t="n">
        <x:v>17</x:v>
      </x:c>
      <x:c r="E53" s="132" t="n">
        <x:v>0.28</x:v>
      </x:c>
      <x:c r="F53" s="132"/>
      <x:c r="G53" s="131" t="str">
        <x:v>2026-09-28</x:v>
      </x:c>
      <x:c r="H53" s="131" t="str">
        <x:v>https://artificialanalysis.ai/models/releases/claude-4-5-haiku</x:v>
      </x:c>
      <x:c r="I53" s="131" t="str">
        <x:v>General evaluation task, NOT coding-agent task. Missing current timing stays blank.</x:v>
      </x:c>
      <x:c r="J53" s="131" t="n">
        <x:f>IF(OR(E53="",E53&lt;=0),"",ROUNDDOWN(60/E53,0))</x:f>
        <x:v>214</x:v>
      </x:c>
      <x:c r="K53" s="131" t="n">
        <x:f>IF(OR(E53="",E53&lt;=0),"",ROUNDDOWN(90/E53,0))</x:f>
        <x:v>321</x:v>
      </x:c>
      <x:c r="L53" s="131" t="n">
        <x:f>IF(OR(E53="",E53&lt;=0),"",ROUNDDOWN(120/E53,0))</x:f>
        <x:v>428</x:v>
      </x:c>
      <x:c r="M53" s="131" t="n">
        <x:f>IF(OR(E53="",E53&lt;=0),"",ROUNDDOWN(180/E53,0))</x:f>
        <x:v>642</x:v>
      </x:c>
      <x:c r="N53" s="131" t="str">
        <x:f>IF(OR(F53="",F53&lt;=0),"",ROUNDDOWN(160*60/F53,0))</x:f>
      </x:c>
    </x:row>
    <x:row r="54">
      <x:c r="A54" s="131" t="str">
        <x:v>claude-opus-4.5</x:v>
      </x:c>
      <x:c r="B54" s="131" t="str">
        <x:v>non-reasoning</x:v>
      </x:c>
      <x:c r="C54" s="131" t="str">
        <x:v>AAII v4.3.2</x:v>
      </x:c>
      <x:c r="D54" s="131" t="n">
        <x:v>24</x:v>
      </x:c>
      <x:c r="E54" s="132"/>
      <x:c r="F54" s="132"/>
      <x:c r="G54" s="131" t="str">
        <x:v>2026-09-28</x:v>
      </x:c>
      <x:c r="H54" s="131" t="str">
        <x:v>https://artificialanalysis.ai/models/releases/claude-opus-4-5</x:v>
      </x:c>
      <x:c r="I54" s="131" t="str">
        <x:v>General evaluation task, NOT coding-agent task. Missing current timing stays blank.</x:v>
      </x:c>
      <x:c r="J54" s="131" t="str">
        <x:f>IF(OR(E54="",E54&lt;=0),"",ROUNDDOWN(60/E54,0))</x:f>
      </x:c>
      <x:c r="K54" s="131" t="str">
        <x:f>IF(OR(E54="",E54&lt;=0),"",ROUNDDOWN(90/E54,0))</x:f>
      </x:c>
      <x:c r="L54" s="131" t="str">
        <x:f>IF(OR(E54="",E54&lt;=0),"",ROUNDDOWN(120/E54,0))</x:f>
      </x:c>
      <x:c r="M54" s="131" t="str">
        <x:f>IF(OR(E54="",E54&lt;=0),"",ROUNDDOWN(180/E54,0))</x:f>
      </x:c>
      <x:c r="N54" s="131" t="str">
        <x:f>IF(OR(F54="",F54&lt;=0),"",ROUNDDOWN(160*60/F54,0))</x:f>
      </x:c>
    </x:row>
    <x:row r="55">
      <x:c r="A55" s="131" t="str">
        <x:v>claude-opus-4.5</x:v>
      </x:c>
      <x:c r="B55" s="131" t="str">
        <x:v>reasoning</x:v>
      </x:c>
      <x:c r="C55" s="131" t="str">
        <x:v>AAII v4.3.2</x:v>
      </x:c>
      <x:c r="D55" s="131" t="n">
        <x:v>29</x:v>
      </x:c>
      <x:c r="E55" s="132"/>
      <x:c r="F55" s="132"/>
      <x:c r="G55" s="131" t="str">
        <x:v>2026-09-28</x:v>
      </x:c>
      <x:c r="H55" s="131" t="str">
        <x:v>https://artificialanalysis.ai/models/releases/claude-opus-4-5</x:v>
      </x:c>
      <x:c r="I55" s="131" t="str">
        <x:v>General evaluation task, NOT coding-agent task. Missing current timing stays blank.</x:v>
      </x:c>
      <x:c r="J55" s="131" t="str">
        <x:f>IF(OR(E55="",E55&lt;=0),"",ROUNDDOWN(60/E55,0))</x:f>
      </x:c>
      <x:c r="K55" s="131" t="str">
        <x:f>IF(OR(E55="",E55&lt;=0),"",ROUNDDOWN(90/E55,0))</x:f>
      </x:c>
      <x:c r="L55" s="131" t="str">
        <x:f>IF(OR(E55="",E55&lt;=0),"",ROUNDDOWN(120/E55,0))</x:f>
      </x:c>
      <x:c r="M55" s="131" t="str">
        <x:f>IF(OR(E55="",E55&lt;=0),"",ROUNDDOWN(180/E55,0))</x:f>
      </x:c>
      <x:c r="N55" s="131" t="str">
        <x:f>IF(OR(F55="",F55&lt;=0),"",ROUNDDOWN(160*60/F55,0))</x:f>
      </x:c>
    </x:row>
    <x:row r="56">
      <x:c r="A56" s="131" t="str">
        <x:v>glm-5.3-flash</x:v>
      </x:c>
      <x:c r="B56" s="131" t="str">
        <x:v>reasoning</x:v>
      </x:c>
      <x:c r="C56" s="131" t="str">
        <x:v>AAII v4.3.2</x:v>
      </x:c>
      <x:c r="D56" s="131" t="n">
        <x:v>42</x:v>
      </x:c>
      <x:c r="E56" s="132" t="n">
        <x:v>0.25</x:v>
      </x:c>
      <x:c r="F56" s="132"/>
      <x:c r="G56" s="131" t="str">
        <x:v>2026-10-12</x:v>
      </x:c>
      <x:c r="H56" s="131" t="str">
        <x:v>https://artificialanalysis.ai/models/glm-5-3-flash</x:v>
      </x:c>
      <x:c r="I56" s="131" t="str">
        <x:v>General evaluation task, NOT coding-agent task. Missing current timing stays blank.</x:v>
      </x:c>
      <x:c r="J56" s="131" t="n">
        <x:f>IF(OR(E56="",E56&lt;=0),"",ROUNDDOWN(60/E56,0))</x:f>
        <x:v>240</x:v>
      </x:c>
      <x:c r="K56" s="131" t="n">
        <x:f>IF(OR(E56="",E56&lt;=0),"",ROUNDDOWN(90/E56,0))</x:f>
        <x:v>360</x:v>
      </x:c>
      <x:c r="L56" s="131" t="n">
        <x:f>IF(OR(E56="",E56&lt;=0),"",ROUNDDOWN(120/E56,0))</x:f>
        <x:v>480</x:v>
      </x:c>
      <x:c r="M56" s="131" t="n">
        <x:f>IF(OR(E56="",E56&lt;=0),"",ROUNDDOWN(180/E56,0))</x:f>
        <x:v>720</x:v>
      </x:c>
      <x:c r="N56" s="131" t="str">
        <x:f>IF(OR(F56="",F56&lt;=0),"",ROUNDDOWN(160*60/F56,0))</x:f>
      </x:c>
    </x:row>
    <x:row r="57">
      <x:c r="A57" s="131" t="str">
        <x:v>qwen3.8-flash-next</x:v>
      </x:c>
      <x:c r="B57" s="131" t="str">
        <x:v>reasoning</x:v>
      </x:c>
      <x:c r="C57" s="131" t="str">
        <x:v>AAII v4.3.2</x:v>
      </x:c>
      <x:c r="D57" s="131" t="n">
        <x:v>40</x:v>
      </x:c>
      <x:c r="E57" s="132" t="n">
        <x:v>0.37</x:v>
      </x:c>
      <x:c r="F57" s="132" t="n">
        <x:v>27.701</x:v>
      </x:c>
      <x:c r="G57" s="131" t="str">
        <x:v>2026-09-28</x:v>
      </x:c>
      <x:c r="H57" s="131" t="str">
        <x:v>https://artificialanalysis.ai/models/comparisons/glm-5-3-flash-vs-qwen3-8-flash-next</x:v>
      </x:c>
      <x:c r="I57" s="131" t="str">
        <x:v>General evaluation task, NOT coding-agent task. Missing current timing stays blank.</x:v>
      </x:c>
      <x:c r="J57" s="131" t="n">
        <x:f>IF(OR(E57="",E57&lt;=0),"",ROUNDDOWN(60/E57,0))</x:f>
        <x:v>162</x:v>
      </x:c>
      <x:c r="K57" s="131" t="n">
        <x:f>IF(OR(E57="",E57&lt;=0),"",ROUNDDOWN(90/E57,0))</x:f>
        <x:v>243</x:v>
      </x:c>
      <x:c r="L57" s="131" t="n">
        <x:f>IF(OR(E57="",E57&lt;=0),"",ROUNDDOWN(120/E57,0))</x:f>
        <x:v>324</x:v>
      </x:c>
      <x:c r="M57" s="131" t="n">
        <x:f>IF(OR(E57="",E57&lt;=0),"",ROUNDDOWN(180/E57,0))</x:f>
        <x:v>486</x:v>
      </x:c>
      <x:c r="N57" s="131" t="n">
        <x:f>IF(OR(F57="",F57&lt;=0),"",ROUNDDOWN(160*60/F57,0))</x:f>
        <x:v>346</x:v>
      </x:c>
    </x:row>
    <x:row r="58">
      <x:c r="A58" s="131" t="str">
        <x:v>mimo-v2.6-flash</x:v>
      </x:c>
      <x:c r="B58" s="131" t="str">
        <x:v>reasoning</x:v>
      </x:c>
      <x:c r="C58" s="131" t="str">
        <x:v>AAII v4.3.2</x:v>
      </x:c>
      <x:c r="D58" s="131" t="n">
        <x:v>38</x:v>
      </x:c>
      <x:c r="E58" s="132" t="n">
        <x:v>0.06</x:v>
      </x:c>
      <x:c r="F58" s="132"/>
      <x:c r="G58" s="131" t="str">
        <x:v>2026-10-12</x:v>
      </x:c>
      <x:c r="H58" s="131" t="str">
        <x:v>https://artificialanalysis.ai/models/mimo-v2-6-flash</x:v>
      </x:c>
      <x:c r="I58" s="131" t="str">
        <x:v>General evaluation task, NOT coding-agent task. Missing current timing stays blank.</x:v>
      </x:c>
      <x:c r="J58" s="131" t="n">
        <x:f>IF(OR(E58="",E58&lt;=0),"",ROUNDDOWN(60/E58,0))</x:f>
        <x:v>1000</x:v>
      </x:c>
      <x:c r="K58" s="131" t="n">
        <x:f>IF(OR(E58="",E58&lt;=0),"",ROUNDDOWN(90/E58,0))</x:f>
        <x:v>1500</x:v>
      </x:c>
      <x:c r="L58" s="131" t="n">
        <x:f>IF(OR(E58="",E58&lt;=0),"",ROUNDDOWN(120/E58,0))</x:f>
        <x:v>2000</x:v>
      </x:c>
      <x:c r="M58" s="131" t="n">
        <x:f>IF(OR(E58="",E58&lt;=0),"",ROUNDDOWN(180/E58,0))</x:f>
        <x:v>3000</x:v>
      </x:c>
      <x:c r="N58" s="131" t="str">
        <x:f>IF(OR(F58="",F58&lt;=0),"",ROUNDDOWN(160*60/F58,0))</x:f>
      </x:c>
    </x:row>
    <x:row r="59">
      <x:c r="A59" s="131" t="str">
        <x:v>minimax-m3</x:v>
      </x:c>
      <x:c r="B59" s="131" t="str">
        <x:v>reasoning</x:v>
      </x:c>
      <x:c r="C59" s="131" t="str">
        <x:v>AAII v4.3.2</x:v>
      </x:c>
      <x:c r="D59" s="131" t="n">
        <x:v>29</x:v>
      </x:c>
      <x:c r="E59" s="132" t="n">
        <x:v>0.51</x:v>
      </x:c>
      <x:c r="F59" s="132" t="n">
        <x:v>4.923333333333333</x:v>
      </x:c>
      <x:c r="G59" s="131" t="str">
        <x:v>2026-09-28</x:v>
      </x:c>
      <x:c r="H59" s="131" t="str">
        <x:v>https://artificialanalysis.ai/models/comparisons/mimo-v2-6-flash-vs-minimax-m3</x:v>
      </x:c>
      <x:c r="I59" s="131" t="str">
        <x:v>General evaluation task, NOT coding-agent task. Missing current timing stays blank.</x:v>
      </x:c>
      <x:c r="J59" s="131" t="n">
        <x:f>IF(OR(E59="",E59&lt;=0),"",ROUNDDOWN(60/E59,0))</x:f>
        <x:v>117</x:v>
      </x:c>
      <x:c r="K59" s="131" t="n">
        <x:f>IF(OR(E59="",E59&lt;=0),"",ROUNDDOWN(90/E59,0))</x:f>
        <x:v>176</x:v>
      </x:c>
      <x:c r="L59" s="131" t="n">
        <x:f>IF(OR(E59="",E59&lt;=0),"",ROUNDDOWN(120/E59,0))</x:f>
        <x:v>235</x:v>
      </x:c>
      <x:c r="M59" s="131" t="n">
        <x:f>IF(OR(E59="",E59&lt;=0),"",ROUNDDOWN(180/E59,0))</x:f>
        <x:v>352</x:v>
      </x:c>
      <x:c r="N59" s="131" t="n">
        <x:f>IF(OR(F59="",F59&lt;=0),"",ROUNDDOWN(160*60/F59,0))</x:f>
        <x:v>1949</x:v>
      </x:c>
    </x:row>
    <x:row r="60">
      <x:c r="A60" s="131" t="str">
        <x:v>muse-spark-1.3</x:v>
      </x:c>
      <x:c r="B60" s="131" t="str">
        <x:v>xhigh</x:v>
      </x:c>
      <x:c r="C60" s="131" t="str">
        <x:v>AAII v4.3.2</x:v>
      </x:c>
      <x:c r="D60" s="131" t="n">
        <x:v>45</x:v>
      </x:c>
      <x:c r="E60" s="132" t="n">
        <x:v>1.37</x:v>
      </x:c>
      <x:c r="F60" s="132"/>
      <x:c r="G60" s="131" t="str">
        <x:v>2026-09-28</x:v>
      </x:c>
      <x:c r="H60" s="131" t="str">
        <x:v>https://artificialanalysis.ai/models/comparisons/muse-spark-1-3-vs-gemini-3-8-flash</x:v>
      </x:c>
      <x:c r="I60" s="131" t="str">
        <x:v>General evaluation task, NOT coding-agent task. Missing current timing stays blank.</x:v>
      </x:c>
      <x:c r="J60" s="131" t="n">
        <x:f>IF(OR(E60="",E60&lt;=0),"",ROUNDDOWN(60/E60,0))</x:f>
        <x:v>43</x:v>
      </x:c>
      <x:c r="K60" s="131" t="n">
        <x:f>IF(OR(E60="",E60&lt;=0),"",ROUNDDOWN(90/E60,0))</x:f>
        <x:v>65</x:v>
      </x:c>
      <x:c r="L60" s="131" t="n">
        <x:f>IF(OR(E60="",E60&lt;=0),"",ROUNDDOWN(120/E60,0))</x:f>
        <x:v>87</x:v>
      </x:c>
      <x:c r="M60" s="131" t="n">
        <x:f>IF(OR(E60="",E60&lt;=0),"",ROUNDDOWN(180/E60,0))</x:f>
        <x:v>131</x:v>
      </x:c>
      <x:c r="N60" s="131" t="str">
        <x:f>IF(OR(F60="",F60&lt;=0),"",ROUNDDOWN(160*60/F60,0))</x:f>
      </x:c>
    </x:row>
    <x:row r="61">
      <x:c r="A61" s="131" t="str">
        <x:v>muse-spark-1.3</x:v>
      </x:c>
      <x:c r="B61" s="131" t="str">
        <x:v>max</x:v>
      </x:c>
      <x:c r="C61" s="131" t="str">
        <x:v>AAII v4.3.2</x:v>
      </x:c>
      <x:c r="D61" s="131" t="n">
        <x:v>48</x:v>
      </x:c>
      <x:c r="E61" s="132" t="n">
        <x:v>1.6</x:v>
      </x:c>
      <x:c r="F61" s="132" t="n">
        <x:v>5.212833333333333</x:v>
      </x:c>
      <x:c r="G61" s="131" t="str">
        <x:v>2026-09-28</x:v>
      </x:c>
      <x:c r="H61" s="131" t="str">
        <x:v>https://artificialanalysis.ai/models/comparisons/muse-spark-1-3-vs-gemini-3-8-flash</x:v>
      </x:c>
      <x:c r="I61" s="131" t="str">
        <x:v>General evaluation task, NOT coding-agent task. Missing current timing stays blank.</x:v>
      </x:c>
      <x:c r="J61" s="131" t="n">
        <x:f>IF(OR(E61="",E61&lt;=0),"",ROUNDDOWN(60/E61,0))</x:f>
        <x:v>37</x:v>
      </x:c>
      <x:c r="K61" s="131" t="n">
        <x:f>IF(OR(E61="",E61&lt;=0),"",ROUNDDOWN(90/E61,0))</x:f>
        <x:v>56</x:v>
      </x:c>
      <x:c r="L61" s="131" t="n">
        <x:f>IF(OR(E61="",E61&lt;=0),"",ROUNDDOWN(120/E61,0))</x:f>
        <x:v>75</x:v>
      </x:c>
      <x:c r="M61" s="131" t="n">
        <x:f>IF(OR(E61="",E61&lt;=0),"",ROUNDDOWN(180/E61,0))</x:f>
        <x:v>112</x:v>
      </x:c>
      <x:c r="N61" s="131" t="n">
        <x:f>IF(OR(F61="",F61&lt;=0),"",ROUNDDOWN(160*60/F61,0))</x:f>
        <x:v>1841</x:v>
      </x:c>
    </x:row>
    <x:row r="62">
      <x:c r="A62" s="131" t="str">
        <x:v>gemini-3.8-flash</x:v>
      </x:c>
      <x:c r="B62" s="131" t="str">
        <x:v>low</x:v>
      </x:c>
      <x:c r="C62" s="131" t="str">
        <x:v>AAII v4.3.2</x:v>
      </x:c>
      <x:c r="D62" s="131" t="n">
        <x:v>33</x:v>
      </x:c>
      <x:c r="E62" s="132"/>
      <x:c r="F62" s="132"/>
      <x:c r="G62" s="131" t="str">
        <x:v>2026-10-17</x:v>
      </x:c>
      <x:c r="H62" s="131" t="str">
        <x:v>https://artificialanalysis.ai/models/gemini-3-8-flash-low</x:v>
      </x:c>
      <x:c r="I62" s="131" t="str">
        <x:v>General evaluation task, NOT coding-agent task. Missing current timing stays blank.</x:v>
      </x:c>
      <x:c r="J62" s="131" t="str">
        <x:f>IF(OR(E62="",E62&lt;=0),"",ROUNDDOWN(60/E62,0))</x:f>
      </x:c>
      <x:c r="K62" s="131" t="str">
        <x:f>IF(OR(E62="",E62&lt;=0),"",ROUNDDOWN(90/E62,0))</x:f>
      </x:c>
      <x:c r="L62" s="131" t="str">
        <x:f>IF(OR(E62="",E62&lt;=0),"",ROUNDDOWN(120/E62,0))</x:f>
      </x:c>
      <x:c r="M62" s="131" t="str">
        <x:f>IF(OR(E62="",E62&lt;=0),"",ROUNDDOWN(180/E62,0))</x:f>
      </x:c>
      <x:c r="N62" s="131" t="str">
        <x:f>IF(OR(F62="",F62&lt;=0),"",ROUNDDOWN(160*60/F62,0))</x:f>
      </x:c>
    </x:row>
    <x:row r="63">
      <x:c r="A63" s="131" t="str">
        <x:v>gemini-3.8-flash</x:v>
      </x:c>
      <x:c r="B63" s="131" t="str">
        <x:v>medium</x:v>
      </x:c>
      <x:c r="C63" s="131" t="str">
        <x:v>AAII v4.3.2</x:v>
      </x:c>
      <x:c r="D63" s="131" t="n">
        <x:v>40</x:v>
      </x:c>
      <x:c r="E63" s="132" t="n">
        <x:v>0.93</x:v>
      </x:c>
      <x:c r="F63" s="132"/>
      <x:c r="G63" s="131" t="str">
        <x:v>2026-10-17</x:v>
      </x:c>
      <x:c r="H63" s="131" t="str">
        <x:v>https://artificialanalysis.ai/models/comparisons/gemini-3-8-flash-vs-gemini-3-8-flash-medium</x:v>
      </x:c>
      <x:c r="I63" s="131" t="str">
        <x:v>General evaluation task, NOT coding-agent task. Missing current timing stays blank.</x:v>
      </x:c>
      <x:c r="J63" s="131" t="n">
        <x:f>IF(OR(E63="",E63&lt;=0),"",ROUNDDOWN(60/E63,0))</x:f>
        <x:v>64</x:v>
      </x:c>
      <x:c r="K63" s="131" t="n">
        <x:f>IF(OR(E63="",E63&lt;=0),"",ROUNDDOWN(90/E63,0))</x:f>
        <x:v>96</x:v>
      </x:c>
      <x:c r="L63" s="131" t="n">
        <x:f>IF(OR(E63="",E63&lt;=0),"",ROUNDDOWN(120/E63,0))</x:f>
        <x:v>129</x:v>
      </x:c>
      <x:c r="M63" s="131" t="n">
        <x:f>IF(OR(E63="",E63&lt;=0),"",ROUNDDOWN(180/E63,0))</x:f>
        <x:v>193</x:v>
      </x:c>
      <x:c r="N63" s="131" t="str">
        <x:f>IF(OR(F63="",F63&lt;=0),"",ROUNDDOWN(160*60/F63,0))</x:f>
      </x:c>
    </x:row>
    <x:row r="64">
      <x:c r="A64" s="131" t="str">
        <x:v>gemini-3.8-flash</x:v>
      </x:c>
      <x:c r="B64" s="131" t="str">
        <x:v>high</x:v>
      </x:c>
      <x:c r="C64" s="131" t="str">
        <x:v>AAII v4.3.2</x:v>
      </x:c>
      <x:c r="D64" s="131" t="n">
        <x:v>41</x:v>
      </x:c>
      <x:c r="E64" s="132" t="n">
        <x:v>1.24</x:v>
      </x:c>
      <x:c r="F64" s="132" t="n">
        <x:v>7.899701489068945</x:v>
      </x:c>
      <x:c r="G64" s="131" t="str">
        <x:v>2026-10-17</x:v>
      </x:c>
      <x:c r="H64" s="131" t="str">
        <x:v>https://artificialanalysis.ai/models/gemini-3-8-flash</x:v>
      </x:c>
      <x:c r="I64" s="131" t="str">
        <x:v>General evaluation task, NOT coding-agent task. Missing current timing stays blank.</x:v>
      </x:c>
      <x:c r="J64" s="131" t="n">
        <x:f>IF(OR(E64="",E64&lt;=0),"",ROUNDDOWN(60/E64,0))</x:f>
        <x:v>48</x:v>
      </x:c>
      <x:c r="K64" s="131" t="n">
        <x:f>IF(OR(E64="",E64&lt;=0),"",ROUNDDOWN(90/E64,0))</x:f>
        <x:v>72</x:v>
      </x:c>
      <x:c r="L64" s="131" t="n">
        <x:f>IF(OR(E64="",E64&lt;=0),"",ROUNDDOWN(120/E64,0))</x:f>
        <x:v>96</x:v>
      </x:c>
      <x:c r="M64" s="131" t="n">
        <x:f>IF(OR(E64="",E64&lt;=0),"",ROUNDDOWN(180/E64,0))</x:f>
        <x:v>145</x:v>
      </x:c>
      <x:c r="N64" s="131" t="n">
        <x:f>IF(OR(F64="",F64&lt;=0),"",ROUNDDOWN(160*60/F64,0))</x:f>
        <x:v>1215</x:v>
      </x:c>
    </x:row>
    <x:row r="65">
      <x:c r="A65" s="131" t="str">
        <x:v>deepseek-v4.1-flash — Peak</x:v>
      </x:c>
      <x:c r="B65" s="131" t="str">
        <x:v>non-reasoning</x:v>
      </x:c>
      <x:c r="C65" s="131" t="str">
        <x:v>AAII v4.3.2</x:v>
      </x:c>
      <x:c r="D65" s="131" t="n">
        <x:v>25</x:v>
      </x:c>
      <x:c r="E65" s="132" t="n">
        <x:v>0.15</x:v>
      </x:c>
      <x:c r="F65" s="132"/>
      <x:c r="G65" s="131" t="str">
        <x:v>2026-10-12</x:v>
      </x:c>
      <x:c r="H65" s="131" t="str">
        <x:v>https://artificialanalysis.ai/models/deepseek-v4-1-flash-non-reasoning</x:v>
      </x:c>
      <x:c r="I65" s="131" t="str">
        <x:v>CONDITIONAL archived AA workload, not a fresh coding-agent score. Flash prior Sep28 AA price confirms peak basis; Pro AA billing basis unverified. Off-peak assumes half of peak token cost. Peak input0.3/M.</x:v>
      </x:c>
      <x:c r="J65" s="131" t="n">
        <x:f>IF(OR(E65="",E65&lt;=0),"",ROUNDDOWN(60/E65,0))</x:f>
        <x:v>400</x:v>
      </x:c>
      <x:c r="K65" s="131" t="n">
        <x:f>IF(OR(E65="",E65&lt;=0),"",ROUNDDOWN(90/E65,0))</x:f>
        <x:v>600</x:v>
      </x:c>
      <x:c r="L65" s="131" t="n">
        <x:f>IF(OR(E65="",E65&lt;=0),"",ROUNDDOWN(120/E65,0))</x:f>
        <x:v>800</x:v>
      </x:c>
      <x:c r="M65" s="131" t="n">
        <x:f>IF(OR(E65="",E65&lt;=0),"",ROUNDDOWN(180/E65,0))</x:f>
        <x:v>1200</x:v>
      </x:c>
      <x:c r="N65" s="131" t="str">
        <x:f>IF(OR(F65="",F65&lt;=0),"",ROUNDDOWN(160*60/F65,0))</x:f>
      </x:c>
    </x:row>
    <x:row r="66">
      <x:c r="A66" s="131" t="str">
        <x:v>deepseek-v4.1-flash — Off-peak</x:v>
      </x:c>
      <x:c r="B66" s="131" t="str">
        <x:v>non-reasoning</x:v>
      </x:c>
      <x:c r="C66" s="131" t="str">
        <x:v>AAII v4.3.2</x:v>
      </x:c>
      <x:c r="D66" s="131" t="n">
        <x:v>25</x:v>
      </x:c>
      <x:c r="E66" s="132" t="n">
        <x:v>0.075</x:v>
      </x:c>
      <x:c r="F66" s="132"/>
      <x:c r="G66" s="131" t="str">
        <x:v>2026-10-12</x:v>
      </x:c>
      <x:c r="H66" s="131" t="str">
        <x:v>https://artificialanalysis.ai/models/deepseek-v4-1-flash-non-reasoning</x:v>
      </x:c>
      <x:c r="I66" s="131" t="str">
        <x:v>CONDITIONAL archived AA workload, not a fresh coding-agent score. Flash prior Sep28 AA price confirms peak basis; Pro AA billing basis unverified. Off-peak assumes half of peak token cost. Off-peak input0.15/M.</x:v>
      </x:c>
      <x:c r="J66" s="131" t="n">
        <x:f>IF(OR(E66="",E66&lt;=0),"",ROUNDDOWN(60/E66,0))</x:f>
        <x:v>800</x:v>
      </x:c>
      <x:c r="K66" s="131" t="n">
        <x:f>IF(OR(E66="",E66&lt;=0),"",ROUNDDOWN(90/E66,0))</x:f>
        <x:v>1200</x:v>
      </x:c>
      <x:c r="L66" s="131" t="n">
        <x:f>IF(OR(E66="",E66&lt;=0),"",ROUNDDOWN(120/E66,0))</x:f>
        <x:v>1600</x:v>
      </x:c>
      <x:c r="M66" s="131" t="n">
        <x:f>IF(OR(E66="",E66&lt;=0),"",ROUNDDOWN(180/E66,0))</x:f>
        <x:v>2400</x:v>
      </x:c>
      <x:c r="N66" s="131" t="str">
        <x:f>IF(OR(F66="",F66&lt;=0),"",ROUNDDOWN(160*60/F66,0))</x:f>
      </x:c>
    </x:row>
    <x:row r="67">
      <x:c r="A67" s="131" t="str">
        <x:v>deepseek-v4.1-flash — Peak</x:v>
      </x:c>
      <x:c r="B67" s="131" t="str">
        <x:v>max</x:v>
      </x:c>
      <x:c r="C67" s="131" t="str">
        <x:v>AAII v4.3.2</x:v>
      </x:c>
      <x:c r="D67" s="131" t="n">
        <x:v>39</x:v>
      </x:c>
      <x:c r="E67" s="132" t="n">
        <x:v>0.27</x:v>
      </x:c>
      <x:c r="F67" s="132"/>
      <x:c r="G67" s="131" t="str">
        <x:v>2026-10-12</x:v>
      </x:c>
      <x:c r="H67" s="131" t="str">
        <x:v>https://artificialanalysis.ai/models/deepseek-v4-1-flash</x:v>
      </x:c>
      <x:c r="I67" s="131" t="str">
        <x:v>CONDITIONAL archived AA workload, not a fresh coding-agent score. Flash prior Sep28 AA price confirms peak basis; Pro AA billing basis unverified. Off-peak assumes half of peak token cost. Peak input0.3/M.</x:v>
      </x:c>
      <x:c r="J67" s="131" t="n">
        <x:f>IF(OR(E67="",E67&lt;=0),"",ROUNDDOWN(60/E67,0))</x:f>
        <x:v>222</x:v>
      </x:c>
      <x:c r="K67" s="131" t="n">
        <x:f>IF(OR(E67="",E67&lt;=0),"",ROUNDDOWN(90/E67,0))</x:f>
        <x:v>333</x:v>
      </x:c>
      <x:c r="L67" s="131" t="n">
        <x:f>IF(OR(E67="",E67&lt;=0),"",ROUNDDOWN(120/E67,0))</x:f>
        <x:v>444</x:v>
      </x:c>
      <x:c r="M67" s="131" t="n">
        <x:f>IF(OR(E67="",E67&lt;=0),"",ROUNDDOWN(180/E67,0))</x:f>
        <x:v>666</x:v>
      </x:c>
      <x:c r="N67" s="131" t="str">
        <x:f>IF(OR(F67="",F67&lt;=0),"",ROUNDDOWN(160*60/F67,0))</x:f>
      </x:c>
    </x:row>
    <x:row r="68">
      <x:c r="A68" s="131" t="str">
        <x:v>deepseek-v4.1-flash — Off-peak</x:v>
      </x:c>
      <x:c r="B68" s="131" t="str">
        <x:v>max</x:v>
      </x:c>
      <x:c r="C68" s="131" t="str">
        <x:v>AAII v4.3.2</x:v>
      </x:c>
      <x:c r="D68" s="131" t="n">
        <x:v>39</x:v>
      </x:c>
      <x:c r="E68" s="132" t="n">
        <x:v>0.135</x:v>
      </x:c>
      <x:c r="F68" s="132"/>
      <x:c r="G68" s="131" t="str">
        <x:v>2026-10-12</x:v>
      </x:c>
      <x:c r="H68" s="131" t="str">
        <x:v>https://artificialanalysis.ai/models/deepseek-v4-1-flash</x:v>
      </x:c>
      <x:c r="I68" s="131" t="str">
        <x:v>CONDITIONAL archived AA workload, not a fresh coding-agent score. Flash prior Sep28 AA price confirms peak basis; Pro AA billing basis unverified. Off-peak assumes half of peak token cost. Off-peak input0.15/M.</x:v>
      </x:c>
      <x:c r="J68" s="131" t="n">
        <x:f>IF(OR(E68="",E68&lt;=0),"",ROUNDDOWN(60/E68,0))</x:f>
        <x:v>444</x:v>
      </x:c>
      <x:c r="K68" s="131" t="n">
        <x:f>IF(OR(E68="",E68&lt;=0),"",ROUNDDOWN(90/E68,0))</x:f>
        <x:v>666</x:v>
      </x:c>
      <x:c r="L68" s="131" t="n">
        <x:f>IF(OR(E68="",E68&lt;=0),"",ROUNDDOWN(120/E68,0))</x:f>
        <x:v>888</x:v>
      </x:c>
      <x:c r="M68" s="131" t="n">
        <x:f>IF(OR(E68="",E68&lt;=0),"",ROUNDDOWN(180/E68,0))</x:f>
        <x:v>1333</x:v>
      </x:c>
      <x:c r="N68" s="131" t="str">
        <x:f>IF(OR(F68="",F68&lt;=0),"",ROUNDDOWN(160*60/F68,0))</x:f>
      </x:c>
    </x:row>
    <x:row r="69">
      <x:c r="A69" s="131" t="str">
        <x:v>glm-5.3</x:v>
      </x:c>
      <x:c r="B69" s="131" t="str">
        <x:v>low</x:v>
      </x:c>
      <x:c r="C69" s="131" t="str">
        <x:v>AAII v4.3.2</x:v>
      </x:c>
      <x:c r="D69" s="131" t="n">
        <x:v>34</x:v>
      </x:c>
      <x:c r="E69" s="132" t="n">
        <x:v>0.85</x:v>
      </x:c>
      <x:c r="F69" s="132"/>
      <x:c r="G69" s="131" t="str">
        <x:v>2026-10-12</x:v>
      </x:c>
      <x:c r="H69" s="131" t="str">
        <x:v>https://artificialanalysis.ai/models/glm-5-3-low</x:v>
      </x:c>
      <x:c r="I69" s="131" t="str">
        <x:v>General evaluation task, NOT coding-agent task. Missing current timing stays blank.</x:v>
      </x:c>
      <x:c r="J69" s="131" t="n">
        <x:f>IF(OR(E69="",E69&lt;=0),"",ROUNDDOWN(60/E69,0))</x:f>
        <x:v>70</x:v>
      </x:c>
      <x:c r="K69" s="131" t="n">
        <x:f>IF(OR(E69="",E69&lt;=0),"",ROUNDDOWN(90/E69,0))</x:f>
        <x:v>105</x:v>
      </x:c>
      <x:c r="L69" s="131" t="n">
        <x:f>IF(OR(E69="",E69&lt;=0),"",ROUNDDOWN(120/E69,0))</x:f>
        <x:v>141</x:v>
      </x:c>
      <x:c r="M69" s="131" t="n">
        <x:f>IF(OR(E69="",E69&lt;=0),"",ROUNDDOWN(180/E69,0))</x:f>
        <x:v>211</x:v>
      </x:c>
      <x:c r="N69" s="131" t="str">
        <x:f>IF(OR(F69="",F69&lt;=0),"",ROUNDDOWN(160*60/F69,0))</x:f>
      </x:c>
    </x:row>
    <x:row r="70">
      <x:c r="A70" s="131" t="str">
        <x:v>glm-5.3</x:v>
      </x:c>
      <x:c r="B70" s="131" t="str">
        <x:v>max</x:v>
      </x:c>
      <x:c r="C70" s="131" t="str">
        <x:v>AAII v4.3.2</x:v>
      </x:c>
      <x:c r="D70" s="131" t="n">
        <x:v>45</x:v>
      </x:c>
      <x:c r="E70" s="132" t="n">
        <x:v>2.01</x:v>
      </x:c>
      <x:c r="F70" s="132"/>
      <x:c r="G70" s="131" t="str">
        <x:v>2026-10-12</x:v>
      </x:c>
      <x:c r="H70" s="131" t="str">
        <x:v>https://artificialanalysis.ai/models/glm-5-3</x:v>
      </x:c>
      <x:c r="I70" s="131" t="str">
        <x:v>General evaluation task, NOT coding-agent task. Missing current timing stays blank.</x:v>
      </x:c>
      <x:c r="J70" s="131" t="n">
        <x:f>IF(OR(E70="",E70&lt;=0),"",ROUNDDOWN(60/E70,0))</x:f>
        <x:v>29</x:v>
      </x:c>
      <x:c r="K70" s="131" t="n">
        <x:f>IF(OR(E70="",E70&lt;=0),"",ROUNDDOWN(90/E70,0))</x:f>
        <x:v>44</x:v>
      </x:c>
      <x:c r="L70" s="131" t="n">
        <x:f>IF(OR(E70="",E70&lt;=0),"",ROUNDDOWN(120/E70,0))</x:f>
        <x:v>59</x:v>
      </x:c>
      <x:c r="M70" s="131" t="n">
        <x:f>IF(OR(E70="",E70&lt;=0),"",ROUNDDOWN(180/E70,0))</x:f>
        <x:v>89</x:v>
      </x:c>
      <x:c r="N70" s="131" t="str">
        <x:f>IF(OR(F70="",F70&lt;=0),"",ROUNDDOWN(160*60/F70,0))</x:f>
      </x:c>
    </x:row>
    <x:row r="71">
      <x:c r="A71" s="131" t="str">
        <x:v>qwen3.8-max-0902</x:v>
      </x:c>
      <x:c r="B71" s="131" t="str">
        <x:v>reasoning</x:v>
      </x:c>
      <x:c r="C71" s="131" t="str">
        <x:v>AAII v4.3.2</x:v>
      </x:c>
      <x:c r="D71" s="131" t="n">
        <x:v>45</x:v>
      </x:c>
      <x:c r="E71" s="132"/>
      <x:c r="F71" s="132"/>
      <x:c r="G71" s="131" t="str">
        <x:v>2026-09-28</x:v>
      </x:c>
      <x:c r="H71" s="131" t="str">
        <x:v>https://artificialanalysis.ai/models/creators/alibaba</x:v>
      </x:c>
      <x:c r="I71" s="131" t="str">
        <x:v>General evaluation task, NOT coding-agent task. Missing current timing stays blank.</x:v>
      </x:c>
      <x:c r="J71" s="131" t="str">
        <x:f>IF(OR(E71="",E71&lt;=0),"",ROUNDDOWN(60/E71,0))</x:f>
      </x:c>
      <x:c r="K71" s="131" t="str">
        <x:f>IF(OR(E71="",E71&lt;=0),"",ROUNDDOWN(90/E71,0))</x:f>
      </x:c>
      <x:c r="L71" s="131" t="str">
        <x:f>IF(OR(E71="",E71&lt;=0),"",ROUNDDOWN(120/E71,0))</x:f>
      </x:c>
      <x:c r="M71" s="131" t="str">
        <x:f>IF(OR(E71="",E71&lt;=0),"",ROUNDDOWN(180/E71,0))</x:f>
      </x:c>
      <x:c r="N71" s="131" t="str">
        <x:f>IF(OR(F71="",F71&lt;=0),"",ROUNDDOWN(160*60/F71,0))</x:f>
      </x:c>
    </x:row>
    <x:row r="72">
      <x:c r="A72" s="131" t="str">
        <x:v>qwen3.8-27b</x:v>
      </x:c>
      <x:c r="B72" s="131" t="str">
        <x:v>medium</x:v>
      </x:c>
      <x:c r="C72" s="131" t="str">
        <x:v>AAII v4.3.2</x:v>
      </x:c>
      <x:c r="D72" s="131" t="n">
        <x:v>28</x:v>
      </x:c>
      <x:c r="E72" s="132"/>
      <x:c r="F72" s="132"/>
      <x:c r="G72" s="131" t="str">
        <x:v>2026-09-28</x:v>
      </x:c>
      <x:c r="H72" s="131" t="str">
        <x:v>https://artificialanalysis.ai/models/creators/alibaba</x:v>
      </x:c>
      <x:c r="I72" s="131" t="str">
        <x:v>General evaluation task, NOT coding-agent task. Missing current timing stays blank.</x:v>
      </x:c>
      <x:c r="J72" s="131" t="str">
        <x:f>IF(OR(E72="",E72&lt;=0),"",ROUNDDOWN(60/E72,0))</x:f>
      </x:c>
      <x:c r="K72" s="131" t="str">
        <x:f>IF(OR(E72="",E72&lt;=0),"",ROUNDDOWN(90/E72,0))</x:f>
      </x:c>
      <x:c r="L72" s="131" t="str">
        <x:f>IF(OR(E72="",E72&lt;=0),"",ROUNDDOWN(120/E72,0))</x:f>
      </x:c>
      <x:c r="M72" s="131" t="str">
        <x:f>IF(OR(E72="",E72&lt;=0),"",ROUNDDOWN(180/E72,0))</x:f>
      </x:c>
      <x:c r="N72" s="131" t="str">
        <x:f>IF(OR(F72="",F72&lt;=0),"",ROUNDDOWN(160*60/F72,0))</x:f>
      </x:c>
    </x:row>
    <x:row r="73">
      <x:c r="A73" s="131" t="str">
        <x:v>qwen3.8-27b</x:v>
      </x:c>
      <x:c r="B73" s="131" t="str">
        <x:v>xhigh</x:v>
      </x:c>
      <x:c r="C73" s="131" t="str">
        <x:v>AAII v4.3.2</x:v>
      </x:c>
      <x:c r="D73" s="131" t="n">
        <x:v>34</x:v>
      </x:c>
      <x:c r="E73" s="132"/>
      <x:c r="F73" s="132"/>
      <x:c r="G73" s="131" t="str">
        <x:v>2026-09-28</x:v>
      </x:c>
      <x:c r="H73" s="131" t="str">
        <x:v>https://artificialanalysis.ai/models/creators/alibaba</x:v>
      </x:c>
      <x:c r="I73" s="131" t="str">
        <x:v>General evaluation task, NOT coding-agent task. Missing current timing stays blank.</x:v>
      </x:c>
      <x:c r="J73" s="131" t="str">
        <x:f>IF(OR(E73="",E73&lt;=0),"",ROUNDDOWN(60/E73,0))</x:f>
      </x:c>
      <x:c r="K73" s="131" t="str">
        <x:f>IF(OR(E73="",E73&lt;=0),"",ROUNDDOWN(90/E73,0))</x:f>
      </x:c>
      <x:c r="L73" s="131" t="str">
        <x:f>IF(OR(E73="",E73&lt;=0),"",ROUNDDOWN(120/E73,0))</x:f>
      </x:c>
      <x:c r="M73" s="131" t="str">
        <x:f>IF(OR(E73="",E73&lt;=0),"",ROUNDDOWN(180/E73,0))</x:f>
      </x:c>
      <x:c r="N73" s="131" t="str">
        <x:f>IF(OR(F73="",F73&lt;=0),"",ROUNDDOWN(160*60/F73,0))</x:f>
      </x:c>
    </x:row>
    <x:row r="74">
      <x:c r="A74" s="131" t="str">
        <x:v>kimi-k3</x:v>
      </x:c>
      <x:c r="B74" s="131" t="str">
        <x:v>max</x:v>
      </x:c>
      <x:c r="C74" s="131" t="str">
        <x:v>AAII v4.3.2</x:v>
      </x:c>
      <x:c r="D74" s="131" t="n">
        <x:v>44</x:v>
      </x:c>
      <x:c r="E74" s="132" t="n">
        <x:v>2</x:v>
      </x:c>
      <x:c r="F74" s="132"/>
      <x:c r="G74" s="131" t="str">
        <x:v>2026-09-28</x:v>
      </x:c>
      <x:c r="H74" s="131" t="str">
        <x:v>https://artificialanalysis.ai/models/comparisons/mimo-v2-6-flash-vs-kimi-k3</x:v>
      </x:c>
      <x:c r="I74" s="131" t="str">
        <x:v>General evaluation task, NOT coding-agent task. Missing current timing stays blank.</x:v>
      </x:c>
      <x:c r="J74" s="131" t="n">
        <x:f>IF(OR(E74="",E74&lt;=0),"",ROUNDDOWN(60/E74,0))</x:f>
        <x:v>30</x:v>
      </x:c>
      <x:c r="K74" s="131" t="n">
        <x:f>IF(OR(E74="",E74&lt;=0),"",ROUNDDOWN(90/E74,0))</x:f>
        <x:v>45</x:v>
      </x:c>
      <x:c r="L74" s="131" t="n">
        <x:f>IF(OR(E74="",E74&lt;=0),"",ROUNDDOWN(120/E74,0))</x:f>
        <x:v>60</x:v>
      </x:c>
      <x:c r="M74" s="131" t="n">
        <x:f>IF(OR(E74="",E74&lt;=0),"",ROUNDDOWN(180/E74,0))</x:f>
        <x:v>90</x:v>
      </x:c>
      <x:c r="N74" s="131" t="str">
        <x:f>IF(OR(F74="",F74&lt;=0),"",ROUNDDOWN(160*60/F74,0))</x:f>
      </x:c>
    </x:row>
    <x:row r="75">
      <x:c r="A75" s="131" t="str">
        <x:v>gemini-4-argon</x:v>
      </x:c>
      <x:c r="B75" s="131" t="str">
        <x:v>high</x:v>
      </x:c>
      <x:c r="C75" s="131" t="str">
        <x:v>AAII v4.3.2</x:v>
      </x:c>
      <x:c r="D75" s="131" t="n">
        <x:v>53</x:v>
      </x:c>
      <x:c r="E75" s="132" t="n">
        <x:v>1.99</x:v>
      </x:c>
      <x:c r="F75" s="132"/>
      <x:c r="G75" s="131" t="str">
        <x:v>2026-10-16</x:v>
      </x:c>
      <x:c r="H75" s="131" t="str">
        <x:v>https://artificialanalysis.ai/models/gemini-4-argon</x:v>
      </x:c>
      <x:c r="I75" s="131" t="str">
        <x:v>General evaluation task, NOT coding-agent task. Missing current timing stays blank.</x:v>
      </x:c>
      <x:c r="J75" s="131" t="n">
        <x:f>IF(OR(E75="",E75&lt;=0),"",ROUNDDOWN(60/E75,0))</x:f>
        <x:v>30</x:v>
      </x:c>
      <x:c r="K75" s="131" t="n">
        <x:f>IF(OR(E75="",E75&lt;=0),"",ROUNDDOWN(90/E75,0))</x:f>
        <x:v>45</x:v>
      </x:c>
      <x:c r="L75" s="131" t="n">
        <x:f>IF(OR(E75="",E75&lt;=0),"",ROUNDDOWN(120/E75,0))</x:f>
        <x:v>60</x:v>
      </x:c>
      <x:c r="M75" s="131" t="n">
        <x:f>IF(OR(E75="",E75&lt;=0),"",ROUNDDOWN(180/E75,0))</x:f>
        <x:v>90</x:v>
      </x:c>
      <x:c r="N75" s="131" t="str">
        <x:f>IF(OR(F75="",F75&lt;=0),"",ROUNDDOWN(160*60/F75,0))</x:f>
      </x:c>
    </x:row>
    <x:row r="76">
      <x:c r="A76" s="131" t="str">
        <x:v>gpt-6-1-sol</x:v>
      </x:c>
      <x:c r="B76" s="131" t="str">
        <x:v>low</x:v>
      </x:c>
      <x:c r="C76" s="131" t="str">
        <x:v>AAII v4.3.2</x:v>
      </x:c>
      <x:c r="D76" s="131" t="n">
        <x:v>42</x:v>
      </x:c>
      <x:c r="E76" s="132" t="n">
        <x:v>0.13</x:v>
      </x:c>
      <x:c r="F76" s="132"/>
      <x:c r="G76" s="131" t="str">
        <x:v>2026-10-11</x:v>
      </x:c>
      <x:c r="H76" s="131" t="str">
        <x:v>https://artificialanalysis.ai/models/gpt-6-1-sol-low</x:v>
      </x:c>
      <x:c r="I76" s="131" t="str">
        <x:v>General evaluation task, NOT coding-agent task. Missing current timing stays blank.</x:v>
      </x:c>
      <x:c r="J76" s="131" t="n">
        <x:f>IF(OR(E76="",E76&lt;=0),"",ROUNDDOWN(60/E76,0))</x:f>
        <x:v>461</x:v>
      </x:c>
      <x:c r="K76" s="131" t="n">
        <x:f>IF(OR(E76="",E76&lt;=0),"",ROUNDDOWN(90/E76,0))</x:f>
        <x:v>692</x:v>
      </x:c>
      <x:c r="L76" s="131" t="n">
        <x:f>IF(OR(E76="",E76&lt;=0),"",ROUNDDOWN(120/E76,0))</x:f>
        <x:v>923</x:v>
      </x:c>
      <x:c r="M76" s="131" t="n">
        <x:f>IF(OR(E76="",E76&lt;=0),"",ROUNDDOWN(180/E76,0))</x:f>
        <x:v>1384</x:v>
      </x:c>
      <x:c r="N76" s="131" t="str">
        <x:f>IF(OR(F76="",F76&lt;=0),"",ROUNDDOWN(160*60/F76,0))</x:f>
      </x:c>
    </x:row>
    <x:row r="77">
      <x:c r="A77" s="131" t="str">
        <x:v>gpt-6-1-sol</x:v>
      </x:c>
      <x:c r="B77" s="131" t="str">
        <x:v>medium</x:v>
      </x:c>
      <x:c r="C77" s="131" t="str">
        <x:v>AAII v4.3.2</x:v>
      </x:c>
      <x:c r="D77" s="131" t="n">
        <x:v>48</x:v>
      </x:c>
      <x:c r="E77" s="132" t="n">
        <x:v>0.21</x:v>
      </x:c>
      <x:c r="F77" s="132"/>
      <x:c r="G77" s="131" t="str">
        <x:v>2026-10-11</x:v>
      </x:c>
      <x:c r="H77" s="131" t="str">
        <x:v>https://artificialanalysis.ai/models/gpt-6-1-sol-medium</x:v>
      </x:c>
      <x:c r="I77" s="131" t="str">
        <x:v>General evaluation task, NOT coding-agent task. Missing current timing stays blank.</x:v>
      </x:c>
      <x:c r="J77" s="131" t="n">
        <x:f>IF(OR(E77="",E77&lt;=0),"",ROUNDDOWN(60/E77,0))</x:f>
        <x:v>285</x:v>
      </x:c>
      <x:c r="K77" s="131" t="n">
        <x:f>IF(OR(E77="",E77&lt;=0),"",ROUNDDOWN(90/E77,0))</x:f>
        <x:v>428</x:v>
      </x:c>
      <x:c r="L77" s="131" t="n">
        <x:f>IF(OR(E77="",E77&lt;=0),"",ROUNDDOWN(120/E77,0))</x:f>
        <x:v>571</x:v>
      </x:c>
      <x:c r="M77" s="131" t="n">
        <x:f>IF(OR(E77="",E77&lt;=0),"",ROUNDDOWN(180/E77,0))</x:f>
        <x:v>857</x:v>
      </x:c>
      <x:c r="N77" s="131" t="str">
        <x:f>IF(OR(F77="",F77&lt;=0),"",ROUNDDOWN(160*60/F77,0))</x:f>
      </x:c>
    </x:row>
    <x:row r="78">
      <x:c r="A78" s="131" t="str">
        <x:v>gpt-6-1-sol</x:v>
      </x:c>
      <x:c r="B78" s="131" t="str">
        <x:v>high</x:v>
      </x:c>
      <x:c r="C78" s="131" t="str">
        <x:v>AAII v4.3.2</x:v>
      </x:c>
      <x:c r="D78" s="131" t="n">
        <x:v>50</x:v>
      </x:c>
      <x:c r="E78" s="132" t="n">
        <x:v>0.32</x:v>
      </x:c>
      <x:c r="F78" s="132"/>
      <x:c r="G78" s="131" t="str">
        <x:v>2026-10-11</x:v>
      </x:c>
      <x:c r="H78" s="131" t="str">
        <x:v>https://artificialanalysis.ai/models/gpt-6-1-sol-high</x:v>
      </x:c>
      <x:c r="I78" s="131" t="str">
        <x:v>General evaluation task, NOT coding-agent task. Missing current timing stays blank.</x:v>
      </x:c>
      <x:c r="J78" s="131" t="n">
        <x:f>IF(OR(E78="",E78&lt;=0),"",ROUNDDOWN(60/E78,0))</x:f>
        <x:v>187</x:v>
      </x:c>
      <x:c r="K78" s="131" t="n">
        <x:f>IF(OR(E78="",E78&lt;=0),"",ROUNDDOWN(90/E78,0))</x:f>
        <x:v>281</x:v>
      </x:c>
      <x:c r="L78" s="131" t="n">
        <x:f>IF(OR(E78="",E78&lt;=0),"",ROUNDDOWN(120/E78,0))</x:f>
        <x:v>375</x:v>
      </x:c>
      <x:c r="M78" s="131" t="n">
        <x:f>IF(OR(E78="",E78&lt;=0),"",ROUNDDOWN(180/E78,0))</x:f>
        <x:v>562</x:v>
      </x:c>
      <x:c r="N78" s="131" t="str">
        <x:f>IF(OR(F78="",F78&lt;=0),"",ROUNDDOWN(160*60/F78,0))</x:f>
      </x:c>
    </x:row>
    <x:row r="79">
      <x:c r="A79" s="131" t="str">
        <x:v>gpt-6-1-sol</x:v>
      </x:c>
      <x:c r="B79" s="131" t="str">
        <x:v>xhigh</x:v>
      </x:c>
      <x:c r="C79" s="131" t="str">
        <x:v>AAII v4.3.2</x:v>
      </x:c>
      <x:c r="D79" s="131" t="n">
        <x:v>51</x:v>
      </x:c>
      <x:c r="E79" s="132" t="n">
        <x:v>0.39</x:v>
      </x:c>
      <x:c r="F79" s="132"/>
      <x:c r="G79" s="131" t="str">
        <x:v>2026-10-11</x:v>
      </x:c>
      <x:c r="H79" s="131" t="str">
        <x:v>https://artificialanalysis.ai/models/gpt-6-1-sol-xhigh</x:v>
      </x:c>
      <x:c r="I79" s="131" t="str">
        <x:v>General evaluation task, NOT coding-agent task. Missing current timing stays blank.</x:v>
      </x:c>
      <x:c r="J79" s="131" t="n">
        <x:f>IF(OR(E79="",E79&lt;=0),"",ROUNDDOWN(60/E79,0))</x:f>
        <x:v>153</x:v>
      </x:c>
      <x:c r="K79" s="131" t="n">
        <x:f>IF(OR(E79="",E79&lt;=0),"",ROUNDDOWN(90/E79,0))</x:f>
        <x:v>230</x:v>
      </x:c>
      <x:c r="L79" s="131" t="n">
        <x:f>IF(OR(E79="",E79&lt;=0),"",ROUNDDOWN(120/E79,0))</x:f>
        <x:v>307</x:v>
      </x:c>
      <x:c r="M79" s="131" t="n">
        <x:f>IF(OR(E79="",E79&lt;=0),"",ROUNDDOWN(180/E79,0))</x:f>
        <x:v>461</x:v>
      </x:c>
      <x:c r="N79" s="131" t="str">
        <x:f>IF(OR(F79="",F79&lt;=0),"",ROUNDDOWN(160*60/F79,0))</x:f>
      </x:c>
    </x:row>
    <x:row r="80">
      <x:c r="A80" s="131" t="str">
        <x:v>gpt-6-1-sol</x:v>
      </x:c>
      <x:c r="B80" s="131" t="str">
        <x:v>max</x:v>
      </x:c>
      <x:c r="C80" s="131" t="str">
        <x:v>AAII v4.3.2</x:v>
      </x:c>
      <x:c r="D80" s="131" t="n">
        <x:v>52</x:v>
      </x:c>
      <x:c r="E80" s="132" t="n">
        <x:v>0.72</x:v>
      </x:c>
      <x:c r="F80" s="132"/>
      <x:c r="G80" s="131" t="str">
        <x:v>2026-10-11</x:v>
      </x:c>
      <x:c r="H80" s="131" t="str">
        <x:v>https://artificialanalysis.ai/models/gpt-6-1-sol</x:v>
      </x:c>
      <x:c r="I80" s="131" t="str">
        <x:v>General evaluation task, NOT coding-agent task. Missing current timing stays blank.</x:v>
      </x:c>
      <x:c r="J80" s="131" t="n">
        <x:f>IF(OR(E80="",E80&lt;=0),"",ROUNDDOWN(60/E80,0))</x:f>
        <x:v>83</x:v>
      </x:c>
      <x:c r="K80" s="131" t="n">
        <x:f>IF(OR(E80="",E80&lt;=0),"",ROUNDDOWN(90/E80,0))</x:f>
        <x:v>125</x:v>
      </x:c>
      <x:c r="L80" s="131" t="n">
        <x:f>IF(OR(E80="",E80&lt;=0),"",ROUNDDOWN(120/E80,0))</x:f>
        <x:v>166</x:v>
      </x:c>
      <x:c r="M80" s="131" t="n">
        <x:f>IF(OR(E80="",E80&lt;=0),"",ROUNDDOWN(180/E80,0))</x:f>
        <x:v>250</x:v>
      </x:c>
      <x:c r="N80" s="131" t="str">
        <x:f>IF(OR(F80="",F80&lt;=0),"",ROUNDDOWN(160*60/F80,0))</x:f>
      </x:c>
    </x:row>
    <x:row r="81">
      <x:c r="A81" s="131" t="str">
        <x:v>claude-haiku-5-5</x:v>
      </x:c>
      <x:c r="B81" s="131" t="str">
        <x:v>low</x:v>
      </x:c>
      <x:c r="C81" s="131" t="str">
        <x:v>AAII v4.3.2</x:v>
      </x:c>
      <x:c r="D81" s="131" t="n">
        <x:v>29</x:v>
      </x:c>
      <x:c r="E81" s="132" t="n">
        <x:v>0.02</x:v>
      </x:c>
      <x:c r="F81" s="132"/>
      <x:c r="G81" s="131" t="str">
        <x:v>2026-10-11</x:v>
      </x:c>
      <x:c r="H81" s="131" t="str">
        <x:v>https://artificialanalysis.ai/models/claude-haiku-5-5-low</x:v>
      </x:c>
      <x:c r="I81" s="131" t="str">
        <x:v>General evaluation task, NOT coding-agent task. Missing current timing stays blank.</x:v>
      </x:c>
      <x:c r="J81" s="131" t="n">
        <x:f>IF(OR(E81="",E81&lt;=0),"",ROUNDDOWN(60/E81,0))</x:f>
        <x:v>3000</x:v>
      </x:c>
      <x:c r="K81" s="131" t="n">
        <x:f>IF(OR(E81="",E81&lt;=0),"",ROUNDDOWN(90/E81,0))</x:f>
        <x:v>4500</x:v>
      </x:c>
      <x:c r="L81" s="131" t="n">
        <x:f>IF(OR(E81="",E81&lt;=0),"",ROUNDDOWN(120/E81,0))</x:f>
        <x:v>6000</x:v>
      </x:c>
      <x:c r="M81" s="131" t="n">
        <x:f>IF(OR(E81="",E81&lt;=0),"",ROUNDDOWN(180/E81,0))</x:f>
        <x:v>9000</x:v>
      </x:c>
      <x:c r="N81" s="131" t="str">
        <x:f>IF(OR(F81="",F81&lt;=0),"",ROUNDDOWN(160*60/F81,0))</x:f>
      </x:c>
    </x:row>
    <x:row r="82">
      <x:c r="A82" s="131" t="str">
        <x:v>claude-haiku-5-5</x:v>
      </x:c>
      <x:c r="B82" s="131" t="str">
        <x:v>medium</x:v>
      </x:c>
      <x:c r="C82" s="131" t="str">
        <x:v>AAII v4.3.2</x:v>
      </x:c>
      <x:c r="D82" s="131" t="n">
        <x:v>34</x:v>
      </x:c>
      <x:c r="E82" s="132" t="n">
        <x:v>0.05</x:v>
      </x:c>
      <x:c r="F82" s="132"/>
      <x:c r="G82" s="131" t="str">
        <x:v>2026-10-11</x:v>
      </x:c>
      <x:c r="H82" s="131" t="str">
        <x:v>https://artificialanalysis.ai/models/claude-haiku-5-5-medium</x:v>
      </x:c>
      <x:c r="I82" s="131" t="str">
        <x:v>General evaluation task, NOT coding-agent task. Missing current timing stays blank.</x:v>
      </x:c>
      <x:c r="J82" s="131" t="n">
        <x:f>IF(OR(E82="",E82&lt;=0),"",ROUNDDOWN(60/E82,0))</x:f>
        <x:v>1200</x:v>
      </x:c>
      <x:c r="K82" s="131" t="n">
        <x:f>IF(OR(E82="",E82&lt;=0),"",ROUNDDOWN(90/E82,0))</x:f>
        <x:v>1800</x:v>
      </x:c>
      <x:c r="L82" s="131" t="n">
        <x:f>IF(OR(E82="",E82&lt;=0),"",ROUNDDOWN(120/E82,0))</x:f>
        <x:v>2400</x:v>
      </x:c>
      <x:c r="M82" s="131" t="n">
        <x:f>IF(OR(E82="",E82&lt;=0),"",ROUNDDOWN(180/E82,0))</x:f>
        <x:v>3600</x:v>
      </x:c>
      <x:c r="N82" s="131" t="str">
        <x:f>IF(OR(F82="",F82&lt;=0),"",ROUNDDOWN(160*60/F82,0))</x:f>
      </x:c>
    </x:row>
    <x:row r="83">
      <x:c r="A83" s="131" t="str">
        <x:v>claude-haiku-5-5</x:v>
      </x:c>
      <x:c r="B83" s="131" t="str">
        <x:v>high</x:v>
      </x:c>
      <x:c r="C83" s="131" t="str">
        <x:v>AAII v4.3.2</x:v>
      </x:c>
      <x:c r="D83" s="131" t="n">
        <x:v>38</x:v>
      </x:c>
      <x:c r="E83" s="132" t="n">
        <x:v>0.08</x:v>
      </x:c>
      <x:c r="F83" s="132"/>
      <x:c r="G83" s="131" t="str">
        <x:v>2026-10-11</x:v>
      </x:c>
      <x:c r="H83" s="131" t="str">
        <x:v>https://artificialanalysis.ai/models/claude-haiku-5-5-high</x:v>
      </x:c>
      <x:c r="I83" s="131" t="str">
        <x:v>General evaluation task, NOT coding-agent task. Missing current timing stays blank.</x:v>
      </x:c>
      <x:c r="J83" s="131" t="n">
        <x:f>IF(OR(E83="",E83&lt;=0),"",ROUNDDOWN(60/E83,0))</x:f>
        <x:v>750</x:v>
      </x:c>
      <x:c r="K83" s="131" t="n">
        <x:f>IF(OR(E83="",E83&lt;=0),"",ROUNDDOWN(90/E83,0))</x:f>
        <x:v>1125</x:v>
      </x:c>
      <x:c r="L83" s="131" t="n">
        <x:f>IF(OR(E83="",E83&lt;=0),"",ROUNDDOWN(120/E83,0))</x:f>
        <x:v>1500</x:v>
      </x:c>
      <x:c r="M83" s="131" t="n">
        <x:f>IF(OR(E83="",E83&lt;=0),"",ROUNDDOWN(180/E83,0))</x:f>
        <x:v>2250</x:v>
      </x:c>
      <x:c r="N83" s="131" t="str">
        <x:f>IF(OR(F83="",F83&lt;=0),"",ROUNDDOWN(160*60/F83,0))</x:f>
      </x:c>
    </x:row>
    <x:row r="84">
      <x:c r="A84" s="131" t="str">
        <x:v>claude-haiku-5-5</x:v>
      </x:c>
      <x:c r="B84" s="131" t="str">
        <x:v>xhigh</x:v>
      </x:c>
      <x:c r="C84" s="131" t="str">
        <x:v>AAII v4.3.2</x:v>
      </x:c>
      <x:c r="D84" s="131" t="n">
        <x:v>41</x:v>
      </x:c>
      <x:c r="E84" s="132" t="n">
        <x:v>0.12</x:v>
      </x:c>
      <x:c r="F84" s="132"/>
      <x:c r="G84" s="131" t="str">
        <x:v>2026-10-11</x:v>
      </x:c>
      <x:c r="H84" s="131" t="str">
        <x:v>https://artificialanalysis.ai/models/claude-haiku-5-5-xhigh</x:v>
      </x:c>
      <x:c r="I84" s="131" t="str">
        <x:v>General evaluation task, NOT coding-agent task. Missing current timing stays blank.</x:v>
      </x:c>
      <x:c r="J84" s="131" t="n">
        <x:f>IF(OR(E84="",E84&lt;=0),"",ROUNDDOWN(60/E84,0))</x:f>
        <x:v>500</x:v>
      </x:c>
      <x:c r="K84" s="131" t="n">
        <x:f>IF(OR(E84="",E84&lt;=0),"",ROUNDDOWN(90/E84,0))</x:f>
        <x:v>750</x:v>
      </x:c>
      <x:c r="L84" s="131" t="n">
        <x:f>IF(OR(E84="",E84&lt;=0),"",ROUNDDOWN(120/E84,0))</x:f>
        <x:v>1000</x:v>
      </x:c>
      <x:c r="M84" s="131" t="n">
        <x:f>IF(OR(E84="",E84&lt;=0),"",ROUNDDOWN(180/E84,0))</x:f>
        <x:v>1500</x:v>
      </x:c>
      <x:c r="N84" s="131" t="str">
        <x:f>IF(OR(F84="",F84&lt;=0),"",ROUNDDOWN(160*60/F84,0))</x:f>
      </x:c>
    </x:row>
    <x:row r="85">
      <x:c r="A85" s="131" t="str">
        <x:v>claude-haiku-5-5</x:v>
      </x:c>
      <x:c r="B85" s="131" t="str">
        <x:v>max</x:v>
      </x:c>
      <x:c r="C85" s="131" t="str">
        <x:v>AAII v4.3.2</x:v>
      </x:c>
      <x:c r="D85" s="131" t="n">
        <x:v>43</x:v>
      </x:c>
      <x:c r="E85" s="132" t="n">
        <x:v>0.21</x:v>
      </x:c>
      <x:c r="F85" s="132"/>
      <x:c r="G85" s="131" t="str">
        <x:v>2026-10-11</x:v>
      </x:c>
      <x:c r="H85" s="131" t="str">
        <x:v>https://artificialanalysis.ai/models/claude-haiku-5-5</x:v>
      </x:c>
      <x:c r="I85" s="131" t="str">
        <x:v>General evaluation task, NOT coding-agent task. Missing current timing stays blank.</x:v>
      </x:c>
      <x:c r="J85" s="131" t="n">
        <x:f>IF(OR(E85="",E85&lt;=0),"",ROUNDDOWN(60/E85,0))</x:f>
        <x:v>285</x:v>
      </x:c>
      <x:c r="K85" s="131" t="n">
        <x:f>IF(OR(E85="",E85&lt;=0),"",ROUNDDOWN(90/E85,0))</x:f>
        <x:v>428</x:v>
      </x:c>
      <x:c r="L85" s="131" t="n">
        <x:f>IF(OR(E85="",E85&lt;=0),"",ROUNDDOWN(120/E85,0))</x:f>
        <x:v>571</x:v>
      </x:c>
      <x:c r="M85" s="131" t="n">
        <x:f>IF(OR(E85="",E85&lt;=0),"",ROUNDDOWN(180/E85,0))</x:f>
        <x:v>857</x:v>
      </x:c>
      <x:c r="N85" s="131" t="str">
        <x:f>IF(OR(F85="",F85&lt;=0),"",ROUNDDOWN(160*60/F85,0))</x:f>
      </x:c>
    </x:row>
    <x:row r="86">
      <x:c r="A86" s="131" t="str">
        <x:v>mistral-large-4-preview</x:v>
      </x:c>
      <x:c r="B86" s="131" t="str">
        <x:v>reasoning</x:v>
      </x:c>
      <x:c r="C86" s="131" t="str">
        <x:v>AAII v4.3.2</x:v>
      </x:c>
      <x:c r="D86" s="131" t="n">
        <x:v>38</x:v>
      </x:c>
      <x:c r="E86" s="132" t="n">
        <x:v>1.13</x:v>
      </x:c>
      <x:c r="F86" s="132"/>
      <x:c r="G86" s="131" t="str">
        <x:v>2026-10-11</x:v>
      </x:c>
      <x:c r="H86" s="131" t="str">
        <x:v>https://artificialanalysis.ai/models/mistral-large-4/</x:v>
      </x:c>
      <x:c r="I86" s="131" t="str">
        <x:v>General evaluation task, NOT coding-agent task. Missing current timing stays blank.</x:v>
      </x:c>
      <x:c r="J86" s="131" t="n">
        <x:f>IF(OR(E86="",E86&lt;=0),"",ROUNDDOWN(60/E86,0))</x:f>
        <x:v>53</x:v>
      </x:c>
      <x:c r="K86" s="131" t="n">
        <x:f>IF(OR(E86="",E86&lt;=0),"",ROUNDDOWN(90/E86,0))</x:f>
        <x:v>79</x:v>
      </x:c>
      <x:c r="L86" s="131" t="n">
        <x:f>IF(OR(E86="",E86&lt;=0),"",ROUNDDOWN(120/E86,0))</x:f>
        <x:v>106</x:v>
      </x:c>
      <x:c r="M86" s="131" t="n">
        <x:f>IF(OR(E86="",E86&lt;=0),"",ROUNDDOWN(180/E86,0))</x:f>
        <x:v>159</x:v>
      </x:c>
      <x:c r="N86" s="131" t="str">
        <x:f>IF(OR(F86="",F86&lt;=0),"",ROUNDDOWN(160*60/F86,0))</x:f>
      </x:c>
    </x:row>
    <x:row r="87">
      <x:c r="A87" s="131" t="str">
        <x:v>grok-4-7</x:v>
      </x:c>
      <x:c r="B87" s="131" t="str">
        <x:v>xhigh</x:v>
      </x:c>
      <x:c r="C87" s="131" t="str">
        <x:v>AAII v4.3.2</x:v>
      </x:c>
      <x:c r="D87" s="131" t="n">
        <x:v>46</x:v>
      </x:c>
      <x:c r="E87" s="132" t="n">
        <x:v>3.74</x:v>
      </x:c>
      <x:c r="F87" s="132"/>
      <x:c r="G87" s="131" t="str">
        <x:v>2026-10-11</x:v>
      </x:c>
      <x:c r="H87" s="131" t="str">
        <x:v>https://artificialanalysis.ai/models/grok-4-7</x:v>
      </x:c>
      <x:c r="I87" s="131" t="str">
        <x:v>General evaluation task, NOT coding-agent task. Missing current timing stays blank.</x:v>
      </x:c>
      <x:c r="J87" s="131" t="n">
        <x:f>IF(OR(E87="",E87&lt;=0),"",ROUNDDOWN(60/E87,0))</x:f>
        <x:v>16</x:v>
      </x:c>
      <x:c r="K87" s="131" t="n">
        <x:f>IF(OR(E87="",E87&lt;=0),"",ROUNDDOWN(90/E87,0))</x:f>
        <x:v>24</x:v>
      </x:c>
      <x:c r="L87" s="131" t="n">
        <x:f>IF(OR(E87="",E87&lt;=0),"",ROUNDDOWN(120/E87,0))</x:f>
        <x:v>32</x:v>
      </x:c>
      <x:c r="M87" s="131" t="n">
        <x:f>IF(OR(E87="",E87&lt;=0),"",ROUNDDOWN(180/E87,0))</x:f>
        <x:v>48</x:v>
      </x:c>
      <x:c r="N87" s="131" t="str">
        <x:f>IF(OR(F87="",F87&lt;=0),"",ROUNDDOWN(160*60/F87,0))</x:f>
      </x:c>
    </x:row>
    <x:row r="88">
      <x:c r="A88" s="131" t="str">
        <x:v>solar-mini-4</x:v>
      </x:c>
      <x:c r="B88" s="131" t="str">
        <x:v>reasoning</x:v>
      </x:c>
      <x:c r="C88" s="131" t="str">
        <x:v>AAII v4.3.2</x:v>
      </x:c>
      <x:c r="D88" s="131" t="n">
        <x:v>24</x:v>
      </x:c>
      <x:c r="E88" s="132" t="n">
        <x:v>0.37</x:v>
      </x:c>
      <x:c r="F88" s="132"/>
      <x:c r="G88" s="131" t="str">
        <x:v>2026-10-11</x:v>
      </x:c>
      <x:c r="H88" s="131" t="str">
        <x:v>https://artificialanalysis.ai/models/solar-mini4</x:v>
      </x:c>
      <x:c r="I88" s="131" t="str">
        <x:v>General evaluation task, NOT coding-agent task. Missing current timing stays blank.</x:v>
      </x:c>
      <x:c r="J88" s="131" t="n">
        <x:f>IF(OR(E88="",E88&lt;=0),"",ROUNDDOWN(60/E88,0))</x:f>
        <x:v>162</x:v>
      </x:c>
      <x:c r="K88" s="131" t="n">
        <x:f>IF(OR(E88="",E88&lt;=0),"",ROUNDDOWN(90/E88,0))</x:f>
        <x:v>243</x:v>
      </x:c>
      <x:c r="L88" s="131" t="n">
        <x:f>IF(OR(E88="",E88&lt;=0),"",ROUNDDOWN(120/E88,0))</x:f>
        <x:v>324</x:v>
      </x:c>
      <x:c r="M88" s="131" t="n">
        <x:f>IF(OR(E88="",E88&lt;=0),"",ROUNDDOWN(180/E88,0))</x:f>
        <x:v>486</x:v>
      </x:c>
      <x:c r="N88" s="131" t="str">
        <x:f>IF(OR(F88="",F88&lt;=0),"",ROUNDDOWN(160*60/F88,0))</x:f>
      </x:c>
    </x:row>
    <x:row r="89">
      <x:c r="A89" s="131" t="str">
        <x:v>gpt-6-1-sol</x:v>
      </x:c>
      <x:c r="B89" s="131" t="str">
        <x:v>max</x:v>
      </x:c>
      <x:c r="C89" s="131" t="str">
        <x:v>AAII v4.3.2</x:v>
      </x:c>
      <x:c r="D89" s="131" t="n">
        <x:v>52</x:v>
      </x:c>
      <x:c r="E89" s="132" t="n">
        <x:v>0.72</x:v>
      </x:c>
      <x:c r="F89" s="132"/>
      <x:c r="G89" s="131" t="str">
        <x:v>2026-10-16</x:v>
      </x:c>
      <x:c r="H89" s="131" t="str">
        <x:v>https://artificialanalysis.ai/models/gpt-6-1-sol</x:v>
      </x:c>
      <x:c r="I89" s="131" t="str">
        <x:v>General evaluation task, NOT coding-agent task. Missing current timing stays blank.</x:v>
      </x:c>
      <x:c r="J89" s="131" t="n">
        <x:f>IF(OR(E89="",E89&lt;=0),"",ROUNDDOWN(60/E89,0))</x:f>
        <x:v>83</x:v>
      </x:c>
      <x:c r="K89" s="131" t="n">
        <x:f>IF(OR(E89="",E89&lt;=0),"",ROUNDDOWN(90/E89,0))</x:f>
        <x:v>125</x:v>
      </x:c>
      <x:c r="L89" s="131" t="n">
        <x:f>IF(OR(E89="",E89&lt;=0),"",ROUNDDOWN(120/E89,0))</x:f>
        <x:v>166</x:v>
      </x:c>
      <x:c r="M89" s="131" t="n">
        <x:f>IF(OR(E89="",E89&lt;=0),"",ROUNDDOWN(180/E89,0))</x:f>
        <x:v>250</x:v>
      </x:c>
      <x:c r="N89" s="131" t="str">
        <x:f>IF(OR(F89="",F89&lt;=0),"",ROUNDDOWN(160*60/F89,0))</x:f>
      </x:c>
    </x:row>
    <x:row r="90">
      <x:c r="A90" s="131" t="str">
        <x:v>claude-haiku-5-5</x:v>
      </x:c>
      <x:c r="B90" s="131" t="str">
        <x:v>max</x:v>
      </x:c>
      <x:c r="C90" s="131" t="str">
        <x:v>AAII v4.3.2</x:v>
      </x:c>
      <x:c r="D90" s="131" t="n">
        <x:v>43</x:v>
      </x:c>
      <x:c r="E90" s="132" t="n">
        <x:v>0.21</x:v>
      </x:c>
      <x:c r="F90" s="132"/>
      <x:c r="G90" s="131" t="str">
        <x:v>2026-10-16</x:v>
      </x:c>
      <x:c r="H90" s="131" t="str">
        <x:v>https://artificialanalysis.ai/models/claude-haiku-5-5</x:v>
      </x:c>
      <x:c r="I90" s="131" t="str">
        <x:v>General evaluation task, NOT coding-agent task. Missing current timing stays blank.</x:v>
      </x:c>
      <x:c r="J90" s="131" t="n">
        <x:f>IF(OR(E90="",E90&lt;=0),"",ROUNDDOWN(60/E90,0))</x:f>
        <x:v>285</x:v>
      </x:c>
      <x:c r="K90" s="131" t="n">
        <x:f>IF(OR(E90="",E90&lt;=0),"",ROUNDDOWN(90/E90,0))</x:f>
        <x:v>428</x:v>
      </x:c>
      <x:c r="L90" s="131" t="n">
        <x:f>IF(OR(E90="",E90&lt;=0),"",ROUNDDOWN(120/E90,0))</x:f>
        <x:v>571</x:v>
      </x:c>
      <x:c r="M90" s="131" t="n">
        <x:f>IF(OR(E90="",E90&lt;=0),"",ROUNDDOWN(180/E90,0))</x:f>
        <x:v>857</x:v>
      </x:c>
      <x:c r="N90" s="131" t="str">
        <x:f>IF(OR(F90="",F90&lt;=0),"",ROUNDDOWN(160*60/F90,0))</x:f>
      </x:c>
    </x:row>
    <x:row r="91">
      <x:c r="A91" s="131" t="str">
        <x:v>mistral-large-4-preview</x:v>
      </x:c>
      <x:c r="B91" s="131" t="str">
        <x:v>reasoning</x:v>
      </x:c>
      <x:c r="C91" s="131" t="str">
        <x:v>AAII v4.3.2</x:v>
      </x:c>
      <x:c r="D91" s="131" t="n">
        <x:v>38</x:v>
      </x:c>
      <x:c r="E91" s="132" t="n">
        <x:v>1.13</x:v>
      </x:c>
      <x:c r="F91" s="132"/>
      <x:c r="G91" s="131" t="str">
        <x:v>2026-10-16</x:v>
      </x:c>
      <x:c r="H91" s="131" t="str">
        <x:v>https://artificialanalysis.ai/models/mistral-large-4</x:v>
      </x:c>
      <x:c r="I91" s="131" t="str">
        <x:v>General evaluation task, NOT coding-agent task. Missing current timing stays blank.</x:v>
      </x:c>
      <x:c r="J91" s="131" t="n">
        <x:f>IF(OR(E91="",E91&lt;=0),"",ROUNDDOWN(60/E91,0))</x:f>
        <x:v>53</x:v>
      </x:c>
      <x:c r="K91" s="131" t="n">
        <x:f>IF(OR(E91="",E91&lt;=0),"",ROUNDDOWN(90/E91,0))</x:f>
        <x:v>79</x:v>
      </x:c>
      <x:c r="L91" s="131" t="n">
        <x:f>IF(OR(E91="",E91&lt;=0),"",ROUNDDOWN(120/E91,0))</x:f>
        <x:v>106</x:v>
      </x:c>
      <x:c r="M91" s="131" t="n">
        <x:f>IF(OR(E91="",E91&lt;=0),"",ROUNDDOWN(180/E91,0))</x:f>
        <x:v>159</x:v>
      </x:c>
      <x:c r="N91" s="131" t="str">
        <x:f>IF(OR(F91="",F91&lt;=0),"",ROUNDDOWN(160*60/F91,0))</x:f>
      </x:c>
    </x:row>
    <x:row r="92">
      <x:c r="A92" s="131" t="str">
        <x:v>grok-4-7</x:v>
      </x:c>
      <x:c r="B92" s="131" t="str">
        <x:v>xhigh</x:v>
      </x:c>
      <x:c r="C92" s="131" t="str">
        <x:v>AAII v4.3.2</x:v>
      </x:c>
      <x:c r="D92" s="131" t="n">
        <x:v>46</x:v>
      </x:c>
      <x:c r="E92" s="132" t="n">
        <x:v>3.74</x:v>
      </x:c>
      <x:c r="F92" s="132"/>
      <x:c r="G92" s="131" t="str">
        <x:v>2026-10-16</x:v>
      </x:c>
      <x:c r="H92" s="131" t="str">
        <x:v>https://artificialanalysis.ai/models/grok-4-7</x:v>
      </x:c>
      <x:c r="I92" s="131" t="str">
        <x:v>General evaluation task, NOT coding-agent task. Missing current timing stays blank.</x:v>
      </x:c>
      <x:c r="J92" s="131" t="n">
        <x:f>IF(OR(E92="",E92&lt;=0),"",ROUNDDOWN(60/E92,0))</x:f>
        <x:v>16</x:v>
      </x:c>
      <x:c r="K92" s="131" t="n">
        <x:f>IF(OR(E92="",E92&lt;=0),"",ROUNDDOWN(90/E92,0))</x:f>
        <x:v>24</x:v>
      </x:c>
      <x:c r="L92" s="131" t="n">
        <x:f>IF(OR(E92="",E92&lt;=0),"",ROUNDDOWN(120/E92,0))</x:f>
        <x:v>32</x:v>
      </x:c>
      <x:c r="M92" s="131" t="n">
        <x:f>IF(OR(E92="",E92&lt;=0),"",ROUNDDOWN(180/E92,0))</x:f>
        <x:v>48</x:v>
      </x:c>
      <x:c r="N92" s="131" t="str">
        <x:f>IF(OR(F92="",F92&lt;=0),"",ROUNDDOWN(160*60/F92,0))</x:f>
      </x:c>
    </x:row>
    <x:row r="93">
      <x:c r="A93" s="131" t="str">
        <x:v>muse-wonder-full</x:v>
      </x:c>
      <x:c r="B93" s="131" t="str">
        <x:v>max</x:v>
      </x:c>
      <x:c r="C93" s="131" t="str">
        <x:v>AAII v4.3.2</x:v>
      </x:c>
      <x:c r="D93" s="131" t="n">
        <x:v>56</x:v>
      </x:c>
      <x:c r="E93" s="132"/>
      <x:c r="F93" s="132"/>
      <x:c r="G93" s="131" t="str">
        <x:v>2026-10-16</x:v>
      </x:c>
      <x:c r="H93" s="131" t="str">
        <x:v>https://artificialanalysis.ai/models/muse-wonder-full</x:v>
      </x:c>
      <x:c r="I93" s="131" t="str">
        <x:v>General evaluation task, NOT coding-agent task. Missing current timing stays blank.</x:v>
      </x:c>
      <x:c r="J93" s="131" t="str">
        <x:f>IF(OR(E93="",E93&lt;=0),"",ROUNDDOWN(60/E93,0))</x:f>
      </x:c>
      <x:c r="K93" s="131" t="str">
        <x:f>IF(OR(E93="",E93&lt;=0),"",ROUNDDOWN(90/E93,0))</x:f>
      </x:c>
      <x:c r="L93" s="131" t="str">
        <x:f>IF(OR(E93="",E93&lt;=0),"",ROUNDDOWN(120/E93,0))</x:f>
      </x:c>
      <x:c r="M93" s="131" t="str">
        <x:f>IF(OR(E93="",E93&lt;=0),"",ROUNDDOWN(180/E93,0))</x:f>
      </x:c>
      <x:c r="N93" s="131" t="str">
        <x:f>IF(OR(F93="",F93&lt;=0),"",ROUNDDOWN(160*60/F93,0))</x:f>
      </x:c>
    </x:row>
    <x:row r="94">
      <x:c r="A94" s="131" t="str">
        <x:v>deepseek-v4-pro-0813 — Peak</x:v>
      </x:c>
      <x:c r="B94" s="131" t="str">
        <x:v>non-reasoning</x:v>
      </x:c>
      <x:c r="C94" s="131" t="str">
        <x:v>AAII v4.3.2</x:v>
      </x:c>
      <x:c r="D94" s="131" t="n">
        <x:v>20</x:v>
      </x:c>
      <x:c r="E94" s="132" t="n">
        <x:v>0.36</x:v>
      </x:c>
      <x:c r="F94" s="132"/>
      <x:c r="G94" s="131" t="str">
        <x:v>2026-10-12</x:v>
      </x:c>
      <x:c r="H94" s="131" t="str">
        <x:v>https://artificialanalysis.ai/models/deepseek-v4-pro-non-reasoning</x:v>
      </x:c>
      <x:c r="I94" s="131" t="str">
        <x:v>CONDITIONAL archived AA workload, not a fresh coding-agent score. Flash prior Sep28 AA price confirms peak basis; Pro AA billing basis unverified. Off-peak assumes half of peak token cost. Peak input1.32/M.</x:v>
      </x:c>
      <x:c r="J94" s="131" t="n">
        <x:f>IF(OR(E94="",E94&lt;=0),"",ROUNDDOWN(60/E94,0))</x:f>
        <x:v>166</x:v>
      </x:c>
      <x:c r="K94" s="131" t="n">
        <x:f>IF(OR(E94="",E94&lt;=0),"",ROUNDDOWN(90/E94,0))</x:f>
        <x:v>250</x:v>
      </x:c>
      <x:c r="L94" s="131" t="n">
        <x:f>IF(OR(E94="",E94&lt;=0),"",ROUNDDOWN(120/E94,0))</x:f>
        <x:v>333</x:v>
      </x:c>
      <x:c r="M94" s="131" t="n">
        <x:f>IF(OR(E94="",E94&lt;=0),"",ROUNDDOWN(180/E94,0))</x:f>
        <x:v>500</x:v>
      </x:c>
      <x:c r="N94" s="131" t="str">
        <x:f>IF(OR(F94="",F94&lt;=0),"",ROUNDDOWN(160*60/F94,0))</x:f>
      </x:c>
    </x:row>
    <x:row r="95">
      <x:c r="A95" s="131" t="str">
        <x:v>deepseek-v4-pro-0813 — Off-peak</x:v>
      </x:c>
      <x:c r="B95" s="131" t="str">
        <x:v>non-reasoning</x:v>
      </x:c>
      <x:c r="C95" s="131" t="str">
        <x:v>AAII v4.3.2</x:v>
      </x:c>
      <x:c r="D95" s="131" t="n">
        <x:v>20</x:v>
      </x:c>
      <x:c r="E95" s="132" t="n">
        <x:v>0.18</x:v>
      </x:c>
      <x:c r="F95" s="132"/>
      <x:c r="G95" s="131" t="str">
        <x:v>2026-10-12</x:v>
      </x:c>
      <x:c r="H95" s="131" t="str">
        <x:v>https://artificialanalysis.ai/models/deepseek-v4-pro-non-reasoning</x:v>
      </x:c>
      <x:c r="I95" s="131" t="str">
        <x:v>CONDITIONAL archived AA workload, not a fresh coding-agent score. Flash prior Sep28 AA price confirms peak basis; Pro AA billing basis unverified. Off-peak assumes half of peak token cost. Off-peak input0.66/M.</x:v>
      </x:c>
      <x:c r="J95" s="131" t="n">
        <x:f>IF(OR(E95="",E95&lt;=0),"",ROUNDDOWN(60/E95,0))</x:f>
        <x:v>333</x:v>
      </x:c>
      <x:c r="K95" s="131" t="n">
        <x:f>IF(OR(E95="",E95&lt;=0),"",ROUNDDOWN(90/E95,0))</x:f>
        <x:v>500</x:v>
      </x:c>
      <x:c r="L95" s="131" t="n">
        <x:f>IF(OR(E95="",E95&lt;=0),"",ROUNDDOWN(120/E95,0))</x:f>
        <x:v>666</x:v>
      </x:c>
      <x:c r="M95" s="131" t="n">
        <x:f>IF(OR(E95="",E95&lt;=0),"",ROUNDDOWN(180/E95,0))</x:f>
        <x:v>1000</x:v>
      </x:c>
      <x:c r="N95" s="131" t="str">
        <x:f>IF(OR(F95="",F95&lt;=0),"",ROUNDDOWN(160*60/F95,0))</x:f>
      </x:c>
    </x:row>
    <x:row r="96">
      <x:c r="A96" s="131" t="str">
        <x:v>deepseek-v4-pro-0813 — Peak</x:v>
      </x:c>
      <x:c r="B96" s="131" t="str">
        <x:v>max</x:v>
      </x:c>
      <x:c r="C96" s="131" t="str">
        <x:v>AAII v4.3.2</x:v>
      </x:c>
      <x:c r="D96" s="131" t="n">
        <x:v>36</x:v>
      </x:c>
      <x:c r="E96" s="132" t="n">
        <x:v>0.67</x:v>
      </x:c>
      <x:c r="F96" s="132"/>
      <x:c r="G96" s="131" t="str">
        <x:v>2026-10-12</x:v>
      </x:c>
      <x:c r="H96" s="131" t="str">
        <x:v>https://artificialanalysis.ai/models/deepseek-v4-pro</x:v>
      </x:c>
      <x:c r="I96" s="131" t="str">
        <x:v>CONDITIONAL archived AA workload, not a fresh coding-agent score. Flash prior Sep28 AA price confirms peak basis; Pro AA billing basis unverified. Off-peak assumes half of peak token cost. Peak input1.32/M.</x:v>
      </x:c>
      <x:c r="J96" s="131" t="n">
        <x:f>IF(OR(E96="",E96&lt;=0),"",ROUNDDOWN(60/E96,0))</x:f>
        <x:v>89</x:v>
      </x:c>
      <x:c r="K96" s="131" t="n">
        <x:f>IF(OR(E96="",E96&lt;=0),"",ROUNDDOWN(90/E96,0))</x:f>
        <x:v>134</x:v>
      </x:c>
      <x:c r="L96" s="131" t="n">
        <x:f>IF(OR(E96="",E96&lt;=0),"",ROUNDDOWN(120/E96,0))</x:f>
        <x:v>179</x:v>
      </x:c>
      <x:c r="M96" s="131" t="n">
        <x:f>IF(OR(E96="",E96&lt;=0),"",ROUNDDOWN(180/E96,0))</x:f>
        <x:v>268</x:v>
      </x:c>
      <x:c r="N96" s="131" t="str">
        <x:f>IF(OR(F96="",F96&lt;=0),"",ROUNDDOWN(160*60/F96,0))</x:f>
      </x:c>
    </x:row>
    <x:row r="97">
      <x:c r="A97" s="131" t="str">
        <x:v>deepseek-v4-pro-0813 — Off-peak</x:v>
      </x:c>
      <x:c r="B97" s="131" t="str">
        <x:v>max</x:v>
      </x:c>
      <x:c r="C97" s="131" t="str">
        <x:v>AAII v4.3.2</x:v>
      </x:c>
      <x:c r="D97" s="131" t="n">
        <x:v>36</x:v>
      </x:c>
      <x:c r="E97" s="132" t="n">
        <x:v>0.335</x:v>
      </x:c>
      <x:c r="F97" s="132"/>
      <x:c r="G97" s="131" t="str">
        <x:v>2026-10-12</x:v>
      </x:c>
      <x:c r="H97" s="131" t="str">
        <x:v>https://artificialanalysis.ai/models/deepseek-v4-pro</x:v>
      </x:c>
      <x:c r="I97" s="131" t="str">
        <x:v>CONDITIONAL archived AA workload, not a fresh coding-agent score. Flash prior Sep28 AA price confirms peak basis; Pro AA billing basis unverified. Off-peak assumes half of peak token cost. Off-peak input0.66/M.</x:v>
      </x:c>
      <x:c r="J97" s="131" t="n">
        <x:f>IF(OR(E97="",E97&lt;=0),"",ROUNDDOWN(60/E97,0))</x:f>
        <x:v>179</x:v>
      </x:c>
      <x:c r="K97" s="131" t="n">
        <x:f>IF(OR(E97="",E97&lt;=0),"",ROUNDDOWN(90/E97,0))</x:f>
        <x:v>268</x:v>
      </x:c>
      <x:c r="L97" s="131" t="n">
        <x:f>IF(OR(E97="",E97&lt;=0),"",ROUNDDOWN(120/E97,0))</x:f>
        <x:v>358</x:v>
      </x:c>
      <x:c r="M97" s="131" t="n">
        <x:f>IF(OR(E97="",E97&lt;=0),"",ROUNDDOWN(180/E97,0))</x:f>
        <x:v>537</x:v>
      </x:c>
      <x:c r="N97" s="131" t="str">
        <x:f>IF(OR(F97="",F97&lt;=0),"",ROUNDDOWN(160*60/F97,0))</x:f>
      </x:c>
    </x:row>
    <x:row r="98">
      <x:c r="A98" s="131" t="str">
        <x:v>mimo-v2-6-pro</x:v>
      </x:c>
      <x:c r="B98" s="131" t="str">
        <x:v>reasoning</x:v>
      </x:c>
      <x:c r="C98" s="131" t="str">
        <x:v>AAII v4.3.2</x:v>
      </x:c>
      <x:c r="D98" s="131" t="n">
        <x:v>46</x:v>
      </x:c>
      <x:c r="E98" s="132" t="n">
        <x:v>0.13</x:v>
      </x:c>
      <x:c r="F98" s="132"/>
      <x:c r="G98" s="131" t="str">
        <x:v>2026-10-12</x:v>
      </x:c>
      <x:c r="H98" s="131" t="str">
        <x:v>https://artificialanalysis.ai/models/mimo-v2-6-pro</x:v>
      </x:c>
      <x:c r="I98" s="131" t="str">
        <x:v>General evaluation task, NOT coding-agent task. Missing current timing stays blank.</x:v>
      </x:c>
      <x:c r="J98" s="131" t="n">
        <x:f>IF(OR(E98="",E98&lt;=0),"",ROUNDDOWN(60/E98,0))</x:f>
        <x:v>461</x:v>
      </x:c>
      <x:c r="K98" s="131" t="n">
        <x:f>IF(OR(E98="",E98&lt;=0),"",ROUNDDOWN(90/E98,0))</x:f>
        <x:v>692</x:v>
      </x:c>
      <x:c r="L98" s="131" t="n">
        <x:f>IF(OR(E98="",E98&lt;=0),"",ROUNDDOWN(120/E98,0))</x:f>
        <x:v>923</x:v>
      </x:c>
      <x:c r="M98" s="131" t="n">
        <x:f>IF(OR(E98="",E98&lt;=0),"",ROUNDDOWN(180/E98,0))</x:f>
        <x:v>1384</x:v>
      </x:c>
      <x:c r="N98" s="131" t="str">
        <x:f>IF(OR(F98="",F98&lt;=0),"",ROUNDDOWN(160*60/F98,0))</x:f>
      </x:c>
    </x:row>
    <x:row r="99">
      <x:c r="A99" s="131" t="str">
        <x:v>muse-wonder</x:v>
      </x:c>
      <x:c r="B99" s="131" t="str">
        <x:v>max</x:v>
      </x:c>
      <x:c r="C99" s="131" t="str">
        <x:v>AAII v4.3.2</x:v>
      </x:c>
      <x:c r="D99" s="131" t="n">
        <x:v>52</x:v>
      </x:c>
      <x:c r="E99" s="132" t="n">
        <x:v>4.52</x:v>
      </x:c>
      <x:c r="F99" s="132"/>
      <x:c r="G99" s="131" t="str">
        <x:v>2026-10-16</x:v>
      </x:c>
      <x:c r="H99" s="131" t="str">
        <x:v>https://artificialanalysis.ai/models/muse-wonder</x:v>
      </x:c>
      <x:c r="I99" s="131" t="str">
        <x:v>General evaluation task, NOT coding-agent task. Missing current timing stays blank.</x:v>
      </x:c>
      <x:c r="J99" s="131" t="n">
        <x:f>IF(OR(E99="",E99&lt;=0),"",ROUNDDOWN(60/E99,0))</x:f>
        <x:v>13</x:v>
      </x:c>
      <x:c r="K99" s="131" t="n">
        <x:f>IF(OR(E99="",E99&lt;=0),"",ROUNDDOWN(90/E99,0))</x:f>
        <x:v>19</x:v>
      </x:c>
      <x:c r="L99" s="131" t="n">
        <x:f>IF(OR(E99="",E99&lt;=0),"",ROUNDDOWN(120/E99,0))</x:f>
        <x:v>26</x:v>
      </x:c>
      <x:c r="M99" s="131" t="n">
        <x:f>IF(OR(E99="",E99&lt;=0),"",ROUNDDOWN(180/E99,0))</x:f>
        <x:v>39</x:v>
      </x:c>
      <x:c r="N99" s="131" t="str">
        <x:f>IF(OR(F99="",F99&lt;=0),"",ROUNDDOWN(160*60/F99,0))</x:f>
      </x:c>
    </x:row>
    <x:row r="100">
      <x:c r="A100" s="131" t="str">
        <x:v>gpt-6-1-sol</x:v>
      </x:c>
      <x:c r="B100" s="131" t="str">
        <x:v>xhigh</x:v>
      </x:c>
      <x:c r="C100" s="131" t="str">
        <x:v>AAII v4.3.2</x:v>
      </x:c>
      <x:c r="D100" s="131" t="n">
        <x:v>51</x:v>
      </x:c>
      <x:c r="E100" s="132" t="n">
        <x:v>0.39</x:v>
      </x:c>
      <x:c r="F100" s="132"/>
      <x:c r="G100" s="131" t="str">
        <x:v>2026-10-16</x:v>
      </x:c>
      <x:c r="H100" s="131" t="str">
        <x:v>https://artificialanalysis.ai/models/gpt-6-1-sol-xhigh</x:v>
      </x:c>
      <x:c r="I100" s="131" t="str">
        <x:v>General evaluation task, NOT coding-agent task. Missing current timing stays blank.</x:v>
      </x:c>
      <x:c r="J100" s="131" t="n">
        <x:f>IF(OR(E100="",E100&lt;=0),"",ROUNDDOWN(60/E100,0))</x:f>
        <x:v>153</x:v>
      </x:c>
      <x:c r="K100" s="131" t="n">
        <x:f>IF(OR(E100="",E100&lt;=0),"",ROUNDDOWN(90/E100,0))</x:f>
        <x:v>230</x:v>
      </x:c>
      <x:c r="L100" s="131" t="n">
        <x:f>IF(OR(E100="",E100&lt;=0),"",ROUNDDOWN(120/E100,0))</x:f>
        <x:v>307</x:v>
      </x:c>
      <x:c r="M100" s="131" t="n">
        <x:f>IF(OR(E100="",E100&lt;=0),"",ROUNDDOWN(180/E100,0))</x:f>
        <x:v>461</x:v>
      </x:c>
      <x:c r="N100" s="131" t="str">
        <x:f>IF(OR(F100="",F100&lt;=0),"",ROUNDDOWN(160*60/F100,0))</x:f>
      </x:c>
    </x:row>
    <x:row r="101">
      <x:c r="A101" s="131" t="str">
        <x:v>gpt-6-1-sol</x:v>
      </x:c>
      <x:c r="B101" s="131" t="str">
        <x:v>high</x:v>
      </x:c>
      <x:c r="C101" s="131" t="str">
        <x:v>AAII v4.3.2</x:v>
      </x:c>
      <x:c r="D101" s="131" t="n">
        <x:v>50</x:v>
      </x:c>
      <x:c r="E101" s="132" t="n">
        <x:v>0.32</x:v>
      </x:c>
      <x:c r="F101" s="132"/>
      <x:c r="G101" s="131" t="str">
        <x:v>2026-10-16</x:v>
      </x:c>
      <x:c r="H101" s="131" t="str">
        <x:v>https://artificialanalysis.ai/models/gpt-6-1-sol-high</x:v>
      </x:c>
      <x:c r="I101" s="131" t="str">
        <x:v>General evaluation task, NOT coding-agent task. Missing current timing stays blank.</x:v>
      </x:c>
      <x:c r="J101" s="131" t="n">
        <x:f>IF(OR(E101="",E101&lt;=0),"",ROUNDDOWN(60/E101,0))</x:f>
        <x:v>187</x:v>
      </x:c>
      <x:c r="K101" s="131" t="n">
        <x:f>IF(OR(E101="",E101&lt;=0),"",ROUNDDOWN(90/E101,0))</x:f>
        <x:v>281</x:v>
      </x:c>
      <x:c r="L101" s="131" t="n">
        <x:f>IF(OR(E101="",E101&lt;=0),"",ROUNDDOWN(120/E101,0))</x:f>
        <x:v>375</x:v>
      </x:c>
      <x:c r="M101" s="131" t="n">
        <x:f>IF(OR(E101="",E101&lt;=0),"",ROUNDDOWN(180/E101,0))</x:f>
        <x:v>562</x:v>
      </x:c>
      <x:c r="N101" s="131" t="str">
        <x:f>IF(OR(F101="",F101&lt;=0),"",ROUNDDOWN(160*60/F101,0))</x:f>
      </x:c>
    </x:row>
    <x:row r="102">
      <x:c r="A102" s="131" t="str">
        <x:v>gpt-6-1-sol</x:v>
      </x:c>
      <x:c r="B102" s="131" t="str">
        <x:v>medium</x:v>
      </x:c>
      <x:c r="C102" s="131" t="str">
        <x:v>AAII v4.3.2</x:v>
      </x:c>
      <x:c r="D102" s="131" t="n">
        <x:v>48</x:v>
      </x:c>
      <x:c r="E102" s="132" t="n">
        <x:v>0.21</x:v>
      </x:c>
      <x:c r="F102" s="132"/>
      <x:c r="G102" s="131" t="str">
        <x:v>2026-10-16</x:v>
      </x:c>
      <x:c r="H102" s="131" t="str">
        <x:v>https://artificialanalysis.ai/models/gpt-6-1-sol-medium</x:v>
      </x:c>
      <x:c r="I102" s="131" t="str">
        <x:v>General evaluation task, NOT coding-agent task. Missing current timing stays blank.</x:v>
      </x:c>
      <x:c r="J102" s="131" t="n">
        <x:f>IF(OR(E102="",E102&lt;=0),"",ROUNDDOWN(60/E102,0))</x:f>
        <x:v>285</x:v>
      </x:c>
      <x:c r="K102" s="131" t="n">
        <x:f>IF(OR(E102="",E102&lt;=0),"",ROUNDDOWN(90/E102,0))</x:f>
        <x:v>428</x:v>
      </x:c>
      <x:c r="L102" s="131" t="n">
        <x:f>IF(OR(E102="",E102&lt;=0),"",ROUNDDOWN(120/E102,0))</x:f>
        <x:v>571</x:v>
      </x:c>
      <x:c r="M102" s="131" t="n">
        <x:f>IF(OR(E102="",E102&lt;=0),"",ROUNDDOWN(180/E102,0))</x:f>
        <x:v>857</x:v>
      </x:c>
      <x:c r="N102" s="131" t="str">
        <x:f>IF(OR(F102="",F102&lt;=0),"",ROUNDDOWN(160*60/F102,0))</x:f>
      </x:c>
    </x:row>
    <x:row r="103">
      <x:c r="A103" s="131" t="str">
        <x:v>gpt-6-1-sol</x:v>
      </x:c>
      <x:c r="B103" s="131" t="str">
        <x:v>low</x:v>
      </x:c>
      <x:c r="C103" s="131" t="str">
        <x:v>AAII v4.3.2</x:v>
      </x:c>
      <x:c r="D103" s="131" t="n">
        <x:v>42</x:v>
      </x:c>
      <x:c r="E103" s="132" t="n">
        <x:v>0.13</x:v>
      </x:c>
      <x:c r="F103" s="132"/>
      <x:c r="G103" s="131" t="str">
        <x:v>2026-10-16</x:v>
      </x:c>
      <x:c r="H103" s="131" t="str">
        <x:v>https://artificialanalysis.ai/models/gpt-6-1-sol-low</x:v>
      </x:c>
      <x:c r="I103" s="131" t="str">
        <x:v>General evaluation task, NOT coding-agent task. Missing current timing stays blank.</x:v>
      </x:c>
      <x:c r="J103" s="131" t="n">
        <x:f>IF(OR(E103="",E103&lt;=0),"",ROUNDDOWN(60/E103,0))</x:f>
        <x:v>461</x:v>
      </x:c>
      <x:c r="K103" s="131" t="n">
        <x:f>IF(OR(E103="",E103&lt;=0),"",ROUNDDOWN(90/E103,0))</x:f>
        <x:v>692</x:v>
      </x:c>
      <x:c r="L103" s="131" t="n">
        <x:f>IF(OR(E103="",E103&lt;=0),"",ROUNDDOWN(120/E103,0))</x:f>
        <x:v>923</x:v>
      </x:c>
      <x:c r="M103" s="131" t="n">
        <x:f>IF(OR(E103="",E103&lt;=0),"",ROUNDDOWN(180/E103,0))</x:f>
        <x:v>1384</x:v>
      </x:c>
      <x:c r="N103" s="131" t="str">
        <x:f>IF(OR(F103="",F103&lt;=0),"",ROUNDDOWN(160*60/F103,0))</x:f>
      </x:c>
    </x:row>
    <x:row r="104">
      <x:c r="A104" s="131" t="str">
        <x:v>gpt-5-6-terra</x:v>
      </x:c>
      <x:c r="B104" s="131" t="str">
        <x:v>max</x:v>
      </x:c>
      <x:c r="C104" s="131" t="str">
        <x:v>AAII v4.3.2</x:v>
      </x:c>
      <x:c r="D104" s="131" t="n">
        <x:v>42</x:v>
      </x:c>
      <x:c r="E104" s="132" t="n">
        <x:v>1.4</x:v>
      </x:c>
      <x:c r="F104" s="132"/>
      <x:c r="G104" s="131" t="str">
        <x:v>2026-10-16</x:v>
      </x:c>
      <x:c r="H104" s="131" t="str">
        <x:v>https://artificialanalysis.ai/models/gpt-5-6-terra</x:v>
      </x:c>
      <x:c r="I104" s="131" t="str">
        <x:v>General evaluation task, NOT coding-agent task. Missing current timing stays blank.</x:v>
      </x:c>
      <x:c r="J104" s="131" t="n">
        <x:f>IF(OR(E104="",E104&lt;=0),"",ROUNDDOWN(60/E104,0))</x:f>
        <x:v>42</x:v>
      </x:c>
      <x:c r="K104" s="131" t="n">
        <x:f>IF(OR(E104="",E104&lt;=0),"",ROUNDDOWN(90/E104,0))</x:f>
        <x:v>64</x:v>
      </x:c>
      <x:c r="L104" s="131" t="n">
        <x:f>IF(OR(E104="",E104&lt;=0),"",ROUNDDOWN(120/E104,0))</x:f>
        <x:v>85</x:v>
      </x:c>
      <x:c r="M104" s="131" t="n">
        <x:f>IF(OR(E104="",E104&lt;=0),"",ROUNDDOWN(180/E104,0))</x:f>
        <x:v>128</x:v>
      </x:c>
      <x:c r="N104" s="131" t="str">
        <x:f>IF(OR(F104="",F104&lt;=0),"",ROUNDDOWN(160*60/F104,0))</x:f>
      </x:c>
    </x:row>
    <x:row r="105">
      <x:c r="A105" s="131" t="str">
        <x:v>gpt-5-6-terra</x:v>
      </x:c>
      <x:c r="B105" s="131" t="str">
        <x:v>xhigh</x:v>
      </x:c>
      <x:c r="C105" s="131" t="str">
        <x:v>AAII v4.3.2</x:v>
      </x:c>
      <x:c r="D105" s="131" t="n">
        <x:v>38</x:v>
      </x:c>
      <x:c r="E105" s="132" t="n">
        <x:v>0.63</x:v>
      </x:c>
      <x:c r="F105" s="132"/>
      <x:c r="G105" s="131" t="str">
        <x:v>2026-10-16</x:v>
      </x:c>
      <x:c r="H105" s="131" t="str">
        <x:v>https://artificialanalysis.ai/models/gpt-5-6-terra-xhigh</x:v>
      </x:c>
      <x:c r="I105" s="131" t="str">
        <x:v>General evaluation task, NOT coding-agent task. Missing current timing stays blank.</x:v>
      </x:c>
      <x:c r="J105" s="131" t="n">
        <x:f>IF(OR(E105="",E105&lt;=0),"",ROUNDDOWN(60/E105,0))</x:f>
        <x:v>95</x:v>
      </x:c>
      <x:c r="K105" s="131" t="n">
        <x:f>IF(OR(E105="",E105&lt;=0),"",ROUNDDOWN(90/E105,0))</x:f>
        <x:v>142</x:v>
      </x:c>
      <x:c r="L105" s="131" t="n">
        <x:f>IF(OR(E105="",E105&lt;=0),"",ROUNDDOWN(120/E105,0))</x:f>
        <x:v>190</x:v>
      </x:c>
      <x:c r="M105" s="131" t="n">
        <x:f>IF(OR(E105="",E105&lt;=0),"",ROUNDDOWN(180/E105,0))</x:f>
        <x:v>285</x:v>
      </x:c>
      <x:c r="N105" s="131" t="str">
        <x:f>IF(OR(F105="",F105&lt;=0),"",ROUNDDOWN(160*60/F105,0))</x:f>
      </x:c>
    </x:row>
    <x:row r="106">
      <x:c r="A106" s="131" t="str">
        <x:v>gpt-5-6-terra</x:v>
      </x:c>
      <x:c r="B106" s="131" t="str">
        <x:v>high</x:v>
      </x:c>
      <x:c r="C106" s="131" t="str">
        <x:v>AAII v4.3.2</x:v>
      </x:c>
      <x:c r="D106" s="131" t="n">
        <x:v>34</x:v>
      </x:c>
      <x:c r="E106" s="132" t="n">
        <x:v>0.34</x:v>
      </x:c>
      <x:c r="F106" s="132"/>
      <x:c r="G106" s="131" t="str">
        <x:v>2026-10-16</x:v>
      </x:c>
      <x:c r="H106" s="131" t="str">
        <x:v>https://artificialanalysis.ai/models/gpt-5-6-terra-high</x:v>
      </x:c>
      <x:c r="I106" s="131" t="str">
        <x:v>General evaluation task, NOT coding-agent task. Missing current timing stays blank.</x:v>
      </x:c>
      <x:c r="J106" s="131" t="n">
        <x:f>IF(OR(E106="",E106&lt;=0),"",ROUNDDOWN(60/E106,0))</x:f>
        <x:v>176</x:v>
      </x:c>
      <x:c r="K106" s="131" t="n">
        <x:f>IF(OR(E106="",E106&lt;=0),"",ROUNDDOWN(90/E106,0))</x:f>
        <x:v>264</x:v>
      </x:c>
      <x:c r="L106" s="131" t="n">
        <x:f>IF(OR(E106="",E106&lt;=0),"",ROUNDDOWN(120/E106,0))</x:f>
        <x:v>352</x:v>
      </x:c>
      <x:c r="M106" s="131" t="n">
        <x:f>IF(OR(E106="",E106&lt;=0),"",ROUNDDOWN(180/E106,0))</x:f>
        <x:v>529</x:v>
      </x:c>
      <x:c r="N106" s="131" t="str">
        <x:f>IF(OR(F106="",F106&lt;=0),"",ROUNDDOWN(160*60/F106,0))</x:f>
      </x:c>
    </x:row>
    <x:row r="107">
      <x:c r="A107" s="131" t="str">
        <x:v>gpt-5-6-terra</x:v>
      </x:c>
      <x:c r="B107" s="131" t="str">
        <x:v>medium</x:v>
      </x:c>
      <x:c r="C107" s="131" t="str">
        <x:v>AAII v4.3.2</x:v>
      </x:c>
      <x:c r="D107" s="131" t="n">
        <x:v>30</x:v>
      </x:c>
      <x:c r="E107" s="132" t="n">
        <x:v>0.18</x:v>
      </x:c>
      <x:c r="F107" s="132"/>
      <x:c r="G107" s="131" t="str">
        <x:v>2026-10-16</x:v>
      </x:c>
      <x:c r="H107" s="131" t="str">
        <x:v>https://artificialanalysis.ai/models/gpt-5-6-terra-medium</x:v>
      </x:c>
      <x:c r="I107" s="131" t="str">
        <x:v>General evaluation task, NOT coding-agent task. Missing current timing stays blank.</x:v>
      </x:c>
      <x:c r="J107" s="131" t="n">
        <x:f>IF(OR(E107="",E107&lt;=0),"",ROUNDDOWN(60/E107,0))</x:f>
        <x:v>333</x:v>
      </x:c>
      <x:c r="K107" s="131" t="n">
        <x:f>IF(OR(E107="",E107&lt;=0),"",ROUNDDOWN(90/E107,0))</x:f>
        <x:v>500</x:v>
      </x:c>
      <x:c r="L107" s="131" t="n">
        <x:f>IF(OR(E107="",E107&lt;=0),"",ROUNDDOWN(120/E107,0))</x:f>
        <x:v>666</x:v>
      </x:c>
      <x:c r="M107" s="131" t="n">
        <x:f>IF(OR(E107="",E107&lt;=0),"",ROUNDDOWN(180/E107,0))</x:f>
        <x:v>1000</x:v>
      </x:c>
      <x:c r="N107" s="131" t="str">
        <x:f>IF(OR(F107="",F107&lt;=0),"",ROUNDDOWN(160*60/F107,0))</x:f>
      </x:c>
    </x:row>
    <x:row r="108">
      <x:c r="A108" s="131" t="str">
        <x:v>gpt-5-6-terra</x:v>
      </x:c>
      <x:c r="B108" s="131" t="str">
        <x:v>low</x:v>
      </x:c>
      <x:c r="C108" s="131" t="str">
        <x:v>AAII v4.3.2</x:v>
      </x:c>
      <x:c r="D108" s="131" t="n">
        <x:v>27</x:v>
      </x:c>
      <x:c r="E108" s="132" t="n">
        <x:v>0.14</x:v>
      </x:c>
      <x:c r="F108" s="132"/>
      <x:c r="G108" s="131" t="str">
        <x:v>2026-10-16</x:v>
      </x:c>
      <x:c r="H108" s="131" t="str">
        <x:v>https://artificialanalysis.ai/models/gpt-5-6-terra-low</x:v>
      </x:c>
      <x:c r="I108" s="131" t="str">
        <x:v>General evaluation task, NOT coding-agent task. Missing current timing stays blank.</x:v>
      </x:c>
      <x:c r="J108" s="131" t="n">
        <x:f>IF(OR(E108="",E108&lt;=0),"",ROUNDDOWN(60/E108,0))</x:f>
        <x:v>428</x:v>
      </x:c>
      <x:c r="K108" s="131" t="n">
        <x:f>IF(OR(E108="",E108&lt;=0),"",ROUNDDOWN(90/E108,0))</x:f>
        <x:v>642</x:v>
      </x:c>
      <x:c r="L108" s="131" t="n">
        <x:f>IF(OR(E108="",E108&lt;=0),"",ROUNDDOWN(120/E108,0))</x:f>
        <x:v>857</x:v>
      </x:c>
      <x:c r="M108" s="131" t="n">
        <x:f>IF(OR(E108="",E108&lt;=0),"",ROUNDDOWN(180/E108,0))</x:f>
        <x:v>1285</x:v>
      </x:c>
      <x:c r="N108" s="131" t="str">
        <x:f>IF(OR(F108="",F108&lt;=0),"",ROUNDDOWN(160*60/F108,0))</x:f>
      </x:c>
    </x:row>
    <x:row r="109">
      <x:c r="A109" s="131" t="str">
        <x:v>gpt-5-6-terra</x:v>
      </x:c>
      <x:c r="B109" s="131" t="str">
        <x:v>non-reasoning</x:v>
      </x:c>
      <x:c r="C109" s="131" t="str">
        <x:v>AAII v4.3.2</x:v>
      </x:c>
      <x:c r="D109" s="131" t="n">
        <x:v>21</x:v>
      </x:c>
      <x:c r="E109" s="132" t="n">
        <x:v>0.14</x:v>
      </x:c>
      <x:c r="F109" s="132"/>
      <x:c r="G109" s="131" t="str">
        <x:v>2026-10-16</x:v>
      </x:c>
      <x:c r="H109" s="131" t="str">
        <x:v>https://artificialanalysis.ai/models/gpt-5-6-terra-non-reasoning</x:v>
      </x:c>
      <x:c r="I109" s="131" t="str">
        <x:v>General evaluation task, NOT coding-agent task. Missing current timing stays blank.</x:v>
      </x:c>
      <x:c r="J109" s="131" t="n">
        <x:f>IF(OR(E109="",E109&lt;=0),"",ROUNDDOWN(60/E109,0))</x:f>
        <x:v>428</x:v>
      </x:c>
      <x:c r="K109" s="131" t="n">
        <x:f>IF(OR(E109="",E109&lt;=0),"",ROUNDDOWN(90/E109,0))</x:f>
        <x:v>642</x:v>
      </x:c>
      <x:c r="L109" s="131" t="n">
        <x:f>IF(OR(E109="",E109&lt;=0),"",ROUNDDOWN(120/E109,0))</x:f>
        <x:v>857</x:v>
      </x:c>
      <x:c r="M109" s="131" t="n">
        <x:f>IF(OR(E109="",E109&lt;=0),"",ROUNDDOWN(180/E109,0))</x:f>
        <x:v>1285</x:v>
      </x:c>
      <x:c r="N109" s="131" t="str">
        <x:f>IF(OR(F109="",F109&lt;=0),"",ROUNDDOWN(160*60/F109,0))</x:f>
      </x:c>
    </x:row>
    <x:row r="110">
      <x:c r="A110" s="131" t="str">
        <x:v>claude-haiku-5-5</x:v>
      </x:c>
      <x:c r="B110" s="131" t="str">
        <x:v>xhigh</x:v>
      </x:c>
      <x:c r="C110" s="131" t="str">
        <x:v>AAII v4.3.2</x:v>
      </x:c>
      <x:c r="D110" s="131" t="n">
        <x:v>41</x:v>
      </x:c>
      <x:c r="E110" s="132" t="n">
        <x:v>0.12</x:v>
      </x:c>
      <x:c r="F110" s="132"/>
      <x:c r="G110" s="131" t="str">
        <x:v>2026-10-16</x:v>
      </x:c>
      <x:c r="H110" s="131" t="str">
        <x:v>https://artificialanalysis.ai/models/claude-haiku-5-5-xhigh</x:v>
      </x:c>
      <x:c r="I110" s="131" t="str">
        <x:v>General evaluation task, NOT coding-agent task. Missing current timing stays blank.</x:v>
      </x:c>
      <x:c r="J110" s="131" t="n">
        <x:f>IF(OR(E110="",E110&lt;=0),"",ROUNDDOWN(60/E110,0))</x:f>
        <x:v>500</x:v>
      </x:c>
      <x:c r="K110" s="131" t="n">
        <x:f>IF(OR(E110="",E110&lt;=0),"",ROUNDDOWN(90/E110,0))</x:f>
        <x:v>750</x:v>
      </x:c>
      <x:c r="L110" s="131" t="n">
        <x:f>IF(OR(E110="",E110&lt;=0),"",ROUNDDOWN(120/E110,0))</x:f>
        <x:v>1000</x:v>
      </x:c>
      <x:c r="M110" s="131" t="n">
        <x:f>IF(OR(E110="",E110&lt;=0),"",ROUNDDOWN(180/E110,0))</x:f>
        <x:v>1500</x:v>
      </x:c>
      <x:c r="N110" s="131" t="str">
        <x:f>IF(OR(F110="",F110&lt;=0),"",ROUNDDOWN(160*60/F110,0))</x:f>
      </x:c>
    </x:row>
    <x:row r="111">
      <x:c r="A111" s="131" t="str">
        <x:v>claude-haiku-5-5</x:v>
      </x:c>
      <x:c r="B111" s="131" t="str">
        <x:v>high</x:v>
      </x:c>
      <x:c r="C111" s="131" t="str">
        <x:v>AAII v4.3.2</x:v>
      </x:c>
      <x:c r="D111" s="131" t="n">
        <x:v>38</x:v>
      </x:c>
      <x:c r="E111" s="132" t="n">
        <x:v>0.08</x:v>
      </x:c>
      <x:c r="F111" s="132"/>
      <x:c r="G111" s="131" t="str">
        <x:v>2026-10-16</x:v>
      </x:c>
      <x:c r="H111" s="131" t="str">
        <x:v>https://artificialanalysis.ai/models/claude-haiku-5-5-high</x:v>
      </x:c>
      <x:c r="I111" s="131" t="str">
        <x:v>General evaluation task, NOT coding-agent task. Missing current timing stays blank.</x:v>
      </x:c>
      <x:c r="J111" s="131" t="n">
        <x:f>IF(OR(E111="",E111&lt;=0),"",ROUNDDOWN(60/E111,0))</x:f>
        <x:v>750</x:v>
      </x:c>
      <x:c r="K111" s="131" t="n">
        <x:f>IF(OR(E111="",E111&lt;=0),"",ROUNDDOWN(90/E111,0))</x:f>
        <x:v>1125</x:v>
      </x:c>
      <x:c r="L111" s="131" t="n">
        <x:f>IF(OR(E111="",E111&lt;=0),"",ROUNDDOWN(120/E111,0))</x:f>
        <x:v>1500</x:v>
      </x:c>
      <x:c r="M111" s="131" t="n">
        <x:f>IF(OR(E111="",E111&lt;=0),"",ROUNDDOWN(180/E111,0))</x:f>
        <x:v>2250</x:v>
      </x:c>
      <x:c r="N111" s="131" t="str">
        <x:f>IF(OR(F111="",F111&lt;=0),"",ROUNDDOWN(160*60/F111,0))</x:f>
      </x:c>
    </x:row>
    <x:row r="112">
      <x:c r="A112" s="131" t="str">
        <x:v>claude-haiku-5-5</x:v>
      </x:c>
      <x:c r="B112" s="131" t="str">
        <x:v>medium</x:v>
      </x:c>
      <x:c r="C112" s="131" t="str">
        <x:v>AAII v4.3.2</x:v>
      </x:c>
      <x:c r="D112" s="131" t="n">
        <x:v>34</x:v>
      </x:c>
      <x:c r="E112" s="132" t="n">
        <x:v>0.05</x:v>
      </x:c>
      <x:c r="F112" s="132"/>
      <x:c r="G112" s="131" t="str">
        <x:v>2026-10-16</x:v>
      </x:c>
      <x:c r="H112" s="131" t="str">
        <x:v>https://artificialanalysis.ai/models/claude-haiku-5-5-medium</x:v>
      </x:c>
      <x:c r="I112" s="131" t="str">
        <x:v>General evaluation task, NOT coding-agent task. Missing current timing stays blank.</x:v>
      </x:c>
      <x:c r="J112" s="131" t="n">
        <x:f>IF(OR(E112="",E112&lt;=0),"",ROUNDDOWN(60/E112,0))</x:f>
        <x:v>1200</x:v>
      </x:c>
      <x:c r="K112" s="131" t="n">
        <x:f>IF(OR(E112="",E112&lt;=0),"",ROUNDDOWN(90/E112,0))</x:f>
        <x:v>1800</x:v>
      </x:c>
      <x:c r="L112" s="131" t="n">
        <x:f>IF(OR(E112="",E112&lt;=0),"",ROUNDDOWN(120/E112,0))</x:f>
        <x:v>2400</x:v>
      </x:c>
      <x:c r="M112" s="131" t="n">
        <x:f>IF(OR(E112="",E112&lt;=0),"",ROUNDDOWN(180/E112,0))</x:f>
        <x:v>3600</x:v>
      </x:c>
      <x:c r="N112" s="131" t="str">
        <x:f>IF(OR(F112="",F112&lt;=0),"",ROUNDDOWN(160*60/F112,0))</x:f>
      </x:c>
    </x:row>
    <x:row r="113">
      <x:c r="A113" s="131" t="str">
        <x:v>claude-haiku-5-5</x:v>
      </x:c>
      <x:c r="B113" s="131" t="str">
        <x:v>low</x:v>
      </x:c>
      <x:c r="C113" s="131" t="str">
        <x:v>AAII v4.3.2</x:v>
      </x:c>
      <x:c r="D113" s="131" t="n">
        <x:v>29</x:v>
      </x:c>
      <x:c r="E113" s="132" t="n">
        <x:v>0.02</x:v>
      </x:c>
      <x:c r="F113" s="132"/>
      <x:c r="G113" s="131" t="str">
        <x:v>2026-10-16</x:v>
      </x:c>
      <x:c r="H113" s="131" t="str">
        <x:v>https://artificialanalysis.ai/models/claude-haiku-5-5-low</x:v>
      </x:c>
      <x:c r="I113" s="131" t="str">
        <x:v>General evaluation task, NOT coding-agent task. Missing current timing stays blank.</x:v>
      </x:c>
      <x:c r="J113" s="131" t="n">
        <x:f>IF(OR(E113="",E113&lt;=0),"",ROUNDDOWN(60/E113,0))</x:f>
        <x:v>3000</x:v>
      </x:c>
      <x:c r="K113" s="131" t="n">
        <x:f>IF(OR(E113="",E113&lt;=0),"",ROUNDDOWN(90/E113,0))</x:f>
        <x:v>4500</x:v>
      </x:c>
      <x:c r="L113" s="131" t="n">
        <x:f>IF(OR(E113="",E113&lt;=0),"",ROUNDDOWN(120/E113,0))</x:f>
        <x:v>6000</x:v>
      </x:c>
      <x:c r="M113" s="131" t="n">
        <x:f>IF(OR(E113="",E113&lt;=0),"",ROUNDDOWN(180/E113,0))</x:f>
        <x:v>9000</x:v>
      </x:c>
      <x:c r="N113" s="131" t="str">
        <x:f>IF(OR(F113="",F113&lt;=0),"",ROUNDDOWN(160*60/F113,0))</x:f>
      </x:c>
    </x:row>
    <x:row r="114">
      <x:c r="A114" s="131" t="str">
        <x:v>gemini-3-1-pro-preview</x:v>
      </x:c>
      <x:c r="B114" s="131" t="str">
        <x:v>not-stated</x:v>
      </x:c>
      <x:c r="C114" s="131" t="str">
        <x:v>AAII v4.3.2</x:v>
      </x:c>
      <x:c r="D114" s="131" t="n">
        <x:v>30</x:v>
      </x:c>
      <x:c r="E114" s="132" t="n">
        <x:v>1.3</x:v>
      </x:c>
      <x:c r="F114" s="132" t="n">
        <x:v>2.0586666666666664</x:v>
      </x:c>
      <x:c r="G114" s="131" t="str">
        <x:v>2026-10-17</x:v>
      </x:c>
      <x:c r="H114" s="131" t="str">
        <x:v>https://artificialanalysis.ai/models/gemini-3-1-pro-preview</x:v>
      </x:c>
      <x:c r="I114" s="131" t="str">
        <x:v>General evaluation task, NOT coding-agent task. Missing current timing stays blank.</x:v>
      </x:c>
      <x:c r="J114" s="131" t="n">
        <x:f>IF(OR(E114="",E114&lt;=0),"",ROUNDDOWN(60/E114,0))</x:f>
        <x:v>46</x:v>
      </x:c>
      <x:c r="K114" s="131" t="n">
        <x:f>IF(OR(E114="",E114&lt;=0),"",ROUNDDOWN(90/E114,0))</x:f>
        <x:v>69</x:v>
      </x:c>
      <x:c r="L114" s="131" t="n">
        <x:f>IF(OR(E114="",E114&lt;=0),"",ROUNDDOWN(120/E114,0))</x:f>
        <x:v>92</x:v>
      </x:c>
      <x:c r="M114" s="131" t="n">
        <x:f>IF(OR(E114="",E114&lt;=0),"",ROUNDDOWN(180/E114,0))</x:f>
        <x:v>138</x:v>
      </x:c>
      <x:c r="N114" s="131" t="n">
        <x:f>IF(OR(F114="",F114&lt;=0),"",ROUNDDOWN(160*60/F114,0))</x:f>
        <x:v>4663</x:v>
      </x:c>
    </x:row>
    <x:row r="115">
      <x:c r="A115" s="131" t="str">
        <x:v>gemini-3-5-flash</x:v>
      </x:c>
      <x:c r="B115" s="131" t="str">
        <x:v>high</x:v>
      </x:c>
      <x:c r="C115" s="131" t="str">
        <x:v>AAII v4.3.2</x:v>
      </x:c>
      <x:c r="D115" s="131" t="n">
        <x:v>33</x:v>
      </x:c>
      <x:c r="E115" s="132" t="n">
        <x:v>3.69</x:v>
      </x:c>
      <x:c r="F115" s="132"/>
      <x:c r="G115" s="131" t="str">
        <x:v>2026-10-17</x:v>
      </x:c>
      <x:c r="H115" s="131" t="str">
        <x:v>https://artificialanalysis.ai/models/gemini-3-5-flash</x:v>
      </x:c>
      <x:c r="I115" s="131" t="str">
        <x:v>General evaluation task, NOT coding-agent task. Missing current timing stays blank.</x:v>
      </x:c>
      <x:c r="J115" s="131" t="n">
        <x:f>IF(OR(E115="",E115&lt;=0),"",ROUNDDOWN(60/E115,0))</x:f>
        <x:v>16</x:v>
      </x:c>
      <x:c r="K115" s="131" t="n">
        <x:f>IF(OR(E115="",E115&lt;=0),"",ROUNDDOWN(90/E115,0))</x:f>
        <x:v>24</x:v>
      </x:c>
      <x:c r="L115" s="131" t="n">
        <x:f>IF(OR(E115="",E115&lt;=0),"",ROUNDDOWN(120/E115,0))</x:f>
        <x:v>32</x:v>
      </x:c>
      <x:c r="M115" s="131" t="n">
        <x:f>IF(OR(E115="",E115&lt;=0),"",ROUNDDOWN(180/E115,0))</x:f>
        <x:v>48</x:v>
      </x:c>
      <x:c r="N115" s="131" t="str">
        <x:f>IF(OR(F115="",F115&lt;=0),"",ROUNDDOWN(160*60/F115,0))</x:f>
      </x:c>
    </x:row>
  </x:sheetData>
  <x:pageMargins left="0.7" right="0.7" top="0.75" bottom="0.75" header="0.3" footer="0.3"/>
  <x:tableParts count="1">
    <x:tablePart xmlns:r="http://schemas.openxmlformats.org/officeDocument/2006/relationships" r:id="R41be568eb9aa4fec"/>
  </x:tableParts>
</x:worksheet>
</file>

<file path=xl/worksheets/sheet4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4" hidden="0" customWidth="1"/>
    <x:col min="13" max="13" width="54" hidden="0" customWidth="1"/>
    <x:col min="14" max="14" width="54" hidden="0" customWidth="1"/>
  </x:cols>
  <x:sheetData>
    <x:row r="1" ht="42" customHeight="1">
      <x:c r="A1" s="128" t="str">
        <x:v>Model / context / window</x:v>
      </x:c>
      <x:c r="B1" s="128" t="str">
        <x:v>Input USD/M</x:v>
      </x:c>
      <x:c r="C1" s="128" t="str">
        <x:v>Output USD/M</x:v>
      </x:c>
      <x:c r="D1" s="128" t="str">
        <x:v>Cache read USD/M</x:v>
      </x:c>
      <x:c r="E1" s="128" t="str">
        <x:v>Cache write USD/M</x:v>
      </x:c>
      <x:c r="F1" s="128" t="str">
        <x:v>Go monthly USD</x:v>
      </x:c>
      <x:c r="G1" s="128" t="str">
        <x:v>Plus monthly USD</x:v>
      </x:c>
      <x:c r="H1" s="128" t="str">
        <x:v>Go 5h USD</x:v>
      </x:c>
      <x:c r="I1" s="128" t="str">
        <x:v>Go weekly USD</x:v>
      </x:c>
      <x:c r="J1" s="128" t="str">
        <x:v>Plus 5h USD</x:v>
      </x:c>
      <x:c r="K1" s="128" t="str">
        <x:v>Plus weekly USD</x:v>
      </x:c>
      <x:c r="L1" s="128" t="str">
        <x:v>Restrictions</x:v>
      </x:c>
      <x:c r="M1" s="128" t="str">
        <x:v>Verified date</x:v>
      </x:c>
      <x:c r="N1" s="128" t="str">
        <x:v>Official source</x:v>
      </x:c>
    </x:row>
    <x:row r="2">
      <x:c r="A2" s="131" t="str">
        <x:v>GLM-5.3-Flash</x:v>
      </x:c>
      <x:c r="B2" s="131" t="n">
        <x:v>0.15</x:v>
      </x:c>
      <x:c r="C2" s="131" t="n">
        <x:v>0.5</x:v>
      </x:c>
      <x:c r="D2" s="131" t="n">
        <x:v>0.03</x:v>
      </x:c>
      <x:c r="E2" s="131" t="n">
        <x:v>0</x:v>
      </x:c>
      <x:c r="F2" s="131" t="n">
        <x:v>60</x:v>
      </x:c>
      <x:c r="G2" s="131" t="n">
        <x:v>180</x:v>
      </x:c>
      <x:c r="H2" s="131" t="n">
        <x:f>IF(F2="","",F2*20%)</x:f>
        <x:v>12</x:v>
      </x:c>
      <x:c r="I2" s="131" t="n">
        <x:f>IF(F2="","",F2*50%)</x:f>
        <x:v>30</x:v>
      </x:c>
      <x:c r="J2" s="131" t="n">
        <x:f>IF(F2="","",G2*20%)</x:f>
        <x:v>36</x:v>
      </x:c>
      <x:c r="K2" s="131" t="n">
        <x:f>IF(F2="","",G2*50%)</x:f>
        <x:v>90</x:v>
      </x:c>
      <x:c r="L2" s="131" t="str">
        <x:v>Context-tier rows share the underlying model allowance.</x:v>
      </x:c>
      <x:c r="M2" s="131" t="str">
        <x:v>2026-10-20</x:v>
      </x:c>
      <x:c r="N2" s="131" t="str">
        <x:v>https://dev.opencode.ai/v2/docs/console/go</x:v>
      </x:c>
    </x:row>
    <x:row r="3">
      <x:c r="A3" s="131" t="str">
        <x:v>GLM-5.3</x:v>
      </x:c>
      <x:c r="B3" s="131" t="n">
        <x:v>1.4</x:v>
      </x:c>
      <x:c r="C3" s="131" t="n">
        <x:v>4.4</x:v>
      </x:c>
      <x:c r="D3" s="131" t="n">
        <x:v>0.26</x:v>
      </x:c>
      <x:c r="E3" s="131" t="n">
        <x:v>0</x:v>
      </x:c>
      <x:c r="F3" s="131" t="n">
        <x:v>15</x:v>
      </x:c>
      <x:c r="G3" s="131" t="n">
        <x:v>120</x:v>
      </x:c>
      <x:c r="H3" s="131" t="n">
        <x:f>IF(F3="","",F3*20%)</x:f>
        <x:v>3</x:v>
      </x:c>
      <x:c r="I3" s="131" t="n">
        <x:f>IF(F3="","",F3*50%)</x:f>
        <x:v>7.5</x:v>
      </x:c>
      <x:c r="J3" s="131" t="n">
        <x:f>IF(F3="","",G3*20%)</x:f>
        <x:v>24</x:v>
      </x:c>
      <x:c r="K3" s="131" t="n">
        <x:f>IF(F3="","",G3*50%)</x:f>
        <x:v>60</x:v>
      </x:c>
      <x:c r="L3" s="131" t="str">
        <x:v>Context-tier rows share the underlying model allowance.</x:v>
      </x:c>
      <x:c r="M3" s="131" t="str">
        <x:v>2026-10-20</x:v>
      </x:c>
      <x:c r="N3" s="131" t="str">
        <x:v>https://dev.opencode.ai/v2/docs/console/go</x:v>
      </x:c>
    </x:row>
    <x:row r="4">
      <x:c r="A4" s="131" t="str">
        <x:v>GLM-5.2</x:v>
      </x:c>
      <x:c r="B4" s="131" t="n">
        <x:v>1.4</x:v>
      </x:c>
      <x:c r="C4" s="131" t="n">
        <x:v>4.4</x:v>
      </x:c>
      <x:c r="D4" s="131" t="n">
        <x:v>0.26</x:v>
      </x:c>
      <x:c r="E4" s="131" t="n">
        <x:v>0</x:v>
      </x:c>
      <x:c r="F4" s="131" t="n">
        <x:v>60</x:v>
      </x:c>
      <x:c r="G4" s="131" t="n">
        <x:v>180</x:v>
      </x:c>
      <x:c r="H4" s="131" t="n">
        <x:f>IF(F4="","",F4*20%)</x:f>
        <x:v>12</x:v>
      </x:c>
      <x:c r="I4" s="131" t="n">
        <x:f>IF(F4="","",F4*50%)</x:f>
        <x:v>30</x:v>
      </x:c>
      <x:c r="J4" s="131" t="n">
        <x:f>IF(F4="","",G4*20%)</x:f>
        <x:v>36</x:v>
      </x:c>
      <x:c r="K4" s="131" t="n">
        <x:f>IF(F4="","",G4*50%)</x:f>
        <x:v>90</x:v>
      </x:c>
      <x:c r="L4" s="131" t="str">
        <x:v>Context-tier rows share the underlying model allowance.</x:v>
      </x:c>
      <x:c r="M4" s="131" t="str">
        <x:v>2026-10-20</x:v>
      </x:c>
      <x:c r="N4" s="131" t="str">
        <x:v>https://dev.opencode.ai/v2/docs/console/go</x:v>
      </x:c>
    </x:row>
    <x:row r="5">
      <x:c r="A5" s="131" t="str">
        <x:v>Kimi K3</x:v>
      </x:c>
      <x:c r="B5" s="131" t="n">
        <x:v>3</x:v>
      </x:c>
      <x:c r="C5" s="131" t="n">
        <x:v>15</x:v>
      </x:c>
      <x:c r="D5" s="131" t="n">
        <x:v>0.3</x:v>
      </x:c>
      <x:c r="E5" s="131" t="n">
        <x:v>0</x:v>
      </x:c>
      <x:c r="F5" s="131" t="n">
        <x:v>15</x:v>
      </x:c>
      <x:c r="G5" s="131" t="n">
        <x:v>60</x:v>
      </x:c>
      <x:c r="H5" s="131" t="n">
        <x:f>IF(F5="","",F5*20%)</x:f>
        <x:v>3</x:v>
      </x:c>
      <x:c r="I5" s="131" t="n">
        <x:f>IF(F5="","",F5*50%)</x:f>
        <x:v>7.5</x:v>
      </x:c>
      <x:c r="J5" s="131" t="n">
        <x:f>IF(F5="","",G5*20%)</x:f>
        <x:v>12</x:v>
      </x:c>
      <x:c r="K5" s="131" t="n">
        <x:f>IF(F5="","",G5*50%)</x:f>
        <x:v>30</x:v>
      </x:c>
      <x:c r="L5" s="131" t="str">
        <x:v>Context-tier rows share the underlying model allowance.</x:v>
      </x:c>
      <x:c r="M5" s="131" t="str">
        <x:v>2026-10-20</x:v>
      </x:c>
      <x:c r="N5" s="131" t="str">
        <x:v>https://dev.opencode.ai/v2/docs/console/go</x:v>
      </x:c>
    </x:row>
    <x:row r="6">
      <x:c r="A6" s="131" t="str">
        <x:v>Kimi K2.7 Code</x:v>
      </x:c>
      <x:c r="B6" s="131" t="n">
        <x:v>0.95</x:v>
      </x:c>
      <x:c r="C6" s="131" t="n">
        <x:v>4</x:v>
      </x:c>
      <x:c r="D6" s="131" t="n">
        <x:v>0.19</x:v>
      </x:c>
      <x:c r="E6" s="131" t="n">
        <x:v>0</x:v>
      </x:c>
      <x:c r="F6" s="131" t="n">
        <x:v>60</x:v>
      </x:c>
      <x:c r="G6" s="131" t="n">
        <x:v>180</x:v>
      </x:c>
      <x:c r="H6" s="131" t="n">
        <x:f>IF(F6="","",F6*20%)</x:f>
        <x:v>12</x:v>
      </x:c>
      <x:c r="I6" s="131" t="n">
        <x:f>IF(F6="","",F6*50%)</x:f>
        <x:v>30</x:v>
      </x:c>
      <x:c r="J6" s="131" t="n">
        <x:f>IF(F6="","",G6*20%)</x:f>
        <x:v>36</x:v>
      </x:c>
      <x:c r="K6" s="131" t="n">
        <x:f>IF(F6="","",G6*50%)</x:f>
        <x:v>90</x:v>
      </x:c>
      <x:c r="L6" s="131" t="str">
        <x:v>Context-tier rows share the underlying model allowance.</x:v>
      </x:c>
      <x:c r="M6" s="131" t="str">
        <x:v>2026-10-20</x:v>
      </x:c>
      <x:c r="N6" s="131" t="str">
        <x:v>https://dev.opencode.ai/v2/docs/console/go</x:v>
      </x:c>
    </x:row>
    <x:row r="7">
      <x:c r="A7" s="131" t="str">
        <x:v>LongCat-2.0</x:v>
      </x:c>
      <x:c r="B7" s="131" t="n">
        <x:v>0.3</x:v>
      </x:c>
      <x:c r="C7" s="131" t="n">
        <x:v>1.2</x:v>
      </x:c>
      <x:c r="D7" s="131" t="n">
        <x:v>0.006</x:v>
      </x:c>
      <x:c r="E7" s="131" t="n">
        <x:v>0</x:v>
      </x:c>
      <x:c r="F7" s="131" t="n">
        <x:v>60</x:v>
      </x:c>
      <x:c r="G7" s="131" t="n">
        <x:v>240</x:v>
      </x:c>
      <x:c r="H7" s="131" t="n">
        <x:f>IF(F7="","",F7*20%)</x:f>
        <x:v>12</x:v>
      </x:c>
      <x:c r="I7" s="131" t="n">
        <x:f>IF(F7="","",F7*50%)</x:f>
        <x:v>30</x:v>
      </x:c>
      <x:c r="J7" s="131" t="n">
        <x:f>IF(F7="","",G7*20%)</x:f>
        <x:v>48</x:v>
      </x:c>
      <x:c r="K7" s="131" t="n">
        <x:f>IF(F7="","",G7*50%)</x:f>
        <x:v>120</x:v>
      </x:c>
      <x:c r="L7" s="131" t="str">
        <x:v>Context-tier rows share the underlying model allowance.</x:v>
      </x:c>
      <x:c r="M7" s="131" t="str">
        <x:v>2026-10-20</x:v>
      </x:c>
      <x:c r="N7" s="131" t="str">
        <x:v>https://dev.opencode.ai/v2/docs/console/go</x:v>
      </x:c>
    </x:row>
    <x:row r="8">
      <x:c r="A8" s="131" t="str">
        <x:v>LongCat 2.5 Preview Free</x:v>
      </x:c>
      <x:c r="B8" s="131" t="n">
        <x:v>0</x:v>
      </x:c>
      <x:c r="C8" s="131" t="n">
        <x:v>0</x:v>
      </x:c>
      <x:c r="D8" s="131" t="n">
        <x:v>0</x:v>
      </x:c>
      <x:c r="E8" s="131" t="n">
        <x:v>0</x:v>
      </x:c>
      <x:c r="F8" s="131"/>
      <x:c r="G8" s="131"/>
      <x:c r="H8" s="131" t="str">
        <x:f>IF(F8="","",F8*20%)</x:f>
      </x:c>
      <x:c r="I8" s="131" t="str">
        <x:f>IF(F8="","",F8*50%)</x:f>
      </x:c>
      <x:c r="J8" s="131" t="str">
        <x:f>IF(F8="","",G8*20%)</x:f>
      </x:c>
      <x:c r="K8" s="131" t="str">
        <x:f>IF(F8="","",G8*50%)</x:f>
      </x:c>
      <x:c r="L8" s="131" t="str">
        <x:v>Temporary free; unlimited is not infinite throughput.</x:v>
      </x:c>
      <x:c r="M8" s="131" t="str">
        <x:v>2026-10-20</x:v>
      </x:c>
      <x:c r="N8" s="131" t="str">
        <x:v>https://dev.opencode.ai/v2/docs/console/go</x:v>
      </x:c>
    </x:row>
    <x:row r="9">
      <x:c r="A9" s="131" t="str">
        <x:v>Step 5 Preview</x:v>
      </x:c>
      <x:c r="B9" s="131" t="n">
        <x:v>1</x:v>
      </x:c>
      <x:c r="C9" s="131" t="n">
        <x:v>2.7</x:v>
      </x:c>
      <x:c r="D9" s="131" t="n">
        <x:v>0.1</x:v>
      </x:c>
      <x:c r="E9" s="131" t="n">
        <x:v>0</x:v>
      </x:c>
      <x:c r="F9" s="131" t="n">
        <x:v>60</x:v>
      </x:c>
      <x:c r="G9" s="131" t="n">
        <x:v>240</x:v>
      </x:c>
      <x:c r="H9" s="131" t="n">
        <x:f>IF(F9="","",F9*20%)</x:f>
        <x:v>12</x:v>
      </x:c>
      <x:c r="I9" s="131" t="n">
        <x:f>IF(F9="","",F9*50%)</x:f>
        <x:v>30</x:v>
      </x:c>
      <x:c r="J9" s="131" t="n">
        <x:f>IF(F9="","",G9*20%)</x:f>
        <x:v>48</x:v>
      </x:c>
      <x:c r="K9" s="131" t="n">
        <x:f>IF(F9="","",G9*50%)</x:f>
        <x:v>120</x:v>
      </x:c>
      <x:c r="L9" s="131" t="str">
        <x:v>Temporary promotion.</x:v>
      </x:c>
      <x:c r="M9" s="131" t="str">
        <x:v>2026-10-20</x:v>
      </x:c>
      <x:c r="N9" s="131" t="str">
        <x:v>https://dev.opencode.ai/v2/docs/console/go</x:v>
      </x:c>
    </x:row>
    <x:row r="10">
      <x:c r="A10" s="131" t="str">
        <x:v>Beam Free</x:v>
      </x:c>
      <x:c r="B10" s="131" t="n">
        <x:v>0</x:v>
      </x:c>
      <x:c r="C10" s="131" t="n">
        <x:v>0</x:v>
      </x:c>
      <x:c r="D10" s="131" t="n">
        <x:v>0</x:v>
      </x:c>
      <x:c r="E10" s="131" t="n">
        <x:v>0</x:v>
      </x:c>
      <x:c r="F10" s="131"/>
      <x:c r="G10" s="131"/>
      <x:c r="H10" s="131" t="str">
        <x:f>IF(F10="","",F10*20%)</x:f>
      </x:c>
      <x:c r="I10" s="131" t="str">
        <x:f>IF(F10="","",F10*50%)</x:f>
      </x:c>
      <x:c r="J10" s="131" t="str">
        <x:f>IF(F10="","",G10*20%)</x:f>
      </x:c>
      <x:c r="K10" s="131" t="str">
        <x:f>IF(F10="","",G10*50%)</x:f>
      </x:c>
      <x:c r="L10" s="131" t="str">
        <x:v>Temporary free; unlimited is not infinite throughput.</x:v>
      </x:c>
      <x:c r="M10" s="131" t="str">
        <x:v>2026-10-20</x:v>
      </x:c>
      <x:c r="N10" s="131" t="str">
        <x:v>https://dev.opencode.ai/v2/docs/console/go</x:v>
      </x:c>
    </x:row>
    <x:row r="11">
      <x:c r="A11" s="131" t="str">
        <x:v>MiMo-V2.6-Flash</x:v>
      </x:c>
      <x:c r="B11" s="131" t="n">
        <x:v>0.14</x:v>
      </x:c>
      <x:c r="C11" s="131" t="n">
        <x:v>0.28</x:v>
      </x:c>
      <x:c r="D11" s="131" t="n">
        <x:v>0.0028</x:v>
      </x:c>
      <x:c r="E11" s="131" t="n">
        <x:v>0</x:v>
      </x:c>
      <x:c r="F11" s="131" t="n">
        <x:v>60</x:v>
      </x:c>
      <x:c r="G11" s="131" t="n">
        <x:v>120</x:v>
      </x:c>
      <x:c r="H11" s="131" t="n">
        <x:f>IF(F11="","",F11*20%)</x:f>
        <x:v>12</x:v>
      </x:c>
      <x:c r="I11" s="131" t="n">
        <x:f>IF(F11="","",F11*50%)</x:f>
        <x:v>30</x:v>
      </x:c>
      <x:c r="J11" s="131" t="n">
        <x:f>IF(F11="","",G11*20%)</x:f>
        <x:v>24</x:v>
      </x:c>
      <x:c r="K11" s="131" t="n">
        <x:f>IF(F11="","",G11*50%)</x:f>
        <x:v>60</x:v>
      </x:c>
      <x:c r="L11" s="131" t="str">
        <x:v>Context-tier rows share the underlying model allowance.</x:v>
      </x:c>
      <x:c r="M11" s="131" t="str">
        <x:v>2026-10-20</x:v>
      </x:c>
      <x:c r="N11" s="131" t="str">
        <x:v>https://dev.opencode.ai/v2/docs/console/go</x:v>
      </x:c>
    </x:row>
    <x:row r="12">
      <x:c r="A12" s="131" t="str">
        <x:v>MiMo-V2.6-Pro</x:v>
      </x:c>
      <x:c r="B12" s="131" t="n">
        <x:v>0.435</x:v>
      </x:c>
      <x:c r="C12" s="131" t="n">
        <x:v>0.87</x:v>
      </x:c>
      <x:c r="D12" s="131" t="n">
        <x:v>0.003625</x:v>
      </x:c>
      <x:c r="E12" s="131" t="n">
        <x:v>0</x:v>
      </x:c>
      <x:c r="F12" s="131" t="n">
        <x:v>15</x:v>
      </x:c>
      <x:c r="G12" s="131" t="n">
        <x:v>60</x:v>
      </x:c>
      <x:c r="H12" s="131" t="n">
        <x:f>IF(F12="","",F12*20%)</x:f>
        <x:v>3</x:v>
      </x:c>
      <x:c r="I12" s="131" t="n">
        <x:f>IF(F12="","",F12*50%)</x:f>
        <x:v>7.5</x:v>
      </x:c>
      <x:c r="J12" s="131" t="n">
        <x:f>IF(F12="","",G12*20%)</x:f>
        <x:v>12</x:v>
      </x:c>
      <x:c r="K12" s="131" t="n">
        <x:f>IF(F12="","",G12*50%)</x:f>
        <x:v>30</x:v>
      </x:c>
      <x:c r="L12" s="131" t="str">
        <x:v>Context-tier rows share the underlying model allowance.</x:v>
      </x:c>
      <x:c r="M12" s="131" t="str">
        <x:v>2026-10-20</x:v>
      </x:c>
      <x:c r="N12" s="131" t="str">
        <x:v>https://dev.opencode.ai/v2/docs/console/go</x:v>
      </x:c>
    </x:row>
    <x:row r="13">
      <x:c r="A13" s="131" t="str">
        <x:v>MiMo-V2.5</x:v>
      </x:c>
      <x:c r="B13" s="131" t="n">
        <x:v>0.14</x:v>
      </x:c>
      <x:c r="C13" s="131" t="n">
        <x:v>0.28</x:v>
      </x:c>
      <x:c r="D13" s="131" t="n">
        <x:v>0.0028</x:v>
      </x:c>
      <x:c r="E13" s="131" t="n">
        <x:v>0</x:v>
      </x:c>
      <x:c r="F13" s="131" t="n">
        <x:v>60</x:v>
      </x:c>
      <x:c r="G13" s="131" t="n">
        <x:v>120</x:v>
      </x:c>
      <x:c r="H13" s="131" t="n">
        <x:f>IF(F13="","",F13*20%)</x:f>
        <x:v>12</x:v>
      </x:c>
      <x:c r="I13" s="131" t="n">
        <x:f>IF(F13="","",F13*50%)</x:f>
        <x:v>30</x:v>
      </x:c>
      <x:c r="J13" s="131" t="n">
        <x:f>IF(F13="","",G13*20%)</x:f>
        <x:v>24</x:v>
      </x:c>
      <x:c r="K13" s="131" t="n">
        <x:f>IF(F13="","",G13*50%)</x:f>
        <x:v>60</x:v>
      </x:c>
      <x:c r="L13" s="131" t="str">
        <x:v>Context-tier rows share the underlying model allowance.</x:v>
      </x:c>
      <x:c r="M13" s="131" t="str">
        <x:v>2026-10-20</x:v>
      </x:c>
      <x:c r="N13" s="131" t="str">
        <x:v>https://dev.opencode.ai/v2/docs/console/go</x:v>
      </x:c>
    </x:row>
    <x:row r="14">
      <x:c r="A14" s="131" t="str">
        <x:v>MiMo-V2.5-Pro</x:v>
      </x:c>
      <x:c r="B14" s="131" t="n">
        <x:v>0.435</x:v>
      </x:c>
      <x:c r="C14" s="131" t="n">
        <x:v>0.87</x:v>
      </x:c>
      <x:c r="D14" s="131" t="n">
        <x:v>0.003625</x:v>
      </x:c>
      <x:c r="E14" s="131" t="n">
        <x:v>0</x:v>
      </x:c>
      <x:c r="F14" s="131" t="n">
        <x:v>15</x:v>
      </x:c>
      <x:c r="G14" s="131" t="n">
        <x:v>60</x:v>
      </x:c>
      <x:c r="H14" s="131" t="n">
        <x:f>IF(F14="","",F14*20%)</x:f>
        <x:v>3</x:v>
      </x:c>
      <x:c r="I14" s="131" t="n">
        <x:f>IF(F14="","",F14*50%)</x:f>
        <x:v>7.5</x:v>
      </x:c>
      <x:c r="J14" s="131" t="n">
        <x:f>IF(F14="","",G14*20%)</x:f>
        <x:v>12</x:v>
      </x:c>
      <x:c r="K14" s="131" t="n">
        <x:f>IF(F14="","",G14*50%)</x:f>
        <x:v>30</x:v>
      </x:c>
      <x:c r="L14" s="131" t="str">
        <x:v>Context-tier rows share the underlying model allowance.</x:v>
      </x:c>
      <x:c r="M14" s="131" t="str">
        <x:v>2026-10-20</x:v>
      </x:c>
      <x:c r="N14" s="131" t="str">
        <x:v>https://dev.opencode.ai/v2/docs/console/go</x:v>
      </x:c>
    </x:row>
    <x:row r="15">
      <x:c r="A15" s="131" t="str">
        <x:v>MiniMax M3.1 Flash Free</x:v>
      </x:c>
      <x:c r="B15" s="131" t="n">
        <x:v>0</x:v>
      </x:c>
      <x:c r="C15" s="131" t="n">
        <x:v>0</x:v>
      </x:c>
      <x:c r="D15" s="131" t="n">
        <x:v>0</x:v>
      </x:c>
      <x:c r="E15" s="131" t="n">
        <x:v>0</x:v>
      </x:c>
      <x:c r="F15" s="131"/>
      <x:c r="G15" s="131"/>
      <x:c r="H15" s="131" t="str">
        <x:f>IF(F15="","",F15*20%)</x:f>
      </x:c>
      <x:c r="I15" s="131" t="str">
        <x:f>IF(F15="","",F15*50%)</x:f>
      </x:c>
      <x:c r="J15" s="131" t="str">
        <x:f>IF(F15="","",G15*20%)</x:f>
      </x:c>
      <x:c r="K15" s="131" t="str">
        <x:f>IF(F15="","",G15*50%)</x:f>
      </x:c>
      <x:c r="L15" s="131" t="str">
        <x:v>Temporary free; unlimited is not infinite throughput.</x:v>
      </x:c>
      <x:c r="M15" s="131" t="str">
        <x:v>2026-10-20</x:v>
      </x:c>
      <x:c r="N15" s="131" t="str">
        <x:v>https://dev.opencode.ai/v2/docs/console/go</x:v>
      </x:c>
    </x:row>
    <x:row r="16">
      <x:c r="A16" s="131" t="str">
        <x:v>MiniMax M3</x:v>
      </x:c>
      <x:c r="B16" s="131" t="n">
        <x:v>0.3</x:v>
      </x:c>
      <x:c r="C16" s="131" t="n">
        <x:v>1.2</x:v>
      </x:c>
      <x:c r="D16" s="131" t="n">
        <x:v>0.06</x:v>
      </x:c>
      <x:c r="E16" s="131" t="n">
        <x:v>0</x:v>
      </x:c>
      <x:c r="F16" s="131" t="n">
        <x:v>60</x:v>
      </x:c>
      <x:c r="G16" s="131" t="n">
        <x:v>180</x:v>
      </x:c>
      <x:c r="H16" s="131" t="n">
        <x:f>IF(F16="","",F16*20%)</x:f>
        <x:v>12</x:v>
      </x:c>
      <x:c r="I16" s="131" t="n">
        <x:f>IF(F16="","",F16*50%)</x:f>
        <x:v>30</x:v>
      </x:c>
      <x:c r="J16" s="131" t="n">
        <x:f>IF(F16="","",G16*20%)</x:f>
        <x:v>36</x:v>
      </x:c>
      <x:c r="K16" s="131" t="n">
        <x:f>IF(F16="","",G16*50%)</x:f>
        <x:v>90</x:v>
      </x:c>
      <x:c r="L16" s="131" t="str">
        <x:v>Context-tier rows share the underlying model allowance.</x:v>
      </x:c>
      <x:c r="M16" s="131" t="str">
        <x:v>2026-10-20</x:v>
      </x:c>
      <x:c r="N16" s="131" t="str">
        <x:v>https://dev.opencode.ai/v2/docs/console/go</x:v>
      </x:c>
    </x:row>
    <x:row r="17">
      <x:c r="A17" s="131" t="str">
        <x:v>Muse Spark 1.3 Contributor</x:v>
      </x:c>
      <x:c r="B17" s="131" t="n">
        <x:v>0.1</x:v>
      </x:c>
      <x:c r="C17" s="131" t="n">
        <x:v>0.2</x:v>
      </x:c>
      <x:c r="D17" s="131" t="n">
        <x:v>0.002</x:v>
      </x:c>
      <x:c r="E17" s="131" t="n">
        <x:v>0</x:v>
      </x:c>
      <x:c r="F17" s="131" t="n">
        <x:v>60</x:v>
      </x:c>
      <x:c r="G17" s="131" t="n">
        <x:v>120</x:v>
      </x:c>
      <x:c r="H17" s="131" t="n">
        <x:f>IF(F17="","",F17*20%)</x:f>
        <x:v>12</x:v>
      </x:c>
      <x:c r="I17" s="131" t="n">
        <x:f>IF(F17="","",F17*50%)</x:f>
        <x:v>30</x:v>
      </x:c>
      <x:c r="J17" s="131" t="n">
        <x:f>IF(F17="","",G17*20%)</x:f>
        <x:v>24</x:v>
      </x:c>
      <x:c r="K17" s="131" t="n">
        <x:f>IF(F17="","",G17*50%)</x:f>
        <x:v>60</x:v>
      </x:c>
      <x:c r="L17" s="131" t="str">
        <x:v>Context-tier rows share the underlying model allowance.</x:v>
      </x:c>
      <x:c r="M17" s="131" t="str">
        <x:v>2026-10-20</x:v>
      </x:c>
      <x:c r="N17" s="131" t="str">
        <x:v>https://dev.opencode.ai/v2/docs/console/go</x:v>
      </x:c>
    </x:row>
    <x:row r="18">
      <x:c r="A18" s="131" t="str">
        <x:v>Muse Spark 1.2 Contributor</x:v>
      </x:c>
      <x:c r="B18" s="131" t="n">
        <x:v>0.1</x:v>
      </x:c>
      <x:c r="C18" s="131" t="n">
        <x:v>0.2</x:v>
      </x:c>
      <x:c r="D18" s="131" t="n">
        <x:v>0.002</x:v>
      </x:c>
      <x:c r="E18" s="131" t="n">
        <x:v>0</x:v>
      </x:c>
      <x:c r="F18" s="131" t="n">
        <x:v>60</x:v>
      </x:c>
      <x:c r="G18" s="131" t="n">
        <x:v>120</x:v>
      </x:c>
      <x:c r="H18" s="131" t="n">
        <x:f>IF(F18="","",F18*20%)</x:f>
        <x:v>12</x:v>
      </x:c>
      <x:c r="I18" s="131" t="n">
        <x:f>IF(F18="","",F18*50%)</x:f>
        <x:v>30</x:v>
      </x:c>
      <x:c r="J18" s="131" t="n">
        <x:f>IF(F18="","",G18*20%)</x:f>
        <x:v>24</x:v>
      </x:c>
      <x:c r="K18" s="131" t="n">
        <x:f>IF(F18="","",G18*50%)</x:f>
        <x:v>60</x:v>
      </x:c>
      <x:c r="L18" s="131" t="str">
        <x:v>Context-tier rows share the underlying model allowance.</x:v>
      </x:c>
      <x:c r="M18" s="131" t="str">
        <x:v>2026-10-20</x:v>
      </x:c>
      <x:c r="N18" s="131" t="str">
        <x:v>https://dev.opencode.ai/v2/docs/console/go</x:v>
      </x:c>
    </x:row>
    <x:row r="19">
      <x:c r="A19" s="131" t="str">
        <x:v>Qwen3.8 Max</x:v>
      </x:c>
      <x:c r="B19" s="131" t="n">
        <x:v>2</x:v>
      </x:c>
      <x:c r="C19" s="131" t="n">
        <x:v>6</x:v>
      </x:c>
      <x:c r="D19" s="131" t="n">
        <x:v>0.25</x:v>
      </x:c>
      <x:c r="E19" s="131" t="n">
        <x:v>2.5</x:v>
      </x:c>
      <x:c r="F19" s="131" t="n">
        <x:v>15</x:v>
      </x:c>
      <x:c r="G19" s="131" t="n">
        <x:v>60</x:v>
      </x:c>
      <x:c r="H19" s="131" t="n">
        <x:f>IF(F19="","",F19*20%)</x:f>
        <x:v>3</x:v>
      </x:c>
      <x:c r="I19" s="131" t="n">
        <x:f>IF(F19="","",F19*50%)</x:f>
        <x:v>7.5</x:v>
      </x:c>
      <x:c r="J19" s="131" t="n">
        <x:f>IF(F19="","",G19*20%)</x:f>
        <x:v>12</x:v>
      </x:c>
      <x:c r="K19" s="131" t="n">
        <x:f>IF(F19="","",G19*50%)</x:f>
        <x:v>30</x:v>
      </x:c>
      <x:c r="L19" s="131" t="str">
        <x:v>Context-tier rows share the underlying model allowance.</x:v>
      </x:c>
      <x:c r="M19" s="131" t="str">
        <x:v>2026-10-20</x:v>
      </x:c>
      <x:c r="N19" s="131" t="str">
        <x:v>https://dev.opencode.ai/v2/docs/console/go</x:v>
      </x:c>
    </x:row>
    <x:row r="20">
      <x:c r="A20" s="131" t="str">
        <x:v>Qwen3.8 Flash</x:v>
      </x:c>
      <x:c r="B20" s="131" t="n">
        <x:v>0.15</x:v>
      </x:c>
      <x:c r="C20" s="131" t="n">
        <x:v>0.47</x:v>
      </x:c>
      <x:c r="D20" s="131" t="n">
        <x:v>0.016</x:v>
      </x:c>
      <x:c r="E20" s="131" t="n">
        <x:v>0.2</x:v>
      </x:c>
      <x:c r="F20" s="131" t="n">
        <x:v>30</x:v>
      </x:c>
      <x:c r="G20" s="131" t="n">
        <x:v>90</x:v>
      </x:c>
      <x:c r="H20" s="131" t="n">
        <x:f>IF(F20="","",F20*20%)</x:f>
        <x:v>6</x:v>
      </x:c>
      <x:c r="I20" s="131" t="n">
        <x:f>IF(F20="","",F20*50%)</x:f>
        <x:v>15</x:v>
      </x:c>
      <x:c r="J20" s="131" t="n">
        <x:f>IF(F20="","",G20*20%)</x:f>
        <x:v>18</x:v>
      </x:c>
      <x:c r="K20" s="131" t="n">
        <x:f>IF(F20="","",G20*50%)</x:f>
        <x:v>45</x:v>
      </x:c>
      <x:c r="L20" s="131" t="str">
        <x:v>Context-tier rows share the underlying model allowance.</x:v>
      </x:c>
      <x:c r="M20" s="131" t="str">
        <x:v>2026-10-20</x:v>
      </x:c>
      <x:c r="N20" s="131" t="str">
        <x:v>https://dev.opencode.ai/v2/docs/console/go</x:v>
      </x:c>
    </x:row>
    <x:row r="21">
      <x:c r="A21" s="131" t="str">
        <x:v>Qwen3.7 Plus (≤ 256K tokens)</x:v>
      </x:c>
      <x:c r="B21" s="131" t="n">
        <x:v>0.4</x:v>
      </x:c>
      <x:c r="C21" s="131" t="n">
        <x:v>1.6</x:v>
      </x:c>
      <x:c r="D21" s="131" t="n">
        <x:v>0.04</x:v>
      </x:c>
      <x:c r="E21" s="131" t="n">
        <x:v>0.5</x:v>
      </x:c>
      <x:c r="F21" s="131" t="n">
        <x:v>60</x:v>
      </x:c>
      <x:c r="G21" s="131" t="n">
        <x:v>180</x:v>
      </x:c>
      <x:c r="H21" s="131" t="n">
        <x:f>IF(F21="","",F21*20%)</x:f>
        <x:v>12</x:v>
      </x:c>
      <x:c r="I21" s="131" t="n">
        <x:f>IF(F21="","",F21*50%)</x:f>
        <x:v>30</x:v>
      </x:c>
      <x:c r="J21" s="131" t="n">
        <x:f>IF(F21="","",G21*20%)</x:f>
        <x:v>36</x:v>
      </x:c>
      <x:c r="K21" s="131" t="n">
        <x:f>IF(F21="","",G21*50%)</x:f>
        <x:v>90</x:v>
      </x:c>
      <x:c r="L21" s="131" t="str">
        <x:v>Context-tier rows share the underlying model allowance.</x:v>
      </x:c>
      <x:c r="M21" s="131" t="str">
        <x:v>2026-10-20</x:v>
      </x:c>
      <x:c r="N21" s="131" t="str">
        <x:v>https://dev.opencode.ai/v2/docs/console/go</x:v>
      </x:c>
    </x:row>
    <x:row r="22">
      <x:c r="A22" s="131" t="str">
        <x:v>Qwen3.7 Plus (&gt; 256K tokens)</x:v>
      </x:c>
      <x:c r="B22" s="131" t="n">
        <x:v>1.2</x:v>
      </x:c>
      <x:c r="C22" s="131" t="n">
        <x:v>4.8</x:v>
      </x:c>
      <x:c r="D22" s="131" t="n">
        <x:v>0.12</x:v>
      </x:c>
      <x:c r="E22" s="131" t="n">
        <x:v>1.5</x:v>
      </x:c>
      <x:c r="F22" s="131" t="n">
        <x:v>60</x:v>
      </x:c>
      <x:c r="G22" s="131" t="n">
        <x:v>180</x:v>
      </x:c>
      <x:c r="H22" s="131" t="n">
        <x:f>IF(F22="","",F22*20%)</x:f>
        <x:v>12</x:v>
      </x:c>
      <x:c r="I22" s="131" t="n">
        <x:f>IF(F22="","",F22*50%)</x:f>
        <x:v>30</x:v>
      </x:c>
      <x:c r="J22" s="131" t="n">
        <x:f>IF(F22="","",G22*20%)</x:f>
        <x:v>36</x:v>
      </x:c>
      <x:c r="K22" s="131" t="n">
        <x:f>IF(F22="","",G22*50%)</x:f>
        <x:v>90</x:v>
      </x:c>
      <x:c r="L22" s="131" t="str">
        <x:v>Context-tier rows share the underlying model allowance.</x:v>
      </x:c>
      <x:c r="M22" s="131" t="str">
        <x:v>2026-10-20</x:v>
      </x:c>
      <x:c r="N22" s="131" t="str">
        <x:v>https://dev.opencode.ai/v2/docs/console/go</x:v>
      </x:c>
    </x:row>
    <x:row r="23">
      <x:c r="A23" s="131" t="str">
        <x:v>DeepSeek V4.1 Flash (Off-Peak)</x:v>
      </x:c>
      <x:c r="B23" s="131" t="n">
        <x:v>0.15</x:v>
      </x:c>
      <x:c r="C23" s="131" t="n">
        <x:v>0.6</x:v>
      </x:c>
      <x:c r="D23" s="131" t="n">
        <x:v>0.003</x:v>
      </x:c>
      <x:c r="E23" s="131" t="n">
        <x:v>0</x:v>
      </x:c>
      <x:c r="F23" s="131" t="n">
        <x:v>80</x:v>
      </x:c>
      <x:c r="G23" s="131" t="n">
        <x:v>160</x:v>
      </x:c>
      <x:c r="H23" s="131" t="n">
        <x:f>IF(F23="","",F23*20%)</x:f>
        <x:v>16</x:v>
      </x:c>
      <x:c r="I23" s="131" t="n">
        <x:f>IF(F23="","",F23*50%)</x:f>
        <x:v>40</x:v>
      </x:c>
      <x:c r="J23" s="131" t="n">
        <x:f>IF(F23="","",G23*20%)</x:f>
        <x:v>32</x:v>
      </x:c>
      <x:c r="K23" s="131" t="n">
        <x:f>IF(F23="","",G23*50%)</x:f>
        <x:v>80</x:v>
      </x:c>
      <x:c r="L23" s="131" t="str">
        <x:v>Peak: weekdays 01–04 and 06–10 UTC. Same underlying model allowance; do not add peak/off-peak caps.</x:v>
      </x:c>
      <x:c r="M23" s="131" t="str">
        <x:v>2026-10-20</x:v>
      </x:c>
      <x:c r="N23" s="131" t="str">
        <x:v>https://dev.opencode.ai/v2/docs/console/go</x:v>
      </x:c>
    </x:row>
    <x:row r="24">
      <x:c r="A24" s="131" t="str">
        <x:v>DeepSeek V4.1 Flash (Peak)</x:v>
      </x:c>
      <x:c r="B24" s="131" t="n">
        <x:v>0.3</x:v>
      </x:c>
      <x:c r="C24" s="131" t="n">
        <x:v>1.2</x:v>
      </x:c>
      <x:c r="D24" s="131" t="n">
        <x:v>0.006</x:v>
      </x:c>
      <x:c r="E24" s="131" t="n">
        <x:v>0</x:v>
      </x:c>
      <x:c r="F24" s="131" t="n">
        <x:v>80</x:v>
      </x:c>
      <x:c r="G24" s="131" t="n">
        <x:v>160</x:v>
      </x:c>
      <x:c r="H24" s="131" t="n">
        <x:f>IF(F24="","",F24*20%)</x:f>
        <x:v>16</x:v>
      </x:c>
      <x:c r="I24" s="131" t="n">
        <x:f>IF(F24="","",F24*50%)</x:f>
        <x:v>40</x:v>
      </x:c>
      <x:c r="J24" s="131" t="n">
        <x:f>IF(F24="","",G24*20%)</x:f>
        <x:v>32</x:v>
      </x:c>
      <x:c r="K24" s="131" t="n">
        <x:f>IF(F24="","",G24*50%)</x:f>
        <x:v>80</x:v>
      </x:c>
      <x:c r="L24" s="131" t="str">
        <x:v>Peak: weekdays 01–04 and 06–10 UTC. Same underlying model allowance; do not add peak/off-peak caps.</x:v>
      </x:c>
      <x:c r="M24" s="131" t="str">
        <x:v>2026-10-20</x:v>
      </x:c>
      <x:c r="N24" s="131" t="str">
        <x:v>https://dev.opencode.ai/v2/docs/console/go</x:v>
      </x:c>
    </x:row>
    <x:row r="25">
      <x:c r="A25" s="131" t="str">
        <x:v>DeepSeek V4 Pro (Off-Peak)</x:v>
      </x:c>
      <x:c r="B25" s="131" t="n">
        <x:v>0.66</x:v>
      </x:c>
      <x:c r="C25" s="131" t="n">
        <x:v>1.98</x:v>
      </x:c>
      <x:c r="D25" s="131" t="n">
        <x:v>0.022</x:v>
      </x:c>
      <x:c r="E25" s="131" t="n">
        <x:v>0</x:v>
      </x:c>
      <x:c r="F25" s="131" t="n">
        <x:v>15</x:v>
      </x:c>
      <x:c r="G25" s="131" t="n">
        <x:v>60</x:v>
      </x:c>
      <x:c r="H25" s="131" t="n">
        <x:f>IF(F25="","",F25*20%)</x:f>
        <x:v>3</x:v>
      </x:c>
      <x:c r="I25" s="131" t="n">
        <x:f>IF(F25="","",F25*50%)</x:f>
        <x:v>7.5</x:v>
      </x:c>
      <x:c r="J25" s="131" t="n">
        <x:f>IF(F25="","",G25*20%)</x:f>
        <x:v>12</x:v>
      </x:c>
      <x:c r="K25" s="131" t="n">
        <x:f>IF(F25="","",G25*50%)</x:f>
        <x:v>30</x:v>
      </x:c>
      <x:c r="L25" s="131" t="str">
        <x:v>Peak: weekdays 01–04 and 06–10 UTC. Same underlying model allowance; do not add peak/off-peak caps.</x:v>
      </x:c>
      <x:c r="M25" s="131" t="str">
        <x:v>2026-10-20</x:v>
      </x:c>
      <x:c r="N25" s="131" t="str">
        <x:v>https://dev.opencode.ai/v2/docs/console/go</x:v>
      </x:c>
    </x:row>
    <x:row r="26">
      <x:c r="A26" s="131" t="str">
        <x:v>DeepSeek V4 Pro (Peak)</x:v>
      </x:c>
      <x:c r="B26" s="131" t="n">
        <x:v>1.32</x:v>
      </x:c>
      <x:c r="C26" s="131" t="n">
        <x:v>3.96</x:v>
      </x:c>
      <x:c r="D26" s="131" t="n">
        <x:v>0.044</x:v>
      </x:c>
      <x:c r="E26" s="131" t="n">
        <x:v>0</x:v>
      </x:c>
      <x:c r="F26" s="131" t="n">
        <x:v>15</x:v>
      </x:c>
      <x:c r="G26" s="131" t="n">
        <x:v>60</x:v>
      </x:c>
      <x:c r="H26" s="131" t="n">
        <x:f>IF(F26="","",F26*20%)</x:f>
        <x:v>3</x:v>
      </x:c>
      <x:c r="I26" s="131" t="n">
        <x:f>IF(F26="","",F26*50%)</x:f>
        <x:v>7.5</x:v>
      </x:c>
      <x:c r="J26" s="131" t="n">
        <x:f>IF(F26="","",G26*20%)</x:f>
        <x:v>12</x:v>
      </x:c>
      <x:c r="K26" s="131" t="n">
        <x:f>IF(F26="","",G26*50%)</x:f>
        <x:v>30</x:v>
      </x:c>
      <x:c r="L26" s="131" t="str">
        <x:v>Peak: weekdays 01–04 and 06–10 UTC. Same underlying model allowance; do not add peak/off-peak caps.</x:v>
      </x:c>
      <x:c r="M26" s="131" t="str">
        <x:v>2026-10-20</x:v>
      </x:c>
      <x:c r="N26" s="131" t="str">
        <x:v>https://dev.opencode.ai/v2/docs/console/go</x:v>
      </x:c>
    </x:row>
    <x:row r="27">
      <x:c r="A27" s="131" t="str">
        <x:v>Hy4 preview</x:v>
      </x:c>
      <x:c r="B27" s="131" t="n">
        <x:v>0.834</x:v>
      </x:c>
      <x:c r="C27" s="131" t="n">
        <x:v>2.501</x:v>
      </x:c>
      <x:c r="D27" s="131" t="n">
        <x:v>0.042</x:v>
      </x:c>
      <x:c r="E27" s="131" t="n">
        <x:v>0</x:v>
      </x:c>
      <x:c r="F27" s="131" t="n">
        <x:v>30</x:v>
      </x:c>
      <x:c r="G27" s="131" t="n">
        <x:v>120</x:v>
      </x:c>
      <x:c r="H27" s="131" t="n">
        <x:f>IF(F27="","",F27*20%)</x:f>
        <x:v>6</x:v>
      </x:c>
      <x:c r="I27" s="131" t="n">
        <x:f>IF(F27="","",F27*50%)</x:f>
        <x:v>15</x:v>
      </x:c>
      <x:c r="J27" s="131" t="n">
        <x:f>IF(F27="","",G27*20%)</x:f>
        <x:v>24</x:v>
      </x:c>
      <x:c r="K27" s="131" t="n">
        <x:f>IF(F27="","",G27*50%)</x:f>
        <x:v>60</x:v>
      </x:c>
      <x:c r="L27" s="131" t="str">
        <x:v>Context-tier rows share the underlying model allowance.</x:v>
      </x:c>
      <x:c r="M27" s="131" t="str">
        <x:v>2026-10-20</x:v>
      </x:c>
      <x:c r="N27" s="131" t="str">
        <x:v>https://dev.opencode.ai/v2/docs/console/go</x:v>
      </x:c>
    </x:row>
    <x:row r="28">
      <x:c r="A28" s="131" t="str">
        <x:v>Hy3</x:v>
      </x:c>
      <x:c r="B28" s="131" t="n">
        <x:v>0.14</x:v>
      </x:c>
      <x:c r="C28" s="131" t="n">
        <x:v>0.58</x:v>
      </x:c>
      <x:c r="D28" s="131" t="n">
        <x:v>0.035</x:v>
      </x:c>
      <x:c r="E28" s="131" t="n">
        <x:v>0</x:v>
      </x:c>
      <x:c r="F28" s="131" t="n">
        <x:v>60</x:v>
      </x:c>
      <x:c r="G28" s="131" t="n">
        <x:v>240</x:v>
      </x:c>
      <x:c r="H28" s="131" t="n">
        <x:f>IF(F28="","",F28*20%)</x:f>
        <x:v>12</x:v>
      </x:c>
      <x:c r="I28" s="131" t="n">
        <x:f>IF(F28="","",F28*50%)</x:f>
        <x:v>30</x:v>
      </x:c>
      <x:c r="J28" s="131" t="n">
        <x:f>IF(F28="","",G28*20%)</x:f>
        <x:v>48</x:v>
      </x:c>
      <x:c r="K28" s="131" t="n">
        <x:f>IF(F28="","",G28*50%)</x:f>
        <x:v>120</x:v>
      </x:c>
      <x:c r="L28" s="131" t="str">
        <x:v>Context-tier rows share the underlying model allowance.</x:v>
      </x:c>
      <x:c r="M28" s="131" t="str">
        <x:v>2026-10-20</x:v>
      </x:c>
      <x:c r="N28" s="131" t="str">
        <x:v>https://dev.opencode.ai/v2/docs/console/go</x:v>
      </x:c>
    </x:row>
    <x:row r="29">
      <x:c r="A29" s="131" t="str">
        <x:v>Grok 4.7 (≤ 200K tokens)</x:v>
      </x:c>
      <x:c r="B29" s="131" t="n">
        <x:v>2</x:v>
      </x:c>
      <x:c r="C29" s="131" t="n">
        <x:v>6</x:v>
      </x:c>
      <x:c r="D29" s="131" t="n">
        <x:v>0.5</x:v>
      </x:c>
      <x:c r="E29" s="131" t="n">
        <x:v>0</x:v>
      </x:c>
      <x:c r="F29" s="131" t="n">
        <x:v>15</x:v>
      </x:c>
      <x:c r="G29" s="131" t="n">
        <x:v>60</x:v>
      </x:c>
      <x:c r="H29" s="131" t="n">
        <x:f>IF(F29="","",F29*20%)</x:f>
        <x:v>3</x:v>
      </x:c>
      <x:c r="I29" s="131" t="n">
        <x:f>IF(F29="","",F29*50%)</x:f>
        <x:v>7.5</x:v>
      </x:c>
      <x:c r="J29" s="131" t="n">
        <x:f>IF(F29="","",G29*20%)</x:f>
        <x:v>12</x:v>
      </x:c>
      <x:c r="K29" s="131" t="n">
        <x:f>IF(F29="","",G29*50%)</x:f>
        <x:v>30</x:v>
      </x:c>
      <x:c r="L29" s="131" t="str">
        <x:v>Context-tier rows share the underlying model allowance.</x:v>
      </x:c>
      <x:c r="M29" s="131" t="str">
        <x:v>2026-10-20</x:v>
      </x:c>
      <x:c r="N29" s="131" t="str">
        <x:v>https://dev.opencode.ai/v2/docs/console/go</x:v>
      </x:c>
    </x:row>
    <x:row r="30">
      <x:c r="A30" s="131" t="str">
        <x:v>Grok 4.7 (&gt; 200K tokens)</x:v>
      </x:c>
      <x:c r="B30" s="131" t="n">
        <x:v>4</x:v>
      </x:c>
      <x:c r="C30" s="131" t="n">
        <x:v>12</x:v>
      </x:c>
      <x:c r="D30" s="131" t="n">
        <x:v>1</x:v>
      </x:c>
      <x:c r="E30" s="131" t="n">
        <x:v>0</x:v>
      </x:c>
      <x:c r="F30" s="131" t="n">
        <x:v>15</x:v>
      </x:c>
      <x:c r="G30" s="131" t="n">
        <x:v>60</x:v>
      </x:c>
      <x:c r="H30" s="131" t="n">
        <x:f>IF(F30="","",F30*20%)</x:f>
        <x:v>3</x:v>
      </x:c>
      <x:c r="I30" s="131" t="n">
        <x:f>IF(F30="","",F30*50%)</x:f>
        <x:v>7.5</x:v>
      </x:c>
      <x:c r="J30" s="131" t="n">
        <x:f>IF(F30="","",G30*20%)</x:f>
        <x:v>12</x:v>
      </x:c>
      <x:c r="K30" s="131" t="n">
        <x:f>IF(F30="","",G30*50%)</x:f>
        <x:v>30</x:v>
      </x:c>
      <x:c r="L30" s="131" t="str">
        <x:v>Context-tier rows share the underlying model allowance.</x:v>
      </x:c>
      <x:c r="M30" s="131" t="str">
        <x:v>2026-10-20</x:v>
      </x:c>
      <x:c r="N30" s="131" t="str">
        <x:v>https://dev.opencode.ai/v2/docs/console/go</x:v>
      </x:c>
    </x:row>
    <x:row r="31">
      <x:c r="A31" s="131" t="str">
        <x:v>GPT 6 Luna (≤ 272K tokens)</x:v>
      </x:c>
      <x:c r="B31" s="131" t="n">
        <x:v>0.1</x:v>
      </x:c>
      <x:c r="C31" s="131" t="n">
        <x:v>0.5</x:v>
      </x:c>
      <x:c r="D31" s="131" t="n">
        <x:v>0.01</x:v>
      </x:c>
      <x:c r="E31" s="131" t="n">
        <x:v>0.125</x:v>
      </x:c>
      <x:c r="F31" s="131" t="n">
        <x:v>15</x:v>
      </x:c>
      <x:c r="G31" s="131" t="n">
        <x:v>60</x:v>
      </x:c>
      <x:c r="H31" s="131" t="n">
        <x:f>IF(F31="","",F31*20%)</x:f>
        <x:v>3</x:v>
      </x:c>
      <x:c r="I31" s="131" t="n">
        <x:f>IF(F31="","",F31*50%)</x:f>
        <x:v>7.5</x:v>
      </x:c>
      <x:c r="J31" s="131" t="n">
        <x:f>IF(F31="","",G31*20%)</x:f>
        <x:v>12</x:v>
      </x:c>
      <x:c r="K31" s="131" t="n">
        <x:f>IF(F31="","",G31*50%)</x:f>
        <x:v>30</x:v>
      </x:c>
      <x:c r="L31" s="131" t="str">
        <x:v>Context-tier rows share the underlying model allowance.</x:v>
      </x:c>
      <x:c r="M31" s="131" t="str">
        <x:v>2026-10-20</x:v>
      </x:c>
      <x:c r="N31" s="131" t="str">
        <x:v>https://dev.opencode.ai/v2/docs/console/go</x:v>
      </x:c>
    </x:row>
    <x:row r="32">
      <x:c r="A32" s="131" t="str">
        <x:v>GPT 6 Luna (&gt; 272K tokens)</x:v>
      </x:c>
      <x:c r="B32" s="131" t="n">
        <x:v>0.2</x:v>
      </x:c>
      <x:c r="C32" s="131" t="n">
        <x:v>0.75</x:v>
      </x:c>
      <x:c r="D32" s="131" t="n">
        <x:v>0.02</x:v>
      </x:c>
      <x:c r="E32" s="131" t="n">
        <x:v>0.25</x:v>
      </x:c>
      <x:c r="F32" s="131" t="n">
        <x:v>15</x:v>
      </x:c>
      <x:c r="G32" s="131" t="n">
        <x:v>60</x:v>
      </x:c>
      <x:c r="H32" s="131" t="n">
        <x:f>IF(F32="","",F32*20%)</x:f>
        <x:v>3</x:v>
      </x:c>
      <x:c r="I32" s="131" t="n">
        <x:f>IF(F32="","",F32*50%)</x:f>
        <x:v>7.5</x:v>
      </x:c>
      <x:c r="J32" s="131" t="n">
        <x:f>IF(F32="","",G32*20%)</x:f>
        <x:v>12</x:v>
      </x:c>
      <x:c r="K32" s="131" t="n">
        <x:f>IF(F32="","",G32*50%)</x:f>
        <x:v>30</x:v>
      </x:c>
      <x:c r="L32" s="131" t="str">
        <x:v>Context-tier rows share the underlying model allowance.</x:v>
      </x:c>
      <x:c r="M32" s="131" t="str">
        <x:v>2026-10-20</x:v>
      </x:c>
      <x:c r="N32" s="131" t="str">
        <x:v>https://dev.opencode.ai/v2/docs/console/go</x:v>
      </x:c>
    </x:row>
    <x:row r="33">
      <x:c r="A33" s="131" t="str">
        <x:v>GPT 5.6 Luna (≤ 272K tokens)</x:v>
      </x:c>
      <x:c r="B33" s="131" t="n">
        <x:v>0.2</x:v>
      </x:c>
      <x:c r="C33" s="131" t="n">
        <x:v>1.2</x:v>
      </x:c>
      <x:c r="D33" s="131" t="n">
        <x:v>0.02</x:v>
      </x:c>
      <x:c r="E33" s="131" t="n">
        <x:v>0.25</x:v>
      </x:c>
      <x:c r="F33" s="131" t="n">
        <x:v>15</x:v>
      </x:c>
      <x:c r="G33" s="131" t="n">
        <x:v>60</x:v>
      </x:c>
      <x:c r="H33" s="131" t="n">
        <x:f>IF(F33="","",F33*20%)</x:f>
        <x:v>3</x:v>
      </x:c>
      <x:c r="I33" s="131" t="n">
        <x:f>IF(F33="","",F33*50%)</x:f>
        <x:v>7.5</x:v>
      </x:c>
      <x:c r="J33" s="131" t="n">
        <x:f>IF(F33="","",G33*20%)</x:f>
        <x:v>12</x:v>
      </x:c>
      <x:c r="K33" s="131" t="n">
        <x:f>IF(F33="","",G33*50%)</x:f>
        <x:v>30</x:v>
      </x:c>
      <x:c r="L33" s="131" t="str">
        <x:v>Context-tier rows share the underlying model allowance.</x:v>
      </x:c>
      <x:c r="M33" s="131" t="str">
        <x:v>2026-10-20</x:v>
      </x:c>
      <x:c r="N33" s="131" t="str">
        <x:v>https://dev.opencode.ai/v2/docs/console/go</x:v>
      </x:c>
    </x:row>
    <x:row r="34">
      <x:c r="A34" s="131" t="str">
        <x:v>GPT 5.6 Luna (&gt; 272K tokens)</x:v>
      </x:c>
      <x:c r="B34" s="131" t="n">
        <x:v>0.4</x:v>
      </x:c>
      <x:c r="C34" s="131" t="n">
        <x:v>1.8</x:v>
      </x:c>
      <x:c r="D34" s="131" t="n">
        <x:v>0.04</x:v>
      </x:c>
      <x:c r="E34" s="131" t="n">
        <x:v>0.5</x:v>
      </x:c>
      <x:c r="F34" s="131" t="n">
        <x:v>15</x:v>
      </x:c>
      <x:c r="G34" s="131" t="n">
        <x:v>60</x:v>
      </x:c>
      <x:c r="H34" s="131" t="n">
        <x:f>IF(F34="","",F34*20%)</x:f>
        <x:v>3</x:v>
      </x:c>
      <x:c r="I34" s="131" t="n">
        <x:f>IF(F34="","",F34*50%)</x:f>
        <x:v>7.5</x:v>
      </x:c>
      <x:c r="J34" s="131" t="n">
        <x:f>IF(F34="","",G34*20%)</x:f>
        <x:v>12</x:v>
      </x:c>
      <x:c r="K34" s="131" t="n">
        <x:f>IF(F34="","",G34*50%)</x:f>
        <x:v>30</x:v>
      </x:c>
      <x:c r="L34" s="131" t="str">
        <x:v>Context-tier rows share the underlying model allowance.</x:v>
      </x:c>
      <x:c r="M34" s="131" t="str">
        <x:v>2026-10-20</x:v>
      </x:c>
      <x:c r="N34" s="131" t="str">
        <x:v>https://dev.opencode.ai/v2/docs/console/go</x:v>
      </x:c>
    </x:row>
    <x:row r="35">
      <x:c r="A35" s="131" t="str">
        <x:v>Claude Haiku 5.5 (≤ 100K tokens)</x:v>
      </x:c>
      <x:c r="B35" s="131" t="n">
        <x:v>0.1</x:v>
      </x:c>
      <x:c r="C35" s="131" t="n">
        <x:v>0.5</x:v>
      </x:c>
      <x:c r="D35" s="131" t="n">
        <x:v>0.01</x:v>
      </x:c>
      <x:c r="E35" s="131" t="n">
        <x:v>0.125</x:v>
      </x:c>
      <x:c r="F35" s="131" t="n">
        <x:v>15</x:v>
      </x:c>
      <x:c r="G35" s="131" t="n">
        <x:v>60</x:v>
      </x:c>
      <x:c r="H35" s="131" t="n">
        <x:f>IF(F35="","",F35*20%)</x:f>
        <x:v>3</x:v>
      </x:c>
      <x:c r="I35" s="131" t="n">
        <x:f>IF(F35="","",F35*50%)</x:f>
        <x:v>7.5</x:v>
      </x:c>
      <x:c r="J35" s="131" t="n">
        <x:f>IF(F35="","",G35*20%)</x:f>
        <x:v>12</x:v>
      </x:c>
      <x:c r="K35" s="131" t="n">
        <x:f>IF(F35="","",G35*50%)</x:f>
        <x:v>30</x:v>
      </x:c>
      <x:c r="L35" s="131" t="str">
        <x:v>Context-tier rows share the underlying model allowance.</x:v>
      </x:c>
      <x:c r="M35" s="131" t="str">
        <x:v>2026-10-20</x:v>
      </x:c>
      <x:c r="N35" s="131" t="str">
        <x:v>https://dev.opencode.ai/v2/docs/console/go</x:v>
      </x:c>
    </x:row>
    <x:row r="36">
      <x:c r="A36" s="131" t="str">
        <x:v>Claude Haiku 5.5 (&gt; 100K tokens)</x:v>
      </x:c>
      <x:c r="B36" s="131" t="n">
        <x:v>0.5</x:v>
      </x:c>
      <x:c r="C36" s="131" t="n">
        <x:v>2.5</x:v>
      </x:c>
      <x:c r="D36" s="131" t="n">
        <x:v>0.05</x:v>
      </x:c>
      <x:c r="E36" s="131" t="n">
        <x:v>0.625</x:v>
      </x:c>
      <x:c r="F36" s="131" t="n">
        <x:v>15</x:v>
      </x:c>
      <x:c r="G36" s="131" t="n">
        <x:v>60</x:v>
      </x:c>
      <x:c r="H36" s="131" t="n">
        <x:f>IF(F36="","",F36*20%)</x:f>
        <x:v>3</x:v>
      </x:c>
      <x:c r="I36" s="131" t="n">
        <x:f>IF(F36="","",F36*50%)</x:f>
        <x:v>7.5</x:v>
      </x:c>
      <x:c r="J36" s="131" t="n">
        <x:f>IF(F36="","",G36*20%)</x:f>
        <x:v>12</x:v>
      </x:c>
      <x:c r="K36" s="131" t="n">
        <x:f>IF(F36="","",G36*50%)</x:f>
        <x:v>30</x:v>
      </x:c>
      <x:c r="L36" s="131" t="str">
        <x:v>Context-tier rows share the underlying model allowance.</x:v>
      </x:c>
      <x:c r="M36" s="131" t="str">
        <x:v>2026-10-20</x:v>
      </x:c>
      <x:c r="N36" s="131" t="str">
        <x:v>https://dev.opencode.ai/v2/docs/console/go</x:v>
      </x:c>
    </x:row>
    <x:row r="37">
      <x:c r="A37" s="131" t="str">
        <x:v>Gemini 4 Argon Contributor</x:v>
      </x:c>
      <x:c r="B37" s="131" t="n">
        <x:v>4</x:v>
      </x:c>
      <x:c r="C37" s="131" t="n">
        <x:v>20</x:v>
      </x:c>
      <x:c r="D37" s="131" t="n">
        <x:v>0.2</x:v>
      </x:c>
      <x:c r="E37" s="131" t="n">
        <x:v>0</x:v>
      </x:c>
      <x:c r="F37" s="131" t="n">
        <x:v>60</x:v>
      </x:c>
      <x:c r="G37" s="131" t="n">
        <x:v>240</x:v>
      </x:c>
      <x:c r="H37" s="131" t="n">
        <x:f>IF(F37="","",F37*20%)</x:f>
        <x:v>12</x:v>
      </x:c>
      <x:c r="I37" s="131" t="n">
        <x:f>IF(F37="","",F37*50%)</x:f>
        <x:v>30</x:v>
      </x:c>
      <x:c r="J37" s="131" t="n">
        <x:f>IF(F37="","",G37*20%)</x:f>
        <x:v>48</x:v>
      </x:c>
      <x:c r="K37" s="131" t="n">
        <x:f>IF(F37="","",G37*50%)</x:f>
        <x:v>120</x:v>
      </x:c>
      <x:c r="L37" s="131" t="str">
        <x:v>Temporary promotion.</x:v>
      </x:c>
      <x:c r="M37" s="131" t="str">
        <x:v>2026-10-20</x:v>
      </x:c>
      <x:c r="N37" s="131" t="str">
        <x:v>https://dev.opencode.ai/v2/docs/console/go</x:v>
      </x:c>
    </x:row>
  </x:sheetData>
  <x:pageMargins left="0.7" right="0.7" top="0.75" bottom="0.75" header="0.3" footer="0.3"/>
  <x:tableParts count="1">
    <x:tablePart xmlns:r="http://schemas.openxmlformats.org/officeDocument/2006/relationships" r:id="R5a376692422641dc"/>
  </x:tableParts>
</x:worksheet>
</file>

<file path=xl/worksheets/sheet4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0" hidden="0" customWidth="1"/>
    <x:col min="2" max="2" width="18" hidden="0" customWidth="1"/>
    <x:col min="3" max="3" width="18" hidden="0" customWidth="1"/>
    <x:col min="4" max="4" width="18" hidden="0" customWidth="1"/>
    <x:col min="5" max="5" width="4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60" hidden="0" customWidth="1"/>
    <x:col min="21" max="21" width="60" hidden="0" customWidth="1"/>
  </x:cols>
  <x:sheetData>
    <x:row r="1" ht="42" customHeight="1">
      <x:c r="A1" s="128" t="str">
        <x:v>Model</x:v>
      </x:c>
      <x:c r="B1" s="128" t="str">
        <x:v>Effort</x:v>
      </x:c>
      <x:c r="C1" s="128" t="str">
        <x:v>AAII score</x:v>
      </x:c>
      <x:c r="D1" s="128" t="str">
        <x:v>AA USD/task</x:v>
      </x:c>
      <x:c r="E1" s="128" t="str">
        <x:v>Go model/tier</x:v>
      </x:c>
      <x:c r="F1" s="128" t="str">
        <x:v>Go monthly cap</x:v>
      </x:c>
      <x:c r="G1" s="128" t="str">
        <x:v>Plus monthly cap</x:v>
      </x:c>
      <x:c r="H1" s="128" t="str">
        <x:v>AA input/M</x:v>
      </x:c>
      <x:c r="I1" s="128" t="str">
        <x:v>AA output/M</x:v>
      </x:c>
      <x:c r="J1" s="128" t="str">
        <x:v>AA cached/M</x:v>
      </x:c>
      <x:c r="K1" s="128" t="str">
        <x:v>Go input/M</x:v>
      </x:c>
      <x:c r="L1" s="128" t="str">
        <x:v>Go output/M</x:v>
      </x:c>
      <x:c r="M1" s="128" t="str">
        <x:v>Go cached/M</x:v>
      </x:c>
      <x:c r="N1" s="128" t="str">
        <x:v>Repriced min USD/task</x:v>
      </x:c>
      <x:c r="O1" s="128" t="str">
        <x:v>Repriced max USD/task</x:v>
      </x:c>
      <x:c r="P1" s="128" t="str">
        <x:v>Go minimum tasks</x:v>
      </x:c>
      <x:c r="Q1" s="128" t="str">
        <x:v>Go maximum tasks</x:v>
      </x:c>
      <x:c r="R1" s="128" t="str">
        <x:v>Plus minimum tasks</x:v>
      </x:c>
      <x:c r="S1" s="128" t="str">
        <x:v>Plus maximum tasks</x:v>
      </x:c>
      <x:c r="T1" s="128" t="str">
        <x:v>Interpretation</x:v>
      </x:c>
      <x:c r="U1" s="128" t="str">
        <x:v>AA source</x:v>
      </x:c>
    </x:row>
    <x:row r="2">
      <x:c r="A2" s="131" t="str">
        <x:v>gpt-6-luna</x:v>
      </x:c>
      <x:c r="B2" s="131" t="str">
        <x:v>non-reasoning</x:v>
      </x:c>
      <x:c r="C2" s="131" t="n">
        <x:v>18</x:v>
      </x:c>
      <x:c r="D2" s="131" t="n">
        <x:v>0.01</x:v>
      </x:c>
      <x:c r="E2" s="131" t="str">
        <x:v>GPT 6 Luna (≤ 272K tokens)</x:v>
      </x:c>
      <x:c r="F2" s="131" t="n">
        <x:v>15</x:v>
      </x:c>
      <x:c r="G2" s="131" t="n">
        <x:v>60</x:v>
      </x:c>
      <x:c r="H2" s="131" t="n">
        <x:v>0.1</x:v>
      </x:c>
      <x:c r="I2" s="131" t="n">
        <x:v>0.5</x:v>
      </x:c>
      <x:c r="J2" s="131" t="n">
        <x:v>0.01</x:v>
      </x:c>
      <x:c r="K2" s="131" t="n">
        <x:v>0.1</x:v>
      </x:c>
      <x:c r="L2" s="131" t="n">
        <x:v>0.5</x:v>
      </x:c>
      <x:c r="M2" s="131" t="n">
        <x:v>0.01</x:v>
      </x:c>
      <x:c r="N2" s="131" t="n">
        <x:f>D2*MIN(K2/H2,L2/I2,M2/J2)</x:f>
        <x:v>0.01</x:v>
      </x:c>
      <x:c r="O2" s="131" t="n">
        <x:f>D2*MAX(K2/H2,L2/I2,M2/J2)</x:f>
        <x:v>0.01</x:v>
      </x:c>
      <x:c r="P2" s="131" t="n">
        <x:f>IF(O2&gt;0,ROUNDDOWN(F2/O2,0),"")</x:f>
        <x:v>1500</x:v>
      </x:c>
      <x:c r="Q2" s="131" t="n">
        <x:f>IF(N2&gt;0,ROUNDDOWN(F2/N2,0),"")</x:f>
        <x:v>1500</x:v>
      </x:c>
      <x:c r="R2" s="131" t="n">
        <x:f>IF(O2&gt;0,ROUNDDOWN(G2/O2,0),"")</x:f>
        <x:v>6000</x:v>
      </x:c>
      <x:c r="S2" s="131" t="n">
        <x:f>IF(N2&gt;0,ROUNDDOWN(G2/N2,0),"")</x:f>
        <x:v>6000</x:v>
      </x:c>
      <x:c r="T2" s="131" t="str">
        <x:v>AAII task proxy. Min/max tariff-ratio bounds exclude cache-write changes and harness effects. AA price date 2026-10-16</x:v>
      </x:c>
      <x:c r="U2" s="131" t="str">
        <x:v>https://artificialanalysis.ai/models/gpt-6-luna-non-reasoning</x:v>
      </x:c>
    </x:row>
    <x:row r="3">
      <x:c r="A3" s="131" t="str">
        <x:v>gpt-6-luna</x:v>
      </x:c>
      <x:c r="B3" s="131" t="str">
        <x:v>non-reasoning</x:v>
      </x:c>
      <x:c r="C3" s="131" t="n">
        <x:v>18</x:v>
      </x:c>
      <x:c r="D3" s="131" t="n">
        <x:v>0.01</x:v>
      </x:c>
      <x:c r="E3" s="131" t="str">
        <x:v>GPT 6 Luna (&gt; 272K tokens)</x:v>
      </x:c>
      <x:c r="F3" s="131" t="n">
        <x:v>15</x:v>
      </x:c>
      <x:c r="G3" s="131" t="n">
        <x:v>60</x:v>
      </x:c>
      <x:c r="H3" s="131" t="n">
        <x:v>0.1</x:v>
      </x:c>
      <x:c r="I3" s="131" t="n">
        <x:v>0.5</x:v>
      </x:c>
      <x:c r="J3" s="131" t="n">
        <x:v>0.01</x:v>
      </x:c>
      <x:c r="K3" s="131" t="n">
        <x:v>0.2</x:v>
      </x:c>
      <x:c r="L3" s="131" t="n">
        <x:v>0.75</x:v>
      </x:c>
      <x:c r="M3" s="131" t="n">
        <x:v>0.02</x:v>
      </x:c>
      <x:c r="N3" s="131" t="n">
        <x:f>D3*MIN(K3/H3,L3/I3,M3/J3)</x:f>
        <x:v>0.015</x:v>
      </x:c>
      <x:c r="O3" s="131" t="n">
        <x:f>D3*MAX(K3/H3,L3/I3,M3/J3)</x:f>
        <x:v>0.02</x:v>
      </x:c>
      <x:c r="P3" s="131" t="n">
        <x:f>IF(O3&gt;0,ROUNDDOWN(F3/O3,0),"")</x:f>
        <x:v>750</x:v>
      </x:c>
      <x:c r="Q3" s="131" t="n">
        <x:f>IF(N3&gt;0,ROUNDDOWN(F3/N3,0),"")</x:f>
        <x:v>1000</x:v>
      </x:c>
      <x:c r="R3" s="131" t="n">
        <x:f>IF(O3&gt;0,ROUNDDOWN(G3/O3,0),"")</x:f>
        <x:v>3000</x:v>
      </x:c>
      <x:c r="S3" s="131" t="n">
        <x:f>IF(N3&gt;0,ROUNDDOWN(G3/N3,0),"")</x:f>
        <x:v>4000</x:v>
      </x:c>
      <x:c r="T3" s="131" t="str">
        <x:v>AAII task proxy. Min/max tariff-ratio bounds exclude cache-write changes and harness effects. AA price date 2026-10-16</x:v>
      </x:c>
      <x:c r="U3" s="131" t="str">
        <x:v>https://artificialanalysis.ai/models/gpt-6-luna-non-reasoning</x:v>
      </x:c>
    </x:row>
    <x:row r="4">
      <x:c r="A4" s="131" t="str">
        <x:v>gpt-6-luna</x:v>
      </x:c>
      <x:c r="B4" s="131" t="str">
        <x:v>low</x:v>
      </x:c>
      <x:c r="C4" s="131" t="n">
        <x:v>22</x:v>
      </x:c>
      <x:c r="D4" s="131" t="n">
        <x:v>0.0045</x:v>
      </x:c>
      <x:c r="E4" s="131" t="str">
        <x:v>GPT 6 Luna (≤ 272K tokens)</x:v>
      </x:c>
      <x:c r="F4" s="131" t="n">
        <x:v>15</x:v>
      </x:c>
      <x:c r="G4" s="131" t="n">
        <x:v>60</x:v>
      </x:c>
      <x:c r="H4" s="131" t="n">
        <x:v>0.1</x:v>
      </x:c>
      <x:c r="I4" s="131" t="n">
        <x:v>0.5</x:v>
      </x:c>
      <x:c r="J4" s="131" t="n">
        <x:v>0.01</x:v>
      </x:c>
      <x:c r="K4" s="131" t="n">
        <x:v>0.1</x:v>
      </x:c>
      <x:c r="L4" s="131" t="n">
        <x:v>0.5</x:v>
      </x:c>
      <x:c r="M4" s="131" t="n">
        <x:v>0.01</x:v>
      </x:c>
      <x:c r="N4" s="131" t="n">
        <x:f>D4*MIN(K4/H4,L4/I4,M4/J4)</x:f>
        <x:v>0.0045</x:v>
      </x:c>
      <x:c r="O4" s="131" t="n">
        <x:f>D4*MAX(K4/H4,L4/I4,M4/J4)</x:f>
        <x:v>0.0045</x:v>
      </x:c>
      <x:c r="P4" s="131" t="n">
        <x:f>IF(O4&gt;0,ROUNDDOWN(F4/O4,0),"")</x:f>
        <x:v>3333</x:v>
      </x:c>
      <x:c r="Q4" s="131" t="n">
        <x:f>IF(N4&gt;0,ROUNDDOWN(F4/N4,0),"")</x:f>
        <x:v>3333</x:v>
      </x:c>
      <x:c r="R4" s="131" t="n">
        <x:f>IF(O4&gt;0,ROUNDDOWN(G4/O4,0),"")</x:f>
        <x:v>13333</x:v>
      </x:c>
      <x:c r="S4" s="131" t="n">
        <x:f>IF(N4&gt;0,ROUNDDOWN(G4/N4,0),"")</x:f>
        <x:v>13333</x:v>
      </x:c>
      <x:c r="T4" s="131" t="str">
        <x:v>AAII task proxy. Min/max tariff-ratio bounds exclude cache-write changes and harness effects. AA price date 2026-10-16</x:v>
      </x:c>
      <x:c r="U4" s="131" t="str">
        <x:v>https://artificialanalysis.ai/models/gpt-6-luna-low</x:v>
      </x:c>
    </x:row>
    <x:row r="5">
      <x:c r="A5" s="131" t="str">
        <x:v>gpt-6-luna</x:v>
      </x:c>
      <x:c r="B5" s="131" t="str">
        <x:v>low</x:v>
      </x:c>
      <x:c r="C5" s="131" t="n">
        <x:v>22</x:v>
      </x:c>
      <x:c r="D5" s="131" t="n">
        <x:v>0.0045</x:v>
      </x:c>
      <x:c r="E5" s="131" t="str">
        <x:v>GPT 6 Luna (&gt; 272K tokens)</x:v>
      </x:c>
      <x:c r="F5" s="131" t="n">
        <x:v>15</x:v>
      </x:c>
      <x:c r="G5" s="131" t="n">
        <x:v>60</x:v>
      </x:c>
      <x:c r="H5" s="131" t="n">
        <x:v>0.1</x:v>
      </x:c>
      <x:c r="I5" s="131" t="n">
        <x:v>0.5</x:v>
      </x:c>
      <x:c r="J5" s="131" t="n">
        <x:v>0.01</x:v>
      </x:c>
      <x:c r="K5" s="131" t="n">
        <x:v>0.2</x:v>
      </x:c>
      <x:c r="L5" s="131" t="n">
        <x:v>0.75</x:v>
      </x:c>
      <x:c r="M5" s="131" t="n">
        <x:v>0.02</x:v>
      </x:c>
      <x:c r="N5" s="131" t="n">
        <x:f>D5*MIN(K5/H5,L5/I5,M5/J5)</x:f>
        <x:v>0.006749999999999999</x:v>
      </x:c>
      <x:c r="O5" s="131" t="n">
        <x:f>D5*MAX(K5/H5,L5/I5,M5/J5)</x:f>
        <x:v>0.009</x:v>
      </x:c>
      <x:c r="P5" s="131" t="n">
        <x:f>IF(O5&gt;0,ROUNDDOWN(F5/O5,0),"")</x:f>
        <x:v>1666</x:v>
      </x:c>
      <x:c r="Q5" s="131" t="n">
        <x:f>IF(N5&gt;0,ROUNDDOWN(F5/N5,0),"")</x:f>
        <x:v>2222</x:v>
      </x:c>
      <x:c r="R5" s="131" t="n">
        <x:f>IF(O5&gt;0,ROUNDDOWN(G5/O5,0),"")</x:f>
        <x:v>6666</x:v>
      </x:c>
      <x:c r="S5" s="131" t="n">
        <x:f>IF(N5&gt;0,ROUNDDOWN(G5/N5,0),"")</x:f>
        <x:v>8888</x:v>
      </x:c>
      <x:c r="T5" s="131" t="str">
        <x:v>AAII task proxy. Min/max tariff-ratio bounds exclude cache-write changes and harness effects. AA price date 2026-10-16</x:v>
      </x:c>
      <x:c r="U5" s="131" t="str">
        <x:v>https://artificialanalysis.ai/models/gpt-6-luna-low</x:v>
      </x:c>
    </x:row>
    <x:row r="6">
      <x:c r="A6" s="131" t="str">
        <x:v>gpt-6-luna</x:v>
      </x:c>
      <x:c r="B6" s="131" t="str">
        <x:v>medium</x:v>
      </x:c>
      <x:c r="C6" s="131" t="n">
        <x:v>30</x:v>
      </x:c>
      <x:c r="D6" s="131" t="n">
        <x:v>0.02</x:v>
      </x:c>
      <x:c r="E6" s="131" t="str">
        <x:v>GPT 6 Luna (≤ 272K tokens)</x:v>
      </x:c>
      <x:c r="F6" s="131" t="n">
        <x:v>15</x:v>
      </x:c>
      <x:c r="G6" s="131" t="n">
        <x:v>60</x:v>
      </x:c>
      <x:c r="H6" s="131" t="n">
        <x:v>0.1</x:v>
      </x:c>
      <x:c r="I6" s="131" t="n">
        <x:v>0.5</x:v>
      </x:c>
      <x:c r="J6" s="131" t="n">
        <x:v>0.01</x:v>
      </x:c>
      <x:c r="K6" s="131" t="n">
        <x:v>0.1</x:v>
      </x:c>
      <x:c r="L6" s="131" t="n">
        <x:v>0.5</x:v>
      </x:c>
      <x:c r="M6" s="131" t="n">
        <x:v>0.01</x:v>
      </x:c>
      <x:c r="N6" s="131" t="n">
        <x:f>D6*MIN(K6/H6,L6/I6,M6/J6)</x:f>
        <x:v>0.02</x:v>
      </x:c>
      <x:c r="O6" s="131" t="n">
        <x:f>D6*MAX(K6/H6,L6/I6,M6/J6)</x:f>
        <x:v>0.02</x:v>
      </x:c>
      <x:c r="P6" s="131" t="n">
        <x:f>IF(O6&gt;0,ROUNDDOWN(F6/O6,0),"")</x:f>
        <x:v>750</x:v>
      </x:c>
      <x:c r="Q6" s="131" t="n">
        <x:f>IF(N6&gt;0,ROUNDDOWN(F6/N6,0),"")</x:f>
        <x:v>750</x:v>
      </x:c>
      <x:c r="R6" s="131" t="n">
        <x:f>IF(O6&gt;0,ROUNDDOWN(G6/O6,0),"")</x:f>
        <x:v>3000</x:v>
      </x:c>
      <x:c r="S6" s="131" t="n">
        <x:f>IF(N6&gt;0,ROUNDDOWN(G6/N6,0),"")</x:f>
        <x:v>3000</x:v>
      </x:c>
      <x:c r="T6" s="131" t="str">
        <x:v>AAII task proxy. Min/max tariff-ratio bounds exclude cache-write changes and harness effects. AA price date 2026-10-16</x:v>
      </x:c>
      <x:c r="U6" s="131" t="str">
        <x:v>https://artificialanalysis.ai/models/gpt-6-luna-medium</x:v>
      </x:c>
    </x:row>
    <x:row r="7">
      <x:c r="A7" s="131" t="str">
        <x:v>gpt-6-luna</x:v>
      </x:c>
      <x:c r="B7" s="131" t="str">
        <x:v>medium</x:v>
      </x:c>
      <x:c r="C7" s="131" t="n">
        <x:v>30</x:v>
      </x:c>
      <x:c r="D7" s="131" t="n">
        <x:v>0.02</x:v>
      </x:c>
      <x:c r="E7" s="131" t="str">
        <x:v>GPT 6 Luna (&gt; 272K tokens)</x:v>
      </x:c>
      <x:c r="F7" s="131" t="n">
        <x:v>15</x:v>
      </x:c>
      <x:c r="G7" s="131" t="n">
        <x:v>60</x:v>
      </x:c>
      <x:c r="H7" s="131" t="n">
        <x:v>0.1</x:v>
      </x:c>
      <x:c r="I7" s="131" t="n">
        <x:v>0.5</x:v>
      </x:c>
      <x:c r="J7" s="131" t="n">
        <x:v>0.01</x:v>
      </x:c>
      <x:c r="K7" s="131" t="n">
        <x:v>0.2</x:v>
      </x:c>
      <x:c r="L7" s="131" t="n">
        <x:v>0.75</x:v>
      </x:c>
      <x:c r="M7" s="131" t="n">
        <x:v>0.02</x:v>
      </x:c>
      <x:c r="N7" s="131" t="n">
        <x:f>D7*MIN(K7/H7,L7/I7,M7/J7)</x:f>
        <x:v>0.03</x:v>
      </x:c>
      <x:c r="O7" s="131" t="n">
        <x:f>D7*MAX(K7/H7,L7/I7,M7/J7)</x:f>
        <x:v>0.04</x:v>
      </x:c>
      <x:c r="P7" s="131" t="n">
        <x:f>IF(O7&gt;0,ROUNDDOWN(F7/O7,0),"")</x:f>
        <x:v>375</x:v>
      </x:c>
      <x:c r="Q7" s="131" t="n">
        <x:f>IF(N7&gt;0,ROUNDDOWN(F7/N7,0),"")</x:f>
        <x:v>500</x:v>
      </x:c>
      <x:c r="R7" s="131" t="n">
        <x:f>IF(O7&gt;0,ROUNDDOWN(G7/O7,0),"")</x:f>
        <x:v>1500</x:v>
      </x:c>
      <x:c r="S7" s="131" t="n">
        <x:f>IF(N7&gt;0,ROUNDDOWN(G7/N7,0),"")</x:f>
        <x:v>2000</x:v>
      </x:c>
      <x:c r="T7" s="131" t="str">
        <x:v>AAII task proxy. Min/max tariff-ratio bounds exclude cache-write changes and harness effects. AA price date 2026-10-16</x:v>
      </x:c>
      <x:c r="U7" s="131" t="str">
        <x:v>https://artificialanalysis.ai/models/gpt-6-luna-medium</x:v>
      </x:c>
    </x:row>
    <x:row r="8">
      <x:c r="A8" s="131" t="str">
        <x:v>gpt-6-luna</x:v>
      </x:c>
      <x:c r="B8" s="131" t="str">
        <x:v>high</x:v>
      </x:c>
      <x:c r="C8" s="131" t="n">
        <x:v>33</x:v>
      </x:c>
      <x:c r="D8" s="131" t="n">
        <x:v>0.03</x:v>
      </x:c>
      <x:c r="E8" s="131" t="str">
        <x:v>GPT 6 Luna (≤ 272K tokens)</x:v>
      </x:c>
      <x:c r="F8" s="131" t="n">
        <x:v>15</x:v>
      </x:c>
      <x:c r="G8" s="131" t="n">
        <x:v>60</x:v>
      </x:c>
      <x:c r="H8" s="131" t="n">
        <x:v>0.1</x:v>
      </x:c>
      <x:c r="I8" s="131" t="n">
        <x:v>0.5</x:v>
      </x:c>
      <x:c r="J8" s="131" t="n">
        <x:v>0.01</x:v>
      </x:c>
      <x:c r="K8" s="131" t="n">
        <x:v>0.1</x:v>
      </x:c>
      <x:c r="L8" s="131" t="n">
        <x:v>0.5</x:v>
      </x:c>
      <x:c r="M8" s="131" t="n">
        <x:v>0.01</x:v>
      </x:c>
      <x:c r="N8" s="131" t="n">
        <x:f>D8*MIN(K8/H8,L8/I8,M8/J8)</x:f>
        <x:v>0.03</x:v>
      </x:c>
      <x:c r="O8" s="131" t="n">
        <x:f>D8*MAX(K8/H8,L8/I8,M8/J8)</x:f>
        <x:v>0.03</x:v>
      </x:c>
      <x:c r="P8" s="131" t="n">
        <x:f>IF(O8&gt;0,ROUNDDOWN(F8/O8,0),"")</x:f>
        <x:v>500</x:v>
      </x:c>
      <x:c r="Q8" s="131" t="n">
        <x:f>IF(N8&gt;0,ROUNDDOWN(F8/N8,0),"")</x:f>
        <x:v>500</x:v>
      </x:c>
      <x:c r="R8" s="131" t="n">
        <x:f>IF(O8&gt;0,ROUNDDOWN(G8/O8,0),"")</x:f>
        <x:v>2000</x:v>
      </x:c>
      <x:c r="S8" s="131" t="n">
        <x:f>IF(N8&gt;0,ROUNDDOWN(G8/N8,0),"")</x:f>
        <x:v>2000</x:v>
      </x:c>
      <x:c r="T8" s="131" t="str">
        <x:v>AAII task proxy. Min/max tariff-ratio bounds exclude cache-write changes and harness effects. AA price date 2026-10-16</x:v>
      </x:c>
      <x:c r="U8" s="131" t="str">
        <x:v>https://artificialanalysis.ai/models/gpt-6-luna-high</x:v>
      </x:c>
    </x:row>
    <x:row r="9">
      <x:c r="A9" s="131" t="str">
        <x:v>gpt-6-luna</x:v>
      </x:c>
      <x:c r="B9" s="131" t="str">
        <x:v>high</x:v>
      </x:c>
      <x:c r="C9" s="131" t="n">
        <x:v>33</x:v>
      </x:c>
      <x:c r="D9" s="131" t="n">
        <x:v>0.03</x:v>
      </x:c>
      <x:c r="E9" s="131" t="str">
        <x:v>GPT 6 Luna (&gt; 272K tokens)</x:v>
      </x:c>
      <x:c r="F9" s="131" t="n">
        <x:v>15</x:v>
      </x:c>
      <x:c r="G9" s="131" t="n">
        <x:v>60</x:v>
      </x:c>
      <x:c r="H9" s="131" t="n">
        <x:v>0.1</x:v>
      </x:c>
      <x:c r="I9" s="131" t="n">
        <x:v>0.5</x:v>
      </x:c>
      <x:c r="J9" s="131" t="n">
        <x:v>0.01</x:v>
      </x:c>
      <x:c r="K9" s="131" t="n">
        <x:v>0.2</x:v>
      </x:c>
      <x:c r="L9" s="131" t="n">
        <x:v>0.75</x:v>
      </x:c>
      <x:c r="M9" s="131" t="n">
        <x:v>0.02</x:v>
      </x:c>
      <x:c r="N9" s="131" t="n">
        <x:f>D9*MIN(K9/H9,L9/I9,M9/J9)</x:f>
        <x:v>0.045</x:v>
      </x:c>
      <x:c r="O9" s="131" t="n">
        <x:f>D9*MAX(K9/H9,L9/I9,M9/J9)</x:f>
        <x:v>0.06</x:v>
      </x:c>
      <x:c r="P9" s="131" t="n">
        <x:f>IF(O9&gt;0,ROUNDDOWN(F9/O9,0),"")</x:f>
        <x:v>250</x:v>
      </x:c>
      <x:c r="Q9" s="131" t="n">
        <x:f>IF(N9&gt;0,ROUNDDOWN(F9/N9,0),"")</x:f>
        <x:v>333</x:v>
      </x:c>
      <x:c r="R9" s="131" t="n">
        <x:f>IF(O9&gt;0,ROUNDDOWN(G9/O9,0),"")</x:f>
        <x:v>1000</x:v>
      </x:c>
      <x:c r="S9" s="131" t="n">
        <x:f>IF(N9&gt;0,ROUNDDOWN(G9/N9,0),"")</x:f>
        <x:v>1333</x:v>
      </x:c>
      <x:c r="T9" s="131" t="str">
        <x:v>AAII task proxy. Min/max tariff-ratio bounds exclude cache-write changes and harness effects. AA price date 2026-10-16</x:v>
      </x:c>
      <x:c r="U9" s="131" t="str">
        <x:v>https://artificialanalysis.ai/models/gpt-6-luna-high</x:v>
      </x:c>
    </x:row>
    <x:row r="10">
      <x:c r="A10" s="131" t="str">
        <x:v>gpt-6-luna</x:v>
      </x:c>
      <x:c r="B10" s="131" t="str">
        <x:v>xhigh</x:v>
      </x:c>
      <x:c r="C10" s="131" t="n">
        <x:v>35</x:v>
      </x:c>
      <x:c r="D10" s="131" t="n">
        <x:v>0.04</x:v>
      </x:c>
      <x:c r="E10" s="131" t="str">
        <x:v>GPT 6 Luna (≤ 272K tokens)</x:v>
      </x:c>
      <x:c r="F10" s="131" t="n">
        <x:v>15</x:v>
      </x:c>
      <x:c r="G10" s="131" t="n">
        <x:v>60</x:v>
      </x:c>
      <x:c r="H10" s="131" t="n">
        <x:v>0.1</x:v>
      </x:c>
      <x:c r="I10" s="131" t="n">
        <x:v>0.5</x:v>
      </x:c>
      <x:c r="J10" s="131" t="n">
        <x:v>0.01</x:v>
      </x:c>
      <x:c r="K10" s="131" t="n">
        <x:v>0.1</x:v>
      </x:c>
      <x:c r="L10" s="131" t="n">
        <x:v>0.5</x:v>
      </x:c>
      <x:c r="M10" s="131" t="n">
        <x:v>0.01</x:v>
      </x:c>
      <x:c r="N10" s="131" t="n">
        <x:f>D10*MIN(K10/H10,L10/I10,M10/J10)</x:f>
        <x:v>0.04</x:v>
      </x:c>
      <x:c r="O10" s="131" t="n">
        <x:f>D10*MAX(K10/H10,L10/I10,M10/J10)</x:f>
        <x:v>0.04</x:v>
      </x:c>
      <x:c r="P10" s="131" t="n">
        <x:f>IF(O10&gt;0,ROUNDDOWN(F10/O10,0),"")</x:f>
        <x:v>375</x:v>
      </x:c>
      <x:c r="Q10" s="131" t="n">
        <x:f>IF(N10&gt;0,ROUNDDOWN(F10/N10,0),"")</x:f>
        <x:v>375</x:v>
      </x:c>
      <x:c r="R10" s="131" t="n">
        <x:f>IF(O10&gt;0,ROUNDDOWN(G10/O10,0),"")</x:f>
        <x:v>1500</x:v>
      </x:c>
      <x:c r="S10" s="131" t="n">
        <x:f>IF(N10&gt;0,ROUNDDOWN(G10/N10,0),"")</x:f>
        <x:v>1500</x:v>
      </x:c>
      <x:c r="T10" s="131" t="str">
        <x:v>AAII task proxy. Min/max tariff-ratio bounds exclude cache-write changes and harness effects. AA price date 2026-10-16</x:v>
      </x:c>
      <x:c r="U10" s="131" t="str">
        <x:v>https://artificialanalysis.ai/models/gpt-6-luna-xhigh</x:v>
      </x:c>
    </x:row>
    <x:row r="11">
      <x:c r="A11" s="131" t="str">
        <x:v>gpt-6-luna</x:v>
      </x:c>
      <x:c r="B11" s="131" t="str">
        <x:v>xhigh</x:v>
      </x:c>
      <x:c r="C11" s="131" t="n">
        <x:v>35</x:v>
      </x:c>
      <x:c r="D11" s="131" t="n">
        <x:v>0.04</x:v>
      </x:c>
      <x:c r="E11" s="131" t="str">
        <x:v>GPT 6 Luna (&gt; 272K tokens)</x:v>
      </x:c>
      <x:c r="F11" s="131" t="n">
        <x:v>15</x:v>
      </x:c>
      <x:c r="G11" s="131" t="n">
        <x:v>60</x:v>
      </x:c>
      <x:c r="H11" s="131" t="n">
        <x:v>0.1</x:v>
      </x:c>
      <x:c r="I11" s="131" t="n">
        <x:v>0.5</x:v>
      </x:c>
      <x:c r="J11" s="131" t="n">
        <x:v>0.01</x:v>
      </x:c>
      <x:c r="K11" s="131" t="n">
        <x:v>0.2</x:v>
      </x:c>
      <x:c r="L11" s="131" t="n">
        <x:v>0.75</x:v>
      </x:c>
      <x:c r="M11" s="131" t="n">
        <x:v>0.02</x:v>
      </x:c>
      <x:c r="N11" s="131" t="n">
        <x:f>D11*MIN(K11/H11,L11/I11,M11/J11)</x:f>
        <x:v>0.06</x:v>
      </x:c>
      <x:c r="O11" s="131" t="n">
        <x:f>D11*MAX(K11/H11,L11/I11,M11/J11)</x:f>
        <x:v>0.08</x:v>
      </x:c>
      <x:c r="P11" s="131" t="n">
        <x:f>IF(O11&gt;0,ROUNDDOWN(F11/O11,0),"")</x:f>
        <x:v>187</x:v>
      </x:c>
      <x:c r="Q11" s="131" t="n">
        <x:f>IF(N11&gt;0,ROUNDDOWN(F11/N11,0),"")</x:f>
        <x:v>250</x:v>
      </x:c>
      <x:c r="R11" s="131" t="n">
        <x:f>IF(O11&gt;0,ROUNDDOWN(G11/O11,0),"")</x:f>
        <x:v>750</x:v>
      </x:c>
      <x:c r="S11" s="131" t="n">
        <x:f>IF(N11&gt;0,ROUNDDOWN(G11/N11,0),"")</x:f>
        <x:v>1000</x:v>
      </x:c>
      <x:c r="T11" s="131" t="str">
        <x:v>AAII task proxy. Min/max tariff-ratio bounds exclude cache-write changes and harness effects. AA price date 2026-10-16</x:v>
      </x:c>
      <x:c r="U11" s="131" t="str">
        <x:v>https://artificialanalysis.ai/models/gpt-6-luna-xhigh</x:v>
      </x:c>
    </x:row>
    <x:row r="12">
      <x:c r="A12" s="131" t="str">
        <x:v>gpt-6-luna</x:v>
      </x:c>
      <x:c r="B12" s="131" t="str">
        <x:v>max</x:v>
      </x:c>
      <x:c r="C12" s="131" t="n">
        <x:v>38</x:v>
      </x:c>
      <x:c r="D12" s="131" t="n">
        <x:v>0.07</x:v>
      </x:c>
      <x:c r="E12" s="131" t="str">
        <x:v>GPT 6 Luna (≤ 272K tokens)</x:v>
      </x:c>
      <x:c r="F12" s="131" t="n">
        <x:v>15</x:v>
      </x:c>
      <x:c r="G12" s="131" t="n">
        <x:v>60</x:v>
      </x:c>
      <x:c r="H12" s="131" t="n">
        <x:v>0.1</x:v>
      </x:c>
      <x:c r="I12" s="131" t="n">
        <x:v>0.5</x:v>
      </x:c>
      <x:c r="J12" s="131" t="n">
        <x:v>0.01</x:v>
      </x:c>
      <x:c r="K12" s="131" t="n">
        <x:v>0.1</x:v>
      </x:c>
      <x:c r="L12" s="131" t="n">
        <x:v>0.5</x:v>
      </x:c>
      <x:c r="M12" s="131" t="n">
        <x:v>0.01</x:v>
      </x:c>
      <x:c r="N12" s="131" t="n">
        <x:f>D12*MIN(K12/H12,L12/I12,M12/J12)</x:f>
        <x:v>0.07</x:v>
      </x:c>
      <x:c r="O12" s="131" t="n">
        <x:f>D12*MAX(K12/H12,L12/I12,M12/J12)</x:f>
        <x:v>0.07</x:v>
      </x:c>
      <x:c r="P12" s="131" t="n">
        <x:f>IF(O12&gt;0,ROUNDDOWN(F12/O12,0),"")</x:f>
        <x:v>214</x:v>
      </x:c>
      <x:c r="Q12" s="131" t="n">
        <x:f>IF(N12&gt;0,ROUNDDOWN(F12/N12,0),"")</x:f>
        <x:v>214</x:v>
      </x:c>
      <x:c r="R12" s="131" t="n">
        <x:f>IF(O12&gt;0,ROUNDDOWN(G12/O12,0),"")</x:f>
        <x:v>857</x:v>
      </x:c>
      <x:c r="S12" s="131" t="n">
        <x:f>IF(N12&gt;0,ROUNDDOWN(G12/N12,0),"")</x:f>
        <x:v>857</x:v>
      </x:c>
      <x:c r="T12" s="131" t="str">
        <x:v>AAII task proxy. Min/max tariff-ratio bounds exclude cache-write changes and harness effects. AA price date 2026-10-16</x:v>
      </x:c>
      <x:c r="U12" s="131" t="str">
        <x:v>https://artificialanalysis.ai/models/gpt-6-luna</x:v>
      </x:c>
    </x:row>
    <x:row r="13">
      <x:c r="A13" s="131" t="str">
        <x:v>gpt-6-luna</x:v>
      </x:c>
      <x:c r="B13" s="131" t="str">
        <x:v>max</x:v>
      </x:c>
      <x:c r="C13" s="131" t="n">
        <x:v>38</x:v>
      </x:c>
      <x:c r="D13" s="131" t="n">
        <x:v>0.07</x:v>
      </x:c>
      <x:c r="E13" s="131" t="str">
        <x:v>GPT 6 Luna (&gt; 272K tokens)</x:v>
      </x:c>
      <x:c r="F13" s="131" t="n">
        <x:v>15</x:v>
      </x:c>
      <x:c r="G13" s="131" t="n">
        <x:v>60</x:v>
      </x:c>
      <x:c r="H13" s="131" t="n">
        <x:v>0.1</x:v>
      </x:c>
      <x:c r="I13" s="131" t="n">
        <x:v>0.5</x:v>
      </x:c>
      <x:c r="J13" s="131" t="n">
        <x:v>0.01</x:v>
      </x:c>
      <x:c r="K13" s="131" t="n">
        <x:v>0.2</x:v>
      </x:c>
      <x:c r="L13" s="131" t="n">
        <x:v>0.75</x:v>
      </x:c>
      <x:c r="M13" s="131" t="n">
        <x:v>0.02</x:v>
      </x:c>
      <x:c r="N13" s="131" t="n">
        <x:f>D13*MIN(K13/H13,L13/I13,M13/J13)</x:f>
        <x:v>0.10500000000000001</x:v>
      </x:c>
      <x:c r="O13" s="131" t="n">
        <x:f>D13*MAX(K13/H13,L13/I13,M13/J13)</x:f>
        <x:v>0.14</x:v>
      </x:c>
      <x:c r="P13" s="131" t="n">
        <x:f>IF(O13&gt;0,ROUNDDOWN(F13/O13,0),"")</x:f>
        <x:v>107</x:v>
      </x:c>
      <x:c r="Q13" s="131" t="n">
        <x:f>IF(N13&gt;0,ROUNDDOWN(F13/N13,0),"")</x:f>
        <x:v>142</x:v>
      </x:c>
      <x:c r="R13" s="131" t="n">
        <x:f>IF(O13&gt;0,ROUNDDOWN(G13/O13,0),"")</x:f>
        <x:v>428</x:v>
      </x:c>
      <x:c r="S13" s="131" t="n">
        <x:f>IF(N13&gt;0,ROUNDDOWN(G13/N13,0),"")</x:f>
        <x:v>571</x:v>
      </x:c>
      <x:c r="T13" s="131" t="str">
        <x:v>AAII task proxy. Min/max tariff-ratio bounds exclude cache-write changes and harness effects. AA price date 2026-10-16</x:v>
      </x:c>
      <x:c r="U13" s="131" t="str">
        <x:v>https://artificialanalysis.ai/models/gpt-6-luna</x:v>
      </x:c>
    </x:row>
    <x:row r="14">
      <x:c r="A14" s="131" t="str">
        <x:v>gpt-5.6-luna</x:v>
      </x:c>
      <x:c r="B14" s="131" t="str">
        <x:v>non-reasoning</x:v>
      </x:c>
      <x:c r="C14" s="131" t="n">
        <x:v>16</x:v>
      </x:c>
      <x:c r="D14" s="131" t="n">
        <x:v>0.01</x:v>
      </x:c>
      <x:c r="E14" s="131" t="str">
        <x:v>GPT 5.6 Luna (≤ 272K tokens)</x:v>
      </x:c>
      <x:c r="F14" s="131" t="n">
        <x:v>15</x:v>
      </x:c>
      <x:c r="G14" s="131" t="n">
        <x:v>60</x:v>
      </x:c>
      <x:c r="H14" s="131" t="n">
        <x:v>0.2</x:v>
      </x:c>
      <x:c r="I14" s="131" t="n">
        <x:v>1.2</x:v>
      </x:c>
      <x:c r="J14" s="131" t="n">
        <x:v>0.02</x:v>
      </x:c>
      <x:c r="K14" s="131" t="n">
        <x:v>0.2</x:v>
      </x:c>
      <x:c r="L14" s="131" t="n">
        <x:v>1.2</x:v>
      </x:c>
      <x:c r="M14" s="131" t="n">
        <x:v>0.02</x:v>
      </x:c>
      <x:c r="N14" s="131" t="n">
        <x:f>D14*MIN(K14/H14,L14/I14,M14/J14)</x:f>
        <x:v>0.01</x:v>
      </x:c>
      <x:c r="O14" s="131" t="n">
        <x:f>D14*MAX(K14/H14,L14/I14,M14/J14)</x:f>
        <x:v>0.01</x:v>
      </x:c>
      <x:c r="P14" s="131" t="n">
        <x:f>IF(O14&gt;0,ROUNDDOWN(F14/O14,0),"")</x:f>
        <x:v>1500</x:v>
      </x:c>
      <x:c r="Q14" s="131" t="n">
        <x:f>IF(N14&gt;0,ROUNDDOWN(F14/N14,0),"")</x:f>
        <x:v>1500</x:v>
      </x:c>
      <x:c r="R14" s="131" t="n">
        <x:f>IF(O14&gt;0,ROUNDDOWN(G14/O14,0),"")</x:f>
        <x:v>6000</x:v>
      </x:c>
      <x:c r="S14" s="131" t="n">
        <x:f>IF(N14&gt;0,ROUNDDOWN(G14/N14,0),"")</x:f>
        <x:v>6000</x:v>
      </x:c>
      <x:c r="T14" s="131" t="str">
        <x:v>AAII task proxy. Min/max tariff-ratio bounds exclude cache-write changes and harness effects. AA price date 2026-09-28</x:v>
      </x:c>
      <x:c r="U14" s="131" t="str">
        <x:v>https://artificialanalysis.ai/models/releases/gpt-5-6-luna</x:v>
      </x:c>
    </x:row>
    <x:row r="15">
      <x:c r="A15" s="131" t="str">
        <x:v>gpt-5.6-luna</x:v>
      </x:c>
      <x:c r="B15" s="131" t="str">
        <x:v>non-reasoning</x:v>
      </x:c>
      <x:c r="C15" s="131" t="n">
        <x:v>16</x:v>
      </x:c>
      <x:c r="D15" s="131" t="n">
        <x:v>0.01</x:v>
      </x:c>
      <x:c r="E15" s="131" t="str">
        <x:v>GPT 5.6 Luna (&gt; 272K tokens)</x:v>
      </x:c>
      <x:c r="F15" s="131" t="n">
        <x:v>15</x:v>
      </x:c>
      <x:c r="G15" s="131" t="n">
        <x:v>60</x:v>
      </x:c>
      <x:c r="H15" s="131" t="n">
        <x:v>0.2</x:v>
      </x:c>
      <x:c r="I15" s="131" t="n">
        <x:v>1.2</x:v>
      </x:c>
      <x:c r="J15" s="131" t="n">
        <x:v>0.02</x:v>
      </x:c>
      <x:c r="K15" s="131" t="n">
        <x:v>0.4</x:v>
      </x:c>
      <x:c r="L15" s="131" t="n">
        <x:v>1.8</x:v>
      </x:c>
      <x:c r="M15" s="131" t="n">
        <x:v>0.04</x:v>
      </x:c>
      <x:c r="N15" s="131" t="n">
        <x:f>D15*MIN(K15/H15,L15/I15,M15/J15)</x:f>
        <x:v>0.015</x:v>
      </x:c>
      <x:c r="O15" s="131" t="n">
        <x:f>D15*MAX(K15/H15,L15/I15,M15/J15)</x:f>
        <x:v>0.02</x:v>
      </x:c>
      <x:c r="P15" s="131" t="n">
        <x:f>IF(O15&gt;0,ROUNDDOWN(F15/O15,0),"")</x:f>
        <x:v>750</x:v>
      </x:c>
      <x:c r="Q15" s="131" t="n">
        <x:f>IF(N15&gt;0,ROUNDDOWN(F15/N15,0),"")</x:f>
        <x:v>1000</x:v>
      </x:c>
      <x:c r="R15" s="131" t="n">
        <x:f>IF(O15&gt;0,ROUNDDOWN(G15/O15,0),"")</x:f>
        <x:v>3000</x:v>
      </x:c>
      <x:c r="S15" s="131" t="n">
        <x:f>IF(N15&gt;0,ROUNDDOWN(G15/N15,0),"")</x:f>
        <x:v>4000</x:v>
      </x:c>
      <x:c r="T15" s="131" t="str">
        <x:v>AAII task proxy. Min/max tariff-ratio bounds exclude cache-write changes and harness effects. AA price date 2026-09-28</x:v>
      </x:c>
      <x:c r="U15" s="131" t="str">
        <x:v>https://artificialanalysis.ai/models/releases/gpt-5-6-luna</x:v>
      </x:c>
    </x:row>
    <x:row r="16">
      <x:c r="A16" s="131" t="str">
        <x:v>gpt-5.6-luna</x:v>
      </x:c>
      <x:c r="B16" s="131" t="str">
        <x:v>low</x:v>
      </x:c>
      <x:c r="C16" s="131" t="n">
        <x:v>21</x:v>
      </x:c>
      <x:c r="D16" s="131" t="n">
        <x:v>0.01</x:v>
      </x:c>
      <x:c r="E16" s="131" t="str">
        <x:v>GPT 5.6 Luna (≤ 272K tokens)</x:v>
      </x:c>
      <x:c r="F16" s="131" t="n">
        <x:v>15</x:v>
      </x:c>
      <x:c r="G16" s="131" t="n">
        <x:v>60</x:v>
      </x:c>
      <x:c r="H16" s="131" t="n">
        <x:v>0.2</x:v>
      </x:c>
      <x:c r="I16" s="131" t="n">
        <x:v>1.2</x:v>
      </x:c>
      <x:c r="J16" s="131" t="n">
        <x:v>0.02</x:v>
      </x:c>
      <x:c r="K16" s="131" t="n">
        <x:v>0.2</x:v>
      </x:c>
      <x:c r="L16" s="131" t="n">
        <x:v>1.2</x:v>
      </x:c>
      <x:c r="M16" s="131" t="n">
        <x:v>0.02</x:v>
      </x:c>
      <x:c r="N16" s="131" t="n">
        <x:f>D16*MIN(K16/H16,L16/I16,M16/J16)</x:f>
        <x:v>0.01</x:v>
      </x:c>
      <x:c r="O16" s="131" t="n">
        <x:f>D16*MAX(K16/H16,L16/I16,M16/J16)</x:f>
        <x:v>0.01</x:v>
      </x:c>
      <x:c r="P16" s="131" t="n">
        <x:f>IF(O16&gt;0,ROUNDDOWN(F16/O16,0),"")</x:f>
        <x:v>1500</x:v>
      </x:c>
      <x:c r="Q16" s="131" t="n">
        <x:f>IF(N16&gt;0,ROUNDDOWN(F16/N16,0),"")</x:f>
        <x:v>1500</x:v>
      </x:c>
      <x:c r="R16" s="131" t="n">
        <x:f>IF(O16&gt;0,ROUNDDOWN(G16/O16,0),"")</x:f>
        <x:v>6000</x:v>
      </x:c>
      <x:c r="S16" s="131" t="n">
        <x:f>IF(N16&gt;0,ROUNDDOWN(G16/N16,0),"")</x:f>
        <x:v>6000</x:v>
      </x:c>
      <x:c r="T16" s="131" t="str">
        <x:v>AAII task proxy. Min/max tariff-ratio bounds exclude cache-write changes and harness effects. AA price date 2026-09-28</x:v>
      </x:c>
      <x:c r="U16" s="131" t="str">
        <x:v>https://artificialanalysis.ai/models/releases/gpt-5-6-luna</x:v>
      </x:c>
    </x:row>
    <x:row r="17">
      <x:c r="A17" s="131" t="str">
        <x:v>gpt-5.6-luna</x:v>
      </x:c>
      <x:c r="B17" s="131" t="str">
        <x:v>low</x:v>
      </x:c>
      <x:c r="C17" s="131" t="n">
        <x:v>21</x:v>
      </x:c>
      <x:c r="D17" s="131" t="n">
        <x:v>0.01</x:v>
      </x:c>
      <x:c r="E17" s="131" t="str">
        <x:v>GPT 5.6 Luna (&gt; 272K tokens)</x:v>
      </x:c>
      <x:c r="F17" s="131" t="n">
        <x:v>15</x:v>
      </x:c>
      <x:c r="G17" s="131" t="n">
        <x:v>60</x:v>
      </x:c>
      <x:c r="H17" s="131" t="n">
        <x:v>0.2</x:v>
      </x:c>
      <x:c r="I17" s="131" t="n">
        <x:v>1.2</x:v>
      </x:c>
      <x:c r="J17" s="131" t="n">
        <x:v>0.02</x:v>
      </x:c>
      <x:c r="K17" s="131" t="n">
        <x:v>0.4</x:v>
      </x:c>
      <x:c r="L17" s="131" t="n">
        <x:v>1.8</x:v>
      </x:c>
      <x:c r="M17" s="131" t="n">
        <x:v>0.04</x:v>
      </x:c>
      <x:c r="N17" s="131" t="n">
        <x:f>D17*MIN(K17/H17,L17/I17,M17/J17)</x:f>
        <x:v>0.015</x:v>
      </x:c>
      <x:c r="O17" s="131" t="n">
        <x:f>D17*MAX(K17/H17,L17/I17,M17/J17)</x:f>
        <x:v>0.02</x:v>
      </x:c>
      <x:c r="P17" s="131" t="n">
        <x:f>IF(O17&gt;0,ROUNDDOWN(F17/O17,0),"")</x:f>
        <x:v>750</x:v>
      </x:c>
      <x:c r="Q17" s="131" t="n">
        <x:f>IF(N17&gt;0,ROUNDDOWN(F17/N17,0),"")</x:f>
        <x:v>1000</x:v>
      </x:c>
      <x:c r="R17" s="131" t="n">
        <x:f>IF(O17&gt;0,ROUNDDOWN(G17/O17,0),"")</x:f>
        <x:v>3000</x:v>
      </x:c>
      <x:c r="S17" s="131" t="n">
        <x:f>IF(N17&gt;0,ROUNDDOWN(G17/N17,0),"")</x:f>
        <x:v>4000</x:v>
      </x:c>
      <x:c r="T17" s="131" t="str">
        <x:v>AAII task proxy. Min/max tariff-ratio bounds exclude cache-write changes and harness effects. AA price date 2026-09-28</x:v>
      </x:c>
      <x:c r="U17" s="131" t="str">
        <x:v>https://artificialanalysis.ai/models/releases/gpt-5-6-luna</x:v>
      </x:c>
    </x:row>
    <x:row r="18">
      <x:c r="A18" s="131" t="str">
        <x:v>gpt-5.6-luna</x:v>
      </x:c>
      <x:c r="B18" s="131" t="str">
        <x:v>medium</x:v>
      </x:c>
      <x:c r="C18" s="131" t="n">
        <x:v>25</x:v>
      </x:c>
      <x:c r="D18" s="131" t="n">
        <x:v>0.02</x:v>
      </x:c>
      <x:c r="E18" s="131" t="str">
        <x:v>GPT 5.6 Luna (≤ 272K tokens)</x:v>
      </x:c>
      <x:c r="F18" s="131" t="n">
        <x:v>15</x:v>
      </x:c>
      <x:c r="G18" s="131" t="n">
        <x:v>60</x:v>
      </x:c>
      <x:c r="H18" s="131" t="n">
        <x:v>0.2</x:v>
      </x:c>
      <x:c r="I18" s="131" t="n">
        <x:v>1.2</x:v>
      </x:c>
      <x:c r="J18" s="131" t="n">
        <x:v>0.02</x:v>
      </x:c>
      <x:c r="K18" s="131" t="n">
        <x:v>0.2</x:v>
      </x:c>
      <x:c r="L18" s="131" t="n">
        <x:v>1.2</x:v>
      </x:c>
      <x:c r="M18" s="131" t="n">
        <x:v>0.02</x:v>
      </x:c>
      <x:c r="N18" s="131" t="n">
        <x:f>D18*MIN(K18/H18,L18/I18,M18/J18)</x:f>
        <x:v>0.02</x:v>
      </x:c>
      <x:c r="O18" s="131" t="n">
        <x:f>D18*MAX(K18/H18,L18/I18,M18/J18)</x:f>
        <x:v>0.02</x:v>
      </x:c>
      <x:c r="P18" s="131" t="n">
        <x:f>IF(O18&gt;0,ROUNDDOWN(F18/O18,0),"")</x:f>
        <x:v>750</x:v>
      </x:c>
      <x:c r="Q18" s="131" t="n">
        <x:f>IF(N18&gt;0,ROUNDDOWN(F18/N18,0),"")</x:f>
        <x:v>750</x:v>
      </x:c>
      <x:c r="R18" s="131" t="n">
        <x:f>IF(O18&gt;0,ROUNDDOWN(G18/O18,0),"")</x:f>
        <x:v>3000</x:v>
      </x:c>
      <x:c r="S18" s="131" t="n">
        <x:f>IF(N18&gt;0,ROUNDDOWN(G18/N18,0),"")</x:f>
        <x:v>3000</x:v>
      </x:c>
      <x:c r="T18" s="131" t="str">
        <x:v>AAII task proxy. Min/max tariff-ratio bounds exclude cache-write changes and harness effects. AA price date 2026-09-28</x:v>
      </x:c>
      <x:c r="U18" s="131" t="str">
        <x:v>https://artificialanalysis.ai/models/releases/gpt-5-6-luna</x:v>
      </x:c>
    </x:row>
    <x:row r="19">
      <x:c r="A19" s="131" t="str">
        <x:v>gpt-5.6-luna</x:v>
      </x:c>
      <x:c r="B19" s="131" t="str">
        <x:v>medium</x:v>
      </x:c>
      <x:c r="C19" s="131" t="n">
        <x:v>25</x:v>
      </x:c>
      <x:c r="D19" s="131" t="n">
        <x:v>0.02</x:v>
      </x:c>
      <x:c r="E19" s="131" t="str">
        <x:v>GPT 5.6 Luna (&gt; 272K tokens)</x:v>
      </x:c>
      <x:c r="F19" s="131" t="n">
        <x:v>15</x:v>
      </x:c>
      <x:c r="G19" s="131" t="n">
        <x:v>60</x:v>
      </x:c>
      <x:c r="H19" s="131" t="n">
        <x:v>0.2</x:v>
      </x:c>
      <x:c r="I19" s="131" t="n">
        <x:v>1.2</x:v>
      </x:c>
      <x:c r="J19" s="131" t="n">
        <x:v>0.02</x:v>
      </x:c>
      <x:c r="K19" s="131" t="n">
        <x:v>0.4</x:v>
      </x:c>
      <x:c r="L19" s="131" t="n">
        <x:v>1.8</x:v>
      </x:c>
      <x:c r="M19" s="131" t="n">
        <x:v>0.04</x:v>
      </x:c>
      <x:c r="N19" s="131" t="n">
        <x:f>D19*MIN(K19/H19,L19/I19,M19/J19)</x:f>
        <x:v>0.03</x:v>
      </x:c>
      <x:c r="O19" s="131" t="n">
        <x:f>D19*MAX(K19/H19,L19/I19,M19/J19)</x:f>
        <x:v>0.04</x:v>
      </x:c>
      <x:c r="P19" s="131" t="n">
        <x:f>IF(O19&gt;0,ROUNDDOWN(F19/O19,0),"")</x:f>
        <x:v>375</x:v>
      </x:c>
      <x:c r="Q19" s="131" t="n">
        <x:f>IF(N19&gt;0,ROUNDDOWN(F19/N19,0),"")</x:f>
        <x:v>500</x:v>
      </x:c>
      <x:c r="R19" s="131" t="n">
        <x:f>IF(O19&gt;0,ROUNDDOWN(G19/O19,0),"")</x:f>
        <x:v>1500</x:v>
      </x:c>
      <x:c r="S19" s="131" t="n">
        <x:f>IF(N19&gt;0,ROUNDDOWN(G19/N19,0),"")</x:f>
        <x:v>2000</x:v>
      </x:c>
      <x:c r="T19" s="131" t="str">
        <x:v>AAII task proxy. Min/max tariff-ratio bounds exclude cache-write changes and harness effects. AA price date 2026-09-28</x:v>
      </x:c>
      <x:c r="U19" s="131" t="str">
        <x:v>https://artificialanalysis.ai/models/releases/gpt-5-6-luna</x:v>
      </x:c>
    </x:row>
    <x:row r="20">
      <x:c r="A20" s="131" t="str">
        <x:v>gpt-5.6-luna</x:v>
      </x:c>
      <x:c r="B20" s="131" t="str">
        <x:v>high</x:v>
      </x:c>
      <x:c r="C20" s="131" t="n">
        <x:v>32</x:v>
      </x:c>
      <x:c r="D20" s="131" t="n">
        <x:v>0.04</x:v>
      </x:c>
      <x:c r="E20" s="131" t="str">
        <x:v>GPT 5.6 Luna (≤ 272K tokens)</x:v>
      </x:c>
      <x:c r="F20" s="131" t="n">
        <x:v>15</x:v>
      </x:c>
      <x:c r="G20" s="131" t="n">
        <x:v>60</x:v>
      </x:c>
      <x:c r="H20" s="131" t="n">
        <x:v>0.2</x:v>
      </x:c>
      <x:c r="I20" s="131" t="n">
        <x:v>1.2</x:v>
      </x:c>
      <x:c r="J20" s="131" t="n">
        <x:v>0.02</x:v>
      </x:c>
      <x:c r="K20" s="131" t="n">
        <x:v>0.2</x:v>
      </x:c>
      <x:c r="L20" s="131" t="n">
        <x:v>1.2</x:v>
      </x:c>
      <x:c r="M20" s="131" t="n">
        <x:v>0.02</x:v>
      </x:c>
      <x:c r="N20" s="131" t="n">
        <x:f>D20*MIN(K20/H20,L20/I20,M20/J20)</x:f>
        <x:v>0.04</x:v>
      </x:c>
      <x:c r="O20" s="131" t="n">
        <x:f>D20*MAX(K20/H20,L20/I20,M20/J20)</x:f>
        <x:v>0.04</x:v>
      </x:c>
      <x:c r="P20" s="131" t="n">
        <x:f>IF(O20&gt;0,ROUNDDOWN(F20/O20,0),"")</x:f>
        <x:v>375</x:v>
      </x:c>
      <x:c r="Q20" s="131" t="n">
        <x:f>IF(N20&gt;0,ROUNDDOWN(F20/N20,0),"")</x:f>
        <x:v>375</x:v>
      </x:c>
      <x:c r="R20" s="131" t="n">
        <x:f>IF(O20&gt;0,ROUNDDOWN(G20/O20,0),"")</x:f>
        <x:v>1500</x:v>
      </x:c>
      <x:c r="S20" s="131" t="n">
        <x:f>IF(N20&gt;0,ROUNDDOWN(G20/N20,0),"")</x:f>
        <x:v>1500</x:v>
      </x:c>
      <x:c r="T20" s="131" t="str">
        <x:v>AAII task proxy. Min/max tariff-ratio bounds exclude cache-write changes and harness effects. AA price date 2026-09-28</x:v>
      </x:c>
      <x:c r="U20" s="131" t="str">
        <x:v>https://artificialanalysis.ai/models/releases/gpt-5-6-luna</x:v>
      </x:c>
    </x:row>
    <x:row r="21">
      <x:c r="A21" s="131" t="str">
        <x:v>gpt-5.6-luna</x:v>
      </x:c>
      <x:c r="B21" s="131" t="str">
        <x:v>high</x:v>
      </x:c>
      <x:c r="C21" s="131" t="n">
        <x:v>32</x:v>
      </x:c>
      <x:c r="D21" s="131" t="n">
        <x:v>0.04</x:v>
      </x:c>
      <x:c r="E21" s="131" t="str">
        <x:v>GPT 5.6 Luna (&gt; 272K tokens)</x:v>
      </x:c>
      <x:c r="F21" s="131" t="n">
        <x:v>15</x:v>
      </x:c>
      <x:c r="G21" s="131" t="n">
        <x:v>60</x:v>
      </x:c>
      <x:c r="H21" s="131" t="n">
        <x:v>0.2</x:v>
      </x:c>
      <x:c r="I21" s="131" t="n">
        <x:v>1.2</x:v>
      </x:c>
      <x:c r="J21" s="131" t="n">
        <x:v>0.02</x:v>
      </x:c>
      <x:c r="K21" s="131" t="n">
        <x:v>0.4</x:v>
      </x:c>
      <x:c r="L21" s="131" t="n">
        <x:v>1.8</x:v>
      </x:c>
      <x:c r="M21" s="131" t="n">
        <x:v>0.04</x:v>
      </x:c>
      <x:c r="N21" s="131" t="n">
        <x:f>D21*MIN(K21/H21,L21/I21,M21/J21)</x:f>
        <x:v>0.06</x:v>
      </x:c>
      <x:c r="O21" s="131" t="n">
        <x:f>D21*MAX(K21/H21,L21/I21,M21/J21)</x:f>
        <x:v>0.08</x:v>
      </x:c>
      <x:c r="P21" s="131" t="n">
        <x:f>IF(O21&gt;0,ROUNDDOWN(F21/O21,0),"")</x:f>
        <x:v>187</x:v>
      </x:c>
      <x:c r="Q21" s="131" t="n">
        <x:f>IF(N21&gt;0,ROUNDDOWN(F21/N21,0),"")</x:f>
        <x:v>250</x:v>
      </x:c>
      <x:c r="R21" s="131" t="n">
        <x:f>IF(O21&gt;0,ROUNDDOWN(G21/O21,0),"")</x:f>
        <x:v>750</x:v>
      </x:c>
      <x:c r="S21" s="131" t="n">
        <x:f>IF(N21&gt;0,ROUNDDOWN(G21/N21,0),"")</x:f>
        <x:v>1000</x:v>
      </x:c>
      <x:c r="T21" s="131" t="str">
        <x:v>AAII task proxy. Min/max tariff-ratio bounds exclude cache-write changes and harness effects. AA price date 2026-09-28</x:v>
      </x:c>
      <x:c r="U21" s="131" t="str">
        <x:v>https://artificialanalysis.ai/models/releases/gpt-5-6-luna</x:v>
      </x:c>
    </x:row>
    <x:row r="22">
      <x:c r="A22" s="131" t="str">
        <x:v>gpt-5.6-luna</x:v>
      </x:c>
      <x:c r="B22" s="131" t="str">
        <x:v>xhigh</x:v>
      </x:c>
      <x:c r="C22" s="131" t="n">
        <x:v>35</x:v>
      </x:c>
      <x:c r="D22" s="131" t="n">
        <x:v>0.09</x:v>
      </x:c>
      <x:c r="E22" s="131" t="str">
        <x:v>GPT 5.6 Luna (≤ 272K tokens)</x:v>
      </x:c>
      <x:c r="F22" s="131" t="n">
        <x:v>15</x:v>
      </x:c>
      <x:c r="G22" s="131" t="n">
        <x:v>60</x:v>
      </x:c>
      <x:c r="H22" s="131" t="n">
        <x:v>0.2</x:v>
      </x:c>
      <x:c r="I22" s="131" t="n">
        <x:v>1.2</x:v>
      </x:c>
      <x:c r="J22" s="131" t="n">
        <x:v>0.02</x:v>
      </x:c>
      <x:c r="K22" s="131" t="n">
        <x:v>0.2</x:v>
      </x:c>
      <x:c r="L22" s="131" t="n">
        <x:v>1.2</x:v>
      </x:c>
      <x:c r="M22" s="131" t="n">
        <x:v>0.02</x:v>
      </x:c>
      <x:c r="N22" s="131" t="n">
        <x:f>D22*MIN(K22/H22,L22/I22,M22/J22)</x:f>
        <x:v>0.09</x:v>
      </x:c>
      <x:c r="O22" s="131" t="n">
        <x:f>D22*MAX(K22/H22,L22/I22,M22/J22)</x:f>
        <x:v>0.09</x:v>
      </x:c>
      <x:c r="P22" s="131" t="n">
        <x:f>IF(O22&gt;0,ROUNDDOWN(F22/O22,0),"")</x:f>
        <x:v>166</x:v>
      </x:c>
      <x:c r="Q22" s="131" t="n">
        <x:f>IF(N22&gt;0,ROUNDDOWN(F22/N22,0),"")</x:f>
        <x:v>166</x:v>
      </x:c>
      <x:c r="R22" s="131" t="n">
        <x:f>IF(O22&gt;0,ROUNDDOWN(G22/O22,0),"")</x:f>
        <x:v>666</x:v>
      </x:c>
      <x:c r="S22" s="131" t="n">
        <x:f>IF(N22&gt;0,ROUNDDOWN(G22/N22,0),"")</x:f>
        <x:v>666</x:v>
      </x:c>
      <x:c r="T22" s="131" t="str">
        <x:v>AAII task proxy. Min/max tariff-ratio bounds exclude cache-write changes and harness effects. AA price date 2026-09-28</x:v>
      </x:c>
      <x:c r="U22" s="131" t="str">
        <x:v>https://artificialanalysis.ai/models/releases/gpt-5-6-luna</x:v>
      </x:c>
    </x:row>
    <x:row r="23">
      <x:c r="A23" s="131" t="str">
        <x:v>gpt-5.6-luna</x:v>
      </x:c>
      <x:c r="B23" s="131" t="str">
        <x:v>xhigh</x:v>
      </x:c>
      <x:c r="C23" s="131" t="n">
        <x:v>35</x:v>
      </x:c>
      <x:c r="D23" s="131" t="n">
        <x:v>0.09</x:v>
      </x:c>
      <x:c r="E23" s="131" t="str">
        <x:v>GPT 5.6 Luna (&gt; 272K tokens)</x:v>
      </x:c>
      <x:c r="F23" s="131" t="n">
        <x:v>15</x:v>
      </x:c>
      <x:c r="G23" s="131" t="n">
        <x:v>60</x:v>
      </x:c>
      <x:c r="H23" s="131" t="n">
        <x:v>0.2</x:v>
      </x:c>
      <x:c r="I23" s="131" t="n">
        <x:v>1.2</x:v>
      </x:c>
      <x:c r="J23" s="131" t="n">
        <x:v>0.02</x:v>
      </x:c>
      <x:c r="K23" s="131" t="n">
        <x:v>0.4</x:v>
      </x:c>
      <x:c r="L23" s="131" t="n">
        <x:v>1.8</x:v>
      </x:c>
      <x:c r="M23" s="131" t="n">
        <x:v>0.04</x:v>
      </x:c>
      <x:c r="N23" s="131" t="n">
        <x:f>D23*MIN(K23/H23,L23/I23,M23/J23)</x:f>
        <x:v>0.135</x:v>
      </x:c>
      <x:c r="O23" s="131" t="n">
        <x:f>D23*MAX(K23/H23,L23/I23,M23/J23)</x:f>
        <x:v>0.18</x:v>
      </x:c>
      <x:c r="P23" s="131" t="n">
        <x:f>IF(O23&gt;0,ROUNDDOWN(F23/O23,0),"")</x:f>
        <x:v>83</x:v>
      </x:c>
      <x:c r="Q23" s="131" t="n">
        <x:f>IF(N23&gt;0,ROUNDDOWN(F23/N23,0),"")</x:f>
        <x:v>111</x:v>
      </x:c>
      <x:c r="R23" s="131" t="n">
        <x:f>IF(O23&gt;0,ROUNDDOWN(G23/O23,0),"")</x:f>
        <x:v>333</x:v>
      </x:c>
      <x:c r="S23" s="131" t="n">
        <x:f>IF(N23&gt;0,ROUNDDOWN(G23/N23,0),"")</x:f>
        <x:v>444</x:v>
      </x:c>
      <x:c r="T23" s="131" t="str">
        <x:v>AAII task proxy. Min/max tariff-ratio bounds exclude cache-write changes and harness effects. AA price date 2026-09-28</x:v>
      </x:c>
      <x:c r="U23" s="131" t="str">
        <x:v>https://artificialanalysis.ai/models/releases/gpt-5-6-luna</x:v>
      </x:c>
    </x:row>
    <x:row r="24">
      <x:c r="A24" s="131" t="str">
        <x:v>gpt-5.6-luna</x:v>
      </x:c>
      <x:c r="B24" s="131" t="str">
        <x:v>max</x:v>
      </x:c>
      <x:c r="C24" s="131" t="n">
        <x:v>37</x:v>
      </x:c>
      <x:c r="D24" s="131" t="n">
        <x:v>0.18</x:v>
      </x:c>
      <x:c r="E24" s="131" t="str">
        <x:v>GPT 5.6 Luna (≤ 272K tokens)</x:v>
      </x:c>
      <x:c r="F24" s="131" t="n">
        <x:v>15</x:v>
      </x:c>
      <x:c r="G24" s="131" t="n">
        <x:v>60</x:v>
      </x:c>
      <x:c r="H24" s="131" t="n">
        <x:v>0.2</x:v>
      </x:c>
      <x:c r="I24" s="131" t="n">
        <x:v>1.2</x:v>
      </x:c>
      <x:c r="J24" s="131" t="n">
        <x:v>0.02</x:v>
      </x:c>
      <x:c r="K24" s="131" t="n">
        <x:v>0.2</x:v>
      </x:c>
      <x:c r="L24" s="131" t="n">
        <x:v>1.2</x:v>
      </x:c>
      <x:c r="M24" s="131" t="n">
        <x:v>0.02</x:v>
      </x:c>
      <x:c r="N24" s="131" t="n">
        <x:f>D24*MIN(K24/H24,L24/I24,M24/J24)</x:f>
        <x:v>0.18</x:v>
      </x:c>
      <x:c r="O24" s="131" t="n">
        <x:f>D24*MAX(K24/H24,L24/I24,M24/J24)</x:f>
        <x:v>0.18</x:v>
      </x:c>
      <x:c r="P24" s="131" t="n">
        <x:f>IF(O24&gt;0,ROUNDDOWN(F24/O24,0),"")</x:f>
        <x:v>83</x:v>
      </x:c>
      <x:c r="Q24" s="131" t="n">
        <x:f>IF(N24&gt;0,ROUNDDOWN(F24/N24,0),"")</x:f>
        <x:v>83</x:v>
      </x:c>
      <x:c r="R24" s="131" t="n">
        <x:f>IF(O24&gt;0,ROUNDDOWN(G24/O24,0),"")</x:f>
        <x:v>333</x:v>
      </x:c>
      <x:c r="S24" s="131" t="n">
        <x:f>IF(N24&gt;0,ROUNDDOWN(G24/N24,0),"")</x:f>
        <x:v>333</x:v>
      </x:c>
      <x:c r="T24" s="131" t="str">
        <x:v>AAII task proxy. Min/max tariff-ratio bounds exclude cache-write changes and harness effects. AA price date 2026-09-28</x:v>
      </x:c>
      <x:c r="U24" s="131" t="str">
        <x:v>https://artificialanalysis.ai/models/releases/gpt-5-6-luna</x:v>
      </x:c>
    </x:row>
    <x:row r="25">
      <x:c r="A25" s="131" t="str">
        <x:v>gpt-5.6-luna</x:v>
      </x:c>
      <x:c r="B25" s="131" t="str">
        <x:v>max</x:v>
      </x:c>
      <x:c r="C25" s="131" t="n">
        <x:v>37</x:v>
      </x:c>
      <x:c r="D25" s="131" t="n">
        <x:v>0.18</x:v>
      </x:c>
      <x:c r="E25" s="131" t="str">
        <x:v>GPT 5.6 Luna (&gt; 272K tokens)</x:v>
      </x:c>
      <x:c r="F25" s="131" t="n">
        <x:v>15</x:v>
      </x:c>
      <x:c r="G25" s="131" t="n">
        <x:v>60</x:v>
      </x:c>
      <x:c r="H25" s="131" t="n">
        <x:v>0.2</x:v>
      </x:c>
      <x:c r="I25" s="131" t="n">
        <x:v>1.2</x:v>
      </x:c>
      <x:c r="J25" s="131" t="n">
        <x:v>0.02</x:v>
      </x:c>
      <x:c r="K25" s="131" t="n">
        <x:v>0.4</x:v>
      </x:c>
      <x:c r="L25" s="131" t="n">
        <x:v>1.8</x:v>
      </x:c>
      <x:c r="M25" s="131" t="n">
        <x:v>0.04</x:v>
      </x:c>
      <x:c r="N25" s="131" t="n">
        <x:f>D25*MIN(K25/H25,L25/I25,M25/J25)</x:f>
        <x:v>0.27</x:v>
      </x:c>
      <x:c r="O25" s="131" t="n">
        <x:f>D25*MAX(K25/H25,L25/I25,M25/J25)</x:f>
        <x:v>0.36</x:v>
      </x:c>
      <x:c r="P25" s="131" t="n">
        <x:f>IF(O25&gt;0,ROUNDDOWN(F25/O25,0),"")</x:f>
        <x:v>41</x:v>
      </x:c>
      <x:c r="Q25" s="131" t="n">
        <x:f>IF(N25&gt;0,ROUNDDOWN(F25/N25,0),"")</x:f>
        <x:v>55</x:v>
      </x:c>
      <x:c r="R25" s="131" t="n">
        <x:f>IF(O25&gt;0,ROUNDDOWN(G25/O25,0),"")</x:f>
        <x:v>166</x:v>
      </x:c>
      <x:c r="S25" s="131" t="n">
        <x:f>IF(N25&gt;0,ROUNDDOWN(G25/N25,0),"")</x:f>
        <x:v>222</x:v>
      </x:c>
      <x:c r="T25" s="131" t="str">
        <x:v>AAII task proxy. Min/max tariff-ratio bounds exclude cache-write changes and harness effects. AA price date 2026-09-28</x:v>
      </x:c>
      <x:c r="U25" s="131" t="str">
        <x:v>https://artificialanalysis.ai/models/releases/gpt-5-6-luna</x:v>
      </x:c>
    </x:row>
    <x:row r="26">
      <x:c r="A26" s="131" t="str">
        <x:v>glm-5.3-flash</x:v>
      </x:c>
      <x:c r="B26" s="131" t="str">
        <x:v>reasoning</x:v>
      </x:c>
      <x:c r="C26" s="131" t="n">
        <x:v>42</x:v>
      </x:c>
      <x:c r="D26" s="131" t="n">
        <x:v>0.25</x:v>
      </x:c>
      <x:c r="E26" s="131" t="str">
        <x:v>GLM-5.3-Flash</x:v>
      </x:c>
      <x:c r="F26" s="131" t="n">
        <x:v>60</x:v>
      </x:c>
      <x:c r="G26" s="131" t="n">
        <x:v>180</x:v>
      </x:c>
      <x:c r="H26" s="131" t="n">
        <x:v>0.15</x:v>
      </x:c>
      <x:c r="I26" s="131" t="n">
        <x:v>0.5</x:v>
      </x:c>
      <x:c r="J26" s="131" t="n">
        <x:v>0.026</x:v>
      </x:c>
      <x:c r="K26" s="131" t="n">
        <x:v>0.15</x:v>
      </x:c>
      <x:c r="L26" s="131" t="n">
        <x:v>0.5</x:v>
      </x:c>
      <x:c r="M26" s="131" t="n">
        <x:v>0.03</x:v>
      </x:c>
      <x:c r="N26" s="131" t="n">
        <x:f>D26*MIN(K26/H26,L26/I26,M26/J26)</x:f>
        <x:v>0.25</x:v>
      </x:c>
      <x:c r="O26" s="131" t="n">
        <x:f>D26*MAX(K26/H26,L26/I26,M26/J26)</x:f>
        <x:v>0.2884615384615385</x:v>
      </x:c>
      <x:c r="P26" s="131" t="n">
        <x:f>IF(O26&gt;0,ROUNDDOWN(F26/O26,0),"")</x:f>
        <x:v>207</x:v>
      </x:c>
      <x:c r="Q26" s="131" t="n">
        <x:f>IF(N26&gt;0,ROUNDDOWN(F26/N26,0),"")</x:f>
        <x:v>240</x:v>
      </x:c>
      <x:c r="R26" s="131" t="n">
        <x:f>IF(O26&gt;0,ROUNDDOWN(G26/O26,0),"")</x:f>
        <x:v>623</x:v>
      </x:c>
      <x:c r="S26" s="131" t="n">
        <x:f>IF(N26&gt;0,ROUNDDOWN(G26/N26,0),"")</x:f>
        <x:v>720</x:v>
      </x:c>
      <x:c r="T26" s="131" t="str">
        <x:v>AAII task proxy. Min/max tariff-ratio bounds exclude cache-write changes and harness effects. AA price date 2026-09-28</x:v>
      </x:c>
      <x:c r="U26" s="131" t="str">
        <x:v>https://artificialanalysis.ai/models/glm-5-3-flash</x:v>
      </x:c>
    </x:row>
    <x:row r="27">
      <x:c r="A27" s="131" t="str">
        <x:v>mimo-v2.6-flash</x:v>
      </x:c>
      <x:c r="B27" s="131" t="str">
        <x:v>reasoning</x:v>
      </x:c>
      <x:c r="C27" s="131" t="n">
        <x:v>38</x:v>
      </x:c>
      <x:c r="D27" s="131" t="n">
        <x:v>0.06</x:v>
      </x:c>
      <x:c r="E27" s="131" t="str">
        <x:v>MiMo-V2.6-Flash</x:v>
      </x:c>
      <x:c r="F27" s="131" t="n">
        <x:v>60</x:v>
      </x:c>
      <x:c r="G27" s="131" t="n">
        <x:v>120</x:v>
      </x:c>
      <x:c r="H27" s="131" t="n">
        <x:v>0.14</x:v>
      </x:c>
      <x:c r="I27" s="131" t="n">
        <x:v>0.28</x:v>
      </x:c>
      <x:c r="J27" s="131" t="n">
        <x:v>0.0028</x:v>
      </x:c>
      <x:c r="K27" s="131" t="n">
        <x:v>0.14</x:v>
      </x:c>
      <x:c r="L27" s="131" t="n">
        <x:v>0.28</x:v>
      </x:c>
      <x:c r="M27" s="131" t="n">
        <x:v>0.0028</x:v>
      </x:c>
      <x:c r="N27" s="131" t="n">
        <x:f>D27*MIN(K27/H27,L27/I27,M27/J27)</x:f>
        <x:v>0.06</x:v>
      </x:c>
      <x:c r="O27" s="131" t="n">
        <x:f>D27*MAX(K27/H27,L27/I27,M27/J27)</x:f>
        <x:v>0.06</x:v>
      </x:c>
      <x:c r="P27" s="131" t="n">
        <x:f>IF(O27&gt;0,ROUNDDOWN(F27/O27,0),"")</x:f>
        <x:v>1000</x:v>
      </x:c>
      <x:c r="Q27" s="131" t="n">
        <x:f>IF(N27&gt;0,ROUNDDOWN(F27/N27,0),"")</x:f>
        <x:v>1000</x:v>
      </x:c>
      <x:c r="R27" s="131" t="n">
        <x:f>IF(O27&gt;0,ROUNDDOWN(G27/O27,0),"")</x:f>
        <x:v>2000</x:v>
      </x:c>
      <x:c r="S27" s="131" t="n">
        <x:f>IF(N27&gt;0,ROUNDDOWN(G27/N27,0),"")</x:f>
        <x:v>2000</x:v>
      </x:c>
      <x:c r="T27" s="131" t="str">
        <x:v>AAII task proxy. Min/max tariff-ratio bounds exclude cache-write changes and harness effects. AA price date 2026-09-28</x:v>
      </x:c>
      <x:c r="U27" s="131" t="str">
        <x:v>https://artificialanalysis.ai/models/mimo-v2-6-flash</x:v>
      </x:c>
    </x:row>
    <x:row r="28">
      <x:c r="A28" s="131" t="str">
        <x:v>minimax-m3</x:v>
      </x:c>
      <x:c r="B28" s="131" t="str">
        <x:v>reasoning</x:v>
      </x:c>
      <x:c r="C28" s="131" t="n">
        <x:v>29</x:v>
      </x:c>
      <x:c r="D28" s="131" t="n">
        <x:v>0.51</x:v>
      </x:c>
      <x:c r="E28" s="131" t="str">
        <x:v>MiniMax M3</x:v>
      </x:c>
      <x:c r="F28" s="131" t="n">
        <x:v>60</x:v>
      </x:c>
      <x:c r="G28" s="131" t="n">
        <x:v>180</x:v>
      </x:c>
      <x:c r="H28" s="131" t="n">
        <x:v>0.3</x:v>
      </x:c>
      <x:c r="I28" s="131" t="n">
        <x:v>1.2</x:v>
      </x:c>
      <x:c r="J28" s="131" t="n">
        <x:v>0.06</x:v>
      </x:c>
      <x:c r="K28" s="131" t="n">
        <x:v>0.3</x:v>
      </x:c>
      <x:c r="L28" s="131" t="n">
        <x:v>1.2</x:v>
      </x:c>
      <x:c r="M28" s="131" t="n">
        <x:v>0.06</x:v>
      </x:c>
      <x:c r="N28" s="131" t="n">
        <x:f>D28*MIN(K28/H28,L28/I28,M28/J28)</x:f>
        <x:v>0.51</x:v>
      </x:c>
      <x:c r="O28" s="131" t="n">
        <x:f>D28*MAX(K28/H28,L28/I28,M28/J28)</x:f>
        <x:v>0.51</x:v>
      </x:c>
      <x:c r="P28" s="131" t="n">
        <x:f>IF(O28&gt;0,ROUNDDOWN(F28/O28,0),"")</x:f>
        <x:v>117</x:v>
      </x:c>
      <x:c r="Q28" s="131" t="n">
        <x:f>IF(N28&gt;0,ROUNDDOWN(F28/N28,0),"")</x:f>
        <x:v>117</x:v>
      </x:c>
      <x:c r="R28" s="131" t="n">
        <x:f>IF(O28&gt;0,ROUNDDOWN(G28/O28,0),"")</x:f>
        <x:v>352</x:v>
      </x:c>
      <x:c r="S28" s="131" t="n">
        <x:f>IF(N28&gt;0,ROUNDDOWN(G28/N28,0),"")</x:f>
        <x:v>352</x:v>
      </x:c>
      <x:c r="T28" s="131" t="str">
        <x:v>AAII task proxy. Min/max tariff-ratio bounds exclude cache-write changes and harness effects. AA price date 2026-09-28</x:v>
      </x:c>
      <x:c r="U28" s="131" t="str">
        <x:v>https://artificialanalysis.ai/models/comparisons/mimo-v2-6-flash-vs-minimax-m3</x:v>
      </x:c>
    </x:row>
    <x:row r="29">
      <x:c r="A29" s="131" t="str">
        <x:v>muse-spark-1.3</x:v>
      </x:c>
      <x:c r="B29" s="131" t="str">
        <x:v>xhigh</x:v>
      </x:c>
      <x:c r="C29" s="131" t="n">
        <x:v>45</x:v>
      </x:c>
      <x:c r="D29" s="131" t="n">
        <x:v>1.37</x:v>
      </x:c>
      <x:c r="E29" s="131" t="str">
        <x:v>Muse Spark 1.3 Contributor</x:v>
      </x:c>
      <x:c r="F29" s="131" t="n">
        <x:v>60</x:v>
      </x:c>
      <x:c r="G29" s="131" t="n">
        <x:v>120</x:v>
      </x:c>
      <x:c r="H29" s="131" t="n">
        <x:v>1.25</x:v>
      </x:c>
      <x:c r="I29" s="131" t="n">
        <x:v>4.25</x:v>
      </x:c>
      <x:c r="J29" s="131" t="n">
        <x:v>0.15</x:v>
      </x:c>
      <x:c r="K29" s="131" t="n">
        <x:v>0.1</x:v>
      </x:c>
      <x:c r="L29" s="131" t="n">
        <x:v>0.2</x:v>
      </x:c>
      <x:c r="M29" s="131" t="n">
        <x:v>0.002</x:v>
      </x:c>
      <x:c r="N29" s="131" t="n">
        <x:f>D29*MIN(K29/H29,L29/I29,M29/J29)</x:f>
        <x:v>0.01826666666666667</x:v>
      </x:c>
      <x:c r="O29" s="131" t="n">
        <x:f>D29*MAX(K29/H29,L29/I29,M29/J29)</x:f>
        <x:v>0.10960000000000002</x:v>
      </x:c>
      <x:c r="P29" s="131" t="n">
        <x:f>IF(O29&gt;0,ROUNDDOWN(F29/O29,0),"")</x:f>
        <x:v>547</x:v>
      </x:c>
      <x:c r="Q29" s="131" t="n">
        <x:f>IF(N29&gt;0,ROUNDDOWN(F29/N29,0),"")</x:f>
        <x:v>3284</x:v>
      </x:c>
      <x:c r="R29" s="131" t="n">
        <x:f>IF(O29&gt;0,ROUNDDOWN(G29/O29,0),"")</x:f>
        <x:v>1094</x:v>
      </x:c>
      <x:c r="S29" s="131" t="n">
        <x:f>IF(N29&gt;0,ROUNDDOWN(G29/N29,0),"")</x:f>
        <x:v>6569</x:v>
      </x:c>
      <x:c r="T29" s="131" t="str">
        <x:v>AAII task proxy. Min/max tariff-ratio bounds exclude cache-write changes and harness effects. AA price date 2026-09-28</x:v>
      </x:c>
      <x:c r="U29" s="131" t="str">
        <x:v>https://artificialanalysis.ai/models/comparisons/muse-spark-1-3-vs-gemini-3-8-flash</x:v>
      </x:c>
    </x:row>
    <x:row r="30">
      <x:c r="A30" s="131" t="str">
        <x:v>muse-spark-1.3</x:v>
      </x:c>
      <x:c r="B30" s="131" t="str">
        <x:v>max</x:v>
      </x:c>
      <x:c r="C30" s="131" t="n">
        <x:v>48</x:v>
      </x:c>
      <x:c r="D30" s="131" t="n">
        <x:v>1.6</x:v>
      </x:c>
      <x:c r="E30" s="131" t="str">
        <x:v>Muse Spark 1.3 Contributor</x:v>
      </x:c>
      <x:c r="F30" s="131" t="n">
        <x:v>60</x:v>
      </x:c>
      <x:c r="G30" s="131" t="n">
        <x:v>120</x:v>
      </x:c>
      <x:c r="H30" s="131" t="n">
        <x:v>1.25</x:v>
      </x:c>
      <x:c r="I30" s="131" t="n">
        <x:v>4.25</x:v>
      </x:c>
      <x:c r="J30" s="131" t="n">
        <x:v>0.15</x:v>
      </x:c>
      <x:c r="K30" s="131" t="n">
        <x:v>0.1</x:v>
      </x:c>
      <x:c r="L30" s="131" t="n">
        <x:v>0.2</x:v>
      </x:c>
      <x:c r="M30" s="131" t="n">
        <x:v>0.002</x:v>
      </x:c>
      <x:c r="N30" s="131" t="n">
        <x:f>D30*MIN(K30/H30,L30/I30,M30/J30)</x:f>
        <x:v>0.021333333333333336</x:v>
      </x:c>
      <x:c r="O30" s="131" t="n">
        <x:f>D30*MAX(K30/H30,L30/I30,M30/J30)</x:f>
        <x:v>0.128</x:v>
      </x:c>
      <x:c r="P30" s="131" t="n">
        <x:f>IF(O30&gt;0,ROUNDDOWN(F30/O30,0),"")</x:f>
        <x:v>468</x:v>
      </x:c>
      <x:c r="Q30" s="131" t="n">
        <x:f>IF(N30&gt;0,ROUNDDOWN(F30/N30,0),"")</x:f>
        <x:v>2812</x:v>
      </x:c>
      <x:c r="R30" s="131" t="n">
        <x:f>IF(O30&gt;0,ROUNDDOWN(G30/O30,0),"")</x:f>
        <x:v>937</x:v>
      </x:c>
      <x:c r="S30" s="131" t="n">
        <x:f>IF(N30&gt;0,ROUNDDOWN(G30/N30,0),"")</x:f>
        <x:v>5624</x:v>
      </x:c>
      <x:c r="T30" s="131" t="str">
        <x:v>AAII task proxy. Min/max tariff-ratio bounds exclude cache-write changes and harness effects. AA price date 2026-09-28</x:v>
      </x:c>
      <x:c r="U30" s="131" t="str">
        <x:v>https://artificialanalysis.ai/models/comparisons/muse-spark-1-3-vs-gemini-3-8-flash</x:v>
      </x:c>
    </x:row>
    <x:row r="31">
      <x:c r="A31" s="131" t="str">
        <x:v>deepseek-v4.1-flash</x:v>
      </x:c>
      <x:c r="B31" s="131" t="str">
        <x:v>non-reasoning</x:v>
      </x:c>
      <x:c r="C31" s="131" t="n">
        <x:v>25</x:v>
      </x:c>
      <x:c r="D31" s="131" t="n">
        <x:v>0.15</x:v>
      </x:c>
      <x:c r="E31" s="131" t="str">
        <x:v>DeepSeek V4.1 Flash (Off-Peak)</x:v>
      </x:c>
      <x:c r="F31" s="131" t="n">
        <x:v>80</x:v>
      </x:c>
      <x:c r="G31" s="131" t="n">
        <x:v>160</x:v>
      </x:c>
      <x:c r="H31" s="131" t="n">
        <x:v>0.3</x:v>
      </x:c>
      <x:c r="I31" s="131" t="n">
        <x:v>1.2</x:v>
      </x:c>
      <x:c r="J31" s="131" t="n">
        <x:v>0.006</x:v>
      </x:c>
      <x:c r="K31" s="131" t="n">
        <x:v>0.15</x:v>
      </x:c>
      <x:c r="L31" s="131" t="n">
        <x:v>0.6</x:v>
      </x:c>
      <x:c r="M31" s="131" t="n">
        <x:v>0.003</x:v>
      </x:c>
      <x:c r="N31" s="131" t="n">
        <x:f>D31*MIN(K31/H31,L31/I31,M31/J31)</x:f>
        <x:v>0.075</x:v>
      </x:c>
      <x:c r="O31" s="131" t="n">
        <x:f>D31*MAX(K31/H31,L31/I31,M31/J31)</x:f>
        <x:v>0.075</x:v>
      </x:c>
      <x:c r="P31" s="131" t="n">
        <x:f>IF(O31&gt;0,ROUNDDOWN(F31/O31,0),"")</x:f>
        <x:v>1066</x:v>
      </x:c>
      <x:c r="Q31" s="131" t="n">
        <x:f>IF(N31&gt;0,ROUNDDOWN(F31/N31,0),"")</x:f>
        <x:v>1066</x:v>
      </x:c>
      <x:c r="R31" s="131" t="n">
        <x:f>IF(O31&gt;0,ROUNDDOWN(G31/O31,0),"")</x:f>
        <x:v>2133</x:v>
      </x:c>
      <x:c r="S31" s="131" t="n">
        <x:f>IF(N31&gt;0,ROUNDDOWN(G31/N31,0),"")</x:f>
        <x:v>2133</x:v>
      </x:c>
      <x:c r="T31" s="131" t="str">
        <x:v>AAII task proxy. Min/max tariff-ratio bounds exclude cache-write changes and harness effects. AA price date 2026-09-28</x:v>
      </x:c>
      <x:c r="U31" s="131" t="str">
        <x:v>https://artificialanalysis.ai/models/deepseek-v4-1-flash-non-reasoning</x:v>
      </x:c>
    </x:row>
    <x:row r="32">
      <x:c r="A32" s="131" t="str">
        <x:v>deepseek-v4.1-flash</x:v>
      </x:c>
      <x:c r="B32" s="131" t="str">
        <x:v>non-reasoning</x:v>
      </x:c>
      <x:c r="C32" s="131" t="n">
        <x:v>25</x:v>
      </x:c>
      <x:c r="D32" s="131" t="n">
        <x:v>0.15</x:v>
      </x:c>
      <x:c r="E32" s="131" t="str">
        <x:v>DeepSeek V4.1 Flash (Peak)</x:v>
      </x:c>
      <x:c r="F32" s="131" t="n">
        <x:v>80</x:v>
      </x:c>
      <x:c r="G32" s="131" t="n">
        <x:v>160</x:v>
      </x:c>
      <x:c r="H32" s="131" t="n">
        <x:v>0.3</x:v>
      </x:c>
      <x:c r="I32" s="131" t="n">
        <x:v>1.2</x:v>
      </x:c>
      <x:c r="J32" s="131" t="n">
        <x:v>0.006</x:v>
      </x:c>
      <x:c r="K32" s="131" t="n">
        <x:v>0.3</x:v>
      </x:c>
      <x:c r="L32" s="131" t="n">
        <x:v>1.2</x:v>
      </x:c>
      <x:c r="M32" s="131" t="n">
        <x:v>0.006</x:v>
      </x:c>
      <x:c r="N32" s="131" t="n">
        <x:f>D32*MIN(K32/H32,L32/I32,M32/J32)</x:f>
        <x:v>0.15</x:v>
      </x:c>
      <x:c r="O32" s="131" t="n">
        <x:f>D32*MAX(K32/H32,L32/I32,M32/J32)</x:f>
        <x:v>0.15</x:v>
      </x:c>
      <x:c r="P32" s="131" t="n">
        <x:f>IF(O32&gt;0,ROUNDDOWN(F32/O32,0),"")</x:f>
        <x:v>533</x:v>
      </x:c>
      <x:c r="Q32" s="131" t="n">
        <x:f>IF(N32&gt;0,ROUNDDOWN(F32/N32,0),"")</x:f>
        <x:v>533</x:v>
      </x:c>
      <x:c r="R32" s="131" t="n">
        <x:f>IF(O32&gt;0,ROUNDDOWN(G32/O32,0),"")</x:f>
        <x:v>1066</x:v>
      </x:c>
      <x:c r="S32" s="131" t="n">
        <x:f>IF(N32&gt;0,ROUNDDOWN(G32/N32,0),"")</x:f>
        <x:v>1066</x:v>
      </x:c>
      <x:c r="T32" s="131" t="str">
        <x:v>AAII task proxy. Min/max tariff-ratio bounds exclude cache-write changes and harness effects. AA price date 2026-09-28</x:v>
      </x:c>
      <x:c r="U32" s="131" t="str">
        <x:v>https://artificialanalysis.ai/models/deepseek-v4-1-flash-non-reasoning</x:v>
      </x:c>
    </x:row>
    <x:row r="33">
      <x:c r="A33" s="131" t="str">
        <x:v>deepseek-v4.1-flash</x:v>
      </x:c>
      <x:c r="B33" s="131" t="str">
        <x:v>max</x:v>
      </x:c>
      <x:c r="C33" s="131" t="n">
        <x:v>39</x:v>
      </x:c>
      <x:c r="D33" s="131" t="n">
        <x:v>0.27</x:v>
      </x:c>
      <x:c r="E33" s="131" t="str">
        <x:v>DeepSeek V4.1 Flash (Off-Peak)</x:v>
      </x:c>
      <x:c r="F33" s="131" t="n">
        <x:v>80</x:v>
      </x:c>
      <x:c r="G33" s="131" t="n">
        <x:v>160</x:v>
      </x:c>
      <x:c r="H33" s="131" t="n">
        <x:v>0.3</x:v>
      </x:c>
      <x:c r="I33" s="131" t="n">
        <x:v>1.2</x:v>
      </x:c>
      <x:c r="J33" s="131" t="n">
        <x:v>0.006</x:v>
      </x:c>
      <x:c r="K33" s="131" t="n">
        <x:v>0.15</x:v>
      </x:c>
      <x:c r="L33" s="131" t="n">
        <x:v>0.6</x:v>
      </x:c>
      <x:c r="M33" s="131" t="n">
        <x:v>0.003</x:v>
      </x:c>
      <x:c r="N33" s="131" t="n">
        <x:f>D33*MIN(K33/H33,L33/I33,M33/J33)</x:f>
        <x:v>0.135</x:v>
      </x:c>
      <x:c r="O33" s="131" t="n">
        <x:f>D33*MAX(K33/H33,L33/I33,M33/J33)</x:f>
        <x:v>0.135</x:v>
      </x:c>
      <x:c r="P33" s="131" t="n">
        <x:f>IF(O33&gt;0,ROUNDDOWN(F33/O33,0),"")</x:f>
        <x:v>592</x:v>
      </x:c>
      <x:c r="Q33" s="131" t="n">
        <x:f>IF(N33&gt;0,ROUNDDOWN(F33/N33,0),"")</x:f>
        <x:v>592</x:v>
      </x:c>
      <x:c r="R33" s="131" t="n">
        <x:f>IF(O33&gt;0,ROUNDDOWN(G33/O33,0),"")</x:f>
        <x:v>1185</x:v>
      </x:c>
      <x:c r="S33" s="131" t="n">
        <x:f>IF(N33&gt;0,ROUNDDOWN(G33/N33,0),"")</x:f>
        <x:v>1185</x:v>
      </x:c>
      <x:c r="T33" s="131" t="str">
        <x:v>AAII task proxy. Min/max tariff-ratio bounds exclude cache-write changes and harness effects. AA price date 2026-09-28</x:v>
      </x:c>
      <x:c r="U33" s="131" t="str">
        <x:v>https://artificialanalysis.ai/models/deepseek-v4-1-flash</x:v>
      </x:c>
    </x:row>
    <x:row r="34">
      <x:c r="A34" s="131" t="str">
        <x:v>deepseek-v4.1-flash</x:v>
      </x:c>
      <x:c r="B34" s="131" t="str">
        <x:v>max</x:v>
      </x:c>
      <x:c r="C34" s="131" t="n">
        <x:v>39</x:v>
      </x:c>
      <x:c r="D34" s="131" t="n">
        <x:v>0.27</x:v>
      </x:c>
      <x:c r="E34" s="131" t="str">
        <x:v>DeepSeek V4.1 Flash (Peak)</x:v>
      </x:c>
      <x:c r="F34" s="131" t="n">
        <x:v>80</x:v>
      </x:c>
      <x:c r="G34" s="131" t="n">
        <x:v>160</x:v>
      </x:c>
      <x:c r="H34" s="131" t="n">
        <x:v>0.3</x:v>
      </x:c>
      <x:c r="I34" s="131" t="n">
        <x:v>1.2</x:v>
      </x:c>
      <x:c r="J34" s="131" t="n">
        <x:v>0.006</x:v>
      </x:c>
      <x:c r="K34" s="131" t="n">
        <x:v>0.3</x:v>
      </x:c>
      <x:c r="L34" s="131" t="n">
        <x:v>1.2</x:v>
      </x:c>
      <x:c r="M34" s="131" t="n">
        <x:v>0.006</x:v>
      </x:c>
      <x:c r="N34" s="131" t="n">
        <x:f>D34*MIN(K34/H34,L34/I34,M34/J34)</x:f>
        <x:v>0.27</x:v>
      </x:c>
      <x:c r="O34" s="131" t="n">
        <x:f>D34*MAX(K34/H34,L34/I34,M34/J34)</x:f>
        <x:v>0.27</x:v>
      </x:c>
      <x:c r="P34" s="131" t="n">
        <x:f>IF(O34&gt;0,ROUNDDOWN(F34/O34,0),"")</x:f>
        <x:v>296</x:v>
      </x:c>
      <x:c r="Q34" s="131" t="n">
        <x:f>IF(N34&gt;0,ROUNDDOWN(F34/N34,0),"")</x:f>
        <x:v>296</x:v>
      </x:c>
      <x:c r="R34" s="131" t="n">
        <x:f>IF(O34&gt;0,ROUNDDOWN(G34/O34,0),"")</x:f>
        <x:v>592</x:v>
      </x:c>
      <x:c r="S34" s="131" t="n">
        <x:f>IF(N34&gt;0,ROUNDDOWN(G34/N34,0),"")</x:f>
        <x:v>592</x:v>
      </x:c>
      <x:c r="T34" s="131" t="str">
        <x:v>AAII task proxy. Min/max tariff-ratio bounds exclude cache-write changes and harness effects. AA price date 2026-09-28</x:v>
      </x:c>
      <x:c r="U34" s="131" t="str">
        <x:v>https://artificialanalysis.ai/models/deepseek-v4-1-flash</x:v>
      </x:c>
    </x:row>
    <x:row r="35">
      <x:c r="A35" s="131" t="str">
        <x:v>kimi-k3</x:v>
      </x:c>
      <x:c r="B35" s="131" t="str">
        <x:v>max</x:v>
      </x:c>
      <x:c r="C35" s="131" t="n">
        <x:v>44</x:v>
      </x:c>
      <x:c r="D35" s="131" t="n">
        <x:v>2</x:v>
      </x:c>
      <x:c r="E35" s="131" t="str">
        <x:v>Kimi K3</x:v>
      </x:c>
      <x:c r="F35" s="131" t="n">
        <x:v>15</x:v>
      </x:c>
      <x:c r="G35" s="131" t="n">
        <x:v>60</x:v>
      </x:c>
      <x:c r="H35" s="131" t="n">
        <x:v>3</x:v>
      </x:c>
      <x:c r="I35" s="131" t="n">
        <x:v>15</x:v>
      </x:c>
      <x:c r="J35" s="131" t="n">
        <x:v>0.3</x:v>
      </x:c>
      <x:c r="K35" s="131" t="n">
        <x:v>3</x:v>
      </x:c>
      <x:c r="L35" s="131" t="n">
        <x:v>15</x:v>
      </x:c>
      <x:c r="M35" s="131" t="n">
        <x:v>0.3</x:v>
      </x:c>
      <x:c r="N35" s="131" t="n">
        <x:f>D35*MIN(K35/H35,L35/I35,M35/J35)</x:f>
        <x:v>2</x:v>
      </x:c>
      <x:c r="O35" s="131" t="n">
        <x:f>D35*MAX(K35/H35,L35/I35,M35/J35)</x:f>
        <x:v>2</x:v>
      </x:c>
      <x:c r="P35" s="131" t="n">
        <x:f>IF(O35&gt;0,ROUNDDOWN(F35/O35,0),"")</x:f>
        <x:v>7</x:v>
      </x:c>
      <x:c r="Q35" s="131" t="n">
        <x:f>IF(N35&gt;0,ROUNDDOWN(F35/N35,0),"")</x:f>
        <x:v>7</x:v>
      </x:c>
      <x:c r="R35" s="131" t="n">
        <x:f>IF(O35&gt;0,ROUNDDOWN(G35/O35,0),"")</x:f>
        <x:v>30</x:v>
      </x:c>
      <x:c r="S35" s="131" t="n">
        <x:f>IF(N35&gt;0,ROUNDDOWN(G35/N35,0),"")</x:f>
        <x:v>30</x:v>
      </x:c>
      <x:c r="T35" s="131" t="str">
        <x:v>AAII task proxy. Min/max tariff-ratio bounds exclude cache-write changes and harness effects. AA price date 2026-09-28</x:v>
      </x:c>
      <x:c r="U35" s="131" t="str">
        <x:v>https://artificialanalysis.ai/models/comparisons/mimo-v2-6-flash-vs-kimi-k3</x:v>
      </x:c>
    </x:row>
    <x:row r="36">
      <x:c r="A36" s="131" t="str">
        <x:v>gemini-4-argon</x:v>
      </x:c>
      <x:c r="B36" s="131" t="str">
        <x:v>high</x:v>
      </x:c>
      <x:c r="C36" s="131" t="n">
        <x:v>53</x:v>
      </x:c>
      <x:c r="D36" s="131" t="n">
        <x:v>1.99</x:v>
      </x:c>
      <x:c r="E36" s="131" t="str">
        <x:v>Gemini 4 Argon Contributor</x:v>
      </x:c>
      <x:c r="F36" s="131" t="n">
        <x:v>60</x:v>
      </x:c>
      <x:c r="G36" s="131" t="n">
        <x:v>240</x:v>
      </x:c>
      <x:c r="H36" s="131" t="n">
        <x:v>2</x:v>
      </x:c>
      <x:c r="I36" s="131" t="n">
        <x:v>10</x:v>
      </x:c>
      <x:c r="J36" s="131" t="n">
        <x:v>0.1</x:v>
      </x:c>
      <x:c r="K36" s="131" t="n">
        <x:v>4</x:v>
      </x:c>
      <x:c r="L36" s="131" t="n">
        <x:v>20</x:v>
      </x:c>
      <x:c r="M36" s="131" t="n">
        <x:v>0.2</x:v>
      </x:c>
      <x:c r="N36" s="131" t="n">
        <x:f>D36*MIN(K36/H36,L36/I36,M36/J36)</x:f>
        <x:v>3.98</x:v>
      </x:c>
      <x:c r="O36" s="131" t="n">
        <x:f>D36*MAX(K36/H36,L36/I36,M36/J36)</x:f>
        <x:v>3.98</x:v>
      </x:c>
      <x:c r="P36" s="131" t="n">
        <x:f>IF(O36&gt;0,ROUNDDOWN(F36/O36,0),"")</x:f>
        <x:v>15</x:v>
      </x:c>
      <x:c r="Q36" s="131" t="n">
        <x:f>IF(N36&gt;0,ROUNDDOWN(F36/N36,0),"")</x:f>
        <x:v>15</x:v>
      </x:c>
      <x:c r="R36" s="131" t="n">
        <x:f>IF(O36&gt;0,ROUNDDOWN(G36/O36,0),"")</x:f>
        <x:v>60</x:v>
      </x:c>
      <x:c r="S36" s="131" t="n">
        <x:f>IF(N36&gt;0,ROUNDDOWN(G36/N36,0),"")</x:f>
        <x:v>60</x:v>
      </x:c>
      <x:c r="T36" s="131" t="str">
        <x:v>AAII task proxy. Min/max tariff-ratio bounds exclude cache-write changes and harness effects. AA price date 2026-10-16</x:v>
      </x:c>
      <x:c r="U36" s="131" t="str">
        <x:v>https://artificialanalysis.ai/models/gemini-4-argon</x:v>
      </x:c>
    </x:row>
    <x:row r="37">
      <x:c r="A37" s="131" t="str">
        <x:v>grok-4-7</x:v>
      </x:c>
      <x:c r="B37" s="131" t="str">
        <x:v>xhigh</x:v>
      </x:c>
      <x:c r="C37" s="131" t="n">
        <x:v>46</x:v>
      </x:c>
      <x:c r="D37" s="131" t="n">
        <x:v>3.74</x:v>
      </x:c>
      <x:c r="E37" s="131" t="str">
        <x:v>Grok 4.7 (≤ 200K tokens)</x:v>
      </x:c>
      <x:c r="F37" s="131" t="n">
        <x:v>15</x:v>
      </x:c>
      <x:c r="G37" s="131" t="n">
        <x:v>60</x:v>
      </x:c>
      <x:c r="H37" s="131" t="n">
        <x:v>2</x:v>
      </x:c>
      <x:c r="I37" s="131" t="n">
        <x:v>6</x:v>
      </x:c>
      <x:c r="J37" s="131" t="n">
        <x:v>0.5</x:v>
      </x:c>
      <x:c r="K37" s="131" t="n">
        <x:v>2</x:v>
      </x:c>
      <x:c r="L37" s="131" t="n">
        <x:v>6</x:v>
      </x:c>
      <x:c r="M37" s="131" t="n">
        <x:v>0.5</x:v>
      </x:c>
      <x:c r="N37" s="131" t="n">
        <x:f>D37*MIN(K37/H37,L37/I37,M37/J37)</x:f>
        <x:v>3.74</x:v>
      </x:c>
      <x:c r="O37" s="131" t="n">
        <x:f>D37*MAX(K37/H37,L37/I37,M37/J37)</x:f>
        <x:v>3.74</x:v>
      </x:c>
      <x:c r="P37" s="131" t="n">
        <x:f>IF(O37&gt;0,ROUNDDOWN(F37/O37,0),"")</x:f>
        <x:v>4</x:v>
      </x:c>
      <x:c r="Q37" s="131" t="n">
        <x:f>IF(N37&gt;0,ROUNDDOWN(F37/N37,0),"")</x:f>
        <x:v>4</x:v>
      </x:c>
      <x:c r="R37" s="131" t="n">
        <x:f>IF(O37&gt;0,ROUNDDOWN(G37/O37,0),"")</x:f>
        <x:v>16</x:v>
      </x:c>
      <x:c r="S37" s="131" t="n">
        <x:f>IF(N37&gt;0,ROUNDDOWN(G37/N37,0),"")</x:f>
        <x:v>16</x:v>
      </x:c>
      <x:c r="T37" s="131" t="str">
        <x:v>AAII task proxy. Min/max tariff-ratio bounds exclude cache-write changes and harness effects. AA price date 2026-10-11</x:v>
      </x:c>
      <x:c r="U37" s="131" t="str">
        <x:v>https://artificialanalysis.ai/models/grok-4-7</x:v>
      </x:c>
    </x:row>
    <x:row r="38">
      <x:c r="A38" s="131" t="str">
        <x:v>grok-4-7</x:v>
      </x:c>
      <x:c r="B38" s="131" t="str">
        <x:v>xhigh</x:v>
      </x:c>
      <x:c r="C38" s="131" t="n">
        <x:v>46</x:v>
      </x:c>
      <x:c r="D38" s="131" t="n">
        <x:v>3.74</x:v>
      </x:c>
      <x:c r="E38" s="131" t="str">
        <x:v>Grok 4.7 (&gt; 200K tokens)</x:v>
      </x:c>
      <x:c r="F38" s="131" t="n">
        <x:v>15</x:v>
      </x:c>
      <x:c r="G38" s="131" t="n">
        <x:v>60</x:v>
      </x:c>
      <x:c r="H38" s="131" t="n">
        <x:v>2</x:v>
      </x:c>
      <x:c r="I38" s="131" t="n">
        <x:v>6</x:v>
      </x:c>
      <x:c r="J38" s="131" t="n">
        <x:v>0.5</x:v>
      </x:c>
      <x:c r="K38" s="131" t="n">
        <x:v>4</x:v>
      </x:c>
      <x:c r="L38" s="131" t="n">
        <x:v>12</x:v>
      </x:c>
      <x:c r="M38" s="131" t="n">
        <x:v>1</x:v>
      </x:c>
      <x:c r="N38" s="131" t="n">
        <x:f>D38*MIN(K38/H38,L38/I38,M38/J38)</x:f>
        <x:v>7.48</x:v>
      </x:c>
      <x:c r="O38" s="131" t="n">
        <x:f>D38*MAX(K38/H38,L38/I38,M38/J38)</x:f>
        <x:v>7.48</x:v>
      </x:c>
      <x:c r="P38" s="131" t="n">
        <x:f>IF(O38&gt;0,ROUNDDOWN(F38/O38,0),"")</x:f>
        <x:v>2</x:v>
      </x:c>
      <x:c r="Q38" s="131" t="n">
        <x:f>IF(N38&gt;0,ROUNDDOWN(F38/N38,0),"")</x:f>
        <x:v>2</x:v>
      </x:c>
      <x:c r="R38" s="131" t="n">
        <x:f>IF(O38&gt;0,ROUNDDOWN(G38/O38,0),"")</x:f>
        <x:v>8</x:v>
      </x:c>
      <x:c r="S38" s="131" t="n">
        <x:f>IF(N38&gt;0,ROUNDDOWN(G38/N38,0),"")</x:f>
        <x:v>8</x:v>
      </x:c>
      <x:c r="T38" s="131" t="str">
        <x:v>AAII task proxy. Min/max tariff-ratio bounds exclude cache-write changes and harness effects. AA price date 2026-10-11</x:v>
      </x:c>
      <x:c r="U38" s="131" t="str">
        <x:v>https://artificialanalysis.ai/models/grok-4-7</x:v>
      </x:c>
    </x:row>
    <x:row r="39">
      <x:c r="A39" s="131" t="str">
        <x:v>grok-4-7</x:v>
      </x:c>
      <x:c r="B39" s="131" t="str">
        <x:v>xhigh</x:v>
      </x:c>
      <x:c r="C39" s="131" t="n">
        <x:v>46</x:v>
      </x:c>
      <x:c r="D39" s="131" t="n">
        <x:v>3.74</x:v>
      </x:c>
      <x:c r="E39" s="131" t="str">
        <x:v>Grok 4.7 (≤ 200K tokens)</x:v>
      </x:c>
      <x:c r="F39" s="131" t="n">
        <x:v>15</x:v>
      </x:c>
      <x:c r="G39" s="131" t="n">
        <x:v>60</x:v>
      </x:c>
      <x:c r="H39" s="131" t="n">
        <x:v>2</x:v>
      </x:c>
      <x:c r="I39" s="131" t="n">
        <x:v>6</x:v>
      </x:c>
      <x:c r="J39" s="131" t="n">
        <x:v>0.5</x:v>
      </x:c>
      <x:c r="K39" s="131" t="n">
        <x:v>2</x:v>
      </x:c>
      <x:c r="L39" s="131" t="n">
        <x:v>6</x:v>
      </x:c>
      <x:c r="M39" s="131" t="n">
        <x:v>0.5</x:v>
      </x:c>
      <x:c r="N39" s="131" t="n">
        <x:f>D39*MIN(K39/H39,L39/I39,M39/J39)</x:f>
        <x:v>3.74</x:v>
      </x:c>
      <x:c r="O39" s="131" t="n">
        <x:f>D39*MAX(K39/H39,L39/I39,M39/J39)</x:f>
        <x:v>3.74</x:v>
      </x:c>
      <x:c r="P39" s="131" t="n">
        <x:f>IF(O39&gt;0,ROUNDDOWN(F39/O39,0),"")</x:f>
        <x:v>4</x:v>
      </x:c>
      <x:c r="Q39" s="131" t="n">
        <x:f>IF(N39&gt;0,ROUNDDOWN(F39/N39,0),"")</x:f>
        <x:v>4</x:v>
      </x:c>
      <x:c r="R39" s="131" t="n">
        <x:f>IF(O39&gt;0,ROUNDDOWN(G39/O39,0),"")</x:f>
        <x:v>16</x:v>
      </x:c>
      <x:c r="S39" s="131" t="n">
        <x:f>IF(N39&gt;0,ROUNDDOWN(G39/N39,0),"")</x:f>
        <x:v>16</x:v>
      </x:c>
      <x:c r="T39" s="131" t="str">
        <x:v>AAII task proxy. Min/max tariff-ratio bounds exclude cache-write changes and harness effects. AA price date 2026-10-16</x:v>
      </x:c>
      <x:c r="U39" s="131" t="str">
        <x:v>https://artificialanalysis.ai/models/grok-4-7</x:v>
      </x:c>
    </x:row>
    <x:row r="40">
      <x:c r="A40" s="131" t="str">
        <x:v>grok-4-7</x:v>
      </x:c>
      <x:c r="B40" s="131" t="str">
        <x:v>xhigh</x:v>
      </x:c>
      <x:c r="C40" s="131" t="n">
        <x:v>46</x:v>
      </x:c>
      <x:c r="D40" s="131" t="n">
        <x:v>3.74</x:v>
      </x:c>
      <x:c r="E40" s="131" t="str">
        <x:v>Grok 4.7 (&gt; 200K tokens)</x:v>
      </x:c>
      <x:c r="F40" s="131" t="n">
        <x:v>15</x:v>
      </x:c>
      <x:c r="G40" s="131" t="n">
        <x:v>60</x:v>
      </x:c>
      <x:c r="H40" s="131" t="n">
        <x:v>2</x:v>
      </x:c>
      <x:c r="I40" s="131" t="n">
        <x:v>6</x:v>
      </x:c>
      <x:c r="J40" s="131" t="n">
        <x:v>0.5</x:v>
      </x:c>
      <x:c r="K40" s="131" t="n">
        <x:v>4</x:v>
      </x:c>
      <x:c r="L40" s="131" t="n">
        <x:v>12</x:v>
      </x:c>
      <x:c r="M40" s="131" t="n">
        <x:v>1</x:v>
      </x:c>
      <x:c r="N40" s="131" t="n">
        <x:f>D40*MIN(K40/H40,L40/I40,M40/J40)</x:f>
        <x:v>7.48</x:v>
      </x:c>
      <x:c r="O40" s="131" t="n">
        <x:f>D40*MAX(K40/H40,L40/I40,M40/J40)</x:f>
        <x:v>7.48</x:v>
      </x:c>
      <x:c r="P40" s="131" t="n">
        <x:f>IF(O40&gt;0,ROUNDDOWN(F40/O40,0),"")</x:f>
        <x:v>2</x:v>
      </x:c>
      <x:c r="Q40" s="131" t="n">
        <x:f>IF(N40&gt;0,ROUNDDOWN(F40/N40,0),"")</x:f>
        <x:v>2</x:v>
      </x:c>
      <x:c r="R40" s="131" t="n">
        <x:f>IF(O40&gt;0,ROUNDDOWN(G40/O40,0),"")</x:f>
        <x:v>8</x:v>
      </x:c>
      <x:c r="S40" s="131" t="n">
        <x:f>IF(N40&gt;0,ROUNDDOWN(G40/N40,0),"")</x:f>
        <x:v>8</x:v>
      </x:c>
      <x:c r="T40" s="131" t="str">
        <x:v>AAII task proxy. Min/max tariff-ratio bounds exclude cache-write changes and harness effects. AA price date 2026-10-16</x:v>
      </x:c>
      <x:c r="U40" s="131" t="str">
        <x:v>https://artificialanalysis.ai/models/grok-4-7</x:v>
      </x:c>
    </x:row>
  </x:sheetData>
  <x:pageMargins left="0.7" right="0.7" top="0.75" bottom="0.75" header="0.3" footer="0.3"/>
  <x:tableParts count="1">
    <x:tablePart xmlns:r="http://schemas.openxmlformats.org/officeDocument/2006/relationships" r:id="Rd94ca5feb7424fb5"/>
  </x:tableParts>
</x:worksheet>
</file>

<file path=xl/worksheets/sheet4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9" hidden="0" customWidth="1"/>
    <x:col min="3" max="3" width="18" hidden="0" customWidth="1"/>
    <x:col min="4" max="4" width="18" hidden="0" customWidth="1"/>
    <x:col min="5" max="5" width="18" hidden="0" customWidth="1"/>
    <x:col min="6" max="6" width="18" hidden="0" customWidth="1"/>
    <x:col min="7" max="7" width="18" hidden="0" customWidth="1"/>
    <x:col min="8" max="8" width="60" hidden="0" customWidth="1"/>
    <x:col min="9" max="9" width="60" hidden="0" customWidth="1"/>
    <x:col min="10" max="10" width="18" hidden="0" customWidth="1"/>
    <x:col min="11" max="11" width="18" hidden="0" customWidth="1"/>
    <x:col min="12" max="12" width="18" hidden="0" customWidth="1"/>
    <x:col min="13" max="13" width="18" hidden="0" customWidth="1"/>
    <x:col min="14" max="14" width="18" hidden="0" customWidth="1"/>
  </x:cols>
  <x:sheetData>
    <x:row r="1" ht="42" customHeight="1">
      <x:c r="A1" s="128" t="str">
        <x:v>Offer</x:v>
      </x:c>
      <x:c r="B1" s="128" t="str">
        <x:v>Model / effort</x:v>
      </x:c>
      <x:c r="C1" s="128" t="str">
        <x:v>Monthly fee USD</x:v>
      </x:c>
      <x:c r="D1" s="128" t="str">
        <x:v>Model allowance USD equivalent</x:v>
      </x:c>
      <x:c r="E1" s="128" t="str">
        <x:v>AA API cost/task proxy</x:v>
      </x:c>
      <x:c r="F1" s="128" t="str">
        <x:v>CAI score</x:v>
      </x:c>
      <x:c r="G1" s="128" t="str">
        <x:v>AA minutes/task</x:v>
      </x:c>
      <x:c r="H1" s="128" t="str">
        <x:v>Evidence class</x:v>
      </x:c>
      <x:c r="I1" s="128" t="str">
        <x:v>Caveats</x:v>
      </x:c>
      <x:c r="J1" s="128" t="str">
        <x:v>Included task proxy</x:v>
      </x:c>
      <x:c r="K1" s="128" t="str">
        <x:v>$60 budget tasks</x:v>
      </x:c>
      <x:c r="L1" s="128" t="str">
        <x:v>$90 budget tasks</x:v>
      </x:c>
      <x:c r="M1" s="128" t="str">
        <x:v>$120 budget tasks</x:v>
      </x:c>
      <x:c r="N1" s="128" t="str">
        <x:v>$180 budget tasks</x:v>
      </x:c>
    </x:row>
    <x:row r="2">
      <x:c r="A2" s="131" t="str">
        <x:v>OpenCode Go</x:v>
      </x:c>
      <x:c r="B2" s="131" t="str">
        <x:v>GPT-6 Luna (max)</x:v>
      </x:c>
      <x:c r="C2" s="131" t="n">
        <x:v>10</x:v>
      </x:c>
      <x:c r="D2" s="131" t="n">
        <x:v>15</x:v>
      </x:c>
      <x:c r="E2" s="131" t="n">
        <x:v>0.18</x:v>
      </x:c>
      <x:c r="F2" s="131" t="n">
        <x:v>41</x:v>
      </x:c>
      <x:c r="G2" s="131" t="n">
        <x:v>21.4</x:v>
      </x:c>
      <x:c r="H2" s="131" t="str">
        <x:v>Official cap / AA cost proxy</x:v>
      </x:c>
      <x:c r="I2" s="131" t="str">
        <x:v>Same short-context pricing assumed. Real workload crosses 272K differently; harness/cache differences can change use.</x:v>
      </x:c>
      <x:c r="J2" s="131" t="n">
        <x:f>IF(OR(D2="",E2="",E2&lt;=0),"",ROUNDDOWN(D2/E2,0))</x:f>
        <x:v>83</x:v>
      </x:c>
      <x:c r="K2" s="131" t="n">
        <x:f>IF(60&lt;C2,"Unaffordable",IF(J2="","Unknown",J2))</x:f>
        <x:v>83</x:v>
      </x:c>
      <x:c r="L2" s="131" t="n">
        <x:f>IF(90&lt;C2,"Unaffordable",IF(J2="","Unknown",J2))</x:f>
        <x:v>83</x:v>
      </x:c>
      <x:c r="M2" s="131" t="n">
        <x:f>IF(120&lt;C2,"Unaffordable",IF(J2="","Unknown",J2))</x:f>
        <x:v>83</x:v>
      </x:c>
      <x:c r="N2" s="131" t="n">
        <x:f>IF(180&lt;C2,"Unaffordable",IF(J2="","Unknown",J2))</x:f>
        <x:v>83</x:v>
      </x:c>
    </x:row>
    <x:row r="3">
      <x:c r="A3" s="131" t="str">
        <x:v>OpenCode Go Plus</x:v>
      </x:c>
      <x:c r="B3" s="131" t="str">
        <x:v>GPT-6 Luna (max)</x:v>
      </x:c>
      <x:c r="C3" s="131" t="n">
        <x:v>40</x:v>
      </x:c>
      <x:c r="D3" s="131" t="n">
        <x:v>60</x:v>
      </x:c>
      <x:c r="E3" s="131" t="n">
        <x:v>0.18</x:v>
      </x:c>
      <x:c r="F3" s="131" t="n">
        <x:v>41</x:v>
      </x:c>
      <x:c r="G3" s="131" t="n">
        <x:v>21.4</x:v>
      </x:c>
      <x:c r="H3" s="131" t="str">
        <x:v>Official cap / AA cost proxy</x:v>
      </x:c>
      <x:c r="I3" s="131" t="str">
        <x:v>Per-model cap, not aggregate wallet.</x:v>
      </x:c>
      <x:c r="J3" s="131" t="n">
        <x:f>IF(OR(D3="",E3="",E3&lt;=0),"",ROUNDDOWN(D3/E3,0))</x:f>
        <x:v>333</x:v>
      </x:c>
      <x:c r="K3" s="131" t="n">
        <x:f>IF(60&lt;C3,"Unaffordable",IF(J3="","Unknown",J3))</x:f>
        <x:v>333</x:v>
      </x:c>
      <x:c r="L3" s="131" t="n">
        <x:f>IF(90&lt;C3,"Unaffordable",IF(J3="","Unknown",J3))</x:f>
        <x:v>333</x:v>
      </x:c>
      <x:c r="M3" s="131" t="n">
        <x:f>IF(120&lt;C3,"Unaffordable",IF(J3="","Unknown",J3))</x:f>
        <x:v>333</x:v>
      </x:c>
      <x:c r="N3" s="131" t="n">
        <x:f>IF(180&lt;C3,"Unaffordable",IF(J3="","Unknown",J3))</x:f>
        <x:v>333</x:v>
      </x:c>
    </x:row>
    <x:row r="4">
      <x:c r="A4" s="131" t="str">
        <x:v>OpenCode Go</x:v>
      </x:c>
      <x:c r="B4" s="131" t="str">
        <x:v>Step 5 Preview</x:v>
      </x:c>
      <x:c r="C4" s="131" t="n">
        <x:v>10</x:v>
      </x:c>
      <x:c r="D4" s="131" t="n">
        <x:v>60</x:v>
      </x:c>
      <x:c r="E4" s="131" t="n">
        <x:v>1.66</x:v>
      </x:c>
      <x:c r="F4" s="131" t="n">
        <x:v>51</x:v>
      </x:c>
      <x:c r="G4" s="131" t="n">
        <x:v>56.4</x:v>
      </x:c>
      <x:c r="H4" s="131" t="str">
        <x:v>Official temporary cap / AA cost proxy</x:v>
      </x:c>
      <x:c r="I4" s="131" t="str">
        <x:v>4x promotion; AA harness Claude Code; token/cache mix differs.</x:v>
      </x:c>
      <x:c r="J4" s="131" t="n">
        <x:f>IF(OR(D4="",E4="",E4&lt;=0),"",ROUNDDOWN(D4/E4,0))</x:f>
        <x:v>36</x:v>
      </x:c>
      <x:c r="K4" s="131" t="n">
        <x:f>IF(60&lt;C4,"Unaffordable",IF(J4="","Unknown",J4))</x:f>
        <x:v>36</x:v>
      </x:c>
      <x:c r="L4" s="131" t="n">
        <x:f>IF(90&lt;C4,"Unaffordable",IF(J4="","Unknown",J4))</x:f>
        <x:v>36</x:v>
      </x:c>
      <x:c r="M4" s="131" t="n">
        <x:f>IF(120&lt;C4,"Unaffordable",IF(J4="","Unknown",J4))</x:f>
        <x:v>36</x:v>
      </x:c>
      <x:c r="N4" s="131" t="n">
        <x:f>IF(180&lt;C4,"Unaffordable",IF(J4="","Unknown",J4))</x:f>
        <x:v>36</x:v>
      </x:c>
    </x:row>
    <x:row r="5">
      <x:c r="A5" s="131" t="str">
        <x:v>OpenCode Go Plus</x:v>
      </x:c>
      <x:c r="B5" s="131" t="str">
        <x:v>Step 5 Preview</x:v>
      </x:c>
      <x:c r="C5" s="131" t="n">
        <x:v>40</x:v>
      </x:c>
      <x:c r="D5" s="131" t="n">
        <x:v>240</x:v>
      </x:c>
      <x:c r="E5" s="131" t="n">
        <x:v>1.66</x:v>
      </x:c>
      <x:c r="F5" s="131" t="n">
        <x:v>51</x:v>
      </x:c>
      <x:c r="G5" s="131" t="n">
        <x:v>56.4</x:v>
      </x:c>
      <x:c r="H5" s="131" t="str">
        <x:v>Official temporary cap / AA cost proxy</x:v>
      </x:c>
      <x:c r="I5" s="131" t="str">
        <x:v>No subscription stacking; resets can bind.</x:v>
      </x:c>
      <x:c r="J5" s="131" t="n">
        <x:f>IF(OR(D5="",E5="",E5&lt;=0),"",ROUNDDOWN(D5/E5,0))</x:f>
        <x:v>144</x:v>
      </x:c>
      <x:c r="K5" s="131" t="n">
        <x:f>IF(60&lt;C5,"Unaffordable",IF(J5="","Unknown",J5))</x:f>
        <x:v>144</x:v>
      </x:c>
      <x:c r="L5" s="131" t="n">
        <x:f>IF(90&lt;C5,"Unaffordable",IF(J5="","Unknown",J5))</x:f>
        <x:v>144</x:v>
      </x:c>
      <x:c r="M5" s="131" t="n">
        <x:f>IF(120&lt;C5,"Unaffordable",IF(J5="","Unknown",J5))</x:f>
        <x:v>144</x:v>
      </x:c>
      <x:c r="N5" s="131" t="n">
        <x:f>IF(180&lt;C5,"Unaffordable",IF(J5="","Unknown",J5))</x:f>
        <x:v>144</x:v>
      </x:c>
    </x:row>
    <x:row r="6">
      <x:c r="A6" s="131" t="str">
        <x:v>OpenCode Go</x:v>
      </x:c>
      <x:c r="B6" s="131" t="str">
        <x:v>Haiku 5.5 (xhigh)</x:v>
      </x:c>
      <x:c r="C6" s="131" t="n">
        <x:v>10</x:v>
      </x:c>
      <x:c r="D6" s="131" t="n">
        <x:v>15</x:v>
      </x:c>
      <x:c r="E6" s="131" t="n">
        <x:v>0.61</x:v>
      </x:c>
      <x:c r="F6" s="131" t="n">
        <x:v>41</x:v>
      </x:c>
      <x:c r="G6" s="131" t="n">
        <x:v>25.9</x:v>
      </x:c>
      <x:c r="H6" s="131" t="str">
        <x:v>Official cap / AA cost proxy</x:v>
      </x:c>
      <x:c r="I6" s="131" t="str">
        <x:v>AA cost may include &gt;100K tier/cache writes; conditional transfer of workload.</x:v>
      </x:c>
      <x:c r="J6" s="131" t="n">
        <x:f>IF(OR(D6="",E6="",E6&lt;=0),"",ROUNDDOWN(D6/E6,0))</x:f>
        <x:v>24</x:v>
      </x:c>
      <x:c r="K6" s="131" t="n">
        <x:f>IF(60&lt;C6,"Unaffordable",IF(J6="","Unknown",J6))</x:f>
        <x:v>24</x:v>
      </x:c>
      <x:c r="L6" s="131" t="n">
        <x:f>IF(90&lt;C6,"Unaffordable",IF(J6="","Unknown",J6))</x:f>
        <x:v>24</x:v>
      </x:c>
      <x:c r="M6" s="131" t="n">
        <x:f>IF(120&lt;C6,"Unaffordable",IF(J6="","Unknown",J6))</x:f>
        <x:v>24</x:v>
      </x:c>
      <x:c r="N6" s="131" t="n">
        <x:f>IF(180&lt;C6,"Unaffordable",IF(J6="","Unknown",J6))</x:f>
        <x:v>24</x:v>
      </x:c>
    </x:row>
    <x:row r="7">
      <x:c r="A7" s="131" t="str">
        <x:v>OpenCode Go Plus</x:v>
      </x:c>
      <x:c r="B7" s="131" t="str">
        <x:v>Haiku 5.5 (xhigh)</x:v>
      </x:c>
      <x:c r="C7" s="131" t="n">
        <x:v>40</x:v>
      </x:c>
      <x:c r="D7" s="131" t="n">
        <x:v>60</x:v>
      </x:c>
      <x:c r="E7" s="131" t="n">
        <x:v>0.61</x:v>
      </x:c>
      <x:c r="F7" s="131" t="n">
        <x:v>41</x:v>
      </x:c>
      <x:c r="G7" s="131" t="n">
        <x:v>25.9</x:v>
      </x:c>
      <x:c r="H7" s="131" t="str">
        <x:v>Official cap / AA cost proxy</x:v>
      </x:c>
      <x:c r="I7" s="131" t="str">
        <x:v>Conditional transfer of workload.</x:v>
      </x:c>
      <x:c r="J7" s="131" t="n">
        <x:f>IF(OR(D7="",E7="",E7&lt;=0),"",ROUNDDOWN(D7/E7,0))</x:f>
        <x:v>98</x:v>
      </x:c>
      <x:c r="K7" s="131" t="n">
        <x:f>IF(60&lt;C7,"Unaffordable",IF(J7="","Unknown",J7))</x:f>
        <x:v>98</x:v>
      </x:c>
      <x:c r="L7" s="131" t="n">
        <x:f>IF(90&lt;C7,"Unaffordable",IF(J7="","Unknown",J7))</x:f>
        <x:v>98</x:v>
      </x:c>
      <x:c r="M7" s="131" t="n">
        <x:f>IF(120&lt;C7,"Unaffordable",IF(J7="","Unknown",J7))</x:f>
        <x:v>98</x:v>
      </x:c>
      <x:c r="N7" s="131" t="n">
        <x:f>IF(180&lt;C7,"Unaffordable",IF(J7="","Unknown",J7))</x:f>
        <x:v>98</x:v>
      </x:c>
    </x:row>
    <x:row r="8">
      <x:c r="A8" s="131" t="str">
        <x:v>OpenDesign Plus</x:v>
      </x:c>
      <x:c r="B8" s="131" t="str">
        <x:v>Sonnet 5.5 (xhigh)</x:v>
      </x:c>
      <x:c r="C8" s="131" t="n">
        <x:v>20</x:v>
      </x:c>
      <x:c r="D8" s="131" t="n">
        <x:v>20</x:v>
      </x:c>
      <x:c r="E8" s="131" t="n">
        <x:v>3.33</x:v>
      </x:c>
      <x:c r="F8" s="131" t="n">
        <x:v>63</x:v>
      </x:c>
      <x:c r="G8" s="131" t="n">
        <x:v>27</x:v>
      </x:c>
      <x:c r="H8" s="131" t="str">
        <x:v>Official premium wallet / AA cost proxy</x:v>
      </x:c>
      <x:c r="I8" s="131" t="str">
        <x:v>Design credits cannot be spent on Sonnet; premium credit pool shared. Renewal price used; promo excluded.</x:v>
      </x:c>
      <x:c r="J8" s="131" t="n">
        <x:f>IF(OR(D8="",E8="",E8&lt;=0),"",ROUNDDOWN(D8/E8,0))</x:f>
        <x:v>6</x:v>
      </x:c>
      <x:c r="K8" s="131" t="n">
        <x:f>IF(60&lt;C8,"Unaffordable",IF(J8="","Unknown",J8))</x:f>
        <x:v>6</x:v>
      </x:c>
      <x:c r="L8" s="131" t="n">
        <x:f>IF(90&lt;C8,"Unaffordable",IF(J8="","Unknown",J8))</x:f>
        <x:v>6</x:v>
      </x:c>
      <x:c r="M8" s="131" t="n">
        <x:f>IF(120&lt;C8,"Unaffordable",IF(J8="","Unknown",J8))</x:f>
        <x:v>6</x:v>
      </x:c>
      <x:c r="N8" s="131" t="n">
        <x:f>IF(180&lt;C8,"Unaffordable",IF(J8="","Unknown",J8))</x:f>
        <x:v>6</x:v>
      </x:c>
    </x:row>
    <x:row r="9">
      <x:c r="A9" s="131" t="str">
        <x:v>OpenDesign Pro</x:v>
      </x:c>
      <x:c r="B9" s="131" t="str">
        <x:v>Sonnet 5.5 (xhigh)</x:v>
      </x:c>
      <x:c r="C9" s="131" t="n">
        <x:v>100</x:v>
      </x:c>
      <x:c r="D9" s="131" t="n">
        <x:v>120</x:v>
      </x:c>
      <x:c r="E9" s="131" t="n">
        <x:v>3.33</x:v>
      </x:c>
      <x:c r="F9" s="131" t="n">
        <x:v>63</x:v>
      </x:c>
      <x:c r="G9" s="131" t="n">
        <x:v>27</x:v>
      </x:c>
      <x:c r="H9" s="131" t="str">
        <x:v>Official premium wallet / AA cost proxy</x:v>
      </x:c>
      <x:c r="I9" s="131" t="str">
        <x:v>Monthly100 renewal; annual720 upfront exceeds requested cash ceilings. Premium wallet shared.</x:v>
      </x:c>
      <x:c r="J9" s="131" t="n">
        <x:f>IF(OR(D9="",E9="",E9&lt;=0),"",ROUNDDOWN(D9/E9,0))</x:f>
        <x:v>36</x:v>
      </x:c>
      <x:c r="K9" s="131" t="str">
        <x:f>IF(60&lt;C9,"Unaffordable",IF(J9="","Unknown",J9))</x:f>
        <x:v>Unaffordable</x:v>
      </x:c>
      <x:c r="L9" s="131" t="str">
        <x:f>IF(90&lt;C9,"Unaffordable",IF(J9="","Unknown",J9))</x:f>
        <x:v>Unaffordable</x:v>
      </x:c>
      <x:c r="M9" s="131" t="n">
        <x:f>IF(120&lt;C9,"Unaffordable",IF(J9="","Unknown",J9))</x:f>
        <x:v>36</x:v>
      </x:c>
      <x:c r="N9" s="131" t="n">
        <x:f>IF(180&lt;C9,"Unaffordable",IF(J9="","Unknown",J9))</x:f>
        <x:v>36</x:v>
      </x:c>
    </x:row>
    <x:row r="10">
      <x:c r="A10" s="131" t="str">
        <x:v>OpenDesign Pro</x:v>
      </x:c>
      <x:c r="B10" s="131" t="str">
        <x:v>Opus 5.5 (max)</x:v>
      </x:c>
      <x:c r="C10" s="131" t="n">
        <x:v>100</x:v>
      </x:c>
      <x:c r="D10" s="131" t="n">
        <x:v>120</x:v>
      </x:c>
      <x:c r="E10" s="131" t="n">
        <x:v>13.04</x:v>
      </x:c>
      <x:c r="F10" s="131" t="n">
        <x:v>66</x:v>
      </x:c>
      <x:c r="G10" s="131" t="n">
        <x:v>66</x:v>
      </x:c>
      <x:c r="H10" s="131" t="str">
        <x:v>Official premium wallet / AA cost proxy</x:v>
      </x:c>
      <x:c r="I10" s="131" t="str">
        <x:v>Premium models share120; alternative whole-wallet scenario, not additive to Sonnet.</x:v>
      </x:c>
      <x:c r="J10" s="131" t="n">
        <x:f>IF(OR(D10="",E10="",E10&lt;=0),"",ROUNDDOWN(D10/E10,0))</x:f>
        <x:v>9</x:v>
      </x:c>
      <x:c r="K10" s="131" t="str">
        <x:f>IF(60&lt;C10,"Unaffordable",IF(J10="","Unknown",J10))</x:f>
        <x:v>Unaffordable</x:v>
      </x:c>
      <x:c r="L10" s="131" t="str">
        <x:f>IF(90&lt;C10,"Unaffordable",IF(J10="","Unknown",J10))</x:f>
        <x:v>Unaffordable</x:v>
      </x:c>
      <x:c r="M10" s="131" t="n">
        <x:f>IF(120&lt;C10,"Unaffordable",IF(J10="","Unknown",J10))</x:f>
        <x:v>9</x:v>
      </x:c>
      <x:c r="N10" s="131" t="n">
        <x:f>IF(180&lt;C10,"Unaffordable",IF(J10="","Unknown",J10))</x:f>
        <x:v>9</x:v>
      </x:c>
    </x:row>
    <x:row r="11">
      <x:c r="A11" s="131" t="str">
        <x:v>ChatGPT Plus</x:v>
      </x:c>
      <x:c r="B11" s="131" t="str">
        <x:v>GPT-6.1 Sol (xhigh)</x:v>
      </x:c>
      <x:c r="C11" s="131" t="n">
        <x:v>20</x:v>
      </x:c>
      <x:c r="D11" s="131" t="n">
        <x:v>211</x:v>
      </x:c>
      <x:c r="E11" s="131" t="n">
        <x:v>1.04</x:v>
      </x:c>
      <x:c r="F11" s="131" t="n">
        <x:v>63</x:v>
      </x:c>
      <x:c r="G11" s="131" t="n">
        <x:v>15.5</x:v>
      </x:c>
      <x:c r="H11" s="131" t="str">
        <x:v>Third-party Oct5 quota scenario</x:v>
      </x:c>
      <x:c r="I11" s="131" t="str">
        <x:v>211 API-value from existing Oct19 SemiAnalysis capacity workbook. Not official or remeasured today; allowance may bind by5h/week.</x:v>
      </x:c>
      <x:c r="J11" s="131" t="n">
        <x:f>IF(OR(D11="",E11="",E11&lt;=0),"",ROUNDDOWN(D11/E11,0))</x:f>
        <x:v>202</x:v>
      </x:c>
      <x:c r="K11" s="131" t="n">
        <x:f>IF(60&lt;C11,"Unaffordable",IF(J11="","Unknown",J11))</x:f>
        <x:v>202</x:v>
      </x:c>
      <x:c r="L11" s="131" t="n">
        <x:f>IF(90&lt;C11,"Unaffordable",IF(J11="","Unknown",J11))</x:f>
        <x:v>202</x:v>
      </x:c>
      <x:c r="M11" s="131" t="n">
        <x:f>IF(120&lt;C11,"Unaffordable",IF(J11="","Unknown",J11))</x:f>
        <x:v>202</x:v>
      </x:c>
      <x:c r="N11" s="131" t="n">
        <x:f>IF(180&lt;C11,"Unaffordable",IF(J11="","Unknown",J11))</x:f>
        <x:v>202</x:v>
      </x:c>
    </x:row>
    <x:row r="12">
      <x:c r="A12" s="131" t="str">
        <x:v>ChatGPT Pro100</x:v>
      </x:c>
      <x:c r="B12" s="131" t="str">
        <x:v>GPT-6.1 Sol (xhigh)</x:v>
      </x:c>
      <x:c r="C12" s="131" t="n">
        <x:v>100</x:v>
      </x:c>
      <x:c r="D12" s="131" t="n">
        <x:v>1055</x:v>
      </x:c>
      <x:c r="E12" s="131" t="n">
        <x:v>1.04</x:v>
      </x:c>
      <x:c r="F12" s="131" t="n">
        <x:v>63</x:v>
      </x:c>
      <x:c r="G12" s="131" t="n">
        <x:v>15.5</x:v>
      </x:c>
      <x:c r="H12" s="131" t="str">
        <x:v>Third-party Oct5 quota scenario</x:v>
      </x:c>
      <x:c r="I12" s="131" t="str">
        <x:v>Same historical scenario; no extrapolation from dollars spent.</x:v>
      </x:c>
      <x:c r="J12" s="131" t="n">
        <x:f>IF(OR(D12="",E12="",E12&lt;=0),"",ROUNDDOWN(D12/E12,0))</x:f>
        <x:v>1014</x:v>
      </x:c>
      <x:c r="K12" s="131" t="str">
        <x:f>IF(60&lt;C12,"Unaffordable",IF(J12="","Unknown",J12))</x:f>
        <x:v>Unaffordable</x:v>
      </x:c>
      <x:c r="L12" s="131" t="str">
        <x:f>IF(90&lt;C12,"Unaffordable",IF(J12="","Unknown",J12))</x:f>
        <x:v>Unaffordable</x:v>
      </x:c>
      <x:c r="M12" s="131" t="n">
        <x:f>IF(120&lt;C12,"Unaffordable",IF(J12="","Unknown",J12))</x:f>
        <x:v>1014</x:v>
      </x:c>
      <x:c r="N12" s="131" t="n">
        <x:f>IF(180&lt;C12,"Unaffordable",IF(J12="","Unknown",J12))</x:f>
        <x:v>1014</x:v>
      </x:c>
    </x:row>
    <x:row r="13">
      <x:c r="A13" s="131" t="str">
        <x:v>Claude Pro</x:v>
      </x:c>
      <x:c r="B13" s="131" t="str">
        <x:v>Opus 5.5 (max)</x:v>
      </x:c>
      <x:c r="C13" s="131" t="n">
        <x:v>20</x:v>
      </x:c>
      <x:c r="D13" s="131" t="n">
        <x:v>1178</x:v>
      </x:c>
      <x:c r="E13" s="131" t="n">
        <x:v>13.04</x:v>
      </x:c>
      <x:c r="F13" s="131" t="n">
        <x:v>66</x:v>
      </x:c>
      <x:c r="G13" s="131" t="n">
        <x:v>66</x:v>
      </x:c>
      <x:c r="H13" s="131" t="str">
        <x:v>Third-party Oct5 quota scenario</x:v>
      </x:c>
      <x:c r="I13" s="131" t="str">
        <x:v>Historical observed API-equivalent quota; not a guarantee, actual gating/weekly limits may differ.</x:v>
      </x:c>
      <x:c r="J13" s="131" t="n">
        <x:f>IF(OR(D13="",E13="",E13&lt;=0),"",ROUNDDOWN(D13/E13,0))</x:f>
        <x:v>90</x:v>
      </x:c>
      <x:c r="K13" s="131" t="n">
        <x:f>IF(60&lt;C13,"Unaffordable",IF(J13="","Unknown",J13))</x:f>
        <x:v>90</x:v>
      </x:c>
      <x:c r="L13" s="131" t="n">
        <x:f>IF(90&lt;C13,"Unaffordable",IF(J13="","Unknown",J13))</x:f>
        <x:v>90</x:v>
      </x:c>
      <x:c r="M13" s="131" t="n">
        <x:f>IF(120&lt;C13,"Unaffordable",IF(J13="","Unknown",J13))</x:f>
        <x:v>90</x:v>
      </x:c>
      <x:c r="N13" s="131" t="n">
        <x:f>IF(180&lt;C13,"Unaffordable",IF(J13="","Unknown",J13))</x:f>
        <x:v>90</x:v>
      </x:c>
    </x:row>
    <x:row r="14">
      <x:c r="A14" s="131" t="str">
        <x:v>Claude Max5x</x:v>
      </x:c>
      <x:c r="B14" s="131" t="str">
        <x:v>Opus 5.5 (max)</x:v>
      </x:c>
      <x:c r="C14" s="131" t="n">
        <x:v>100</x:v>
      </x:c>
      <x:c r="D14" s="131" t="n">
        <x:v>5725</x:v>
      </x:c>
      <x:c r="E14" s="131" t="n">
        <x:v>13.04</x:v>
      </x:c>
      <x:c r="F14" s="131" t="n">
        <x:v>66</x:v>
      </x:c>
      <x:c r="G14" s="131" t="n">
        <x:v>66</x:v>
      </x:c>
      <x:c r="H14" s="131" t="str">
        <x:v>Third-party Oct5 quota scenario</x:v>
      </x:c>
      <x:c r="I14" s="131" t="str">
        <x:v>Based on existing SemiAnalysis capacity workbook; cache-sensitive and not refreshed.</x:v>
      </x:c>
      <x:c r="J14" s="131" t="n">
        <x:f>IF(OR(D14="",E14="",E14&lt;=0),"",ROUNDDOWN(D14/E14,0))</x:f>
        <x:v>439</x:v>
      </x:c>
      <x:c r="K14" s="131" t="str">
        <x:f>IF(60&lt;C14,"Unaffordable",IF(J14="","Unknown",J14))</x:f>
        <x:v>Unaffordable</x:v>
      </x:c>
      <x:c r="L14" s="131" t="str">
        <x:f>IF(90&lt;C14,"Unaffordable",IF(J14="","Unknown",J14))</x:f>
        <x:v>Unaffordable</x:v>
      </x:c>
      <x:c r="M14" s="131" t="n">
        <x:f>IF(120&lt;C14,"Unaffordable",IF(J14="","Unknown",J14))</x:f>
        <x:v>439</x:v>
      </x:c>
      <x:c r="N14" s="131" t="n">
        <x:f>IF(180&lt;C14,"Unaffordable",IF(J14="","Unknown",J14))</x:f>
        <x:v>439</x:v>
      </x:c>
    </x:row>
    <x:row r="15">
      <x:c r="A15" s="131" t="str">
        <x:v>Muse CLI High</x:v>
      </x:c>
      <x:c r="B15" s="131" t="str">
        <x:v>Muse Wonder (max)</x:v>
      </x:c>
      <x:c r="C15" s="131" t="n">
        <x:v>15</x:v>
      </x:c>
      <x:c r="D15" s="131"/>
      <x:c r="E15" s="131" t="n">
        <x:v>8.04</x:v>
      </x:c>
      <x:c r="F15" s="131" t="n">
        <x:v>64</x:v>
      </x:c>
      <x:c r="G15" s="131" t="n">
        <x:v>22.4</x:v>
      </x:c>
      <x:c r="H15" s="131" t="str">
        <x:v>Official prompt allowance; tasks unknown</x:v>
      </x:c>
      <x:c r="I15" s="131" t="str">
        <x:v>5x Everyday=rough50–250 prompts/5h. User prompts are NOT AA internal turns. CLI-only credential; additional keys PAYG.</x:v>
      </x:c>
      <x:c r="J15" s="131" t="str">
        <x:f>IF(OR(D15="",E15="",E15&lt;=0),"",ROUNDDOWN(D15/E15,0))</x:f>
      </x:c>
      <x:c r="K15" s="131" t="str">
        <x:f>IF(60&lt;C15,"Unaffordable",IF(J15="","Unknown",J15))</x:f>
        <x:v>Unknown</x:v>
      </x:c>
      <x:c r="L15" s="131" t="str">
        <x:f>IF(90&lt;C15,"Unaffordable",IF(J15="","Unknown",J15))</x:f>
        <x:v>Unknown</x:v>
      </x:c>
      <x:c r="M15" s="131" t="str">
        <x:f>IF(120&lt;C15,"Unaffordable",IF(J15="","Unknown",J15))</x:f>
        <x:v>Unknown</x:v>
      </x:c>
      <x:c r="N15" s="131" t="str">
        <x:f>IF(180&lt;C15,"Unaffordable",IF(J15="","Unknown",J15))</x:f>
        <x:v>Unknown</x:v>
      </x:c>
    </x:row>
    <x:row r="16">
      <x:c r="A16" s="131" t="str">
        <x:v>Muse CLI Power</x:v>
      </x:c>
      <x:c r="B16" s="131" t="str">
        <x:v>Muse Wonder Full (max)</x:v>
      </x:c>
      <x:c r="C16" s="131" t="n">
        <x:v>50</x:v>
      </x:c>
      <x:c r="D16" s="131"/>
      <x:c r="E16" s="131"/>
      <x:c r="F16" s="131" t="n">
        <x:v>68</x:v>
      </x:c>
      <x:c r="G16" s="131" t="n">
        <x:v>28.8</x:v>
      </x:c>
      <x:c r="H16" s="131" t="str">
        <x:v>Official prompt allowance; tasks unknown</x:v>
      </x:c>
      <x:c r="I16" s="131" t="str">
        <x:v>20x Everyday=rough200–1000 prompts/5h. WonderFull subscription-only; no API price. Weekly/complexity limits unknown.</x:v>
      </x:c>
      <x:c r="J16" s="131" t="str">
        <x:f>IF(OR(D16="",E16="",E16&lt;=0),"",ROUNDDOWN(D16/E16,0))</x:f>
      </x:c>
      <x:c r="K16" s="131" t="str">
        <x:f>IF(60&lt;C16,"Unaffordable",IF(J16="","Unknown",J16))</x:f>
        <x:v>Unknown</x:v>
      </x:c>
      <x:c r="L16" s="131" t="str">
        <x:f>IF(90&lt;C16,"Unaffordable",IF(J16="","Unknown",J16))</x:f>
        <x:v>Unknown</x:v>
      </x:c>
      <x:c r="M16" s="131" t="str">
        <x:f>IF(120&lt;C16,"Unaffordable",IF(J16="","Unknown",J16))</x:f>
        <x:v>Unknown</x:v>
      </x:c>
      <x:c r="N16" s="131" t="str">
        <x:f>IF(180&lt;C16,"Unaffordable",IF(J16="","Unknown",J16))</x:f>
        <x:v>Unknown</x:v>
      </x:c>
    </x:row>
  </x:sheetData>
  <x:pageMargins left="0.7" right="0.7" top="0.75" bottom="0.75" header="0.3" footer="0.3"/>
  <x:tableParts count="1">
    <x:tablePart xmlns:r="http://schemas.openxmlformats.org/officeDocument/2006/relationships" r:id="Rc356db81c784475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30" hidden="0" customWidth="1"/>
    <x:col min="10" max="10" width="14" hidden="0" customWidth="1"/>
    <x:col min="11" max="11" width="14" hidden="0" customWidth="1"/>
    <x:col min="12" max="12" width="14" hidden="0" customWidth="1"/>
    <x:col min="13" max="13" width="14" hidden="0" customWidth="1"/>
    <x:col min="14" max="14" width="14" hidden="0" customWidth="1"/>
  </x:cols>
  <x:sheetData>
    <x:row r="1">
      <x:c r="A1" s="134" t="str">
        <x:v>Coding task capacity | 20 October 2026</x:v>
      </x:c>
      <x:c r="B1" s="134"/>
      <x:c r="C1" s="134"/>
      <x:c r="D1" s="134"/>
      <x:c r="E1" s="134"/>
      <x:c r="F1" s="134"/>
      <x:c r="G1" s="134"/>
      <x:c r="H1" s="134"/>
      <x:c r="I1" s="134"/>
      <x:c r="J1" s="134"/>
      <x:c r="K1" s="134"/>
      <x:c r="L1" s="134"/>
      <x:c r="M1" s="134"/>
      <x:c r="N1" s="134"/>
    </x:row>
    <x:row r="2">
      <x:c r="A2" s="134"/>
      <x:c r="B2" s="134"/>
      <x:c r="C2" s="134"/>
      <x:c r="D2" s="134"/>
      <x:c r="E2" s="134"/>
      <x:c r="F2" s="134"/>
      <x:c r="G2" s="134"/>
      <x:c r="H2" s="134"/>
      <x:c r="I2" s="134"/>
      <x:c r="J2" s="134"/>
      <x:c r="K2" s="134"/>
      <x:c r="L2" s="134"/>
      <x:c r="M2" s="134"/>
      <x:c r="N2" s="134"/>
    </x:row>
    <x:row r="4" ht="34" customHeight="1">
      <x:c r="A4" s="136" t="str">
        <x:v>Compare quality, cost AND runtime. Coding Agent Index v1.5 below; general AAII v4.3.2 is a separate worksheet and cannot be mixed with CAI scores.</x:v>
      </x:c>
      <x:c r="B4" s="136"/>
      <x:c r="C4" s="136"/>
      <x:c r="D4" s="136"/>
      <x:c r="E4" s="136"/>
      <x:c r="F4" s="136"/>
      <x:c r="G4" s="136"/>
      <x:c r="H4" s="136"/>
      <x:c r="I4" s="136"/>
      <x:c r="J4" s="136"/>
      <x:c r="K4" s="136"/>
      <x:c r="L4" s="136"/>
      <x:c r="M4" s="136"/>
      <x:c r="N4" s="136"/>
    </x:row>
    <x:row r="5" ht="34" customHeight="1">
      <x:c r="A5" s="136" t="str">
        <x:v>Budgets are USD ceilings for one month. API attempts = FLOOR(budget / measured average task cost). They are not guaranteed solved tasks; score is not success probability.</x:v>
      </x:c>
      <x:c r="B5" s="136"/>
      <x:c r="C5" s="136"/>
      <x:c r="D5" s="136"/>
      <x:c r="E5" s="136"/>
      <x:c r="F5" s="136"/>
      <x:c r="G5" s="136"/>
      <x:c r="H5" s="136"/>
      <x:c r="I5" s="136"/>
      <x:c r="J5" s="136"/>
      <x:c r="K5" s="136"/>
      <x:c r="L5" s="136"/>
      <x:c r="M5" s="136"/>
      <x:c r="N5" s="136"/>
    </x:row>
    <x:row r="6" ht="34" customHeight="1">
      <x:c r="A6" s="136" t="str">
        <x:v>Subscription rows use ONE eligible plan. Unspent money is retained. No account stacking, invented top-ups, or linear subscription quota scaling.</x:v>
      </x:c>
      <x:c r="B6" s="136"/>
      <x:c r="C6" s="136"/>
      <x:c r="D6" s="136"/>
      <x:c r="E6" s="136"/>
      <x:c r="F6" s="136"/>
      <x:c r="G6" s="136"/>
      <x:c r="H6" s="136"/>
      <x:c r="I6" s="136"/>
      <x:c r="J6" s="136"/>
      <x:c r="K6" s="136"/>
      <x:c r="L6" s="136"/>
      <x:c r="M6" s="136"/>
      <x:c r="N6" s="136"/>
    </x:row>
    <x:row r="7" ht="34" customHeight="1">
      <x:c r="A7" s="136" t="str">
        <x:v>OpenCode: per-model caps; 20%/5h and50%/week. Context tiers and peak/off-peak rows share the same underlying model cap. Do not sum them.</x:v>
      </x:c>
      <x:c r="B7" s="136"/>
      <x:c r="C7" s="136"/>
      <x:c r="D7" s="136"/>
      <x:c r="E7" s="136"/>
      <x:c r="F7" s="136"/>
      <x:c r="G7" s="136"/>
      <x:c r="H7" s="136"/>
      <x:c r="I7" s="136"/>
      <x:c r="J7" s="136"/>
      <x:c r="K7" s="136"/>
      <x:c r="L7" s="136"/>
      <x:c r="M7" s="136"/>
      <x:c r="N7" s="136"/>
    </x:row>
    <x:row r="8" ht="34" customHeight="1">
      <x:c r="A8" s="136" t="str">
        <x:v>Muse High15/mo includes Wonder; Power50/mo adds WonderFull. Both CLI-only. Numerical full-task quotas cannot be inferred from prompts/5h.</x:v>
      </x:c>
      <x:c r="B8" s="136"/>
      <x:c r="C8" s="136"/>
      <x:c r="D8" s="136"/>
      <x:c r="E8" s="136"/>
      <x:c r="F8" s="136"/>
      <x:c r="G8" s="136"/>
      <x:c r="H8" s="136"/>
      <x:c r="I8" s="136"/>
      <x:c r="J8" s="136"/>
      <x:c r="K8" s="136"/>
      <x:c r="L8" s="136"/>
      <x:c r="M8" s="136"/>
      <x:c r="N8" s="136"/>
    </x:row>
    <x:row r="9" ht="34" customHeight="1">
      <x:c r="A9" s="136" t="str">
        <x:v>OpenDesign Design Plan credits are shared and model-weighted. Premium wallet is separate; off-peak/free promotions may be app-only, so not assumed in external CLI estimates.</x:v>
      </x:c>
      <x:c r="B9" s="136"/>
      <x:c r="C9" s="136"/>
      <x:c r="D9" s="136"/>
      <x:c r="E9" s="136"/>
      <x:c r="F9" s="136"/>
      <x:c r="G9" s="136"/>
      <x:c r="H9" s="136"/>
      <x:c r="I9" s="136"/>
      <x:c r="J9" s="136"/>
      <x:c r="K9" s="136"/>
      <x:c r="L9" s="136"/>
      <x:c r="M9" s="136"/>
      <x:c r="N9" s="136"/>
    </x:row>
    <x:row r="10" ht="34" customHeight="1">
      <x:c r="A10" s="136" t="str">
        <x:v>AA current pages disagree on Muse Wonder64/$8.04 vs63/$8.05 and Spark cost. Uses Codex-vs-Muse snapshot, retains discrepancy. WonderFull $0 is a missing-price placeholder.</x:v>
      </x:c>
      <x:c r="B10" s="136"/>
      <x:c r="C10" s="136"/>
      <x:c r="D10" s="136"/>
      <x:c r="E10" s="136"/>
      <x:c r="F10" s="136"/>
      <x:c r="G10" s="136"/>
      <x:c r="H10" s="136"/>
      <x:c r="I10" s="136"/>
      <x:c r="J10" s="136"/>
      <x:c r="K10" s="136"/>
      <x:c r="L10" s="136"/>
      <x:c r="M10" s="136"/>
      <x:c r="N10" s="136"/>
    </x:row>
    <x:row r="11" ht="34" customHeight="1">
      <x:c r="A11" s="136" t="str">
        <x:v>Current DeepSeekV4.1 uses archived AAII workload repriced for peak/off-peak. Older CAI V4Flash0731/V4Pro0813 are explicitly historical; not a current snapshot comparison.</x:v>
      </x:c>
      <x:c r="B11" s="136"/>
      <x:c r="C11" s="136"/>
      <x:c r="D11" s="136"/>
      <x:c r="E11" s="136"/>
      <x:c r="F11" s="136"/>
      <x:c r="G11" s="136"/>
      <x:c r="H11" s="136"/>
      <x:c r="I11" s="136"/>
      <x:c r="J11" s="136"/>
      <x:c r="K11" s="136"/>
      <x:c r="L11" s="136"/>
      <x:c r="M11" s="136"/>
      <x:c r="N11" s="136"/>
    </x:row>
    <x:row r="12" ht="34" customHeight="1">
      <x:c r="A12" s="136" t="str">
        <x:v>ChatGPT/Claude numeric subscription counts are historical third-party scenarios from Oct5, not official quotas or a fresh measurement. See evidence column.</x:v>
      </x:c>
      <x:c r="B12" s="136"/>
      <x:c r="C12" s="136"/>
      <x:c r="D12" s="136"/>
      <x:c r="E12" s="136"/>
      <x:c r="F12" s="136"/>
      <x:c r="G12" s="136"/>
      <x:c r="H12" s="136"/>
      <x:c r="I12" s="136"/>
      <x:c r="J12" s="136"/>
      <x:c r="K12" s="136"/>
      <x:c r="L12" s="136"/>
      <x:c r="M12" s="136"/>
      <x:c r="N12" s="136"/>
    </x:row>
    <x:row r="13" ht="34" customHeight="1">
      <x:c r="A13" s="136" t="str">
        <x:v>160-hour capacity is a runtime scenario, not a provider quota. Go_General_Task_Capacity gives tariff-ratio bounds; all four budgets afford Go/Plus, with unused cash retained.</x:v>
      </x:c>
      <x:c r="B13" s="136"/>
      <x:c r="C13" s="136"/>
      <x:c r="D13" s="136"/>
      <x:c r="E13" s="136"/>
      <x:c r="F13" s="136"/>
      <x:c r="G13" s="136"/>
      <x:c r="H13" s="136"/>
      <x:c r="I13" s="136"/>
      <x:c r="J13" s="136"/>
      <x:c r="K13" s="136"/>
      <x:c r="L13" s="136"/>
      <x:c r="M13" s="136"/>
      <x:c r="N13" s="136"/>
    </x:row>
    <x:row r="16" ht="34" customHeight="1">
      <x:c r="A16" s="128" t="str">
        <x:v>Model / effort</x:v>
      </x:c>
      <x:c r="B16" s="128" t="str">
        <x:v>CAI</x:v>
      </x:c>
      <x:c r="C16" s="128" t="str">
        <x:v>USD/task</x:v>
      </x:c>
      <x:c r="D16" s="128" t="str">
        <x:v>Min/task</x:v>
      </x:c>
      <x:c r="E16" s="128" t="str">
        <x:v>$60 tasks</x:v>
      </x:c>
      <x:c r="F16" s="128" t="str">
        <x:v>$90 tasks</x:v>
      </x:c>
      <x:c r="G16" s="128" t="str">
        <x:v>$120 tasks</x:v>
      </x:c>
      <x:c r="H16" s="128" t="str">
        <x:v>$180 tasks</x:v>
      </x:c>
      <x:c r="I16" s="128" t="str">
        <x:v>Basis</x:v>
      </x:c>
    </x:row>
    <x:row r="17" ht="30" customHeight="1">
      <x:c r="A17" s="137" t="str">
        <x:v>GPT-6.1 Sol (medium)</x:v>
      </x:c>
      <x:c r="B17" s="137" t="n">
        <x:f>'Coding_Task_Budgets'!D11</x:f>
        <x:v>61</x:v>
      </x:c>
      <x:c r="C17" s="138" t="n">
        <x:f>'Coding_Task_Budgets'!E11</x:f>
        <x:v>0.7</x:v>
      </x:c>
      <x:c r="D17" s="138" t="n">
        <x:f>'Coding_Task_Budgets'!F11</x:f>
        <x:v>10.9</x:v>
      </x:c>
      <x:c r="E17" s="137" t="n">
        <x:f>'Coding_Task_Budgets'!J11</x:f>
        <x:v>85</x:v>
      </x:c>
      <x:c r="F17" s="137" t="n">
        <x:f>'Coding_Task_Budgets'!K11</x:f>
        <x:v>128</x:v>
      </x:c>
      <x:c r="G17" s="137" t="n">
        <x:f>'Coding_Task_Budgets'!L11</x:f>
        <x:v>171</x:v>
      </x:c>
      <x:c r="H17" s="137" t="n">
        <x:f>'Coding_Task_Budgets'!M11</x:f>
        <x:v>257</x:v>
      </x:c>
      <x:c r="I17" s="137" t="str">
        <x:v>API workload estimate</x:v>
      </x:c>
    </x:row>
    <x:row r="18" ht="30" customHeight="1">
      <x:c r="A18" s="137" t="str">
        <x:v>GPT-6.1 Sol (xhigh)</x:v>
      </x:c>
      <x:c r="B18" s="137" t="n">
        <x:f>'Coding_Task_Budgets'!D7</x:f>
        <x:v>63</x:v>
      </x:c>
      <x:c r="C18" s="138" t="n">
        <x:f>'Coding_Task_Budgets'!E7</x:f>
        <x:v>1.04</x:v>
      </x:c>
      <x:c r="D18" s="138" t="n">
        <x:f>'Coding_Task_Budgets'!F7</x:f>
        <x:v>15.5</x:v>
      </x:c>
      <x:c r="E18" s="137" t="n">
        <x:f>'Coding_Task_Budgets'!J7</x:f>
        <x:v>57</x:v>
      </x:c>
      <x:c r="F18" s="137" t="n">
        <x:f>'Coding_Task_Budgets'!K7</x:f>
        <x:v>86</x:v>
      </x:c>
      <x:c r="G18" s="137" t="n">
        <x:f>'Coding_Task_Budgets'!L7</x:f>
        <x:v>115</x:v>
      </x:c>
      <x:c r="H18" s="137" t="n">
        <x:f>'Coding_Task_Budgets'!M7</x:f>
        <x:v>173</x:v>
      </x:c>
      <x:c r="I18" s="137" t="str">
        <x:v>API workload estimate</x:v>
      </x:c>
    </x:row>
    <x:row r="19" ht="30" customHeight="1">
      <x:c r="A19" s="137" t="str">
        <x:v>Sonnet 5.5 (xhigh)</x:v>
      </x:c>
      <x:c r="B19" s="137" t="n">
        <x:f>'Coding_Task_Budgets'!D8</x:f>
        <x:v>63</x:v>
      </x:c>
      <x:c r="C19" s="138" t="n">
        <x:f>'Coding_Task_Budgets'!E8</x:f>
        <x:v>3.33</x:v>
      </x:c>
      <x:c r="D19" s="138" t="n">
        <x:f>'Coding_Task_Budgets'!F8</x:f>
        <x:v>27</x:v>
      </x:c>
      <x:c r="E19" s="137" t="n">
        <x:f>'Coding_Task_Budgets'!J8</x:f>
        <x:v>18</x:v>
      </x:c>
      <x:c r="F19" s="137" t="n">
        <x:f>'Coding_Task_Budgets'!K8</x:f>
        <x:v>27</x:v>
      </x:c>
      <x:c r="G19" s="137" t="n">
        <x:f>'Coding_Task_Budgets'!L8</x:f>
        <x:v>36</x:v>
      </x:c>
      <x:c r="H19" s="137" t="n">
        <x:f>'Coding_Task_Budgets'!M8</x:f>
        <x:v>54</x:v>
      </x:c>
      <x:c r="I19" s="137" t="str">
        <x:v>API workload estimate</x:v>
      </x:c>
    </x:row>
    <x:row r="20" ht="30" customHeight="1">
      <x:c r="A20" s="137" t="str">
        <x:v>Sonnet 5.5 (max)</x:v>
      </x:c>
      <x:c r="B20" s="137" t="n">
        <x:f>'Coding_Task_Budgets'!D3</x:f>
        <x:v>68</x:v>
      </x:c>
      <x:c r="C20" s="138" t="n">
        <x:f>'Coding_Task_Budgets'!E3</x:f>
        <x:v>14.19</x:v>
      </x:c>
      <x:c r="D20" s="138" t="n">
        <x:f>'Coding_Task_Budgets'!F3</x:f>
        <x:v>90</x:v>
      </x:c>
      <x:c r="E20" s="137" t="n">
        <x:f>'Coding_Task_Budgets'!J3</x:f>
        <x:v>4</x:v>
      </x:c>
      <x:c r="F20" s="137" t="n">
        <x:f>'Coding_Task_Budgets'!K3</x:f>
        <x:v>6</x:v>
      </x:c>
      <x:c r="G20" s="137" t="n">
        <x:f>'Coding_Task_Budgets'!L3</x:f>
        <x:v>8</x:v>
      </x:c>
      <x:c r="H20" s="137" t="n">
        <x:f>'Coding_Task_Budgets'!M3</x:f>
        <x:v>12</x:v>
      </x:c>
      <x:c r="I20" s="137" t="str">
        <x:v>API workload estimate</x:v>
      </x:c>
    </x:row>
    <x:row r="21" ht="30" customHeight="1">
      <x:c r="A21" s="137" t="str">
        <x:v>Opus 5.5 (max)</x:v>
      </x:c>
      <x:c r="B21" s="137" t="n">
        <x:f>'Coding_Task_Budgets'!D4</x:f>
        <x:v>66</x:v>
      </x:c>
      <x:c r="C21" s="138" t="n">
        <x:f>'Coding_Task_Budgets'!E4</x:f>
        <x:v>13.04</x:v>
      </x:c>
      <x:c r="D21" s="138" t="n">
        <x:f>'Coding_Task_Budgets'!F4</x:f>
        <x:v>66</x:v>
      </x:c>
      <x:c r="E21" s="137" t="n">
        <x:f>'Coding_Task_Budgets'!J4</x:f>
        <x:v>4</x:v>
      </x:c>
      <x:c r="F21" s="137" t="n">
        <x:f>'Coding_Task_Budgets'!K4</x:f>
        <x:v>6</x:v>
      </x:c>
      <x:c r="G21" s="137" t="n">
        <x:f>'Coding_Task_Budgets'!L4</x:f>
        <x:v>9</x:v>
      </x:c>
      <x:c r="H21" s="137" t="n">
        <x:f>'Coding_Task_Budgets'!M4</x:f>
        <x:v>13</x:v>
      </x:c>
      <x:c r="I21" s="137" t="str">
        <x:v>API workload estimate</x:v>
      </x:c>
    </x:row>
    <x:row r="22" ht="30" customHeight="1">
      <x:c r="A22" s="137" t="str">
        <x:v>GPT-6 Luna (max)</x:v>
      </x:c>
      <x:c r="B22" s="137" t="n">
        <x:f>'Coding_Task_Budgets'!D29</x:f>
        <x:v>41</x:v>
      </x:c>
      <x:c r="C22" s="138" t="n">
        <x:f>'Coding_Task_Budgets'!E29</x:f>
        <x:v>0.18</x:v>
      </x:c>
      <x:c r="D22" s="138" t="n">
        <x:f>'Coding_Task_Budgets'!F29</x:f>
        <x:v>21.4</x:v>
      </x:c>
      <x:c r="E22" s="137" t="n">
        <x:f>'Coding_Task_Budgets'!J29</x:f>
        <x:v>333</x:v>
      </x:c>
      <x:c r="F22" s="137" t="n">
        <x:f>'Coding_Task_Budgets'!K29</x:f>
        <x:v>500</x:v>
      </x:c>
      <x:c r="G22" s="137" t="n">
        <x:f>'Coding_Task_Budgets'!L29</x:f>
        <x:v>666</x:v>
      </x:c>
      <x:c r="H22" s="137" t="n">
        <x:f>'Coding_Task_Budgets'!M29</x:f>
        <x:v>1000</x:v>
      </x:c>
      <x:c r="I22" s="137" t="str">
        <x:v>API workload estimate</x:v>
      </x:c>
    </x:row>
    <x:row r="23" ht="30" customHeight="1">
      <x:c r="A23" s="137" t="str">
        <x:v>Muse Wonder (max)</x:v>
      </x:c>
      <x:c r="B23" s="137" t="n">
        <x:f>'Coding_Task_Budgets'!D6</x:f>
        <x:v>64</x:v>
      </x:c>
      <x:c r="C23" s="138" t="n">
        <x:f>'Coding_Task_Budgets'!E6</x:f>
        <x:v>8.04</x:v>
      </x:c>
      <x:c r="D23" s="138" t="n">
        <x:f>'Coding_Task_Budgets'!F6</x:f>
        <x:v>22.4</x:v>
      </x:c>
      <x:c r="E23" s="137" t="n">
        <x:f>'Coding_Task_Budgets'!J6</x:f>
        <x:v>7</x:v>
      </x:c>
      <x:c r="F23" s="137" t="n">
        <x:f>'Coding_Task_Budgets'!K6</x:f>
        <x:v>11</x:v>
      </x:c>
      <x:c r="G23" s="137" t="n">
        <x:f>'Coding_Task_Budgets'!L6</x:f>
        <x:v>14</x:v>
      </x:c>
      <x:c r="H23" s="137" t="n">
        <x:f>'Coding_Task_Budgets'!M6</x:f>
        <x:v>22</x:v>
      </x:c>
      <x:c r="I23" s="137" t="str">
        <x:v>API workload estimate</x:v>
      </x:c>
    </x:row>
    <x:row r="24" ht="30" customHeight="1">
      <x:c r="A24" s="137" t="str">
        <x:v>Muse Wonder Full (max)</x:v>
      </x:c>
      <x:c r="B24" s="137" t="n">
        <x:f>'Coding_Task_Budgets'!D2</x:f>
        <x:v>68</x:v>
      </x:c>
      <x:c r="C24" s="138" t="str">
        <x:v>N/A</x:v>
      </x:c>
      <x:c r="D24" s="138" t="n">
        <x:f>'Coding_Task_Budgets'!F2</x:f>
        <x:v>28.8</x:v>
      </x:c>
      <x:c r="E24" s="137" t="str">
        <x:f>'Coding_Task_Budgets'!J2</x:f>
      </x:c>
      <x:c r="F24" s="137" t="str">
        <x:f>'Coding_Task_Budgets'!K2</x:f>
      </x:c>
      <x:c r="G24" s="137" t="str">
        <x:f>'Coding_Task_Budgets'!L2</x:f>
      </x:c>
      <x:c r="H24" s="137" t="str">
        <x:f>'Coding_Task_Budgets'!M2</x:f>
      </x:c>
      <x:c r="I24" s="137" t="str">
        <x:v>Power50 subscription; API N/A</x:v>
      </x:c>
    </x:row>
  </x:sheetData>
  <x:mergeCells>
    <x:mergeCell ref="A1:N2"/>
    <x:mergeCell ref="A4:N4"/>
    <x:mergeCell ref="A5:N5"/>
    <x:mergeCell ref="A6:N6"/>
    <x:mergeCell ref="A7:N7"/>
    <x:mergeCell ref="A8:N8"/>
    <x:mergeCell ref="A9:N9"/>
    <x:mergeCell ref="A10:N10"/>
    <x:mergeCell ref="A11:N11"/>
    <x:mergeCell ref="A12:N12"/>
    <x:mergeCell ref="A13:N13"/>
  </x:mergeCells>
  <x:pageMargins left="0.7" right="0.7" top="0.75" bottom="0.75" header="0.3" footer="0.3"/>
  <x:drawing xmlns:r="http://schemas.openxmlformats.org/officeDocument/2006/relationships" r:id="R7ad769382c7c4f9d"/>
</x:worksheet>
</file>